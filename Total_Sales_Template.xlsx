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Total" sheetId="1" state="visible" r:id="rId3"/>
    <sheet name="Target" sheetId="2" state="visible" r:id="rId4"/>
    <sheet name="قصادير" sheetId="3" state="visible" r:id="rId5"/>
    <sheet name="Sales Report" sheetId="4" state="visible" r:id="rId6"/>
    <sheet name="Data" sheetId="5" state="visible" r:id="rId7"/>
    <sheet name="Total price" sheetId="6" state="visible" r:id="rId8"/>
    <sheet name="Statement" sheetId="7" state="visible" r:id="rId9"/>
  </sheets>
  <definedNames>
    <definedName function="false" hidden="true" localSheetId="6" name="_xlnm._FilterDatabase" vbProcedure="false">Statement!$A$1:$P$3269</definedName>
    <definedName function="false" hidden="true" localSheetId="2" name="_xlnm._FilterDatabase" vbProcedure="false">قصادير!$A$1:$E$249</definedName>
    <definedName function="false" hidden="true" name="_xleta.CELL" vbProcedure="false">none</definedName>
    <definedName function="false" hidden="true" name="_xleta.CHOOSECOLS" vbProcedure="false">none</definedName>
    <definedName function="false" hidden="true" name="_xleta.COUNT" vbProcedure="false">none</definedName>
    <definedName function="false" hidden="true" name="_xleta.COUNTA" vbProcedure="false">none</definedName>
    <definedName function="false" hidden="true" name="_xleta.COUNTBLANK" vbProcedure="false">none</definedName>
    <definedName function="false" hidden="true" name="_xleta.COUNTIF" vbProcedure="false">none</definedName>
    <definedName function="false" hidden="true" name="_xleta.FILTER" vbProcedure="false">none</definedName>
    <definedName function="false" hidden="true" name="_xleta.HYPERLINK" vbProcedure="false">none</definedName>
    <definedName function="false" hidden="true" name="_xleta.IF" vbProcedure="false">none</definedName>
    <definedName function="false" hidden="true" name="_xleta.IFERROR" vbProcedure="false">none</definedName>
    <definedName function="false" hidden="true" name="_xleta.INDEX" vbProcedure="false">none</definedName>
    <definedName function="false" hidden="true" name="_xleta.N" vbProcedure="false">none</definedName>
    <definedName function="false" hidden="true" name="_xleta.SEQUENCE" vbProcedure="false">none</definedName>
    <definedName function="false" hidden="true" name="_xleta.SMALL" vbProcedure="false">none</definedName>
    <definedName function="false" hidden="true" name="_xleta.SUBTOTAL" vbProcedure="false">none</definedName>
    <definedName function="false" hidden="true" name="_xleta.SUM" vbProcedure="false">none</definedName>
    <definedName function="false" hidden="true" name="_xleta.SUMIFS" vbProcedure="false">none</definedName>
    <definedName function="false" hidden="true" name="_xleta.T" vbProcedure="false">none</definedName>
    <definedName function="false" hidden="true" name="_xleta.TRANSPOSE" vbProcedure="false">none</definedName>
    <definedName function="false" hidden="true" name="_xleta.VALUE" vbProcedure="false">none</definedName>
    <definedName function="false" hidden="true" name="_xleta.VLOOKUP" vbProcedure="false">none</definedName>
    <definedName function="false" hidden="true" name="_xlfn.BYCOL" vbProcedure="false">none</definedName>
    <definedName function="false" hidden="true" name="_xlfn.CHOOSECOLS" vbProcedure="false">none</definedName>
    <definedName function="false" hidden="true" name="_xlfn.COUNTIFS" vbProcedure="false">none</definedName>
    <definedName function="false" hidden="true" name="_xlfn.LAMBDA" vbProcedure="false">none</definedName>
    <definedName function="false" hidden="true" name="_xlfn.LET" vbProcedure="false">none</definedName>
    <definedName function="false" hidden="true" name="_xlfn.SCAN" vbProcedure="false">none</definedName>
    <definedName function="false" hidden="true" name="_xlfn.SEQUENCE" vbProcedure="false">none</definedName>
    <definedName function="false" hidden="true" name="_xlfn.SINGLE" vbProcedure="false">none</definedName>
    <definedName function="false" hidden="true" name="_xlfn.UNIQUE" vbProcedure="false">none</definedName>
    <definedName function="false" hidden="true" name="_xlfn.VSTACK" vbProcedure="false">none</definedName>
    <definedName function="false" hidden="true" name="_xlfn.XLOOKUP" vbProcedure="false">none</definedName>
    <definedName function="false" hidden="true" name="_xlfn._FV" vbProcedure="false">none</definedName>
    <definedName function="false" hidden="true" name="_xlfn._xlws.FILTER" vbProcedure="false">none</definedName>
    <definedName function="false" hidden="true" name="_xlpm.c" vbProcedure="false">none</definedName>
    <definedName function="false" hidden="true" name="_xlpm.f" vbProcedure="false">none</definedName>
    <definedName function="false" hidden="true" name="_xlpm.x" vbProcedure="false">none</definedName>
    <definedName function="false" hidden="true" name="_xlpm.إجمالي_الكمية" vbProcedure="false">none</definedName>
    <definedName function="false" hidden="true" name="_xlpm.إجمالي_المبلغ" vbProcedure="false">none</definedName>
    <definedName function="false" hidden="true" name="_xlpm.البيانات" vbProcedure="false">none</definedName>
    <definedName function="false" hidden="true" name="_xlpm.النتائج" vbProcedure="false">none</definedName>
    <definedName function="false" hidden="true" name="__xlfn.CHOOSECOLS" vbProcedure="false">none</definedName>
    <definedName function="false" hidden="true" name="__xlfn._xlws.FILTER" vbProcedure="false">none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52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مطيع الاسكان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الدور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المطري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ماجد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المطري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جاره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A1268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الاثنين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A130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الثلاثاء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A1459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زهرة عدن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A1554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الثلاثاء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A1993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باقي له </t>
        </r>
        <r>
          <rPr>
            <sz val="10"/>
            <rFont val="Arial"/>
            <family val="2"/>
          </rPr>
          <t xml:space="preserve">2 كرتون 20w50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8</xdr:rowOff>
              </xdr:to>
            </anchor>
          </commentPr>
        </mc:Choice>
        <mc:Fallback/>
      </mc:AlternateContent>
    </comment>
    <comment ref="A2224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نزلت له من الفاتوره كرتون واحد فقط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13</xdr:row>
                <xdr:rowOff>0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المطري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D1645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-710</t>
        </r>
        <r>
          <rPr>
            <sz val="10"/>
            <rFont val="FreeSans"/>
            <family val="2"/>
          </rPr>
          <t xml:space="preserve">قيمة قصادير -</t>
        </r>
        <r>
          <rPr>
            <sz val="10"/>
            <rFont val="Arial"/>
            <family val="2"/>
          </rPr>
          <t xml:space="preserve">1658 كاش من الكندي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13</xdr:row>
                <xdr:rowOff>2</xdr:rowOff>
              </xdr:to>
            </anchor>
          </commentPr>
        </mc:Choice>
        <mc:Fallback/>
      </mc:AlternateContent>
    </comment>
    <comment ref="D1646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سداد قيمة بضاعه ل ابو حليمه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13</xdr:row>
                <xdr:rowOff>0</xdr:rowOff>
              </xdr:to>
            </anchor>
          </commentPr>
        </mc:Choice>
        <mc:Fallback/>
      </mc:AlternateContent>
    </comment>
    <comment ref="E1397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839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خلف فرحان العنزي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86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الصناعيه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86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الصناعيه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89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قاسم المردعي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896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خلف فرحان العنزي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13</xdr:row>
                <xdr:rowOff>17</xdr:rowOff>
              </xdr:to>
            </anchor>
          </commentPr>
        </mc:Choice>
        <mc:Fallback/>
      </mc:AlternateContent>
    </comment>
    <comment ref="H897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الصناعيه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903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الصناعيه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923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الصناعيه المصري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929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المطري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94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قاسم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983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 الصناعيه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993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الباكستاني الصناعيه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996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 الصناعيه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998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03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الباكستاني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049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العماري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057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Mohsen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8</xdr:rowOff>
              </xdr:to>
            </anchor>
          </commentPr>
        </mc:Choice>
        <mc:Fallback/>
      </mc:AlternateContent>
    </comment>
    <comment ref="H1059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sakhil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8</xdr:rowOff>
              </xdr:to>
            </anchor>
          </commentPr>
        </mc:Choice>
        <mc:Fallback/>
      </mc:AlternateContent>
    </comment>
    <comment ref="H1083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العماري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10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 الصناعيه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14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الباكستاني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159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169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العماري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194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 ٢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196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206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ساخل راجا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21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ابو حليمه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228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 ماهر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229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246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 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326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38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ابو شنب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397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المصري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H168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الخميس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AJ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قصدير</t>
        </r>
        <r>
          <rPr>
            <sz val="10"/>
            <rFont val="Arial"/>
            <family val="2"/>
          </rPr>
          <t xml:space="preserve">8. 2024	
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13</xdr:row>
                <xdr:rowOff>18</xdr:rowOff>
              </xdr:to>
            </anchor>
          </commentPr>
        </mc:Choice>
        <mc:Fallback/>
      </mc:AlternateContent>
    </comment>
    <comment ref="AL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قصدير</t>
        </r>
        <r>
          <rPr>
            <sz val="10"/>
            <rFont val="Arial"/>
            <family val="2"/>
          </rPr>
          <t xml:space="preserve">10. 2024	
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13</xdr:row>
                <xdr:rowOff>18</xdr:rowOff>
              </xdr:to>
            </anchor>
          </commentPr>
        </mc:Choice>
        <mc:Fallback/>
      </mc:AlternateContent>
    </comment>
    <comment ref="AN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قصدير</t>
        </r>
        <r>
          <rPr>
            <sz val="10"/>
            <rFont val="Arial"/>
            <family val="2"/>
          </rPr>
          <t xml:space="preserve">11. 2024	
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13</xdr:row>
                <xdr:rowOff>18</xdr:rowOff>
              </xdr:to>
            </anchor>
          </commentPr>
        </mc:Choice>
        <mc:Fallback/>
      </mc:AlternateContent>
    </comment>
    <comment ref="AP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قصدير</t>
        </r>
        <r>
          <rPr>
            <sz val="10"/>
            <rFont val="Arial"/>
            <family val="2"/>
          </rPr>
          <t xml:space="preserve">12. 2024	
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13</xdr:row>
                <xdr:rowOff>18</xdr:rowOff>
              </xdr:to>
            </anchor>
          </commentPr>
        </mc:Choice>
        <mc:Fallback/>
      </mc:AlternateContent>
    </comment>
    <comment ref="AR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قصدير</t>
        </r>
        <r>
          <rPr>
            <sz val="10"/>
            <rFont val="Arial"/>
            <family val="2"/>
          </rPr>
          <t xml:space="preserve">2. 2025	
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13</xdr:row>
                <xdr:rowOff>18</xdr:rowOff>
              </xdr:to>
            </anchor>
          </commentPr>
        </mc:Choice>
        <mc:Fallback/>
      </mc:AlternateContent>
    </comment>
    <comment ref="BB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قصدير</t>
        </r>
        <r>
          <rPr>
            <sz val="10"/>
            <rFont val="Arial"/>
            <family val="2"/>
          </rPr>
          <t xml:space="preserve">9. 2025	
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13</xdr:row>
                <xdr:rowOff>18</xdr:rowOff>
              </xdr:to>
            </anchor>
          </commentPr>
        </mc:Choice>
        <mc:Fallback/>
      </mc:AlternateContent>
    </comment>
    <comment ref="BD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قصدير</t>
        </r>
        <r>
          <rPr>
            <sz val="10"/>
            <rFont val="Arial"/>
            <family val="2"/>
          </rPr>
          <t xml:space="preserve">10. 2025	
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13</xdr:row>
                <xdr:rowOff>18</xdr:rowOff>
              </xdr:to>
            </anchor>
          </commentPr>
        </mc:Choice>
        <mc:Fallback/>
      </mc:AlternateContent>
    </comment>
    <comment ref="B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قصدير شهر </t>
        </r>
        <r>
          <rPr>
            <sz val="10"/>
            <rFont val="Arial"/>
            <family val="2"/>
          </rPr>
          <t xml:space="preserve">11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  <comment ref="BI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12.2025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8</xdr:rowOff>
              </xdr:to>
            </anchor>
          </commentPr>
        </mc:Choice>
        <mc:Fallback/>
      </mc:AlternateContent>
    </comment>
    <comment ref="BJ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01.2026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8</xdr:rowOff>
              </xdr:to>
            </anchor>
          </commentPr>
        </mc:Choice>
        <mc:Fallback/>
      </mc:AlternateContent>
    </comment>
    <comment ref="BL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01.2026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8</xdr:rowOff>
              </xdr:to>
            </anchor>
          </commentPr>
        </mc:Choice>
        <mc:Fallback/>
      </mc:AlternateContent>
    </comment>
    <comment ref="BN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01.2026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8</xdr:rowOff>
              </xdr:to>
            </anchor>
          </commentPr>
        </mc:Choice>
        <mc:Fallback/>
      </mc:AlternateContent>
    </comment>
    <comment ref="BP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01.2026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8</xdr:rowOff>
              </xdr:to>
            </anchor>
          </commentPr>
        </mc:Choice>
        <mc:Fallback/>
      </mc:AlternateContent>
    </comment>
    <comment ref="BR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01.2026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8</xdr:rowOff>
              </xdr:to>
            </anchor>
          </commentPr>
        </mc:Choice>
        <mc:Fallback/>
      </mc:AlternateContent>
    </comment>
    <comment ref="BT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01.2026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8</xdr:rowOff>
              </xdr:to>
            </anchor>
          </commentPr>
        </mc:Choice>
        <mc:Fallback/>
      </mc:AlternateContent>
    </comment>
    <comment ref="BV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01.2026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8</xdr:rowOff>
              </xdr:to>
            </anchor>
          </commentPr>
        </mc:Choice>
        <mc:Fallback/>
      </mc:AlternateContent>
    </comment>
    <comment ref="CC39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FreeSans"/>
            <family val="2"/>
          </rPr>
          <t xml:space="preserve">باقي عنده </t>
        </r>
        <r>
          <rPr>
            <sz val="10"/>
            <rFont val="Arial"/>
            <family val="2"/>
          </rPr>
          <t xml:space="preserve">15 حبه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</xdr:colOff>
                <xdr:row>0</xdr:row>
                <xdr:rowOff>2</xdr:rowOff>
              </xdr:from>
              <xdr:to>
                <xdr:col>3</xdr:col>
                <xdr:colOff>20</xdr:colOff>
                <xdr:row>12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<sst xmlns="http://schemas.openxmlformats.org/spreadsheetml/2006/main" count="12546" uniqueCount="770">
  <si>
    <t xml:space="preserve">رقم العميل</t>
  </si>
  <si>
    <t xml:space="preserve">اسم العميل</t>
  </si>
  <si>
    <t xml:space="preserve">رقم الجوال</t>
  </si>
  <si>
    <t xml:space="preserve">المنطقه </t>
  </si>
  <si>
    <t xml:space="preserve">Min 1L 2024</t>
  </si>
  <si>
    <t xml:space="preserve">Min 24L 2024</t>
  </si>
  <si>
    <t xml:space="preserve">Min 1L 2025</t>
  </si>
  <si>
    <t xml:space="preserve">Min 24L 2025</t>
  </si>
  <si>
    <t xml:space="preserve">Min 1L 2026</t>
  </si>
  <si>
    <t xml:space="preserve">Min 24L 2026</t>
  </si>
  <si>
    <t xml:space="preserve">Syn 24</t>
  </si>
  <si>
    <t xml:space="preserve">Syn 25</t>
  </si>
  <si>
    <t xml:space="preserve">Syn 26</t>
  </si>
  <si>
    <t xml:space="preserve">DEO 4L 2024</t>
  </si>
  <si>
    <t xml:space="preserve">DEO 5L 2024</t>
  </si>
  <si>
    <t xml:space="preserve">DEO 1L</t>
  </si>
  <si>
    <t xml:space="preserve">DEO 4L 2025</t>
  </si>
  <si>
    <t xml:space="preserve">DEO 5L 2025</t>
  </si>
  <si>
    <t xml:space="preserve">DEO 4L 2026</t>
  </si>
  <si>
    <t xml:space="preserve">DEO 5L 2026</t>
  </si>
  <si>
    <t xml:space="preserve">Fluids 24</t>
  </si>
  <si>
    <t xml:space="preserve">Fluids 4L</t>
  </si>
  <si>
    <t xml:space="preserve">Fluids 25</t>
  </si>
  <si>
    <t xml:space="preserve">Fluids 26</t>
  </si>
  <si>
    <t xml:space="preserve">Total  2024</t>
  </si>
  <si>
    <t xml:space="preserve">Total  2025</t>
  </si>
  <si>
    <t xml:space="preserve">Total  2026</t>
  </si>
  <si>
    <t xml:space="preserve">1L</t>
  </si>
  <si>
    <t xml:space="preserve">24L</t>
  </si>
  <si>
    <t xml:space="preserve">4L</t>
  </si>
  <si>
    <t xml:space="preserve">5L</t>
  </si>
  <si>
    <t xml:space="preserve">الاجمالي </t>
  </si>
  <si>
    <t xml:space="preserve">Sales 2024</t>
  </si>
  <si>
    <t xml:space="preserve">Sales 2025</t>
  </si>
  <si>
    <t xml:space="preserve">Sales 2026</t>
  </si>
  <si>
    <t xml:space="preserve">Monthly </t>
  </si>
  <si>
    <t xml:space="preserve">Min</t>
  </si>
  <si>
    <t xml:space="preserve">Syn</t>
  </si>
  <si>
    <t xml:space="preserve">DEO</t>
  </si>
  <si>
    <t xml:space="preserve">Fluids</t>
  </si>
  <si>
    <t xml:space="preserve">Total </t>
  </si>
  <si>
    <t xml:space="preserve">%</t>
  </si>
  <si>
    <t xml:space="preserve">Jan </t>
  </si>
  <si>
    <t xml:space="preserve">Target </t>
  </si>
  <si>
    <t xml:space="preserve">Actual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</si>
  <si>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</si>
  <si>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</si>
  <si>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</si>
  <si>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</si>
  <si>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</si>
  <si>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</si>
  <si>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Vacation 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</si>
  <si>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</si>
  <si>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</si>
  <si>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</si>
  <si>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</si>
  <si>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</si>
  <si>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Anuual  </t>
  </si>
  <si>
    <t xml:space="preserve">YTD Target</t>
  </si>
  <si>
    <t xml:space="preserve">ملخص الأرباع 2024</t>
  </si>
  <si>
    <t xml:space="preserve">ملخص الأرباع 2025</t>
  </si>
  <si>
    <t xml:space="preserve">ملخص الأرباع 2026</t>
  </si>
  <si>
    <t xml:space="preserve">Q1</t>
  </si>
  <si>
    <t xml:space="preserve">Q2</t>
  </si>
  <si>
    <t xml:space="preserve">Q3</t>
  </si>
  <si>
    <t xml:space="preserve">Q4</t>
  </si>
  <si>
    <t xml:space="preserve">ملخص النصفي 2024</t>
  </si>
  <si>
    <t xml:space="preserve">ملخص النصفي 2025</t>
  </si>
  <si>
    <t xml:space="preserve">ملخص النصفي 2026</t>
  </si>
  <si>
    <t xml:space="preserve">H 1</t>
  </si>
  <si>
    <t xml:space="preserve">H 2</t>
  </si>
  <si>
    <t xml:space="preserve">المدينة</t>
  </si>
  <si>
    <t xml:space="preserve">5 SR</t>
  </si>
  <si>
    <t xml:space="preserve">2 SR</t>
  </si>
  <si>
    <t xml:space="preserve">سما شقري</t>
  </si>
  <si>
    <t xml:space="preserve">ضباء</t>
  </si>
  <si>
    <t xml:space="preserve">مركز الحبردي</t>
  </si>
  <si>
    <t xml:space="preserve">مركز السعاده</t>
  </si>
  <si>
    <t xml:space="preserve">مركز ورشة الشقري</t>
  </si>
  <si>
    <t xml:space="preserve">مسلم سليم المسعودي</t>
  </si>
  <si>
    <t xml:space="preserve">مركز المدينه</t>
  </si>
  <si>
    <t xml:space="preserve">مريم سالم العبيواني</t>
  </si>
  <si>
    <t xml:space="preserve">سالم الحويطي</t>
  </si>
  <si>
    <t xml:space="preserve">مفرق الشواق</t>
  </si>
  <si>
    <t xml:space="preserve">دهيبه البسيسي</t>
  </si>
  <si>
    <t xml:space="preserve">دار خيلات</t>
  </si>
  <si>
    <t xml:space="preserve">مجد الفولاذ</t>
  </si>
  <si>
    <t xml:space="preserve">هواء الضحا</t>
  </si>
  <si>
    <t xml:space="preserve">مساعد سليمان</t>
  </si>
  <si>
    <t xml:space="preserve">الهواء النقي</t>
  </si>
  <si>
    <t xml:space="preserve">عبيدالله عابد</t>
  </si>
  <si>
    <t xml:space="preserve">شروق المستقبل</t>
  </si>
  <si>
    <t xml:space="preserve">ساحل الشمال</t>
  </si>
  <si>
    <t xml:space="preserve">حمده القرعاني</t>
  </si>
  <si>
    <t xml:space="preserve">التوفيق ضباء</t>
  </si>
  <si>
    <t xml:space="preserve">كيان</t>
  </si>
  <si>
    <t xml:space="preserve">فاطمه محمد</t>
  </si>
  <si>
    <t xml:space="preserve">محمود عبيدان</t>
  </si>
  <si>
    <t xml:space="preserve">عالم الزيوت ضبا</t>
  </si>
  <si>
    <t xml:space="preserve">محرك الساحل</t>
  </si>
  <si>
    <t xml:space="preserve">بداية الامان</t>
  </si>
  <si>
    <t xml:space="preserve">نايف العدساني</t>
  </si>
  <si>
    <t xml:space="preserve">السواحل العمود</t>
  </si>
  <si>
    <t xml:space="preserve">ساحل ضباء</t>
  </si>
  <si>
    <t xml:space="preserve">الشريف</t>
  </si>
  <si>
    <t xml:space="preserve">الوجه</t>
  </si>
  <si>
    <t xml:space="preserve">نهضة الوجه</t>
  </si>
  <si>
    <t xml:space="preserve">فاطمه كلابي</t>
  </si>
  <si>
    <t xml:space="preserve">المشاري</t>
  </si>
  <si>
    <r>
      <rPr>
        <sz val="11"/>
        <color theme="1"/>
        <rFont val="FreeSans"/>
        <family val="2"/>
      </rPr>
      <t xml:space="preserve">مركز </t>
    </r>
    <r>
      <rPr>
        <sz val="11"/>
        <color theme="1"/>
        <rFont val="Calibri"/>
        <family val="2"/>
        <charset val="178"/>
      </rPr>
      <t xml:space="preserve">2000</t>
    </r>
  </si>
  <si>
    <t xml:space="preserve">الدروب الجنوبيه</t>
  </si>
  <si>
    <t xml:space="preserve">ساحل الوجه</t>
  </si>
  <si>
    <t xml:space="preserve">دوار الشمال</t>
  </si>
  <si>
    <t xml:space="preserve">المسافر</t>
  </si>
  <si>
    <t xml:space="preserve">جميله الحويطي</t>
  </si>
  <si>
    <t xml:space="preserve">سميره الزهراني</t>
  </si>
  <si>
    <t xml:space="preserve">ليان</t>
  </si>
  <si>
    <t xml:space="preserve">البدر الساطع</t>
  </si>
  <si>
    <t xml:space="preserve">بنشر مكه</t>
  </si>
  <si>
    <t xml:space="preserve">المويلح</t>
  </si>
  <si>
    <t xml:space="preserve">تغريد الحويطي</t>
  </si>
  <si>
    <t xml:space="preserve">هنادي الحويطي</t>
  </si>
  <si>
    <t xml:space="preserve">ضيف الله العطوي</t>
  </si>
  <si>
    <t xml:space="preserve">القرشي</t>
  </si>
  <si>
    <t xml:space="preserve">ورشه المويلح</t>
  </si>
  <si>
    <t xml:space="preserve">جملة عتيق الشوامين</t>
  </si>
  <si>
    <t xml:space="preserve">قمة الوافر</t>
  </si>
  <si>
    <t xml:space="preserve">تبوك</t>
  </si>
  <si>
    <t xml:space="preserve">شمسه العسيري</t>
  </si>
  <si>
    <t xml:space="preserve">جود القمه</t>
  </si>
  <si>
    <r>
      <rPr>
        <sz val="11"/>
        <color theme="1"/>
        <rFont val="FreeSans"/>
        <family val="2"/>
      </rPr>
      <t xml:space="preserve">سميه مسلم</t>
    </r>
    <r>
      <rPr>
        <sz val="11"/>
        <color theme="1"/>
        <rFont val="Calibri"/>
        <family val="2"/>
        <charset val="178"/>
      </rPr>
      <t xml:space="preserve">2</t>
    </r>
  </si>
  <si>
    <t xml:space="preserve">كيرفوركار</t>
  </si>
  <si>
    <t xml:space="preserve">ميشلان</t>
  </si>
  <si>
    <t xml:space="preserve">الوجه الاخر</t>
  </si>
  <si>
    <t xml:space="preserve">مسار الفيصليه</t>
  </si>
  <si>
    <t xml:space="preserve">الركن المميز</t>
  </si>
  <si>
    <t xml:space="preserve">سهم المهرجان</t>
  </si>
  <si>
    <t xml:space="preserve">درع المحرك</t>
  </si>
  <si>
    <t xml:space="preserve">امجاد الركن</t>
  </si>
  <si>
    <t xml:space="preserve">ثبات الجوده</t>
  </si>
  <si>
    <t xml:space="preserve">الوليد طلال</t>
  </si>
  <si>
    <t xml:space="preserve">عالم الزيوت</t>
  </si>
  <si>
    <t xml:space="preserve">الموتر للاطارات</t>
  </si>
  <si>
    <t xml:space="preserve">زهرة عدن</t>
  </si>
  <si>
    <t xml:space="preserve">الهلال الذهبي</t>
  </si>
  <si>
    <t xml:space="preserve">مرعي الصيعري</t>
  </si>
  <si>
    <t xml:space="preserve">ايمان خلف</t>
  </si>
  <si>
    <t xml:space="preserve">دروب الحياه</t>
  </si>
  <si>
    <t xml:space="preserve">شباب الابداع</t>
  </si>
  <si>
    <t xml:space="preserve">الشموخ</t>
  </si>
  <si>
    <t xml:space="preserve">همس الاحتراف</t>
  </si>
  <si>
    <t xml:space="preserve">زيت الاصاله</t>
  </si>
  <si>
    <t xml:space="preserve">اسماء الزهراني</t>
  </si>
  <si>
    <t xml:space="preserve">الفالح</t>
  </si>
  <si>
    <t xml:space="preserve">وسام الجزيره</t>
  </si>
  <si>
    <t xml:space="preserve">الموعد الثاني</t>
  </si>
  <si>
    <t xml:space="preserve">جزيرة الجنوب</t>
  </si>
  <si>
    <t xml:space="preserve">ليلى سلامي</t>
  </si>
  <si>
    <t xml:space="preserve">دار اليزيد</t>
  </si>
  <si>
    <t xml:space="preserve">واحة تبوك</t>
  </si>
  <si>
    <t xml:space="preserve">ابراج اليزيد</t>
  </si>
  <si>
    <t xml:space="preserve">درة الراقي</t>
  </si>
  <si>
    <t xml:space="preserve">ابداعات الوليد</t>
  </si>
  <si>
    <t xml:space="preserve">الاصلي الذهبي</t>
  </si>
  <si>
    <t xml:space="preserve">دريس الذهبي</t>
  </si>
  <si>
    <t xml:space="preserve">درر السعاده</t>
  </si>
  <si>
    <t xml:space="preserve">نبراس القادسيه</t>
  </si>
  <si>
    <t xml:space="preserve">مكس البوادي</t>
  </si>
  <si>
    <t xml:space="preserve">عالم الطموح</t>
  </si>
  <si>
    <t xml:space="preserve">كيان لارا</t>
  </si>
  <si>
    <t xml:space="preserve">ماجد الركن</t>
  </si>
  <si>
    <t xml:space="preserve">اطار البساتين</t>
  </si>
  <si>
    <t xml:space="preserve">الاخضر الحديث</t>
  </si>
  <si>
    <t xml:space="preserve">قوس الزيت</t>
  </si>
  <si>
    <t xml:space="preserve">مرام البلوي</t>
  </si>
  <si>
    <t xml:space="preserve">وسام الاندلس</t>
  </si>
  <si>
    <t xml:space="preserve">محرك فور</t>
  </si>
  <si>
    <t xml:space="preserve">ركن السكن</t>
  </si>
  <si>
    <t xml:space="preserve">مروج عدن</t>
  </si>
  <si>
    <t xml:space="preserve">محرك بلس</t>
  </si>
  <si>
    <t xml:space="preserve">عوده العطوي</t>
  </si>
  <si>
    <t xml:space="preserve">سعد موتر</t>
  </si>
  <si>
    <t xml:space="preserve">اصالة المحرك</t>
  </si>
  <si>
    <t xml:space="preserve">واحة الزيت</t>
  </si>
  <si>
    <t xml:space="preserve">يارا البلوي</t>
  </si>
  <si>
    <t xml:space="preserve">عكاظ بلس</t>
  </si>
  <si>
    <t xml:space="preserve">القياده الفني</t>
  </si>
  <si>
    <r>
      <rPr>
        <sz val="11"/>
        <color theme="1"/>
        <rFont val="FreeSans"/>
        <family val="2"/>
      </rPr>
      <t xml:space="preserve">سما الصفا</t>
    </r>
    <r>
      <rPr>
        <sz val="11"/>
        <color theme="1"/>
        <rFont val="Calibri"/>
        <family val="2"/>
        <charset val="178"/>
      </rPr>
      <t xml:space="preserve">2</t>
    </r>
  </si>
  <si>
    <t xml:space="preserve">سما البوادي</t>
  </si>
  <si>
    <t xml:space="preserve">ساحة الاخضر</t>
  </si>
  <si>
    <t xml:space="preserve">واحة البساتين</t>
  </si>
  <si>
    <t xml:space="preserve">الزوايا المتطوره</t>
  </si>
  <si>
    <r>
      <rPr>
        <sz val="11"/>
        <color theme="1"/>
        <rFont val="FreeSans"/>
        <family val="2"/>
      </rPr>
      <t xml:space="preserve">وسام الجزيره </t>
    </r>
    <r>
      <rPr>
        <sz val="11"/>
        <color theme="1"/>
        <rFont val="Calibri"/>
        <family val="2"/>
        <charset val="178"/>
      </rPr>
      <t xml:space="preserve">2</t>
    </r>
  </si>
  <si>
    <t xml:space="preserve">اشراق تبوك</t>
  </si>
  <si>
    <r>
      <rPr>
        <sz val="11"/>
        <color theme="1"/>
        <rFont val="FreeSans"/>
        <family val="2"/>
      </rPr>
      <t xml:space="preserve">رانيه قبوري </t>
    </r>
    <r>
      <rPr>
        <sz val="11"/>
        <color theme="1"/>
        <rFont val="Calibri"/>
        <family val="2"/>
        <charset val="178"/>
      </rPr>
      <t xml:space="preserve">2</t>
    </r>
  </si>
  <si>
    <t xml:space="preserve">ريم العنزي</t>
  </si>
  <si>
    <t xml:space="preserve">الونش</t>
  </si>
  <si>
    <t xml:space="preserve">تبوك الورد</t>
  </si>
  <si>
    <t xml:space="preserve">درة الحمرا</t>
  </si>
  <si>
    <t xml:space="preserve">فارس الهويدي</t>
  </si>
  <si>
    <t xml:space="preserve">درة العليا</t>
  </si>
  <si>
    <t xml:space="preserve">زاوية الزيوت</t>
  </si>
  <si>
    <t xml:space="preserve">نجم الواحه</t>
  </si>
  <si>
    <t xml:space="preserve">نايف البلوي</t>
  </si>
  <si>
    <t xml:space="preserve">رانيه قبوري</t>
  </si>
  <si>
    <t xml:space="preserve">محمد منصور</t>
  </si>
  <si>
    <r>
      <rPr>
        <sz val="11"/>
        <color theme="1"/>
        <rFont val="FreeSans"/>
        <family val="2"/>
      </rPr>
      <t xml:space="preserve">يارا البلوي</t>
    </r>
    <r>
      <rPr>
        <sz val="11"/>
        <color theme="1"/>
        <rFont val="Calibri"/>
        <family val="2"/>
        <charset val="178"/>
      </rPr>
      <t xml:space="preserve">2</t>
    </r>
  </si>
  <si>
    <t xml:space="preserve">ميسه الخباز</t>
  </si>
  <si>
    <r>
      <rPr>
        <sz val="11"/>
        <color theme="1"/>
        <rFont val="FreeSans"/>
        <family val="2"/>
      </rPr>
      <t xml:space="preserve">عالم الزيوت</t>
    </r>
    <r>
      <rPr>
        <sz val="11"/>
        <color theme="1"/>
        <rFont val="Calibri"/>
        <family val="2"/>
        <charset val="178"/>
      </rPr>
      <t xml:space="preserve">2</t>
    </r>
  </si>
  <si>
    <t xml:space="preserve">الاصلي الحديث</t>
  </si>
  <si>
    <t xml:space="preserve">تيماء</t>
  </si>
  <si>
    <t xml:space="preserve">الموتر الحديث</t>
  </si>
  <si>
    <t xml:space="preserve">عجلة الجوكر</t>
  </si>
  <si>
    <t xml:space="preserve">الحيزان</t>
  </si>
  <si>
    <t xml:space="preserve">نجوم تيماء</t>
  </si>
  <si>
    <t xml:space="preserve">الاطار المتوفر</t>
  </si>
  <si>
    <t xml:space="preserve">دوار الساعه</t>
  </si>
  <si>
    <t xml:space="preserve">المنتصف</t>
  </si>
  <si>
    <t xml:space="preserve">اميره العطوي</t>
  </si>
  <si>
    <t xml:space="preserve">عنوان الزيت</t>
  </si>
  <si>
    <t xml:space="preserve">درة عدن</t>
  </si>
  <si>
    <t xml:space="preserve">المهرجان</t>
  </si>
  <si>
    <t xml:space="preserve">تطور الحديث</t>
  </si>
  <si>
    <t xml:space="preserve">الموتر تبوك</t>
  </si>
  <si>
    <t xml:space="preserve">البدع</t>
  </si>
  <si>
    <t xml:space="preserve">درة المسار</t>
  </si>
  <si>
    <t xml:space="preserve">درة المتميز</t>
  </si>
  <si>
    <t xml:space="preserve">خالد القعير</t>
  </si>
  <si>
    <t xml:space="preserve">الامتياز</t>
  </si>
  <si>
    <t xml:space="preserve">حسن السواط</t>
  </si>
  <si>
    <t xml:space="preserve">الحل الماسي</t>
  </si>
  <si>
    <t xml:space="preserve">ستار المصيف</t>
  </si>
  <si>
    <t xml:space="preserve">المفك السحري</t>
  </si>
  <si>
    <t xml:space="preserve">سما الصفا</t>
  </si>
  <si>
    <t xml:space="preserve">موتر لاين</t>
  </si>
  <si>
    <t xml:space="preserve">درب السعد</t>
  </si>
  <si>
    <t xml:space="preserve">الياسمين كار</t>
  </si>
  <si>
    <t xml:space="preserve">مكس الريان</t>
  </si>
  <si>
    <t xml:space="preserve">بندري تبوك</t>
  </si>
  <si>
    <t xml:space="preserve">متعب الحربي</t>
  </si>
  <si>
    <t xml:space="preserve">نجم الشمال</t>
  </si>
  <si>
    <t xml:space="preserve">بتلاء العنزي</t>
  </si>
  <si>
    <t xml:space="preserve">سميه مسلم</t>
  </si>
  <si>
    <t xml:space="preserve">المدى المتحده</t>
  </si>
  <si>
    <t xml:space="preserve">معيار الزيت</t>
  </si>
  <si>
    <r>
      <rPr>
        <sz val="11"/>
        <color theme="1"/>
        <rFont val="FreeSans"/>
        <family val="2"/>
      </rPr>
      <t xml:space="preserve">المؤيه </t>
    </r>
    <r>
      <rPr>
        <sz val="11"/>
        <color theme="1"/>
        <rFont val="Calibri"/>
        <family val="2"/>
        <charset val="178"/>
      </rPr>
      <t xml:space="preserve">1</t>
    </r>
  </si>
  <si>
    <t xml:space="preserve">مقياس زيت</t>
  </si>
  <si>
    <t xml:space="preserve">درة النهضه</t>
  </si>
  <si>
    <t xml:space="preserve">نجمي الحياه</t>
  </si>
  <si>
    <t xml:space="preserve">المحرك الذهبي</t>
  </si>
  <si>
    <r>
      <rPr>
        <sz val="11"/>
        <color theme="1"/>
        <rFont val="FreeSans"/>
        <family val="2"/>
      </rPr>
      <t xml:space="preserve">درة الراقي</t>
    </r>
    <r>
      <rPr>
        <sz val="11"/>
        <color theme="1"/>
        <rFont val="Calibri"/>
        <family val="2"/>
        <charset val="178"/>
      </rPr>
      <t xml:space="preserve">2</t>
    </r>
  </si>
  <si>
    <t xml:space="preserve">لطيفه البكيلي</t>
  </si>
  <si>
    <t xml:space="preserve">عبيد الجهني</t>
  </si>
  <si>
    <t xml:space="preserve">مركز المئويه</t>
  </si>
  <si>
    <t xml:space="preserve">عائشه العمري</t>
  </si>
  <si>
    <t xml:space="preserve">ناصر العمري</t>
  </si>
  <si>
    <t xml:space="preserve">حرفة الفني</t>
  </si>
  <si>
    <t xml:space="preserve">الفين الفيصليه</t>
  </si>
  <si>
    <t xml:space="preserve">انوار المروج</t>
  </si>
  <si>
    <t xml:space="preserve">الهوليدي</t>
  </si>
  <si>
    <t xml:space="preserve">الفاحص الذهبي</t>
  </si>
  <si>
    <t xml:space="preserve">قلب دمج</t>
  </si>
  <si>
    <t xml:space="preserve">نفوذ الشمال</t>
  </si>
  <si>
    <t xml:space="preserve">التوازن الذهبي</t>
  </si>
  <si>
    <t xml:space="preserve">الوسام</t>
  </si>
  <si>
    <t xml:space="preserve">سعيد العمري</t>
  </si>
  <si>
    <t xml:space="preserve">بحر المصيف</t>
  </si>
  <si>
    <t xml:space="preserve">معادن الكبرى</t>
  </si>
  <si>
    <t xml:space="preserve">موتر كارز</t>
  </si>
  <si>
    <t xml:space="preserve">فجر الاصيل</t>
  </si>
  <si>
    <t xml:space="preserve">مدار الزيوت</t>
  </si>
  <si>
    <t xml:space="preserve">بروج القادسيه</t>
  </si>
  <si>
    <t xml:space="preserve">اتجاهات السفر</t>
  </si>
  <si>
    <t xml:space="preserve">المستوى السريع</t>
  </si>
  <si>
    <t xml:space="preserve">معرض الجنوب</t>
  </si>
  <si>
    <t xml:space="preserve">قمة السليمانيه</t>
  </si>
  <si>
    <t xml:space="preserve">الصلحي</t>
  </si>
  <si>
    <t xml:space="preserve">الترس الذهبي</t>
  </si>
  <si>
    <t xml:space="preserve">مفتاح التشغيل</t>
  </si>
  <si>
    <t xml:space="preserve">الاصدار المميز</t>
  </si>
  <si>
    <t xml:space="preserve">عالم الزيوت والاطارات</t>
  </si>
  <si>
    <t xml:space="preserve">نجمة تبوك</t>
  </si>
  <si>
    <t xml:space="preserve">خالد الجوهي</t>
  </si>
  <si>
    <t xml:space="preserve">عبيد البلوي</t>
  </si>
  <si>
    <t xml:space="preserve">الدره الشماليه</t>
  </si>
  <si>
    <t xml:space="preserve">التفوق</t>
  </si>
  <si>
    <t xml:space="preserve">البير</t>
  </si>
  <si>
    <t xml:space="preserve">سرعة نجد</t>
  </si>
  <si>
    <t xml:space="preserve">حنان</t>
  </si>
  <si>
    <t xml:space="preserve">مدالله سليمان</t>
  </si>
  <si>
    <t xml:space="preserve">فاطمه العمراني</t>
  </si>
  <si>
    <t xml:space="preserve">خيال الكحيله</t>
  </si>
  <si>
    <t xml:space="preserve">مركز الزيته</t>
  </si>
  <si>
    <t xml:space="preserve">خالد سليمان</t>
  </si>
  <si>
    <t xml:space="preserve">مركز الربوه</t>
  </si>
  <si>
    <t xml:space="preserve">مشاعل العطوي</t>
  </si>
  <si>
    <t xml:space="preserve">تميز الخبرات</t>
  </si>
  <si>
    <t xml:space="preserve">مركزالوفاء</t>
  </si>
  <si>
    <t xml:space="preserve">بنشر المرام</t>
  </si>
  <si>
    <t xml:space="preserve">شريف معطيه</t>
  </si>
  <si>
    <t xml:space="preserve">الاندلسيه</t>
  </si>
  <si>
    <t xml:space="preserve">حقل</t>
  </si>
  <si>
    <t xml:space="preserve">غرناطه</t>
  </si>
  <si>
    <t xml:space="preserve">بلال حسن الجابر</t>
  </si>
  <si>
    <t xml:space="preserve">السنيجي</t>
  </si>
  <si>
    <t xml:space="preserve">القوافل</t>
  </si>
  <si>
    <t xml:space="preserve">لوازم سيارتك</t>
  </si>
  <si>
    <t xml:space="preserve">قاسم مطلق</t>
  </si>
  <si>
    <t xml:space="preserve">فرحان الدبور</t>
  </si>
  <si>
    <t xml:space="preserve">حقل لقطع</t>
  </si>
  <si>
    <t xml:space="preserve">عبدالعزيز الغرير</t>
  </si>
  <si>
    <t xml:space="preserve">عبدالعزيز العمراني</t>
  </si>
  <si>
    <t xml:space="preserve">رحلة الطريق</t>
  </si>
  <si>
    <t xml:space="preserve">عوده سالم الدبور</t>
  </si>
  <si>
    <t xml:space="preserve">ورشة الغرير</t>
  </si>
  <si>
    <t xml:space="preserve">فيصل الغرير</t>
  </si>
  <si>
    <t xml:space="preserve">ميسون مرعي</t>
  </si>
  <si>
    <t xml:space="preserve">الوان الجزيره</t>
  </si>
  <si>
    <t xml:space="preserve">محطة الشمال</t>
  </si>
  <si>
    <t xml:space="preserve">حلم الدوليه</t>
  </si>
  <si>
    <t xml:space="preserve">صالح الطويل</t>
  </si>
  <si>
    <t xml:space="preserve">فالح سليمان</t>
  </si>
  <si>
    <t xml:space="preserve">ايمن سلامه</t>
  </si>
  <si>
    <t xml:space="preserve">منى سلامه</t>
  </si>
  <si>
    <t xml:space="preserve">ورشة مدين</t>
  </si>
  <si>
    <t xml:space="preserve">ناصر المسعودي</t>
  </si>
  <si>
    <t xml:space="preserve">ورشة السلام</t>
  </si>
  <si>
    <t xml:space="preserve">عليا المسعودي</t>
  </si>
  <si>
    <t xml:space="preserve">واقيه المسعودي</t>
  </si>
  <si>
    <t xml:space="preserve">مركز رسام</t>
  </si>
  <si>
    <t xml:space="preserve">الإجمالي</t>
  </si>
  <si>
    <t xml:space="preserve">■ Sales Report</t>
  </si>
  <si>
    <t xml:space="preserve">Sales Today</t>
  </si>
  <si>
    <t xml:space="preserve">Monthly Sales</t>
  </si>
  <si>
    <t xml:space="preserve">Synthetic Sales (Daily)</t>
  </si>
  <si>
    <t xml:space="preserve">Synthetic Sales (Monthly)</t>
  </si>
  <si>
    <t xml:space="preserve">Invoices</t>
  </si>
  <si>
    <t xml:space="preserve">Total Visits</t>
  </si>
  <si>
    <t xml:space="preserve">Total Sales (SAR)</t>
  </si>
  <si>
    <t xml:space="preserve">Active Customers</t>
  </si>
  <si>
    <t xml:space="preserve">Shukran app</t>
  </si>
  <si>
    <t xml:space="preserve">Monthly Target Achievement</t>
  </si>
  <si>
    <t xml:space="preserve">First Quarter Performance</t>
  </si>
  <si>
    <t xml:space="preserve">Second Quarter Performance</t>
  </si>
  <si>
    <t xml:space="preserve">First Half Sales Performance</t>
  </si>
  <si>
    <t xml:space="preserve">Third Quarter Performance</t>
  </si>
  <si>
    <t xml:space="preserve">Fourth Quarter Performance</t>
  </si>
  <si>
    <t xml:space="preserve">Second Half Sales Performance</t>
  </si>
  <si>
    <t xml:space="preserve">Annual Target Achievement</t>
  </si>
  <si>
    <t xml:space="preserve">المعلق</t>
  </si>
  <si>
    <t xml:space="preserve">المتبقي</t>
  </si>
  <si>
    <t xml:space="preserve">Paying</t>
  </si>
  <si>
    <t xml:space="preserve">Amount</t>
  </si>
  <si>
    <t xml:space="preserve">Invoice No</t>
  </si>
  <si>
    <t xml:space="preserve"> Customer - No</t>
  </si>
  <si>
    <t xml:space="preserve">Area</t>
  </si>
  <si>
    <t xml:space="preserve">Customer - name</t>
  </si>
  <si>
    <t xml:space="preserve">Total Quantities </t>
  </si>
  <si>
    <t xml:space="preserve">Date</t>
  </si>
  <si>
    <t xml:space="preserve">PCMO-Min 24L</t>
  </si>
  <si>
    <t xml:space="preserve">PCMO-Min 12L</t>
  </si>
  <si>
    <t xml:space="preserve">PCMO-Syn</t>
  </si>
  <si>
    <t xml:space="preserve">DEO 5L</t>
  </si>
  <si>
    <t xml:space="preserve">DEO  4L</t>
  </si>
  <si>
    <t xml:space="preserve">DEO  1L</t>
  </si>
  <si>
    <t xml:space="preserve">Fluids 12L</t>
  </si>
  <si>
    <t xml:space="preserve">weight</t>
  </si>
  <si>
    <t xml:space="preserve">M 24L</t>
  </si>
  <si>
    <t xml:space="preserve">M 1L</t>
  </si>
  <si>
    <t xml:space="preserve">D 5L</t>
  </si>
  <si>
    <t xml:space="preserve">D 4L</t>
  </si>
  <si>
    <t xml:space="preserve">D 1L</t>
  </si>
  <si>
    <t xml:space="preserve">F 4L</t>
  </si>
  <si>
    <t xml:space="preserve">F 1L</t>
  </si>
  <si>
    <t xml:space="preserve">WIT</t>
  </si>
  <si>
    <t xml:space="preserve">اجمالي الكميه</t>
  </si>
  <si>
    <t xml:space="preserve">المدينه</t>
  </si>
  <si>
    <t xml:space="preserve">اسم العامل</t>
  </si>
  <si>
    <t xml:space="preserve">الجوال </t>
  </si>
  <si>
    <t xml:space="preserve">موقع العميل</t>
  </si>
  <si>
    <r>
      <rPr>
        <b val="true"/>
        <sz val="12"/>
        <color theme="1"/>
        <rFont val="Calibri"/>
        <family val="2"/>
        <charset val="178"/>
      </rPr>
      <t xml:space="preserve">5 </t>
    </r>
    <r>
      <rPr>
        <b val="true"/>
        <sz val="12"/>
        <color theme="1"/>
        <rFont val="FreeSans"/>
        <family val="2"/>
      </rPr>
      <t xml:space="preserve">ريال</t>
    </r>
  </si>
  <si>
    <r>
      <rPr>
        <b val="true"/>
        <sz val="12"/>
        <color theme="1"/>
        <rFont val="Calibri"/>
        <family val="2"/>
        <charset val="178"/>
      </rPr>
      <t xml:space="preserve">2 </t>
    </r>
    <r>
      <rPr>
        <b val="true"/>
        <sz val="12"/>
        <color theme="1"/>
        <rFont val="FreeSans"/>
        <family val="2"/>
      </rPr>
      <t xml:space="preserve">ريال</t>
    </r>
  </si>
  <si>
    <t xml:space="preserve">Coat</t>
  </si>
  <si>
    <t xml:space="preserve">clothes</t>
  </si>
  <si>
    <t xml:space="preserve">T-shirt</t>
  </si>
  <si>
    <t xml:space="preserve">Vanilla air freshener</t>
  </si>
  <si>
    <t xml:space="preserve">little joe lotus</t>
  </si>
  <si>
    <t xml:space="preserve">sofa cover</t>
  </si>
  <si>
    <t xml:space="preserve">Pants</t>
  </si>
  <si>
    <t xml:space="preserve">T-shirt </t>
  </si>
  <si>
    <t xml:space="preserve">ابراهيم</t>
  </si>
  <si>
    <t xml:space="preserve">UUP2OW549Q</t>
  </si>
  <si>
    <t xml:space="preserve">ايداع</t>
  </si>
  <si>
    <t xml:space="preserve">السداد</t>
  </si>
  <si>
    <t xml:space="preserve">مصلح</t>
  </si>
  <si>
    <t xml:space="preserve">JATV0GBBCE</t>
  </si>
  <si>
    <t xml:space="preserve">محمد عبده</t>
  </si>
  <si>
    <t xml:space="preserve">نادر محمد</t>
  </si>
  <si>
    <t xml:space="preserve">HP6MF0UQCF</t>
  </si>
  <si>
    <t xml:space="preserve">تحويل من حسابي</t>
  </si>
  <si>
    <t xml:space="preserve">خالد وليد</t>
  </si>
  <si>
    <t xml:space="preserve">ياسر فضل</t>
  </si>
  <si>
    <t xml:space="preserve">6YDZ20R7SZ</t>
  </si>
  <si>
    <t xml:space="preserve">حفيظ هايل</t>
  </si>
  <si>
    <t xml:space="preserve">D1KEVJAOQ4</t>
  </si>
  <si>
    <t xml:space="preserve">مروان</t>
  </si>
  <si>
    <t xml:space="preserve">2A7OD9VNAN</t>
  </si>
  <si>
    <t xml:space="preserve">قحطان محمد</t>
  </si>
  <si>
    <t xml:space="preserve">P7SRJB6HRK</t>
  </si>
  <si>
    <t xml:space="preserve">I8CMQWUDEB</t>
  </si>
  <si>
    <t xml:space="preserve">ايداع على الراجحي</t>
  </si>
  <si>
    <t xml:space="preserve">عبدالله محمد</t>
  </si>
  <si>
    <t xml:space="preserve">41K9T3EIJB</t>
  </si>
  <si>
    <t xml:space="preserve">TACXK3E9RV</t>
  </si>
  <si>
    <t xml:space="preserve">قاسم ناصر</t>
  </si>
  <si>
    <t xml:space="preserve">KBSYFZCSC2</t>
  </si>
  <si>
    <t xml:space="preserve">مجيد حسين</t>
  </si>
  <si>
    <t xml:space="preserve">3RGWR3Q7YJ</t>
  </si>
  <si>
    <t xml:space="preserve">وضاح امين</t>
  </si>
  <si>
    <t xml:space="preserve">DFMLPFT45M</t>
  </si>
  <si>
    <t xml:space="preserve">حمدي</t>
  </si>
  <si>
    <t xml:space="preserve">YAKYOWV51Z</t>
  </si>
  <si>
    <t xml:space="preserve">مركز 2000</t>
  </si>
  <si>
    <t xml:space="preserve">سامي مسعد</t>
  </si>
  <si>
    <t xml:space="preserve">ISH44XAHY6</t>
  </si>
  <si>
    <t xml:space="preserve">شهاب</t>
  </si>
  <si>
    <t xml:space="preserve">HN8D68ONMO</t>
  </si>
  <si>
    <t xml:space="preserve">طه محمد</t>
  </si>
  <si>
    <t xml:space="preserve">PBH82B6DMH</t>
  </si>
  <si>
    <t xml:space="preserve">احسان الله</t>
  </si>
  <si>
    <t xml:space="preserve">1UIU7LIMO9</t>
  </si>
  <si>
    <t xml:space="preserve">صلاح عمر</t>
  </si>
  <si>
    <t xml:space="preserve">JJ4A0ZC4R9</t>
  </si>
  <si>
    <t xml:space="preserve">عبدالوهاب</t>
  </si>
  <si>
    <t xml:space="preserve">GWW9K2FPYN</t>
  </si>
  <si>
    <t xml:space="preserve">سحب من الصراف</t>
  </si>
  <si>
    <t xml:space="preserve">سلمان امين</t>
  </si>
  <si>
    <t xml:space="preserve">BI1TPHLHCD</t>
  </si>
  <si>
    <t xml:space="preserve">جعفر</t>
  </si>
  <si>
    <t xml:space="preserve">ZPWVVVBUCD</t>
  </si>
  <si>
    <t xml:space="preserve">سميه مسلم2</t>
  </si>
  <si>
    <t xml:space="preserve">مصطفى احمد</t>
  </si>
  <si>
    <t xml:space="preserve">QK26Q6G9FQ</t>
  </si>
  <si>
    <t xml:space="preserve">فايد العنزي</t>
  </si>
  <si>
    <t xml:space="preserve">ZSDPA10DM0</t>
  </si>
  <si>
    <t xml:space="preserve">ابو نزار اللياس</t>
  </si>
  <si>
    <t xml:space="preserve">82SEXPWY5I</t>
  </si>
  <si>
    <t xml:space="preserve">F42RXZKKO3</t>
  </si>
  <si>
    <t xml:space="preserve">سعيد</t>
  </si>
  <si>
    <t xml:space="preserve">QDS1R3O7E2</t>
  </si>
  <si>
    <t xml:space="preserve">2KAJRWLQ6L</t>
  </si>
  <si>
    <t xml:space="preserve">بوسف ابو الوليد</t>
  </si>
  <si>
    <t xml:space="preserve">ZXSVP3LFUD</t>
  </si>
  <si>
    <t xml:space="preserve">5PN1OVUUI1</t>
  </si>
  <si>
    <t xml:space="preserve">جميل يحى</t>
  </si>
  <si>
    <t xml:space="preserve">IZ73YMYUR4</t>
  </si>
  <si>
    <t xml:space="preserve">44ROBQX61F</t>
  </si>
  <si>
    <t xml:space="preserve">ZRO2G6PWDV</t>
  </si>
  <si>
    <t xml:space="preserve">احمد الكميم</t>
  </si>
  <si>
    <t xml:space="preserve">صالح على</t>
  </si>
  <si>
    <t xml:space="preserve">6DEBWRJPTC</t>
  </si>
  <si>
    <t xml:space="preserve">5OSQCC2I03</t>
  </si>
  <si>
    <t xml:space="preserve">9KEQY7KGOS</t>
  </si>
  <si>
    <t xml:space="preserve">G8LJM5TDLH</t>
  </si>
  <si>
    <t xml:space="preserve">راشد عبدالخالق</t>
  </si>
  <si>
    <t xml:space="preserve">عبدالسلام</t>
  </si>
  <si>
    <t xml:space="preserve">2HH7D3G9FQ</t>
  </si>
  <si>
    <t xml:space="preserve">W7IBPVRUFW</t>
  </si>
  <si>
    <t xml:space="preserve">عمران ابو يوسف</t>
  </si>
  <si>
    <t xml:space="preserve">SQTRALRSGT</t>
  </si>
  <si>
    <t xml:space="preserve">ايداع شبكه</t>
  </si>
  <si>
    <t xml:space="preserve">مشاعل</t>
  </si>
  <si>
    <t xml:space="preserve">مشتاق محمد</t>
  </si>
  <si>
    <t xml:space="preserve">IBA4DALW7W</t>
  </si>
  <si>
    <t xml:space="preserve">الربوه</t>
  </si>
  <si>
    <t xml:space="preserve">8Y69ABFC04</t>
  </si>
  <si>
    <t xml:space="preserve">سيف قاسم</t>
  </si>
  <si>
    <t xml:space="preserve">8GKNVG3DIH</t>
  </si>
  <si>
    <t xml:space="preserve">محمد هيثم</t>
  </si>
  <si>
    <t xml:space="preserve">0OUGVNPCCS</t>
  </si>
  <si>
    <t xml:space="preserve">تركي توفيق</t>
  </si>
  <si>
    <t xml:space="preserve">L3F75K7TWF</t>
  </si>
  <si>
    <t xml:space="preserve">P2OWEL0FU9</t>
  </si>
  <si>
    <t xml:space="preserve">على فضل</t>
  </si>
  <si>
    <t xml:space="preserve">توفيق الحميري</t>
  </si>
  <si>
    <t xml:space="preserve">BCG16TLPL7</t>
  </si>
  <si>
    <t xml:space="preserve">فاروق</t>
  </si>
  <si>
    <t xml:space="preserve">FAXNLTZBQW</t>
  </si>
  <si>
    <t xml:space="preserve">ابو ادريس</t>
  </si>
  <si>
    <t xml:space="preserve">G7SM9YABHT</t>
  </si>
  <si>
    <t xml:space="preserve">O3LN9G18JJ</t>
  </si>
  <si>
    <t xml:space="preserve">ماجد صالح</t>
  </si>
  <si>
    <t xml:space="preserve">C0S9BK5WT4</t>
  </si>
  <si>
    <t xml:space="preserve">خالد غيسي</t>
  </si>
  <si>
    <t xml:space="preserve">M5CFL2QYO3</t>
  </si>
  <si>
    <t xml:space="preserve">JD4JB2KD4B</t>
  </si>
  <si>
    <t xml:space="preserve">احمد عبدالله </t>
  </si>
  <si>
    <t xml:space="preserve">V3VFPDKF1Z</t>
  </si>
  <si>
    <t xml:space="preserve">0KBHFB9K0V</t>
  </si>
  <si>
    <t xml:space="preserve">محمد حسين ضيف الله</t>
  </si>
  <si>
    <t xml:space="preserve">1DO2NLVYHI</t>
  </si>
  <si>
    <t xml:space="preserve">سامي سعيد</t>
  </si>
  <si>
    <t xml:space="preserve">SOGHGR1WIV</t>
  </si>
  <si>
    <t xml:space="preserve">حسين الجحربي</t>
  </si>
  <si>
    <t xml:space="preserve">UCB4NIY12D</t>
  </si>
  <si>
    <t xml:space="preserve">محمد</t>
  </si>
  <si>
    <t xml:space="preserve">صالح عفيف</t>
  </si>
  <si>
    <t xml:space="preserve">A62QZF8RNE</t>
  </si>
  <si>
    <t xml:space="preserve">محمد عبدالرب</t>
  </si>
  <si>
    <t xml:space="preserve">FNH1QFZQ4V</t>
  </si>
  <si>
    <t xml:space="preserve">عادل العماري</t>
  </si>
  <si>
    <t xml:space="preserve">FCGIYS2CW6</t>
  </si>
  <si>
    <t xml:space="preserve">عايد العنزي</t>
  </si>
  <si>
    <t xml:space="preserve">FVIWH48R4N</t>
  </si>
  <si>
    <t xml:space="preserve">صالح معاضه</t>
  </si>
  <si>
    <t xml:space="preserve">2HXF48H11F</t>
  </si>
  <si>
    <t xml:space="preserve">سليمان التركي</t>
  </si>
  <si>
    <t xml:space="preserve">Z6ZSC0YJRV</t>
  </si>
  <si>
    <t xml:space="preserve">عواد</t>
  </si>
  <si>
    <t xml:space="preserve">YZX3DGZ5QJ</t>
  </si>
  <si>
    <t xml:space="preserve">اصيل عبد</t>
  </si>
  <si>
    <t xml:space="preserve">مصطفى الردماني</t>
  </si>
  <si>
    <t xml:space="preserve">B2XCXW1I5P</t>
  </si>
  <si>
    <t xml:space="preserve">سما الصفا2</t>
  </si>
  <si>
    <t xml:space="preserve">ابراهيم ابو اسماعيل</t>
  </si>
  <si>
    <t xml:space="preserve">E4PDQYYYZ1</t>
  </si>
  <si>
    <t xml:space="preserve">تحويل من خالد</t>
  </si>
  <si>
    <t xml:space="preserve">حسين الحيمدي</t>
  </si>
  <si>
    <t xml:space="preserve">27EUKIBWRZ</t>
  </si>
  <si>
    <t xml:space="preserve">ايداع الراجحي</t>
  </si>
  <si>
    <t xml:space="preserve">فكري المشوري</t>
  </si>
  <si>
    <t xml:space="preserve">4BT40WDFEY</t>
  </si>
  <si>
    <t xml:space="preserve">محمد سالم المرفدي</t>
  </si>
  <si>
    <t xml:space="preserve">YD8AWHK8Z2</t>
  </si>
  <si>
    <t xml:space="preserve">وسام الجزيره 2</t>
  </si>
  <si>
    <t xml:space="preserve">مالك الردفاني</t>
  </si>
  <si>
    <t xml:space="preserve">GE0678VLH7</t>
  </si>
  <si>
    <t xml:space="preserve">رانيه قبوري 2</t>
  </si>
  <si>
    <t xml:space="preserve">بدر</t>
  </si>
  <si>
    <t xml:space="preserve">ZP0HLPEHED</t>
  </si>
  <si>
    <t xml:space="preserve">مطلق عقيل</t>
  </si>
  <si>
    <t xml:space="preserve">PR9RDUUC11</t>
  </si>
  <si>
    <t xml:space="preserve">على ماحي</t>
  </si>
  <si>
    <t xml:space="preserve">محمد الحميداني</t>
  </si>
  <si>
    <t xml:space="preserve">M7AJET9YDI</t>
  </si>
  <si>
    <t xml:space="preserve">محفوظ ابو ريان </t>
  </si>
  <si>
    <t xml:space="preserve">NSPQMY3NO6</t>
  </si>
  <si>
    <t xml:space="preserve">احمد مصطفى</t>
  </si>
  <si>
    <t xml:space="preserve">RPEBSJ3P5D</t>
  </si>
  <si>
    <t xml:space="preserve">خليل الحيمدي</t>
  </si>
  <si>
    <t xml:space="preserve">SUEHIRA57D</t>
  </si>
  <si>
    <t xml:space="preserve">QNYMEF4CW6</t>
  </si>
  <si>
    <t xml:space="preserve">فاضل الضهالي</t>
  </si>
  <si>
    <t xml:space="preserve">LZETNMAUQG</t>
  </si>
  <si>
    <t xml:space="preserve">محسن</t>
  </si>
  <si>
    <t xml:space="preserve">LF52UW5B4Z</t>
  </si>
  <si>
    <t xml:space="preserve">يارا البلوي2</t>
  </si>
  <si>
    <t xml:space="preserve">4M5H41KBD1</t>
  </si>
  <si>
    <t xml:space="preserve">لالي تورباز</t>
  </si>
  <si>
    <t xml:space="preserve">MZLZF7WD7K</t>
  </si>
  <si>
    <t xml:space="preserve">عالم الزيوت2</t>
  </si>
  <si>
    <t xml:space="preserve">جلال المنصوري</t>
  </si>
  <si>
    <t xml:space="preserve">4T731MPS39</t>
  </si>
  <si>
    <t xml:space="preserve">عبدان </t>
  </si>
  <si>
    <t xml:space="preserve">KDGGV5Z7EE</t>
  </si>
  <si>
    <t xml:space="preserve">حسين الردماني</t>
  </si>
  <si>
    <t xml:space="preserve">5J4659SHUG</t>
  </si>
  <si>
    <t xml:space="preserve">H0UWE7B5CM</t>
  </si>
  <si>
    <t xml:space="preserve">مرشد مصلح</t>
  </si>
  <si>
    <t xml:space="preserve">AW7WZERGXN</t>
  </si>
  <si>
    <t xml:space="preserve">سالم ابو حسين</t>
  </si>
  <si>
    <t xml:space="preserve">IT5L44XV5A</t>
  </si>
  <si>
    <t xml:space="preserve">حسان</t>
  </si>
  <si>
    <t xml:space="preserve">0AXQMV08UB</t>
  </si>
  <si>
    <t xml:space="preserve">فارس ابو محمد</t>
  </si>
  <si>
    <t xml:space="preserve">زايد</t>
  </si>
  <si>
    <t xml:space="preserve">اشرف الذرحاني</t>
  </si>
  <si>
    <t xml:space="preserve">سعيد صالح</t>
  </si>
  <si>
    <t xml:space="preserve">نجم الشمال </t>
  </si>
  <si>
    <t xml:space="preserve">عالم مختلف</t>
  </si>
  <si>
    <t xml:space="preserve">احمد الحمري</t>
  </si>
  <si>
    <t xml:space="preserve">المؤيه 1</t>
  </si>
  <si>
    <t xml:space="preserve">ابو سيف</t>
  </si>
  <si>
    <t xml:space="preserve">احمد صالح منصر</t>
  </si>
  <si>
    <t xml:space="preserve">درة الراقي2</t>
  </si>
  <si>
    <t xml:space="preserve">بدالمجيد الدكام</t>
  </si>
  <si>
    <t xml:space="preserve">عبدالعزيز</t>
  </si>
  <si>
    <t xml:space="preserve">شيخ على الردماني </t>
  </si>
  <si>
    <t xml:space="preserve">سفيان</t>
  </si>
  <si>
    <t xml:space="preserve">صلاح شلال</t>
  </si>
  <si>
    <t xml:space="preserve">مطلق المفلحي</t>
  </si>
  <si>
    <t xml:space="preserve">وليد البيحاني</t>
  </si>
  <si>
    <t xml:space="preserve">عبده الضهالي</t>
  </si>
  <si>
    <t xml:space="preserve">عمر الحربي</t>
  </si>
  <si>
    <t xml:space="preserve">زياد الردماني</t>
  </si>
  <si>
    <t xml:space="preserve">ابو علي عزام </t>
  </si>
  <si>
    <t xml:space="preserve">عبدالله عبدالخالق</t>
  </si>
  <si>
    <t xml:space="preserve">عبدالملك</t>
  </si>
  <si>
    <t xml:space="preserve">200+201</t>
  </si>
  <si>
    <t xml:space="preserve">انور عبدالكبير</t>
  </si>
  <si>
    <t xml:space="preserve">صالح صفيان</t>
  </si>
  <si>
    <t xml:space="preserve">فهيم جمال</t>
  </si>
  <si>
    <t xml:space="preserve">شوكت</t>
  </si>
  <si>
    <t xml:space="preserve">سامي</t>
  </si>
  <si>
    <t xml:space="preserve">راشد نور</t>
  </si>
  <si>
    <t xml:space="preserve">نصر شايف</t>
  </si>
  <si>
    <t xml:space="preserve">ابو زكريا</t>
  </si>
  <si>
    <t xml:space="preserve">ناجي الضالعي</t>
  </si>
  <si>
    <t xml:space="preserve">اكرم المفلحي</t>
  </si>
  <si>
    <t xml:space="preserve">ابو ناصر</t>
  </si>
  <si>
    <t xml:space="preserve">Overdue For 
Credit
Customers</t>
  </si>
  <si>
    <t xml:space="preserve">PCMO SYN</t>
  </si>
  <si>
    <t xml:space="preserve">&gt; SR 0 &amp; &lt; SR 5001</t>
  </si>
  <si>
    <t xml:space="preserve">50 and above</t>
  </si>
  <si>
    <t xml:space="preserve">= 105% &amp; &lt; 120%</t>
  </si>
  <si>
    <t xml:space="preserve">&gt;=SR 5001&amp;&lt;SR15001</t>
  </si>
  <si>
    <t xml:space="preserve">From 30 to 49</t>
  </si>
  <si>
    <t xml:space="preserve">&gt; 120% &amp; &lt; 140%</t>
  </si>
  <si>
    <t xml:space="preserve">&gt;=SR15001&amp;&lt;SR30001</t>
  </si>
  <si>
    <t xml:space="preserve">From 20 to 29</t>
  </si>
  <si>
    <t xml:space="preserve">&gt;140% &amp; &lt; 150%</t>
  </si>
  <si>
    <t xml:space="preserve">&gt;= SAR 30,001</t>
  </si>
  <si>
    <t xml:space="preserve">Below 20</t>
  </si>
  <si>
    <t xml:space="preserve">&gt;150%</t>
  </si>
  <si>
    <t xml:space="preserve">85-100%</t>
  </si>
  <si>
    <t xml:space="preserve">100-111%</t>
  </si>
  <si>
    <t xml:space="preserve">111-131%</t>
  </si>
  <si>
    <t xml:space="preserve">131-141%</t>
  </si>
  <si>
    <t xml:space="preserve">MAY</t>
  </si>
  <si>
    <t xml:space="preserve">Out</t>
  </si>
  <si>
    <t xml:space="preserve">Target - Goals</t>
  </si>
  <si>
    <t xml:space="preserve">Tabuk </t>
  </si>
  <si>
    <t xml:space="preserve">Total</t>
  </si>
  <si>
    <t xml:space="preserve">JUN</t>
  </si>
  <si>
    <t xml:space="preserve">July</t>
  </si>
  <si>
    <t xml:space="preserve">D+wajh</t>
  </si>
  <si>
    <t xml:space="preserve">haql+B</t>
  </si>
  <si>
    <t xml:space="preserve">Jan</t>
  </si>
  <si>
    <t xml:space="preserve">تحويل</t>
  </si>
  <si>
    <t xml:space="preserve">MAR</t>
  </si>
  <si>
    <t xml:space="preserve">AUG</t>
  </si>
  <si>
    <t xml:space="preserve">Remaining</t>
  </si>
  <si>
    <t xml:space="preserve">SEP</t>
  </si>
  <si>
    <t xml:space="preserve">OCT</t>
  </si>
  <si>
    <t xml:space="preserve">الكندي</t>
  </si>
  <si>
    <t xml:space="preserve">Wajh</t>
  </si>
  <si>
    <t xml:space="preserve">Duba</t>
  </si>
  <si>
    <t xml:space="preserve">Bir</t>
  </si>
  <si>
    <t xml:space="preserve">برنامج حافز 130%</t>
  </si>
  <si>
    <t xml:space="preserve">اجازه</t>
  </si>
  <si>
    <t xml:space="preserve">500 banda</t>
  </si>
  <si>
    <t xml:space="preserve">الدور</t>
  </si>
  <si>
    <t xml:space="preserve">حواله</t>
  </si>
  <si>
    <t xml:space="preserve">ايداع الرياض</t>
  </si>
  <si>
    <t xml:space="preserve">ايداع </t>
  </si>
  <si>
    <t xml:space="preserve">حواله على الراجحي</t>
  </si>
  <si>
    <t xml:space="preserve">تحويل </t>
  </si>
  <si>
    <t xml:space="preserve">تحويل الراجحي </t>
  </si>
  <si>
    <t xml:space="preserve">تحويل ساب</t>
  </si>
  <si>
    <t xml:space="preserve">كاش</t>
  </si>
  <si>
    <t xml:space="preserve">1121+1122</t>
  </si>
  <si>
    <t xml:space="preserve">1153+1154</t>
  </si>
  <si>
    <t xml:space="preserve">تحويل الراجحي</t>
  </si>
  <si>
    <t xml:space="preserve">قاسم</t>
  </si>
  <si>
    <t xml:space="preserve">ريم الغامدي</t>
  </si>
  <si>
    <t xml:space="preserve">10w30 </t>
  </si>
  <si>
    <t xml:space="preserve">Mada </t>
  </si>
  <si>
    <t xml:space="preserve">Transfer Rajhi</t>
  </si>
  <si>
    <t xml:space="preserve">Deposit</t>
  </si>
  <si>
    <t xml:space="preserve">Transfer Riyadh</t>
  </si>
  <si>
    <t xml:space="preserve">المويه 1</t>
  </si>
  <si>
    <t xml:space="preserve">مريم البلوي</t>
  </si>
  <si>
    <t xml:space="preserve">transfer  SAB</t>
  </si>
  <si>
    <t xml:space="preserve">عائشه البلوي</t>
  </si>
  <si>
    <t xml:space="preserve">transfer </t>
  </si>
  <si>
    <t xml:space="preserve">Mada</t>
  </si>
  <si>
    <t xml:space="preserve">deposit</t>
  </si>
  <si>
    <t xml:space="preserve">Transfer</t>
  </si>
  <si>
    <t xml:space="preserve"> السداد</t>
  </si>
  <si>
    <t xml:space="preserve">depsit</t>
  </si>
  <si>
    <t xml:space="preserve">MADA</t>
  </si>
  <si>
    <t xml:space="preserve">TRANSFER</t>
  </si>
  <si>
    <t xml:space="preserve">Show prices for Total oils</t>
  </si>
  <si>
    <t xml:space="preserve">Discount</t>
  </si>
  <si>
    <t xml:space="preserve">Code </t>
  </si>
  <si>
    <t xml:space="preserve">Description</t>
  </si>
  <si>
    <t xml:space="preserve">API</t>
  </si>
  <si>
    <t xml:space="preserve">Price </t>
  </si>
  <si>
    <t xml:space="preserve">Net price </t>
  </si>
  <si>
    <t xml:space="preserve">After VAT</t>
  </si>
  <si>
    <t xml:space="preserve">Quantity </t>
  </si>
  <si>
    <t xml:space="preserve">Mineral</t>
  </si>
  <si>
    <t xml:space="preserve">QUARTZ 5000  SL  10W30  24B  1L</t>
  </si>
  <si>
    <t xml:space="preserve">SL</t>
  </si>
  <si>
    <t xml:space="preserve">QUARTZ 5000  SL  20W50  24B  1L</t>
  </si>
  <si>
    <t xml:space="preserve">QUARTZ 5000 SL 15W40 24B1L TOT 15A</t>
  </si>
  <si>
    <t xml:space="preserve">QUARTZ 5000  SN 15W40  </t>
  </si>
  <si>
    <t xml:space="preserve">SN</t>
  </si>
  <si>
    <t xml:space="preserve">Synthetic </t>
  </si>
  <si>
    <t xml:space="preserve">QUARTZ 9000  5W40  </t>
  </si>
  <si>
    <t xml:space="preserve">A3-B4</t>
  </si>
  <si>
    <t xml:space="preserve">HI- PERF 4T 500  20W40  12B 1L  SN</t>
  </si>
  <si>
    <t xml:space="preserve">QUARTZ 9000   0W16 12B  1L      </t>
  </si>
  <si>
    <t xml:space="preserve">SP</t>
  </si>
  <si>
    <t xml:space="preserve">QUARTZ 7000 10W40  (Non-promo)</t>
  </si>
  <si>
    <t xml:space="preserve">QUARTZ 7000 10W40 (promo)</t>
  </si>
  <si>
    <t xml:space="preserve">QUARTZ 9000FUT.GF5  5W30 12B1L </t>
  </si>
  <si>
    <t xml:space="preserve">QUARTZ 9000FUT.GF6 5W30 12B1L  (P)</t>
  </si>
  <si>
    <t xml:space="preserve">QUARTZ 9000   5W30   (Dexos) SP</t>
  </si>
  <si>
    <t xml:space="preserve">QUARTZ 9000   5W30  (Dexos)    SQ  </t>
  </si>
  <si>
    <t xml:space="preserve">QUARTZ 9000   5W30  (Dexos)    SQ  (P)</t>
  </si>
  <si>
    <t xml:space="preserve">QUARTZ 9000   5W30  (Dexos)    SP  (P)</t>
  </si>
  <si>
    <t xml:space="preserve">SQ</t>
  </si>
  <si>
    <t xml:space="preserve">QUARTZ INEO HTC 5W30 12B1L TOT C</t>
  </si>
  <si>
    <t xml:space="preserve">QUARTZ INEO  HTC 5W30  (Diesel or Gasoline)</t>
  </si>
  <si>
    <t xml:space="preserve">C3</t>
  </si>
  <si>
    <t xml:space="preserve">QUARTZ INEO  MC3  5W30  (Diesel or Gasoline)</t>
  </si>
  <si>
    <t xml:space="preserve">Brand  Total Oils </t>
  </si>
  <si>
    <t xml:space="preserve">QUARTZ 9000   GF7    5W20        SQ</t>
  </si>
  <si>
    <t xml:space="preserve">QUARTZ 9000   GF6    5W20        SP</t>
  </si>
  <si>
    <t xml:space="preserve">QUARTZ 9000FUT .GF7  0W20    SQ</t>
  </si>
  <si>
    <t xml:space="preserve">Quartz 9000 X.F. FGC     0W20  Dexos  SQ</t>
  </si>
  <si>
    <t xml:space="preserve">QUARTZ 9000FUT .GF6  0W20   SP</t>
  </si>
  <si>
    <t xml:space="preserve">Diesel</t>
  </si>
  <si>
    <t xml:space="preserve">RUBIA FLEET HD 500  20W50  6B  5L </t>
  </si>
  <si>
    <t xml:space="preserve">CH</t>
  </si>
  <si>
    <t xml:space="preserve">RUBIA FLEET HD 500  20W50  6B  4L </t>
  </si>
  <si>
    <t xml:space="preserve">RUBIA FLEET HD 500  25W50  6B  4L</t>
  </si>
  <si>
    <t xml:space="preserve">RUBIA FLEET HD 500  25W50  6B  5L </t>
  </si>
  <si>
    <t xml:space="preserve">RUBIA FLEET HD 500  15W40  6B  5L  </t>
  </si>
  <si>
    <t xml:space="preserve">RUBIA FLEET HD 500  15W40  6B  4L </t>
  </si>
  <si>
    <t xml:space="preserve">RUBIA FLEET HD 500  15W40  12B  1L </t>
  </si>
  <si>
    <t xml:space="preserve">RUBIA OPT. 1100 HZX 15W-40  6B 5L</t>
  </si>
  <si>
    <t xml:space="preserve">CK</t>
  </si>
  <si>
    <t xml:space="preserve">RUBIA TIR 7400   15W40  6B  5L  </t>
  </si>
  <si>
    <t xml:space="preserve">CI</t>
  </si>
  <si>
    <t xml:space="preserve">Gear oil</t>
  </si>
  <si>
    <t xml:space="preserve">TRANSTEC 4 SAE  140  6B  4L </t>
  </si>
  <si>
    <t xml:space="preserve">TRANSTEC 4 SAE   90   6B  4L </t>
  </si>
  <si>
    <t xml:space="preserve">TRAX. GEAR 9 FE SAE 75W 12B  IL </t>
  </si>
  <si>
    <t xml:space="preserve">ATF</t>
  </si>
  <si>
    <t xml:space="preserve">FLUIDMATIC   DIII  MV 12B  1L</t>
  </si>
  <si>
    <t xml:space="preserve">FLUIDMATIC   LV    MV 12B  1L</t>
  </si>
  <si>
    <t xml:space="preserve">FLUIDMATIC   CVT  MV 12B 1L </t>
  </si>
  <si>
    <t xml:space="preserve">FLUIDMATIC   LV    MV 12B1L TOT AE</t>
  </si>
  <si>
    <t xml:space="preserve">FLUIDMATIC   CVT  MV 12B1L TOT C</t>
  </si>
  <si>
    <t xml:space="preserve">FLUIDMATIC   DCT  MV 12B 1L</t>
  </si>
  <si>
    <t xml:space="preserve">Hydraulic  </t>
  </si>
  <si>
    <t xml:space="preserve">HYDRAULIC   68  6B  4L </t>
  </si>
  <si>
    <t xml:space="preserve">HYDRAULIC   37 6B  4L </t>
  </si>
  <si>
    <t xml:space="preserve">Coolant</t>
  </si>
  <si>
    <t xml:space="preserve">COOLTECH   50%  6B  4L  </t>
  </si>
  <si>
    <t xml:space="preserve">COOLELF ECO BS Green -26C</t>
  </si>
  <si>
    <t xml:space="preserve">COOLELF Auto SUPRA -37C</t>
  </si>
  <si>
    <r>
      <rPr>
        <b val="true"/>
        <sz val="11"/>
        <color rgb="FF000000"/>
        <rFont val="Calibri"/>
        <family val="2"/>
        <charset val="1"/>
      </rPr>
      <t xml:space="preserve">COOLELF ECO BS Red -37C  50</t>
    </r>
    <r>
      <rPr>
        <b val="true"/>
        <sz val="11"/>
        <color rgb="FF000000"/>
        <rFont val="FreeSans"/>
        <family val="2"/>
      </rPr>
      <t xml:space="preserve">٪</t>
    </r>
  </si>
  <si>
    <t xml:space="preserve">Grease</t>
  </si>
  <si>
    <t xml:space="preserve">Multis EP2 Grease  12B  1K</t>
  </si>
  <si>
    <t xml:space="preserve">Multis Purpose  Grease  NLGI 2 1B  15K</t>
  </si>
  <si>
    <t xml:space="preserve">Multis Purpose  Grease  NLGI 2 1B  18K</t>
  </si>
  <si>
    <t xml:space="preserve">Adblue</t>
  </si>
  <si>
    <t xml:space="preserve">DEF /Adblue  10L</t>
  </si>
  <si>
    <t xml:space="preserve">Brakes  </t>
  </si>
  <si>
    <t xml:space="preserve">HBF 4  DOT 4  24B   0.25L  </t>
  </si>
  <si>
    <t xml:space="preserve">Total before VAT</t>
  </si>
  <si>
    <t xml:space="preserve">Signature :-</t>
  </si>
  <si>
    <t xml:space="preserve">VAT </t>
  </si>
  <si>
    <t xml:space="preserve">Total after VAT</t>
  </si>
  <si>
    <t xml:space="preserve">Quantity</t>
  </si>
  <si>
    <t xml:space="preserve">DEO 4L</t>
  </si>
  <si>
    <r>
      <rPr>
        <sz val="11"/>
        <color theme="1"/>
        <rFont val="FreeSans"/>
        <family val="2"/>
      </rPr>
      <t xml:space="preserve">المويه </t>
    </r>
    <r>
      <rPr>
        <sz val="11"/>
        <color theme="1"/>
        <rFont val="Calibri"/>
        <family val="2"/>
        <charset val="178"/>
      </rPr>
      <t xml:space="preserve">1</t>
    </r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</si>
</sst>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_-* #,##0.00_-;\-* #,##0.00_-;_-* \-??_-;_-@_-"/>
    <numFmt numFmtId="166" formatCode="[$-809]dd\ mmmm\ yyyy;@"/>
    <numFmt numFmtId="167" formatCode="0"/>
    <numFmt numFmtId="168" formatCode="General"/>
    <numFmt numFmtId="169" formatCode="0.00"/>
    <numFmt numFmtId="170" formatCode="0.0%"/>
    <numFmt numFmtId="171" formatCode="0%"/>
    <numFmt numFmtId="172" formatCode="0.00%"/>
    <numFmt numFmtId="173" formatCode="#,##0.##"/>
    <numFmt numFmtId="174" formatCode="m/d/yyyy"/>
    <numFmt numFmtId="175" formatCode="0.0000"/>
    <numFmt numFmtId="176" formatCode="d\-mmm"/>
    <numFmt numFmtId="177" formatCode="0.0"/>
    <numFmt numFmtId="178" formatCode="[$-2000401]0"/>
    <numFmt numFmtId="179" formatCode="[$-409]d/m/yyyy\ h:mm\ AM/PM;@"/>
    <numFmt numFmtId="180" formatCode="#,##0.00"/>
    <numFmt numFmtId="181" formatCode="0.000"/>
    <numFmt numFmtId="182" formatCode="yyyy\-mm\-dd"/>
  </numFmts>
  <fonts count="132">
    <font>
      <sz val="11"/>
      <color theme="1"/>
      <name val="Calibri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78"/>
    </font>
    <font>
      <b val="true"/>
      <sz val="18"/>
      <color theme="1"/>
      <name val="Calibri"/>
      <family val="2"/>
      <charset val="178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2"/>
      <charset val="178"/>
    </font>
    <font>
      <b val="true"/>
      <sz val="14"/>
      <color theme="1"/>
      <name val="FreeSans"/>
      <family val="2"/>
      <charset val="1"/>
    </font>
    <font>
      <b val="true"/>
      <sz val="8"/>
      <color theme="1"/>
      <name val="Calibri"/>
      <family val="2"/>
      <charset val="178"/>
    </font>
    <font>
      <b val="true"/>
      <sz val="9"/>
      <color theme="0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0"/>
      <color theme="1"/>
      <name val="FreeSans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1"/>
      <name val="Calibri"/>
      <family val="2"/>
      <charset val="178"/>
    </font>
    <font>
      <b val="true"/>
      <sz val="12"/>
      <color theme="1" tint="0.4999"/>
      <name val="Calibri"/>
      <family val="2"/>
      <charset val="178"/>
    </font>
    <font>
      <b val="true"/>
      <sz val="12"/>
      <color theme="1"/>
      <name val="Calibri"/>
      <family val="2"/>
      <charset val="178"/>
    </font>
    <font>
      <sz val="12"/>
      <color theme="1"/>
      <name val="Calibri"/>
      <family val="2"/>
      <charset val="178"/>
    </font>
    <font>
      <b val="true"/>
      <sz val="11"/>
      <color theme="0"/>
      <name val="Calibri"/>
      <family val="2"/>
      <charset val="178"/>
    </font>
    <font>
      <b val="true"/>
      <sz val="11"/>
      <color rgb="FF0070C0"/>
      <name val="Calibri"/>
      <family val="2"/>
      <charset val="178"/>
    </font>
    <font>
      <b val="true"/>
      <sz val="16"/>
      <color theme="1"/>
      <name val="Calibri"/>
      <family val="2"/>
      <charset val="178"/>
    </font>
    <font>
      <b val="true"/>
      <sz val="14"/>
      <color rgb="FF222222"/>
      <name val="Arial"/>
      <family val="0"/>
      <charset val="1"/>
    </font>
    <font>
      <b val="true"/>
      <sz val="10"/>
      <color theme="1"/>
      <name val="Calibri"/>
      <family val="2"/>
      <charset val="178"/>
    </font>
    <font>
      <b val="true"/>
      <u val="single"/>
      <sz val="16"/>
      <color theme="0"/>
      <name val="Calibri"/>
      <family val="2"/>
      <charset val="178"/>
    </font>
    <font>
      <b val="true"/>
      <sz val="14"/>
      <color theme="0"/>
      <name val="Calibri"/>
      <family val="2"/>
      <charset val="178"/>
    </font>
    <font>
      <b val="true"/>
      <sz val="16"/>
      <color theme="0"/>
      <name val="Calibri"/>
      <family val="2"/>
      <charset val="178"/>
    </font>
    <font>
      <b val="true"/>
      <sz val="10"/>
      <color rgb="FF0070C0"/>
      <name val="Calibri"/>
      <family val="2"/>
      <charset val="178"/>
    </font>
    <font>
      <b val="true"/>
      <sz val="16"/>
      <color rgb="FFF2F2F2"/>
      <name val="Calibri"/>
      <family val="2"/>
    </font>
    <font>
      <sz val="9"/>
      <color rgb="FFD9D9D9"/>
      <name val="Calibri"/>
      <family val="2"/>
    </font>
    <font>
      <b val="true"/>
      <sz val="11"/>
      <color rgb="FFFFFFFF"/>
      <name val="FreeSans"/>
      <family val="2"/>
    </font>
    <font>
      <b val="true"/>
      <sz val="11"/>
      <color rgb="FFFFFFFF"/>
      <name val="Cambria"/>
      <family val="0"/>
      <charset val="1"/>
    </font>
    <font>
      <sz val="11"/>
      <color theme="1"/>
      <name val="FreeSans"/>
      <family val="2"/>
    </font>
    <font>
      <b val="true"/>
      <sz val="11"/>
      <name val="FreeSans"/>
      <family val="2"/>
    </font>
    <font>
      <b val="true"/>
      <sz val="11"/>
      <name val="Cambria"/>
      <family val="0"/>
      <charset val="1"/>
    </font>
    <font>
      <b val="true"/>
      <sz val="16"/>
      <color theme="1" tint="0.2499"/>
      <name val="Calibri"/>
      <family val="0"/>
      <charset val="1"/>
    </font>
    <font>
      <sz val="11"/>
      <color theme="1" tint="0.4999"/>
      <name val="Calibri"/>
      <family val="2"/>
      <charset val="1"/>
    </font>
    <font>
      <b val="true"/>
      <sz val="14"/>
      <color theme="1" tint="0.2499"/>
      <name val="Calibri"/>
      <family val="0"/>
      <charset val="1"/>
    </font>
    <font>
      <sz val="11"/>
      <color theme="1" tint="0.2499"/>
      <name val="Calibri"/>
      <family val="0"/>
      <charset val="1"/>
    </font>
    <font>
      <b val="true"/>
      <sz val="12"/>
      <color rgb="FF0070C0"/>
      <name val="Calibri"/>
      <family val="2"/>
      <charset val="178"/>
    </font>
    <font>
      <sz val="11"/>
      <color theme="9" tint="-0.5"/>
      <name val="Calibri"/>
      <family val="0"/>
      <charset val="1"/>
    </font>
    <font>
      <b val="true"/>
      <sz val="14"/>
      <color theme="1" tint="0.2499"/>
      <name val="Calibri"/>
      <family val="2"/>
      <charset val="1"/>
    </font>
    <font>
      <sz val="11"/>
      <color theme="1" tint="0.2499"/>
      <name val="Calibri"/>
      <family val="2"/>
      <charset val="1"/>
    </font>
    <font>
      <b val="true"/>
      <sz val="12"/>
      <color rgb="FF0070C0"/>
      <name val="Calibri"/>
      <family val="0"/>
      <charset val="1"/>
    </font>
    <font>
      <sz val="12"/>
      <color theme="9" tint="-0.5"/>
      <name val="Calibri"/>
      <family val="0"/>
      <charset val="1"/>
    </font>
    <font>
      <b val="true"/>
      <sz val="11"/>
      <color theme="0"/>
      <name val="Calibri"/>
      <family val="2"/>
      <charset val="1"/>
    </font>
    <font>
      <sz val="9"/>
      <color rgb="FF595959"/>
      <name val="Calibri"/>
      <family val="2"/>
    </font>
    <font>
      <sz val="12"/>
      <color theme="1"/>
      <name val="Calibri"/>
      <family val="2"/>
      <charset val="1"/>
    </font>
    <font>
      <b val="true"/>
      <sz val="10"/>
      <color rgb="FF00B0F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b val="true"/>
      <sz val="10"/>
      <color rgb="FF0070C0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8"/>
      <color theme="1"/>
      <name val="Calibri"/>
      <family val="2"/>
      <charset val="178"/>
    </font>
    <font>
      <b val="true"/>
      <sz val="12"/>
      <color theme="1"/>
      <name val="FreeSans"/>
      <family val="2"/>
      <charset val="1"/>
    </font>
    <font>
      <sz val="12"/>
      <color rgb="FF111111"/>
      <name val="Arial"/>
      <family val="0"/>
      <charset val="1"/>
    </font>
    <font>
      <b val="true"/>
      <sz val="12"/>
      <color theme="1"/>
      <name val="FreeSans"/>
      <family val="2"/>
    </font>
    <font>
      <b val="true"/>
      <sz val="12"/>
      <color rgb="FF0070C0"/>
      <name val="Calibri"/>
      <family val="2"/>
      <charset val="1"/>
    </font>
    <font>
      <sz val="12"/>
      <color theme="1"/>
      <name val="FreeSans"/>
      <family val="2"/>
      <charset val="1"/>
    </font>
    <font>
      <b val="true"/>
      <sz val="12"/>
      <color rgb="FF00B0F0"/>
      <name val="Calibri"/>
      <family val="2"/>
      <charset val="1"/>
    </font>
    <font>
      <sz val="11"/>
      <color rgb="FF0070C0"/>
      <name val="Calibri"/>
      <family val="2"/>
      <charset val="178"/>
    </font>
    <font>
      <sz val="11"/>
      <color theme="0"/>
      <name val="Calibri"/>
      <family val="2"/>
      <charset val="178"/>
    </font>
    <font>
      <b val="true"/>
      <sz val="12"/>
      <color rgb="FFFF0000"/>
      <name val="FreeSans"/>
      <family val="2"/>
      <charset val="1"/>
    </font>
    <font>
      <b val="true"/>
      <sz val="12"/>
      <color rgb="FF00B050"/>
      <name val="FreeSans"/>
      <family val="2"/>
      <charset val="1"/>
    </font>
    <font>
      <sz val="11"/>
      <color theme="1"/>
      <name val="FreeSans"/>
      <family val="2"/>
      <charset val="1"/>
    </font>
    <font>
      <sz val="11"/>
      <color rgb="FFFF0000"/>
      <name val="Calibri"/>
      <family val="2"/>
      <charset val="178"/>
    </font>
    <font>
      <b val="true"/>
      <sz val="12"/>
      <color rgb="FF00B050"/>
      <name val="Calibri"/>
      <family val="2"/>
      <charset val="1"/>
    </font>
    <font>
      <sz val="11"/>
      <color rgb="FF00B050"/>
      <name val="Calibri"/>
      <family val="2"/>
      <charset val="178"/>
    </font>
    <font>
      <b val="true"/>
      <sz val="11"/>
      <color theme="1"/>
      <name val="FreeSans"/>
      <family val="2"/>
      <charset val="1"/>
    </font>
    <font>
      <b val="true"/>
      <sz val="12"/>
      <color rgb="FF7030A0"/>
      <name val="FreeSans"/>
      <family val="2"/>
      <charset val="1"/>
    </font>
    <font>
      <b val="true"/>
      <sz val="12"/>
      <color rgb="FF7030A0"/>
      <name val="Calibri"/>
      <family val="2"/>
      <charset val="1"/>
    </font>
    <font>
      <b val="true"/>
      <sz val="12"/>
      <color theme="7"/>
      <name val="Calibri"/>
      <family val="2"/>
      <charset val="1"/>
    </font>
    <font>
      <b val="true"/>
      <sz val="12"/>
      <color theme="2" tint="-0.5"/>
      <name val="FreeSans"/>
      <family val="2"/>
      <charset val="1"/>
    </font>
    <font>
      <b val="true"/>
      <sz val="12"/>
      <color theme="2" tint="-0.5"/>
      <name val="Calibri"/>
      <family val="2"/>
      <charset val="1"/>
    </font>
    <font>
      <sz val="11"/>
      <color rgb="FFFF0000"/>
      <name val="FreeSans"/>
      <family val="2"/>
      <charset val="1"/>
    </font>
    <font>
      <sz val="10"/>
      <color theme="1"/>
      <name val="FreeSans"/>
      <family val="2"/>
      <charset val="1"/>
    </font>
    <font>
      <b val="true"/>
      <sz val="12"/>
      <color rgb="FF00B0F0"/>
      <name val="Calibri"/>
      <family val="2"/>
      <charset val="178"/>
    </font>
    <font>
      <b val="true"/>
      <sz val="9"/>
      <color rgb="FF0070C0"/>
      <name val="Calibri"/>
      <family val="2"/>
      <charset val="1"/>
    </font>
    <font>
      <b val="true"/>
      <sz val="8"/>
      <color rgb="FF0070C0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2"/>
      <color rgb="FF0070C0"/>
      <name val="FreeSans"/>
      <family val="2"/>
      <charset val="1"/>
    </font>
    <font>
      <b val="true"/>
      <sz val="11"/>
      <color rgb="FF00B0F0"/>
      <name val="Calibri"/>
      <family val="2"/>
      <charset val="178"/>
    </font>
    <font>
      <b val="true"/>
      <sz val="8"/>
      <color rgb="FF00B0F0"/>
      <name val="Calibri"/>
      <family val="2"/>
      <charset val="178"/>
    </font>
    <font>
      <b val="true"/>
      <sz val="12"/>
      <color rgb="FFC00000"/>
      <name val="FreeSans"/>
      <family val="2"/>
      <charset val="1"/>
    </font>
    <font>
      <b val="true"/>
      <sz val="12"/>
      <color rgb="FFFF0000"/>
      <name val="Calibri"/>
      <family val="2"/>
      <charset val="178"/>
    </font>
    <font>
      <b val="true"/>
      <u val="single"/>
      <sz val="12"/>
      <color theme="0"/>
      <name val="Calibri"/>
      <family val="2"/>
      <charset val="178"/>
    </font>
    <font>
      <b val="true"/>
      <sz val="11"/>
      <color rgb="FF00B050"/>
      <name val="Calibri"/>
      <family val="2"/>
      <charset val="1"/>
    </font>
    <font>
      <b val="true"/>
      <sz val="12"/>
      <color theme="0"/>
      <name val="Calibri"/>
      <family val="2"/>
      <charset val="178"/>
    </font>
    <font>
      <b val="true"/>
      <sz val="11"/>
      <color theme="1"/>
      <name val="Calibri"/>
      <family val="2"/>
      <charset val="1"/>
    </font>
    <font>
      <sz val="10"/>
      <color theme="1"/>
      <name val="Calibri"/>
      <family val="2"/>
      <charset val="178"/>
    </font>
    <font>
      <sz val="9"/>
      <color theme="1"/>
      <name val="Calibri"/>
      <family val="2"/>
      <charset val="1"/>
    </font>
    <font>
      <b val="true"/>
      <sz val="9"/>
      <color rgb="FF00B050"/>
      <name val="Calibri"/>
      <family val="2"/>
      <charset val="1"/>
    </font>
    <font>
      <sz val="12"/>
      <color rgb="FFFF000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0"/>
      <color rgb="FFFF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2"/>
      <color rgb="FF0070C0"/>
      <name val="Calibri"/>
      <family val="2"/>
      <charset val="1"/>
    </font>
    <font>
      <sz val="12"/>
      <color rgb="FF0070C0"/>
      <name val="FreeSans"/>
      <family val="2"/>
      <charset val="1"/>
    </font>
    <font>
      <sz val="12"/>
      <color rgb="FF0070C0"/>
      <name val="Calibri"/>
      <family val="2"/>
      <charset val="178"/>
    </font>
    <font>
      <b val="true"/>
      <sz val="11"/>
      <color rgb="FFFF0000"/>
      <name val="Calibri"/>
      <family val="2"/>
      <charset val="178"/>
    </font>
    <font>
      <b val="true"/>
      <sz val="11"/>
      <color rgb="FF00B050"/>
      <name val="Calibri"/>
      <family val="2"/>
      <charset val="178"/>
    </font>
    <font>
      <sz val="12"/>
      <name val="Calibri"/>
      <family val="2"/>
      <charset val="1"/>
    </font>
    <font>
      <sz val="12"/>
      <name val="FreeSans"/>
      <family val="2"/>
      <charset val="1"/>
    </font>
    <font>
      <sz val="12"/>
      <name val="Calibri"/>
      <family val="2"/>
      <charset val="178"/>
    </font>
    <font>
      <b val="true"/>
      <sz val="10"/>
      <color rgb="FF00B050"/>
      <name val="Calibri"/>
      <family val="2"/>
      <charset val="1"/>
    </font>
    <font>
      <sz val="11"/>
      <color rgb="FF00B050"/>
      <name val="Calibri"/>
      <family val="2"/>
      <charset val="1"/>
    </font>
    <font>
      <b val="true"/>
      <u val="single"/>
      <sz val="12"/>
      <color theme="0"/>
      <name val="FreeSans"/>
      <family val="2"/>
      <charset val="1"/>
    </font>
    <font>
      <sz val="12"/>
      <color rgb="FF00B0F0"/>
      <name val="Calibri"/>
      <family val="2"/>
      <charset val="1"/>
    </font>
    <font>
      <b val="true"/>
      <sz val="14"/>
      <color rgb="FF0070C0"/>
      <name val="Calibri"/>
      <family val="2"/>
      <charset val="178"/>
    </font>
    <font>
      <b val="true"/>
      <sz val="10"/>
      <color rgb="FF00B0F0"/>
      <name val="Calibri"/>
      <family val="2"/>
      <charset val="178"/>
    </font>
    <font>
      <b val="true"/>
      <sz val="10"/>
      <color rgb="FFFF0000"/>
      <name val="Calibri"/>
      <family val="2"/>
      <charset val="178"/>
    </font>
    <font>
      <sz val="10"/>
      <name val="Arial"/>
      <family val="2"/>
    </font>
    <font>
      <sz val="10"/>
      <name val="FreeSans"/>
      <family val="2"/>
    </font>
    <font>
      <b val="true"/>
      <sz val="22"/>
      <color theme="1"/>
      <name val="Calibri"/>
      <family val="2"/>
      <charset val="1"/>
    </font>
    <font>
      <b val="true"/>
      <u val="single"/>
      <sz val="14"/>
      <color theme="8"/>
      <name val="Calibri"/>
      <family val="2"/>
      <charset val="1"/>
    </font>
    <font>
      <b val="true"/>
      <sz val="8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4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9"/>
      <color rgb="FFFF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b val="true"/>
      <sz val="11"/>
      <color rgb="FF000000"/>
      <name val="FreeSans"/>
      <family val="2"/>
    </font>
    <font>
      <b val="true"/>
      <sz val="11"/>
      <color rgb="FF0070C0"/>
      <name val="Calibri"/>
      <family val="2"/>
      <charset val="1"/>
    </font>
    <font>
      <b val="true"/>
      <sz val="14"/>
      <color rgb="FF00B0F0"/>
      <name val="Calibri"/>
      <family val="2"/>
      <charset val="1"/>
    </font>
    <font>
      <b val="true"/>
      <sz val="20"/>
      <color theme="8"/>
      <name val="Calibri"/>
      <family val="2"/>
      <charset val="1"/>
    </font>
    <font>
      <b val="true"/>
      <u val="single"/>
      <sz val="16"/>
      <color rgb="FFFF0000"/>
      <name val="Calibri"/>
      <family val="2"/>
      <charset val="1"/>
    </font>
    <font>
      <b val="true"/>
      <u val="single"/>
      <sz val="11"/>
      <color rgb="FFFF0000"/>
      <name val="Calibri"/>
      <family val="2"/>
      <charset val="1"/>
    </font>
    <font>
      <b val="true"/>
      <sz val="8"/>
      <color theme="1"/>
      <name val="Calibri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00B050"/>
        <bgColor rgb="FF00B0F0"/>
      </patternFill>
    </fill>
    <fill>
      <patternFill patternType="solid">
        <fgColor rgb="FF00B0F0"/>
        <bgColor rgb="FF49ACC8"/>
      </patternFill>
    </fill>
    <fill>
      <patternFill patternType="solid">
        <fgColor theme="9"/>
        <bgColor rgb="FFFF9135"/>
      </patternFill>
    </fill>
    <fill>
      <patternFill patternType="solid">
        <fgColor theme="2" tint="-0.1"/>
        <bgColor rgb="FFD9D9D9"/>
      </patternFill>
    </fill>
    <fill>
      <patternFill patternType="solid">
        <fgColor theme="4" tint="0.7999"/>
        <bgColor rgb="FFE5E5E5"/>
      </patternFill>
    </fill>
    <fill>
      <patternFill patternType="solid">
        <fgColor theme="0"/>
        <bgColor rgb="FFF2F2F2"/>
      </patternFill>
    </fill>
    <fill>
      <patternFill patternType="solid">
        <fgColor theme="0" tint="-0.1"/>
        <bgColor rgb="FFE5E5E5"/>
      </patternFill>
    </fill>
    <fill>
      <patternFill patternType="solid">
        <fgColor theme="4" tint="0.5999"/>
        <bgColor rgb="FFB7DEE8"/>
      </patternFill>
    </fill>
    <fill>
      <patternFill patternType="solid">
        <fgColor theme="5" tint="0.7999"/>
        <bgColor rgb="FFE6E0EC"/>
      </patternFill>
    </fill>
    <fill>
      <patternFill patternType="solid">
        <fgColor theme="1" tint="0.8999"/>
        <bgColor rgb="FFE6E6E6"/>
      </patternFill>
    </fill>
    <fill>
      <patternFill patternType="solid">
        <fgColor rgb="FF0070C0"/>
        <bgColor rgb="FF317FC2"/>
      </patternFill>
    </fill>
    <fill>
      <patternFill patternType="solid">
        <fgColor rgb="FF1F3864"/>
        <bgColor rgb="FF404040"/>
      </patternFill>
    </fill>
    <fill>
      <patternFill patternType="solid">
        <fgColor theme="2"/>
        <bgColor rgb="FFEBF1DE"/>
      </patternFill>
    </fill>
    <fill>
      <patternFill patternType="solid">
        <fgColor theme="9" tint="0.7999"/>
        <bgColor rgb="FFEEECE1"/>
      </patternFill>
    </fill>
    <fill>
      <patternFill patternType="solid">
        <fgColor theme="3" tint="0.5999"/>
        <bgColor rgb="FF99CCFF"/>
      </patternFill>
    </fill>
    <fill>
      <patternFill patternType="solid">
        <fgColor theme="8" tint="0.5999"/>
        <bgColor rgb="FFB9CDE5"/>
      </patternFill>
    </fill>
    <fill>
      <patternFill patternType="solid">
        <fgColor theme="6" tint="0.7999"/>
        <bgColor rgb="FFEEECE1"/>
      </patternFill>
    </fill>
    <fill>
      <patternFill patternType="solid">
        <fgColor theme="1"/>
        <bgColor rgb="FF111111"/>
      </patternFill>
    </fill>
    <fill>
      <patternFill patternType="solid">
        <fgColor theme="7" tint="0.7999"/>
        <bgColor rgb="FFE5E5E5"/>
      </patternFill>
    </fill>
    <fill>
      <patternFill patternType="solid">
        <fgColor theme="6"/>
        <bgColor rgb="FF9CC745"/>
      </patternFill>
    </fill>
    <fill>
      <patternFill patternType="solid">
        <fgColor theme="3" tint="0.3999"/>
        <bgColor rgb="FF317FC2"/>
      </patternFill>
    </fill>
    <fill>
      <patternFill patternType="solid">
        <fgColor rgb="FF92D050"/>
        <bgColor rgb="FF9CC745"/>
      </patternFill>
    </fill>
    <fill>
      <patternFill patternType="solid">
        <fgColor theme="2" tint="-0.25"/>
        <bgColor rgb="FFBFBFBF"/>
      </patternFill>
    </fill>
    <fill>
      <patternFill patternType="solid">
        <fgColor rgb="FFFF0000"/>
        <bgColor rgb="FFC00000"/>
      </patternFill>
    </fill>
    <fill>
      <patternFill patternType="solid">
        <fgColor theme="2" tint="-0.5"/>
        <bgColor rgb="FF7F7F7F"/>
      </patternFill>
    </fill>
    <fill>
      <patternFill patternType="solid">
        <fgColor theme="5" tint="0.5999"/>
        <bgColor rgb="FFC4BD97"/>
      </patternFill>
    </fill>
    <fill>
      <patternFill patternType="solid">
        <fgColor rgb="FFFFC000"/>
        <bgColor rgb="FFF79646"/>
      </patternFill>
    </fill>
  </fills>
  <borders count="125">
    <border diagonalUp="false" diagonalDown="false">
      <left/>
      <right/>
      <top/>
      <bottom/>
      <diagonal/>
    </border>
    <border diagonalUp="false" diagonalDown="false">
      <left style="medium">
        <color rgb="FFFF0000"/>
      </left>
      <right/>
      <top style="medium">
        <color rgb="FFFF0000"/>
      </top>
      <bottom/>
      <diagonal/>
    </border>
    <border diagonalUp="false" diagonalDown="false">
      <left style="thin">
        <color theme="0"/>
      </left>
      <right/>
      <top style="thick">
        <color theme="0"/>
      </top>
      <bottom/>
      <diagonal/>
    </border>
    <border diagonalUp="false" diagonalDown="false">
      <left style="thick">
        <color rgb="FF00B0F0"/>
      </left>
      <right/>
      <top style="thick">
        <color theme="0"/>
      </top>
      <bottom/>
      <diagonal/>
    </border>
    <border diagonalUp="false" diagonalDown="false">
      <left style="thin">
        <color theme="0"/>
      </left>
      <right/>
      <top style="medium">
        <color rgb="FF505050"/>
      </top>
      <bottom/>
      <diagonal/>
    </border>
    <border diagonalUp="false" diagonalDown="false">
      <left style="thin">
        <color rgb="FF505050"/>
      </left>
      <right/>
      <top style="medium">
        <color rgb="FF505050"/>
      </top>
      <bottom/>
      <diagonal/>
    </border>
    <border diagonalUp="false" diagonalDown="false">
      <left style="medium">
        <color theme="9" tint="-0.25"/>
      </left>
      <right/>
      <top style="medium">
        <color theme="9" tint="-0.25"/>
      </top>
      <bottom/>
      <diagonal/>
    </border>
    <border diagonalUp="false" diagonalDown="false">
      <left style="thin">
        <color theme="0"/>
      </left>
      <right/>
      <top style="medium">
        <color theme="9" tint="-0.25"/>
      </top>
      <bottom/>
      <diagonal/>
    </border>
    <border diagonalUp="false" diagonalDown="false">
      <left style="medium">
        <color theme="9" tint="-0.25"/>
      </left>
      <right/>
      <top style="thick">
        <color theme="0"/>
      </top>
      <bottom/>
      <diagonal/>
    </border>
    <border diagonalUp="false" diagonalDown="false">
      <left/>
      <right/>
      <top style="medium">
        <color rgb="FFFF0000"/>
      </top>
      <bottom/>
      <diagonal/>
    </border>
    <border diagonalUp="false" diagonalDown="false">
      <left style="thin">
        <color theme="0"/>
      </left>
      <right/>
      <top style="medium">
        <color rgb="FFFF0000"/>
      </top>
      <bottom/>
      <diagonal/>
    </border>
    <border diagonalUp="false" diagonalDown="false">
      <left style="thin">
        <color theme="0"/>
      </left>
      <right/>
      <top style="thin">
        <color rgb="FF505050"/>
      </top>
      <bottom/>
      <diagonal/>
    </border>
    <border diagonalUp="false" diagonalDown="false">
      <left style="thin">
        <color rgb="FF505050"/>
      </left>
      <right/>
      <top style="thin">
        <color rgb="FF505050"/>
      </top>
      <bottom/>
      <diagonal/>
    </border>
    <border diagonalUp="false" diagonalDown="false">
      <left style="thin">
        <color rgb="FF505050"/>
      </left>
      <right/>
      <top style="thin">
        <color theme="0"/>
      </top>
      <bottom/>
      <diagonal/>
    </border>
    <border diagonalUp="false" diagonalDown="false">
      <left style="thick">
        <color rgb="FF00B0F0"/>
      </left>
      <right/>
      <top style="thin">
        <color rgb="FF505050"/>
      </top>
      <bottom/>
      <diagonal/>
    </border>
    <border diagonalUp="false" diagonalDown="false">
      <left style="medium">
        <color rgb="FFFFFF00"/>
      </left>
      <right/>
      <top style="medium">
        <color rgb="FF505050"/>
      </top>
      <bottom/>
      <diagonal/>
    </border>
    <border diagonalUp="false" diagonalDown="false">
      <left style="medium">
        <color theme="9" tint="-0.25"/>
      </left>
      <right/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 diagonalUp="false" diagonalDown="false">
      <left style="thin">
        <color rgb="FF505050"/>
      </left>
      <right/>
      <top style="medium">
        <color rgb="FFFF0000"/>
      </top>
      <bottom/>
      <diagonal/>
    </border>
    <border diagonalUp="false" diagonalDown="false">
      <left style="thick">
        <color rgb="FF00B0F0"/>
      </left>
      <right/>
      <top style="medium">
        <color rgb="FFFF0000"/>
      </top>
      <bottom/>
      <diagonal/>
    </border>
    <border diagonalUp="false" diagonalDown="false">
      <left style="medium">
        <color rgb="FFFFFF00"/>
      </left>
      <right/>
      <top style="medium">
        <color rgb="FFFF0000"/>
      </top>
      <bottom/>
      <diagonal/>
    </border>
    <border diagonalUp="false" diagonalDown="false">
      <left style="medium">
        <color theme="9" tint="-0.25"/>
      </left>
      <right/>
      <top style="medium">
        <color rgb="FFFF0000"/>
      </top>
      <bottom/>
      <diagonal/>
    </border>
    <border diagonalUp="false" diagonalDown="false">
      <left style="medium">
        <color rgb="FFFFFF00"/>
      </left>
      <right/>
      <top style="thin">
        <color rgb="FF505050"/>
      </top>
      <bottom/>
      <diagonal/>
    </border>
    <border diagonalUp="false" diagonalDown="false">
      <left style="medium">
        <color theme="9" tint="-0.25"/>
      </left>
      <right/>
      <top style="thin">
        <color rgb="FF505050"/>
      </top>
      <bottom/>
      <diagonal/>
    </border>
    <border diagonalUp="false" diagonalDown="false">
      <left style="thin">
        <color rgb="FF505050"/>
      </left>
      <right/>
      <top style="thin">
        <color rgb="FF505050"/>
      </top>
      <bottom style="medium">
        <color rgb="FFFF0000"/>
      </bottom>
      <diagonal/>
    </border>
    <border diagonalUp="false" diagonalDown="false">
      <left style="thick">
        <color rgb="FF00B0F0"/>
      </left>
      <right/>
      <top style="thin">
        <color rgb="FF505050"/>
      </top>
      <bottom style="medium">
        <color rgb="FFFF0000"/>
      </bottom>
      <diagonal/>
    </border>
    <border diagonalUp="false" diagonalDown="false">
      <left style="medium">
        <color rgb="FFFFFF00"/>
      </left>
      <right/>
      <top style="thin">
        <color rgb="FF505050"/>
      </top>
      <bottom style="medium">
        <color rgb="FFFF0000"/>
      </bottom>
      <diagonal/>
    </border>
    <border diagonalUp="false" diagonalDown="false">
      <left style="medium">
        <color theme="9" tint="-0.25"/>
      </left>
      <right/>
      <top style="thin">
        <color rgb="FF505050"/>
      </top>
      <bottom style="medium">
        <color rgb="FFFF0000"/>
      </bottom>
      <diagonal/>
    </border>
    <border diagonalUp="false" diagonalDown="false">
      <left style="medium">
        <color theme="9" tint="-0.25"/>
      </left>
      <right/>
      <top style="thin">
        <color theme="0"/>
      </top>
      <bottom style="medium">
        <color rgb="FFFF0000"/>
      </bottom>
      <diagonal/>
    </border>
    <border diagonalUp="false" diagonalDown="false">
      <left style="thin">
        <color theme="0"/>
      </left>
      <right/>
      <top style="thin">
        <color theme="0"/>
      </top>
      <bottom style="medium">
        <color rgb="FFFF0000"/>
      </bottom>
      <diagonal/>
    </border>
    <border diagonalUp="false" diagonalDown="false">
      <left/>
      <right/>
      <top/>
      <bottom style="medium">
        <color rgb="FFFF0000"/>
      </bottom>
      <diagonal/>
    </border>
    <border diagonalUp="false" diagonalDown="false">
      <left style="thin">
        <color rgb="FF505050"/>
      </left>
      <right/>
      <top/>
      <bottom/>
      <diagonal/>
    </border>
    <border diagonalUp="false" diagonalDown="false">
      <left style="thick">
        <color rgb="FF00B0F0"/>
      </left>
      <right/>
      <top/>
      <bottom/>
      <diagonal/>
    </border>
    <border diagonalUp="false" diagonalDown="false">
      <left style="medium">
        <color rgb="FFFFFF00"/>
      </left>
      <right/>
      <top/>
      <bottom/>
      <diagonal/>
    </border>
    <border diagonalUp="false" diagonalDown="false">
      <left style="medium">
        <color theme="9" tint="-0.25"/>
      </left>
      <right/>
      <top/>
      <bottom/>
      <diagonal/>
    </border>
    <border diagonalUp="false" diagonalDown="false">
      <left style="thin">
        <color theme="0"/>
      </left>
      <right/>
      <top/>
      <bottom/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 diagonalUp="false" diagonalDown="false">
      <left style="thin">
        <color theme="1"/>
      </left>
      <right style="thin">
        <color theme="1"/>
      </right>
      <top/>
      <bottom style="thin">
        <color theme="1"/>
      </bottom>
      <diagonal/>
    </border>
    <border diagonalUp="false" diagonalDown="false">
      <left style="medium">
        <color theme="3" tint="0.3999"/>
      </left>
      <right style="medium">
        <color theme="3" tint="0.3999"/>
      </right>
      <top style="medium">
        <color theme="3" tint="0.3999"/>
      </top>
      <bottom style="medium">
        <color theme="3" tint="0.3999"/>
      </bottom>
      <diagonal/>
    </border>
    <border diagonalUp="false" diagonalDown="false">
      <left/>
      <right/>
      <top style="medium">
        <color theme="3" tint="0.3999"/>
      </top>
      <bottom style="medium">
        <color theme="3" tint="0.3999"/>
      </bottom>
      <diagonal/>
    </border>
    <border diagonalUp="false" diagonalDown="false">
      <left style="thin">
        <color rgb="FF505050"/>
      </left>
      <right/>
      <top style="thin">
        <color rgb="FF505050"/>
      </top>
      <bottom style="thin">
        <color rgb="FF505050"/>
      </bottom>
      <diagonal/>
    </border>
    <border diagonalUp="false" diagonalDown="false">
      <left style="thin">
        <color theme="3" tint="0.3999"/>
      </left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 style="thin">
        <color theme="3" tint="0.3999"/>
      </right>
      <top style="thin">
        <color theme="3" tint="0.3999"/>
      </top>
      <bottom style="thin">
        <color theme="3" tint="0.3999"/>
      </bottom>
      <diagonal/>
    </border>
    <border diagonalUp="false" diagonalDown="false">
      <left/>
      <right style="thin">
        <color rgb="FF505050"/>
      </right>
      <top style="thin">
        <color rgb="FF505050"/>
      </top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/>
      <diagonal/>
    </border>
    <border diagonalUp="false" diagonalDown="false">
      <left style="thin">
        <color theme="3" tint="0.3999"/>
      </left>
      <right style="thin">
        <color theme="3" tint="0.3999"/>
      </right>
      <top/>
      <bottom/>
      <diagonal/>
    </border>
    <border diagonalUp="false" diagonalDown="false">
      <left style="thin">
        <color theme="0" tint="-0.25"/>
      </left>
      <right/>
      <top/>
      <bottom/>
      <diagonal/>
    </border>
    <border diagonalUp="false" diagonalDown="false">
      <left/>
      <right style="thin">
        <color rgb="FF00B050"/>
      </right>
      <top/>
      <bottom/>
      <diagonal/>
    </border>
    <border diagonalUp="false" diagonalDown="false">
      <left/>
      <right style="thin">
        <color rgb="FF00B0F0"/>
      </right>
      <top/>
      <bottom/>
      <diagonal/>
    </border>
    <border diagonalUp="false" diagonalDown="false">
      <left/>
      <right style="thin">
        <color rgb="FFFFFF00"/>
      </right>
      <top/>
      <bottom/>
      <diagonal/>
    </border>
    <border diagonalUp="false" diagonalDown="false">
      <left/>
      <right style="medium">
        <color rgb="FF505050"/>
      </right>
      <top style="medium">
        <color rgb="FF505050"/>
      </top>
      <bottom/>
      <diagonal/>
    </border>
    <border diagonalUp="false" diagonalDown="false">
      <left style="medium">
        <color rgb="FF505050"/>
      </left>
      <right/>
      <top style="medium">
        <color rgb="FF505050"/>
      </top>
      <bottom/>
      <diagonal/>
    </border>
    <border diagonalUp="false" diagonalDown="false">
      <left/>
      <right style="medium">
        <color rgb="FF505050"/>
      </right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>
        <color rgb="FF505050"/>
      </left>
      <right/>
      <top/>
      <bottom/>
      <diagonal/>
    </border>
    <border diagonalUp="false" diagonalDown="false">
      <left style="thin">
        <color rgb="FF505050"/>
      </left>
      <right style="thin">
        <color rgb="FF505050"/>
      </right>
      <top style="thin">
        <color rgb="FF505050"/>
      </top>
      <bottom/>
      <diagonal/>
    </border>
    <border diagonalUp="false" diagonalDown="false">
      <left style="thin">
        <color rgb="FF505050"/>
      </left>
      <right/>
      <top/>
      <bottom style="thin">
        <color rgb="FF505050"/>
      </bottom>
      <diagonal/>
    </border>
    <border diagonalUp="false" diagonalDown="false">
      <left/>
      <right style="thin">
        <color rgb="FF505050"/>
      </right>
      <top style="thin">
        <color rgb="FF505050"/>
      </top>
      <bottom style="thin">
        <color rgb="FF505050"/>
      </bottom>
      <diagonal/>
    </border>
    <border diagonalUp="false" diagonalDown="false">
      <left style="thin">
        <color rgb="FF505050"/>
      </left>
      <right style="thin">
        <color rgb="FF505050"/>
      </right>
      <top/>
      <bottom/>
      <diagonal/>
    </border>
    <border diagonalUp="false" diagonalDown="false"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 diagonalUp="false" diagonalDown="false">
      <left/>
      <right/>
      <top style="thin">
        <color rgb="FF505050"/>
      </top>
      <bottom/>
      <diagonal/>
    </border>
    <border diagonalUp="false" diagonalDown="false">
      <left style="thin">
        <color theme="8" tint="0.5999"/>
      </left>
      <right style="thin">
        <color theme="8" tint="0.5999"/>
      </right>
      <top style="thin">
        <color theme="8" tint="0.5999"/>
      </top>
      <bottom style="thin">
        <color theme="8" tint="0.5999"/>
      </bottom>
      <diagonal/>
    </border>
    <border diagonalUp="false" diagonalDown="false">
      <left/>
      <right/>
      <top/>
      <bottom style="medium">
        <color theme="1"/>
      </bottom>
      <diagonal/>
    </border>
    <border diagonalUp="false" diagonalDown="false">
      <left style="medium">
        <color theme="1"/>
      </left>
      <right/>
      <top style="medium">
        <color theme="1"/>
      </top>
      <bottom/>
      <diagonal/>
    </border>
    <border diagonalUp="false" diagonalDown="false">
      <left/>
      <right/>
      <top style="medium">
        <color theme="1"/>
      </top>
      <bottom/>
      <diagonal/>
    </border>
    <border diagonalUp="false" diagonalDown="false">
      <left/>
      <right style="medium">
        <color theme="1"/>
      </right>
      <top style="medium">
        <color theme="1"/>
      </top>
      <bottom style="medium"/>
      <diagonal/>
    </border>
    <border diagonalUp="false" diagonalDown="false">
      <left style="thin">
        <color rgb="FF00B050"/>
      </left>
      <right/>
      <top style="thin">
        <color rgb="FF00B050"/>
      </top>
      <bottom/>
      <diagonal/>
    </border>
    <border diagonalUp="false" diagonalDown="false">
      <left style="medium">
        <color rgb="FF00B050"/>
      </left>
      <right/>
      <top style="thin">
        <color rgb="FF00B050"/>
      </top>
      <bottom/>
      <diagonal/>
    </border>
    <border diagonalUp="false" diagonalDown="false">
      <left style="dotted">
        <color rgb="FF92D050"/>
      </left>
      <right style="dotted">
        <color rgb="FF92D050"/>
      </right>
      <top style="thin">
        <color rgb="FF00B050"/>
      </top>
      <bottom style="dotted">
        <color rgb="FF92D050"/>
      </bottom>
      <diagonal/>
    </border>
    <border diagonalUp="false" diagonalDown="false">
      <left style="dotted">
        <color rgb="FF92D050"/>
      </left>
      <right style="dotted">
        <color rgb="FF92D050"/>
      </right>
      <top/>
      <bottom style="dotted">
        <color rgb="FF92D050"/>
      </bottom>
      <diagonal/>
    </border>
    <border diagonalUp="false" diagonalDown="false">
      <left style="dotted">
        <color rgb="FF92D050"/>
      </left>
      <right style="dotted">
        <color rgb="FF92D050"/>
      </right>
      <top style="dotted">
        <color rgb="FF92D050"/>
      </top>
      <bottom style="dotted">
        <color rgb="FF92D050"/>
      </bottom>
      <diagonal/>
    </border>
    <border diagonalUp="false" diagonalDown="false">
      <left style="dotted">
        <color rgb="FF92D050"/>
      </left>
      <right style="thin">
        <color rgb="FF00B050"/>
      </right>
      <top style="thin">
        <color rgb="FF00B050"/>
      </top>
      <bottom style="dotted">
        <color rgb="FF92D050"/>
      </bottom>
      <diagonal/>
    </border>
    <border diagonalUp="false" diagonalDown="false">
      <left style="dotted">
        <color rgb="FF92D050"/>
      </left>
      <right style="thin">
        <color rgb="FF00B050"/>
      </right>
      <top style="dotted">
        <color rgb="FF92D050"/>
      </top>
      <bottom style="dotted">
        <color rgb="FF92D050"/>
      </bottom>
      <diagonal/>
    </border>
    <border diagonalUp="false" diagonalDown="false">
      <left style="medium">
        <color rgb="FF92D050"/>
      </left>
      <right/>
      <top/>
      <bottom/>
      <diagonal/>
    </border>
    <border diagonalUp="false" diagonalDown="false">
      <left style="dotted">
        <color rgb="FF92D050"/>
      </left>
      <right style="dotted">
        <color rgb="FF92D050"/>
      </right>
      <top style="dotted">
        <color rgb="FF92D050"/>
      </top>
      <bottom/>
      <diagonal/>
    </border>
    <border diagonalUp="false" diagonalDown="false">
      <left style="dotted">
        <color rgb="FF92D050"/>
      </left>
      <right style="thin">
        <color rgb="FF00B050"/>
      </right>
      <top style="dotted">
        <color rgb="FF92D050"/>
      </top>
      <bottom/>
      <diagonal/>
    </border>
    <border diagonalUp="false" diagonalDown="false">
      <left style="thin">
        <color rgb="FF00B0F0"/>
      </left>
      <right/>
      <top style="thin">
        <color rgb="FF00B0F0"/>
      </top>
      <bottom/>
      <diagonal/>
    </border>
    <border diagonalUp="false" diagonalDown="false">
      <left style="medium">
        <color rgb="FF00B0F0"/>
      </left>
      <right/>
      <top style="thin">
        <color rgb="FF00B0F0"/>
      </top>
      <bottom/>
      <diagonal/>
    </border>
    <border diagonalUp="false" diagonalDown="false">
      <left style="dotted">
        <color rgb="FF00B0F0"/>
      </left>
      <right style="dotted">
        <color rgb="FF00B0F0"/>
      </right>
      <top style="thin">
        <color rgb="FF00B0F0"/>
      </top>
      <bottom style="dotted">
        <color rgb="FF00B0F0"/>
      </bottom>
      <diagonal/>
    </border>
    <border diagonalUp="false" diagonalDown="false">
      <left style="dotted">
        <color rgb="FF00B0F0"/>
      </left>
      <right style="thin">
        <color rgb="FF00B0F0"/>
      </right>
      <top style="thin">
        <color rgb="FF00B0F0"/>
      </top>
      <bottom style="dotted">
        <color rgb="FF00B0F0"/>
      </bottom>
      <diagonal/>
    </border>
    <border diagonalUp="false" diagonalDown="false">
      <left style="medium">
        <color rgb="FF00B0F0"/>
      </left>
      <right/>
      <top/>
      <bottom/>
      <diagonal/>
    </border>
    <border diagonalUp="false" diagonalDown="false">
      <left style="dotted">
        <color rgb="FF00B0F0"/>
      </left>
      <right style="dotted">
        <color rgb="FF00B0F0"/>
      </right>
      <top/>
      <bottom style="dotted">
        <color rgb="FF00B0F0"/>
      </bottom>
      <diagonal/>
    </border>
    <border diagonalUp="false" diagonalDown="false">
      <left style="dotted">
        <color rgb="FF00B0F0"/>
      </left>
      <right style="dotted">
        <color rgb="FF00B0F0"/>
      </right>
      <top style="dotted">
        <color rgb="FF00B0F0"/>
      </top>
      <bottom style="dotted">
        <color rgb="FF00B0F0"/>
      </bottom>
      <diagonal/>
    </border>
    <border diagonalUp="false" diagonalDown="false">
      <left style="dotted">
        <color rgb="FF00B0F0"/>
      </left>
      <right style="thin">
        <color rgb="FF00B0F0"/>
      </right>
      <top style="dotted">
        <color rgb="FF00B0F0"/>
      </top>
      <bottom style="dotted">
        <color rgb="FF00B0F0"/>
      </bottom>
      <diagonal/>
    </border>
    <border diagonalUp="false" diagonalDown="false">
      <left/>
      <right style="medium">
        <color theme="1"/>
      </right>
      <top style="medium"/>
      <bottom/>
      <diagonal/>
    </border>
    <border diagonalUp="false" diagonalDown="false">
      <left style="dotted">
        <color rgb="FF00B0F0"/>
      </left>
      <right style="dotted">
        <color rgb="FF00B0F0"/>
      </right>
      <top style="dotted">
        <color rgb="FF00B0F0"/>
      </top>
      <bottom/>
      <diagonal/>
    </border>
    <border diagonalUp="false" diagonalDown="false">
      <left style="dotted">
        <color rgb="FF00B050"/>
      </left>
      <right style="dotted">
        <color rgb="FF00B050"/>
      </right>
      <top style="thin">
        <color rgb="FF00B050"/>
      </top>
      <bottom style="dotted">
        <color rgb="FF00B050"/>
      </bottom>
      <diagonal/>
    </border>
    <border diagonalUp="false" diagonalDown="false">
      <left style="dotted">
        <color rgb="FF00B050"/>
      </left>
      <right style="thin">
        <color rgb="FF00B050"/>
      </right>
      <top style="thin">
        <color rgb="FF00B050"/>
      </top>
      <bottom style="dotted">
        <color rgb="FF00B050"/>
      </bottom>
      <diagonal/>
    </border>
    <border diagonalUp="false" diagonalDown="false">
      <left style="dotted">
        <color rgb="FF00B050"/>
      </left>
      <right style="dotted">
        <color rgb="FF00B050"/>
      </right>
      <top style="dotted">
        <color rgb="FF00B050"/>
      </top>
      <bottom style="dotted">
        <color rgb="FF00B050"/>
      </bottom>
      <diagonal/>
    </border>
    <border diagonalUp="false" diagonalDown="false">
      <left style="dotted">
        <color rgb="FF00B050"/>
      </left>
      <right style="thin">
        <color rgb="FF00B050"/>
      </right>
      <top style="dotted">
        <color rgb="FF00B050"/>
      </top>
      <bottom style="dotted">
        <color rgb="FF00B050"/>
      </bottom>
      <diagonal/>
    </border>
    <border diagonalUp="false" diagonalDown="false">
      <left style="dotted">
        <color rgb="FF00B050"/>
      </left>
      <right style="dotted">
        <color rgb="FF00B050"/>
      </right>
      <top style="dotted">
        <color rgb="FF00B050"/>
      </top>
      <bottom/>
      <diagonal/>
    </border>
    <border diagonalUp="false" diagonalDown="false">
      <left style="thin">
        <color rgb="FFFFC000"/>
      </left>
      <right/>
      <top style="thin">
        <color rgb="FFFFC000"/>
      </top>
      <bottom/>
      <diagonal/>
    </border>
    <border diagonalUp="false" diagonalDown="false">
      <left/>
      <right/>
      <top style="thin">
        <color rgb="FFFFC000"/>
      </top>
      <bottom/>
      <diagonal/>
    </border>
    <border diagonalUp="false" diagonalDown="false">
      <left style="dotted">
        <color rgb="FFFFC000"/>
      </left>
      <right style="dotted">
        <color rgb="FFFFC000"/>
      </right>
      <top style="thin">
        <color rgb="FFFFC000"/>
      </top>
      <bottom/>
      <diagonal/>
    </border>
    <border diagonalUp="false" diagonalDown="false">
      <left style="dotted">
        <color rgb="FFFFC000"/>
      </left>
      <right style="thin">
        <color rgb="FFFFC000"/>
      </right>
      <top style="thin">
        <color rgb="FFFFC000"/>
      </top>
      <bottom/>
      <diagonal/>
    </border>
    <border diagonalUp="false" diagonalDown="false">
      <left style="dotted">
        <color rgb="FFFFC000"/>
      </left>
      <right style="dotted">
        <color rgb="FFFFC000"/>
      </right>
      <top style="dotted">
        <color rgb="FFFFC000"/>
      </top>
      <bottom style="dotted">
        <color rgb="FFFFC000"/>
      </bottom>
      <diagonal/>
    </border>
    <border diagonalUp="false" diagonalDown="false">
      <left style="dotted">
        <color rgb="FFFFC000"/>
      </left>
      <right style="dotted">
        <color rgb="FFFFC000"/>
      </right>
      <top/>
      <bottom/>
      <diagonal/>
    </border>
    <border diagonalUp="false" diagonalDown="false">
      <left style="dotted">
        <color rgb="FFFFC000"/>
      </left>
      <right style="thin">
        <color rgb="FFFFC000"/>
      </right>
      <top/>
      <bottom/>
      <diagonal/>
    </border>
    <border diagonalUp="false" diagonalDown="false">
      <left style="dotted">
        <color rgb="FF00B0F0"/>
      </left>
      <right/>
      <top style="thin">
        <color rgb="FF00B0F0"/>
      </top>
      <bottom style="dotted">
        <color rgb="FF00B0F0"/>
      </bottom>
      <diagonal/>
    </border>
    <border diagonalUp="false" diagonalDown="false">
      <left style="dotted">
        <color rgb="FF00B0F0"/>
      </left>
      <right/>
      <top style="dotted">
        <color rgb="FF00B0F0"/>
      </top>
      <bottom style="dotted">
        <color rgb="FF00B0F0"/>
      </bottom>
      <diagonal/>
    </border>
    <border diagonalUp="false" diagonalDown="false">
      <left style="dotted">
        <color rgb="FF00B0F0"/>
      </left>
      <right style="dotted">
        <color rgb="FF00B0F0"/>
      </right>
      <top style="thin">
        <color rgb="FF00B0F0"/>
      </top>
      <bottom/>
      <diagonal/>
    </border>
    <border diagonalUp="false" diagonalDown="false">
      <left style="dotted">
        <color rgb="FF00B0F0"/>
      </left>
      <right/>
      <top style="dotted">
        <color rgb="FF00B0F0"/>
      </top>
      <bottom/>
      <diagonal/>
    </border>
    <border diagonalUp="false" diagonalDown="false">
      <left style="dotted">
        <color rgb="FF00B0F0"/>
      </left>
      <right style="thin">
        <color rgb="FF00B0F0"/>
      </right>
      <top style="dotted">
        <color rgb="FF00B0F0"/>
      </top>
      <bottom/>
      <diagonal/>
    </border>
    <border diagonalUp="false" diagonalDown="false">
      <left/>
      <right/>
      <top style="thin">
        <color theme="9" tint="-0.25"/>
      </top>
      <bottom style="thin">
        <color rgb="FF00B050"/>
      </bottom>
      <diagonal/>
    </border>
    <border diagonalUp="false" diagonalDown="false"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 diagonalUp="false" diagonalDown="false">
      <left/>
      <right style="thin">
        <color rgb="FF00B0F0"/>
      </right>
      <top style="thin">
        <color rgb="FF00B0F0"/>
      </top>
      <bottom style="thin">
        <color rgb="FF00B0F0"/>
      </bottom>
      <diagonal/>
    </border>
    <border diagonalUp="false" diagonalDown="false"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 diagonalUp="false" diagonalDown="false">
      <left style="thin">
        <color rgb="FF00B0F0"/>
      </left>
      <right style="thin">
        <color rgb="FF00B0F0"/>
      </right>
      <top style="thin">
        <color rgb="FF00B0F0"/>
      </top>
      <bottom/>
      <diagonal/>
    </border>
    <border diagonalUp="false" diagonalDown="false">
      <left/>
      <right style="thin">
        <color theme="9"/>
      </right>
      <top style="thin">
        <color rgb="FF00B050"/>
      </top>
      <bottom/>
      <diagonal/>
    </border>
    <border diagonalUp="false" diagonalDown="false"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 diagonalUp="false" diagonalDown="false">
      <left/>
      <right/>
      <top/>
      <bottom style="thin">
        <color theme="9" tint="-0.25"/>
      </bottom>
      <diagonal/>
    </border>
    <border diagonalUp="false" diagonalDown="false">
      <left style="dotted">
        <color rgb="FF00B050"/>
      </left>
      <right style="dotted">
        <color rgb="FF00B050"/>
      </right>
      <top/>
      <bottom/>
      <diagonal/>
    </border>
    <border diagonalUp="false" diagonalDown="false">
      <left style="dotted">
        <color rgb="FF00B050"/>
      </left>
      <right/>
      <top/>
      <bottom/>
      <diagonal/>
    </border>
    <border diagonalUp="false" diagonalDown="false">
      <left style="dotted">
        <color rgb="FFFFC000"/>
      </left>
      <right style="thin">
        <color rgb="FF00B050"/>
      </right>
      <top/>
      <bottom/>
      <diagonal/>
    </border>
    <border diagonalUp="false" diagonalDown="false">
      <left style="thin">
        <color theme="9" tint="-0.25"/>
      </left>
      <right style="thin">
        <color theme="9" tint="-0.25"/>
      </right>
      <top style="thin">
        <color theme="9" tint="-0.25"/>
      </top>
      <bottom style="thin">
        <color theme="9" tint="-0.25"/>
      </bottom>
      <diagonal/>
    </border>
    <border diagonalUp="false" diagonalDown="false">
      <left style="medium">
        <color rgb="FF505050"/>
      </left>
      <right style="dotted">
        <color rgb="FF505050"/>
      </right>
      <top/>
      <bottom style="dotted">
        <color rgb="FF505050"/>
      </bottom>
      <diagonal/>
    </border>
    <border diagonalUp="false" diagonalDown="false">
      <left style="dotted">
        <color rgb="FF505050"/>
      </left>
      <right style="medium">
        <color rgb="FF505050"/>
      </right>
      <top/>
      <bottom style="dotted">
        <color rgb="FF505050"/>
      </bottom>
      <diagonal/>
    </border>
    <border diagonalUp="false" diagonalDown="false">
      <left style="medium">
        <color rgb="FF505050"/>
      </left>
      <right style="dotted">
        <color rgb="FF505050"/>
      </right>
      <top style="dotted">
        <color rgb="FF505050"/>
      </top>
      <bottom style="dotted">
        <color rgb="FF505050"/>
      </bottom>
      <diagonal/>
    </border>
    <border diagonalUp="false" diagonalDown="false">
      <left style="dotted">
        <color rgb="FF505050"/>
      </left>
      <right style="dotted">
        <color rgb="FF505050"/>
      </right>
      <top style="dotted">
        <color rgb="FF505050"/>
      </top>
      <bottom style="dotted">
        <color rgb="FF505050"/>
      </bottom>
      <diagonal/>
    </border>
    <border diagonalUp="false" diagonalDown="false">
      <left style="dotted">
        <color rgb="FF505050"/>
      </left>
      <right style="medium">
        <color rgb="FF505050"/>
      </right>
      <top style="dotted">
        <color rgb="FF505050"/>
      </top>
      <bottom style="dotted">
        <color rgb="FF505050"/>
      </bottom>
      <diagonal/>
    </border>
    <border diagonalUp="false" diagonalDown="false">
      <left style="medium">
        <color rgb="FF505050"/>
      </left>
      <right style="dotted">
        <color rgb="FF505050"/>
      </right>
      <top style="dotted">
        <color rgb="FF505050"/>
      </top>
      <bottom style="medium">
        <color rgb="FF505050"/>
      </bottom>
      <diagonal/>
    </border>
    <border diagonalUp="false" diagonalDown="false">
      <left style="dotted">
        <color rgb="FF505050"/>
      </left>
      <right style="medium">
        <color rgb="FF505050"/>
      </right>
      <top style="dotted">
        <color rgb="FF505050"/>
      </top>
      <bottom style="medium">
        <color rgb="FF50505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6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9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9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9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9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6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9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9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9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6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9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9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9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6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6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9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9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9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6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6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6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9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1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6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12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2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12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12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3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9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9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9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9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9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8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8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8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8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8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9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4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3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4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9" fillId="5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4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8" borderId="4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1" fillId="8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3" fillId="5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8" fillId="15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15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9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13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17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7" borderId="5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4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4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5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7" fillId="15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15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9" fillId="0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9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7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57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0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0" fillId="15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0" fillId="18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0" fillId="19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1" fillId="2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0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8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3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8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5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2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3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6" fillId="8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9" fillId="0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9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3" fillId="1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6" fillId="19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1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8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8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9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0" fillId="8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9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9" fillId="1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0" fillId="19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1" fillId="8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2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3" fillId="8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2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1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4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4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1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7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4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" borderId="5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7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8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2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7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8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19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0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8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0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0" fillId="1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19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0" fillId="19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1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0" fillId="8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3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2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5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85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86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7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23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23" borderId="5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71" fontId="6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9" fillId="15" borderId="5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1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9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0" fillId="15" borderId="6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1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6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3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5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1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9" fillId="15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9" fillId="15" borderId="6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24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2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0" fillId="2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0" fillId="2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6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0" fillId="2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57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3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25" borderId="1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25" borderId="4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5" borderId="6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25" borderId="6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0" fillId="2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4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9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25" borderId="6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25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0" fillId="25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5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0" fillId="25" borderId="6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5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0" fillId="25" borderId="6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9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15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9" fillId="2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0" fillId="2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9" fillId="25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9" fillId="2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8" fillId="2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0" fillId="2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9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2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1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0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6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7" fillId="20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4" fillId="2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7" fillId="20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7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8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2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0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25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5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0" fillId="2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9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4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10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50" fillId="2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0" fillId="25" borderId="6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9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5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17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9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7" fillId="15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15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6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26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16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16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8" fillId="0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2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6" fillId="0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9" fillId="15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0" fillId="0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0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38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8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9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5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6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6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8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8" fillId="0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0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22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0" borderId="6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4" fillId="0" borderId="6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6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15" fillId="9" borderId="6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6" fillId="9" borderId="6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9" borderId="6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8" fillId="9" borderId="6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9" borderId="6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5" fillId="9" borderId="6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3" fillId="9" borderId="68" xfId="0" applyFont="true" applyBorder="true" applyAlignment="true" applyProtection="false">
      <alignment horizontal="left" vertical="center" textRotation="90" wrapText="false" indent="0" shrinkToFit="false"/>
      <protection locked="true" hidden="false"/>
    </xf>
    <xf numFmtId="164" fontId="13" fillId="3" borderId="69" xfId="0" applyFont="true" applyBorder="true" applyAlignment="true" applyProtection="false">
      <alignment horizontal="center" vertical="center" textRotation="90" wrapText="false" indent="0" shrinkToFit="false" readingOrder="1"/>
      <protection locked="true" hidden="false"/>
    </xf>
    <xf numFmtId="169" fontId="119" fillId="9" borderId="7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0" fillId="8" borderId="7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7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7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7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7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7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7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0" fillId="8" borderId="7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7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7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7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7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7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19" fillId="9" borderId="7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8" fillId="0" borderId="7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8" fillId="0" borderId="7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9" fillId="9" borderId="7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0" fillId="8" borderId="7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7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7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7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7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7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7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79" xfId="0" applyFont="true" applyBorder="true" applyAlignment="true" applyProtection="false">
      <alignment horizontal="center" vertical="center" textRotation="90" wrapText="false" indent="0" shrinkToFit="false" readingOrder="1"/>
      <protection locked="true" hidden="false"/>
    </xf>
    <xf numFmtId="169" fontId="119" fillId="9" borderId="8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0" fillId="8" borderId="8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8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8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8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8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8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8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19" fillId="9" borderId="8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0" fillId="8" borderId="8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8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8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8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8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0" fillId="8" borderId="8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8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8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8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8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8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19" fillId="9" borderId="8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8" borderId="8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3" fillId="8" borderId="8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8" borderId="8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4" fillId="9" borderId="87" xfId="0" applyFont="true" applyBorder="true" applyAlignment="true" applyProtection="false">
      <alignment horizontal="center" vertical="center" textRotation="90" wrapText="false" indent="0" shrinkToFit="false" readingOrder="1"/>
      <protection locked="true" hidden="false"/>
    </xf>
    <xf numFmtId="164" fontId="120" fillId="8" borderId="8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8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8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8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8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69" xfId="0" applyFont="true" applyBorder="true" applyAlignment="true" applyProtection="false">
      <alignment horizontal="center" vertical="center" textRotation="90" wrapText="false" indent="0" shrinkToFit="false" readingOrder="1"/>
      <protection locked="true" hidden="false"/>
    </xf>
    <xf numFmtId="164" fontId="120" fillId="8" borderId="8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8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8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8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8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8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9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0" fillId="8" borderId="9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9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9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9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9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9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9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19" fillId="9" borderId="7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0" fillId="8" borderId="9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80" fontId="121" fillId="8" borderId="9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0" fontId="121" fillId="8" borderId="9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0" fillId="8" borderId="9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80" fontId="121" fillId="8" borderId="9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0" fontId="121" fillId="8" borderId="9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9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9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1" fillId="8" borderId="9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9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29" borderId="94" xfId="0" applyFont="true" applyBorder="true" applyAlignment="true" applyProtection="false">
      <alignment horizontal="center" vertical="center" textRotation="90" wrapText="false" indent="0" shrinkToFit="false" readingOrder="1"/>
      <protection locked="true" hidden="false"/>
    </xf>
    <xf numFmtId="177" fontId="119" fillId="9" borderId="9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0" fillId="8" borderId="9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1" fillId="8" borderId="9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9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9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9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9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9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19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8" borderId="9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80" fontId="88" fillId="8" borderId="9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88" fillId="8" borderId="9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2" fillId="8" borderId="9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9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9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9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0" fillId="8" borderId="9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1" fillId="8" borderId="9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8" borderId="9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9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9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9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10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0" fillId="8" borderId="8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8" fillId="8" borderId="10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0" fillId="8" borderId="8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80" fontId="121" fillId="8" borderId="8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0" fontId="121" fillId="8" borderId="8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8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10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0" fillId="8" borderId="8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80" fontId="121" fillId="8" borderId="8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0" fontId="121" fillId="8" borderId="8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8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10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10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10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1" fillId="29" borderId="10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19" fillId="9" borderId="10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0" fillId="8" borderId="10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80" fontId="121" fillId="8" borderId="10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0" fontId="121" fillId="8" borderId="10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10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10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10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10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0" fillId="8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80" fontId="121" fillId="8" borderId="1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0" fontId="121" fillId="8" borderId="1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1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1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1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1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88" fillId="3" borderId="1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19" fillId="9" borderId="1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0" fillId="8" borderId="11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80" fontId="121" fillId="8" borderId="1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0" fontId="121" fillId="8" borderId="1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1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1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1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1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88" fillId="2" borderId="1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0" fillId="8" borderId="1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80" fontId="121" fillId="8" borderId="1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0" fontId="121" fillId="8" borderId="1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1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1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1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1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21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0" fontId="121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7" fontId="11" fillId="29" borderId="1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0" fillId="8" borderId="11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80" fontId="121" fillId="8" borderId="1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0" fontId="121" fillId="8" borderId="1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2" fillId="8" borderId="1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1" fillId="8" borderId="1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8" borderId="1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8" fillId="8" borderId="1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6" fillId="7" borderId="1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6" fillId="7" borderId="1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4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2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6" fillId="7" borderId="1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6" fillId="7" borderId="1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6" fillId="7" borderId="1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6" fillId="7" borderId="1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6" fillId="7" borderId="1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6" fillId="7" borderId="1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1" fontId="1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2" fontId="0" fillId="0" borderId="4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4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numFmt numFmtId="164" formatCode="General"/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92D050"/>
      <rgbColor rgb="FF0000FF"/>
      <rgbColor rgb="FFFFFF00"/>
      <rgbColor rgb="FFCC6D20"/>
      <rgbColor rgb="FFB7DEE8"/>
      <rgbColor rgb="FFC00000"/>
      <rgbColor rgb="FF505050"/>
      <rgbColor rgb="FFE5E5E5"/>
      <rgbColor rgb="FF779637"/>
      <rgbColor rgb="FF7B57A7"/>
      <rgbColor rgb="FF2E5F99"/>
      <rgbColor rgb="FFBFBFBF"/>
      <rgbColor rgb="FF7F7F7F"/>
      <rgbColor rgb="FF8EB4E3"/>
      <rgbColor rgb="FF7030A0"/>
      <rgbColor rgb="FFEBF1DE"/>
      <rgbColor rgb="FFDCE6F2"/>
      <rgbColor rgb="FF404040"/>
      <rgbColor rgb="FFF79646"/>
      <rgbColor rgb="FF0070C0"/>
      <rgbColor rgb="FFB9CDE5"/>
      <rgbColor rgb="FFE6E6E6"/>
      <rgbColor rgb="FFD9D9D9"/>
      <rgbColor rgb="FFDDD9C3"/>
      <rgbColor rgb="FF9BBB59"/>
      <rgbColor rgb="FF595959"/>
      <rgbColor rgb="FF984807"/>
      <rgbColor rgb="FF558ED5"/>
      <rgbColor rgb="FFE6E0EC"/>
      <rgbColor rgb="FF00B0F0"/>
      <rgbColor rgb="FFF2F2F2"/>
      <rgbColor rgb="FFEEECE1"/>
      <rgbColor rgb="FFFDEADA"/>
      <rgbColor rgb="FF99CCFF"/>
      <rgbColor rgb="FFF2DCDB"/>
      <rgbColor rgb="FFC4BD97"/>
      <rgbColor rgb="FFE6B9B8"/>
      <rgbColor rgb="FF317FC2"/>
      <rgbColor rgb="FF49ACC8"/>
      <rgbColor rgb="FF9CC745"/>
      <rgbColor rgb="FFFFC000"/>
      <rgbColor rgb="FFFF9135"/>
      <rgbColor rgb="FFE46C0A"/>
      <rgbColor rgb="FF8064A2"/>
      <rgbColor rgb="FF948A54"/>
      <rgbColor rgb="FF1F3864"/>
      <rgbColor rgb="FF00B050"/>
      <rgbColor rgb="FF111111"/>
      <rgbColor rgb="FF222222"/>
      <rgbColor rgb="FF9C2F2C"/>
      <rgbColor rgb="FFCE3A36"/>
      <rgbColor rgb="FF5E437F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600" spc="94" strike="noStrike">
                <a:solidFill>
                  <a:srgbClr val="f2f2f2"/>
                </a:solidFill>
                <a:latin typeface="Calibri"/>
              </a:defRPr>
            </a:pPr>
            <a:r>
              <a:rPr b="1" lang="en-US" sz="1600" spc="94" strike="noStrike">
                <a:solidFill>
                  <a:srgbClr val="f2f2f2"/>
                </a:solidFill>
                <a:latin typeface="Calibri"/>
              </a:rPr>
              <a:t>Quarterly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Min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numFmt formatCode="0.00" sourceLinked="0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d9d9d9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14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Q2</c:v>
                </c:pt>
                <c:pt idx="4">
                  <c:v>Target </c:v>
                </c:pt>
                <c:pt idx="5">
                  <c:v>Actual</c:v>
                </c:pt>
                <c:pt idx="6">
                  <c:v>%</c:v>
                </c:pt>
                <c:pt idx="7">
                  <c:v>Q3</c:v>
                </c:pt>
                <c:pt idx="8">
                  <c:v>Target </c:v>
                </c:pt>
                <c:pt idx="9">
                  <c:v>Actual</c:v>
                </c:pt>
                <c:pt idx="10">
                  <c:v>%</c:v>
                </c:pt>
                <c:pt idx="11">
                  <c:v>Q4</c:v>
                </c:pt>
                <c:pt idx="12">
                  <c:v>Target </c:v>
                </c:pt>
                <c:pt idx="13">
                  <c:v>Actual</c:v>
                </c:pt>
              </c:strCache>
            </c:strRef>
          </c:cat>
          <c:val>
            <c:numRef>
              <c:f>0</c:f>
              <c:numCache>
                <c:formatCode>0.00</c:formatCode>
                <c:ptCount val="14"/>
                <c:pt idx="0">
                  <c:v>3.6</c:v>
                </c:pt>
                <c:pt idx="1">
                  <c:v>9.2</c:v>
                </c:pt>
                <c:pt idx="2">
                  <c:v>2.55555555555556</c:v>
                </c:pt>
                <c:pt idx="4">
                  <c:v>3.6</c:v>
                </c:pt>
                <c:pt idx="5">
                  <c:v>11.3892857142857</c:v>
                </c:pt>
                <c:pt idx="6">
                  <c:v>3.16369047619048</c:v>
                </c:pt>
                <c:pt idx="8">
                  <c:v>2.4</c:v>
                </c:pt>
                <c:pt idx="9">
                  <c:v>7.10556257901391</c:v>
                </c:pt>
                <c:pt idx="10">
                  <c:v>2.96065107458913</c:v>
                </c:pt>
                <c:pt idx="12">
                  <c:v>3.6</c:v>
                </c:pt>
                <c:pt idx="13">
                  <c:v>11.6601769911504</c:v>
                </c:pt>
              </c:numCache>
            </c:numRef>
          </c:val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Syn</c:v>
                </c:pt>
              </c:strCache>
            </c:strRef>
          </c:tx>
          <c:spPr>
            <a:gradFill>
              <a:gsLst>
                <a:gs pos="0">
                  <a:srgbClr val="9c2f2c"/>
                </a:gs>
                <a:gs pos="80000">
                  <a:srgbClr val="cb3d39"/>
                </a:gs>
                <a:gs pos="100000">
                  <a:srgbClr val="ce3a36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numFmt formatCode="0.00" sourceLinked="0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d9d9d9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14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Q2</c:v>
                </c:pt>
                <c:pt idx="4">
                  <c:v>Target </c:v>
                </c:pt>
                <c:pt idx="5">
                  <c:v>Actual</c:v>
                </c:pt>
                <c:pt idx="6">
                  <c:v>%</c:v>
                </c:pt>
                <c:pt idx="7">
                  <c:v>Q3</c:v>
                </c:pt>
                <c:pt idx="8">
                  <c:v>Target </c:v>
                </c:pt>
                <c:pt idx="9">
                  <c:v>Actual</c:v>
                </c:pt>
                <c:pt idx="10">
                  <c:v>%</c:v>
                </c:pt>
                <c:pt idx="11">
                  <c:v>Q4</c:v>
                </c:pt>
                <c:pt idx="12">
                  <c:v>Target </c:v>
                </c:pt>
                <c:pt idx="13">
                  <c:v>Actual</c:v>
                </c:pt>
              </c:strCache>
            </c:strRef>
          </c:cat>
          <c:val>
            <c:numRef>
              <c:f>1</c:f>
              <c:numCache>
                <c:formatCode>0.00</c:formatCode>
                <c:ptCount val="14"/>
                <c:pt idx="0">
                  <c:v>1.35</c:v>
                </c:pt>
                <c:pt idx="1">
                  <c:v>2.28</c:v>
                </c:pt>
                <c:pt idx="2">
                  <c:v>1.68888888888889</c:v>
                </c:pt>
                <c:pt idx="4">
                  <c:v>1.1</c:v>
                </c:pt>
                <c:pt idx="5">
                  <c:v>1.89571428571429</c:v>
                </c:pt>
                <c:pt idx="6">
                  <c:v>1.72337662337662</c:v>
                </c:pt>
                <c:pt idx="8">
                  <c:v>1</c:v>
                </c:pt>
                <c:pt idx="9">
                  <c:v>1.46027180783818</c:v>
                </c:pt>
                <c:pt idx="10">
                  <c:v>1.46027180783818</c:v>
                </c:pt>
                <c:pt idx="12">
                  <c:v>1.5</c:v>
                </c:pt>
                <c:pt idx="13">
                  <c:v>3.33451327433628</c:v>
                </c:pt>
              </c:numCache>
            </c:numRef>
          </c:val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DEO</c:v>
                </c:pt>
              </c:strCache>
            </c:strRef>
          </c:tx>
          <c:spPr>
            <a:gradFill>
              <a:gsLst>
                <a:gs pos="0">
                  <a:srgbClr val="779637"/>
                </a:gs>
                <a:gs pos="80000">
                  <a:srgbClr val="9bc348"/>
                </a:gs>
                <a:gs pos="100000">
                  <a:srgbClr val="9cc745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numFmt formatCode="0.00" sourceLinked="0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d9d9d9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14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Q2</c:v>
                </c:pt>
                <c:pt idx="4">
                  <c:v>Target </c:v>
                </c:pt>
                <c:pt idx="5">
                  <c:v>Actual</c:v>
                </c:pt>
                <c:pt idx="6">
                  <c:v>%</c:v>
                </c:pt>
                <c:pt idx="7">
                  <c:v>Q3</c:v>
                </c:pt>
                <c:pt idx="8">
                  <c:v>Target </c:v>
                </c:pt>
                <c:pt idx="9">
                  <c:v>Actual</c:v>
                </c:pt>
                <c:pt idx="10">
                  <c:v>%</c:v>
                </c:pt>
                <c:pt idx="11">
                  <c:v>Q4</c:v>
                </c:pt>
                <c:pt idx="12">
                  <c:v>Target </c:v>
                </c:pt>
                <c:pt idx="13">
                  <c:v>Actual</c:v>
                </c:pt>
              </c:strCache>
            </c:strRef>
          </c:cat>
          <c:val>
            <c:numRef>
              <c:f>2</c:f>
              <c:numCache>
                <c:formatCode>0.00</c:formatCode>
                <c:ptCount val="14"/>
                <c:pt idx="0">
                  <c:v>12.9</c:v>
                </c:pt>
                <c:pt idx="1">
                  <c:v>3.08</c:v>
                </c:pt>
                <c:pt idx="2">
                  <c:v>0.238759689922481</c:v>
                </c:pt>
                <c:pt idx="4">
                  <c:v>12.7</c:v>
                </c:pt>
                <c:pt idx="5">
                  <c:v>3.46785714285714</c:v>
                </c:pt>
                <c:pt idx="6">
                  <c:v>0.273059617547807</c:v>
                </c:pt>
                <c:pt idx="8">
                  <c:v>8.5</c:v>
                </c:pt>
                <c:pt idx="9">
                  <c:v>2.02215549936789</c:v>
                </c:pt>
                <c:pt idx="10">
                  <c:v>0.237900646984458</c:v>
                </c:pt>
                <c:pt idx="12">
                  <c:v>13.5</c:v>
                </c:pt>
                <c:pt idx="13">
                  <c:v>3.09557522123894</c:v>
                </c:pt>
              </c:numCache>
            </c:numRef>
          </c:val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Fluids</c:v>
                </c:pt>
              </c:strCache>
            </c:strRef>
          </c:tx>
          <c:spPr>
            <a:gradFill>
              <a:gsLst>
                <a:gs pos="0">
                  <a:srgbClr val="5e437f"/>
                </a:gs>
                <a:gs pos="80000">
                  <a:srgbClr val="7b57a5"/>
                </a:gs>
                <a:gs pos="100000">
                  <a:srgbClr val="7b57a7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numFmt formatCode="0.00" sourceLinked="0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d9d9d9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14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Q2</c:v>
                </c:pt>
                <c:pt idx="4">
                  <c:v>Target </c:v>
                </c:pt>
                <c:pt idx="5">
                  <c:v>Actual</c:v>
                </c:pt>
                <c:pt idx="6">
                  <c:v>%</c:v>
                </c:pt>
                <c:pt idx="7">
                  <c:v>Q3</c:v>
                </c:pt>
                <c:pt idx="8">
                  <c:v>Target </c:v>
                </c:pt>
                <c:pt idx="9">
                  <c:v>Actual</c:v>
                </c:pt>
                <c:pt idx="10">
                  <c:v>%</c:v>
                </c:pt>
                <c:pt idx="11">
                  <c:v>Q4</c:v>
                </c:pt>
                <c:pt idx="12">
                  <c:v>Target </c:v>
                </c:pt>
                <c:pt idx="13">
                  <c:v>Actual</c:v>
                </c:pt>
              </c:strCache>
            </c:strRef>
          </c:cat>
          <c:val>
            <c:numRef>
              <c:f>3</c:f>
              <c:numCache>
                <c:formatCode>0.00</c:formatCode>
                <c:ptCount val="14"/>
                <c:pt idx="0">
                  <c:v>4.32</c:v>
                </c:pt>
                <c:pt idx="1">
                  <c:v>3.48</c:v>
                </c:pt>
                <c:pt idx="2">
                  <c:v>0.805555555555555</c:v>
                </c:pt>
                <c:pt idx="4">
                  <c:v>4.4</c:v>
                </c:pt>
                <c:pt idx="5">
                  <c:v>5.465</c:v>
                </c:pt>
                <c:pt idx="6">
                  <c:v>1.24204545454545</c:v>
                </c:pt>
                <c:pt idx="8">
                  <c:v>3.08</c:v>
                </c:pt>
                <c:pt idx="9">
                  <c:v>3.36153603034134</c:v>
                </c:pt>
                <c:pt idx="10">
                  <c:v>1.09140780205888</c:v>
                </c:pt>
                <c:pt idx="12">
                  <c:v>4.58</c:v>
                </c:pt>
                <c:pt idx="13">
                  <c:v>4.39646017699115</c:v>
                </c:pt>
              </c:numCache>
            </c:numRef>
          </c:val>
        </c:ser>
        <c:gapWidth val="150"/>
        <c:overlap val="100"/>
        <c:axId val="64872562"/>
        <c:axId val="35783760"/>
      </c:barChart>
      <c:catAx>
        <c:axId val="6487256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d9d9d9"/>
                </a:solidFill>
                <a:latin typeface="Calibri"/>
              </a:defRPr>
            </a:pPr>
          </a:p>
        </c:txPr>
        <c:crossAx val="35783760"/>
        <c:crosses val="autoZero"/>
        <c:auto val="1"/>
        <c:lblAlgn val="ctr"/>
        <c:lblOffset val="100"/>
        <c:noMultiLvlLbl val="0"/>
      </c:catAx>
      <c:valAx>
        <c:axId val="35783760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d9d9d9"/>
                </a:solidFill>
                <a:latin typeface="Calibri"/>
              </a:defRPr>
            </a:pPr>
          </a:p>
        </c:txPr>
        <c:crossAx val="6487256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d9d9d9"/>
              </a:solidFill>
              <a:latin typeface="Calibri"/>
            </a:defRPr>
          </a:pPr>
        </a:p>
      </c:txPr>
    </c:legend>
    <c:plotVisOnly val="1"/>
    <c:dispBlanksAs val="gap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600" spc="94" strike="noStrike">
                <a:solidFill>
                  <a:srgbClr val="f2f2f2"/>
                </a:solidFill>
                <a:latin typeface="Calibri"/>
              </a:defRPr>
            </a:pPr>
            <a:r>
              <a:rPr b="1" lang="en-US" sz="1600" spc="94" strike="noStrike">
                <a:solidFill>
                  <a:srgbClr val="f2f2f2"/>
                </a:solidFill>
                <a:latin typeface="Calibri"/>
              </a:rPr>
              <a:t>Half-annual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Min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numFmt formatCode="0.00" sourceLinked="0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d9d9d9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6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H 2</c:v>
                </c:pt>
                <c:pt idx="4">
                  <c:v>Target </c:v>
                </c:pt>
                <c:pt idx="5">
                  <c:v>Actual</c:v>
                </c:pt>
              </c:strCache>
            </c:strRef>
          </c:cat>
          <c:val>
            <c:numRef>
              <c:f>0</c:f>
              <c:numCache>
                <c:formatCode>0.00</c:formatCode>
                <c:ptCount val="6"/>
                <c:pt idx="0">
                  <c:v>7.2</c:v>
                </c:pt>
                <c:pt idx="1">
                  <c:v>20.5892857142857</c:v>
                </c:pt>
                <c:pt idx="2">
                  <c:v>2.85962301587302</c:v>
                </c:pt>
                <c:pt idx="4">
                  <c:v>6</c:v>
                </c:pt>
                <c:pt idx="5">
                  <c:v>18.7657395701644</c:v>
                </c:pt>
              </c:numCache>
            </c:numRef>
          </c:val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Syn</c:v>
                </c:pt>
              </c:strCache>
            </c:strRef>
          </c:tx>
          <c:spPr>
            <a:gradFill>
              <a:gsLst>
                <a:gs pos="0">
                  <a:srgbClr val="9c2f2c"/>
                </a:gs>
                <a:gs pos="80000">
                  <a:srgbClr val="cb3d39"/>
                </a:gs>
                <a:gs pos="100000">
                  <a:srgbClr val="ce3a36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numFmt formatCode="0.00" sourceLinked="0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d9d9d9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6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H 2</c:v>
                </c:pt>
                <c:pt idx="4">
                  <c:v>Target </c:v>
                </c:pt>
                <c:pt idx="5">
                  <c:v>Actual</c:v>
                </c:pt>
              </c:strCache>
            </c:strRef>
          </c:cat>
          <c:val>
            <c:numRef>
              <c:f>1</c:f>
              <c:numCache>
                <c:formatCode>0.00</c:formatCode>
                <c:ptCount val="6"/>
                <c:pt idx="0">
                  <c:v>2.45</c:v>
                </c:pt>
                <c:pt idx="1">
                  <c:v>4.17571428571429</c:v>
                </c:pt>
                <c:pt idx="2">
                  <c:v>1.70437317784257</c:v>
                </c:pt>
                <c:pt idx="4">
                  <c:v>2.5</c:v>
                </c:pt>
                <c:pt idx="5">
                  <c:v>4.79478508217446</c:v>
                </c:pt>
              </c:numCache>
            </c:numRef>
          </c:val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DEO</c:v>
                </c:pt>
              </c:strCache>
            </c:strRef>
          </c:tx>
          <c:spPr>
            <a:gradFill>
              <a:gsLst>
                <a:gs pos="0">
                  <a:srgbClr val="779637"/>
                </a:gs>
                <a:gs pos="80000">
                  <a:srgbClr val="9bc348"/>
                </a:gs>
                <a:gs pos="100000">
                  <a:srgbClr val="9cc745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numFmt formatCode="0.00" sourceLinked="0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d9d9d9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6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H 2</c:v>
                </c:pt>
                <c:pt idx="4">
                  <c:v>Target </c:v>
                </c:pt>
                <c:pt idx="5">
                  <c:v>Actual</c:v>
                </c:pt>
              </c:strCache>
            </c:strRef>
          </c:cat>
          <c:val>
            <c:numRef>
              <c:f>2</c:f>
              <c:numCache>
                <c:formatCode>0.00</c:formatCode>
                <c:ptCount val="6"/>
                <c:pt idx="0">
                  <c:v>25.6</c:v>
                </c:pt>
                <c:pt idx="1">
                  <c:v>6.54785714285714</c:v>
                </c:pt>
                <c:pt idx="2">
                  <c:v>0.255775669642857</c:v>
                </c:pt>
                <c:pt idx="4">
                  <c:v>22</c:v>
                </c:pt>
                <c:pt idx="5">
                  <c:v>5.11773072060683</c:v>
                </c:pt>
              </c:numCache>
            </c:numRef>
          </c:val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Fluids</c:v>
                </c:pt>
              </c:strCache>
            </c:strRef>
          </c:tx>
          <c:spPr>
            <a:gradFill>
              <a:gsLst>
                <a:gs pos="0">
                  <a:srgbClr val="5e437f"/>
                </a:gs>
                <a:gs pos="80000">
                  <a:srgbClr val="7b57a5"/>
                </a:gs>
                <a:gs pos="100000">
                  <a:srgbClr val="7b57a7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numFmt formatCode="0.00" sourceLinked="0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d9d9d9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6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H 2</c:v>
                </c:pt>
                <c:pt idx="4">
                  <c:v>Target </c:v>
                </c:pt>
                <c:pt idx="5">
                  <c:v>Actual</c:v>
                </c:pt>
              </c:strCache>
            </c:strRef>
          </c:cat>
          <c:val>
            <c:numRef>
              <c:f>3</c:f>
              <c:numCache>
                <c:formatCode>0.00</c:formatCode>
                <c:ptCount val="6"/>
                <c:pt idx="0">
                  <c:v>8.72</c:v>
                </c:pt>
                <c:pt idx="1">
                  <c:v>8.945</c:v>
                </c:pt>
                <c:pt idx="2">
                  <c:v>1.02580275229358</c:v>
                </c:pt>
                <c:pt idx="4">
                  <c:v>7.66</c:v>
                </c:pt>
                <c:pt idx="5">
                  <c:v>7.75799620733249</c:v>
                </c:pt>
              </c:numCache>
            </c:numRef>
          </c:val>
        </c:ser>
        <c:gapWidth val="150"/>
        <c:overlap val="100"/>
        <c:axId val="47005715"/>
        <c:axId val="89900148"/>
      </c:barChart>
      <c:catAx>
        <c:axId val="470057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d9d9d9"/>
                </a:solidFill>
                <a:latin typeface="Calibri"/>
              </a:defRPr>
            </a:pPr>
          </a:p>
        </c:txPr>
        <c:crossAx val="89900148"/>
        <c:crosses val="autoZero"/>
        <c:auto val="1"/>
        <c:lblAlgn val="ctr"/>
        <c:lblOffset val="100"/>
        <c:noMultiLvlLbl val="0"/>
      </c:catAx>
      <c:valAx>
        <c:axId val="8990014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d9d9d9"/>
                </a:solidFill>
                <a:latin typeface="Calibri"/>
              </a:defRPr>
            </a:pPr>
          </a:p>
        </c:txPr>
        <c:crossAx val="470057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d9d9d9"/>
              </a:solidFill>
              <a:latin typeface="Calibri"/>
            </a:defRPr>
          </a:pPr>
        </a:p>
      </c:txPr>
    </c:legend>
    <c:plotVisOnly val="1"/>
    <c:dispBlanksAs val="gap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Target </c:v>
                </c:pt>
              </c:strCache>
            </c:strRef>
          </c:tx>
          <c:spPr>
            <a:gradFill>
              <a:gsLst>
                <a:gs pos="0">
                  <a:srgbClr val="cc6d20"/>
                </a:gs>
                <a:gs pos="80000">
                  <a:srgbClr val="ff9033"/>
                </a:gs>
                <a:gs pos="100000">
                  <a:srgbClr val="ff9135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4"/>
                <c:pt idx="0">
                  <c:v>Min</c:v>
                </c:pt>
                <c:pt idx="1">
                  <c:v>Syn</c:v>
                </c:pt>
                <c:pt idx="2">
                  <c:v>DEO</c:v>
                </c:pt>
                <c:pt idx="3">
                  <c:v>Fluids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2.73</c:v>
                </c:pt>
                <c:pt idx="1">
                  <c:v>0.7</c:v>
                </c:pt>
                <c:pt idx="2">
                  <c:v>1.51</c:v>
                </c:pt>
                <c:pt idx="3">
                  <c:v>0.95</c:v>
                </c:pt>
              </c:numCache>
            </c:numRef>
          </c:val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Actual</c:v>
                </c:pt>
              </c:strCache>
            </c:strRef>
          </c:tx>
          <c:spPr>
            <a:gradFill>
              <a:gsLst>
                <a:gs pos="0">
                  <a:srgbClr val="2988a1"/>
                </a:gs>
                <a:gs pos="80000">
                  <a:srgbClr val="36b0d1"/>
                </a:gs>
                <a:gs pos="100000">
                  <a:srgbClr val="34b3d5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4"/>
                <c:pt idx="0">
                  <c:v>Min</c:v>
                </c:pt>
                <c:pt idx="1">
                  <c:v>Syn</c:v>
                </c:pt>
                <c:pt idx="2">
                  <c:v>DEO</c:v>
                </c:pt>
                <c:pt idx="3">
                  <c:v>Fluids</c:v>
                </c:pt>
              </c:strCache>
            </c:strRef>
          </c:cat>
          <c:val>
            <c:numRef>
              <c:f>1</c:f>
              <c:numCache>
                <c:formatCode>0.00</c:formatCode>
                <c:ptCount val="4"/>
                <c:pt idx="0">
                  <c:v>5.53198768388642</c:v>
                </c:pt>
                <c:pt idx="1">
                  <c:v>1.53714773697694</c:v>
                </c:pt>
                <c:pt idx="2">
                  <c:v>1.44</c:v>
                </c:pt>
                <c:pt idx="3">
                  <c:v>0.618733887138356</c:v>
                </c:pt>
              </c:numCache>
            </c:numRef>
          </c:val>
        </c:ser>
        <c:gapWidth val="75"/>
        <c:overlap val="-25"/>
        <c:axId val="8442067"/>
        <c:axId val="39133589"/>
      </c:barChart>
      <c:catAx>
        <c:axId val="84420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9133589"/>
        <c:crosses val="autoZero"/>
        <c:auto val="1"/>
        <c:lblAlgn val="ctr"/>
        <c:lblOffset val="100"/>
        <c:noMultiLvlLbl val="0"/>
      </c:catAx>
      <c:valAx>
        <c:axId val="391335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44206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390240</xdr:colOff>
      <xdr:row>53</xdr:row>
      <xdr:rowOff>4320</xdr:rowOff>
    </xdr:from>
    <xdr:to>
      <xdr:col>16</xdr:col>
      <xdr:colOff>287640</xdr:colOff>
      <xdr:row>62</xdr:row>
      <xdr:rowOff>87480</xdr:rowOff>
    </xdr:to>
    <xdr:graphicFrame>
      <xdr:nvGraphicFramePr>
        <xdr:cNvPr id="0" name="Chart 1"/>
        <xdr:cNvGraphicFramePr/>
      </xdr:nvGraphicFramePr>
      <xdr:xfrm>
        <a:off x="4220640" y="15482520"/>
        <a:ext cx="4542840" cy="2740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66960</xdr:colOff>
      <xdr:row>62</xdr:row>
      <xdr:rowOff>113040</xdr:rowOff>
    </xdr:from>
    <xdr:to>
      <xdr:col>14</xdr:col>
      <xdr:colOff>140040</xdr:colOff>
      <xdr:row>71</xdr:row>
      <xdr:rowOff>196920</xdr:rowOff>
    </xdr:to>
    <xdr:graphicFrame>
      <xdr:nvGraphicFramePr>
        <xdr:cNvPr id="1" name="Chart 2"/>
        <xdr:cNvGraphicFramePr/>
      </xdr:nvGraphicFramePr>
      <xdr:xfrm>
        <a:off x="4456800" y="18248760"/>
        <a:ext cx="317304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520560</xdr:colOff>
      <xdr:row>2</xdr:row>
      <xdr:rowOff>30240</xdr:rowOff>
    </xdr:from>
    <xdr:to>
      <xdr:col>6</xdr:col>
      <xdr:colOff>452880</xdr:colOff>
      <xdr:row>28</xdr:row>
      <xdr:rowOff>161280</xdr:rowOff>
    </xdr:to>
    <xdr:graphicFrame>
      <xdr:nvGraphicFramePr>
        <xdr:cNvPr id="2" name="Chart 1"/>
        <xdr:cNvGraphicFramePr/>
      </xdr:nvGraphicFramePr>
      <xdr:xfrm>
        <a:off x="3753360" y="468360"/>
        <a:ext cx="2364840" cy="267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92"/>
  <sheetViews>
    <sheetView showFormulas="false" showGridLines="true" showRowColHeaders="true" showZeros="true" rightToLeft="false" tabSelected="false" showOutlineSymbols="true" defaultGridColor="true" view="normal" topLeftCell="AC1" colorId="64" zoomScale="87" zoomScaleNormal="87" zoomScalePageLayoutView="100" workbookViewId="0">
      <pane xSplit="0" ySplit="1" topLeftCell="AC2" activePane="bottomLeft" state="frozen"/>
      <selection pane="topLeft" activeCell="AC1" activeCellId="0" sqref="AC1"/>
      <selection pane="bottomLeft" activeCell="B294" activeCellId="0" sqref="B294"/>
    </sheetView>
  </sheetViews>
  <sheetFormatPr defaultColWidth="9.01171875" defaultRowHeight="23.25" zeroHeight="false" outlineLevelRow="0" outlineLevelCol="0"/>
  <cols>
    <col collapsed="false" customWidth="true" hidden="false" outlineLevel="0" max="1" min="1" style="1" width="13.03"/>
    <col collapsed="false" customWidth="true" hidden="false" outlineLevel="0" max="3" min="2" style="2" width="17.76"/>
    <col collapsed="false" customWidth="true" hidden="false" outlineLevel="0" max="4" min="4" style="3" width="12.38"/>
    <col collapsed="false" customWidth="true" hidden="true" outlineLevel="0" max="6" min="5" style="2" width="11.03"/>
    <col collapsed="false" customWidth="true" hidden="false" outlineLevel="0" max="10" min="7" style="2" width="11.03"/>
    <col collapsed="false" customWidth="true" hidden="true" outlineLevel="0" max="11" min="11" style="2" width="8.34"/>
    <col collapsed="false" customWidth="true" hidden="false" outlineLevel="0" max="13" min="12" style="2" width="9.55"/>
    <col collapsed="false" customWidth="true" hidden="true" outlineLevel="0" max="14" min="14" style="2" width="11.03"/>
    <col collapsed="false" customWidth="true" hidden="true" outlineLevel="0" max="16" min="15" style="2" width="11.84"/>
    <col collapsed="false" customWidth="true" hidden="false" outlineLevel="0" max="20" min="17" style="2" width="11.84"/>
    <col collapsed="false" customWidth="true" hidden="true" outlineLevel="0" max="21" min="21" style="1" width="11.84"/>
    <col collapsed="false" customWidth="true" hidden="true" outlineLevel="0" max="22" min="22" style="4" width="11.84"/>
    <col collapsed="false" customWidth="true" hidden="false" outlineLevel="0" max="29" min="23" style="5" width="11.84"/>
    <col collapsed="false" customWidth="false" hidden="false" outlineLevel="0" max="16384" min="30" style="1" width="9.01"/>
  </cols>
  <sheetData>
    <row r="1" customFormat="false" ht="23.25" hidden="false" customHeight="true" outlineLevel="0" collapsed="false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10" t="s">
        <v>11</v>
      </c>
      <c r="M1" s="10" t="s">
        <v>12</v>
      </c>
      <c r="N1" s="11" t="s">
        <v>13</v>
      </c>
      <c r="O1" s="12" t="s">
        <v>14</v>
      </c>
      <c r="P1" s="11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3" t="s">
        <v>20</v>
      </c>
      <c r="V1" s="14" t="s">
        <v>21</v>
      </c>
      <c r="W1" s="14" t="s">
        <v>22</v>
      </c>
      <c r="X1" s="14" t="s">
        <v>21</v>
      </c>
      <c r="Y1" s="14" t="s">
        <v>23</v>
      </c>
      <c r="Z1" s="14" t="s">
        <v>21</v>
      </c>
      <c r="AA1" s="15" t="s">
        <v>24</v>
      </c>
      <c r="AB1" s="16" t="s">
        <v>25</v>
      </c>
      <c r="AC1" s="16" t="s">
        <v>26</v>
      </c>
    </row>
    <row r="2" customFormat="false" ht="21.75" hidden="false" customHeight="true" outlineLevel="0" collapsed="false">
      <c r="B2" s="17"/>
      <c r="C2" s="17"/>
      <c r="D2" s="18"/>
      <c r="E2" s="19" t="s">
        <v>27</v>
      </c>
      <c r="F2" s="20" t="s">
        <v>28</v>
      </c>
      <c r="G2" s="21" t="s">
        <v>27</v>
      </c>
      <c r="H2" s="21" t="s">
        <v>28</v>
      </c>
      <c r="I2" s="21" t="s">
        <v>27</v>
      </c>
      <c r="J2" s="21" t="s">
        <v>28</v>
      </c>
      <c r="K2" s="22" t="s">
        <v>27</v>
      </c>
      <c r="L2" s="23" t="s">
        <v>27</v>
      </c>
      <c r="M2" s="24"/>
      <c r="N2" s="25" t="s">
        <v>29</v>
      </c>
      <c r="O2" s="26" t="s">
        <v>30</v>
      </c>
      <c r="P2" s="26" t="s">
        <v>27</v>
      </c>
      <c r="Q2" s="26" t="s">
        <v>29</v>
      </c>
      <c r="R2" s="26" t="s">
        <v>30</v>
      </c>
      <c r="S2" s="26" t="s">
        <v>29</v>
      </c>
      <c r="T2" s="26" t="s">
        <v>30</v>
      </c>
      <c r="U2" s="27" t="s">
        <v>27</v>
      </c>
      <c r="V2" s="28" t="s">
        <v>29</v>
      </c>
      <c r="W2" s="28" t="s">
        <v>27</v>
      </c>
      <c r="X2" s="28" t="s">
        <v>29</v>
      </c>
      <c r="Y2" s="28" t="s">
        <v>27</v>
      </c>
      <c r="Z2" s="28" t="s">
        <v>29</v>
      </c>
      <c r="AA2" s="29" t="s">
        <v>31</v>
      </c>
      <c r="AB2" s="30" t="s">
        <v>31</v>
      </c>
      <c r="AC2" s="30" t="s">
        <v>31</v>
      </c>
    </row>
    <row r="3" s="41" customFormat="true" ht="23.25" hidden="false" customHeight="true" outlineLevel="0" collapsed="false">
      <c r="A3" s="31" t="n">
        <f aca="false">Data!AE2</f>
        <v>1007974</v>
      </c>
      <c r="B3" s="31" t="str">
        <f aca="false">Data!AD2</f>
        <v>سما شقري</v>
      </c>
      <c r="C3" s="31" t="n">
        <f aca="false">Data!AH2</f>
        <v>0</v>
      </c>
      <c r="D3" s="31" t="str">
        <f aca="false">Data!AF2</f>
        <v>ضباء</v>
      </c>
      <c r="E3" s="32" t="n">
        <f aca="false">SUMIFS(Data!$L$2:$L$781,Data!$H$2:$H$781,B3)</f>
        <v>0</v>
      </c>
      <c r="F3" s="33" t="n">
        <f aca="false">SUMIFS(Data!$K$2:$K$781,Data!$H$2:$H$781,B3)</f>
        <v>0</v>
      </c>
      <c r="G3" s="34" t="n">
        <f aca="false">SUMIFS(Data!$L$782:$L$2370,Data!$H$782:$H$2370,B3)</f>
        <v>0</v>
      </c>
      <c r="H3" s="33" t="n">
        <f aca="false">SUMIFS(Data!$K$782:$K$2370,Data!$H$782:$H$2370,B3)</f>
        <v>0</v>
      </c>
      <c r="I3" s="34" t="n">
        <f aca="false">SUMIFS(Data!$L$2371:$L$3999,Data!$H$2371:$H$3999,B3)</f>
        <v>0</v>
      </c>
      <c r="J3" s="33" t="n">
        <f aca="false">SUMIFS(Data!$K$2371:$K$3999,Data!$H$2371:$H$3999,B3)</f>
        <v>0</v>
      </c>
      <c r="K3" s="35" t="n">
        <f aca="false">SUMIFS(Data!$M$2:$M$781,Data!$H$2:$H$781,B3)</f>
        <v>0</v>
      </c>
      <c r="L3" s="34" t="n">
        <f aca="false">SUMIFS(Data!$M$782:$M$2370,Data!$H$782:$H$2370,B3)</f>
        <v>0</v>
      </c>
      <c r="M3" s="34" t="n">
        <f aca="false">SUMIFS(Data!$M$2371:$M$3999,Data!$H$2371:$H$3999,B3)</f>
        <v>0</v>
      </c>
      <c r="N3" s="36" t="n">
        <f aca="false">SUMIFS(Data!$O$2:$O$781,Data!$H$2:$H$781,B3)</f>
        <v>3</v>
      </c>
      <c r="O3" s="33" t="n">
        <f aca="false">SUMIFS(Data!$N$2:$N$781,Data!$H$2:$H$781,B3)</f>
        <v>1</v>
      </c>
      <c r="P3" s="34" t="n">
        <f aca="false">SUMIFS(Data!$P$2:$P$781,Data!$H$2:$H$781,B3)</f>
        <v>0</v>
      </c>
      <c r="Q3" s="33" t="n">
        <f aca="false">SUMIFS(Data!$O$782:$O$2370,Data!$H$782:$H$2370,B3)</f>
        <v>0</v>
      </c>
      <c r="R3" s="33" t="n">
        <f aca="false">SUMIFS(Data!$N$782:$N$2370,Data!$H$782:$H$2370,B3)</f>
        <v>0</v>
      </c>
      <c r="S3" s="33" t="n">
        <f aca="false">SUMIFS(Data!$O$2371:$O$3999,Data!$H$2371:$H$3999,B3)</f>
        <v>0</v>
      </c>
      <c r="T3" s="33" t="n">
        <f aca="false">SUMIFS(Data!$N$2371:$N$3999,Data!$H$2371:$H$3999,B3)</f>
        <v>0</v>
      </c>
      <c r="U3" s="37" t="n">
        <f aca="false">SUMIFS(Data!$R$2:$R$781,Data!$H$2:$H$781,B3)</f>
        <v>0</v>
      </c>
      <c r="V3" s="38" t="n">
        <f aca="false">SUMIFS(Data!$Q$2:$Q$781,Data!$H$2:$H$781,B3)</f>
        <v>0</v>
      </c>
      <c r="W3" s="34" t="n">
        <f aca="false">SUMIFS(Data!$R$782:$R$2370,Data!$H$782:$H$2370,B3)</f>
        <v>0</v>
      </c>
      <c r="X3" s="33" t="n">
        <f aca="false">SUMIFS(Data!$Q$782:$Q$2370,Data!$H$782:$H$2370,B3)</f>
        <v>0</v>
      </c>
      <c r="Y3" s="34" t="n">
        <f aca="false">SUMIFS(Data!$R$2371:$R$3999,Data!$H$2371:$H$3999,B3)</f>
        <v>0</v>
      </c>
      <c r="Z3" s="33" t="n">
        <f aca="false">SUMIFS(Data!$Q$2371:$Q$3999,Data!$H$2371:$H$3999,B3)</f>
        <v>0</v>
      </c>
      <c r="AA3" s="39" t="n">
        <f aca="false">V3+U3+O3+N3+K3+F3+E3+P3</f>
        <v>4</v>
      </c>
      <c r="AB3" s="40" t="n">
        <f aca="false">X3+W3+T3+R3+Q3+L3+H3+G3</f>
        <v>0</v>
      </c>
      <c r="AC3" s="40" t="n">
        <f aca="false">Z3+Y3+T3+S3+M3+J3+I3</f>
        <v>0</v>
      </c>
    </row>
    <row r="4" customFormat="false" ht="19.5" hidden="false" customHeight="true" outlineLevel="0" collapsed="false">
      <c r="A4" s="31" t="n">
        <f aca="false">Data!AE3</f>
        <v>1007975</v>
      </c>
      <c r="B4" s="31" t="str">
        <f aca="false">Data!AD3</f>
        <v>مركز الحبردي</v>
      </c>
      <c r="C4" s="31" t="n">
        <f aca="false">Data!AH3</f>
        <v>0</v>
      </c>
      <c r="D4" s="31" t="str">
        <f aca="false">Data!AF3</f>
        <v>ضباء</v>
      </c>
      <c r="E4" s="42" t="n">
        <f aca="false">SUMIFS(Data!$L$2:$L$781,Data!$H$2:$H$781,B4)</f>
        <v>0</v>
      </c>
      <c r="F4" s="43" t="n">
        <f aca="false">SUMIFS(Data!$K$2:$K$781,Data!$H$2:$H$781,B4)</f>
        <v>0</v>
      </c>
      <c r="G4" s="42" t="n">
        <f aca="false">SUMIFS(Data!$L$782:$L$2370,Data!$H$782:$H$2370,B4)</f>
        <v>0</v>
      </c>
      <c r="H4" s="43" t="n">
        <f aca="false">SUMIFS(Data!$K$782:$K$2370,Data!$H$782:$H$2370,B4)</f>
        <v>0</v>
      </c>
      <c r="I4" s="42" t="n">
        <f aca="false">SUMIFS(Data!$L$2371:$L$3999,Data!$H$2371:$H$3999,B4)</f>
        <v>0</v>
      </c>
      <c r="J4" s="43" t="n">
        <f aca="false">SUMIFS(Data!$K$2371:$K$3999,Data!$H$2371:$H$3999,B4)</f>
        <v>0</v>
      </c>
      <c r="K4" s="44" t="n">
        <f aca="false">SUMIFS(Data!$M$2:$M$781,Data!$H$2:$H$781,B4)</f>
        <v>0</v>
      </c>
      <c r="L4" s="42" t="n">
        <f aca="false">SUMIFS(Data!$M$782:$M$2370,Data!$H$782:$H$2370,B4)</f>
        <v>0</v>
      </c>
      <c r="M4" s="42" t="n">
        <f aca="false">SUMIFS(Data!$M$2371:$M$3999,Data!$H$2371:$H$3999,B4)</f>
        <v>0</v>
      </c>
      <c r="N4" s="45" t="n">
        <f aca="false">SUMIFS(Data!$O$2:$O$781,Data!$H$2:$H$781,B4)</f>
        <v>0</v>
      </c>
      <c r="O4" s="43" t="n">
        <f aca="false">SUMIFS(Data!$N$2:$N$781,Data!$H$2:$H$781,B4)</f>
        <v>0</v>
      </c>
      <c r="P4" s="42" t="n">
        <f aca="false">SUMIFS(Data!$P$2:$P$781,Data!$H$2:$H$781,B4)</f>
        <v>0</v>
      </c>
      <c r="Q4" s="43" t="n">
        <f aca="false">SUMIFS(Data!$O$782:$O$2370,Data!$H$782:$H$2370,B4)</f>
        <v>0</v>
      </c>
      <c r="R4" s="43" t="n">
        <f aca="false">SUMIFS(Data!$N$782:$N$2370,Data!$H$782:$H$2370,B4)</f>
        <v>0</v>
      </c>
      <c r="S4" s="43" t="n">
        <f aca="false">SUMIFS(Data!$O$2371:$O$3999,Data!$H$2371:$H$3999,B4)</f>
        <v>1</v>
      </c>
      <c r="T4" s="43" t="n">
        <f aca="false">SUMIFS(Data!$N$2371:$N$3999,Data!$H$2371:$H$3999,B4)</f>
        <v>0</v>
      </c>
      <c r="U4" s="46" t="n">
        <f aca="false">SUMIFS(Data!$R$2:$R$781,Data!$H$2:$H$781,B4)</f>
        <v>0</v>
      </c>
      <c r="V4" s="47" t="n">
        <f aca="false">SUMIFS(Data!$Q$2:$Q$781,Data!$H$2:$H$781,B4)</f>
        <v>0</v>
      </c>
      <c r="W4" s="42" t="n">
        <f aca="false">SUMIFS(Data!$R$782:$R$2370,Data!$H$782:$H$2370,B4)</f>
        <v>4</v>
      </c>
      <c r="X4" s="43" t="n">
        <f aca="false">SUMIFS(Data!$Q$782:$Q$2370,Data!$H$782:$H$2370,B4)</f>
        <v>6</v>
      </c>
      <c r="Y4" s="42" t="n">
        <f aca="false">SUMIFS(Data!$R$2371:$R$3999,Data!$H$2371:$H$3999,B4)</f>
        <v>0</v>
      </c>
      <c r="Z4" s="43" t="n">
        <f aca="false">SUMIFS(Data!$Q$2371:$Q$3999,Data!$H$2371:$H$3999,B4)</f>
        <v>0</v>
      </c>
      <c r="AA4" s="48" t="n">
        <f aca="false">V4+U4+O4+N4+K4+F4+E4+P4</f>
        <v>0</v>
      </c>
      <c r="AB4" s="49" t="n">
        <f aca="false">X4+W4+T4+R4+Q4+L4+H4+G4</f>
        <v>10</v>
      </c>
      <c r="AC4" s="49" t="n">
        <f aca="false">Z4+Y4+T4+S4+M4+J4+I4</f>
        <v>1</v>
      </c>
    </row>
    <row r="5" customFormat="false" ht="18" hidden="false" customHeight="true" outlineLevel="0" collapsed="false">
      <c r="A5" s="31" t="n">
        <f aca="false">Data!AE4</f>
        <v>1007976</v>
      </c>
      <c r="B5" s="31" t="str">
        <f aca="false">Data!AD4</f>
        <v>مركز السعاده</v>
      </c>
      <c r="C5" s="31" t="n">
        <f aca="false">Data!AH4</f>
        <v>0</v>
      </c>
      <c r="D5" s="31" t="str">
        <f aca="false">Data!AF4</f>
        <v>ضباء</v>
      </c>
      <c r="E5" s="42" t="n">
        <f aca="false">SUMIFS(Data!$L$2:$L$781,Data!$H$2:$H$781,B5)</f>
        <v>1</v>
      </c>
      <c r="F5" s="43" t="n">
        <f aca="false">SUMIFS(Data!$K$2:$K$781,Data!$H$2:$H$781,B5)</f>
        <v>3</v>
      </c>
      <c r="G5" s="42" t="n">
        <f aca="false">SUMIFS(Data!$L$782:$L$2370,Data!$H$782:$H$2370,B5)</f>
        <v>1</v>
      </c>
      <c r="H5" s="43" t="n">
        <f aca="false">SUMIFS(Data!$K$782:$K$2370,Data!$H$782:$H$2370,B5)</f>
        <v>0</v>
      </c>
      <c r="I5" s="42" t="n">
        <f aca="false">SUMIFS(Data!$L$2371:$L$3999,Data!$H$2371:$H$3999,B5)</f>
        <v>0</v>
      </c>
      <c r="J5" s="43" t="n">
        <f aca="false">SUMIFS(Data!$K$2371:$K$3999,Data!$H$2371:$H$3999,B5)</f>
        <v>0</v>
      </c>
      <c r="K5" s="44" t="n">
        <f aca="false">SUMIFS(Data!$M$2:$M$781,Data!$H$2:$H$781,B5)</f>
        <v>0</v>
      </c>
      <c r="L5" s="42" t="n">
        <f aca="false">SUMIFS(Data!$M$782:$M$2370,Data!$H$782:$H$2370,B5)</f>
        <v>0</v>
      </c>
      <c r="M5" s="42" t="n">
        <f aca="false">SUMIFS(Data!$M$2371:$M$3999,Data!$H$2371:$H$3999,B5)</f>
        <v>0</v>
      </c>
      <c r="N5" s="45" t="n">
        <f aca="false">SUMIFS(Data!$O$2:$O$781,Data!$H$2:$H$781,B5)</f>
        <v>0</v>
      </c>
      <c r="O5" s="43" t="n">
        <f aca="false">SUMIFS(Data!$N$2:$N$781,Data!$H$2:$H$781,B5)</f>
        <v>1</v>
      </c>
      <c r="P5" s="42" t="n">
        <f aca="false">SUMIFS(Data!$P$2:$P$781,Data!$H$2:$H$781,B5)</f>
        <v>0</v>
      </c>
      <c r="Q5" s="43" t="n">
        <f aca="false">SUMIFS(Data!$O$782:$O$2370,Data!$H$782:$H$2370,B5)</f>
        <v>0</v>
      </c>
      <c r="R5" s="43" t="n">
        <f aca="false">SUMIFS(Data!$N$782:$N$2370,Data!$H$782:$H$2370,B5)</f>
        <v>0</v>
      </c>
      <c r="S5" s="43" t="n">
        <f aca="false">SUMIFS(Data!$O$2371:$O$3999,Data!$H$2371:$H$3999,B5)</f>
        <v>0</v>
      </c>
      <c r="T5" s="43" t="n">
        <f aca="false">SUMIFS(Data!$N$2371:$N$3999,Data!$H$2371:$H$3999,B5)</f>
        <v>0</v>
      </c>
      <c r="U5" s="46" t="n">
        <f aca="false">SUMIFS(Data!$R$2:$R$781,Data!$H$2:$H$781,B5)</f>
        <v>1</v>
      </c>
      <c r="V5" s="47" t="n">
        <f aca="false">SUMIFS(Data!$Q$2:$Q$781,Data!$H$2:$H$781,B5)</f>
        <v>2</v>
      </c>
      <c r="W5" s="42" t="n">
        <f aca="false">SUMIFS(Data!$R$782:$R$2370,Data!$H$782:$H$2370,B5)</f>
        <v>1</v>
      </c>
      <c r="X5" s="43" t="n">
        <f aca="false">SUMIFS(Data!$Q$782:$Q$2370,Data!$H$782:$H$2370,B5)</f>
        <v>4</v>
      </c>
      <c r="Y5" s="42" t="n">
        <f aca="false">SUMIFS(Data!$R$2371:$R$3999,Data!$H$2371:$H$3999,B5)</f>
        <v>0</v>
      </c>
      <c r="Z5" s="43" t="n">
        <f aca="false">SUMIFS(Data!$Q$2371:$Q$3999,Data!$H$2371:$H$3999,B5)</f>
        <v>3</v>
      </c>
      <c r="AA5" s="48" t="n">
        <f aca="false">V5+U5+O5+N5+K5+F5+E5+P5</f>
        <v>8</v>
      </c>
      <c r="AB5" s="49" t="n">
        <f aca="false">X5+W5+T5+R5+Q5+L5+H5+G5</f>
        <v>6</v>
      </c>
      <c r="AC5" s="49" t="n">
        <f aca="false">Z5+Y5+T5+S5+M5+J5+I5</f>
        <v>3</v>
      </c>
    </row>
    <row r="6" customFormat="false" ht="23.25" hidden="false" customHeight="true" outlineLevel="0" collapsed="false">
      <c r="A6" s="31" t="n">
        <f aca="false">Data!AE5</f>
        <v>1007977</v>
      </c>
      <c r="B6" s="31" t="str">
        <f aca="false">Data!AD5</f>
        <v>مركز ورشة الشقري</v>
      </c>
      <c r="C6" s="31" t="n">
        <f aca="false">Data!AH5</f>
        <v>0</v>
      </c>
      <c r="D6" s="31" t="str">
        <f aca="false">Data!AF5</f>
        <v>ضباء</v>
      </c>
      <c r="E6" s="42" t="n">
        <f aca="false">SUMIFS(Data!$L$2:$L$781,Data!$H$2:$H$781,B6)</f>
        <v>0</v>
      </c>
      <c r="F6" s="43" t="n">
        <f aca="false">SUMIFS(Data!$K$2:$K$781,Data!$H$2:$H$781,B6)</f>
        <v>0</v>
      </c>
      <c r="G6" s="42" t="n">
        <f aca="false">SUMIFS(Data!$L$782:$L$2370,Data!$H$782:$H$2370,B6)</f>
        <v>0</v>
      </c>
      <c r="H6" s="43" t="n">
        <f aca="false">SUMIFS(Data!$K$782:$K$2370,Data!$H$782:$H$2370,B6)</f>
        <v>0</v>
      </c>
      <c r="I6" s="42" t="n">
        <f aca="false">SUMIFS(Data!$L$2371:$L$3999,Data!$H$2371:$H$3999,B6)</f>
        <v>0</v>
      </c>
      <c r="J6" s="43" t="n">
        <f aca="false">SUMIFS(Data!$K$2371:$K$3999,Data!$H$2371:$H$3999,B6)</f>
        <v>0</v>
      </c>
      <c r="K6" s="44" t="n">
        <f aca="false">SUMIFS(Data!$M$2:$M$781,Data!$H$2:$H$781,B6)</f>
        <v>0</v>
      </c>
      <c r="L6" s="42" t="n">
        <f aca="false">SUMIFS(Data!$M$782:$M$2370,Data!$H$782:$H$2370,B6)</f>
        <v>0</v>
      </c>
      <c r="M6" s="42" t="n">
        <f aca="false">SUMIFS(Data!$M$2371:$M$3999,Data!$H$2371:$H$3999,B6)</f>
        <v>0</v>
      </c>
      <c r="N6" s="45" t="n">
        <f aca="false">SUMIFS(Data!$O$2:$O$781,Data!$H$2:$H$781,B6)</f>
        <v>0</v>
      </c>
      <c r="O6" s="43" t="n">
        <f aca="false">SUMIFS(Data!$N$2:$N$781,Data!$H$2:$H$781,B6)</f>
        <v>0</v>
      </c>
      <c r="P6" s="42" t="n">
        <f aca="false">SUMIFS(Data!$P$2:$P$781,Data!$H$2:$H$781,B6)</f>
        <v>0</v>
      </c>
      <c r="Q6" s="43" t="n">
        <f aca="false">SUMIFS(Data!$O$782:$O$2370,Data!$H$782:$H$2370,B6)</f>
        <v>0</v>
      </c>
      <c r="R6" s="43" t="n">
        <f aca="false">SUMIFS(Data!$N$782:$N$2370,Data!$H$782:$H$2370,B6)</f>
        <v>0</v>
      </c>
      <c r="S6" s="43" t="n">
        <f aca="false">SUMIFS(Data!$O$2371:$O$3999,Data!$H$2371:$H$3999,B6)</f>
        <v>0</v>
      </c>
      <c r="T6" s="43" t="n">
        <f aca="false">SUMIFS(Data!$N$2371:$N$3999,Data!$H$2371:$H$3999,B6)</f>
        <v>0</v>
      </c>
      <c r="U6" s="46" t="n">
        <f aca="false">SUMIFS(Data!$R$2:$R$781,Data!$H$2:$H$781,B6)</f>
        <v>0</v>
      </c>
      <c r="V6" s="47" t="n">
        <f aca="false">SUMIFS(Data!$Q$2:$Q$781,Data!$H$2:$H$781,B6)</f>
        <v>0</v>
      </c>
      <c r="W6" s="42" t="n">
        <f aca="false">SUMIFS(Data!$R$782:$R$2370,Data!$H$782:$H$2370,B6)</f>
        <v>0</v>
      </c>
      <c r="X6" s="43" t="n">
        <f aca="false">SUMIFS(Data!$Q$782:$Q$2370,Data!$H$782:$H$2370,B6)</f>
        <v>0</v>
      </c>
      <c r="Y6" s="42" t="n">
        <f aca="false">SUMIFS(Data!$R$2371:$R$3999,Data!$H$2371:$H$3999,B6)</f>
        <v>0</v>
      </c>
      <c r="Z6" s="43" t="n">
        <f aca="false">SUMIFS(Data!$Q$2371:$Q$3999,Data!$H$2371:$H$3999,B6)</f>
        <v>0</v>
      </c>
      <c r="AA6" s="48" t="n">
        <f aca="false">V6+U6+O6+N6+K6+F6+E6+P6</f>
        <v>0</v>
      </c>
      <c r="AB6" s="49" t="n">
        <f aca="false">X6+W6+T6+R6+Q6+L6+H6+G6</f>
        <v>0</v>
      </c>
      <c r="AC6" s="49" t="n">
        <f aca="false">Z6+Y6+T6+S6+M6+J6+I6</f>
        <v>0</v>
      </c>
    </row>
    <row r="7" s="50" customFormat="true" ht="23.25" hidden="false" customHeight="true" outlineLevel="0" collapsed="false">
      <c r="A7" s="31" t="n">
        <f aca="false">Data!AE6</f>
        <v>1007978</v>
      </c>
      <c r="B7" s="31" t="str">
        <f aca="false">Data!AD6</f>
        <v>مسلم سليم المسعودي</v>
      </c>
      <c r="C7" s="31" t="n">
        <f aca="false">Data!AH6</f>
        <v>0</v>
      </c>
      <c r="D7" s="31" t="str">
        <f aca="false">Data!AF6</f>
        <v>ضباء</v>
      </c>
      <c r="E7" s="42" t="n">
        <f aca="false">SUMIFS(Data!$L$2:$L$781,Data!$H$2:$H$781,B7)</f>
        <v>0</v>
      </c>
      <c r="F7" s="43" t="n">
        <f aca="false">SUMIFS(Data!$K$2:$K$781,Data!$H$2:$H$781,B7)</f>
        <v>0</v>
      </c>
      <c r="G7" s="42" t="n">
        <f aca="false">SUMIFS(Data!$L$782:$L$2370,Data!$H$782:$H$2370,B7)</f>
        <v>0</v>
      </c>
      <c r="H7" s="43" t="n">
        <f aca="false">SUMIFS(Data!$K$782:$K$2370,Data!$H$782:$H$2370,B7)</f>
        <v>0</v>
      </c>
      <c r="I7" s="42" t="n">
        <f aca="false">SUMIFS(Data!$L$2371:$L$3999,Data!$H$2371:$H$3999,B7)</f>
        <v>0</v>
      </c>
      <c r="J7" s="43" t="n">
        <f aca="false">SUMIFS(Data!$K$2371:$K$3999,Data!$H$2371:$H$3999,B7)</f>
        <v>0</v>
      </c>
      <c r="K7" s="44" t="n">
        <f aca="false">SUMIFS(Data!$M$2:$M$781,Data!$H$2:$H$781,B7)</f>
        <v>0</v>
      </c>
      <c r="L7" s="42" t="n">
        <f aca="false">SUMIFS(Data!$M$782:$M$2370,Data!$H$782:$H$2370,B7)</f>
        <v>0</v>
      </c>
      <c r="M7" s="42" t="n">
        <f aca="false">SUMIFS(Data!$M$2371:$M$3999,Data!$H$2371:$H$3999,B7)</f>
        <v>0</v>
      </c>
      <c r="N7" s="45" t="n">
        <f aca="false">SUMIFS(Data!$O$2:$O$781,Data!$H$2:$H$781,B7)</f>
        <v>0</v>
      </c>
      <c r="O7" s="43" t="n">
        <f aca="false">SUMIFS(Data!$N$2:$N$781,Data!$H$2:$H$781,B7)</f>
        <v>0</v>
      </c>
      <c r="P7" s="42" t="n">
        <f aca="false">SUMIFS(Data!$P$2:$P$781,Data!$H$2:$H$781,B7)</f>
        <v>0</v>
      </c>
      <c r="Q7" s="43" t="n">
        <f aca="false">SUMIFS(Data!$O$782:$O$2370,Data!$H$782:$H$2370,B7)</f>
        <v>0</v>
      </c>
      <c r="R7" s="43" t="n">
        <f aca="false">SUMIFS(Data!$N$782:$N$2370,Data!$H$782:$H$2370,B7)</f>
        <v>0</v>
      </c>
      <c r="S7" s="43" t="n">
        <f aca="false">SUMIFS(Data!$O$2371:$O$3999,Data!$H$2371:$H$3999,B7)</f>
        <v>0</v>
      </c>
      <c r="T7" s="43" t="n">
        <f aca="false">SUMIFS(Data!$N$2371:$N$3999,Data!$H$2371:$H$3999,B7)</f>
        <v>0</v>
      </c>
      <c r="U7" s="46" t="n">
        <f aca="false">SUMIFS(Data!$R$2:$R$781,Data!$H$2:$H$781,B7)</f>
        <v>0</v>
      </c>
      <c r="V7" s="47" t="n">
        <f aca="false">SUMIFS(Data!$Q$2:$Q$781,Data!$H$2:$H$781,B7)</f>
        <v>0</v>
      </c>
      <c r="W7" s="42" t="n">
        <f aca="false">SUMIFS(Data!$R$782:$R$2370,Data!$H$782:$H$2370,B7)</f>
        <v>0</v>
      </c>
      <c r="X7" s="43" t="n">
        <f aca="false">SUMIFS(Data!$Q$782:$Q$2370,Data!$H$782:$H$2370,B7)</f>
        <v>0</v>
      </c>
      <c r="Y7" s="42" t="n">
        <f aca="false">SUMIFS(Data!$R$2371:$R$3999,Data!$H$2371:$H$3999,B7)</f>
        <v>0</v>
      </c>
      <c r="Z7" s="43" t="n">
        <f aca="false">SUMIFS(Data!$Q$2371:$Q$3999,Data!$H$2371:$H$3999,B7)</f>
        <v>0</v>
      </c>
      <c r="AA7" s="48" t="n">
        <f aca="false">V7+U7+O7+N7+K7+F7+E7+P7</f>
        <v>0</v>
      </c>
      <c r="AB7" s="49" t="n">
        <f aca="false">X7+W7+T7+R7+Q7+L7+H7+G7</f>
        <v>0</v>
      </c>
      <c r="AC7" s="49" t="n">
        <f aca="false">Z7+Y7+T7+S7+M7+J7+I7</f>
        <v>0</v>
      </c>
    </row>
    <row r="8" s="50" customFormat="true" ht="23.25" hidden="false" customHeight="true" outlineLevel="0" collapsed="false">
      <c r="A8" s="31" t="n">
        <f aca="false">Data!AE7</f>
        <v>1007979</v>
      </c>
      <c r="B8" s="31" t="str">
        <f aca="false">Data!AD7</f>
        <v>مركز المدينه</v>
      </c>
      <c r="C8" s="31" t="n">
        <f aca="false">Data!AH7</f>
        <v>0</v>
      </c>
      <c r="D8" s="31" t="str">
        <f aca="false">Data!AF7</f>
        <v>ضباء</v>
      </c>
      <c r="E8" s="42" t="n">
        <f aca="false">SUMIFS(Data!$L$2:$L$781,Data!$H$2:$H$781,B8)</f>
        <v>0</v>
      </c>
      <c r="F8" s="43" t="n">
        <f aca="false">SUMIFS(Data!$K$2:$K$781,Data!$H$2:$H$781,B8)</f>
        <v>0</v>
      </c>
      <c r="G8" s="42" t="n">
        <f aca="false">SUMIFS(Data!$L$782:$L$2370,Data!$H$782:$H$2370,B8)</f>
        <v>0</v>
      </c>
      <c r="H8" s="43" t="n">
        <f aca="false">SUMIFS(Data!$K$782:$K$2370,Data!$H$782:$H$2370,B8)</f>
        <v>0</v>
      </c>
      <c r="I8" s="42" t="n">
        <f aca="false">SUMIFS(Data!$L$2371:$L$3999,Data!$H$2371:$H$3999,B8)</f>
        <v>0</v>
      </c>
      <c r="J8" s="43" t="n">
        <f aca="false">SUMIFS(Data!$K$2371:$K$3999,Data!$H$2371:$H$3999,B8)</f>
        <v>0</v>
      </c>
      <c r="K8" s="44" t="n">
        <f aca="false">SUMIFS(Data!$M$2:$M$781,Data!$H$2:$H$781,B8)</f>
        <v>0</v>
      </c>
      <c r="L8" s="42" t="n">
        <f aca="false">SUMIFS(Data!$M$782:$M$2370,Data!$H$782:$H$2370,B8)</f>
        <v>0</v>
      </c>
      <c r="M8" s="42" t="n">
        <f aca="false">SUMIFS(Data!$M$2371:$M$3999,Data!$H$2371:$H$3999,B8)</f>
        <v>0</v>
      </c>
      <c r="N8" s="45" t="n">
        <f aca="false">SUMIFS(Data!$O$2:$O$781,Data!$H$2:$H$781,B8)</f>
        <v>3</v>
      </c>
      <c r="O8" s="43" t="n">
        <f aca="false">SUMIFS(Data!$N$2:$N$781,Data!$H$2:$H$781,B8)</f>
        <v>18</v>
      </c>
      <c r="P8" s="42" t="n">
        <f aca="false">SUMIFS(Data!$P$2:$P$781,Data!$H$2:$H$781,B8)</f>
        <v>0</v>
      </c>
      <c r="Q8" s="43" t="n">
        <f aca="false">SUMIFS(Data!$O$782:$O$2370,Data!$H$782:$H$2370,B8)</f>
        <v>0</v>
      </c>
      <c r="R8" s="43" t="n">
        <f aca="false">SUMIFS(Data!$N$782:$N$2370,Data!$H$782:$H$2370,B8)</f>
        <v>0</v>
      </c>
      <c r="S8" s="43" t="n">
        <f aca="false">SUMIFS(Data!$O$2371:$O$3999,Data!$H$2371:$H$3999,B8)</f>
        <v>0</v>
      </c>
      <c r="T8" s="43" t="n">
        <f aca="false">SUMIFS(Data!$N$2371:$N$3999,Data!$H$2371:$H$3999,B8)</f>
        <v>0</v>
      </c>
      <c r="U8" s="46" t="n">
        <f aca="false">SUMIFS(Data!$R$2:$R$781,Data!$H$2:$H$781,B8)</f>
        <v>0</v>
      </c>
      <c r="V8" s="47" t="n">
        <f aca="false">SUMIFS(Data!$Q$2:$Q$781,Data!$H$2:$H$781,B8)</f>
        <v>0</v>
      </c>
      <c r="W8" s="42" t="n">
        <f aca="false">SUMIFS(Data!$R$782:$R$2370,Data!$H$782:$H$2370,B8)</f>
        <v>0</v>
      </c>
      <c r="X8" s="43" t="n">
        <f aca="false">SUMIFS(Data!$Q$782:$Q$2370,Data!$H$782:$H$2370,B8)</f>
        <v>0</v>
      </c>
      <c r="Y8" s="42" t="n">
        <f aca="false">SUMIFS(Data!$R$2371:$R$3999,Data!$H$2371:$H$3999,B8)</f>
        <v>0</v>
      </c>
      <c r="Z8" s="43" t="n">
        <f aca="false">SUMIFS(Data!$Q$2371:$Q$3999,Data!$H$2371:$H$3999,B8)</f>
        <v>0</v>
      </c>
      <c r="AA8" s="48" t="n">
        <f aca="false">V8+U8+O8+N8+K8+F8+E8+P8</f>
        <v>21</v>
      </c>
      <c r="AB8" s="49" t="n">
        <f aca="false">X8+W8+T8+R8+Q8+L8+H8+G8</f>
        <v>0</v>
      </c>
      <c r="AC8" s="49" t="n">
        <f aca="false">Z8+Y8+T8+S8+M8+J8+I8</f>
        <v>0</v>
      </c>
    </row>
    <row r="9" s="50" customFormat="true" ht="23.25" hidden="false" customHeight="true" outlineLevel="0" collapsed="false">
      <c r="A9" s="31" t="n">
        <f aca="false">Data!AE8</f>
        <v>1007980</v>
      </c>
      <c r="B9" s="31" t="str">
        <f aca="false">Data!AD8</f>
        <v>مريم سالم العبيواني</v>
      </c>
      <c r="C9" s="31" t="n">
        <f aca="false">Data!AH8</f>
        <v>0</v>
      </c>
      <c r="D9" s="31" t="str">
        <f aca="false">Data!AF8</f>
        <v>ضباء</v>
      </c>
      <c r="E9" s="42" t="n">
        <f aca="false">SUMIFS(Data!$L$2:$L$781,Data!$H$2:$H$781,B9)</f>
        <v>0</v>
      </c>
      <c r="F9" s="43" t="n">
        <f aca="false">SUMIFS(Data!$K$2:$K$781,Data!$H$2:$H$781,B9)</f>
        <v>4</v>
      </c>
      <c r="G9" s="42" t="n">
        <f aca="false">SUMIFS(Data!$L$782:$L$2370,Data!$H$782:$H$2370,B9)</f>
        <v>0</v>
      </c>
      <c r="H9" s="43" t="n">
        <f aca="false">SUMIFS(Data!$K$782:$K$2370,Data!$H$782:$H$2370,B9)</f>
        <v>0</v>
      </c>
      <c r="I9" s="42" t="n">
        <f aca="false">SUMIFS(Data!$L$2371:$L$3999,Data!$H$2371:$H$3999,B9)</f>
        <v>0</v>
      </c>
      <c r="J9" s="43" t="n">
        <f aca="false">SUMIFS(Data!$K$2371:$K$3999,Data!$H$2371:$H$3999,B9)</f>
        <v>14</v>
      </c>
      <c r="K9" s="44" t="n">
        <f aca="false">SUMIFS(Data!$M$2:$M$781,Data!$H$2:$H$781,B9)</f>
        <v>0</v>
      </c>
      <c r="L9" s="42" t="n">
        <f aca="false">SUMIFS(Data!$M$782:$M$2370,Data!$H$782:$H$2370,B9)</f>
        <v>0</v>
      </c>
      <c r="M9" s="42" t="n">
        <f aca="false">SUMIFS(Data!$M$2371:$M$3999,Data!$H$2371:$H$3999,B9)</f>
        <v>0</v>
      </c>
      <c r="N9" s="45" t="n">
        <f aca="false">SUMIFS(Data!$O$2:$O$781,Data!$H$2:$H$781,B9)</f>
        <v>4</v>
      </c>
      <c r="O9" s="43" t="n">
        <f aca="false">SUMIFS(Data!$N$2:$N$781,Data!$H$2:$H$781,B9)</f>
        <v>1</v>
      </c>
      <c r="P9" s="42" t="n">
        <f aca="false">SUMIFS(Data!$P$2:$P$781,Data!$H$2:$H$781,B9)</f>
        <v>0</v>
      </c>
      <c r="Q9" s="43" t="n">
        <f aca="false">SUMIFS(Data!$O$782:$O$2370,Data!$H$782:$H$2370,B9)</f>
        <v>0</v>
      </c>
      <c r="R9" s="43" t="n">
        <f aca="false">SUMIFS(Data!$N$782:$N$2370,Data!$H$782:$H$2370,B9)</f>
        <v>0</v>
      </c>
      <c r="S9" s="43" t="n">
        <f aca="false">SUMIFS(Data!$O$2371:$O$3999,Data!$H$2371:$H$3999,B9)</f>
        <v>0</v>
      </c>
      <c r="T9" s="43" t="n">
        <f aca="false">SUMIFS(Data!$N$2371:$N$3999,Data!$H$2371:$H$3999,B9)</f>
        <v>8</v>
      </c>
      <c r="U9" s="46" t="n">
        <f aca="false">SUMIFS(Data!$R$2:$R$781,Data!$H$2:$H$781,B9)</f>
        <v>3</v>
      </c>
      <c r="V9" s="47" t="n">
        <f aca="false">SUMIFS(Data!$Q$2:$Q$781,Data!$H$2:$H$781,B9)</f>
        <v>6</v>
      </c>
      <c r="W9" s="42" t="n">
        <f aca="false">SUMIFS(Data!$R$782:$R$2370,Data!$H$782:$H$2370,B9)</f>
        <v>1</v>
      </c>
      <c r="X9" s="43" t="n">
        <f aca="false">SUMIFS(Data!$Q$782:$Q$2370,Data!$H$782:$H$2370,B9)</f>
        <v>2</v>
      </c>
      <c r="Y9" s="42" t="n">
        <f aca="false">SUMIFS(Data!$R$2371:$R$3999,Data!$H$2371:$H$3999,B9)</f>
        <v>0</v>
      </c>
      <c r="Z9" s="43" t="n">
        <f aca="false">SUMIFS(Data!$Q$2371:$Q$3999,Data!$H$2371:$H$3999,B9)</f>
        <v>0</v>
      </c>
      <c r="AA9" s="48" t="n">
        <f aca="false">V9+U9+O9+N9+K9+F9+E9+P9</f>
        <v>18</v>
      </c>
      <c r="AB9" s="49" t="n">
        <f aca="false">X9+W9+T9+R9+Q9+L9+H9+G9</f>
        <v>11</v>
      </c>
      <c r="AC9" s="49" t="n">
        <f aca="false">Z9+Y9+T9+S9+M9+J9+I9</f>
        <v>22</v>
      </c>
    </row>
    <row r="10" s="50" customFormat="true" ht="23.25" hidden="false" customHeight="true" outlineLevel="0" collapsed="false">
      <c r="A10" s="31" t="n">
        <f aca="false">Data!AE9</f>
        <v>1007981</v>
      </c>
      <c r="B10" s="31" t="str">
        <f aca="false">Data!AD9</f>
        <v>سالم الحويطي</v>
      </c>
      <c r="C10" s="31" t="n">
        <f aca="false">Data!AH9</f>
        <v>0</v>
      </c>
      <c r="D10" s="31" t="str">
        <f aca="false">Data!AF9</f>
        <v>ضباء</v>
      </c>
      <c r="E10" s="42" t="n">
        <f aca="false">SUMIFS(Data!$L$2:$L$781,Data!$H$2:$H$781,B10)</f>
        <v>0</v>
      </c>
      <c r="F10" s="43" t="n">
        <f aca="false">SUMIFS(Data!$K$2:$K$781,Data!$H$2:$H$781,B10)</f>
        <v>1</v>
      </c>
      <c r="G10" s="42" t="n">
        <f aca="false">SUMIFS(Data!$L$782:$L$2370,Data!$H$782:$H$2370,B10)</f>
        <v>0</v>
      </c>
      <c r="H10" s="43" t="n">
        <f aca="false">SUMIFS(Data!$K$782:$K$2370,Data!$H$782:$H$2370,B10)</f>
        <v>0</v>
      </c>
      <c r="I10" s="42" t="n">
        <f aca="false">SUMIFS(Data!$L$2371:$L$3999,Data!$H$2371:$H$3999,B10)</f>
        <v>0</v>
      </c>
      <c r="J10" s="43" t="n">
        <f aca="false">SUMIFS(Data!$K$2371:$K$3999,Data!$H$2371:$H$3999,B10)</f>
        <v>0</v>
      </c>
      <c r="K10" s="44" t="n">
        <f aca="false">SUMIFS(Data!$M$2:$M$781,Data!$H$2:$H$781,B10)</f>
        <v>0</v>
      </c>
      <c r="L10" s="42" t="n">
        <f aca="false">SUMIFS(Data!$M$782:$M$2370,Data!$H$782:$H$2370,B10)</f>
        <v>0</v>
      </c>
      <c r="M10" s="42" t="n">
        <f aca="false">SUMIFS(Data!$M$2371:$M$3999,Data!$H$2371:$H$3999,B10)</f>
        <v>0</v>
      </c>
      <c r="N10" s="45" t="n">
        <f aca="false">SUMIFS(Data!$O$2:$O$781,Data!$H$2:$H$781,B10)</f>
        <v>0</v>
      </c>
      <c r="O10" s="43" t="n">
        <f aca="false">SUMIFS(Data!$N$2:$N$781,Data!$H$2:$H$781,B10)</f>
        <v>0</v>
      </c>
      <c r="P10" s="42" t="n">
        <f aca="false">SUMIFS(Data!$P$2:$P$781,Data!$H$2:$H$781,B10)</f>
        <v>0</v>
      </c>
      <c r="Q10" s="43" t="n">
        <f aca="false">SUMIFS(Data!$O$782:$O$2370,Data!$H$782:$H$2370,B10)</f>
        <v>0</v>
      </c>
      <c r="R10" s="43" t="n">
        <f aca="false">SUMIFS(Data!$N$782:$N$2370,Data!$H$782:$H$2370,B10)</f>
        <v>0</v>
      </c>
      <c r="S10" s="43" t="n">
        <f aca="false">SUMIFS(Data!$O$2371:$O$3999,Data!$H$2371:$H$3999,B10)</f>
        <v>0</v>
      </c>
      <c r="T10" s="43" t="n">
        <f aca="false">SUMIFS(Data!$N$2371:$N$3999,Data!$H$2371:$H$3999,B10)</f>
        <v>0</v>
      </c>
      <c r="U10" s="46" t="n">
        <f aca="false">SUMIFS(Data!$R$2:$R$781,Data!$H$2:$H$781,B10)</f>
        <v>0</v>
      </c>
      <c r="V10" s="47" t="n">
        <f aca="false">SUMIFS(Data!$Q$2:$Q$781,Data!$H$2:$H$781,B10)</f>
        <v>0</v>
      </c>
      <c r="W10" s="42" t="n">
        <f aca="false">SUMIFS(Data!$R$782:$R$2370,Data!$H$782:$H$2370,B10)</f>
        <v>0</v>
      </c>
      <c r="X10" s="43" t="n">
        <f aca="false">SUMIFS(Data!$Q$782:$Q$2370,Data!$H$782:$H$2370,B10)</f>
        <v>0</v>
      </c>
      <c r="Y10" s="42" t="n">
        <f aca="false">SUMIFS(Data!$R$2371:$R$3999,Data!$H$2371:$H$3999,B10)</f>
        <v>0</v>
      </c>
      <c r="Z10" s="43" t="n">
        <f aca="false">SUMIFS(Data!$Q$2371:$Q$3999,Data!$H$2371:$H$3999,B10)</f>
        <v>0</v>
      </c>
      <c r="AA10" s="48" t="n">
        <f aca="false">V10+U10+O10+N10+K10+F10+E10+P10</f>
        <v>1</v>
      </c>
      <c r="AB10" s="49" t="n">
        <f aca="false">X10+W10+T10+R10+Q10+L10+H10+G10</f>
        <v>0</v>
      </c>
      <c r="AC10" s="49" t="n">
        <f aca="false">Z10+Y10+T10+S10+M10+J10+I10</f>
        <v>0</v>
      </c>
    </row>
    <row r="11" s="50" customFormat="true" ht="23.25" hidden="false" customHeight="true" outlineLevel="0" collapsed="false">
      <c r="A11" s="31" t="n">
        <f aca="false">Data!AE10</f>
        <v>1007982</v>
      </c>
      <c r="B11" s="31" t="str">
        <f aca="false">Data!AD10</f>
        <v>مفرق الشواق</v>
      </c>
      <c r="C11" s="31" t="n">
        <f aca="false">Data!AH10</f>
        <v>0</v>
      </c>
      <c r="D11" s="31" t="str">
        <f aca="false">Data!AF10</f>
        <v>ضباء</v>
      </c>
      <c r="E11" s="42" t="n">
        <f aca="false">SUMIFS(Data!$L$2:$L$781,Data!$H$2:$H$781,B11)</f>
        <v>0</v>
      </c>
      <c r="F11" s="43" t="n">
        <f aca="false">SUMIFS(Data!$K$2:$K$781,Data!$H$2:$H$781,B11)</f>
        <v>0</v>
      </c>
      <c r="G11" s="42" t="n">
        <f aca="false">SUMIFS(Data!$L$782:$L$2370,Data!$H$782:$H$2370,B11)</f>
        <v>0</v>
      </c>
      <c r="H11" s="43" t="n">
        <f aca="false">SUMIFS(Data!$K$782:$K$2370,Data!$H$782:$H$2370,B11)</f>
        <v>0</v>
      </c>
      <c r="I11" s="42" t="n">
        <f aca="false">SUMIFS(Data!$L$2371:$L$3999,Data!$H$2371:$H$3999,B11)</f>
        <v>0</v>
      </c>
      <c r="J11" s="43" t="n">
        <f aca="false">SUMIFS(Data!$K$2371:$K$3999,Data!$H$2371:$H$3999,B11)</f>
        <v>0</v>
      </c>
      <c r="K11" s="44" t="n">
        <f aca="false">SUMIFS(Data!$M$2:$M$781,Data!$H$2:$H$781,B11)</f>
        <v>0</v>
      </c>
      <c r="L11" s="42" t="n">
        <f aca="false">SUMIFS(Data!$M$782:$M$2370,Data!$H$782:$H$2370,B11)</f>
        <v>0</v>
      </c>
      <c r="M11" s="42" t="n">
        <f aca="false">SUMIFS(Data!$M$2371:$M$3999,Data!$H$2371:$H$3999,B11)</f>
        <v>0</v>
      </c>
      <c r="N11" s="45" t="n">
        <f aca="false">SUMIFS(Data!$O$2:$O$781,Data!$H$2:$H$781,B11)</f>
        <v>0</v>
      </c>
      <c r="O11" s="43" t="n">
        <f aca="false">SUMIFS(Data!$N$2:$N$781,Data!$H$2:$H$781,B11)</f>
        <v>0</v>
      </c>
      <c r="P11" s="42" t="n">
        <f aca="false">SUMIFS(Data!$P$2:$P$781,Data!$H$2:$H$781,B11)</f>
        <v>0</v>
      </c>
      <c r="Q11" s="43" t="n">
        <f aca="false">SUMIFS(Data!$O$782:$O$2370,Data!$H$782:$H$2370,B11)</f>
        <v>0</v>
      </c>
      <c r="R11" s="43" t="n">
        <f aca="false">SUMIFS(Data!$N$782:$N$2370,Data!$H$782:$H$2370,B11)</f>
        <v>0</v>
      </c>
      <c r="S11" s="43" t="n">
        <f aca="false">SUMIFS(Data!$O$2371:$O$3999,Data!$H$2371:$H$3999,B11)</f>
        <v>0</v>
      </c>
      <c r="T11" s="43" t="n">
        <f aca="false">SUMIFS(Data!$N$2371:$N$3999,Data!$H$2371:$H$3999,B11)</f>
        <v>0</v>
      </c>
      <c r="U11" s="46" t="n">
        <f aca="false">SUMIFS(Data!$R$2:$R$781,Data!$H$2:$H$781,B11)</f>
        <v>0</v>
      </c>
      <c r="V11" s="47" t="n">
        <f aca="false">SUMIFS(Data!$Q$2:$Q$781,Data!$H$2:$H$781,B11)</f>
        <v>0</v>
      </c>
      <c r="W11" s="42" t="n">
        <f aca="false">SUMIFS(Data!$R$782:$R$2370,Data!$H$782:$H$2370,B11)</f>
        <v>0</v>
      </c>
      <c r="X11" s="43" t="n">
        <f aca="false">SUMIFS(Data!$Q$782:$Q$2370,Data!$H$782:$H$2370,B11)</f>
        <v>0</v>
      </c>
      <c r="Y11" s="42" t="n">
        <f aca="false">SUMIFS(Data!$R$2371:$R$3999,Data!$H$2371:$H$3999,B11)</f>
        <v>0</v>
      </c>
      <c r="Z11" s="43" t="n">
        <f aca="false">SUMIFS(Data!$Q$2371:$Q$3999,Data!$H$2371:$H$3999,B11)</f>
        <v>0</v>
      </c>
      <c r="AA11" s="48" t="n">
        <f aca="false">V11+U11+O11+N11+K11+F11+E11+P11</f>
        <v>0</v>
      </c>
      <c r="AB11" s="49" t="n">
        <f aca="false">X11+W11+T11+R11+Q11+L11+H11+G11</f>
        <v>0</v>
      </c>
      <c r="AC11" s="49" t="n">
        <f aca="false">Z11+Y11+T11+S11+M11+J11+I11</f>
        <v>0</v>
      </c>
    </row>
    <row r="12" s="50" customFormat="true" ht="23.25" hidden="false" customHeight="true" outlineLevel="0" collapsed="false">
      <c r="A12" s="31" t="n">
        <f aca="false">Data!AE11</f>
        <v>1007983</v>
      </c>
      <c r="B12" s="31" t="str">
        <f aca="false">Data!AD11</f>
        <v>دهيبه البسيسي</v>
      </c>
      <c r="C12" s="31" t="n">
        <f aca="false">Data!AH11</f>
        <v>0</v>
      </c>
      <c r="D12" s="31" t="str">
        <f aca="false">Data!AF11</f>
        <v>ضباء</v>
      </c>
      <c r="E12" s="42" t="n">
        <f aca="false">SUMIFS(Data!$L$2:$L$781,Data!$H$2:$H$781,B12)</f>
        <v>0</v>
      </c>
      <c r="F12" s="43" t="n">
        <f aca="false">SUMIFS(Data!$K$2:$K$781,Data!$H$2:$H$781,B12)</f>
        <v>0</v>
      </c>
      <c r="G12" s="42" t="n">
        <f aca="false">SUMIFS(Data!$L$782:$L$2370,Data!$H$782:$H$2370,B12)</f>
        <v>0</v>
      </c>
      <c r="H12" s="43" t="n">
        <f aca="false">SUMIFS(Data!$K$782:$K$2370,Data!$H$782:$H$2370,B12)</f>
        <v>0</v>
      </c>
      <c r="I12" s="42" t="n">
        <f aca="false">SUMIFS(Data!$L$2371:$L$3999,Data!$H$2371:$H$3999,B12)</f>
        <v>0</v>
      </c>
      <c r="J12" s="43" t="n">
        <f aca="false">SUMIFS(Data!$K$2371:$K$3999,Data!$H$2371:$H$3999,B12)</f>
        <v>0</v>
      </c>
      <c r="K12" s="44" t="n">
        <f aca="false">SUMIFS(Data!$M$2:$M$781,Data!$H$2:$H$781,B12)</f>
        <v>0</v>
      </c>
      <c r="L12" s="42" t="n">
        <f aca="false">SUMIFS(Data!$M$782:$M$2370,Data!$H$782:$H$2370,B12)</f>
        <v>0</v>
      </c>
      <c r="M12" s="42" t="n">
        <f aca="false">SUMIFS(Data!$M$2371:$M$3999,Data!$H$2371:$H$3999,B12)</f>
        <v>0</v>
      </c>
      <c r="N12" s="45" t="n">
        <f aca="false">SUMIFS(Data!$O$2:$O$781,Data!$H$2:$H$781,B12)</f>
        <v>0</v>
      </c>
      <c r="O12" s="43" t="n">
        <f aca="false">SUMIFS(Data!$N$2:$N$781,Data!$H$2:$H$781,B12)</f>
        <v>0</v>
      </c>
      <c r="P12" s="42" t="n">
        <f aca="false">SUMIFS(Data!$P$2:$P$781,Data!$H$2:$H$781,B12)</f>
        <v>0</v>
      </c>
      <c r="Q12" s="43" t="n">
        <f aca="false">SUMIFS(Data!$O$782:$O$2370,Data!$H$782:$H$2370,B12)</f>
        <v>0</v>
      </c>
      <c r="R12" s="43" t="n">
        <f aca="false">SUMIFS(Data!$N$782:$N$2370,Data!$H$782:$H$2370,B12)</f>
        <v>0</v>
      </c>
      <c r="S12" s="43" t="n">
        <f aca="false">SUMIFS(Data!$O$2371:$O$3999,Data!$H$2371:$H$3999,B12)</f>
        <v>0</v>
      </c>
      <c r="T12" s="43" t="n">
        <f aca="false">SUMIFS(Data!$N$2371:$N$3999,Data!$H$2371:$H$3999,B12)</f>
        <v>0</v>
      </c>
      <c r="U12" s="46" t="n">
        <f aca="false">SUMIFS(Data!$R$2:$R$781,Data!$H$2:$H$781,B12)</f>
        <v>0</v>
      </c>
      <c r="V12" s="47" t="n">
        <f aca="false">SUMIFS(Data!$Q$2:$Q$781,Data!$H$2:$H$781,B12)</f>
        <v>0</v>
      </c>
      <c r="W12" s="42" t="n">
        <f aca="false">SUMIFS(Data!$R$782:$R$2370,Data!$H$782:$H$2370,B12)</f>
        <v>0</v>
      </c>
      <c r="X12" s="43" t="n">
        <f aca="false">SUMIFS(Data!$Q$782:$Q$2370,Data!$H$782:$H$2370,B12)</f>
        <v>0</v>
      </c>
      <c r="Y12" s="42" t="n">
        <f aca="false">SUMIFS(Data!$R$2371:$R$3999,Data!$H$2371:$H$3999,B12)</f>
        <v>0</v>
      </c>
      <c r="Z12" s="43" t="n">
        <f aca="false">SUMIFS(Data!$Q$2371:$Q$3999,Data!$H$2371:$H$3999,B12)</f>
        <v>0</v>
      </c>
      <c r="AA12" s="48" t="n">
        <f aca="false">V12+U12+O12+N12+K12+F12+E12+P12</f>
        <v>0</v>
      </c>
      <c r="AB12" s="49" t="n">
        <f aca="false">X12+W12+T12+R12+Q12+L12+H12+G12</f>
        <v>0</v>
      </c>
      <c r="AC12" s="49" t="n">
        <f aca="false">Z12+Y12+T12+S12+M12+J12+I12</f>
        <v>0</v>
      </c>
    </row>
    <row r="13" s="50" customFormat="true" ht="23.25" hidden="false" customHeight="true" outlineLevel="0" collapsed="false">
      <c r="A13" s="31" t="n">
        <f aca="false">Data!AE12</f>
        <v>1007984</v>
      </c>
      <c r="B13" s="31" t="str">
        <f aca="false">Data!AD12</f>
        <v>دار خيلات</v>
      </c>
      <c r="C13" s="31" t="n">
        <f aca="false">Data!AH12</f>
        <v>0</v>
      </c>
      <c r="D13" s="31" t="str">
        <f aca="false">Data!AF12</f>
        <v>ضباء</v>
      </c>
      <c r="E13" s="42" t="n">
        <f aca="false">SUMIFS(Data!$L$2:$L$781,Data!$H$2:$H$781,B13)</f>
        <v>0</v>
      </c>
      <c r="F13" s="43" t="n">
        <f aca="false">SUMIFS(Data!$K$2:$K$781,Data!$H$2:$H$781,B13)</f>
        <v>0</v>
      </c>
      <c r="G13" s="42" t="n">
        <f aca="false">SUMIFS(Data!$L$782:$L$2370,Data!$H$782:$H$2370,B13)</f>
        <v>0</v>
      </c>
      <c r="H13" s="43" t="n">
        <f aca="false">SUMIFS(Data!$K$782:$K$2370,Data!$H$782:$H$2370,B13)</f>
        <v>0</v>
      </c>
      <c r="I13" s="42" t="n">
        <f aca="false">SUMIFS(Data!$L$2371:$L$3999,Data!$H$2371:$H$3999,B13)</f>
        <v>0</v>
      </c>
      <c r="J13" s="43" t="n">
        <f aca="false">SUMIFS(Data!$K$2371:$K$3999,Data!$H$2371:$H$3999,B13)</f>
        <v>0</v>
      </c>
      <c r="K13" s="44" t="n">
        <f aca="false">SUMIFS(Data!$M$2:$M$781,Data!$H$2:$H$781,B13)</f>
        <v>0</v>
      </c>
      <c r="L13" s="42" t="n">
        <f aca="false">SUMIFS(Data!$M$782:$M$2370,Data!$H$782:$H$2370,B13)</f>
        <v>0</v>
      </c>
      <c r="M13" s="42" t="n">
        <f aca="false">SUMIFS(Data!$M$2371:$M$3999,Data!$H$2371:$H$3999,B13)</f>
        <v>0</v>
      </c>
      <c r="N13" s="45" t="n">
        <f aca="false">SUMIFS(Data!$O$2:$O$781,Data!$H$2:$H$781,B13)</f>
        <v>0</v>
      </c>
      <c r="O13" s="43" t="n">
        <f aca="false">SUMIFS(Data!$N$2:$N$781,Data!$H$2:$H$781,B13)</f>
        <v>0</v>
      </c>
      <c r="P13" s="42" t="n">
        <f aca="false">SUMIFS(Data!$P$2:$P$781,Data!$H$2:$H$781,B13)</f>
        <v>0</v>
      </c>
      <c r="Q13" s="43" t="n">
        <f aca="false">SUMIFS(Data!$O$782:$O$2370,Data!$H$782:$H$2370,B13)</f>
        <v>0</v>
      </c>
      <c r="R13" s="43" t="n">
        <f aca="false">SUMIFS(Data!$N$782:$N$2370,Data!$H$782:$H$2370,B13)</f>
        <v>0</v>
      </c>
      <c r="S13" s="43" t="n">
        <f aca="false">SUMIFS(Data!$O$2371:$O$3999,Data!$H$2371:$H$3999,B13)</f>
        <v>0</v>
      </c>
      <c r="T13" s="43" t="n">
        <f aca="false">SUMIFS(Data!$N$2371:$N$3999,Data!$H$2371:$H$3999,B13)</f>
        <v>0</v>
      </c>
      <c r="U13" s="46" t="n">
        <f aca="false">SUMIFS(Data!$R$2:$R$781,Data!$H$2:$H$781,B13)</f>
        <v>0</v>
      </c>
      <c r="V13" s="47" t="n">
        <f aca="false">SUMIFS(Data!$Q$2:$Q$781,Data!$H$2:$H$781,B13)</f>
        <v>0</v>
      </c>
      <c r="W13" s="42" t="n">
        <f aca="false">SUMIFS(Data!$R$782:$R$2370,Data!$H$782:$H$2370,B13)</f>
        <v>0</v>
      </c>
      <c r="X13" s="43" t="n">
        <f aca="false">SUMIFS(Data!$Q$782:$Q$2370,Data!$H$782:$H$2370,B13)</f>
        <v>0</v>
      </c>
      <c r="Y13" s="42" t="n">
        <f aca="false">SUMIFS(Data!$R$2371:$R$3999,Data!$H$2371:$H$3999,B13)</f>
        <v>0</v>
      </c>
      <c r="Z13" s="43" t="n">
        <f aca="false">SUMIFS(Data!$Q$2371:$Q$3999,Data!$H$2371:$H$3999,B13)</f>
        <v>0</v>
      </c>
      <c r="AA13" s="48" t="n">
        <f aca="false">V13+U13+O13+N13+K13+F13+E13+P13</f>
        <v>0</v>
      </c>
      <c r="AB13" s="49" t="n">
        <f aca="false">X13+W13+T13+R13+Q13+L13+H13+G13</f>
        <v>0</v>
      </c>
      <c r="AC13" s="49" t="n">
        <f aca="false">Z13+Y13+T13+S13+M13+J13+I13</f>
        <v>0</v>
      </c>
    </row>
    <row r="14" s="50" customFormat="true" ht="23.25" hidden="false" customHeight="true" outlineLevel="0" collapsed="false">
      <c r="A14" s="31" t="n">
        <f aca="false">Data!AE13</f>
        <v>1007985</v>
      </c>
      <c r="B14" s="31" t="str">
        <f aca="false">Data!AD13</f>
        <v>مجد الفولاذ</v>
      </c>
      <c r="C14" s="31" t="n">
        <f aca="false">Data!AH13</f>
        <v>0</v>
      </c>
      <c r="D14" s="31" t="str">
        <f aca="false">Data!AF13</f>
        <v>ضباء</v>
      </c>
      <c r="E14" s="42" t="n">
        <f aca="false">SUMIFS(Data!$L$2:$L$781,Data!$H$2:$H$781,B14)</f>
        <v>0</v>
      </c>
      <c r="F14" s="43" t="n">
        <f aca="false">SUMIFS(Data!$K$2:$K$781,Data!$H$2:$H$781,B14)</f>
        <v>0</v>
      </c>
      <c r="G14" s="42" t="n">
        <f aca="false">SUMIFS(Data!$L$782:$L$2370,Data!$H$782:$H$2370,B14)</f>
        <v>0</v>
      </c>
      <c r="H14" s="43" t="n">
        <f aca="false">SUMIFS(Data!$K$782:$K$2370,Data!$H$782:$H$2370,B14)</f>
        <v>0</v>
      </c>
      <c r="I14" s="42" t="n">
        <f aca="false">SUMIFS(Data!$L$2371:$L$3999,Data!$H$2371:$H$3999,B14)</f>
        <v>0</v>
      </c>
      <c r="J14" s="43" t="n">
        <f aca="false">SUMIFS(Data!$K$2371:$K$3999,Data!$H$2371:$H$3999,B14)</f>
        <v>0</v>
      </c>
      <c r="K14" s="44" t="n">
        <f aca="false">SUMIFS(Data!$M$2:$M$781,Data!$H$2:$H$781,B14)</f>
        <v>0</v>
      </c>
      <c r="L14" s="42" t="n">
        <f aca="false">SUMIFS(Data!$M$782:$M$2370,Data!$H$782:$H$2370,B14)</f>
        <v>0</v>
      </c>
      <c r="M14" s="42" t="n">
        <f aca="false">SUMIFS(Data!$M$2371:$M$3999,Data!$H$2371:$H$3999,B14)</f>
        <v>0</v>
      </c>
      <c r="N14" s="45" t="n">
        <f aca="false">SUMIFS(Data!$O$2:$O$781,Data!$H$2:$H$781,B14)</f>
        <v>0</v>
      </c>
      <c r="O14" s="43" t="n">
        <f aca="false">SUMIFS(Data!$N$2:$N$781,Data!$H$2:$H$781,B14)</f>
        <v>0</v>
      </c>
      <c r="P14" s="42" t="n">
        <f aca="false">SUMIFS(Data!$P$2:$P$781,Data!$H$2:$H$781,B14)</f>
        <v>0</v>
      </c>
      <c r="Q14" s="43" t="n">
        <f aca="false">SUMIFS(Data!$O$782:$O$2370,Data!$H$782:$H$2370,B14)</f>
        <v>0</v>
      </c>
      <c r="R14" s="43" t="n">
        <f aca="false">SUMIFS(Data!$N$782:$N$2370,Data!$H$782:$H$2370,B14)</f>
        <v>0</v>
      </c>
      <c r="S14" s="43" t="n">
        <f aca="false">SUMIFS(Data!$O$2371:$O$3999,Data!$H$2371:$H$3999,B14)</f>
        <v>0</v>
      </c>
      <c r="T14" s="43" t="n">
        <f aca="false">SUMIFS(Data!$N$2371:$N$3999,Data!$H$2371:$H$3999,B14)</f>
        <v>0</v>
      </c>
      <c r="U14" s="46" t="n">
        <f aca="false">SUMIFS(Data!$R$2:$R$781,Data!$H$2:$H$781,B14)</f>
        <v>0</v>
      </c>
      <c r="V14" s="47" t="n">
        <f aca="false">SUMIFS(Data!$Q$2:$Q$781,Data!$H$2:$H$781,B14)</f>
        <v>0</v>
      </c>
      <c r="W14" s="42" t="n">
        <f aca="false">SUMIFS(Data!$R$782:$R$2370,Data!$H$782:$H$2370,B14)</f>
        <v>0</v>
      </c>
      <c r="X14" s="43" t="n">
        <f aca="false">SUMIFS(Data!$Q$782:$Q$2370,Data!$H$782:$H$2370,B14)</f>
        <v>0</v>
      </c>
      <c r="Y14" s="42" t="n">
        <f aca="false">SUMIFS(Data!$R$2371:$R$3999,Data!$H$2371:$H$3999,B14)</f>
        <v>1</v>
      </c>
      <c r="Z14" s="43" t="n">
        <f aca="false">SUMIFS(Data!$Q$2371:$Q$3999,Data!$H$2371:$H$3999,B14)</f>
        <v>0</v>
      </c>
      <c r="AA14" s="48" t="n">
        <f aca="false">V14+U14+O14+N14+K14+F14+E14+P14</f>
        <v>0</v>
      </c>
      <c r="AB14" s="49" t="n">
        <f aca="false">X14+W14+T14+R14+Q14+L14+H14+G14</f>
        <v>0</v>
      </c>
      <c r="AC14" s="49" t="n">
        <f aca="false">Z14+Y14+T14+S14+M14+J14+I14</f>
        <v>1</v>
      </c>
    </row>
    <row r="15" s="50" customFormat="true" ht="23.25" hidden="false" customHeight="true" outlineLevel="0" collapsed="false">
      <c r="A15" s="31" t="n">
        <f aca="false">Data!AE14</f>
        <v>1007986</v>
      </c>
      <c r="B15" s="31" t="str">
        <f aca="false">Data!AD14</f>
        <v>هواء الضحا</v>
      </c>
      <c r="C15" s="31" t="n">
        <f aca="false">Data!AH14</f>
        <v>0</v>
      </c>
      <c r="D15" s="31" t="str">
        <f aca="false">Data!AF14</f>
        <v>ضباء</v>
      </c>
      <c r="E15" s="42" t="n">
        <f aca="false">SUMIFS(Data!$L$2:$L$781,Data!$H$2:$H$781,B15)</f>
        <v>0</v>
      </c>
      <c r="F15" s="43" t="n">
        <f aca="false">SUMIFS(Data!$K$2:$K$781,Data!$H$2:$H$781,B15)</f>
        <v>0</v>
      </c>
      <c r="G15" s="42" t="n">
        <f aca="false">SUMIFS(Data!$L$782:$L$2370,Data!$H$782:$H$2370,B15)</f>
        <v>0</v>
      </c>
      <c r="H15" s="43" t="n">
        <f aca="false">SUMIFS(Data!$K$782:$K$2370,Data!$H$782:$H$2370,B15)</f>
        <v>0</v>
      </c>
      <c r="I15" s="42" t="n">
        <f aca="false">SUMIFS(Data!$L$2371:$L$3999,Data!$H$2371:$H$3999,B15)</f>
        <v>0</v>
      </c>
      <c r="J15" s="43" t="n">
        <f aca="false">SUMIFS(Data!$K$2371:$K$3999,Data!$H$2371:$H$3999,B15)</f>
        <v>0</v>
      </c>
      <c r="K15" s="44" t="n">
        <f aca="false">SUMIFS(Data!$M$2:$M$781,Data!$H$2:$H$781,B15)</f>
        <v>0</v>
      </c>
      <c r="L15" s="42" t="n">
        <f aca="false">SUMIFS(Data!$M$782:$M$2370,Data!$H$782:$H$2370,B15)</f>
        <v>0</v>
      </c>
      <c r="M15" s="42" t="n">
        <f aca="false">SUMIFS(Data!$M$2371:$M$3999,Data!$H$2371:$H$3999,B15)</f>
        <v>0</v>
      </c>
      <c r="N15" s="45" t="n">
        <f aca="false">SUMIFS(Data!$O$2:$O$781,Data!$H$2:$H$781,B15)</f>
        <v>0</v>
      </c>
      <c r="O15" s="43" t="n">
        <f aca="false">SUMIFS(Data!$N$2:$N$781,Data!$H$2:$H$781,B15)</f>
        <v>0</v>
      </c>
      <c r="P15" s="42" t="n">
        <f aca="false">SUMIFS(Data!$P$2:$P$781,Data!$H$2:$H$781,B15)</f>
        <v>0</v>
      </c>
      <c r="Q15" s="43" t="n">
        <f aca="false">SUMIFS(Data!$O$782:$O$2370,Data!$H$782:$H$2370,B15)</f>
        <v>0</v>
      </c>
      <c r="R15" s="43" t="n">
        <f aca="false">SUMIFS(Data!$N$782:$N$2370,Data!$H$782:$H$2370,B15)</f>
        <v>1</v>
      </c>
      <c r="S15" s="43" t="n">
        <f aca="false">SUMIFS(Data!$O$2371:$O$3999,Data!$H$2371:$H$3999,B15)</f>
        <v>0</v>
      </c>
      <c r="T15" s="43" t="n">
        <f aca="false">SUMIFS(Data!$N$2371:$N$3999,Data!$H$2371:$H$3999,B15)</f>
        <v>0</v>
      </c>
      <c r="U15" s="46" t="n">
        <f aca="false">SUMIFS(Data!$R$2:$R$781,Data!$H$2:$H$781,B15)</f>
        <v>0</v>
      </c>
      <c r="V15" s="47" t="n">
        <f aca="false">SUMIFS(Data!$Q$2:$Q$781,Data!$H$2:$H$781,B15)</f>
        <v>0</v>
      </c>
      <c r="W15" s="42" t="n">
        <f aca="false">SUMIFS(Data!$R$782:$R$2370,Data!$H$782:$H$2370,B15)</f>
        <v>0</v>
      </c>
      <c r="X15" s="43" t="n">
        <f aca="false">SUMIFS(Data!$Q$782:$Q$2370,Data!$H$782:$H$2370,B15)</f>
        <v>0</v>
      </c>
      <c r="Y15" s="42" t="n">
        <f aca="false">SUMIFS(Data!$R$2371:$R$3999,Data!$H$2371:$H$3999,B15)</f>
        <v>0</v>
      </c>
      <c r="Z15" s="43" t="n">
        <f aca="false">SUMIFS(Data!$Q$2371:$Q$3999,Data!$H$2371:$H$3999,B15)</f>
        <v>0</v>
      </c>
      <c r="AA15" s="48" t="n">
        <f aca="false">V15+U15+O15+N15+K15+F15+E15+P15</f>
        <v>0</v>
      </c>
      <c r="AB15" s="49" t="n">
        <f aca="false">X15+W15+T15+R15+Q15+L15+H15+G15</f>
        <v>1</v>
      </c>
      <c r="AC15" s="49" t="n">
        <f aca="false">Z15+Y15+T15+S15+M15+J15+I15</f>
        <v>0</v>
      </c>
    </row>
    <row r="16" s="50" customFormat="true" ht="23.25" hidden="false" customHeight="true" outlineLevel="0" collapsed="false">
      <c r="A16" s="31" t="n">
        <f aca="false">Data!AE15</f>
        <v>1007987</v>
      </c>
      <c r="B16" s="31" t="str">
        <f aca="false">Data!AD15</f>
        <v>مساعد سليمان</v>
      </c>
      <c r="C16" s="31" t="n">
        <f aca="false">Data!AH15</f>
        <v>0</v>
      </c>
      <c r="D16" s="31" t="str">
        <f aca="false">Data!AF15</f>
        <v>ضباء</v>
      </c>
      <c r="E16" s="42" t="n">
        <f aca="false">SUMIFS(Data!$L$2:$L$781,Data!$H$2:$H$781,B16)</f>
        <v>0</v>
      </c>
      <c r="F16" s="43" t="n">
        <f aca="false">SUMIFS(Data!$K$2:$K$781,Data!$H$2:$H$781,B16)</f>
        <v>0</v>
      </c>
      <c r="G16" s="42" t="n">
        <f aca="false">SUMIFS(Data!$L$782:$L$2370,Data!$H$782:$H$2370,B16)</f>
        <v>0</v>
      </c>
      <c r="H16" s="43" t="n">
        <f aca="false">SUMIFS(Data!$K$782:$K$2370,Data!$H$782:$H$2370,B16)</f>
        <v>0</v>
      </c>
      <c r="I16" s="42" t="n">
        <f aca="false">SUMIFS(Data!$L$2371:$L$3999,Data!$H$2371:$H$3999,B16)</f>
        <v>0</v>
      </c>
      <c r="J16" s="43" t="n">
        <f aca="false">SUMIFS(Data!$K$2371:$K$3999,Data!$H$2371:$H$3999,B16)</f>
        <v>0</v>
      </c>
      <c r="K16" s="44" t="n">
        <f aca="false">SUMIFS(Data!$M$2:$M$781,Data!$H$2:$H$781,B16)</f>
        <v>0</v>
      </c>
      <c r="L16" s="42" t="n">
        <f aca="false">SUMIFS(Data!$M$782:$M$2370,Data!$H$782:$H$2370,B16)</f>
        <v>0</v>
      </c>
      <c r="M16" s="42" t="n">
        <f aca="false">SUMIFS(Data!$M$2371:$M$3999,Data!$H$2371:$H$3999,B16)</f>
        <v>0</v>
      </c>
      <c r="N16" s="45" t="n">
        <f aca="false">SUMIFS(Data!$O$2:$O$781,Data!$H$2:$H$781,B16)</f>
        <v>0</v>
      </c>
      <c r="O16" s="43" t="n">
        <f aca="false">SUMIFS(Data!$N$2:$N$781,Data!$H$2:$H$781,B16)</f>
        <v>0</v>
      </c>
      <c r="P16" s="42" t="n">
        <f aca="false">SUMIFS(Data!$P$2:$P$781,Data!$H$2:$H$781,B16)</f>
        <v>0</v>
      </c>
      <c r="Q16" s="43" t="n">
        <f aca="false">SUMIFS(Data!$O$782:$O$2370,Data!$H$782:$H$2370,B16)</f>
        <v>0</v>
      </c>
      <c r="R16" s="43" t="n">
        <f aca="false">SUMIFS(Data!$N$782:$N$2370,Data!$H$782:$H$2370,B16)</f>
        <v>0</v>
      </c>
      <c r="S16" s="43" t="n">
        <f aca="false">SUMIFS(Data!$O$2371:$O$3999,Data!$H$2371:$H$3999,B16)</f>
        <v>1</v>
      </c>
      <c r="T16" s="43" t="n">
        <f aca="false">SUMIFS(Data!$N$2371:$N$3999,Data!$H$2371:$H$3999,B16)</f>
        <v>0</v>
      </c>
      <c r="U16" s="46" t="n">
        <f aca="false">SUMIFS(Data!$R$2:$R$781,Data!$H$2:$H$781,B16)</f>
        <v>0</v>
      </c>
      <c r="V16" s="47" t="n">
        <f aca="false">SUMIFS(Data!$Q$2:$Q$781,Data!$H$2:$H$781,B16)</f>
        <v>0</v>
      </c>
      <c r="W16" s="42" t="n">
        <f aca="false">SUMIFS(Data!$R$782:$R$2370,Data!$H$782:$H$2370,B16)</f>
        <v>0</v>
      </c>
      <c r="X16" s="43" t="n">
        <f aca="false">SUMIFS(Data!$Q$782:$Q$2370,Data!$H$782:$H$2370,B16)</f>
        <v>0</v>
      </c>
      <c r="Y16" s="42" t="n">
        <f aca="false">SUMIFS(Data!$R$2371:$R$3999,Data!$H$2371:$H$3999,B16)</f>
        <v>0</v>
      </c>
      <c r="Z16" s="43" t="n">
        <f aca="false">SUMIFS(Data!$Q$2371:$Q$3999,Data!$H$2371:$H$3999,B16)</f>
        <v>0</v>
      </c>
      <c r="AA16" s="48" t="n">
        <f aca="false">V16+U16+O16+N16+K16+F16+E16+P16</f>
        <v>0</v>
      </c>
      <c r="AB16" s="49" t="n">
        <f aca="false">X16+W16+T16+R16+Q16+L16+H16+G16</f>
        <v>0</v>
      </c>
      <c r="AC16" s="49" t="n">
        <f aca="false">Z16+Y16+T16+S16+M16+J16+I16</f>
        <v>1</v>
      </c>
    </row>
    <row r="17" s="50" customFormat="true" ht="23.25" hidden="false" customHeight="true" outlineLevel="0" collapsed="false">
      <c r="A17" s="31" t="n">
        <f aca="false">Data!AE16</f>
        <v>1007988</v>
      </c>
      <c r="B17" s="31" t="str">
        <f aca="false">Data!AD16</f>
        <v>الهواء النقي</v>
      </c>
      <c r="C17" s="31" t="n">
        <f aca="false">Data!AH16</f>
        <v>501810695</v>
      </c>
      <c r="D17" s="31" t="str">
        <f aca="false">Data!AF16</f>
        <v>ضباء</v>
      </c>
      <c r="E17" s="42" t="n">
        <f aca="false">SUMIFS(Data!$L$2:$L$781,Data!$H$2:$H$781,B17)</f>
        <v>0</v>
      </c>
      <c r="F17" s="43" t="n">
        <f aca="false">SUMIFS(Data!$K$2:$K$781,Data!$H$2:$H$781,B17)</f>
        <v>7</v>
      </c>
      <c r="G17" s="42" t="n">
        <f aca="false">SUMIFS(Data!$L$782:$L$2370,Data!$H$782:$H$2370,B17)</f>
        <v>0</v>
      </c>
      <c r="H17" s="43" t="n">
        <f aca="false">SUMIFS(Data!$K$782:$K$2370,Data!$H$782:$H$2370,B17)</f>
        <v>22</v>
      </c>
      <c r="I17" s="42" t="n">
        <f aca="false">SUMIFS(Data!$L$2371:$L$3999,Data!$H$2371:$H$3999,B17)</f>
        <v>0</v>
      </c>
      <c r="J17" s="43" t="n">
        <f aca="false">SUMIFS(Data!$K$2371:$K$3999,Data!$H$2371:$H$3999,B17)</f>
        <v>4</v>
      </c>
      <c r="K17" s="44" t="n">
        <f aca="false">SUMIFS(Data!$M$2:$M$781,Data!$H$2:$H$781,B17)</f>
        <v>63</v>
      </c>
      <c r="L17" s="42" t="n">
        <f aca="false">SUMIFS(Data!$M$782:$M$2370,Data!$H$782:$H$2370,B17)</f>
        <v>62</v>
      </c>
      <c r="M17" s="42" t="n">
        <f aca="false">SUMIFS(Data!$M$2371:$M$3999,Data!$H$2371:$H$3999,B17)</f>
        <v>13</v>
      </c>
      <c r="N17" s="45" t="n">
        <f aca="false">SUMIFS(Data!$O$2:$O$781,Data!$H$2:$H$781,B17)</f>
        <v>11</v>
      </c>
      <c r="O17" s="43" t="n">
        <f aca="false">SUMIFS(Data!$N$2:$N$781,Data!$H$2:$H$781,B17)</f>
        <v>3</v>
      </c>
      <c r="P17" s="42" t="n">
        <f aca="false">SUMIFS(Data!$P$2:$P$781,Data!$H$2:$H$781,B17)</f>
        <v>0</v>
      </c>
      <c r="Q17" s="43" t="n">
        <f aca="false">SUMIFS(Data!$O$782:$O$2370,Data!$H$782:$H$2370,B17)</f>
        <v>12</v>
      </c>
      <c r="R17" s="43" t="n">
        <f aca="false">SUMIFS(Data!$N$782:$N$2370,Data!$H$782:$H$2370,B17)</f>
        <v>3</v>
      </c>
      <c r="S17" s="43" t="n">
        <f aca="false">SUMIFS(Data!$O$2371:$O$3999,Data!$H$2371:$H$3999,B17)</f>
        <v>9</v>
      </c>
      <c r="T17" s="43" t="n">
        <f aca="false">SUMIFS(Data!$N$2371:$N$3999,Data!$H$2371:$H$3999,B17)</f>
        <v>1</v>
      </c>
      <c r="U17" s="46" t="n">
        <f aca="false">SUMIFS(Data!$R$2:$R$781,Data!$H$2:$H$781,B17)</f>
        <v>1</v>
      </c>
      <c r="V17" s="47" t="n">
        <f aca="false">SUMIFS(Data!$Q$2:$Q$781,Data!$H$2:$H$781,B17)</f>
        <v>0</v>
      </c>
      <c r="W17" s="42" t="n">
        <f aca="false">SUMIFS(Data!$R$782:$R$2370,Data!$H$782:$H$2370,B17)</f>
        <v>5</v>
      </c>
      <c r="X17" s="43" t="n">
        <f aca="false">SUMIFS(Data!$Q$782:$Q$2370,Data!$H$782:$H$2370,B17)</f>
        <v>8</v>
      </c>
      <c r="Y17" s="42" t="n">
        <f aca="false">SUMIFS(Data!$R$2371:$R$3999,Data!$H$2371:$H$3999,B17)</f>
        <v>1</v>
      </c>
      <c r="Z17" s="43" t="n">
        <f aca="false">SUMIFS(Data!$Q$2371:$Q$3999,Data!$H$2371:$H$3999,B17)</f>
        <v>3</v>
      </c>
      <c r="AA17" s="48" t="n">
        <f aca="false">V17+U17+O17+N17+K17+F17+E17+P17</f>
        <v>85</v>
      </c>
      <c r="AB17" s="49" t="n">
        <f aca="false">X17+W17+T17+R17+Q17+L17+H17+G17</f>
        <v>113</v>
      </c>
      <c r="AC17" s="49" t="n">
        <f aca="false">Z17+Y17+T17+S17+M17+J17+I17</f>
        <v>31</v>
      </c>
    </row>
    <row r="18" s="50" customFormat="true" ht="23.25" hidden="false" customHeight="true" outlineLevel="0" collapsed="false">
      <c r="A18" s="31" t="n">
        <f aca="false">Data!AE17</f>
        <v>1007989</v>
      </c>
      <c r="B18" s="31" t="str">
        <f aca="false">Data!AD17</f>
        <v>عبيدالله عابد</v>
      </c>
      <c r="C18" s="31" t="n">
        <f aca="false">Data!AH17</f>
        <v>533260997</v>
      </c>
      <c r="D18" s="31" t="str">
        <f aca="false">Data!AF17</f>
        <v>ضباء</v>
      </c>
      <c r="E18" s="42" t="n">
        <f aca="false">SUMIFS(Data!$L$2:$L$781,Data!$H$2:$H$781,B18)</f>
        <v>0</v>
      </c>
      <c r="F18" s="43" t="n">
        <f aca="false">SUMIFS(Data!$K$2:$K$781,Data!$H$2:$H$781,B18)</f>
        <v>2</v>
      </c>
      <c r="G18" s="42" t="n">
        <f aca="false">SUMIFS(Data!$L$782:$L$2370,Data!$H$782:$H$2370,B18)</f>
        <v>0</v>
      </c>
      <c r="H18" s="43" t="n">
        <f aca="false">SUMIFS(Data!$K$782:$K$2370,Data!$H$782:$H$2370,B18)</f>
        <v>3</v>
      </c>
      <c r="I18" s="42" t="n">
        <f aca="false">SUMIFS(Data!$L$2371:$L$3999,Data!$H$2371:$H$3999,B18)</f>
        <v>0</v>
      </c>
      <c r="J18" s="43" t="n">
        <f aca="false">SUMIFS(Data!$K$2371:$K$3999,Data!$H$2371:$H$3999,B18)</f>
        <v>0</v>
      </c>
      <c r="K18" s="44" t="n">
        <f aca="false">SUMIFS(Data!$M$2:$M$781,Data!$H$2:$H$781,B18)</f>
        <v>7</v>
      </c>
      <c r="L18" s="42" t="n">
        <f aca="false">SUMIFS(Data!$M$782:$M$2370,Data!$H$782:$H$2370,B18)</f>
        <v>8</v>
      </c>
      <c r="M18" s="42" t="n">
        <f aca="false">SUMIFS(Data!$M$2371:$M$3999,Data!$H$2371:$H$3999,B18)</f>
        <v>0</v>
      </c>
      <c r="N18" s="45" t="n">
        <f aca="false">SUMIFS(Data!$O$2:$O$781,Data!$H$2:$H$781,B18)</f>
        <v>15</v>
      </c>
      <c r="O18" s="43" t="n">
        <f aca="false">SUMIFS(Data!$N$2:$N$781,Data!$H$2:$H$781,B18)</f>
        <v>9</v>
      </c>
      <c r="P18" s="42" t="n">
        <f aca="false">SUMIFS(Data!$P$2:$P$781,Data!$H$2:$H$781,B18)</f>
        <v>0</v>
      </c>
      <c r="Q18" s="43" t="n">
        <f aca="false">SUMIFS(Data!$O$782:$O$2370,Data!$H$782:$H$2370,B18)</f>
        <v>1</v>
      </c>
      <c r="R18" s="43" t="n">
        <f aca="false">SUMIFS(Data!$N$782:$N$2370,Data!$H$782:$H$2370,B18)</f>
        <v>0</v>
      </c>
      <c r="S18" s="43" t="n">
        <f aca="false">SUMIFS(Data!$O$2371:$O$3999,Data!$H$2371:$H$3999,B18)</f>
        <v>1</v>
      </c>
      <c r="T18" s="43" t="n">
        <f aca="false">SUMIFS(Data!$N$2371:$N$3999,Data!$H$2371:$H$3999,B18)</f>
        <v>0</v>
      </c>
      <c r="U18" s="46" t="n">
        <f aca="false">SUMIFS(Data!$R$2:$R$781,Data!$H$2:$H$781,B18)</f>
        <v>0</v>
      </c>
      <c r="V18" s="47" t="n">
        <f aca="false">SUMIFS(Data!$Q$2:$Q$781,Data!$H$2:$H$781,B18)</f>
        <v>0</v>
      </c>
      <c r="W18" s="42" t="n">
        <f aca="false">SUMIFS(Data!$R$782:$R$2370,Data!$H$782:$H$2370,B18)</f>
        <v>0</v>
      </c>
      <c r="X18" s="43" t="n">
        <f aca="false">SUMIFS(Data!$Q$782:$Q$2370,Data!$H$782:$H$2370,B18)</f>
        <v>0</v>
      </c>
      <c r="Y18" s="42" t="n">
        <f aca="false">SUMIFS(Data!$R$2371:$R$3999,Data!$H$2371:$H$3999,B18)</f>
        <v>1</v>
      </c>
      <c r="Z18" s="43" t="n">
        <f aca="false">SUMIFS(Data!$Q$2371:$Q$3999,Data!$H$2371:$H$3999,B18)</f>
        <v>0</v>
      </c>
      <c r="AA18" s="48" t="n">
        <f aca="false">V18+U18+O18+N18+K18+F18+E18+P18</f>
        <v>33</v>
      </c>
      <c r="AB18" s="49" t="n">
        <f aca="false">X18+W18+T18+R18+Q18+L18+H18+G18</f>
        <v>12</v>
      </c>
      <c r="AC18" s="49" t="n">
        <f aca="false">Z18+Y18+T18+S18+M18+J18+I18</f>
        <v>2</v>
      </c>
    </row>
    <row r="19" s="50" customFormat="true" ht="23.25" hidden="false" customHeight="true" outlineLevel="0" collapsed="false">
      <c r="A19" s="31" t="n">
        <f aca="false">Data!AE18</f>
        <v>1007990</v>
      </c>
      <c r="B19" s="31" t="str">
        <f aca="false">Data!AD18</f>
        <v>شروق المستقبل</v>
      </c>
      <c r="C19" s="31" t="n">
        <f aca="false">Data!AH18</f>
        <v>0</v>
      </c>
      <c r="D19" s="31" t="str">
        <f aca="false">Data!AF18</f>
        <v>ضباء</v>
      </c>
      <c r="E19" s="42" t="n">
        <f aca="false">SUMIFS(Data!$L$2:$L$781,Data!$H$2:$H$781,B19)</f>
        <v>0</v>
      </c>
      <c r="F19" s="43" t="n">
        <f aca="false">SUMIFS(Data!$K$2:$K$781,Data!$H$2:$H$781,B19)</f>
        <v>0</v>
      </c>
      <c r="G19" s="42" t="n">
        <f aca="false">SUMIFS(Data!$L$782:$L$2370,Data!$H$782:$H$2370,B19)</f>
        <v>0</v>
      </c>
      <c r="H19" s="43" t="n">
        <f aca="false">SUMIFS(Data!$K$782:$K$2370,Data!$H$782:$H$2370,B19)</f>
        <v>3</v>
      </c>
      <c r="I19" s="42" t="n">
        <f aca="false">SUMIFS(Data!$L$2371:$L$3999,Data!$H$2371:$H$3999,B19)</f>
        <v>0</v>
      </c>
      <c r="J19" s="43" t="n">
        <f aca="false">SUMIFS(Data!$K$2371:$K$3999,Data!$H$2371:$H$3999,B19)</f>
        <v>0</v>
      </c>
      <c r="K19" s="44" t="n">
        <f aca="false">SUMIFS(Data!$M$2:$M$781,Data!$H$2:$H$781,B19)</f>
        <v>0</v>
      </c>
      <c r="L19" s="42" t="n">
        <f aca="false">SUMIFS(Data!$M$782:$M$2370,Data!$H$782:$H$2370,B19)</f>
        <v>0</v>
      </c>
      <c r="M19" s="42" t="n">
        <f aca="false">SUMIFS(Data!$M$2371:$M$3999,Data!$H$2371:$H$3999,B19)</f>
        <v>0</v>
      </c>
      <c r="N19" s="45" t="n">
        <f aca="false">SUMIFS(Data!$O$2:$O$781,Data!$H$2:$H$781,B19)</f>
        <v>0</v>
      </c>
      <c r="O19" s="43" t="n">
        <f aca="false">SUMIFS(Data!$N$2:$N$781,Data!$H$2:$H$781,B19)</f>
        <v>0</v>
      </c>
      <c r="P19" s="42" t="n">
        <f aca="false">SUMIFS(Data!$P$2:$P$781,Data!$H$2:$H$781,B19)</f>
        <v>0</v>
      </c>
      <c r="Q19" s="43" t="n">
        <f aca="false">SUMIFS(Data!$O$782:$O$2370,Data!$H$782:$H$2370,B19)</f>
        <v>0</v>
      </c>
      <c r="R19" s="43" t="n">
        <f aca="false">SUMIFS(Data!$N$782:$N$2370,Data!$H$782:$H$2370,B19)</f>
        <v>0</v>
      </c>
      <c r="S19" s="43" t="n">
        <f aca="false">SUMIFS(Data!$O$2371:$O$3999,Data!$H$2371:$H$3999,B19)</f>
        <v>0</v>
      </c>
      <c r="T19" s="43" t="n">
        <f aca="false">SUMIFS(Data!$N$2371:$N$3999,Data!$H$2371:$H$3999,B19)</f>
        <v>0</v>
      </c>
      <c r="U19" s="46" t="n">
        <f aca="false">SUMIFS(Data!$R$2:$R$781,Data!$H$2:$H$781,B19)</f>
        <v>0</v>
      </c>
      <c r="V19" s="47" t="n">
        <f aca="false">SUMIFS(Data!$Q$2:$Q$781,Data!$H$2:$H$781,B19)</f>
        <v>0</v>
      </c>
      <c r="W19" s="42" t="n">
        <f aca="false">SUMIFS(Data!$R$782:$R$2370,Data!$H$782:$H$2370,B19)</f>
        <v>0</v>
      </c>
      <c r="X19" s="43" t="n">
        <f aca="false">SUMIFS(Data!$Q$782:$Q$2370,Data!$H$782:$H$2370,B19)</f>
        <v>0</v>
      </c>
      <c r="Y19" s="42" t="n">
        <f aca="false">SUMIFS(Data!$R$2371:$R$3999,Data!$H$2371:$H$3999,B19)</f>
        <v>0</v>
      </c>
      <c r="Z19" s="43" t="n">
        <f aca="false">SUMIFS(Data!$Q$2371:$Q$3999,Data!$H$2371:$H$3999,B19)</f>
        <v>0</v>
      </c>
      <c r="AA19" s="48" t="n">
        <f aca="false">V19+U19+O19+N19+K19+F19+E19+P19</f>
        <v>0</v>
      </c>
      <c r="AB19" s="49" t="n">
        <f aca="false">X19+W19+T19+R19+Q19+L19+H19+G19</f>
        <v>3</v>
      </c>
      <c r="AC19" s="49" t="n">
        <f aca="false">Z19+Y19+T19+S19+M19+J19+I19</f>
        <v>0</v>
      </c>
    </row>
    <row r="20" s="50" customFormat="true" ht="23.25" hidden="false" customHeight="true" outlineLevel="0" collapsed="false">
      <c r="A20" s="31" t="n">
        <f aca="false">Data!AE19</f>
        <v>1008050</v>
      </c>
      <c r="B20" s="31" t="str">
        <f aca="false">Data!AD19</f>
        <v>ساحل الشمال</v>
      </c>
      <c r="C20" s="31" t="n">
        <f aca="false">Data!AH19</f>
        <v>0</v>
      </c>
      <c r="D20" s="31" t="str">
        <f aca="false">Data!AF19</f>
        <v>ضباء</v>
      </c>
      <c r="E20" s="42" t="n">
        <f aca="false">SUMIFS(Data!$L$2:$L$781,Data!$H$2:$H$781,B20)</f>
        <v>3</v>
      </c>
      <c r="F20" s="43" t="n">
        <f aca="false">SUMIFS(Data!$K$2:$K$781,Data!$H$2:$H$781,B20)</f>
        <v>6</v>
      </c>
      <c r="G20" s="42" t="n">
        <f aca="false">SUMIFS(Data!$L$782:$L$2370,Data!$H$782:$H$2370,B20)</f>
        <v>3</v>
      </c>
      <c r="H20" s="43" t="n">
        <f aca="false">SUMIFS(Data!$K$782:$K$2370,Data!$H$782:$H$2370,B20)</f>
        <v>9</v>
      </c>
      <c r="I20" s="42" t="n">
        <f aca="false">SUMIFS(Data!$L$2371:$L$3999,Data!$H$2371:$H$3999,B20)</f>
        <v>0</v>
      </c>
      <c r="J20" s="43" t="n">
        <f aca="false">SUMIFS(Data!$K$2371:$K$3999,Data!$H$2371:$H$3999,B20)</f>
        <v>0</v>
      </c>
      <c r="K20" s="44" t="n">
        <f aca="false">SUMIFS(Data!$M$2:$M$781,Data!$H$2:$H$781,B20)</f>
        <v>2</v>
      </c>
      <c r="L20" s="42" t="n">
        <f aca="false">SUMIFS(Data!$M$782:$M$2370,Data!$H$782:$H$2370,B20)</f>
        <v>0</v>
      </c>
      <c r="M20" s="42" t="n">
        <f aca="false">SUMIFS(Data!$M$2371:$M$3999,Data!$H$2371:$H$3999,B20)</f>
        <v>0</v>
      </c>
      <c r="N20" s="45" t="n">
        <f aca="false">SUMIFS(Data!$O$2:$O$781,Data!$H$2:$H$781,B20)</f>
        <v>2</v>
      </c>
      <c r="O20" s="43" t="n">
        <f aca="false">SUMIFS(Data!$N$2:$N$781,Data!$H$2:$H$781,B20)</f>
        <v>0</v>
      </c>
      <c r="P20" s="42" t="n">
        <f aca="false">SUMIFS(Data!$P$2:$P$781,Data!$H$2:$H$781,B20)</f>
        <v>0</v>
      </c>
      <c r="Q20" s="43" t="n">
        <f aca="false">SUMIFS(Data!$O$782:$O$2370,Data!$H$782:$H$2370,B20)</f>
        <v>10</v>
      </c>
      <c r="R20" s="43" t="n">
        <f aca="false">SUMIFS(Data!$N$782:$N$2370,Data!$H$782:$H$2370,B20)</f>
        <v>3</v>
      </c>
      <c r="S20" s="43" t="n">
        <f aca="false">SUMIFS(Data!$O$2371:$O$3999,Data!$H$2371:$H$3999,B20)</f>
        <v>8</v>
      </c>
      <c r="T20" s="43" t="n">
        <f aca="false">SUMIFS(Data!$N$2371:$N$3999,Data!$H$2371:$H$3999,B20)</f>
        <v>0</v>
      </c>
      <c r="U20" s="46" t="n">
        <f aca="false">SUMIFS(Data!$R$2:$R$781,Data!$H$2:$H$781,B20)</f>
        <v>0</v>
      </c>
      <c r="V20" s="47" t="n">
        <f aca="false">SUMIFS(Data!$Q$2:$Q$781,Data!$H$2:$H$781,B20)</f>
        <v>0</v>
      </c>
      <c r="W20" s="42" t="n">
        <f aca="false">SUMIFS(Data!$R$782:$R$2370,Data!$H$782:$H$2370,B20)</f>
        <v>0</v>
      </c>
      <c r="X20" s="43" t="n">
        <f aca="false">SUMIFS(Data!$Q$782:$Q$2370,Data!$H$782:$H$2370,B20)</f>
        <v>2</v>
      </c>
      <c r="Y20" s="42" t="n">
        <f aca="false">SUMIFS(Data!$R$2371:$R$3999,Data!$H$2371:$H$3999,B20)</f>
        <v>0</v>
      </c>
      <c r="Z20" s="43" t="n">
        <f aca="false">SUMIFS(Data!$Q$2371:$Q$3999,Data!$H$2371:$H$3999,B20)</f>
        <v>0</v>
      </c>
      <c r="AA20" s="48" t="n">
        <f aca="false">V20+U20+O20+N20+K20+F20+E20+P20</f>
        <v>13</v>
      </c>
      <c r="AB20" s="49" t="n">
        <f aca="false">X20+W20+T20+R20+Q20+L20+H20+G20</f>
        <v>27</v>
      </c>
      <c r="AC20" s="49" t="n">
        <f aca="false">Z20+Y20+T20+S20+M20+J20+I20</f>
        <v>8</v>
      </c>
    </row>
    <row r="21" s="50" customFormat="true" ht="23.25" hidden="false" customHeight="true" outlineLevel="0" collapsed="false">
      <c r="A21" s="31" t="n">
        <f aca="false">Data!AE20</f>
        <v>1008052</v>
      </c>
      <c r="B21" s="31" t="str">
        <f aca="false">Data!AD20</f>
        <v>حمده القرعاني</v>
      </c>
      <c r="C21" s="31" t="n">
        <f aca="false">Data!AH20</f>
        <v>0</v>
      </c>
      <c r="D21" s="31" t="str">
        <f aca="false">Data!AF20</f>
        <v>ضباء</v>
      </c>
      <c r="E21" s="42" t="n">
        <f aca="false">SUMIFS(Data!$L$2:$L$781,Data!$H$2:$H$781,B21)</f>
        <v>0</v>
      </c>
      <c r="F21" s="43" t="n">
        <f aca="false">SUMIFS(Data!$K$2:$K$781,Data!$H$2:$H$781,B21)</f>
        <v>1</v>
      </c>
      <c r="G21" s="42" t="n">
        <f aca="false">SUMIFS(Data!$L$782:$L$2370,Data!$H$782:$H$2370,B21)</f>
        <v>0</v>
      </c>
      <c r="H21" s="43" t="n">
        <f aca="false">SUMIFS(Data!$K$782:$K$2370,Data!$H$782:$H$2370,B21)</f>
        <v>0</v>
      </c>
      <c r="I21" s="42" t="n">
        <f aca="false">SUMIFS(Data!$L$2371:$L$3999,Data!$H$2371:$H$3999,B21)</f>
        <v>0</v>
      </c>
      <c r="J21" s="43" t="n">
        <f aca="false">SUMIFS(Data!$K$2371:$K$3999,Data!$H$2371:$H$3999,B21)</f>
        <v>0</v>
      </c>
      <c r="K21" s="44" t="n">
        <f aca="false">SUMIFS(Data!$M$2:$M$781,Data!$H$2:$H$781,B21)</f>
        <v>0</v>
      </c>
      <c r="L21" s="42" t="n">
        <f aca="false">SUMIFS(Data!$M$782:$M$2370,Data!$H$782:$H$2370,B21)</f>
        <v>0</v>
      </c>
      <c r="M21" s="42" t="n">
        <f aca="false">SUMIFS(Data!$M$2371:$M$3999,Data!$H$2371:$H$3999,B21)</f>
        <v>0</v>
      </c>
      <c r="N21" s="45" t="n">
        <f aca="false">SUMIFS(Data!$O$2:$O$781,Data!$H$2:$H$781,B21)</f>
        <v>0</v>
      </c>
      <c r="O21" s="43" t="n">
        <f aca="false">SUMIFS(Data!$N$2:$N$781,Data!$H$2:$H$781,B21)</f>
        <v>0</v>
      </c>
      <c r="P21" s="42" t="n">
        <f aca="false">SUMIFS(Data!$P$2:$P$781,Data!$H$2:$H$781,B21)</f>
        <v>0</v>
      </c>
      <c r="Q21" s="43" t="n">
        <f aca="false">SUMIFS(Data!$O$782:$O$2370,Data!$H$782:$H$2370,B21)</f>
        <v>0</v>
      </c>
      <c r="R21" s="43" t="n">
        <f aca="false">SUMIFS(Data!$N$782:$N$2370,Data!$H$782:$H$2370,B21)</f>
        <v>0</v>
      </c>
      <c r="S21" s="43" t="n">
        <f aca="false">SUMIFS(Data!$O$2371:$O$3999,Data!$H$2371:$H$3999,B21)</f>
        <v>1</v>
      </c>
      <c r="T21" s="43" t="n">
        <f aca="false">SUMIFS(Data!$N$2371:$N$3999,Data!$H$2371:$H$3999,B21)</f>
        <v>0</v>
      </c>
      <c r="U21" s="46" t="n">
        <f aca="false">SUMIFS(Data!$R$2:$R$781,Data!$H$2:$H$781,B21)</f>
        <v>0</v>
      </c>
      <c r="V21" s="47" t="n">
        <f aca="false">SUMIFS(Data!$Q$2:$Q$781,Data!$H$2:$H$781,B21)</f>
        <v>0</v>
      </c>
      <c r="W21" s="42" t="n">
        <f aca="false">SUMIFS(Data!$R$782:$R$2370,Data!$H$782:$H$2370,B21)</f>
        <v>0</v>
      </c>
      <c r="X21" s="43" t="n">
        <f aca="false">SUMIFS(Data!$Q$782:$Q$2370,Data!$H$782:$H$2370,B21)</f>
        <v>0</v>
      </c>
      <c r="Y21" s="42" t="n">
        <f aca="false">SUMIFS(Data!$R$2371:$R$3999,Data!$H$2371:$H$3999,B21)</f>
        <v>0</v>
      </c>
      <c r="Z21" s="43" t="n">
        <f aca="false">SUMIFS(Data!$Q$2371:$Q$3999,Data!$H$2371:$H$3999,B21)</f>
        <v>0</v>
      </c>
      <c r="AA21" s="48" t="n">
        <f aca="false">V21+U21+O21+N21+K21+F21+E21+P21</f>
        <v>1</v>
      </c>
      <c r="AB21" s="49" t="n">
        <f aca="false">X21+W21+T21+R21+Q21+L21+H21+G21</f>
        <v>0</v>
      </c>
      <c r="AC21" s="49" t="n">
        <f aca="false">Z21+Y21+T21+S21+M21+J21+I21</f>
        <v>1</v>
      </c>
    </row>
    <row r="22" s="50" customFormat="true" ht="21" hidden="false" customHeight="true" outlineLevel="0" collapsed="false">
      <c r="A22" s="31" t="n">
        <f aca="false">Data!AE21</f>
        <v>1008022</v>
      </c>
      <c r="B22" s="31" t="str">
        <f aca="false">Data!AD21</f>
        <v>التوفيق ضباء</v>
      </c>
      <c r="C22" s="31" t="n">
        <f aca="false">Data!AH21</f>
        <v>502629397</v>
      </c>
      <c r="D22" s="31" t="str">
        <f aca="false">Data!AF21</f>
        <v>ضباء</v>
      </c>
      <c r="E22" s="42" t="n">
        <f aca="false">SUMIFS(Data!$L$2:$L$781,Data!$H$2:$H$781,B22)</f>
        <v>1</v>
      </c>
      <c r="F22" s="43" t="n">
        <f aca="false">SUMIFS(Data!$K$2:$K$781,Data!$H$2:$H$781,B22)</f>
        <v>13</v>
      </c>
      <c r="G22" s="42" t="n">
        <f aca="false">SUMIFS(Data!$L$782:$L$2370,Data!$H$782:$H$2370,B22)</f>
        <v>0</v>
      </c>
      <c r="H22" s="43" t="n">
        <f aca="false">SUMIFS(Data!$K$782:$K$2370,Data!$H$782:$H$2370,B22)</f>
        <v>15</v>
      </c>
      <c r="I22" s="42" t="n">
        <f aca="false">SUMIFS(Data!$L$2371:$L$3999,Data!$H$2371:$H$3999,B22)</f>
        <v>0</v>
      </c>
      <c r="J22" s="43" t="n">
        <f aca="false">SUMIFS(Data!$K$2371:$K$3999,Data!$H$2371:$H$3999,B22)</f>
        <v>4</v>
      </c>
      <c r="K22" s="44" t="n">
        <f aca="false">SUMIFS(Data!$M$2:$M$781,Data!$H$2:$H$781,B22)</f>
        <v>20</v>
      </c>
      <c r="L22" s="42" t="n">
        <f aca="false">SUMIFS(Data!$M$782:$M$2370,Data!$H$782:$H$2370,B22)</f>
        <v>8</v>
      </c>
      <c r="M22" s="42" t="n">
        <f aca="false">SUMIFS(Data!$M$2371:$M$3999,Data!$H$2371:$H$3999,B22)</f>
        <v>7</v>
      </c>
      <c r="N22" s="45" t="n">
        <f aca="false">SUMIFS(Data!$O$2:$O$781,Data!$H$2:$H$781,B22)</f>
        <v>9</v>
      </c>
      <c r="O22" s="43" t="n">
        <f aca="false">SUMIFS(Data!$N$2:$N$781,Data!$H$2:$H$781,B22)</f>
        <v>6</v>
      </c>
      <c r="P22" s="42" t="n">
        <f aca="false">SUMIFS(Data!$P$2:$P$781,Data!$H$2:$H$781,B22)</f>
        <v>0</v>
      </c>
      <c r="Q22" s="43" t="n">
        <f aca="false">SUMIFS(Data!$O$782:$O$2370,Data!$H$782:$H$2370,B22)</f>
        <v>9</v>
      </c>
      <c r="R22" s="43" t="n">
        <f aca="false">SUMIFS(Data!$N$782:$N$2370,Data!$H$782:$H$2370,B22)</f>
        <v>4</v>
      </c>
      <c r="S22" s="43" t="n">
        <f aca="false">SUMIFS(Data!$O$2371:$O$3999,Data!$H$2371:$H$3999,B22)</f>
        <v>0</v>
      </c>
      <c r="T22" s="43" t="n">
        <f aca="false">SUMIFS(Data!$N$2371:$N$3999,Data!$H$2371:$H$3999,B22)</f>
        <v>0</v>
      </c>
      <c r="U22" s="46" t="n">
        <f aca="false">SUMIFS(Data!$R$2:$R$781,Data!$H$2:$H$781,B22)</f>
        <v>6</v>
      </c>
      <c r="V22" s="47" t="n">
        <f aca="false">SUMIFS(Data!$Q$2:$Q$781,Data!$H$2:$H$781,B22)</f>
        <v>1</v>
      </c>
      <c r="W22" s="42" t="n">
        <f aca="false">SUMIFS(Data!$R$782:$R$2370,Data!$H$782:$H$2370,B22)</f>
        <v>5</v>
      </c>
      <c r="X22" s="43" t="n">
        <f aca="false">SUMIFS(Data!$Q$782:$Q$2370,Data!$H$782:$H$2370,B22)</f>
        <v>5</v>
      </c>
      <c r="Y22" s="42" t="n">
        <f aca="false">SUMIFS(Data!$R$2371:$R$3999,Data!$H$2371:$H$3999,B22)</f>
        <v>1</v>
      </c>
      <c r="Z22" s="43" t="n">
        <f aca="false">SUMIFS(Data!$Q$2371:$Q$3999,Data!$H$2371:$H$3999,B22)</f>
        <v>3</v>
      </c>
      <c r="AA22" s="48" t="n">
        <f aca="false">V22+U22+O22+N22+K22+F22+E22+P22</f>
        <v>56</v>
      </c>
      <c r="AB22" s="49" t="n">
        <f aca="false">X22+W22+T22+R22+Q22+L22+H22+G22</f>
        <v>46</v>
      </c>
      <c r="AC22" s="49" t="n">
        <f aca="false">Z22+Y22+T22+S22+M22+J22+I22</f>
        <v>15</v>
      </c>
    </row>
    <row r="23" s="50" customFormat="true" ht="23.25" hidden="false" customHeight="true" outlineLevel="0" collapsed="false">
      <c r="A23" s="31" t="n">
        <f aca="false">Data!AE22</f>
        <v>1008023</v>
      </c>
      <c r="B23" s="31" t="str">
        <f aca="false">Data!AD22</f>
        <v>كيان</v>
      </c>
      <c r="C23" s="31" t="n">
        <f aca="false">Data!AH22</f>
        <v>544533737</v>
      </c>
      <c r="D23" s="31" t="str">
        <f aca="false">Data!AF22</f>
        <v>ضباء</v>
      </c>
      <c r="E23" s="42" t="n">
        <f aca="false">SUMIFS(Data!$L$2:$L$781,Data!$H$2:$H$781,B23)</f>
        <v>1</v>
      </c>
      <c r="F23" s="43" t="n">
        <f aca="false">SUMIFS(Data!$K$2:$K$781,Data!$H$2:$H$781,B23)</f>
        <v>4</v>
      </c>
      <c r="G23" s="42" t="n">
        <f aca="false">SUMIFS(Data!$L$782:$L$2370,Data!$H$782:$H$2370,B23)</f>
        <v>3</v>
      </c>
      <c r="H23" s="43" t="n">
        <f aca="false">SUMIFS(Data!$K$782:$K$2370,Data!$H$782:$H$2370,B23)</f>
        <v>35</v>
      </c>
      <c r="I23" s="42" t="n">
        <f aca="false">SUMIFS(Data!$L$2371:$L$3999,Data!$H$2371:$H$3999,B23)</f>
        <v>0</v>
      </c>
      <c r="J23" s="43" t="n">
        <f aca="false">SUMIFS(Data!$K$2371:$K$3999,Data!$H$2371:$H$3999,B23)</f>
        <v>0</v>
      </c>
      <c r="K23" s="44" t="n">
        <f aca="false">SUMIFS(Data!$M$2:$M$781,Data!$H$2:$H$781,B23)</f>
        <v>26</v>
      </c>
      <c r="L23" s="42" t="n">
        <f aca="false">SUMIFS(Data!$M$782:$M$2370,Data!$H$782:$H$2370,B23)</f>
        <v>46</v>
      </c>
      <c r="M23" s="42" t="n">
        <f aca="false">SUMIFS(Data!$M$2371:$M$3999,Data!$H$2371:$H$3999,B23)</f>
        <v>7</v>
      </c>
      <c r="N23" s="45" t="n">
        <f aca="false">SUMIFS(Data!$O$2:$O$781,Data!$H$2:$H$781,B23)</f>
        <v>2</v>
      </c>
      <c r="O23" s="43" t="n">
        <f aca="false">SUMIFS(Data!$N$2:$N$781,Data!$H$2:$H$781,B23)</f>
        <v>3</v>
      </c>
      <c r="P23" s="42" t="n">
        <f aca="false">SUMIFS(Data!$P$2:$P$781,Data!$H$2:$H$781,B23)</f>
        <v>0</v>
      </c>
      <c r="Q23" s="43" t="n">
        <f aca="false">SUMIFS(Data!$O$782:$O$2370,Data!$H$782:$H$2370,B23)</f>
        <v>0</v>
      </c>
      <c r="R23" s="43" t="n">
        <f aca="false">SUMIFS(Data!$N$782:$N$2370,Data!$H$782:$H$2370,B23)</f>
        <v>20</v>
      </c>
      <c r="S23" s="43" t="n">
        <f aca="false">SUMIFS(Data!$O$2371:$O$3999,Data!$H$2371:$H$3999,B23)</f>
        <v>0</v>
      </c>
      <c r="T23" s="43" t="n">
        <f aca="false">SUMIFS(Data!$N$2371:$N$3999,Data!$H$2371:$H$3999,B23)</f>
        <v>0</v>
      </c>
      <c r="U23" s="46" t="n">
        <f aca="false">SUMIFS(Data!$R$2:$R$781,Data!$H$2:$H$781,B23)</f>
        <v>0</v>
      </c>
      <c r="V23" s="47" t="n">
        <f aca="false">SUMIFS(Data!$Q$2:$Q$781,Data!$H$2:$H$781,B23)</f>
        <v>4</v>
      </c>
      <c r="W23" s="42" t="n">
        <f aca="false">SUMIFS(Data!$R$782:$R$2370,Data!$H$782:$H$2370,B23)</f>
        <v>12</v>
      </c>
      <c r="X23" s="43" t="n">
        <f aca="false">SUMIFS(Data!$Q$782:$Q$2370,Data!$H$782:$H$2370,B23)</f>
        <v>30</v>
      </c>
      <c r="Y23" s="42" t="n">
        <f aca="false">SUMIFS(Data!$R$2371:$R$3999,Data!$H$2371:$H$3999,B23)</f>
        <v>0</v>
      </c>
      <c r="Z23" s="43" t="n">
        <f aca="false">SUMIFS(Data!$Q$2371:$Q$3999,Data!$H$2371:$H$3999,B23)</f>
        <v>0</v>
      </c>
      <c r="AA23" s="48" t="n">
        <f aca="false">V23+U23+O23+N23+K23+F23+E23+P23</f>
        <v>40</v>
      </c>
      <c r="AB23" s="49" t="n">
        <f aca="false">X23+W23+T23+R23+Q23+L23+H23+G23</f>
        <v>146</v>
      </c>
      <c r="AC23" s="49" t="n">
        <f aca="false">Z23+Y23+T23+S23+M23+J23+I23</f>
        <v>7</v>
      </c>
    </row>
    <row r="24" s="50" customFormat="true" ht="23.25" hidden="false" customHeight="true" outlineLevel="0" collapsed="false">
      <c r="A24" s="31" t="n">
        <f aca="false">Data!AE23</f>
        <v>1008024</v>
      </c>
      <c r="B24" s="31" t="str">
        <f aca="false">Data!AD23</f>
        <v>فاطمه محمد</v>
      </c>
      <c r="C24" s="31" t="n">
        <f aca="false">Data!AH23</f>
        <v>500097858</v>
      </c>
      <c r="D24" s="31" t="str">
        <f aca="false">Data!AF23</f>
        <v>ضباء</v>
      </c>
      <c r="E24" s="42" t="n">
        <f aca="false">SUMIFS(Data!$L$2:$L$781,Data!$H$2:$H$781,B24)</f>
        <v>8</v>
      </c>
      <c r="F24" s="43" t="n">
        <f aca="false">SUMIFS(Data!$K$2:$K$781,Data!$H$2:$H$781,B24)</f>
        <v>32</v>
      </c>
      <c r="G24" s="42" t="n">
        <f aca="false">SUMIFS(Data!$L$782:$L$2370,Data!$H$782:$H$2370,B24)</f>
        <v>1</v>
      </c>
      <c r="H24" s="43" t="n">
        <f aca="false">SUMIFS(Data!$K$782:$K$2370,Data!$H$782:$H$2370,B24)</f>
        <v>39</v>
      </c>
      <c r="I24" s="42" t="n">
        <f aca="false">SUMIFS(Data!$L$2371:$L$3999,Data!$H$2371:$H$3999,B24)</f>
        <v>7</v>
      </c>
      <c r="J24" s="43" t="n">
        <f aca="false">SUMIFS(Data!$K$2371:$K$3999,Data!$H$2371:$H$3999,B24)</f>
        <v>7</v>
      </c>
      <c r="K24" s="44" t="n">
        <f aca="false">SUMIFS(Data!$M$2:$M$781,Data!$H$2:$H$781,B24)</f>
        <v>39</v>
      </c>
      <c r="L24" s="42" t="n">
        <f aca="false">SUMIFS(Data!$M$782:$M$2370,Data!$H$782:$H$2370,B24)</f>
        <v>46</v>
      </c>
      <c r="M24" s="42" t="n">
        <f aca="false">SUMIFS(Data!$M$2371:$M$3999,Data!$H$2371:$H$3999,B24)</f>
        <v>2</v>
      </c>
      <c r="N24" s="45" t="n">
        <f aca="false">SUMIFS(Data!$O$2:$O$781,Data!$H$2:$H$781,B24)</f>
        <v>11</v>
      </c>
      <c r="O24" s="43" t="n">
        <f aca="false">SUMIFS(Data!$N$2:$N$781,Data!$H$2:$H$781,B24)</f>
        <v>6</v>
      </c>
      <c r="P24" s="42" t="n">
        <f aca="false">SUMIFS(Data!$P$2:$P$781,Data!$H$2:$H$781,B24)</f>
        <v>0</v>
      </c>
      <c r="Q24" s="43" t="n">
        <f aca="false">SUMIFS(Data!$O$782:$O$2370,Data!$H$782:$H$2370,B24)</f>
        <v>15</v>
      </c>
      <c r="R24" s="43" t="n">
        <f aca="false">SUMIFS(Data!$N$782:$N$2370,Data!$H$782:$H$2370,B24)</f>
        <v>12</v>
      </c>
      <c r="S24" s="43" t="n">
        <f aca="false">SUMIFS(Data!$O$2371:$O$3999,Data!$H$2371:$H$3999,B24)</f>
        <v>2</v>
      </c>
      <c r="T24" s="43" t="n">
        <f aca="false">SUMIFS(Data!$N$2371:$N$3999,Data!$H$2371:$H$3999,B24)</f>
        <v>0</v>
      </c>
      <c r="U24" s="46" t="n">
        <f aca="false">SUMIFS(Data!$R$2:$R$781,Data!$H$2:$H$781,B24)</f>
        <v>8</v>
      </c>
      <c r="V24" s="47" t="n">
        <f aca="false">SUMIFS(Data!$Q$2:$Q$781,Data!$H$2:$H$781,B24)</f>
        <v>0</v>
      </c>
      <c r="W24" s="42" t="n">
        <f aca="false">SUMIFS(Data!$R$782:$R$2370,Data!$H$782:$H$2370,B24)</f>
        <v>6</v>
      </c>
      <c r="X24" s="43" t="n">
        <f aca="false">SUMIFS(Data!$Q$782:$Q$2370,Data!$H$782:$H$2370,B24)</f>
        <v>0</v>
      </c>
      <c r="Y24" s="42" t="n">
        <f aca="false">SUMIFS(Data!$R$2371:$R$3999,Data!$H$2371:$H$3999,B24)</f>
        <v>3</v>
      </c>
      <c r="Z24" s="43" t="n">
        <f aca="false">SUMIFS(Data!$Q$2371:$Q$3999,Data!$H$2371:$H$3999,B24)</f>
        <v>0</v>
      </c>
      <c r="AA24" s="48" t="n">
        <f aca="false">V24+U24+O24+N24+K24+F24+E24+P24</f>
        <v>104</v>
      </c>
      <c r="AB24" s="49" t="n">
        <f aca="false">X24+W24+T24+R24+Q24+L24+H24+G24</f>
        <v>119</v>
      </c>
      <c r="AC24" s="49" t="n">
        <f aca="false">Z24+Y24+T24+S24+M24+J24+I24</f>
        <v>21</v>
      </c>
    </row>
    <row r="25" s="50" customFormat="true" ht="23.25" hidden="false" customHeight="true" outlineLevel="0" collapsed="false">
      <c r="A25" s="31" t="n">
        <f aca="false">Data!AE24</f>
        <v>1008025</v>
      </c>
      <c r="B25" s="31" t="str">
        <f aca="false">Data!AD24</f>
        <v>محمود عبيدان</v>
      </c>
      <c r="C25" s="31" t="n">
        <f aca="false">Data!AH24</f>
        <v>501727433</v>
      </c>
      <c r="D25" s="31" t="str">
        <f aca="false">Data!AF24</f>
        <v>ضباء</v>
      </c>
      <c r="E25" s="42" t="n">
        <f aca="false">SUMIFS(Data!$L$2:$L$781,Data!$H$2:$H$781,B25)</f>
        <v>5</v>
      </c>
      <c r="F25" s="43" t="n">
        <f aca="false">SUMIFS(Data!$K$2:$K$781,Data!$H$2:$H$781,B25)</f>
        <v>12</v>
      </c>
      <c r="G25" s="42" t="n">
        <f aca="false">SUMIFS(Data!$L$782:$L$2370,Data!$H$782:$H$2370,B25)</f>
        <v>2</v>
      </c>
      <c r="H25" s="43" t="n">
        <f aca="false">SUMIFS(Data!$K$782:$K$2370,Data!$H$782:$H$2370,B25)</f>
        <v>12</v>
      </c>
      <c r="I25" s="42" t="n">
        <f aca="false">SUMIFS(Data!$L$2371:$L$3999,Data!$H$2371:$H$3999,B25)</f>
        <v>0</v>
      </c>
      <c r="J25" s="43" t="n">
        <f aca="false">SUMIFS(Data!$K$2371:$K$3999,Data!$H$2371:$H$3999,B25)</f>
        <v>4</v>
      </c>
      <c r="K25" s="44" t="n">
        <f aca="false">SUMIFS(Data!$M$2:$M$781,Data!$H$2:$H$781,B25)</f>
        <v>1</v>
      </c>
      <c r="L25" s="42" t="n">
        <f aca="false">SUMIFS(Data!$M$782:$M$2370,Data!$H$782:$H$2370,B25)</f>
        <v>8</v>
      </c>
      <c r="M25" s="42" t="n">
        <f aca="false">SUMIFS(Data!$M$2371:$M$3999,Data!$H$2371:$H$3999,B25)</f>
        <v>2</v>
      </c>
      <c r="N25" s="45" t="n">
        <f aca="false">SUMIFS(Data!$O$2:$O$781,Data!$H$2:$H$781,B25)</f>
        <v>4</v>
      </c>
      <c r="O25" s="43" t="n">
        <f aca="false">SUMIFS(Data!$N$2:$N$781,Data!$H$2:$H$781,B25)</f>
        <v>0</v>
      </c>
      <c r="P25" s="42" t="n">
        <f aca="false">SUMIFS(Data!$P$2:$P$781,Data!$H$2:$H$781,B25)</f>
        <v>0</v>
      </c>
      <c r="Q25" s="43" t="n">
        <f aca="false">SUMIFS(Data!$O$782:$O$2370,Data!$H$782:$H$2370,B25)</f>
        <v>2</v>
      </c>
      <c r="R25" s="43" t="n">
        <f aca="false">SUMIFS(Data!$N$782:$N$2370,Data!$H$782:$H$2370,B25)</f>
        <v>9</v>
      </c>
      <c r="S25" s="43" t="n">
        <f aca="false">SUMIFS(Data!$O$2371:$O$3999,Data!$H$2371:$H$3999,B25)</f>
        <v>0</v>
      </c>
      <c r="T25" s="43" t="n">
        <f aca="false">SUMIFS(Data!$N$2371:$N$3999,Data!$H$2371:$H$3999,B25)</f>
        <v>0</v>
      </c>
      <c r="U25" s="46" t="n">
        <f aca="false">SUMIFS(Data!$R$2:$R$781,Data!$H$2:$H$781,B25)</f>
        <v>4</v>
      </c>
      <c r="V25" s="47" t="n">
        <f aca="false">SUMIFS(Data!$Q$2:$Q$781,Data!$H$2:$H$781,B25)</f>
        <v>1</v>
      </c>
      <c r="W25" s="42" t="n">
        <f aca="false">SUMIFS(Data!$R$782:$R$2370,Data!$H$782:$H$2370,B25)</f>
        <v>3</v>
      </c>
      <c r="X25" s="43" t="n">
        <f aca="false">SUMIFS(Data!$Q$782:$Q$2370,Data!$H$782:$H$2370,B25)</f>
        <v>3</v>
      </c>
      <c r="Y25" s="42" t="n">
        <f aca="false">SUMIFS(Data!$R$2371:$R$3999,Data!$H$2371:$H$3999,B25)</f>
        <v>1</v>
      </c>
      <c r="Z25" s="43" t="n">
        <f aca="false">SUMIFS(Data!$Q$2371:$Q$3999,Data!$H$2371:$H$3999,B25)</f>
        <v>1</v>
      </c>
      <c r="AA25" s="48" t="n">
        <f aca="false">V25+U25+O25+N25+K25+F25+E25+P25</f>
        <v>27</v>
      </c>
      <c r="AB25" s="49" t="n">
        <f aca="false">X25+W25+T25+R25+Q25+L25+H25+G25</f>
        <v>39</v>
      </c>
      <c r="AC25" s="49" t="n">
        <f aca="false">Z25+Y25+T25+S25+M25+J25+I25</f>
        <v>8</v>
      </c>
    </row>
    <row r="26" s="50" customFormat="true" ht="23.25" hidden="false" customHeight="true" outlineLevel="0" collapsed="false">
      <c r="A26" s="31" t="n">
        <f aca="false">Data!AE25</f>
        <v>1301</v>
      </c>
      <c r="B26" s="31" t="str">
        <f aca="false">Data!AD25</f>
        <v>عالم الزيوت ضبا</v>
      </c>
      <c r="C26" s="31" t="n">
        <f aca="false">Data!AH25</f>
        <v>536199319</v>
      </c>
      <c r="D26" s="31" t="str">
        <f aca="false">Data!AF25</f>
        <v>ضباء</v>
      </c>
      <c r="E26" s="42" t="n">
        <f aca="false">SUMIFS(Data!$L$2:$L$781,Data!$H$2:$H$781,B26)</f>
        <v>0</v>
      </c>
      <c r="F26" s="43" t="n">
        <f aca="false">SUMIFS(Data!$K$2:$K$781,Data!$H$2:$H$781,B26)</f>
        <v>0</v>
      </c>
      <c r="G26" s="42" t="n">
        <f aca="false">SUMIFS(Data!$L$782:$L$2370,Data!$H$782:$H$2370,B26)</f>
        <v>0</v>
      </c>
      <c r="H26" s="43" t="n">
        <f aca="false">SUMIFS(Data!$K$782:$K$2370,Data!$H$782:$H$2370,B26)</f>
        <v>0</v>
      </c>
      <c r="I26" s="42" t="n">
        <f aca="false">SUMIFS(Data!$L$2371:$L$3999,Data!$H$2371:$H$3999,B26)</f>
        <v>0</v>
      </c>
      <c r="J26" s="43" t="n">
        <f aca="false">SUMIFS(Data!$K$2371:$K$3999,Data!$H$2371:$H$3999,B26)</f>
        <v>12</v>
      </c>
      <c r="K26" s="44" t="n">
        <f aca="false">SUMIFS(Data!$M$2:$M$781,Data!$H$2:$H$781,B26)</f>
        <v>0</v>
      </c>
      <c r="L26" s="42" t="n">
        <f aca="false">SUMIFS(Data!$M$782:$M$2370,Data!$H$782:$H$2370,B26)</f>
        <v>0</v>
      </c>
      <c r="M26" s="42" t="n">
        <f aca="false">SUMIFS(Data!$M$2371:$M$3999,Data!$H$2371:$H$3999,B26)</f>
        <v>14</v>
      </c>
      <c r="N26" s="45" t="n">
        <f aca="false">SUMIFS(Data!$O$2:$O$781,Data!$H$2:$H$781,B26)</f>
        <v>0</v>
      </c>
      <c r="O26" s="43" t="n">
        <f aca="false">SUMIFS(Data!$N$2:$N$781,Data!$H$2:$H$781,B26)</f>
        <v>0</v>
      </c>
      <c r="P26" s="42" t="n">
        <f aca="false">SUMIFS(Data!$P$2:$P$781,Data!$H$2:$H$781,B26)</f>
        <v>0</v>
      </c>
      <c r="Q26" s="43" t="n">
        <f aca="false">SUMIFS(Data!$O$782:$O$2370,Data!$H$782:$H$2370,B26)</f>
        <v>0</v>
      </c>
      <c r="R26" s="43" t="n">
        <f aca="false">SUMIFS(Data!$N$782:$N$2370,Data!$H$782:$H$2370,B26)</f>
        <v>0</v>
      </c>
      <c r="S26" s="43" t="n">
        <f aca="false">SUMIFS(Data!$O$2371:$O$3999,Data!$H$2371:$H$3999,B26)</f>
        <v>0</v>
      </c>
      <c r="T26" s="43" t="n">
        <f aca="false">SUMIFS(Data!$N$2371:$N$3999,Data!$H$2371:$H$3999,B26)</f>
        <v>0</v>
      </c>
      <c r="U26" s="46" t="n">
        <f aca="false">SUMIFS(Data!$R$2:$R$781,Data!$H$2:$H$781,B26)</f>
        <v>0</v>
      </c>
      <c r="V26" s="47" t="n">
        <f aca="false">SUMIFS(Data!$Q$2:$Q$781,Data!$H$2:$H$781,B26)</f>
        <v>0</v>
      </c>
      <c r="W26" s="42" t="n">
        <f aca="false">SUMIFS(Data!$R$782:$R$2370,Data!$H$782:$H$2370,B26)</f>
        <v>0</v>
      </c>
      <c r="X26" s="43" t="n">
        <f aca="false">SUMIFS(Data!$Q$782:$Q$2370,Data!$H$782:$H$2370,B26)</f>
        <v>0</v>
      </c>
      <c r="Y26" s="42" t="n">
        <f aca="false">SUMIFS(Data!$R$2371:$R$3999,Data!$H$2371:$H$3999,B26)</f>
        <v>0</v>
      </c>
      <c r="Z26" s="43" t="n">
        <f aca="false">SUMIFS(Data!$Q$2371:$Q$3999,Data!$H$2371:$H$3999,B26)</f>
        <v>0</v>
      </c>
      <c r="AA26" s="48" t="n">
        <f aca="false">V26+U26+O26+N26+K26+F26+E26+P26</f>
        <v>0</v>
      </c>
      <c r="AB26" s="49" t="n">
        <f aca="false">X26+W26+T26+R26+Q26+L26+H26+G26</f>
        <v>0</v>
      </c>
      <c r="AC26" s="49" t="n">
        <f aca="false">Z26+Y26+T26+S26+M26+J26+I26</f>
        <v>26</v>
      </c>
    </row>
    <row r="27" s="50" customFormat="true" ht="23.25" hidden="false" customHeight="true" outlineLevel="0" collapsed="false">
      <c r="A27" s="31" t="n">
        <f aca="false">Data!AE26</f>
        <v>1008028</v>
      </c>
      <c r="B27" s="31" t="str">
        <f aca="false">Data!AD26</f>
        <v>محرك الساحل</v>
      </c>
      <c r="C27" s="31" t="n">
        <f aca="false">Data!AH26</f>
        <v>532054713</v>
      </c>
      <c r="D27" s="31" t="str">
        <f aca="false">Data!AF26</f>
        <v>ضباء</v>
      </c>
      <c r="E27" s="42" t="n">
        <f aca="false">SUMIFS(Data!$L$2:$L$781,Data!$H$2:$H$781,B27)</f>
        <v>0</v>
      </c>
      <c r="F27" s="43" t="n">
        <f aca="false">SUMIFS(Data!$K$2:$K$781,Data!$H$2:$H$781,B27)</f>
        <v>3</v>
      </c>
      <c r="G27" s="42" t="n">
        <f aca="false">SUMIFS(Data!$L$782:$L$2370,Data!$H$782:$H$2370,B27)</f>
        <v>0</v>
      </c>
      <c r="H27" s="43" t="n">
        <f aca="false">SUMIFS(Data!$K$782:$K$2370,Data!$H$782:$H$2370,B27)</f>
        <v>0</v>
      </c>
      <c r="I27" s="42" t="n">
        <f aca="false">SUMIFS(Data!$L$2371:$L$3999,Data!$H$2371:$H$3999,B27)</f>
        <v>0</v>
      </c>
      <c r="J27" s="43" t="n">
        <f aca="false">SUMIFS(Data!$K$2371:$K$3999,Data!$H$2371:$H$3999,B27)</f>
        <v>0</v>
      </c>
      <c r="K27" s="44" t="n">
        <f aca="false">SUMIFS(Data!$M$2:$M$781,Data!$H$2:$H$781,B27)</f>
        <v>2</v>
      </c>
      <c r="L27" s="42" t="n">
        <f aca="false">SUMIFS(Data!$M$782:$M$2370,Data!$H$782:$H$2370,B27)</f>
        <v>5</v>
      </c>
      <c r="M27" s="42" t="n">
        <f aca="false">SUMIFS(Data!$M$2371:$M$3999,Data!$H$2371:$H$3999,B27)</f>
        <v>0</v>
      </c>
      <c r="N27" s="45" t="n">
        <f aca="false">SUMIFS(Data!$O$2:$O$781,Data!$H$2:$H$781,B27)</f>
        <v>2</v>
      </c>
      <c r="O27" s="43" t="n">
        <f aca="false">SUMIFS(Data!$N$2:$N$781,Data!$H$2:$H$781,B27)</f>
        <v>1</v>
      </c>
      <c r="P27" s="42" t="n">
        <f aca="false">SUMIFS(Data!$P$2:$P$781,Data!$H$2:$H$781,B27)</f>
        <v>0</v>
      </c>
      <c r="Q27" s="43" t="n">
        <f aca="false">SUMIFS(Data!$O$782:$O$2370,Data!$H$782:$H$2370,B27)</f>
        <v>0</v>
      </c>
      <c r="R27" s="43" t="n">
        <f aca="false">SUMIFS(Data!$N$782:$N$2370,Data!$H$782:$H$2370,B27)</f>
        <v>0</v>
      </c>
      <c r="S27" s="43" t="n">
        <f aca="false">SUMIFS(Data!$O$2371:$O$3999,Data!$H$2371:$H$3999,B27)</f>
        <v>0</v>
      </c>
      <c r="T27" s="43" t="n">
        <f aca="false">SUMIFS(Data!$N$2371:$N$3999,Data!$H$2371:$H$3999,B27)</f>
        <v>0</v>
      </c>
      <c r="U27" s="46" t="n">
        <f aca="false">SUMIFS(Data!$R$2:$R$781,Data!$H$2:$H$781,B27)</f>
        <v>1</v>
      </c>
      <c r="V27" s="47" t="n">
        <f aca="false">SUMIFS(Data!$Q$2:$Q$781,Data!$H$2:$H$781,B27)</f>
        <v>0</v>
      </c>
      <c r="W27" s="42" t="n">
        <f aca="false">SUMIFS(Data!$R$782:$R$2370,Data!$H$782:$H$2370,B27)</f>
        <v>0</v>
      </c>
      <c r="X27" s="43" t="n">
        <f aca="false">SUMIFS(Data!$Q$782:$Q$2370,Data!$H$782:$H$2370,B27)</f>
        <v>0</v>
      </c>
      <c r="Y27" s="42" t="n">
        <f aca="false">SUMIFS(Data!$R$2371:$R$3999,Data!$H$2371:$H$3999,B27)</f>
        <v>0</v>
      </c>
      <c r="Z27" s="43" t="n">
        <f aca="false">SUMIFS(Data!$Q$2371:$Q$3999,Data!$H$2371:$H$3999,B27)</f>
        <v>0</v>
      </c>
      <c r="AA27" s="48" t="n">
        <f aca="false">V27+U27+O27+N27+K27+F27+E27+P27</f>
        <v>9</v>
      </c>
      <c r="AB27" s="49" t="n">
        <f aca="false">X27+W27+T27+R27+Q27+L27+H27+G27</f>
        <v>5</v>
      </c>
      <c r="AC27" s="49" t="n">
        <f aca="false">Z27+Y27+T27+S27+M27+J27+I27</f>
        <v>0</v>
      </c>
    </row>
    <row r="28" s="50" customFormat="true" ht="23.25" hidden="false" customHeight="true" outlineLevel="0" collapsed="false">
      <c r="A28" s="31" t="n">
        <f aca="false">Data!AE27</f>
        <v>1008027</v>
      </c>
      <c r="B28" s="31" t="str">
        <f aca="false">Data!AD27</f>
        <v>بداية الامان</v>
      </c>
      <c r="C28" s="31" t="n">
        <f aca="false">Data!AH27</f>
        <v>0</v>
      </c>
      <c r="D28" s="31" t="str">
        <f aca="false">Data!AF27</f>
        <v>ضباء</v>
      </c>
      <c r="E28" s="42" t="n">
        <f aca="false">SUMIFS(Data!$L$2:$L$781,Data!$H$2:$H$781,B28)</f>
        <v>0</v>
      </c>
      <c r="F28" s="43" t="n">
        <f aca="false">SUMIFS(Data!$K$2:$K$781,Data!$H$2:$H$781,B28)</f>
        <v>9</v>
      </c>
      <c r="G28" s="42" t="n">
        <f aca="false">SUMIFS(Data!$L$782:$L$2370,Data!$H$782:$H$2370,B28)</f>
        <v>0</v>
      </c>
      <c r="H28" s="43" t="n">
        <f aca="false">SUMIFS(Data!$K$782:$K$2370,Data!$H$782:$H$2370,B28)</f>
        <v>1</v>
      </c>
      <c r="I28" s="42" t="n">
        <f aca="false">SUMIFS(Data!$L$2371:$L$3999,Data!$H$2371:$H$3999,B28)</f>
        <v>0</v>
      </c>
      <c r="J28" s="43" t="n">
        <f aca="false">SUMIFS(Data!$K$2371:$K$3999,Data!$H$2371:$H$3999,B28)</f>
        <v>0</v>
      </c>
      <c r="K28" s="44" t="n">
        <f aca="false">SUMIFS(Data!$M$2:$M$781,Data!$H$2:$H$781,B28)</f>
        <v>0</v>
      </c>
      <c r="L28" s="42" t="n">
        <f aca="false">SUMIFS(Data!$M$782:$M$2370,Data!$H$782:$H$2370,B28)</f>
        <v>0</v>
      </c>
      <c r="M28" s="42" t="n">
        <f aca="false">SUMIFS(Data!$M$2371:$M$3999,Data!$H$2371:$H$3999,B28)</f>
        <v>0</v>
      </c>
      <c r="N28" s="45" t="n">
        <f aca="false">SUMIFS(Data!$O$2:$O$781,Data!$H$2:$H$781,B28)</f>
        <v>3</v>
      </c>
      <c r="O28" s="43" t="n">
        <f aca="false">SUMIFS(Data!$N$2:$N$781,Data!$H$2:$H$781,B28)</f>
        <v>1</v>
      </c>
      <c r="P28" s="42" t="n">
        <f aca="false">SUMIFS(Data!$P$2:$P$781,Data!$H$2:$H$781,B28)</f>
        <v>0</v>
      </c>
      <c r="Q28" s="43" t="n">
        <f aca="false">SUMIFS(Data!$O$782:$O$2370,Data!$H$782:$H$2370,B28)</f>
        <v>1</v>
      </c>
      <c r="R28" s="43" t="n">
        <f aca="false">SUMIFS(Data!$N$782:$N$2370,Data!$H$782:$H$2370,B28)</f>
        <v>0</v>
      </c>
      <c r="S28" s="43" t="n">
        <f aca="false">SUMIFS(Data!$O$2371:$O$3999,Data!$H$2371:$H$3999,B28)</f>
        <v>0</v>
      </c>
      <c r="T28" s="43" t="n">
        <f aca="false">SUMIFS(Data!$N$2371:$N$3999,Data!$H$2371:$H$3999,B28)</f>
        <v>3</v>
      </c>
      <c r="U28" s="46" t="n">
        <f aca="false">SUMIFS(Data!$R$2:$R$781,Data!$H$2:$H$781,B28)</f>
        <v>0</v>
      </c>
      <c r="V28" s="47" t="n">
        <f aca="false">SUMIFS(Data!$Q$2:$Q$781,Data!$H$2:$H$781,B28)</f>
        <v>0</v>
      </c>
      <c r="W28" s="42" t="n">
        <f aca="false">SUMIFS(Data!$R$782:$R$2370,Data!$H$782:$H$2370,B28)</f>
        <v>0</v>
      </c>
      <c r="X28" s="43" t="n">
        <f aca="false">SUMIFS(Data!$Q$782:$Q$2370,Data!$H$782:$H$2370,B28)</f>
        <v>0</v>
      </c>
      <c r="Y28" s="42" t="n">
        <f aca="false">SUMIFS(Data!$R$2371:$R$3999,Data!$H$2371:$H$3999,B28)</f>
        <v>0</v>
      </c>
      <c r="Z28" s="43" t="n">
        <f aca="false">SUMIFS(Data!$Q$2371:$Q$3999,Data!$H$2371:$H$3999,B28)</f>
        <v>0</v>
      </c>
      <c r="AA28" s="48" t="n">
        <f aca="false">V28+U28+O28+N28+K28+F28+E28+P28</f>
        <v>13</v>
      </c>
      <c r="AB28" s="49" t="n">
        <f aca="false">X28+W28+T28+R28+Q28+L28+H28+G28</f>
        <v>5</v>
      </c>
      <c r="AC28" s="49" t="n">
        <f aca="false">Z28+Y28+T28+S28+M28+J28+I28</f>
        <v>3</v>
      </c>
    </row>
    <row r="29" s="50" customFormat="true" ht="23.25" hidden="false" customHeight="true" outlineLevel="0" collapsed="false">
      <c r="A29" s="31" t="n">
        <f aca="false">Data!AE28</f>
        <v>1008032</v>
      </c>
      <c r="B29" s="31" t="str">
        <f aca="false">Data!AD28</f>
        <v>نايف العدساني</v>
      </c>
      <c r="C29" s="31" t="n">
        <f aca="false">Data!AH28</f>
        <v>530112608</v>
      </c>
      <c r="D29" s="31" t="str">
        <f aca="false">Data!AF28</f>
        <v>ضباء</v>
      </c>
      <c r="E29" s="42" t="n">
        <f aca="false">SUMIFS(Data!$L$2:$L$781,Data!$H$2:$H$781,B29)</f>
        <v>4</v>
      </c>
      <c r="F29" s="43" t="n">
        <f aca="false">SUMIFS(Data!$K$2:$K$781,Data!$H$2:$H$781,B29)</f>
        <v>11</v>
      </c>
      <c r="G29" s="42" t="n">
        <f aca="false">SUMIFS(Data!$L$782:$L$2370,Data!$H$782:$H$2370,B29)</f>
        <v>1</v>
      </c>
      <c r="H29" s="43" t="n">
        <f aca="false">SUMIFS(Data!$K$782:$K$2370,Data!$H$782:$H$2370,B29)</f>
        <v>5</v>
      </c>
      <c r="I29" s="42" t="n">
        <f aca="false">SUMIFS(Data!$L$2371:$L$3999,Data!$H$2371:$H$3999,B29)</f>
        <v>0</v>
      </c>
      <c r="J29" s="43" t="n">
        <f aca="false">SUMIFS(Data!$K$2371:$K$3999,Data!$H$2371:$H$3999,B29)</f>
        <v>4</v>
      </c>
      <c r="K29" s="44" t="n">
        <f aca="false">SUMIFS(Data!$M$2:$M$781,Data!$H$2:$H$781,B29)</f>
        <v>4</v>
      </c>
      <c r="L29" s="42" t="n">
        <f aca="false">SUMIFS(Data!$M$782:$M$2370,Data!$H$782:$H$2370,B29)</f>
        <v>7</v>
      </c>
      <c r="M29" s="42" t="n">
        <f aca="false">SUMIFS(Data!$M$2371:$M$3999,Data!$H$2371:$H$3999,B29)</f>
        <v>1</v>
      </c>
      <c r="N29" s="45" t="n">
        <f aca="false">SUMIFS(Data!$O$2:$O$781,Data!$H$2:$H$781,B29)</f>
        <v>0</v>
      </c>
      <c r="O29" s="43" t="n">
        <f aca="false">SUMIFS(Data!$N$2:$N$781,Data!$H$2:$H$781,B29)</f>
        <v>0</v>
      </c>
      <c r="P29" s="42" t="n">
        <f aca="false">SUMIFS(Data!$P$2:$P$781,Data!$H$2:$H$781,B29)</f>
        <v>0</v>
      </c>
      <c r="Q29" s="43" t="n">
        <f aca="false">SUMIFS(Data!$O$782:$O$2370,Data!$H$782:$H$2370,B29)</f>
        <v>0</v>
      </c>
      <c r="R29" s="43" t="n">
        <f aca="false">SUMIFS(Data!$N$782:$N$2370,Data!$H$782:$H$2370,B29)</f>
        <v>0</v>
      </c>
      <c r="S29" s="43" t="n">
        <f aca="false">SUMIFS(Data!$O$2371:$O$3999,Data!$H$2371:$H$3999,B29)</f>
        <v>2</v>
      </c>
      <c r="T29" s="43" t="n">
        <f aca="false">SUMIFS(Data!$N$2371:$N$3999,Data!$H$2371:$H$3999,B29)</f>
        <v>0</v>
      </c>
      <c r="U29" s="46" t="n">
        <f aca="false">SUMIFS(Data!$R$2:$R$781,Data!$H$2:$H$781,B29)</f>
        <v>0</v>
      </c>
      <c r="V29" s="47" t="n">
        <f aca="false">SUMIFS(Data!$Q$2:$Q$781,Data!$H$2:$H$781,B29)</f>
        <v>0</v>
      </c>
      <c r="W29" s="42" t="n">
        <f aca="false">SUMIFS(Data!$R$782:$R$2370,Data!$H$782:$H$2370,B29)</f>
        <v>3</v>
      </c>
      <c r="X29" s="43" t="n">
        <f aca="false">SUMIFS(Data!$Q$782:$Q$2370,Data!$H$782:$H$2370,B29)</f>
        <v>0</v>
      </c>
      <c r="Y29" s="42" t="n">
        <f aca="false">SUMIFS(Data!$R$2371:$R$3999,Data!$H$2371:$H$3999,B29)</f>
        <v>0</v>
      </c>
      <c r="Z29" s="43" t="n">
        <f aca="false">SUMIFS(Data!$Q$2371:$Q$3999,Data!$H$2371:$H$3999,B29)</f>
        <v>0</v>
      </c>
      <c r="AA29" s="48" t="n">
        <f aca="false">V29+U29+O29+N29+K29+F29+E29+P29</f>
        <v>19</v>
      </c>
      <c r="AB29" s="49" t="n">
        <f aca="false">X29+W29+T29+R29+Q29+L29+H29+G29</f>
        <v>16</v>
      </c>
      <c r="AC29" s="49" t="n">
        <f aca="false">Z29+Y29+T29+S29+M29+J29+I29</f>
        <v>7</v>
      </c>
    </row>
    <row r="30" s="50" customFormat="true" ht="23.25" hidden="false" customHeight="true" outlineLevel="0" collapsed="false">
      <c r="A30" s="31" t="n">
        <f aca="false">Data!AE29</f>
        <v>1008033</v>
      </c>
      <c r="B30" s="31" t="str">
        <f aca="false">Data!AD29</f>
        <v>السواحل العمود</v>
      </c>
      <c r="C30" s="31" t="n">
        <f aca="false">Data!AH29</f>
        <v>0</v>
      </c>
      <c r="D30" s="31" t="str">
        <f aca="false">Data!AF29</f>
        <v>ضباء</v>
      </c>
      <c r="E30" s="42" t="n">
        <f aca="false">SUMIFS(Data!$L$2:$L$781,Data!$H$2:$H$781,B30)</f>
        <v>0</v>
      </c>
      <c r="F30" s="43" t="n">
        <f aca="false">SUMIFS(Data!$K$2:$K$781,Data!$H$2:$H$781,B30)</f>
        <v>0</v>
      </c>
      <c r="G30" s="42" t="n">
        <f aca="false">SUMIFS(Data!$L$782:$L$2370,Data!$H$782:$H$2370,B30)</f>
        <v>0</v>
      </c>
      <c r="H30" s="43" t="n">
        <f aca="false">SUMIFS(Data!$K$782:$K$2370,Data!$H$782:$H$2370,B30)</f>
        <v>0</v>
      </c>
      <c r="I30" s="42" t="n">
        <f aca="false">SUMIFS(Data!$L$2371:$L$3999,Data!$H$2371:$H$3999,B30)</f>
        <v>0</v>
      </c>
      <c r="J30" s="43" t="n">
        <f aca="false">SUMIFS(Data!$K$2371:$K$3999,Data!$H$2371:$H$3999,B30)</f>
        <v>0</v>
      </c>
      <c r="K30" s="44" t="n">
        <f aca="false">SUMIFS(Data!$M$2:$M$781,Data!$H$2:$H$781,B30)</f>
        <v>0</v>
      </c>
      <c r="L30" s="42" t="n">
        <f aca="false">SUMIFS(Data!$M$782:$M$2370,Data!$H$782:$H$2370,B30)</f>
        <v>0</v>
      </c>
      <c r="M30" s="42" t="n">
        <f aca="false">SUMIFS(Data!$M$2371:$M$3999,Data!$H$2371:$H$3999,B30)</f>
        <v>0</v>
      </c>
      <c r="N30" s="45" t="n">
        <f aca="false">SUMIFS(Data!$O$2:$O$781,Data!$H$2:$H$781,B30)</f>
        <v>0</v>
      </c>
      <c r="O30" s="43" t="n">
        <f aca="false">SUMIFS(Data!$N$2:$N$781,Data!$H$2:$H$781,B30)</f>
        <v>13</v>
      </c>
      <c r="P30" s="42" t="n">
        <f aca="false">SUMIFS(Data!$P$2:$P$781,Data!$H$2:$H$781,B30)</f>
        <v>0</v>
      </c>
      <c r="Q30" s="43" t="n">
        <f aca="false">SUMIFS(Data!$O$782:$O$2370,Data!$H$782:$H$2370,B30)</f>
        <v>0</v>
      </c>
      <c r="R30" s="43" t="n">
        <f aca="false">SUMIFS(Data!$N$782:$N$2370,Data!$H$782:$H$2370,B30)</f>
        <v>0</v>
      </c>
      <c r="S30" s="43" t="n">
        <f aca="false">SUMIFS(Data!$O$2371:$O$3999,Data!$H$2371:$H$3999,B30)</f>
        <v>0</v>
      </c>
      <c r="T30" s="43" t="n">
        <f aca="false">SUMIFS(Data!$N$2371:$N$3999,Data!$H$2371:$H$3999,B30)</f>
        <v>0</v>
      </c>
      <c r="U30" s="46" t="n">
        <f aca="false">SUMIFS(Data!$R$2:$R$781,Data!$H$2:$H$781,B30)</f>
        <v>0</v>
      </c>
      <c r="V30" s="47" t="n">
        <f aca="false">SUMIFS(Data!$Q$2:$Q$781,Data!$H$2:$H$781,B30)</f>
        <v>0</v>
      </c>
      <c r="W30" s="42" t="n">
        <f aca="false">SUMIFS(Data!$R$782:$R$2370,Data!$H$782:$H$2370,B30)</f>
        <v>0</v>
      </c>
      <c r="X30" s="43" t="n">
        <f aca="false">SUMIFS(Data!$Q$782:$Q$2370,Data!$H$782:$H$2370,B30)</f>
        <v>0</v>
      </c>
      <c r="Y30" s="42" t="n">
        <f aca="false">SUMIFS(Data!$R$2371:$R$3999,Data!$H$2371:$H$3999,B30)</f>
        <v>0</v>
      </c>
      <c r="Z30" s="43" t="n">
        <f aca="false">SUMIFS(Data!$Q$2371:$Q$3999,Data!$H$2371:$H$3999,B30)</f>
        <v>0</v>
      </c>
      <c r="AA30" s="48" t="n">
        <f aca="false">V30+U30+O30+N30+K30+F30+E30+P30</f>
        <v>13</v>
      </c>
      <c r="AB30" s="49" t="n">
        <f aca="false">X30+W30+T30+R30+Q30+L30+H30+G30</f>
        <v>0</v>
      </c>
      <c r="AC30" s="49" t="n">
        <f aca="false">Z30+Y30+T30+S30+M30+J30+I30</f>
        <v>0</v>
      </c>
    </row>
    <row r="31" s="59" customFormat="true" ht="23.25" hidden="false" customHeight="true" outlineLevel="0" collapsed="false">
      <c r="A31" s="31" t="n">
        <f aca="false">Data!AE30</f>
        <v>1227</v>
      </c>
      <c r="B31" s="31" t="str">
        <f aca="false">Data!AD30</f>
        <v>ساحل ضباء</v>
      </c>
      <c r="C31" s="31" t="n">
        <f aca="false">Data!AH30</f>
        <v>0</v>
      </c>
      <c r="D31" s="31" t="str">
        <f aca="false">Data!AF30</f>
        <v>ضباء</v>
      </c>
      <c r="E31" s="51" t="n">
        <f aca="false">SUMIFS(Data!$L$2:$L$781,Data!$H$2:$H$781,B31)</f>
        <v>0</v>
      </c>
      <c r="F31" s="52" t="n">
        <f aca="false">SUMIFS(Data!$K$2:$K$781,Data!$H$2:$H$781,B31)</f>
        <v>0</v>
      </c>
      <c r="G31" s="51" t="n">
        <f aca="false">SUMIFS(Data!$L$782:$L$2370,Data!$H$782:$H$2370,B31)</f>
        <v>0</v>
      </c>
      <c r="H31" s="52" t="n">
        <f aca="false">SUMIFS(Data!$K$782:$K$2370,Data!$H$782:$H$2370,B31)</f>
        <v>0</v>
      </c>
      <c r="I31" s="51" t="n">
        <f aca="false">SUMIFS(Data!$L$2371:$L$3999,Data!$H$2371:$H$3999,B31)</f>
        <v>0</v>
      </c>
      <c r="J31" s="52" t="n">
        <f aca="false">SUMIFS(Data!$K$2371:$K$3999,Data!$H$2371:$H$3999,B31)</f>
        <v>0</v>
      </c>
      <c r="K31" s="53" t="n">
        <f aca="false">SUMIFS(Data!$M$2:$M$781,Data!$H$2:$H$781,B31)</f>
        <v>0</v>
      </c>
      <c r="L31" s="51" t="n">
        <f aca="false">SUMIFS(Data!$M$782:$M$2370,Data!$H$782:$H$2370,B31)</f>
        <v>0</v>
      </c>
      <c r="M31" s="51" t="n">
        <f aca="false">SUMIFS(Data!$M$2371:$M$3999,Data!$H$2371:$H$3999,B31)</f>
        <v>0</v>
      </c>
      <c r="N31" s="54" t="n">
        <f aca="false">SUMIFS(Data!$O$2:$O$781,Data!$H$2:$H$781,B31)</f>
        <v>0</v>
      </c>
      <c r="O31" s="52" t="n">
        <f aca="false">SUMIFS(Data!$N$2:$N$781,Data!$H$2:$H$781,B31)</f>
        <v>0</v>
      </c>
      <c r="P31" s="51" t="n">
        <f aca="false">SUMIFS(Data!$P$2:$P$781,Data!$H$2:$H$781,B31)</f>
        <v>0</v>
      </c>
      <c r="Q31" s="52" t="n">
        <f aca="false">SUMIFS(Data!$O$782:$O$2370,Data!$H$782:$H$2370,B31)</f>
        <v>0</v>
      </c>
      <c r="R31" s="52" t="n">
        <f aca="false">SUMIFS(Data!$N$782:$N$2370,Data!$H$782:$H$2370,B31)</f>
        <v>0</v>
      </c>
      <c r="S31" s="52" t="n">
        <f aca="false">SUMIFS(Data!$O$2371:$O$3999,Data!$H$2371:$H$3999,B31)</f>
        <v>2</v>
      </c>
      <c r="T31" s="52" t="n">
        <f aca="false">SUMIFS(Data!$N$2371:$N$3999,Data!$H$2371:$H$3999,B31)</f>
        <v>0</v>
      </c>
      <c r="U31" s="55" t="n">
        <f aca="false">SUMIFS(Data!$R$2:$R$781,Data!$H$2:$H$781,B31)</f>
        <v>0</v>
      </c>
      <c r="V31" s="56" t="n">
        <f aca="false">SUMIFS(Data!$Q$2:$Q$781,Data!$H$2:$H$781,B31)</f>
        <v>0</v>
      </c>
      <c r="W31" s="51" t="n">
        <f aca="false">SUMIFS(Data!$R$782:$R$2370,Data!$H$782:$H$2370,B31)</f>
        <v>0</v>
      </c>
      <c r="X31" s="52" t="n">
        <f aca="false">SUMIFS(Data!$Q$782:$Q$2370,Data!$H$782:$H$2370,B31)</f>
        <v>0</v>
      </c>
      <c r="Y31" s="51" t="n">
        <f aca="false">SUMIFS(Data!$R$2371:$R$3999,Data!$H$2371:$H$3999,B31)</f>
        <v>0</v>
      </c>
      <c r="Z31" s="52" t="n">
        <f aca="false">SUMIFS(Data!$Q$2371:$Q$3999,Data!$H$2371:$H$3999,B31)</f>
        <v>0</v>
      </c>
      <c r="AA31" s="57" t="n">
        <f aca="false">V31+U31+O31+N31+K31+F31+E31+P31</f>
        <v>0</v>
      </c>
      <c r="AB31" s="58" t="n">
        <f aca="false">X31+W31+T31+R31+Q31+L31+H31+G31</f>
        <v>0</v>
      </c>
      <c r="AC31" s="58" t="n">
        <f aca="false">Z31+Y31+T31+S31+M31+J31+I31</f>
        <v>2</v>
      </c>
    </row>
    <row r="32" s="50" customFormat="true" ht="23.25" hidden="false" customHeight="true" outlineLevel="0" collapsed="false">
      <c r="A32" s="31" t="n">
        <f aca="false">Data!AE31</f>
        <v>1008043</v>
      </c>
      <c r="B32" s="31" t="str">
        <f aca="false">Data!AD31</f>
        <v>الشريف</v>
      </c>
      <c r="C32" s="31" t="n">
        <f aca="false">Data!AH31</f>
        <v>530790908</v>
      </c>
      <c r="D32" s="31" t="str">
        <f aca="false">Data!AF31</f>
        <v>الوجه</v>
      </c>
      <c r="E32" s="60" t="n">
        <f aca="false">SUMIFS(Data!$L$2:$L$781,Data!$H$2:$H$781,B32)</f>
        <v>8</v>
      </c>
      <c r="F32" s="61" t="n">
        <f aca="false">SUMIFS(Data!$K$2:$K$781,Data!$H$2:$H$781,B32)</f>
        <v>19</v>
      </c>
      <c r="G32" s="60" t="n">
        <f aca="false">SUMIFS(Data!$L$782:$L$2370,Data!$H$782:$H$2370,B32)</f>
        <v>3</v>
      </c>
      <c r="H32" s="61" t="n">
        <f aca="false">SUMIFS(Data!$K$782:$K$2370,Data!$H$782:$H$2370,B32)</f>
        <v>46</v>
      </c>
      <c r="I32" s="60" t="n">
        <f aca="false">SUMIFS(Data!$L$2371:$L$3999,Data!$H$2371:$H$3999,B32)</f>
        <v>0</v>
      </c>
      <c r="J32" s="61" t="n">
        <f aca="false">SUMIFS(Data!$K$2371:$K$3999,Data!$H$2371:$H$3999,B32)</f>
        <v>12</v>
      </c>
      <c r="K32" s="62" t="n">
        <f aca="false">SUMIFS(Data!$M$2:$M$781,Data!$H$2:$H$781,B32)</f>
        <v>0</v>
      </c>
      <c r="L32" s="60" t="n">
        <f aca="false">SUMIFS(Data!$M$782:$M$2370,Data!$H$782:$H$2370,B32)</f>
        <v>5</v>
      </c>
      <c r="M32" s="60" t="n">
        <f aca="false">SUMIFS(Data!$M$2371:$M$3999,Data!$H$2371:$H$3999,B32)</f>
        <v>7</v>
      </c>
      <c r="N32" s="63" t="n">
        <f aca="false">SUMIFS(Data!$O$2:$O$781,Data!$H$2:$H$781,B32)</f>
        <v>0</v>
      </c>
      <c r="O32" s="61" t="n">
        <f aca="false">SUMIFS(Data!$N$2:$N$781,Data!$H$2:$H$781,B32)</f>
        <v>0</v>
      </c>
      <c r="P32" s="60" t="n">
        <f aca="false">SUMIFS(Data!$P$2:$P$781,Data!$H$2:$H$781,B32)</f>
        <v>0</v>
      </c>
      <c r="Q32" s="61" t="n">
        <f aca="false">SUMIFS(Data!$O$782:$O$2370,Data!$H$782:$H$2370,B32)</f>
        <v>0</v>
      </c>
      <c r="R32" s="61" t="n">
        <f aca="false">SUMIFS(Data!$N$782:$N$2370,Data!$H$782:$H$2370,B32)</f>
        <v>3</v>
      </c>
      <c r="S32" s="61" t="n">
        <f aca="false">SUMIFS(Data!$O$2371:$O$3999,Data!$H$2371:$H$3999,B32)</f>
        <v>0</v>
      </c>
      <c r="T32" s="61" t="n">
        <f aca="false">SUMIFS(Data!$N$2371:$N$3999,Data!$H$2371:$H$3999,B32)</f>
        <v>3</v>
      </c>
      <c r="U32" s="64" t="n">
        <f aca="false">SUMIFS(Data!$R$2:$R$781,Data!$H$2:$H$781,B32)</f>
        <v>2</v>
      </c>
      <c r="V32" s="65" t="n">
        <f aca="false">SUMIFS(Data!$Q$2:$Q$781,Data!$H$2:$H$781,B32)</f>
        <v>0</v>
      </c>
      <c r="W32" s="60" t="n">
        <f aca="false">SUMIFS(Data!$R$782:$R$2370,Data!$H$782:$H$2370,B32)</f>
        <v>3</v>
      </c>
      <c r="X32" s="61" t="n">
        <f aca="false">SUMIFS(Data!$Q$782:$Q$2370,Data!$H$782:$H$2370,B32)</f>
        <v>4</v>
      </c>
      <c r="Y32" s="60" t="n">
        <f aca="false">SUMIFS(Data!$R$2371:$R$3999,Data!$H$2371:$H$3999,B32)</f>
        <v>4</v>
      </c>
      <c r="Z32" s="61" t="n">
        <f aca="false">SUMIFS(Data!$Q$2371:$Q$3999,Data!$H$2371:$H$3999,B32)</f>
        <v>4</v>
      </c>
      <c r="AA32" s="66" t="n">
        <f aca="false">V32+U32+O32+N32+K32+F32+E32+P32</f>
        <v>29</v>
      </c>
      <c r="AB32" s="67" t="n">
        <f aca="false">X32+W32+T32+R32+Q32+L32+H32+G32</f>
        <v>67</v>
      </c>
      <c r="AC32" s="67" t="n">
        <f aca="false">Z32+Y32+T32+S32+M32+J32+I32</f>
        <v>30</v>
      </c>
    </row>
    <row r="33" s="50" customFormat="true" ht="23.25" hidden="false" customHeight="true" outlineLevel="0" collapsed="false">
      <c r="A33" s="31" t="n">
        <f aca="false">Data!AE32</f>
        <v>1008044</v>
      </c>
      <c r="B33" s="31" t="str">
        <f aca="false">Data!AD32</f>
        <v>نهضة الوجه</v>
      </c>
      <c r="C33" s="31" t="n">
        <f aca="false">Data!AH32</f>
        <v>537065873</v>
      </c>
      <c r="D33" s="31" t="str">
        <f aca="false">Data!AF32</f>
        <v>الوجه</v>
      </c>
      <c r="E33" s="42" t="n">
        <f aca="false">SUMIFS(Data!$L$2:$L$781,Data!$H$2:$H$781,B33)</f>
        <v>1</v>
      </c>
      <c r="F33" s="43" t="n">
        <f aca="false">SUMIFS(Data!$K$2:$K$781,Data!$H$2:$H$781,B33)</f>
        <v>4</v>
      </c>
      <c r="G33" s="42" t="n">
        <f aca="false">SUMIFS(Data!$L$782:$L$2370,Data!$H$782:$H$2370,B33)</f>
        <v>0</v>
      </c>
      <c r="H33" s="43" t="n">
        <f aca="false">SUMIFS(Data!$K$782:$K$2370,Data!$H$782:$H$2370,B33)</f>
        <v>18</v>
      </c>
      <c r="I33" s="42" t="n">
        <f aca="false">SUMIFS(Data!$L$2371:$L$3999,Data!$H$2371:$H$3999,B33)</f>
        <v>0</v>
      </c>
      <c r="J33" s="43" t="n">
        <f aca="false">SUMIFS(Data!$K$2371:$K$3999,Data!$H$2371:$H$3999,B33)</f>
        <v>41</v>
      </c>
      <c r="K33" s="44" t="n">
        <f aca="false">SUMIFS(Data!$M$2:$M$781,Data!$H$2:$H$781,B33)</f>
        <v>0</v>
      </c>
      <c r="L33" s="42" t="n">
        <f aca="false">SUMIFS(Data!$M$782:$M$2370,Data!$H$782:$H$2370,B33)</f>
        <v>0</v>
      </c>
      <c r="M33" s="42" t="n">
        <f aca="false">SUMIFS(Data!$M$2371:$M$3999,Data!$H$2371:$H$3999,B33)</f>
        <v>9</v>
      </c>
      <c r="N33" s="45" t="n">
        <f aca="false">SUMIFS(Data!$O$2:$O$781,Data!$H$2:$H$781,B33)</f>
        <v>0</v>
      </c>
      <c r="O33" s="43" t="n">
        <f aca="false">SUMIFS(Data!$N$2:$N$781,Data!$H$2:$H$781,B33)</f>
        <v>0</v>
      </c>
      <c r="P33" s="42" t="n">
        <f aca="false">SUMIFS(Data!$P$2:$P$781,Data!$H$2:$H$781,B33)</f>
        <v>0</v>
      </c>
      <c r="Q33" s="43" t="n">
        <f aca="false">SUMIFS(Data!$O$782:$O$2370,Data!$H$782:$H$2370,B33)</f>
        <v>0</v>
      </c>
      <c r="R33" s="43" t="n">
        <f aca="false">SUMIFS(Data!$N$782:$N$2370,Data!$H$782:$H$2370,B33)</f>
        <v>0</v>
      </c>
      <c r="S33" s="43" t="n">
        <f aca="false">SUMIFS(Data!$O$2371:$O$3999,Data!$H$2371:$H$3999,B33)</f>
        <v>0</v>
      </c>
      <c r="T33" s="43" t="n">
        <f aca="false">SUMIFS(Data!$N$2371:$N$3999,Data!$H$2371:$H$3999,B33)</f>
        <v>0</v>
      </c>
      <c r="U33" s="46" t="n">
        <f aca="false">SUMIFS(Data!$R$2:$R$781,Data!$H$2:$H$781,B33)</f>
        <v>0</v>
      </c>
      <c r="V33" s="47" t="n">
        <f aca="false">SUMIFS(Data!$Q$2:$Q$781,Data!$H$2:$H$781,B33)</f>
        <v>0</v>
      </c>
      <c r="W33" s="42" t="n">
        <f aca="false">SUMIFS(Data!$R$782:$R$2370,Data!$H$782:$H$2370,B33)</f>
        <v>0</v>
      </c>
      <c r="X33" s="43" t="n">
        <f aca="false">SUMIFS(Data!$Q$782:$Q$2370,Data!$H$782:$H$2370,B33)</f>
        <v>0</v>
      </c>
      <c r="Y33" s="42" t="n">
        <f aca="false">SUMIFS(Data!$R$2371:$R$3999,Data!$H$2371:$H$3999,B33)</f>
        <v>0</v>
      </c>
      <c r="Z33" s="43" t="n">
        <f aca="false">SUMIFS(Data!$Q$2371:$Q$3999,Data!$H$2371:$H$3999,B33)</f>
        <v>0</v>
      </c>
      <c r="AA33" s="48" t="n">
        <f aca="false">V33+U33+O33+N33+K33+F33+E33+P33</f>
        <v>5</v>
      </c>
      <c r="AB33" s="68" t="n">
        <f aca="false">X33+W33+T33+R33+Q33+L33+H33+G33</f>
        <v>18</v>
      </c>
      <c r="AC33" s="68" t="n">
        <f aca="false">Z33+Y33+T33+S33+M33+J33+I33</f>
        <v>50</v>
      </c>
    </row>
    <row r="34" s="50" customFormat="true" ht="23.25" hidden="false" customHeight="true" outlineLevel="0" collapsed="false">
      <c r="A34" s="31" t="n">
        <f aca="false">Data!AE33</f>
        <v>1008045</v>
      </c>
      <c r="B34" s="31" t="str">
        <f aca="false">Data!AD33</f>
        <v>فاطمه كلابي</v>
      </c>
      <c r="C34" s="31" t="n">
        <f aca="false">Data!AH33</f>
        <v>533439561</v>
      </c>
      <c r="D34" s="31" t="str">
        <f aca="false">Data!AF33</f>
        <v>الوجه</v>
      </c>
      <c r="E34" s="42" t="n">
        <f aca="false">SUMIFS(Data!$L$2:$L$781,Data!$H$2:$H$781,B34)</f>
        <v>3</v>
      </c>
      <c r="F34" s="43" t="n">
        <f aca="false">SUMIFS(Data!$K$2:$K$781,Data!$H$2:$H$781,B34)</f>
        <v>36</v>
      </c>
      <c r="G34" s="42" t="n">
        <f aca="false">SUMIFS(Data!$L$782:$L$2370,Data!$H$782:$H$2370,B34)</f>
        <v>0</v>
      </c>
      <c r="H34" s="43" t="n">
        <f aca="false">SUMIFS(Data!$K$782:$K$2370,Data!$H$782:$H$2370,B34)</f>
        <v>65</v>
      </c>
      <c r="I34" s="42" t="n">
        <f aca="false">SUMIFS(Data!$L$2371:$L$3999,Data!$H$2371:$H$3999,B34)</f>
        <v>19</v>
      </c>
      <c r="J34" s="43" t="n">
        <f aca="false">SUMIFS(Data!$K$2371:$K$3999,Data!$H$2371:$H$3999,B34)</f>
        <v>40</v>
      </c>
      <c r="K34" s="44" t="n">
        <f aca="false">SUMIFS(Data!$M$2:$M$781,Data!$H$2:$H$781,B34)</f>
        <v>0</v>
      </c>
      <c r="L34" s="42" t="n">
        <f aca="false">SUMIFS(Data!$M$782:$M$2370,Data!$H$782:$H$2370,B34)</f>
        <v>15</v>
      </c>
      <c r="M34" s="42" t="n">
        <f aca="false">SUMIFS(Data!$M$2371:$M$3999,Data!$H$2371:$H$3999,B34)</f>
        <v>2</v>
      </c>
      <c r="N34" s="45" t="n">
        <f aca="false">SUMIFS(Data!$O$2:$O$781,Data!$H$2:$H$781,B34)</f>
        <v>0</v>
      </c>
      <c r="O34" s="43" t="n">
        <f aca="false">SUMIFS(Data!$N$2:$N$781,Data!$H$2:$H$781,B34)</f>
        <v>0</v>
      </c>
      <c r="P34" s="42" t="n">
        <f aca="false">SUMIFS(Data!$P$2:$P$781,Data!$H$2:$H$781,B34)</f>
        <v>0</v>
      </c>
      <c r="Q34" s="43" t="n">
        <f aca="false">SUMIFS(Data!$O$782:$O$2370,Data!$H$782:$H$2370,B34)</f>
        <v>0</v>
      </c>
      <c r="R34" s="43" t="n">
        <f aca="false">SUMIFS(Data!$N$782:$N$2370,Data!$H$782:$H$2370,B34)</f>
        <v>0</v>
      </c>
      <c r="S34" s="43" t="n">
        <f aca="false">SUMIFS(Data!$O$2371:$O$3999,Data!$H$2371:$H$3999,B34)</f>
        <v>0</v>
      </c>
      <c r="T34" s="43" t="n">
        <f aca="false">SUMIFS(Data!$N$2371:$N$3999,Data!$H$2371:$H$3999,B34)</f>
        <v>0</v>
      </c>
      <c r="U34" s="46" t="n">
        <f aca="false">SUMIFS(Data!$R$2:$R$781,Data!$H$2:$H$781,B34)</f>
        <v>0</v>
      </c>
      <c r="V34" s="47" t="n">
        <f aca="false">SUMIFS(Data!$Q$2:$Q$781,Data!$H$2:$H$781,B34)</f>
        <v>0</v>
      </c>
      <c r="W34" s="42" t="n">
        <f aca="false">SUMIFS(Data!$R$782:$R$2370,Data!$H$782:$H$2370,B34)</f>
        <v>4</v>
      </c>
      <c r="X34" s="43" t="n">
        <f aca="false">SUMIFS(Data!$Q$782:$Q$2370,Data!$H$782:$H$2370,B34)</f>
        <v>0</v>
      </c>
      <c r="Y34" s="42" t="n">
        <f aca="false">SUMIFS(Data!$R$2371:$R$3999,Data!$H$2371:$H$3999,B34)</f>
        <v>5</v>
      </c>
      <c r="Z34" s="43" t="n">
        <f aca="false">SUMIFS(Data!$Q$2371:$Q$3999,Data!$H$2371:$H$3999,B34)</f>
        <v>0</v>
      </c>
      <c r="AA34" s="48" t="n">
        <f aca="false">V34+U34+O34+N34+K34+F34+E34+P34</f>
        <v>39</v>
      </c>
      <c r="AB34" s="68" t="n">
        <f aca="false">X34+W34+T34+R34+Q34+L34+H34+G34</f>
        <v>84</v>
      </c>
      <c r="AC34" s="68" t="n">
        <f aca="false">Z34+Y34+T34+S34+M34+J34+I34</f>
        <v>66</v>
      </c>
    </row>
    <row r="35" s="50" customFormat="true" ht="23.25" hidden="false" customHeight="true" outlineLevel="0" collapsed="false">
      <c r="A35" s="31" t="n">
        <f aca="false">Data!AE34</f>
        <v>1008046</v>
      </c>
      <c r="B35" s="31" t="str">
        <f aca="false">Data!AD34</f>
        <v>المشاري</v>
      </c>
      <c r="C35" s="31" t="n">
        <f aca="false">Data!AH34</f>
        <v>559088692</v>
      </c>
      <c r="D35" s="31" t="str">
        <f aca="false">Data!AF34</f>
        <v>الوجه</v>
      </c>
      <c r="E35" s="42" t="n">
        <f aca="false">SUMIFS(Data!$L$2:$L$781,Data!$H$2:$H$781,B35)</f>
        <v>4</v>
      </c>
      <c r="F35" s="43" t="n">
        <f aca="false">SUMIFS(Data!$K$2:$K$781,Data!$H$2:$H$781,B35)</f>
        <v>12</v>
      </c>
      <c r="G35" s="42" t="n">
        <f aca="false">SUMIFS(Data!$L$782:$L$2370,Data!$H$782:$H$2370,B35)</f>
        <v>3</v>
      </c>
      <c r="H35" s="43" t="n">
        <f aca="false">SUMIFS(Data!$K$782:$K$2370,Data!$H$782:$H$2370,B35)</f>
        <v>68</v>
      </c>
      <c r="I35" s="42" t="n">
        <f aca="false">SUMIFS(Data!$L$2371:$L$3999,Data!$H$2371:$H$3999,B35)</f>
        <v>0</v>
      </c>
      <c r="J35" s="43" t="n">
        <f aca="false">SUMIFS(Data!$K$2371:$K$3999,Data!$H$2371:$H$3999,B35)</f>
        <v>65</v>
      </c>
      <c r="K35" s="44" t="n">
        <f aca="false">SUMIFS(Data!$M$2:$M$781,Data!$H$2:$H$781,B35)</f>
        <v>1</v>
      </c>
      <c r="L35" s="42" t="n">
        <f aca="false">SUMIFS(Data!$M$782:$M$2370,Data!$H$782:$H$2370,B35)</f>
        <v>33</v>
      </c>
      <c r="M35" s="42" t="n">
        <f aca="false">SUMIFS(Data!$M$2371:$M$3999,Data!$H$2371:$H$3999,B35)</f>
        <v>5</v>
      </c>
      <c r="N35" s="45" t="n">
        <f aca="false">SUMIFS(Data!$O$2:$O$781,Data!$H$2:$H$781,B35)</f>
        <v>0</v>
      </c>
      <c r="O35" s="43" t="n">
        <f aca="false">SUMIFS(Data!$N$2:$N$781,Data!$H$2:$H$781,B35)</f>
        <v>0</v>
      </c>
      <c r="P35" s="42" t="n">
        <f aca="false">SUMIFS(Data!$P$2:$P$781,Data!$H$2:$H$781,B35)</f>
        <v>0</v>
      </c>
      <c r="Q35" s="43" t="n">
        <f aca="false">SUMIFS(Data!$O$782:$O$2370,Data!$H$782:$H$2370,B35)</f>
        <v>4</v>
      </c>
      <c r="R35" s="43" t="n">
        <f aca="false">SUMIFS(Data!$N$782:$N$2370,Data!$H$782:$H$2370,B35)</f>
        <v>0</v>
      </c>
      <c r="S35" s="43" t="n">
        <f aca="false">SUMIFS(Data!$O$2371:$O$3999,Data!$H$2371:$H$3999,B35)</f>
        <v>0</v>
      </c>
      <c r="T35" s="43" t="n">
        <f aca="false">SUMIFS(Data!$N$2371:$N$3999,Data!$H$2371:$H$3999,B35)</f>
        <v>1</v>
      </c>
      <c r="U35" s="46" t="n">
        <f aca="false">SUMIFS(Data!$R$2:$R$781,Data!$H$2:$H$781,B35)</f>
        <v>2</v>
      </c>
      <c r="V35" s="47" t="n">
        <f aca="false">SUMIFS(Data!$Q$2:$Q$781,Data!$H$2:$H$781,B35)</f>
        <v>0</v>
      </c>
      <c r="W35" s="42" t="n">
        <f aca="false">SUMIFS(Data!$R$782:$R$2370,Data!$H$782:$H$2370,B35)</f>
        <v>2</v>
      </c>
      <c r="X35" s="43" t="n">
        <f aca="false">SUMIFS(Data!$Q$782:$Q$2370,Data!$H$782:$H$2370,B35)</f>
        <v>0</v>
      </c>
      <c r="Y35" s="42" t="n">
        <f aca="false">SUMIFS(Data!$R$2371:$R$3999,Data!$H$2371:$H$3999,B35)</f>
        <v>2</v>
      </c>
      <c r="Z35" s="43" t="n">
        <f aca="false">SUMIFS(Data!$Q$2371:$Q$3999,Data!$H$2371:$H$3999,B35)</f>
        <v>0</v>
      </c>
      <c r="AA35" s="48" t="n">
        <f aca="false">V35+U35+O35+N35+K35+F35+E35+P35</f>
        <v>19</v>
      </c>
      <c r="AB35" s="68" t="n">
        <f aca="false">X35+W35+T35+R35+Q35+L35+H35+G35</f>
        <v>111</v>
      </c>
      <c r="AC35" s="68" t="n">
        <f aca="false">Z35+Y35+T35+S35+M35+J35+I35</f>
        <v>73</v>
      </c>
    </row>
    <row r="36" s="50" customFormat="true" ht="23.25" hidden="false" customHeight="true" outlineLevel="0" collapsed="false">
      <c r="A36" s="31" t="n">
        <f aca="false">Data!AE35</f>
        <v>1008047</v>
      </c>
      <c r="B36" s="31" t="str">
        <f aca="false">Data!AD35</f>
        <v>مركز 2000</v>
      </c>
      <c r="C36" s="31" t="n">
        <f aca="false">Data!AH35</f>
        <v>536678688</v>
      </c>
      <c r="D36" s="31" t="str">
        <f aca="false">Data!AF35</f>
        <v>الوجه</v>
      </c>
      <c r="E36" s="42" t="n">
        <f aca="false">SUMIFS(Data!$L$2:$L$781,Data!$H$2:$H$781,B36)</f>
        <v>6</v>
      </c>
      <c r="F36" s="43" t="n">
        <f aca="false">SUMIFS(Data!$K$2:$K$781,Data!$H$2:$H$781,B36)</f>
        <v>59</v>
      </c>
      <c r="G36" s="42" t="n">
        <f aca="false">SUMIFS(Data!$L$782:$L$2370,Data!$H$782:$H$2370,B36)</f>
        <v>0</v>
      </c>
      <c r="H36" s="43" t="n">
        <f aca="false">SUMIFS(Data!$K$782:$K$2370,Data!$H$782:$H$2370,B36)</f>
        <v>39</v>
      </c>
      <c r="I36" s="42" t="n">
        <f aca="false">SUMIFS(Data!$L$2371:$L$3999,Data!$H$2371:$H$3999,B36)</f>
        <v>0</v>
      </c>
      <c r="J36" s="43" t="n">
        <f aca="false">SUMIFS(Data!$K$2371:$K$3999,Data!$H$2371:$H$3999,B36)</f>
        <v>74</v>
      </c>
      <c r="K36" s="44" t="n">
        <f aca="false">SUMIFS(Data!$M$2:$M$781,Data!$H$2:$H$781,B36)</f>
        <v>14</v>
      </c>
      <c r="L36" s="42" t="n">
        <f aca="false">SUMIFS(Data!$M$782:$M$2370,Data!$H$782:$H$2370,B36)</f>
        <v>11</v>
      </c>
      <c r="M36" s="42" t="n">
        <f aca="false">SUMIFS(Data!$M$2371:$M$3999,Data!$H$2371:$H$3999,B36)</f>
        <v>15</v>
      </c>
      <c r="N36" s="45" t="n">
        <f aca="false">SUMIFS(Data!$O$2:$O$781,Data!$H$2:$H$781,B36)</f>
        <v>0</v>
      </c>
      <c r="O36" s="43" t="n">
        <f aca="false">SUMIFS(Data!$N$2:$N$781,Data!$H$2:$H$781,B36)</f>
        <v>0</v>
      </c>
      <c r="P36" s="42" t="n">
        <f aca="false">SUMIFS(Data!$P$2:$P$781,Data!$H$2:$H$781,B36)</f>
        <v>0</v>
      </c>
      <c r="Q36" s="43" t="n">
        <f aca="false">SUMIFS(Data!$O$782:$O$2370,Data!$H$782:$H$2370,B36)</f>
        <v>1</v>
      </c>
      <c r="R36" s="43" t="n">
        <f aca="false">SUMIFS(Data!$N$782:$N$2370,Data!$H$782:$H$2370,B36)</f>
        <v>1</v>
      </c>
      <c r="S36" s="43" t="n">
        <f aca="false">SUMIFS(Data!$O$2371:$O$3999,Data!$H$2371:$H$3999,B36)</f>
        <v>3</v>
      </c>
      <c r="T36" s="43" t="n">
        <f aca="false">SUMIFS(Data!$N$2371:$N$3999,Data!$H$2371:$H$3999,B36)</f>
        <v>4</v>
      </c>
      <c r="U36" s="46" t="n">
        <f aca="false">SUMIFS(Data!$R$2:$R$781,Data!$H$2:$H$781,B36)</f>
        <v>2</v>
      </c>
      <c r="V36" s="47" t="n">
        <f aca="false">SUMIFS(Data!$Q$2:$Q$781,Data!$H$2:$H$781,B36)</f>
        <v>0</v>
      </c>
      <c r="W36" s="42" t="n">
        <f aca="false">SUMIFS(Data!$R$782:$R$2370,Data!$H$782:$H$2370,B36)</f>
        <v>4</v>
      </c>
      <c r="X36" s="43" t="n">
        <f aca="false">SUMIFS(Data!$Q$782:$Q$2370,Data!$H$782:$H$2370,B36)</f>
        <v>12</v>
      </c>
      <c r="Y36" s="42" t="n">
        <f aca="false">SUMIFS(Data!$R$2371:$R$3999,Data!$H$2371:$H$3999,B36)</f>
        <v>12</v>
      </c>
      <c r="Z36" s="43" t="n">
        <f aca="false">SUMIFS(Data!$Q$2371:$Q$3999,Data!$H$2371:$H$3999,B36)</f>
        <v>11</v>
      </c>
      <c r="AA36" s="48" t="n">
        <f aca="false">V36+U36+O36+N36+K36+F36+E36+P36</f>
        <v>81</v>
      </c>
      <c r="AB36" s="68" t="n">
        <f aca="false">X36+W36+T36+R36+Q36+L36+H36+G36</f>
        <v>72</v>
      </c>
      <c r="AC36" s="68" t="n">
        <f aca="false">Z36+Y36+T36+S36+M36+J36+I36</f>
        <v>119</v>
      </c>
    </row>
    <row r="37" s="50" customFormat="true" ht="23.25" hidden="false" customHeight="true" outlineLevel="0" collapsed="false">
      <c r="A37" s="31" t="n">
        <f aca="false">Data!AE36</f>
        <v>1008048</v>
      </c>
      <c r="B37" s="31" t="str">
        <f aca="false">Data!AD36</f>
        <v>الدروب الجنوبيه</v>
      </c>
      <c r="C37" s="31" t="n">
        <f aca="false">Data!AH36</f>
        <v>500685329</v>
      </c>
      <c r="D37" s="31" t="str">
        <f aca="false">Data!AF36</f>
        <v>الوجه</v>
      </c>
      <c r="E37" s="42" t="n">
        <f aca="false">SUMIFS(Data!$L$2:$L$781,Data!$H$2:$H$781,B37)</f>
        <v>7</v>
      </c>
      <c r="F37" s="43" t="n">
        <f aca="false">SUMIFS(Data!$K$2:$K$781,Data!$H$2:$H$781,B37)</f>
        <v>42</v>
      </c>
      <c r="G37" s="42" t="n">
        <f aca="false">SUMIFS(Data!$L$782:$L$2370,Data!$H$782:$H$2370,B37)</f>
        <v>0</v>
      </c>
      <c r="H37" s="43" t="n">
        <f aca="false">SUMIFS(Data!$K$782:$K$2370,Data!$H$782:$H$2370,B37)</f>
        <v>133</v>
      </c>
      <c r="I37" s="42" t="n">
        <f aca="false">SUMIFS(Data!$L$2371:$L$3999,Data!$H$2371:$H$3999,B37)</f>
        <v>0</v>
      </c>
      <c r="J37" s="43" t="n">
        <f aca="false">SUMIFS(Data!$K$2371:$K$3999,Data!$H$2371:$H$3999,B37)</f>
        <v>83</v>
      </c>
      <c r="K37" s="44" t="n">
        <f aca="false">SUMIFS(Data!$M$2:$M$781,Data!$H$2:$H$781,B37)</f>
        <v>0</v>
      </c>
      <c r="L37" s="42" t="n">
        <f aca="false">SUMIFS(Data!$M$782:$M$2370,Data!$H$782:$H$2370,B37)</f>
        <v>2</v>
      </c>
      <c r="M37" s="42" t="n">
        <f aca="false">SUMIFS(Data!$M$2371:$M$3999,Data!$H$2371:$H$3999,B37)</f>
        <v>7</v>
      </c>
      <c r="N37" s="45" t="n">
        <f aca="false">SUMIFS(Data!$O$2:$O$781,Data!$H$2:$H$781,B37)</f>
        <v>0</v>
      </c>
      <c r="O37" s="43" t="n">
        <f aca="false">SUMIFS(Data!$N$2:$N$781,Data!$H$2:$H$781,B37)</f>
        <v>0</v>
      </c>
      <c r="P37" s="42" t="n">
        <f aca="false">SUMIFS(Data!$P$2:$P$781,Data!$H$2:$H$781,B37)</f>
        <v>0</v>
      </c>
      <c r="Q37" s="43" t="n">
        <f aca="false">SUMIFS(Data!$O$782:$O$2370,Data!$H$782:$H$2370,B37)</f>
        <v>0</v>
      </c>
      <c r="R37" s="43" t="n">
        <f aca="false">SUMIFS(Data!$N$782:$N$2370,Data!$H$782:$H$2370,B37)</f>
        <v>0</v>
      </c>
      <c r="S37" s="43" t="n">
        <f aca="false">SUMIFS(Data!$O$2371:$O$3999,Data!$H$2371:$H$3999,B37)</f>
        <v>0</v>
      </c>
      <c r="T37" s="43" t="n">
        <f aca="false">SUMIFS(Data!$N$2371:$N$3999,Data!$H$2371:$H$3999,B37)</f>
        <v>13</v>
      </c>
      <c r="U37" s="46" t="n">
        <f aca="false">SUMIFS(Data!$R$2:$R$781,Data!$H$2:$H$781,B37)</f>
        <v>0</v>
      </c>
      <c r="V37" s="47" t="n">
        <f aca="false">SUMIFS(Data!$Q$2:$Q$781,Data!$H$2:$H$781,B37)</f>
        <v>0</v>
      </c>
      <c r="W37" s="42" t="n">
        <f aca="false">SUMIFS(Data!$R$782:$R$2370,Data!$H$782:$H$2370,B37)</f>
        <v>0</v>
      </c>
      <c r="X37" s="43" t="n">
        <f aca="false">SUMIFS(Data!$Q$782:$Q$2370,Data!$H$782:$H$2370,B37)</f>
        <v>0</v>
      </c>
      <c r="Y37" s="42" t="n">
        <f aca="false">SUMIFS(Data!$R$2371:$R$3999,Data!$H$2371:$H$3999,B37)</f>
        <v>1</v>
      </c>
      <c r="Z37" s="43" t="n">
        <f aca="false">SUMIFS(Data!$Q$2371:$Q$3999,Data!$H$2371:$H$3999,B37)</f>
        <v>0</v>
      </c>
      <c r="AA37" s="48" t="n">
        <f aca="false">V37+U37+O37+N37+K37+F37+E37+P37</f>
        <v>49</v>
      </c>
      <c r="AB37" s="68" t="n">
        <f aca="false">X37+W37+T37+R37+Q37+L37+H37+G37</f>
        <v>148</v>
      </c>
      <c r="AC37" s="68" t="n">
        <f aca="false">Z37+Y37+T37+S37+M37+J37+I37</f>
        <v>104</v>
      </c>
    </row>
    <row r="38" s="50" customFormat="true" ht="23.25" hidden="false" customHeight="true" outlineLevel="0" collapsed="false">
      <c r="A38" s="31" t="n">
        <f aca="false">Data!AE37</f>
        <v>1008049</v>
      </c>
      <c r="B38" s="31" t="str">
        <f aca="false">Data!AD37</f>
        <v>ساحل الوجه</v>
      </c>
      <c r="C38" s="31" t="n">
        <f aca="false">Data!AH37</f>
        <v>0</v>
      </c>
      <c r="D38" s="31" t="str">
        <f aca="false">Data!AF37</f>
        <v>الوجه</v>
      </c>
      <c r="E38" s="42" t="n">
        <f aca="false">SUMIFS(Data!$L$2:$L$781,Data!$H$2:$H$781,B38)</f>
        <v>0</v>
      </c>
      <c r="F38" s="43" t="n">
        <f aca="false">SUMIFS(Data!$K$2:$K$781,Data!$H$2:$H$781,B38)</f>
        <v>6</v>
      </c>
      <c r="G38" s="42" t="n">
        <f aca="false">SUMIFS(Data!$L$782:$L$2370,Data!$H$782:$H$2370,B38)</f>
        <v>0</v>
      </c>
      <c r="H38" s="43" t="n">
        <f aca="false">SUMIFS(Data!$K$782:$K$2370,Data!$H$782:$H$2370,B38)</f>
        <v>5</v>
      </c>
      <c r="I38" s="42" t="n">
        <f aca="false">SUMIFS(Data!$L$2371:$L$3999,Data!$H$2371:$H$3999,B38)</f>
        <v>0</v>
      </c>
      <c r="J38" s="43" t="n">
        <f aca="false">SUMIFS(Data!$K$2371:$K$3999,Data!$H$2371:$H$3999,B38)</f>
        <v>0</v>
      </c>
      <c r="K38" s="44" t="n">
        <f aca="false">SUMIFS(Data!$M$2:$M$781,Data!$H$2:$H$781,B38)</f>
        <v>0</v>
      </c>
      <c r="L38" s="42" t="n">
        <f aca="false">SUMIFS(Data!$M$782:$M$2370,Data!$H$782:$H$2370,B38)</f>
        <v>0</v>
      </c>
      <c r="M38" s="42" t="n">
        <f aca="false">SUMIFS(Data!$M$2371:$M$3999,Data!$H$2371:$H$3999,B38)</f>
        <v>0</v>
      </c>
      <c r="N38" s="45" t="n">
        <f aca="false">SUMIFS(Data!$O$2:$O$781,Data!$H$2:$H$781,B38)</f>
        <v>0</v>
      </c>
      <c r="O38" s="43" t="n">
        <f aca="false">SUMIFS(Data!$N$2:$N$781,Data!$H$2:$H$781,B38)</f>
        <v>0</v>
      </c>
      <c r="P38" s="42" t="n">
        <f aca="false">SUMIFS(Data!$P$2:$P$781,Data!$H$2:$H$781,B38)</f>
        <v>0</v>
      </c>
      <c r="Q38" s="43" t="n">
        <f aca="false">SUMIFS(Data!$O$782:$O$2370,Data!$H$782:$H$2370,B38)</f>
        <v>0</v>
      </c>
      <c r="R38" s="43" t="n">
        <f aca="false">SUMIFS(Data!$N$782:$N$2370,Data!$H$782:$H$2370,B38)</f>
        <v>0</v>
      </c>
      <c r="S38" s="43" t="n">
        <f aca="false">SUMIFS(Data!$O$2371:$O$3999,Data!$H$2371:$H$3999,B38)</f>
        <v>1</v>
      </c>
      <c r="T38" s="43" t="n">
        <f aca="false">SUMIFS(Data!$N$2371:$N$3999,Data!$H$2371:$H$3999,B38)</f>
        <v>0</v>
      </c>
      <c r="U38" s="46" t="n">
        <f aca="false">SUMIFS(Data!$R$2:$R$781,Data!$H$2:$H$781,B38)</f>
        <v>0</v>
      </c>
      <c r="V38" s="47" t="n">
        <f aca="false">SUMIFS(Data!$Q$2:$Q$781,Data!$H$2:$H$781,B38)</f>
        <v>0</v>
      </c>
      <c r="W38" s="42" t="n">
        <f aca="false">SUMIFS(Data!$R$782:$R$2370,Data!$H$782:$H$2370,B38)</f>
        <v>0</v>
      </c>
      <c r="X38" s="43" t="n">
        <f aca="false">SUMIFS(Data!$Q$782:$Q$2370,Data!$H$782:$H$2370,B38)</f>
        <v>0</v>
      </c>
      <c r="Y38" s="42" t="n">
        <f aca="false">SUMIFS(Data!$R$2371:$R$3999,Data!$H$2371:$H$3999,B38)</f>
        <v>1</v>
      </c>
      <c r="Z38" s="43" t="n">
        <f aca="false">SUMIFS(Data!$Q$2371:$Q$3999,Data!$H$2371:$H$3999,B38)</f>
        <v>0</v>
      </c>
      <c r="AA38" s="48" t="n">
        <f aca="false">V38+U38+O38+N38+K38+F38+E38+P38</f>
        <v>6</v>
      </c>
      <c r="AB38" s="68" t="n">
        <f aca="false">X38+W38+T38+R38+Q38+L38+H38+G38</f>
        <v>5</v>
      </c>
      <c r="AC38" s="68" t="n">
        <f aca="false">Z38+Y38+T38+S38+M38+J38+I38</f>
        <v>2</v>
      </c>
    </row>
    <row r="39" s="50" customFormat="true" ht="23.25" hidden="false" customHeight="true" outlineLevel="0" collapsed="false">
      <c r="A39" s="31" t="n">
        <f aca="false">Data!AE38</f>
        <v>1008054</v>
      </c>
      <c r="B39" s="31" t="str">
        <f aca="false">Data!AD38</f>
        <v>دوار الشمال</v>
      </c>
      <c r="C39" s="31" t="n">
        <f aca="false">Data!AH38</f>
        <v>579210442</v>
      </c>
      <c r="D39" s="31" t="str">
        <f aca="false">Data!AF38</f>
        <v>الوجه</v>
      </c>
      <c r="E39" s="42" t="n">
        <f aca="false">SUMIFS(Data!$L$2:$L$781,Data!$H$2:$H$781,B39)</f>
        <v>3</v>
      </c>
      <c r="F39" s="43" t="n">
        <f aca="false">SUMIFS(Data!$K$2:$K$781,Data!$H$2:$H$781,B39)</f>
        <v>7</v>
      </c>
      <c r="G39" s="42" t="n">
        <f aca="false">SUMIFS(Data!$L$782:$L$2370,Data!$H$782:$H$2370,B39)</f>
        <v>1</v>
      </c>
      <c r="H39" s="43" t="n">
        <f aca="false">SUMIFS(Data!$K$782:$K$2370,Data!$H$782:$H$2370,B39)</f>
        <v>21</v>
      </c>
      <c r="I39" s="42" t="n">
        <f aca="false">SUMIFS(Data!$L$2371:$L$3999,Data!$H$2371:$H$3999,B39)</f>
        <v>0</v>
      </c>
      <c r="J39" s="43" t="n">
        <f aca="false">SUMIFS(Data!$K$2371:$K$3999,Data!$H$2371:$H$3999,B39)</f>
        <v>11</v>
      </c>
      <c r="K39" s="44" t="n">
        <f aca="false">SUMIFS(Data!$M$2:$M$781,Data!$H$2:$H$781,B39)</f>
        <v>1</v>
      </c>
      <c r="L39" s="42" t="n">
        <f aca="false">SUMIFS(Data!$M$782:$M$2370,Data!$H$782:$H$2370,B39)</f>
        <v>0</v>
      </c>
      <c r="M39" s="42" t="n">
        <f aca="false">SUMIFS(Data!$M$2371:$M$3999,Data!$H$2371:$H$3999,B39)</f>
        <v>0</v>
      </c>
      <c r="N39" s="45" t="n">
        <f aca="false">SUMIFS(Data!$O$2:$O$781,Data!$H$2:$H$781,B39)</f>
        <v>0</v>
      </c>
      <c r="O39" s="43" t="n">
        <f aca="false">SUMIFS(Data!$N$2:$N$781,Data!$H$2:$H$781,B39)</f>
        <v>0</v>
      </c>
      <c r="P39" s="42" t="n">
        <f aca="false">SUMIFS(Data!$P$2:$P$781,Data!$H$2:$H$781,B39)</f>
        <v>0</v>
      </c>
      <c r="Q39" s="43" t="n">
        <f aca="false">SUMIFS(Data!$O$782:$O$2370,Data!$H$782:$H$2370,B39)</f>
        <v>0</v>
      </c>
      <c r="R39" s="43" t="n">
        <f aca="false">SUMIFS(Data!$N$782:$N$2370,Data!$H$782:$H$2370,B39)</f>
        <v>0</v>
      </c>
      <c r="S39" s="43" t="n">
        <f aca="false">SUMIFS(Data!$O$2371:$O$3999,Data!$H$2371:$H$3999,B39)</f>
        <v>0</v>
      </c>
      <c r="T39" s="43" t="n">
        <f aca="false">SUMIFS(Data!$N$2371:$N$3999,Data!$H$2371:$H$3999,B39)</f>
        <v>0</v>
      </c>
      <c r="U39" s="46" t="n">
        <f aca="false">SUMIFS(Data!$R$2:$R$781,Data!$H$2:$H$781,B39)</f>
        <v>0</v>
      </c>
      <c r="V39" s="47" t="n">
        <f aca="false">SUMIFS(Data!$Q$2:$Q$781,Data!$H$2:$H$781,B39)</f>
        <v>0</v>
      </c>
      <c r="W39" s="42" t="n">
        <f aca="false">SUMIFS(Data!$R$782:$R$2370,Data!$H$782:$H$2370,B39)</f>
        <v>0</v>
      </c>
      <c r="X39" s="43" t="n">
        <f aca="false">SUMIFS(Data!$Q$782:$Q$2370,Data!$H$782:$H$2370,B39)</f>
        <v>0</v>
      </c>
      <c r="Y39" s="42" t="n">
        <f aca="false">SUMIFS(Data!$R$2371:$R$3999,Data!$H$2371:$H$3999,B39)</f>
        <v>1</v>
      </c>
      <c r="Z39" s="43" t="n">
        <f aca="false">SUMIFS(Data!$Q$2371:$Q$3999,Data!$H$2371:$H$3999,B39)</f>
        <v>0</v>
      </c>
      <c r="AA39" s="48" t="n">
        <f aca="false">V39+U39+O39+N39+K39+F39+E39+P39</f>
        <v>11</v>
      </c>
      <c r="AB39" s="68" t="n">
        <f aca="false">X39+W39+T39+R39+Q39+L39+H39+G39</f>
        <v>22</v>
      </c>
      <c r="AC39" s="68" t="n">
        <f aca="false">Z39+Y39+T39+S39+M39+J39+I39</f>
        <v>12</v>
      </c>
    </row>
    <row r="40" s="50" customFormat="true" ht="23.25" hidden="false" customHeight="true" outlineLevel="0" collapsed="false">
      <c r="A40" s="31" t="n">
        <f aca="false">Data!AE39</f>
        <v>1008051</v>
      </c>
      <c r="B40" s="31" t="str">
        <f aca="false">Data!AD39</f>
        <v>المسافر</v>
      </c>
      <c r="C40" s="31" t="n">
        <f aca="false">Data!AH39</f>
        <v>553861401</v>
      </c>
      <c r="D40" s="31" t="str">
        <f aca="false">Data!AF39</f>
        <v>الوجه</v>
      </c>
      <c r="E40" s="42" t="n">
        <f aca="false">SUMIFS(Data!$L$2:$L$781,Data!$H$2:$H$781,B40)</f>
        <v>1</v>
      </c>
      <c r="F40" s="43" t="n">
        <f aca="false">SUMIFS(Data!$K$2:$K$781,Data!$H$2:$H$781,B40)</f>
        <v>9</v>
      </c>
      <c r="G40" s="42" t="n">
        <f aca="false">SUMIFS(Data!$L$782:$L$2370,Data!$H$782:$H$2370,B40)</f>
        <v>0</v>
      </c>
      <c r="H40" s="43" t="n">
        <f aca="false">SUMIFS(Data!$K$782:$K$2370,Data!$H$782:$H$2370,B40)</f>
        <v>32</v>
      </c>
      <c r="I40" s="42" t="n">
        <f aca="false">SUMIFS(Data!$L$2371:$L$3999,Data!$H$2371:$H$3999,B40)</f>
        <v>0</v>
      </c>
      <c r="J40" s="43" t="n">
        <f aca="false">SUMIFS(Data!$K$2371:$K$3999,Data!$H$2371:$H$3999,B40)</f>
        <v>19</v>
      </c>
      <c r="K40" s="44" t="n">
        <f aca="false">SUMIFS(Data!$M$2:$M$781,Data!$H$2:$H$781,B40)</f>
        <v>0</v>
      </c>
      <c r="L40" s="42" t="n">
        <f aca="false">SUMIFS(Data!$M$782:$M$2370,Data!$H$782:$H$2370,B40)</f>
        <v>2</v>
      </c>
      <c r="M40" s="42" t="n">
        <f aca="false">SUMIFS(Data!$M$2371:$M$3999,Data!$H$2371:$H$3999,B40)</f>
        <v>1</v>
      </c>
      <c r="N40" s="45" t="n">
        <f aca="false">SUMIFS(Data!$O$2:$O$781,Data!$H$2:$H$781,B40)</f>
        <v>0</v>
      </c>
      <c r="O40" s="43" t="n">
        <f aca="false">SUMIFS(Data!$N$2:$N$781,Data!$H$2:$H$781,B40)</f>
        <v>0</v>
      </c>
      <c r="P40" s="42" t="n">
        <f aca="false">SUMIFS(Data!$P$2:$P$781,Data!$H$2:$H$781,B40)</f>
        <v>0</v>
      </c>
      <c r="Q40" s="43" t="n">
        <f aca="false">SUMIFS(Data!$O$782:$O$2370,Data!$H$782:$H$2370,B40)</f>
        <v>0</v>
      </c>
      <c r="R40" s="43" t="n">
        <f aca="false">SUMIFS(Data!$N$782:$N$2370,Data!$H$782:$H$2370,B40)</f>
        <v>3</v>
      </c>
      <c r="S40" s="43" t="n">
        <f aca="false">SUMIFS(Data!$O$2371:$O$3999,Data!$H$2371:$H$3999,B40)</f>
        <v>0</v>
      </c>
      <c r="T40" s="43" t="n">
        <f aca="false">SUMIFS(Data!$N$2371:$N$3999,Data!$H$2371:$H$3999,B40)</f>
        <v>0</v>
      </c>
      <c r="U40" s="46" t="n">
        <f aca="false">SUMIFS(Data!$R$2:$R$781,Data!$H$2:$H$781,B40)</f>
        <v>0</v>
      </c>
      <c r="V40" s="47" t="n">
        <f aca="false">SUMIFS(Data!$Q$2:$Q$781,Data!$H$2:$H$781,B40)</f>
        <v>0</v>
      </c>
      <c r="W40" s="42" t="n">
        <f aca="false">SUMIFS(Data!$R$782:$R$2370,Data!$H$782:$H$2370,B40)</f>
        <v>1</v>
      </c>
      <c r="X40" s="43" t="n">
        <f aca="false">SUMIFS(Data!$Q$782:$Q$2370,Data!$H$782:$H$2370,B40)</f>
        <v>0</v>
      </c>
      <c r="Y40" s="42" t="n">
        <f aca="false">SUMIFS(Data!$R$2371:$R$3999,Data!$H$2371:$H$3999,B40)</f>
        <v>1</v>
      </c>
      <c r="Z40" s="43" t="n">
        <f aca="false">SUMIFS(Data!$Q$2371:$Q$3999,Data!$H$2371:$H$3999,B40)</f>
        <v>0</v>
      </c>
      <c r="AA40" s="48" t="n">
        <f aca="false">V40+U40+O40+N40+K40+F40+E40+P40</f>
        <v>10</v>
      </c>
      <c r="AB40" s="68" t="n">
        <f aca="false">X40+W40+T40+R40+Q40+L40+H40+G40</f>
        <v>38</v>
      </c>
      <c r="AC40" s="68" t="n">
        <f aca="false">Z40+Y40+T40+S40+M40+J40+I40</f>
        <v>21</v>
      </c>
    </row>
    <row r="41" s="50" customFormat="true" ht="23.25" hidden="false" customHeight="true" outlineLevel="0" collapsed="false">
      <c r="A41" s="31" t="n">
        <f aca="false">Data!AE40</f>
        <v>1008267</v>
      </c>
      <c r="B41" s="31" t="str">
        <f aca="false">Data!AD40</f>
        <v>جميله الحويطي</v>
      </c>
      <c r="C41" s="31" t="n">
        <f aca="false">Data!AH40</f>
        <v>508388517</v>
      </c>
      <c r="D41" s="31" t="str">
        <f aca="false">Data!AF40</f>
        <v>الوجه</v>
      </c>
      <c r="E41" s="42" t="n">
        <f aca="false">SUMIFS(Data!$L$2:$L$781,Data!$H$2:$H$781,B41)</f>
        <v>1</v>
      </c>
      <c r="F41" s="43" t="n">
        <f aca="false">SUMIFS(Data!$K$2:$K$781,Data!$H$2:$H$781,B41)</f>
        <v>8</v>
      </c>
      <c r="G41" s="42" t="n">
        <f aca="false">SUMIFS(Data!$L$782:$L$2370,Data!$H$782:$H$2370,B41)</f>
        <v>1</v>
      </c>
      <c r="H41" s="43" t="n">
        <f aca="false">SUMIFS(Data!$K$782:$K$2370,Data!$H$782:$H$2370,B41)</f>
        <v>8</v>
      </c>
      <c r="I41" s="42" t="n">
        <f aca="false">SUMIFS(Data!$L$2371:$L$3999,Data!$H$2371:$H$3999,B41)</f>
        <v>11</v>
      </c>
      <c r="J41" s="43" t="n">
        <f aca="false">SUMIFS(Data!$K$2371:$K$3999,Data!$H$2371:$H$3999,B41)</f>
        <v>4</v>
      </c>
      <c r="K41" s="44" t="n">
        <f aca="false">SUMIFS(Data!$M$2:$M$781,Data!$H$2:$H$781,B41)</f>
        <v>0</v>
      </c>
      <c r="L41" s="42" t="n">
        <f aca="false">SUMIFS(Data!$M$782:$M$2370,Data!$H$782:$H$2370,B41)</f>
        <v>0</v>
      </c>
      <c r="M41" s="42" t="n">
        <f aca="false">SUMIFS(Data!$M$2371:$M$3999,Data!$H$2371:$H$3999,B41)</f>
        <v>1</v>
      </c>
      <c r="N41" s="45" t="n">
        <f aca="false">SUMIFS(Data!$O$2:$O$781,Data!$H$2:$H$781,B41)</f>
        <v>0</v>
      </c>
      <c r="O41" s="43" t="n">
        <f aca="false">SUMIFS(Data!$N$2:$N$781,Data!$H$2:$H$781,B41)</f>
        <v>0</v>
      </c>
      <c r="P41" s="42" t="n">
        <f aca="false">SUMIFS(Data!$P$2:$P$781,Data!$H$2:$H$781,B41)</f>
        <v>0</v>
      </c>
      <c r="Q41" s="43" t="n">
        <f aca="false">SUMIFS(Data!$O$782:$O$2370,Data!$H$782:$H$2370,B41)</f>
        <v>0</v>
      </c>
      <c r="R41" s="43" t="n">
        <f aca="false">SUMIFS(Data!$N$782:$N$2370,Data!$H$782:$H$2370,B41)</f>
        <v>0</v>
      </c>
      <c r="S41" s="43" t="n">
        <f aca="false">SUMIFS(Data!$O$2371:$O$3999,Data!$H$2371:$H$3999,B41)</f>
        <v>1</v>
      </c>
      <c r="T41" s="43" t="n">
        <f aca="false">SUMIFS(Data!$N$2371:$N$3999,Data!$H$2371:$H$3999,B41)</f>
        <v>0</v>
      </c>
      <c r="U41" s="46" t="n">
        <f aca="false">SUMIFS(Data!$R$2:$R$781,Data!$H$2:$H$781,B41)</f>
        <v>0</v>
      </c>
      <c r="V41" s="47" t="n">
        <f aca="false">SUMIFS(Data!$Q$2:$Q$781,Data!$H$2:$H$781,B41)</f>
        <v>0</v>
      </c>
      <c r="W41" s="42" t="n">
        <f aca="false">SUMIFS(Data!$R$782:$R$2370,Data!$H$782:$H$2370,B41)</f>
        <v>0</v>
      </c>
      <c r="X41" s="43" t="n">
        <f aca="false">SUMIFS(Data!$Q$782:$Q$2370,Data!$H$782:$H$2370,B41)</f>
        <v>0</v>
      </c>
      <c r="Y41" s="42" t="n">
        <f aca="false">SUMIFS(Data!$R$2371:$R$3999,Data!$H$2371:$H$3999,B41)</f>
        <v>0</v>
      </c>
      <c r="Z41" s="43" t="n">
        <f aca="false">SUMIFS(Data!$Q$2371:$Q$3999,Data!$H$2371:$H$3999,B41)</f>
        <v>0</v>
      </c>
      <c r="AA41" s="48" t="n">
        <f aca="false">V41+U41+O41+N41+K41+F41+E41+P41</f>
        <v>9</v>
      </c>
      <c r="AB41" s="68" t="n">
        <f aca="false">X41+W41+T41+R41+Q41+L41+H41+G41</f>
        <v>9</v>
      </c>
      <c r="AC41" s="68" t="n">
        <f aca="false">Z41+Y41+T41+S41+M41+J41+I41</f>
        <v>17</v>
      </c>
    </row>
    <row r="42" s="50" customFormat="true" ht="23.25" hidden="false" customHeight="true" outlineLevel="0" collapsed="false">
      <c r="A42" s="31" t="n">
        <f aca="false">Data!AE41</f>
        <v>656</v>
      </c>
      <c r="B42" s="31" t="str">
        <f aca="false">Data!AD41</f>
        <v>سميره الزهراني</v>
      </c>
      <c r="C42" s="31" t="n">
        <f aca="false">Data!AH41</f>
        <v>531290065</v>
      </c>
      <c r="D42" s="31" t="str">
        <f aca="false">Data!AF41</f>
        <v>الوجه</v>
      </c>
      <c r="E42" s="42" t="n">
        <f aca="false">SUMIFS(Data!$L$2:$L$781,Data!$H$2:$H$781,B42)</f>
        <v>0</v>
      </c>
      <c r="F42" s="43" t="n">
        <f aca="false">SUMIFS(Data!$K$2:$K$781,Data!$H$2:$H$781,B42)</f>
        <v>2</v>
      </c>
      <c r="G42" s="42" t="n">
        <f aca="false">SUMIFS(Data!$L$782:$L$2370,Data!$H$782:$H$2370,B42)</f>
        <v>0</v>
      </c>
      <c r="H42" s="43" t="n">
        <f aca="false">SUMIFS(Data!$K$782:$K$2370,Data!$H$782:$H$2370,B42)</f>
        <v>10</v>
      </c>
      <c r="I42" s="42" t="n">
        <f aca="false">SUMIFS(Data!$L$2371:$L$3999,Data!$H$2371:$H$3999,B42)</f>
        <v>0</v>
      </c>
      <c r="J42" s="43" t="n">
        <f aca="false">SUMIFS(Data!$K$2371:$K$3999,Data!$H$2371:$H$3999,B42)</f>
        <v>0</v>
      </c>
      <c r="K42" s="44" t="n">
        <f aca="false">SUMIFS(Data!$M$2:$M$781,Data!$H$2:$H$781,B42)</f>
        <v>0</v>
      </c>
      <c r="L42" s="42" t="n">
        <f aca="false">SUMIFS(Data!$M$782:$M$2370,Data!$H$782:$H$2370,B42)</f>
        <v>1</v>
      </c>
      <c r="M42" s="42" t="n">
        <f aca="false">SUMIFS(Data!$M$2371:$M$3999,Data!$H$2371:$H$3999,B42)</f>
        <v>1</v>
      </c>
      <c r="N42" s="45" t="n">
        <f aca="false">SUMIFS(Data!$O$2:$O$781,Data!$H$2:$H$781,B42)</f>
        <v>0</v>
      </c>
      <c r="O42" s="43" t="n">
        <f aca="false">SUMIFS(Data!$N$2:$N$781,Data!$H$2:$H$781,B42)</f>
        <v>0</v>
      </c>
      <c r="P42" s="42" t="n">
        <f aca="false">SUMIFS(Data!$P$2:$P$781,Data!$H$2:$H$781,B42)</f>
        <v>0</v>
      </c>
      <c r="Q42" s="43" t="n">
        <f aca="false">SUMIFS(Data!$O$782:$O$2370,Data!$H$782:$H$2370,B42)</f>
        <v>0</v>
      </c>
      <c r="R42" s="43" t="n">
        <f aca="false">SUMIFS(Data!$N$782:$N$2370,Data!$H$782:$H$2370,B42)</f>
        <v>6</v>
      </c>
      <c r="S42" s="43" t="n">
        <f aca="false">SUMIFS(Data!$O$2371:$O$3999,Data!$H$2371:$H$3999,B42)</f>
        <v>0</v>
      </c>
      <c r="T42" s="43" t="n">
        <f aca="false">SUMIFS(Data!$N$2371:$N$3999,Data!$H$2371:$H$3999,B42)</f>
        <v>0</v>
      </c>
      <c r="U42" s="46" t="n">
        <f aca="false">SUMIFS(Data!$R$2:$R$781,Data!$H$2:$H$781,B42)</f>
        <v>0</v>
      </c>
      <c r="V42" s="47" t="n">
        <f aca="false">SUMIFS(Data!$Q$2:$Q$781,Data!$H$2:$H$781,B42)</f>
        <v>1</v>
      </c>
      <c r="W42" s="42" t="n">
        <f aca="false">SUMIFS(Data!$R$782:$R$2370,Data!$H$782:$H$2370,B42)</f>
        <v>11</v>
      </c>
      <c r="X42" s="43" t="n">
        <f aca="false">SUMIFS(Data!$Q$782:$Q$2370,Data!$H$782:$H$2370,B42)</f>
        <v>14</v>
      </c>
      <c r="Y42" s="42" t="n">
        <f aca="false">SUMIFS(Data!$R$2371:$R$3999,Data!$H$2371:$H$3999,B42)</f>
        <v>7</v>
      </c>
      <c r="Z42" s="43" t="n">
        <f aca="false">SUMIFS(Data!$Q$2371:$Q$3999,Data!$H$2371:$H$3999,B42)</f>
        <v>6</v>
      </c>
      <c r="AA42" s="48" t="n">
        <f aca="false">V42+U42+O42+N42+K42+F42+E42+P42</f>
        <v>3</v>
      </c>
      <c r="AB42" s="68" t="n">
        <f aca="false">X42+W42+T42+R42+Q42+L42+H42+G42</f>
        <v>42</v>
      </c>
      <c r="AC42" s="68" t="n">
        <f aca="false">Z42+Y42+T42+S42+M42+J42+I42</f>
        <v>14</v>
      </c>
    </row>
    <row r="43" s="50" customFormat="true" ht="23.25" hidden="false" customHeight="true" outlineLevel="0" collapsed="false">
      <c r="A43" s="31" t="n">
        <f aca="false">Data!AE42</f>
        <v>1002</v>
      </c>
      <c r="B43" s="31" t="str">
        <f aca="false">Data!AD42</f>
        <v>ليان</v>
      </c>
      <c r="C43" s="31" t="n">
        <f aca="false">Data!AH42</f>
        <v>567804301</v>
      </c>
      <c r="D43" s="31" t="str">
        <f aca="false">Data!AF42</f>
        <v>الوجه</v>
      </c>
      <c r="E43" s="42" t="n">
        <f aca="false">SUMIFS(Data!$L$2:$L$781,Data!$H$2:$H$781,B43)</f>
        <v>0</v>
      </c>
      <c r="F43" s="43" t="n">
        <f aca="false">SUMIFS(Data!$K$2:$K$781,Data!$H$2:$H$781,B43)</f>
        <v>0</v>
      </c>
      <c r="G43" s="42" t="n">
        <f aca="false">SUMIFS(Data!$L$782:$L$2370,Data!$H$782:$H$2370,B43)</f>
        <v>1</v>
      </c>
      <c r="H43" s="43" t="n">
        <f aca="false">SUMIFS(Data!$K$782:$K$2370,Data!$H$782:$H$2370,B43)</f>
        <v>12</v>
      </c>
      <c r="I43" s="42" t="n">
        <f aca="false">SUMIFS(Data!$L$2371:$L$3999,Data!$H$2371:$H$3999,B43)</f>
        <v>0</v>
      </c>
      <c r="J43" s="43" t="n">
        <f aca="false">SUMIFS(Data!$K$2371:$K$3999,Data!$H$2371:$H$3999,B43)</f>
        <v>44</v>
      </c>
      <c r="K43" s="44" t="n">
        <f aca="false">SUMIFS(Data!$M$2:$M$781,Data!$H$2:$H$781,B43)</f>
        <v>0</v>
      </c>
      <c r="L43" s="42" t="n">
        <f aca="false">SUMIFS(Data!$M$782:$M$2370,Data!$H$782:$H$2370,B43)</f>
        <v>6</v>
      </c>
      <c r="M43" s="42" t="n">
        <f aca="false">SUMIFS(Data!$M$2371:$M$3999,Data!$H$2371:$H$3999,B43)</f>
        <v>31</v>
      </c>
      <c r="N43" s="45" t="n">
        <f aca="false">SUMIFS(Data!$O$2:$O$781,Data!$H$2:$H$781,B43)</f>
        <v>0</v>
      </c>
      <c r="O43" s="43" t="n">
        <f aca="false">SUMIFS(Data!$N$2:$N$781,Data!$H$2:$H$781,B43)</f>
        <v>0</v>
      </c>
      <c r="P43" s="42" t="n">
        <f aca="false">SUMIFS(Data!$P$2:$P$781,Data!$H$2:$H$781,B43)</f>
        <v>0</v>
      </c>
      <c r="Q43" s="43" t="n">
        <f aca="false">SUMIFS(Data!$O$782:$O$2370,Data!$H$782:$H$2370,B43)</f>
        <v>0</v>
      </c>
      <c r="R43" s="43" t="n">
        <f aca="false">SUMIFS(Data!$N$782:$N$2370,Data!$H$782:$H$2370,B43)</f>
        <v>3</v>
      </c>
      <c r="S43" s="43" t="n">
        <f aca="false">SUMIFS(Data!$O$2371:$O$3999,Data!$H$2371:$H$3999,B43)</f>
        <v>1</v>
      </c>
      <c r="T43" s="43" t="n">
        <f aca="false">SUMIFS(Data!$N$2371:$N$3999,Data!$H$2371:$H$3999,B43)</f>
        <v>1</v>
      </c>
      <c r="U43" s="46" t="n">
        <f aca="false">SUMIFS(Data!$R$2:$R$781,Data!$H$2:$H$781,B43)</f>
        <v>0</v>
      </c>
      <c r="V43" s="47" t="n">
        <f aca="false">SUMIFS(Data!$Q$2:$Q$781,Data!$H$2:$H$781,B43)</f>
        <v>0</v>
      </c>
      <c r="W43" s="42" t="n">
        <f aca="false">SUMIFS(Data!$R$782:$R$2370,Data!$H$782:$H$2370,B43)</f>
        <v>6</v>
      </c>
      <c r="X43" s="43" t="n">
        <f aca="false">SUMIFS(Data!$Q$782:$Q$2370,Data!$H$782:$H$2370,B43)</f>
        <v>0</v>
      </c>
      <c r="Y43" s="42" t="n">
        <f aca="false">SUMIFS(Data!$R$2371:$R$3999,Data!$H$2371:$H$3999,B43)</f>
        <v>5</v>
      </c>
      <c r="Z43" s="43" t="n">
        <f aca="false">SUMIFS(Data!$Q$2371:$Q$3999,Data!$H$2371:$H$3999,B43)</f>
        <v>2</v>
      </c>
      <c r="AA43" s="48" t="n">
        <f aca="false">V43+U43+O43+N43+K43+F43+E43+P43</f>
        <v>0</v>
      </c>
      <c r="AB43" s="68" t="n">
        <f aca="false">X43+W43+T43+R43+Q43+L43+H43+G43</f>
        <v>29</v>
      </c>
      <c r="AC43" s="68" t="n">
        <f aca="false">Z43+Y43+T43+S43+M43+J43+I43</f>
        <v>84</v>
      </c>
    </row>
    <row r="44" s="50" customFormat="true" ht="23.25" hidden="false" customHeight="true" outlineLevel="0" collapsed="false">
      <c r="A44" s="31" t="n">
        <f aca="false">Data!AE43</f>
        <v>1033</v>
      </c>
      <c r="B44" s="31" t="str">
        <f aca="false">Data!AD43</f>
        <v>البدر الساطع</v>
      </c>
      <c r="C44" s="31" t="n">
        <f aca="false">Data!AH43</f>
        <v>532637209</v>
      </c>
      <c r="D44" s="31" t="str">
        <f aca="false">Data!AF43</f>
        <v>الوجه</v>
      </c>
      <c r="E44" s="69" t="n">
        <f aca="false">SUMIFS(Data!$L$2:$L$781,Data!$H$2:$H$781,B44)</f>
        <v>0</v>
      </c>
      <c r="F44" s="70" t="n">
        <f aca="false">SUMIFS(Data!$K$2:$K$781,Data!$H$2:$H$781,B44)</f>
        <v>0</v>
      </c>
      <c r="G44" s="69" t="n">
        <f aca="false">SUMIFS(Data!$L$782:$L$2370,Data!$H$782:$H$2370,B44)</f>
        <v>0</v>
      </c>
      <c r="H44" s="70" t="n">
        <f aca="false">SUMIFS(Data!$K$782:$K$2370,Data!$H$782:$H$2370,B44)</f>
        <v>0</v>
      </c>
      <c r="I44" s="69" t="n">
        <f aca="false">SUMIFS(Data!$L$2371:$L$3999,Data!$H$2371:$H$3999,B44)</f>
        <v>0</v>
      </c>
      <c r="J44" s="70" t="n">
        <f aca="false">SUMIFS(Data!$K$2371:$K$3999,Data!$H$2371:$H$3999,B44)</f>
        <v>0</v>
      </c>
      <c r="K44" s="69" t="n">
        <f aca="false">SUMIFS(Data!$M$2:$M$781,Data!$H$2:$H$781,B44)</f>
        <v>0</v>
      </c>
      <c r="L44" s="69" t="n">
        <f aca="false">SUMIFS(Data!$M$782:$M$2370,Data!$H$782:$H$2370,B44)</f>
        <v>0</v>
      </c>
      <c r="M44" s="69" t="n">
        <f aca="false">SUMIFS(Data!$M$2371:$M$3999,Data!$H$2371:$H$3999,B44)</f>
        <v>0</v>
      </c>
      <c r="N44" s="70" t="n">
        <f aca="false">SUMIFS(Data!$O$2:$O$781,Data!$H$2:$H$781,B44)</f>
        <v>0</v>
      </c>
      <c r="O44" s="70" t="n">
        <f aca="false">SUMIFS(Data!$N$2:$N$781,Data!$H$2:$H$781,B44)</f>
        <v>0</v>
      </c>
      <c r="P44" s="69" t="n">
        <f aca="false">SUMIFS(Data!$P$2:$P$781,Data!$H$2:$H$781,B44)</f>
        <v>0</v>
      </c>
      <c r="Q44" s="70" t="n">
        <f aca="false">SUMIFS(Data!$O$782:$O$2370,Data!$H$782:$H$2370,B44)</f>
        <v>0</v>
      </c>
      <c r="R44" s="70" t="n">
        <f aca="false">SUMIFS(Data!$N$782:$N$2370,Data!$H$782:$H$2370,B44)</f>
        <v>27</v>
      </c>
      <c r="S44" s="70" t="n">
        <f aca="false">SUMIFS(Data!$O$2371:$O$3999,Data!$H$2371:$H$3999,B44)</f>
        <v>0</v>
      </c>
      <c r="T44" s="70" t="n">
        <f aca="false">SUMIFS(Data!$N$2371:$N$3999,Data!$H$2371:$H$3999,B44)</f>
        <v>137</v>
      </c>
      <c r="U44" s="69" t="n">
        <f aca="false">SUMIFS(Data!$R$2:$R$781,Data!$H$2:$H$781,B44)</f>
        <v>0</v>
      </c>
      <c r="V44" s="71" t="n">
        <f aca="false">SUMIFS(Data!$Q$2:$Q$781,Data!$H$2:$H$781,B44)</f>
        <v>0</v>
      </c>
      <c r="W44" s="69" t="n">
        <f aca="false">SUMIFS(Data!$R$782:$R$2370,Data!$H$782:$H$2370,B44)</f>
        <v>0</v>
      </c>
      <c r="X44" s="70" t="n">
        <f aca="false">SUMIFS(Data!$Q$782:$Q$2370,Data!$H$782:$H$2370,B44)</f>
        <v>0</v>
      </c>
      <c r="Y44" s="69" t="n">
        <f aca="false">SUMIFS(Data!$R$2371:$R$3999,Data!$H$2371:$H$3999,B44)</f>
        <v>0</v>
      </c>
      <c r="Z44" s="70" t="n">
        <f aca="false">SUMIFS(Data!$Q$2371:$Q$3999,Data!$H$2371:$H$3999,B44)</f>
        <v>1</v>
      </c>
      <c r="AA44" s="68" t="n">
        <f aca="false">V44+U44+O44+N44+K44+F44+E44+P44</f>
        <v>0</v>
      </c>
      <c r="AB44" s="72" t="n">
        <f aca="false">X44+W44+T44+R44+Q44+L44+H44+G44</f>
        <v>164</v>
      </c>
      <c r="AC44" s="72" t="n">
        <f aca="false">Z44+Y44+T44+S44+M44+J44+I44</f>
        <v>138</v>
      </c>
    </row>
    <row r="45" s="50" customFormat="true" ht="23.25" hidden="false" customHeight="true" outlineLevel="0" collapsed="false">
      <c r="A45" s="31" t="n">
        <f aca="false">Data!AE44</f>
        <v>1008037</v>
      </c>
      <c r="B45" s="31" t="str">
        <f aca="false">Data!AD44</f>
        <v>بنشر مكه</v>
      </c>
      <c r="C45" s="31" t="n">
        <f aca="false">Data!AH44</f>
        <v>0</v>
      </c>
      <c r="D45" s="31" t="str">
        <f aca="false">Data!AF44</f>
        <v>المويلح</v>
      </c>
      <c r="E45" s="60" t="n">
        <f aca="false">SUMIFS(Data!$L$2:$L$781,Data!$H$2:$H$781,B45)</f>
        <v>0</v>
      </c>
      <c r="F45" s="61" t="n">
        <f aca="false">SUMIFS(Data!$K$2:$K$781,Data!$H$2:$H$781,B45)</f>
        <v>0</v>
      </c>
      <c r="G45" s="60" t="n">
        <f aca="false">SUMIFS(Data!$L$782:$L$2370,Data!$H$782:$H$2370,B45)</f>
        <v>0</v>
      </c>
      <c r="H45" s="61" t="n">
        <f aca="false">SUMIFS(Data!$K$782:$K$2370,Data!$H$782:$H$2370,B45)</f>
        <v>0</v>
      </c>
      <c r="I45" s="60" t="n">
        <f aca="false">SUMIFS(Data!$L$2371:$L$3999,Data!$H$2371:$H$3999,B45)</f>
        <v>0</v>
      </c>
      <c r="J45" s="61" t="n">
        <f aca="false">SUMIFS(Data!$K$2371:$K$3999,Data!$H$2371:$H$3999,B45)</f>
        <v>0</v>
      </c>
      <c r="K45" s="62" t="n">
        <f aca="false">SUMIFS(Data!$M$2:$M$781,Data!$H$2:$H$781,B45)</f>
        <v>0</v>
      </c>
      <c r="L45" s="60" t="n">
        <f aca="false">SUMIFS(Data!$M$782:$M$2370,Data!$H$782:$H$2370,B45)</f>
        <v>0</v>
      </c>
      <c r="M45" s="60" t="n">
        <f aca="false">SUMIFS(Data!$M$2371:$M$3999,Data!$H$2371:$H$3999,B45)</f>
        <v>0</v>
      </c>
      <c r="N45" s="63" t="n">
        <f aca="false">SUMIFS(Data!$O$2:$O$781,Data!$H$2:$H$781,B45)</f>
        <v>0</v>
      </c>
      <c r="O45" s="61" t="n">
        <f aca="false">SUMIFS(Data!$N$2:$N$781,Data!$H$2:$H$781,B45)</f>
        <v>0</v>
      </c>
      <c r="P45" s="60" t="n">
        <f aca="false">SUMIFS(Data!$P$2:$P$781,Data!$H$2:$H$781,B45)</f>
        <v>0</v>
      </c>
      <c r="Q45" s="61" t="n">
        <f aca="false">SUMIFS(Data!$O$782:$O$2370,Data!$H$782:$H$2370,B45)</f>
        <v>0</v>
      </c>
      <c r="R45" s="61" t="n">
        <f aca="false">SUMIFS(Data!$N$782:$N$2370,Data!$H$782:$H$2370,B45)</f>
        <v>0</v>
      </c>
      <c r="S45" s="61" t="n">
        <f aca="false">SUMIFS(Data!$O$2371:$O$3999,Data!$H$2371:$H$3999,B45)</f>
        <v>0</v>
      </c>
      <c r="T45" s="61" t="n">
        <f aca="false">SUMIFS(Data!$N$2371:$N$3999,Data!$H$2371:$H$3999,B45)</f>
        <v>0</v>
      </c>
      <c r="U45" s="64" t="n">
        <f aca="false">SUMIFS(Data!$R$2:$R$781,Data!$H$2:$H$781,B45)</f>
        <v>0</v>
      </c>
      <c r="V45" s="65" t="n">
        <f aca="false">SUMIFS(Data!$Q$2:$Q$781,Data!$H$2:$H$781,B45)</f>
        <v>0</v>
      </c>
      <c r="W45" s="60" t="n">
        <f aca="false">SUMIFS(Data!$R$782:$R$2370,Data!$H$782:$H$2370,B45)</f>
        <v>0</v>
      </c>
      <c r="X45" s="61" t="n">
        <f aca="false">SUMIFS(Data!$Q$782:$Q$2370,Data!$H$782:$H$2370,B45)</f>
        <v>0</v>
      </c>
      <c r="Y45" s="60" t="n">
        <f aca="false">SUMIFS(Data!$R$2371:$R$3999,Data!$H$2371:$H$3999,B45)</f>
        <v>0</v>
      </c>
      <c r="Z45" s="61" t="n">
        <f aca="false">SUMIFS(Data!$Q$2371:$Q$3999,Data!$H$2371:$H$3999,B45)</f>
        <v>0</v>
      </c>
      <c r="AA45" s="66" t="n">
        <f aca="false">V45+U45+O45+N45+K45+F45+E45+P45</f>
        <v>0</v>
      </c>
      <c r="AB45" s="67" t="n">
        <f aca="false">X45+W45+T45+R45+Q45+L45+H45+G45</f>
        <v>0</v>
      </c>
      <c r="AC45" s="67" t="n">
        <f aca="false">Z45+Y45+T45+S45+M45+J45+I45</f>
        <v>0</v>
      </c>
    </row>
    <row r="46" s="50" customFormat="true" ht="23.25" hidden="false" customHeight="true" outlineLevel="0" collapsed="false">
      <c r="A46" s="31" t="n">
        <f aca="false">Data!AE45</f>
        <v>1008038</v>
      </c>
      <c r="B46" s="31" t="str">
        <f aca="false">Data!AD45</f>
        <v>تغريد الحويطي</v>
      </c>
      <c r="C46" s="31" t="n">
        <f aca="false">Data!AH45</f>
        <v>0</v>
      </c>
      <c r="D46" s="31" t="str">
        <f aca="false">Data!AF45</f>
        <v>المويلح</v>
      </c>
      <c r="E46" s="42" t="n">
        <f aca="false">SUMIFS(Data!$L$2:$L$781,Data!$H$2:$H$781,B46)</f>
        <v>0</v>
      </c>
      <c r="F46" s="43" t="n">
        <f aca="false">SUMIFS(Data!$K$2:$K$781,Data!$H$2:$H$781,B46)</f>
        <v>0</v>
      </c>
      <c r="G46" s="42" t="n">
        <f aca="false">SUMIFS(Data!$L$782:$L$2370,Data!$H$782:$H$2370,B46)</f>
        <v>0</v>
      </c>
      <c r="H46" s="43" t="n">
        <f aca="false">SUMIFS(Data!$K$782:$K$2370,Data!$H$782:$H$2370,B46)</f>
        <v>0</v>
      </c>
      <c r="I46" s="42" t="n">
        <f aca="false">SUMIFS(Data!$L$2371:$L$3999,Data!$H$2371:$H$3999,B46)</f>
        <v>0</v>
      </c>
      <c r="J46" s="43" t="n">
        <f aca="false">SUMIFS(Data!$K$2371:$K$3999,Data!$H$2371:$H$3999,B46)</f>
        <v>0</v>
      </c>
      <c r="K46" s="44" t="n">
        <f aca="false">SUMIFS(Data!$M$2:$M$781,Data!$H$2:$H$781,B46)</f>
        <v>1</v>
      </c>
      <c r="L46" s="42" t="n">
        <f aca="false">SUMIFS(Data!$M$782:$M$2370,Data!$H$782:$H$2370,B46)</f>
        <v>0</v>
      </c>
      <c r="M46" s="42" t="n">
        <f aca="false">SUMIFS(Data!$M$2371:$M$3999,Data!$H$2371:$H$3999,B46)</f>
        <v>0</v>
      </c>
      <c r="N46" s="45" t="n">
        <f aca="false">SUMIFS(Data!$O$2:$O$781,Data!$H$2:$H$781,B46)</f>
        <v>0</v>
      </c>
      <c r="O46" s="43" t="n">
        <f aca="false">SUMIFS(Data!$N$2:$N$781,Data!$H$2:$H$781,B46)</f>
        <v>0</v>
      </c>
      <c r="P46" s="42" t="n">
        <f aca="false">SUMIFS(Data!$P$2:$P$781,Data!$H$2:$H$781,B46)</f>
        <v>0</v>
      </c>
      <c r="Q46" s="43" t="n">
        <f aca="false">SUMIFS(Data!$O$782:$O$2370,Data!$H$782:$H$2370,B46)</f>
        <v>0</v>
      </c>
      <c r="R46" s="43" t="n">
        <f aca="false">SUMIFS(Data!$N$782:$N$2370,Data!$H$782:$H$2370,B46)</f>
        <v>0</v>
      </c>
      <c r="S46" s="43" t="n">
        <f aca="false">SUMIFS(Data!$O$2371:$O$3999,Data!$H$2371:$H$3999,B46)</f>
        <v>0</v>
      </c>
      <c r="T46" s="43" t="n">
        <f aca="false">SUMIFS(Data!$N$2371:$N$3999,Data!$H$2371:$H$3999,B46)</f>
        <v>0</v>
      </c>
      <c r="U46" s="46" t="n">
        <f aca="false">SUMIFS(Data!$R$2:$R$781,Data!$H$2:$H$781,B46)</f>
        <v>0</v>
      </c>
      <c r="V46" s="47" t="n">
        <f aca="false">SUMIFS(Data!$Q$2:$Q$781,Data!$H$2:$H$781,B46)</f>
        <v>0</v>
      </c>
      <c r="W46" s="42" t="n">
        <f aca="false">SUMIFS(Data!$R$782:$R$2370,Data!$H$782:$H$2370,B46)</f>
        <v>0</v>
      </c>
      <c r="X46" s="43" t="n">
        <f aca="false">SUMIFS(Data!$Q$782:$Q$2370,Data!$H$782:$H$2370,B46)</f>
        <v>0</v>
      </c>
      <c r="Y46" s="42" t="n">
        <f aca="false">SUMIFS(Data!$R$2371:$R$3999,Data!$H$2371:$H$3999,B46)</f>
        <v>0</v>
      </c>
      <c r="Z46" s="43" t="n">
        <f aca="false">SUMIFS(Data!$Q$2371:$Q$3999,Data!$H$2371:$H$3999,B46)</f>
        <v>0</v>
      </c>
      <c r="AA46" s="48" t="n">
        <f aca="false">V46+U46+O46+N46+K46+F46+E46+P46</f>
        <v>1</v>
      </c>
      <c r="AB46" s="49" t="n">
        <f aca="false">X46+W46+T46+R46+Q46+L46+H46+G46</f>
        <v>0</v>
      </c>
      <c r="AC46" s="49" t="n">
        <f aca="false">Z46+Y46+T46+S46+M46+J46+I46</f>
        <v>0</v>
      </c>
    </row>
    <row r="47" s="50" customFormat="true" ht="23.25" hidden="false" customHeight="true" outlineLevel="0" collapsed="false">
      <c r="A47" s="31" t="n">
        <f aca="false">Data!AE46</f>
        <v>1008039</v>
      </c>
      <c r="B47" s="31" t="str">
        <f aca="false">Data!AD46</f>
        <v>هنادي الحويطي</v>
      </c>
      <c r="C47" s="31" t="n">
        <f aca="false">Data!AH46</f>
        <v>0</v>
      </c>
      <c r="D47" s="31" t="str">
        <f aca="false">Data!AF46</f>
        <v>المويلح</v>
      </c>
      <c r="E47" s="42" t="n">
        <f aca="false">SUMIFS(Data!$L$2:$L$781,Data!$H$2:$H$781,B47)</f>
        <v>0</v>
      </c>
      <c r="F47" s="43" t="n">
        <f aca="false">SUMIFS(Data!$K$2:$K$781,Data!$H$2:$H$781,B47)</f>
        <v>0</v>
      </c>
      <c r="G47" s="42" t="n">
        <f aca="false">SUMIFS(Data!$L$782:$L$2370,Data!$H$782:$H$2370,B47)</f>
        <v>0</v>
      </c>
      <c r="H47" s="43" t="n">
        <f aca="false">SUMIFS(Data!$K$782:$K$2370,Data!$H$782:$H$2370,B47)</f>
        <v>0</v>
      </c>
      <c r="I47" s="42" t="n">
        <f aca="false">SUMIFS(Data!$L$2371:$L$3999,Data!$H$2371:$H$3999,B47)</f>
        <v>0</v>
      </c>
      <c r="J47" s="43" t="n">
        <f aca="false">SUMIFS(Data!$K$2371:$K$3999,Data!$H$2371:$H$3999,B47)</f>
        <v>0</v>
      </c>
      <c r="K47" s="44" t="n">
        <f aca="false">SUMIFS(Data!$M$2:$M$781,Data!$H$2:$H$781,B47)</f>
        <v>0</v>
      </c>
      <c r="L47" s="42" t="n">
        <f aca="false">SUMIFS(Data!$M$782:$M$2370,Data!$H$782:$H$2370,B47)</f>
        <v>0</v>
      </c>
      <c r="M47" s="42" t="n">
        <f aca="false">SUMIFS(Data!$M$2371:$M$3999,Data!$H$2371:$H$3999,B47)</f>
        <v>0</v>
      </c>
      <c r="N47" s="45" t="n">
        <f aca="false">SUMIFS(Data!$O$2:$O$781,Data!$H$2:$H$781,B47)</f>
        <v>0</v>
      </c>
      <c r="O47" s="43" t="n">
        <f aca="false">SUMIFS(Data!$N$2:$N$781,Data!$H$2:$H$781,B47)</f>
        <v>0</v>
      </c>
      <c r="P47" s="42" t="n">
        <f aca="false">SUMIFS(Data!$P$2:$P$781,Data!$H$2:$H$781,B47)</f>
        <v>0</v>
      </c>
      <c r="Q47" s="43" t="n">
        <f aca="false">SUMIFS(Data!$O$782:$O$2370,Data!$H$782:$H$2370,B47)</f>
        <v>0</v>
      </c>
      <c r="R47" s="43" t="n">
        <f aca="false">SUMIFS(Data!$N$782:$N$2370,Data!$H$782:$H$2370,B47)</f>
        <v>0</v>
      </c>
      <c r="S47" s="43" t="n">
        <f aca="false">SUMIFS(Data!$O$2371:$O$3999,Data!$H$2371:$H$3999,B47)</f>
        <v>0</v>
      </c>
      <c r="T47" s="43" t="n">
        <f aca="false">SUMIFS(Data!$N$2371:$N$3999,Data!$H$2371:$H$3999,B47)</f>
        <v>0</v>
      </c>
      <c r="U47" s="46" t="n">
        <f aca="false">SUMIFS(Data!$R$2:$R$781,Data!$H$2:$H$781,B47)</f>
        <v>0</v>
      </c>
      <c r="V47" s="47" t="n">
        <f aca="false">SUMIFS(Data!$Q$2:$Q$781,Data!$H$2:$H$781,B47)</f>
        <v>0</v>
      </c>
      <c r="W47" s="42" t="n">
        <f aca="false">SUMIFS(Data!$R$782:$R$2370,Data!$H$782:$H$2370,B47)</f>
        <v>0</v>
      </c>
      <c r="X47" s="43" t="n">
        <f aca="false">SUMIFS(Data!$Q$782:$Q$2370,Data!$H$782:$H$2370,B47)</f>
        <v>0</v>
      </c>
      <c r="Y47" s="42" t="n">
        <f aca="false">SUMIFS(Data!$R$2371:$R$3999,Data!$H$2371:$H$3999,B47)</f>
        <v>0</v>
      </c>
      <c r="Z47" s="43" t="n">
        <f aca="false">SUMIFS(Data!$Q$2371:$Q$3999,Data!$H$2371:$H$3999,B47)</f>
        <v>0</v>
      </c>
      <c r="AA47" s="48" t="n">
        <f aca="false">V47+U47+O47+N47+K47+F47+E47+P47</f>
        <v>0</v>
      </c>
      <c r="AB47" s="49" t="n">
        <f aca="false">X47+W47+T47+R47+Q47+L47+H47+G47</f>
        <v>0</v>
      </c>
      <c r="AC47" s="49" t="n">
        <f aca="false">Z47+Y47+T47+S47+M47+J47+I47</f>
        <v>0</v>
      </c>
    </row>
    <row r="48" s="50" customFormat="true" ht="23.25" hidden="false" customHeight="true" outlineLevel="0" collapsed="false">
      <c r="A48" s="31" t="n">
        <f aca="false">Data!AE47</f>
        <v>1007973</v>
      </c>
      <c r="B48" s="31" t="str">
        <f aca="false">Data!AD47</f>
        <v>ضيف الله العطوي</v>
      </c>
      <c r="C48" s="31" t="n">
        <f aca="false">Data!AH47</f>
        <v>0</v>
      </c>
      <c r="D48" s="31" t="str">
        <f aca="false">Data!AF47</f>
        <v>المويلح</v>
      </c>
      <c r="E48" s="42" t="n">
        <f aca="false">SUMIFS(Data!$L$2:$L$781,Data!$H$2:$H$781,B48)</f>
        <v>0</v>
      </c>
      <c r="F48" s="43" t="n">
        <f aca="false">SUMIFS(Data!$K$2:$K$781,Data!$H$2:$H$781,B48)</f>
        <v>2</v>
      </c>
      <c r="G48" s="42" t="n">
        <f aca="false">SUMIFS(Data!$L$782:$L$2370,Data!$H$782:$H$2370,B48)</f>
        <v>0</v>
      </c>
      <c r="H48" s="43" t="n">
        <f aca="false">SUMIFS(Data!$K$782:$K$2370,Data!$H$782:$H$2370,B48)</f>
        <v>0</v>
      </c>
      <c r="I48" s="42" t="n">
        <f aca="false">SUMIFS(Data!$L$2371:$L$3999,Data!$H$2371:$H$3999,B48)</f>
        <v>0</v>
      </c>
      <c r="J48" s="43" t="n">
        <f aca="false">SUMIFS(Data!$K$2371:$K$3999,Data!$H$2371:$H$3999,B48)</f>
        <v>0</v>
      </c>
      <c r="K48" s="44" t="n">
        <f aca="false">SUMIFS(Data!$M$2:$M$781,Data!$H$2:$H$781,B48)</f>
        <v>0</v>
      </c>
      <c r="L48" s="42" t="n">
        <f aca="false">SUMIFS(Data!$M$782:$M$2370,Data!$H$782:$H$2370,B48)</f>
        <v>0</v>
      </c>
      <c r="M48" s="42" t="n">
        <f aca="false">SUMIFS(Data!$M$2371:$M$3999,Data!$H$2371:$H$3999,B48)</f>
        <v>0</v>
      </c>
      <c r="N48" s="45" t="n">
        <f aca="false">SUMIFS(Data!$O$2:$O$781,Data!$H$2:$H$781,B48)</f>
        <v>1</v>
      </c>
      <c r="O48" s="43" t="n">
        <f aca="false">SUMIFS(Data!$N$2:$N$781,Data!$H$2:$H$781,B48)</f>
        <v>0</v>
      </c>
      <c r="P48" s="42" t="n">
        <f aca="false">SUMIFS(Data!$P$2:$P$781,Data!$H$2:$H$781,B48)</f>
        <v>0</v>
      </c>
      <c r="Q48" s="43" t="n">
        <f aca="false">SUMIFS(Data!$O$782:$O$2370,Data!$H$782:$H$2370,B48)</f>
        <v>0</v>
      </c>
      <c r="R48" s="43" t="n">
        <f aca="false">SUMIFS(Data!$N$782:$N$2370,Data!$H$782:$H$2370,B48)</f>
        <v>0</v>
      </c>
      <c r="S48" s="43" t="n">
        <f aca="false">SUMIFS(Data!$O$2371:$O$3999,Data!$H$2371:$H$3999,B48)</f>
        <v>0</v>
      </c>
      <c r="T48" s="43" t="n">
        <f aca="false">SUMIFS(Data!$N$2371:$N$3999,Data!$H$2371:$H$3999,B48)</f>
        <v>0</v>
      </c>
      <c r="U48" s="46" t="n">
        <f aca="false">SUMIFS(Data!$R$2:$R$781,Data!$H$2:$H$781,B48)</f>
        <v>0</v>
      </c>
      <c r="V48" s="47" t="n">
        <f aca="false">SUMIFS(Data!$Q$2:$Q$781,Data!$H$2:$H$781,B48)</f>
        <v>0</v>
      </c>
      <c r="W48" s="42" t="n">
        <f aca="false">SUMIFS(Data!$R$782:$R$2370,Data!$H$782:$H$2370,B48)</f>
        <v>0</v>
      </c>
      <c r="X48" s="43" t="n">
        <f aca="false">SUMIFS(Data!$Q$782:$Q$2370,Data!$H$782:$H$2370,B48)</f>
        <v>0</v>
      </c>
      <c r="Y48" s="42" t="n">
        <f aca="false">SUMIFS(Data!$R$2371:$R$3999,Data!$H$2371:$H$3999,B48)</f>
        <v>0</v>
      </c>
      <c r="Z48" s="43" t="n">
        <f aca="false">SUMIFS(Data!$Q$2371:$Q$3999,Data!$H$2371:$H$3999,B48)</f>
        <v>0</v>
      </c>
      <c r="AA48" s="48" t="n">
        <f aca="false">V48+U48+O48+N48+K48+F48+E48+P48</f>
        <v>3</v>
      </c>
      <c r="AB48" s="49" t="n">
        <f aca="false">X48+W48+T48+R48+Q48+L48+H48+G48</f>
        <v>0</v>
      </c>
      <c r="AC48" s="49" t="n">
        <f aca="false">Z48+Y48+T48+S48+M48+J48+I48</f>
        <v>0</v>
      </c>
    </row>
    <row r="49" s="50" customFormat="true" ht="23.25" hidden="false" customHeight="true" outlineLevel="0" collapsed="false">
      <c r="A49" s="31" t="n">
        <f aca="false">Data!AE48</f>
        <v>1007992</v>
      </c>
      <c r="B49" s="31" t="str">
        <f aca="false">Data!AD48</f>
        <v>القرشي</v>
      </c>
      <c r="C49" s="31" t="n">
        <f aca="false">Data!AH48</f>
        <v>0</v>
      </c>
      <c r="D49" s="31" t="str">
        <f aca="false">Data!AF48</f>
        <v>المويلح</v>
      </c>
      <c r="E49" s="42" t="n">
        <f aca="false">SUMIFS(Data!$L$2:$L$781,Data!$H$2:$H$781,B49)</f>
        <v>0</v>
      </c>
      <c r="F49" s="43" t="n">
        <f aca="false">SUMIFS(Data!$K$2:$K$781,Data!$H$2:$H$781,B49)</f>
        <v>0</v>
      </c>
      <c r="G49" s="42" t="n">
        <f aca="false">SUMIFS(Data!$L$782:$L$2370,Data!$H$782:$H$2370,B49)</f>
        <v>0</v>
      </c>
      <c r="H49" s="43" t="n">
        <f aca="false">SUMIFS(Data!$K$782:$K$2370,Data!$H$782:$H$2370,B49)</f>
        <v>0</v>
      </c>
      <c r="I49" s="42" t="n">
        <f aca="false">SUMIFS(Data!$L$2371:$L$3999,Data!$H$2371:$H$3999,B49)</f>
        <v>0</v>
      </c>
      <c r="J49" s="43" t="n">
        <f aca="false">SUMIFS(Data!$K$2371:$K$3999,Data!$H$2371:$H$3999,B49)</f>
        <v>0</v>
      </c>
      <c r="K49" s="44" t="n">
        <f aca="false">SUMIFS(Data!$M$2:$M$781,Data!$H$2:$H$781,B49)</f>
        <v>0</v>
      </c>
      <c r="L49" s="42" t="n">
        <f aca="false">SUMIFS(Data!$M$782:$M$2370,Data!$H$782:$H$2370,B49)</f>
        <v>0</v>
      </c>
      <c r="M49" s="42" t="n">
        <f aca="false">SUMIFS(Data!$M$2371:$M$3999,Data!$H$2371:$H$3999,B49)</f>
        <v>0</v>
      </c>
      <c r="N49" s="45" t="n">
        <f aca="false">SUMIFS(Data!$O$2:$O$781,Data!$H$2:$H$781,B49)</f>
        <v>0</v>
      </c>
      <c r="O49" s="43" t="n">
        <f aca="false">SUMIFS(Data!$N$2:$N$781,Data!$H$2:$H$781,B49)</f>
        <v>0</v>
      </c>
      <c r="P49" s="42" t="n">
        <f aca="false">SUMIFS(Data!$P$2:$P$781,Data!$H$2:$H$781,B49)</f>
        <v>0</v>
      </c>
      <c r="Q49" s="43" t="n">
        <f aca="false">SUMIFS(Data!$O$782:$O$2370,Data!$H$782:$H$2370,B49)</f>
        <v>0</v>
      </c>
      <c r="R49" s="43" t="n">
        <f aca="false">SUMIFS(Data!$N$782:$N$2370,Data!$H$782:$H$2370,B49)</f>
        <v>0</v>
      </c>
      <c r="S49" s="43" t="n">
        <f aca="false">SUMIFS(Data!$O$2371:$O$3999,Data!$H$2371:$H$3999,B49)</f>
        <v>0</v>
      </c>
      <c r="T49" s="43" t="n">
        <f aca="false">SUMIFS(Data!$N$2371:$N$3999,Data!$H$2371:$H$3999,B49)</f>
        <v>0</v>
      </c>
      <c r="U49" s="46" t="n">
        <f aca="false">SUMIFS(Data!$R$2:$R$781,Data!$H$2:$H$781,B49)</f>
        <v>0</v>
      </c>
      <c r="V49" s="47" t="n">
        <f aca="false">SUMIFS(Data!$Q$2:$Q$781,Data!$H$2:$H$781,B49)</f>
        <v>0</v>
      </c>
      <c r="W49" s="42" t="n">
        <f aca="false">SUMIFS(Data!$R$782:$R$2370,Data!$H$782:$H$2370,B49)</f>
        <v>0</v>
      </c>
      <c r="X49" s="43" t="n">
        <f aca="false">SUMIFS(Data!$Q$782:$Q$2370,Data!$H$782:$H$2370,B49)</f>
        <v>0</v>
      </c>
      <c r="Y49" s="42" t="n">
        <f aca="false">SUMIFS(Data!$R$2371:$R$3999,Data!$H$2371:$H$3999,B49)</f>
        <v>0</v>
      </c>
      <c r="Z49" s="43" t="n">
        <f aca="false">SUMIFS(Data!$Q$2371:$Q$3999,Data!$H$2371:$H$3999,B49)</f>
        <v>0</v>
      </c>
      <c r="AA49" s="48" t="n">
        <f aca="false">V49+U49+O49+N49+K49+F49+E49+P49</f>
        <v>0</v>
      </c>
      <c r="AB49" s="49" t="n">
        <f aca="false">X49+W49+T49+R49+Q49+L49+H49+G49</f>
        <v>0</v>
      </c>
      <c r="AC49" s="49" t="n">
        <f aca="false">Z49+Y49+T49+S49+M49+J49+I49</f>
        <v>0</v>
      </c>
    </row>
    <row r="50" s="50" customFormat="true" ht="23.25" hidden="false" customHeight="true" outlineLevel="0" collapsed="false">
      <c r="A50" s="31" t="n">
        <f aca="false">Data!AE49</f>
        <v>1007993</v>
      </c>
      <c r="B50" s="31" t="str">
        <f aca="false">Data!AD49</f>
        <v>ورشه المويلح</v>
      </c>
      <c r="C50" s="31" t="n">
        <f aca="false">Data!AH49</f>
        <v>0</v>
      </c>
      <c r="D50" s="31" t="str">
        <f aca="false">Data!AF49</f>
        <v>المويلح</v>
      </c>
      <c r="E50" s="42" t="n">
        <f aca="false">SUMIFS(Data!$L$2:$L$781,Data!$H$2:$H$781,B50)</f>
        <v>0</v>
      </c>
      <c r="F50" s="43" t="n">
        <f aca="false">SUMIFS(Data!$K$2:$K$781,Data!$H$2:$H$781,B50)</f>
        <v>0</v>
      </c>
      <c r="G50" s="42" t="n">
        <f aca="false">SUMIFS(Data!$L$782:$L$2370,Data!$H$782:$H$2370,B50)</f>
        <v>0</v>
      </c>
      <c r="H50" s="43" t="n">
        <f aca="false">SUMIFS(Data!$K$782:$K$2370,Data!$H$782:$H$2370,B50)</f>
        <v>0</v>
      </c>
      <c r="I50" s="42" t="n">
        <f aca="false">SUMIFS(Data!$L$2371:$L$3999,Data!$H$2371:$H$3999,B50)</f>
        <v>0</v>
      </c>
      <c r="J50" s="43" t="n">
        <f aca="false">SUMIFS(Data!$K$2371:$K$3999,Data!$H$2371:$H$3999,B50)</f>
        <v>0</v>
      </c>
      <c r="K50" s="44" t="n">
        <f aca="false">SUMIFS(Data!$M$2:$M$781,Data!$H$2:$H$781,B50)</f>
        <v>0</v>
      </c>
      <c r="L50" s="42" t="n">
        <f aca="false">SUMIFS(Data!$M$782:$M$2370,Data!$H$782:$H$2370,B50)</f>
        <v>0</v>
      </c>
      <c r="M50" s="42" t="n">
        <f aca="false">SUMIFS(Data!$M$2371:$M$3999,Data!$H$2371:$H$3999,B50)</f>
        <v>0</v>
      </c>
      <c r="N50" s="45" t="n">
        <f aca="false">SUMIFS(Data!$O$2:$O$781,Data!$H$2:$H$781,B50)</f>
        <v>0</v>
      </c>
      <c r="O50" s="43" t="n">
        <f aca="false">SUMIFS(Data!$N$2:$N$781,Data!$H$2:$H$781,B50)</f>
        <v>0</v>
      </c>
      <c r="P50" s="42" t="n">
        <f aca="false">SUMIFS(Data!$P$2:$P$781,Data!$H$2:$H$781,B50)</f>
        <v>0</v>
      </c>
      <c r="Q50" s="43" t="n">
        <f aca="false">SUMIFS(Data!$O$782:$O$2370,Data!$H$782:$H$2370,B50)</f>
        <v>0</v>
      </c>
      <c r="R50" s="43" t="n">
        <f aca="false">SUMIFS(Data!$N$782:$N$2370,Data!$H$782:$H$2370,B50)</f>
        <v>0</v>
      </c>
      <c r="S50" s="43" t="n">
        <f aca="false">SUMIFS(Data!$O$2371:$O$3999,Data!$H$2371:$H$3999,B50)</f>
        <v>0</v>
      </c>
      <c r="T50" s="43" t="n">
        <f aca="false">SUMIFS(Data!$N$2371:$N$3999,Data!$H$2371:$H$3999,B50)</f>
        <v>0</v>
      </c>
      <c r="U50" s="46" t="n">
        <f aca="false">SUMIFS(Data!$R$2:$R$781,Data!$H$2:$H$781,B50)</f>
        <v>0</v>
      </c>
      <c r="V50" s="47" t="n">
        <f aca="false">SUMIFS(Data!$Q$2:$Q$781,Data!$H$2:$H$781,B50)</f>
        <v>0</v>
      </c>
      <c r="W50" s="42" t="n">
        <f aca="false">SUMIFS(Data!$R$782:$R$2370,Data!$H$782:$H$2370,B50)</f>
        <v>0</v>
      </c>
      <c r="X50" s="43" t="n">
        <f aca="false">SUMIFS(Data!$Q$782:$Q$2370,Data!$H$782:$H$2370,B50)</f>
        <v>0</v>
      </c>
      <c r="Y50" s="42" t="n">
        <f aca="false">SUMIFS(Data!$R$2371:$R$3999,Data!$H$2371:$H$3999,B50)</f>
        <v>0</v>
      </c>
      <c r="Z50" s="43" t="n">
        <f aca="false">SUMIFS(Data!$Q$2371:$Q$3999,Data!$H$2371:$H$3999,B50)</f>
        <v>0</v>
      </c>
      <c r="AA50" s="48" t="n">
        <f aca="false">V50+U50+O50+N50+K50+F50+E50+P50</f>
        <v>0</v>
      </c>
      <c r="AB50" s="49" t="n">
        <f aca="false">X50+W50+T50+R50+Q50+L50+H50+G50</f>
        <v>0</v>
      </c>
      <c r="AC50" s="49" t="n">
        <f aca="false">Z50+Y50+T50+S50+M50+J50+I50</f>
        <v>0</v>
      </c>
    </row>
    <row r="51" s="50" customFormat="true" ht="23.25" hidden="false" customHeight="true" outlineLevel="0" collapsed="false">
      <c r="A51" s="31" t="n">
        <f aca="false">Data!AE50</f>
        <v>1007994</v>
      </c>
      <c r="B51" s="31" t="str">
        <f aca="false">Data!AD50</f>
        <v>جملة عتيق الشوامين</v>
      </c>
      <c r="C51" s="31" t="n">
        <f aca="false">Data!AH50</f>
        <v>0</v>
      </c>
      <c r="D51" s="31" t="str">
        <f aca="false">Data!AF50</f>
        <v>المويلح</v>
      </c>
      <c r="E51" s="42" t="n">
        <f aca="false">SUMIFS(Data!$L$2:$L$781,Data!$H$2:$H$781,B51)</f>
        <v>0</v>
      </c>
      <c r="F51" s="43" t="n">
        <f aca="false">SUMIFS(Data!$K$2:$K$781,Data!$H$2:$H$781,B51)</f>
        <v>0</v>
      </c>
      <c r="G51" s="42" t="n">
        <f aca="false">SUMIFS(Data!$L$782:$L$2370,Data!$H$782:$H$2370,B51)</f>
        <v>0</v>
      </c>
      <c r="H51" s="43" t="n">
        <f aca="false">SUMIFS(Data!$K$782:$K$2370,Data!$H$782:$H$2370,B51)</f>
        <v>0</v>
      </c>
      <c r="I51" s="42" t="n">
        <f aca="false">SUMIFS(Data!$L$2371:$L$3999,Data!$H$2371:$H$3999,B51)</f>
        <v>0</v>
      </c>
      <c r="J51" s="43" t="n">
        <f aca="false">SUMIFS(Data!$K$2371:$K$3999,Data!$H$2371:$H$3999,B51)</f>
        <v>0</v>
      </c>
      <c r="K51" s="44" t="n">
        <f aca="false">SUMIFS(Data!$M$2:$M$781,Data!$H$2:$H$781,B51)</f>
        <v>0</v>
      </c>
      <c r="L51" s="42" t="n">
        <f aca="false">SUMIFS(Data!$M$782:$M$2370,Data!$H$782:$H$2370,B51)</f>
        <v>0</v>
      </c>
      <c r="M51" s="42" t="n">
        <f aca="false">SUMIFS(Data!$M$2371:$M$3999,Data!$H$2371:$H$3999,B51)</f>
        <v>0</v>
      </c>
      <c r="N51" s="45" t="n">
        <f aca="false">SUMIFS(Data!$O$2:$O$781,Data!$H$2:$H$781,B51)</f>
        <v>0</v>
      </c>
      <c r="O51" s="43" t="n">
        <f aca="false">SUMIFS(Data!$N$2:$N$781,Data!$H$2:$H$781,B51)</f>
        <v>0</v>
      </c>
      <c r="P51" s="42" t="n">
        <f aca="false">SUMIFS(Data!$P$2:$P$781,Data!$H$2:$H$781,B51)</f>
        <v>0</v>
      </c>
      <c r="Q51" s="43" t="n">
        <f aca="false">SUMIFS(Data!$O$782:$O$2370,Data!$H$782:$H$2370,B51)</f>
        <v>0</v>
      </c>
      <c r="R51" s="43" t="n">
        <f aca="false">SUMIFS(Data!$N$782:$N$2370,Data!$H$782:$H$2370,B51)</f>
        <v>0</v>
      </c>
      <c r="S51" s="43" t="n">
        <f aca="false">SUMIFS(Data!$O$2371:$O$3999,Data!$H$2371:$H$3999,B51)</f>
        <v>0</v>
      </c>
      <c r="T51" s="43" t="n">
        <f aca="false">SUMIFS(Data!$N$2371:$N$3999,Data!$H$2371:$H$3999,B51)</f>
        <v>0</v>
      </c>
      <c r="U51" s="46" t="n">
        <f aca="false">SUMIFS(Data!$R$2:$R$781,Data!$H$2:$H$781,B51)</f>
        <v>0</v>
      </c>
      <c r="V51" s="47" t="n">
        <f aca="false">SUMIFS(Data!$Q$2:$Q$781,Data!$H$2:$H$781,B51)</f>
        <v>0</v>
      </c>
      <c r="W51" s="42" t="n">
        <f aca="false">SUMIFS(Data!$R$782:$R$2370,Data!$H$782:$H$2370,B51)</f>
        <v>0</v>
      </c>
      <c r="X51" s="43" t="n">
        <f aca="false">SUMIFS(Data!$Q$782:$Q$2370,Data!$H$782:$H$2370,B51)</f>
        <v>0</v>
      </c>
      <c r="Y51" s="42" t="n">
        <f aca="false">SUMIFS(Data!$R$2371:$R$3999,Data!$H$2371:$H$3999,B51)</f>
        <v>0</v>
      </c>
      <c r="Z51" s="43" t="n">
        <f aca="false">SUMIFS(Data!$Q$2371:$Q$3999,Data!$H$2371:$H$3999,B51)</f>
        <v>0</v>
      </c>
      <c r="AA51" s="48" t="n">
        <f aca="false">V51+U51+O51+N51+K51+F51+E51+P51</f>
        <v>0</v>
      </c>
      <c r="AB51" s="49" t="n">
        <f aca="false">X51+W51+T51+R51+Q51+L51+H51+G51</f>
        <v>0</v>
      </c>
      <c r="AC51" s="49" t="n">
        <f aca="false">Z51+Y51+T51+S51+M51+J51+I51</f>
        <v>0</v>
      </c>
    </row>
    <row r="52" s="73" customFormat="true" ht="23.25" hidden="false" customHeight="true" outlineLevel="0" collapsed="false">
      <c r="A52" s="31" t="n">
        <f aca="false">Data!AE51</f>
        <v>1007971</v>
      </c>
      <c r="B52" s="31" t="str">
        <f aca="false">Data!AD51</f>
        <v>قمة الوافر</v>
      </c>
      <c r="C52" s="31" t="n">
        <f aca="false">Data!AH51</f>
        <v>0</v>
      </c>
      <c r="D52" s="31" t="str">
        <f aca="false">Data!AF51</f>
        <v>تبوك</v>
      </c>
      <c r="E52" s="34" t="n">
        <f aca="false">SUMIFS(Data!$L$2:$L$781,Data!$H$2:$H$781,B52)</f>
        <v>0</v>
      </c>
      <c r="F52" s="33" t="n">
        <f aca="false">SUMIFS(Data!$K$2:$K$781,Data!$H$2:$H$781,B52)</f>
        <v>3</v>
      </c>
      <c r="G52" s="34" t="n">
        <f aca="false">SUMIFS(Data!$L$782:$L$2370,Data!$H$782:$H$2370,B52)</f>
        <v>0</v>
      </c>
      <c r="H52" s="33" t="n">
        <f aca="false">SUMIFS(Data!$K$782:$K$2370,Data!$H$782:$H$2370,B52)</f>
        <v>0</v>
      </c>
      <c r="I52" s="34" t="n">
        <f aca="false">SUMIFS(Data!$L$2371:$L$3999,Data!$H$2371:$H$3999,B52)</f>
        <v>0</v>
      </c>
      <c r="J52" s="33" t="n">
        <f aca="false">SUMIFS(Data!$K$2371:$K$3999,Data!$H$2371:$H$3999,B52)</f>
        <v>0</v>
      </c>
      <c r="K52" s="35" t="n">
        <f aca="false">SUMIFS(Data!$M$2:$M$781,Data!$H$2:$H$781,B52)</f>
        <v>1</v>
      </c>
      <c r="L52" s="34" t="n">
        <f aca="false">SUMIFS(Data!$M$782:$M$2370,Data!$H$782:$H$2370,B52)</f>
        <v>0</v>
      </c>
      <c r="M52" s="34" t="n">
        <f aca="false">SUMIFS(Data!$M$2371:$M$3999,Data!$H$2371:$H$3999,B52)</f>
        <v>1</v>
      </c>
      <c r="N52" s="36" t="n">
        <f aca="false">SUMIFS(Data!$O$2:$O$781,Data!$H$2:$H$781,B52)</f>
        <v>1</v>
      </c>
      <c r="O52" s="33" t="n">
        <f aca="false">SUMIFS(Data!$N$2:$N$781,Data!$H$2:$H$781,B52)</f>
        <v>0</v>
      </c>
      <c r="P52" s="34" t="n">
        <f aca="false">SUMIFS(Data!$P$2:$P$781,Data!$H$2:$H$781,B52)</f>
        <v>0</v>
      </c>
      <c r="Q52" s="33" t="n">
        <f aca="false">SUMIFS(Data!$O$782:$O$2370,Data!$H$782:$H$2370,B52)</f>
        <v>0</v>
      </c>
      <c r="R52" s="33" t="n">
        <f aca="false">SUMIFS(Data!$N$782:$N$2370,Data!$H$782:$H$2370,B52)</f>
        <v>0</v>
      </c>
      <c r="S52" s="33" t="n">
        <f aca="false">SUMIFS(Data!$O$2371:$O$3999,Data!$H$2371:$H$3999,B52)</f>
        <v>0</v>
      </c>
      <c r="T52" s="33" t="n">
        <f aca="false">SUMIFS(Data!$N$2371:$N$3999,Data!$H$2371:$H$3999,B52)</f>
        <v>0</v>
      </c>
      <c r="U52" s="37" t="n">
        <f aca="false">SUMIFS(Data!$R$2:$R$781,Data!$H$2:$H$781,B52)</f>
        <v>0</v>
      </c>
      <c r="V52" s="38" t="n">
        <f aca="false">SUMIFS(Data!$Q$2:$Q$781,Data!$H$2:$H$781,B52)</f>
        <v>0</v>
      </c>
      <c r="W52" s="34" t="n">
        <f aca="false">SUMIFS(Data!$R$782:$R$2370,Data!$H$782:$H$2370,B52)</f>
        <v>0</v>
      </c>
      <c r="X52" s="33" t="n">
        <f aca="false">SUMIFS(Data!$Q$782:$Q$2370,Data!$H$782:$H$2370,B52)</f>
        <v>0</v>
      </c>
      <c r="Y52" s="34" t="n">
        <f aca="false">SUMIFS(Data!$R$2371:$R$3999,Data!$H$2371:$H$3999,B52)</f>
        <v>0</v>
      </c>
      <c r="Z52" s="33" t="n">
        <f aca="false">SUMIFS(Data!$Q$2371:$Q$3999,Data!$H$2371:$H$3999,B52)</f>
        <v>0</v>
      </c>
      <c r="AA52" s="39" t="n">
        <f aca="false">V52+U52+O52+N52+K52+F52+E52+P52</f>
        <v>5</v>
      </c>
      <c r="AB52" s="40" t="n">
        <f aca="false">X52+W52+T52+R52+Q52+L52+H52+G52</f>
        <v>0</v>
      </c>
      <c r="AC52" s="40" t="n">
        <f aca="false">Z52+Y52+T52+S52+M52+J52+I52</f>
        <v>1</v>
      </c>
    </row>
    <row r="53" customFormat="false" ht="23.25" hidden="false" customHeight="true" outlineLevel="0" collapsed="false">
      <c r="A53" s="31" t="n">
        <f aca="false">Data!AE52</f>
        <v>1007972</v>
      </c>
      <c r="B53" s="31" t="str">
        <f aca="false">Data!AD52</f>
        <v>شمسه العسيري</v>
      </c>
      <c r="C53" s="31" t="n">
        <f aca="false">Data!AH52</f>
        <v>0</v>
      </c>
      <c r="D53" s="31" t="str">
        <f aca="false">Data!AF52</f>
        <v>تبوك</v>
      </c>
      <c r="E53" s="42" t="n">
        <f aca="false">SUMIFS(Data!$L$2:$L$781,Data!$H$2:$H$781,B53)</f>
        <v>0</v>
      </c>
      <c r="F53" s="43" t="n">
        <f aca="false">SUMIFS(Data!$K$2:$K$781,Data!$H$2:$H$781,B53)</f>
        <v>0</v>
      </c>
      <c r="G53" s="42" t="n">
        <f aca="false">SUMIFS(Data!$L$782:$L$2370,Data!$H$782:$H$2370,B53)</f>
        <v>0</v>
      </c>
      <c r="H53" s="43" t="n">
        <f aca="false">SUMIFS(Data!$K$782:$K$2370,Data!$H$782:$H$2370,B53)</f>
        <v>0</v>
      </c>
      <c r="I53" s="42" t="n">
        <f aca="false">SUMIFS(Data!$L$2371:$L$3999,Data!$H$2371:$H$3999,B53)</f>
        <v>0</v>
      </c>
      <c r="J53" s="43" t="n">
        <f aca="false">SUMIFS(Data!$K$2371:$K$3999,Data!$H$2371:$H$3999,B53)</f>
        <v>0</v>
      </c>
      <c r="K53" s="44" t="n">
        <f aca="false">SUMIFS(Data!$M$2:$M$781,Data!$H$2:$H$781,B53)</f>
        <v>0</v>
      </c>
      <c r="L53" s="42" t="n">
        <f aca="false">SUMIFS(Data!$M$782:$M$2370,Data!$H$782:$H$2370,B53)</f>
        <v>0</v>
      </c>
      <c r="M53" s="42" t="n">
        <f aca="false">SUMIFS(Data!$M$2371:$M$3999,Data!$H$2371:$H$3999,B53)</f>
        <v>0</v>
      </c>
      <c r="N53" s="45" t="n">
        <f aca="false">SUMIFS(Data!$O$2:$O$781,Data!$H$2:$H$781,B53)</f>
        <v>0</v>
      </c>
      <c r="O53" s="43" t="n">
        <f aca="false">SUMIFS(Data!$N$2:$N$781,Data!$H$2:$H$781,B53)</f>
        <v>0</v>
      </c>
      <c r="P53" s="42" t="n">
        <f aca="false">SUMIFS(Data!$P$2:$P$781,Data!$H$2:$H$781,B53)</f>
        <v>0</v>
      </c>
      <c r="Q53" s="43" t="n">
        <f aca="false">SUMIFS(Data!$O$782:$O$2370,Data!$H$782:$H$2370,B53)</f>
        <v>0</v>
      </c>
      <c r="R53" s="43" t="n">
        <f aca="false">SUMIFS(Data!$N$782:$N$2370,Data!$H$782:$H$2370,B53)</f>
        <v>0</v>
      </c>
      <c r="S53" s="43" t="n">
        <f aca="false">SUMIFS(Data!$O$2371:$O$3999,Data!$H$2371:$H$3999,B53)</f>
        <v>0</v>
      </c>
      <c r="T53" s="43" t="n">
        <f aca="false">SUMIFS(Data!$N$2371:$N$3999,Data!$H$2371:$H$3999,B53)</f>
        <v>0</v>
      </c>
      <c r="U53" s="46" t="n">
        <f aca="false">SUMIFS(Data!$R$2:$R$781,Data!$H$2:$H$781,B53)</f>
        <v>0</v>
      </c>
      <c r="V53" s="47" t="n">
        <f aca="false">SUMIFS(Data!$Q$2:$Q$781,Data!$H$2:$H$781,B53)</f>
        <v>0</v>
      </c>
      <c r="W53" s="42" t="n">
        <f aca="false">SUMIFS(Data!$R$782:$R$2370,Data!$H$782:$H$2370,B53)</f>
        <v>0</v>
      </c>
      <c r="X53" s="43" t="n">
        <f aca="false">SUMIFS(Data!$Q$782:$Q$2370,Data!$H$782:$H$2370,B53)</f>
        <v>0</v>
      </c>
      <c r="Y53" s="42" t="n">
        <f aca="false">SUMIFS(Data!$R$2371:$R$3999,Data!$H$2371:$H$3999,B53)</f>
        <v>1</v>
      </c>
      <c r="Z53" s="43" t="n">
        <f aca="false">SUMIFS(Data!$Q$2371:$Q$3999,Data!$H$2371:$H$3999,B53)</f>
        <v>0</v>
      </c>
      <c r="AA53" s="48" t="n">
        <f aca="false">V53+U53+O53+N53+K53+F53+E53+P53</f>
        <v>0</v>
      </c>
      <c r="AB53" s="49" t="n">
        <f aca="false">X53+W53+T53+R53+Q53+L53+H53+G53</f>
        <v>0</v>
      </c>
      <c r="AC53" s="49" t="n">
        <f aca="false">Z53+Y53+T53+S53+M53+J53+I53</f>
        <v>1</v>
      </c>
    </row>
    <row r="54" customFormat="false" ht="23.25" hidden="false" customHeight="true" outlineLevel="0" collapsed="false">
      <c r="A54" s="31" t="n">
        <f aca="false">Data!AE53</f>
        <v>1008059</v>
      </c>
      <c r="B54" s="31" t="str">
        <f aca="false">Data!AD53</f>
        <v>جود القمه</v>
      </c>
      <c r="C54" s="31" t="n">
        <f aca="false">Data!AH53</f>
        <v>0</v>
      </c>
      <c r="D54" s="31" t="str">
        <f aca="false">Data!AF53</f>
        <v>تبوك</v>
      </c>
      <c r="E54" s="42" t="n">
        <f aca="false">SUMIFS(Data!$L$2:$L$781,Data!$H$2:$H$781,B54)</f>
        <v>0</v>
      </c>
      <c r="F54" s="43" t="n">
        <f aca="false">SUMIFS(Data!$K$2:$K$781,Data!$H$2:$H$781,B54)</f>
        <v>2</v>
      </c>
      <c r="G54" s="42" t="n">
        <f aca="false">SUMIFS(Data!$L$782:$L$2370,Data!$H$782:$H$2370,B54)</f>
        <v>0</v>
      </c>
      <c r="H54" s="43" t="n">
        <f aca="false">SUMIFS(Data!$K$782:$K$2370,Data!$H$782:$H$2370,B54)</f>
        <v>0</v>
      </c>
      <c r="I54" s="42" t="n">
        <f aca="false">SUMIFS(Data!$L$2371:$L$3999,Data!$H$2371:$H$3999,B54)</f>
        <v>0</v>
      </c>
      <c r="J54" s="43" t="n">
        <f aca="false">SUMIFS(Data!$K$2371:$K$3999,Data!$H$2371:$H$3999,B54)</f>
        <v>0</v>
      </c>
      <c r="K54" s="44" t="n">
        <f aca="false">SUMIFS(Data!$M$2:$M$781,Data!$H$2:$H$781,B54)</f>
        <v>0</v>
      </c>
      <c r="L54" s="42" t="n">
        <f aca="false">SUMIFS(Data!$M$782:$M$2370,Data!$H$782:$H$2370,B54)</f>
        <v>0</v>
      </c>
      <c r="M54" s="42" t="n">
        <f aca="false">SUMIFS(Data!$M$2371:$M$3999,Data!$H$2371:$H$3999,B54)</f>
        <v>0</v>
      </c>
      <c r="N54" s="45" t="n">
        <f aca="false">SUMIFS(Data!$O$2:$O$781,Data!$H$2:$H$781,B54)</f>
        <v>0</v>
      </c>
      <c r="O54" s="43" t="n">
        <f aca="false">SUMIFS(Data!$N$2:$N$781,Data!$H$2:$H$781,B54)</f>
        <v>0</v>
      </c>
      <c r="P54" s="42" t="n">
        <f aca="false">SUMIFS(Data!$P$2:$P$781,Data!$H$2:$H$781,B54)</f>
        <v>0</v>
      </c>
      <c r="Q54" s="43" t="n">
        <f aca="false">SUMIFS(Data!$O$782:$O$2370,Data!$H$782:$H$2370,B54)</f>
        <v>0</v>
      </c>
      <c r="R54" s="43" t="n">
        <f aca="false">SUMIFS(Data!$N$782:$N$2370,Data!$H$782:$H$2370,B54)</f>
        <v>0</v>
      </c>
      <c r="S54" s="43" t="n">
        <f aca="false">SUMIFS(Data!$O$2371:$O$3999,Data!$H$2371:$H$3999,B54)</f>
        <v>0</v>
      </c>
      <c r="T54" s="43" t="n">
        <f aca="false">SUMIFS(Data!$N$2371:$N$3999,Data!$H$2371:$H$3999,B54)</f>
        <v>0</v>
      </c>
      <c r="U54" s="46" t="n">
        <f aca="false">SUMIFS(Data!$R$2:$R$781,Data!$H$2:$H$781,B54)</f>
        <v>0</v>
      </c>
      <c r="V54" s="47" t="n">
        <f aca="false">SUMIFS(Data!$Q$2:$Q$781,Data!$H$2:$H$781,B54)</f>
        <v>0</v>
      </c>
      <c r="W54" s="42" t="n">
        <f aca="false">SUMIFS(Data!$R$782:$R$2370,Data!$H$782:$H$2370,B54)</f>
        <v>0</v>
      </c>
      <c r="X54" s="43" t="n">
        <f aca="false">SUMIFS(Data!$Q$782:$Q$2370,Data!$H$782:$H$2370,B54)</f>
        <v>0</v>
      </c>
      <c r="Y54" s="42" t="n">
        <f aca="false">SUMIFS(Data!$R$2371:$R$3999,Data!$H$2371:$H$3999,B54)</f>
        <v>0</v>
      </c>
      <c r="Z54" s="43" t="n">
        <f aca="false">SUMIFS(Data!$Q$2371:$Q$3999,Data!$H$2371:$H$3999,B54)</f>
        <v>0</v>
      </c>
      <c r="AA54" s="48" t="n">
        <f aca="false">V54+U54+O54+N54+K54+F54+E54+P54</f>
        <v>2</v>
      </c>
      <c r="AB54" s="49" t="n">
        <f aca="false">X54+W54+T54+R54+Q54+L54+H54+G54</f>
        <v>0</v>
      </c>
      <c r="AC54" s="49" t="n">
        <f aca="false">Z54+Y54+T54+S54+M54+J54+I54</f>
        <v>0</v>
      </c>
    </row>
    <row r="55" customFormat="false" ht="23.25" hidden="false" customHeight="true" outlineLevel="0" collapsed="false">
      <c r="A55" s="31" t="n">
        <f aca="false">Data!AE54</f>
        <v>0</v>
      </c>
      <c r="B55" s="31" t="n">
        <f aca="false">Data!AD54</f>
        <v>0</v>
      </c>
      <c r="C55" s="31" t="n">
        <f aca="false">Data!AH54</f>
        <v>0</v>
      </c>
      <c r="D55" s="31" t="n">
        <f aca="false">Data!AF54</f>
        <v>0</v>
      </c>
      <c r="E55" s="42" t="n">
        <f aca="false">SUMIFS(Data!$L$2:$L$781,Data!$H$2:$H$781,B55)</f>
        <v>0</v>
      </c>
      <c r="F55" s="43" t="n">
        <f aca="false">SUMIFS(Data!$K$2:$K$781,Data!$H$2:$H$781,B55)</f>
        <v>0</v>
      </c>
      <c r="G55" s="42" t="n">
        <f aca="false">SUMIFS(Data!$L$782:$L$2370,Data!$H$782:$H$2370,B55)</f>
        <v>0</v>
      </c>
      <c r="H55" s="43" t="n">
        <f aca="false">SUMIFS(Data!$K$782:$K$2370,Data!$H$782:$H$2370,B55)</f>
        <v>0</v>
      </c>
      <c r="I55" s="42" t="n">
        <f aca="false">SUMIFS(Data!$L$2371:$L$3999,Data!$H$2371:$H$3999,B55)</f>
        <v>0</v>
      </c>
      <c r="J55" s="43" t="n">
        <f aca="false">SUMIFS(Data!$K$2371:$K$3999,Data!$H$2371:$H$3999,B55)</f>
        <v>0</v>
      </c>
      <c r="K55" s="44" t="n">
        <f aca="false">SUMIFS(Data!$M$2:$M$781,Data!$H$2:$H$781,B55)</f>
        <v>0</v>
      </c>
      <c r="L55" s="42" t="n">
        <f aca="false">SUMIFS(Data!$M$782:$M$2370,Data!$H$782:$H$2370,B55)</f>
        <v>0</v>
      </c>
      <c r="M55" s="42" t="n">
        <f aca="false">SUMIFS(Data!$M$2371:$M$3999,Data!$H$2371:$H$3999,B55)</f>
        <v>0</v>
      </c>
      <c r="N55" s="45" t="n">
        <f aca="false">SUMIFS(Data!$O$2:$O$781,Data!$H$2:$H$781,B55)</f>
        <v>0</v>
      </c>
      <c r="O55" s="43" t="n">
        <f aca="false">SUMIFS(Data!$N$2:$N$781,Data!$H$2:$H$781,B55)</f>
        <v>0</v>
      </c>
      <c r="P55" s="42" t="n">
        <f aca="false">SUMIFS(Data!$P$2:$P$781,Data!$H$2:$H$781,B55)</f>
        <v>0</v>
      </c>
      <c r="Q55" s="43" t="n">
        <f aca="false">SUMIFS(Data!$O$782:$O$2370,Data!$H$782:$H$2370,B55)</f>
        <v>0</v>
      </c>
      <c r="R55" s="43" t="n">
        <f aca="false">SUMIFS(Data!$N$782:$N$2370,Data!$H$782:$H$2370,B55)</f>
        <v>0</v>
      </c>
      <c r="S55" s="43" t="n">
        <f aca="false">SUMIFS(Data!$O$2371:$O$3999,Data!$H$2371:$H$3999,B55)</f>
        <v>0</v>
      </c>
      <c r="T55" s="43" t="n">
        <f aca="false">SUMIFS(Data!$N$2371:$N$3999,Data!$H$2371:$H$3999,B55)</f>
        <v>0</v>
      </c>
      <c r="U55" s="46" t="n">
        <f aca="false">SUMIFS(Data!$R$2:$R$781,Data!$H$2:$H$781,B55)</f>
        <v>0</v>
      </c>
      <c r="V55" s="47" t="n">
        <f aca="false">SUMIFS(Data!$Q$2:$Q$781,Data!$H$2:$H$781,B55)</f>
        <v>0</v>
      </c>
      <c r="W55" s="42" t="n">
        <f aca="false">SUMIFS(Data!$R$782:$R$2370,Data!$H$782:$H$2370,B55)</f>
        <v>0</v>
      </c>
      <c r="X55" s="43" t="n">
        <f aca="false">SUMIFS(Data!$Q$782:$Q$2370,Data!$H$782:$H$2370,B55)</f>
        <v>0</v>
      </c>
      <c r="Y55" s="42" t="n">
        <f aca="false">SUMIFS(Data!$R$2371:$R$3999,Data!$H$2371:$H$3999,B55)</f>
        <v>0</v>
      </c>
      <c r="Z55" s="43" t="n">
        <f aca="false">SUMIFS(Data!$Q$2371:$Q$3999,Data!$H$2371:$H$3999,B55)</f>
        <v>0</v>
      </c>
      <c r="AA55" s="48" t="n">
        <f aca="false">V55+U55+O55+N55+K55+F55+E55+P55</f>
        <v>0</v>
      </c>
      <c r="AB55" s="49" t="n">
        <f aca="false">X55+W55+T55+R55+Q55+L55+H55+G55</f>
        <v>0</v>
      </c>
      <c r="AC55" s="49" t="n">
        <f aca="false">Z55+Y55+T55+S55+M55+J55+I55</f>
        <v>0</v>
      </c>
    </row>
    <row r="56" customFormat="false" ht="23.25" hidden="false" customHeight="true" outlineLevel="0" collapsed="false">
      <c r="A56" s="31" t="n">
        <f aca="false">Data!AE55</f>
        <v>1008261</v>
      </c>
      <c r="B56" s="31" t="str">
        <f aca="false">Data!AD55</f>
        <v>سميه مسلم2</v>
      </c>
      <c r="C56" s="31" t="n">
        <f aca="false">Data!AH55</f>
        <v>536344886</v>
      </c>
      <c r="D56" s="31" t="str">
        <f aca="false">Data!AF55</f>
        <v>تبوك</v>
      </c>
      <c r="E56" s="42" t="n">
        <f aca="false">SUMIFS(Data!$L$2:$L$781,Data!$H$2:$H$781,B56)</f>
        <v>1</v>
      </c>
      <c r="F56" s="43" t="n">
        <f aca="false">SUMIFS(Data!$K$2:$K$781,Data!$H$2:$H$781,B56)</f>
        <v>6</v>
      </c>
      <c r="G56" s="42" t="n">
        <f aca="false">SUMIFS(Data!$L$782:$L$2370,Data!$H$782:$H$2370,B56)</f>
        <v>0</v>
      </c>
      <c r="H56" s="43" t="n">
        <f aca="false">SUMIFS(Data!$K$782:$K$2370,Data!$H$782:$H$2370,B56)</f>
        <v>22</v>
      </c>
      <c r="I56" s="42" t="n">
        <f aca="false">SUMIFS(Data!$L$2371:$L$3999,Data!$H$2371:$H$3999,B56)</f>
        <v>0</v>
      </c>
      <c r="J56" s="43" t="n">
        <f aca="false">SUMIFS(Data!$K$2371:$K$3999,Data!$H$2371:$H$3999,B56)</f>
        <v>37</v>
      </c>
      <c r="K56" s="44" t="n">
        <f aca="false">SUMIFS(Data!$M$2:$M$781,Data!$H$2:$H$781,B56)</f>
        <v>0</v>
      </c>
      <c r="L56" s="42" t="n">
        <f aca="false">SUMIFS(Data!$M$782:$M$2370,Data!$H$782:$H$2370,B56)</f>
        <v>3</v>
      </c>
      <c r="M56" s="42" t="n">
        <f aca="false">SUMIFS(Data!$M$2371:$M$3999,Data!$H$2371:$H$3999,B56)</f>
        <v>1</v>
      </c>
      <c r="N56" s="45" t="n">
        <f aca="false">SUMIFS(Data!$O$2:$O$781,Data!$H$2:$H$781,B56)</f>
        <v>0</v>
      </c>
      <c r="O56" s="43" t="n">
        <f aca="false">SUMIFS(Data!$N$2:$N$781,Data!$H$2:$H$781,B56)</f>
        <v>0</v>
      </c>
      <c r="P56" s="42" t="n">
        <f aca="false">SUMIFS(Data!$P$2:$P$781,Data!$H$2:$H$781,B56)</f>
        <v>0</v>
      </c>
      <c r="Q56" s="43" t="n">
        <f aca="false">SUMIFS(Data!$O$782:$O$2370,Data!$H$782:$H$2370,B56)</f>
        <v>0</v>
      </c>
      <c r="R56" s="43" t="n">
        <f aca="false">SUMIFS(Data!$N$782:$N$2370,Data!$H$782:$H$2370,B56)</f>
        <v>0</v>
      </c>
      <c r="S56" s="43" t="n">
        <f aca="false">SUMIFS(Data!$O$2371:$O$3999,Data!$H$2371:$H$3999,B56)</f>
        <v>0</v>
      </c>
      <c r="T56" s="43" t="n">
        <f aca="false">SUMIFS(Data!$N$2371:$N$3999,Data!$H$2371:$H$3999,B56)</f>
        <v>1</v>
      </c>
      <c r="U56" s="46" t="n">
        <f aca="false">SUMIFS(Data!$R$2:$R$781,Data!$H$2:$H$781,B56)</f>
        <v>2</v>
      </c>
      <c r="V56" s="47" t="n">
        <f aca="false">SUMIFS(Data!$Q$2:$Q$781,Data!$H$2:$H$781,B56)</f>
        <v>2</v>
      </c>
      <c r="W56" s="42" t="n">
        <f aca="false">SUMIFS(Data!$R$782:$R$2370,Data!$H$782:$H$2370,B56)</f>
        <v>1</v>
      </c>
      <c r="X56" s="43" t="n">
        <f aca="false">SUMIFS(Data!$Q$782:$Q$2370,Data!$H$782:$H$2370,B56)</f>
        <v>1</v>
      </c>
      <c r="Y56" s="42" t="n">
        <f aca="false">SUMIFS(Data!$R$2371:$R$3999,Data!$H$2371:$H$3999,B56)</f>
        <v>6</v>
      </c>
      <c r="Z56" s="43" t="n">
        <f aca="false">SUMIFS(Data!$Q$2371:$Q$3999,Data!$H$2371:$H$3999,B56)</f>
        <v>3</v>
      </c>
      <c r="AA56" s="48" t="n">
        <f aca="false">V56+U56+O56+N56+K56+F56+E56+P56</f>
        <v>11</v>
      </c>
      <c r="AB56" s="49" t="n">
        <f aca="false">X56+W56+T56+R56+Q56+L56+H56+G56</f>
        <v>28</v>
      </c>
      <c r="AC56" s="49" t="n">
        <f aca="false">Z56+Y56+T56+S56+M56+J56+I56</f>
        <v>48</v>
      </c>
    </row>
    <row r="57" customFormat="false" ht="23.25" hidden="false" customHeight="true" outlineLevel="0" collapsed="false">
      <c r="A57" s="31" t="n">
        <f aca="false">Data!AE56</f>
        <v>984</v>
      </c>
      <c r="B57" s="31" t="str">
        <f aca="false">Data!AD56</f>
        <v>كيرفوركار</v>
      </c>
      <c r="C57" s="31" t="n">
        <f aca="false">Data!AH56</f>
        <v>556585022</v>
      </c>
      <c r="D57" s="31" t="str">
        <f aca="false">Data!AF56</f>
        <v>تبوك</v>
      </c>
      <c r="E57" s="42" t="n">
        <f aca="false">SUMIFS(Data!$L$2:$L$781,Data!$H$2:$H$781,B57)</f>
        <v>0</v>
      </c>
      <c r="F57" s="43" t="n">
        <f aca="false">SUMIFS(Data!$K$2:$K$781,Data!$H$2:$H$781,B57)</f>
        <v>0</v>
      </c>
      <c r="G57" s="42" t="n">
        <f aca="false">SUMIFS(Data!$L$782:$L$2370,Data!$H$782:$H$2370,B57)</f>
        <v>2</v>
      </c>
      <c r="H57" s="43" t="n">
        <f aca="false">SUMIFS(Data!$K$782:$K$2370,Data!$H$782:$H$2370,B57)</f>
        <v>3</v>
      </c>
      <c r="I57" s="42" t="n">
        <f aca="false">SUMIFS(Data!$L$2371:$L$3999,Data!$H$2371:$H$3999,B57)</f>
        <v>0</v>
      </c>
      <c r="J57" s="43" t="n">
        <f aca="false">SUMIFS(Data!$K$2371:$K$3999,Data!$H$2371:$H$3999,B57)</f>
        <v>7</v>
      </c>
      <c r="K57" s="44" t="n">
        <f aca="false">SUMIFS(Data!$M$2:$M$781,Data!$H$2:$H$781,B57)</f>
        <v>0</v>
      </c>
      <c r="L57" s="42" t="n">
        <f aca="false">SUMIFS(Data!$M$782:$M$2370,Data!$H$782:$H$2370,B57)</f>
        <v>8</v>
      </c>
      <c r="M57" s="42" t="n">
        <f aca="false">SUMIFS(Data!$M$2371:$M$3999,Data!$H$2371:$H$3999,B57)</f>
        <v>21</v>
      </c>
      <c r="N57" s="45" t="n">
        <f aca="false">SUMIFS(Data!$O$2:$O$781,Data!$H$2:$H$781,B57)</f>
        <v>0</v>
      </c>
      <c r="O57" s="43" t="n">
        <f aca="false">SUMIFS(Data!$N$2:$N$781,Data!$H$2:$H$781,B57)</f>
        <v>0</v>
      </c>
      <c r="P57" s="42" t="n">
        <f aca="false">SUMIFS(Data!$P$2:$P$781,Data!$H$2:$H$781,B57)</f>
        <v>0</v>
      </c>
      <c r="Q57" s="43" t="n">
        <f aca="false">SUMIFS(Data!$O$782:$O$2370,Data!$H$782:$H$2370,B57)</f>
        <v>0</v>
      </c>
      <c r="R57" s="43" t="n">
        <f aca="false">SUMIFS(Data!$N$782:$N$2370,Data!$H$782:$H$2370,B57)</f>
        <v>0</v>
      </c>
      <c r="S57" s="43" t="n">
        <f aca="false">SUMIFS(Data!$O$2371:$O$3999,Data!$H$2371:$H$3999,B57)</f>
        <v>0</v>
      </c>
      <c r="T57" s="43" t="n">
        <f aca="false">SUMIFS(Data!$N$2371:$N$3999,Data!$H$2371:$H$3999,B57)</f>
        <v>0</v>
      </c>
      <c r="U57" s="46" t="n">
        <f aca="false">SUMIFS(Data!$R$2:$R$781,Data!$H$2:$H$781,B57)</f>
        <v>0</v>
      </c>
      <c r="V57" s="47" t="n">
        <f aca="false">SUMIFS(Data!$Q$2:$Q$781,Data!$H$2:$H$781,B57)</f>
        <v>0</v>
      </c>
      <c r="W57" s="42" t="n">
        <f aca="false">SUMIFS(Data!$R$782:$R$2370,Data!$H$782:$H$2370,B57)</f>
        <v>7</v>
      </c>
      <c r="X57" s="43" t="n">
        <f aca="false">SUMIFS(Data!$Q$782:$Q$2370,Data!$H$782:$H$2370,B57)</f>
        <v>6</v>
      </c>
      <c r="Y57" s="42" t="n">
        <f aca="false">SUMIFS(Data!$R$2371:$R$3999,Data!$H$2371:$H$3999,B57)</f>
        <v>1</v>
      </c>
      <c r="Z57" s="43" t="n">
        <f aca="false">SUMIFS(Data!$Q$2371:$Q$3999,Data!$H$2371:$H$3999,B57)</f>
        <v>2</v>
      </c>
      <c r="AA57" s="48" t="n">
        <f aca="false">V57+U57+O57+N57+K57+F57+E57+P57</f>
        <v>0</v>
      </c>
      <c r="AB57" s="49" t="n">
        <f aca="false">X57+W57+T57+R57+Q57+L57+H57+G57</f>
        <v>26</v>
      </c>
      <c r="AC57" s="49" t="n">
        <f aca="false">Z57+Y57+T57+S57+M57+J57+I57</f>
        <v>31</v>
      </c>
    </row>
    <row r="58" customFormat="false" ht="23.25" hidden="false" customHeight="true" outlineLevel="0" collapsed="false">
      <c r="A58" s="31" t="n">
        <f aca="false">Data!AE57</f>
        <v>575</v>
      </c>
      <c r="B58" s="31" t="str">
        <f aca="false">Data!AD57</f>
        <v>ميشلان</v>
      </c>
      <c r="C58" s="31" t="n">
        <f aca="false">Data!AH57</f>
        <v>507491731</v>
      </c>
      <c r="D58" s="31" t="str">
        <f aca="false">Data!AF57</f>
        <v>تبوك</v>
      </c>
      <c r="E58" s="42" t="n">
        <f aca="false">SUMIFS(Data!$L$2:$L$781,Data!$H$2:$H$781,B58)</f>
        <v>1</v>
      </c>
      <c r="F58" s="43" t="n">
        <f aca="false">SUMIFS(Data!$K$2:$K$781,Data!$H$2:$H$781,B58)</f>
        <v>8</v>
      </c>
      <c r="G58" s="42" t="n">
        <f aca="false">SUMIFS(Data!$L$782:$L$2370,Data!$H$782:$H$2370,B58)</f>
        <v>0</v>
      </c>
      <c r="H58" s="43" t="n">
        <f aca="false">SUMIFS(Data!$K$782:$K$2370,Data!$H$782:$H$2370,B58)</f>
        <v>37</v>
      </c>
      <c r="I58" s="42" t="n">
        <f aca="false">SUMIFS(Data!$L$2371:$L$3999,Data!$H$2371:$H$3999,B58)</f>
        <v>0</v>
      </c>
      <c r="J58" s="43" t="n">
        <f aca="false">SUMIFS(Data!$K$2371:$K$3999,Data!$H$2371:$H$3999,B58)</f>
        <v>4</v>
      </c>
      <c r="K58" s="44" t="n">
        <f aca="false">SUMIFS(Data!$M$2:$M$781,Data!$H$2:$H$781,B58)</f>
        <v>1</v>
      </c>
      <c r="L58" s="42" t="n">
        <f aca="false">SUMIFS(Data!$M$782:$M$2370,Data!$H$782:$H$2370,B58)</f>
        <v>7</v>
      </c>
      <c r="M58" s="42" t="n">
        <f aca="false">SUMIFS(Data!$M$2371:$M$3999,Data!$H$2371:$H$3999,B58)</f>
        <v>5</v>
      </c>
      <c r="N58" s="45" t="n">
        <f aca="false">SUMIFS(Data!$O$2:$O$781,Data!$H$2:$H$781,B58)</f>
        <v>1</v>
      </c>
      <c r="O58" s="43" t="n">
        <f aca="false">SUMIFS(Data!$N$2:$N$781,Data!$H$2:$H$781,B58)</f>
        <v>0</v>
      </c>
      <c r="P58" s="42" t="n">
        <f aca="false">SUMIFS(Data!$P$2:$P$781,Data!$H$2:$H$781,B58)</f>
        <v>0</v>
      </c>
      <c r="Q58" s="43" t="n">
        <f aca="false">SUMIFS(Data!$O$782:$O$2370,Data!$H$782:$H$2370,B58)</f>
        <v>3</v>
      </c>
      <c r="R58" s="43" t="n">
        <f aca="false">SUMIFS(Data!$N$782:$N$2370,Data!$H$782:$H$2370,B58)</f>
        <v>9</v>
      </c>
      <c r="S58" s="43" t="n">
        <f aca="false">SUMIFS(Data!$O$2371:$O$3999,Data!$H$2371:$H$3999,B58)</f>
        <v>5</v>
      </c>
      <c r="T58" s="43" t="n">
        <f aca="false">SUMIFS(Data!$N$2371:$N$3999,Data!$H$2371:$H$3999,B58)</f>
        <v>0</v>
      </c>
      <c r="U58" s="46" t="n">
        <f aca="false">SUMIFS(Data!$R$2:$R$781,Data!$H$2:$H$781,B58)</f>
        <v>2</v>
      </c>
      <c r="V58" s="47" t="n">
        <f aca="false">SUMIFS(Data!$Q$2:$Q$781,Data!$H$2:$H$781,B58)</f>
        <v>0</v>
      </c>
      <c r="W58" s="42" t="n">
        <f aca="false">SUMIFS(Data!$R$782:$R$2370,Data!$H$782:$H$2370,B58)</f>
        <v>2</v>
      </c>
      <c r="X58" s="43" t="n">
        <f aca="false">SUMIFS(Data!$Q$782:$Q$2370,Data!$H$782:$H$2370,B58)</f>
        <v>1</v>
      </c>
      <c r="Y58" s="42" t="n">
        <f aca="false">SUMIFS(Data!$R$2371:$R$3999,Data!$H$2371:$H$3999,B58)</f>
        <v>4</v>
      </c>
      <c r="Z58" s="43" t="n">
        <f aca="false">SUMIFS(Data!$Q$2371:$Q$3999,Data!$H$2371:$H$3999,B58)</f>
        <v>0</v>
      </c>
      <c r="AA58" s="48" t="n">
        <f aca="false">V58+U58+O58+N58+K58+F58+E58+P58</f>
        <v>13</v>
      </c>
      <c r="AB58" s="49" t="n">
        <f aca="false">X58+W58+T58+R58+Q58+L58+H58+G58</f>
        <v>59</v>
      </c>
      <c r="AC58" s="49" t="n">
        <f aca="false">Z58+Y58+T58+S58+M58+J58+I58</f>
        <v>18</v>
      </c>
    </row>
    <row r="59" customFormat="false" ht="23.25" hidden="false" customHeight="true" outlineLevel="0" collapsed="false">
      <c r="A59" s="31" t="n">
        <f aca="false">Data!AE58</f>
        <v>560</v>
      </c>
      <c r="B59" s="31" t="str">
        <f aca="false">Data!AD58</f>
        <v>الوجه الاخر</v>
      </c>
      <c r="C59" s="31" t="n">
        <f aca="false">Data!AH58</f>
        <v>0</v>
      </c>
      <c r="D59" s="31" t="str">
        <f aca="false">Data!AF58</f>
        <v>تبوك</v>
      </c>
      <c r="E59" s="42" t="n">
        <f aca="false">SUMIFS(Data!$L$2:$L$781,Data!$H$2:$H$781,B59)</f>
        <v>1</v>
      </c>
      <c r="F59" s="43" t="n">
        <f aca="false">SUMIFS(Data!$K$2:$K$781,Data!$H$2:$H$781,B59)</f>
        <v>4</v>
      </c>
      <c r="G59" s="42" t="n">
        <f aca="false">SUMIFS(Data!$L$782:$L$2370,Data!$H$782:$H$2370,B59)</f>
        <v>0</v>
      </c>
      <c r="H59" s="43" t="n">
        <f aca="false">SUMIFS(Data!$K$782:$K$2370,Data!$H$782:$H$2370,B59)</f>
        <v>6</v>
      </c>
      <c r="I59" s="42" t="n">
        <f aca="false">SUMIFS(Data!$L$2371:$L$3999,Data!$H$2371:$H$3999,B59)</f>
        <v>0</v>
      </c>
      <c r="J59" s="43" t="n">
        <f aca="false">SUMIFS(Data!$K$2371:$K$3999,Data!$H$2371:$H$3999,B59)</f>
        <v>4</v>
      </c>
      <c r="K59" s="44" t="n">
        <f aca="false">SUMIFS(Data!$M$2:$M$781,Data!$H$2:$H$781,B59)</f>
        <v>0</v>
      </c>
      <c r="L59" s="42" t="n">
        <f aca="false">SUMIFS(Data!$M$782:$M$2370,Data!$H$782:$H$2370,B59)</f>
        <v>0</v>
      </c>
      <c r="M59" s="42" t="n">
        <f aca="false">SUMIFS(Data!$M$2371:$M$3999,Data!$H$2371:$H$3999,B59)</f>
        <v>0</v>
      </c>
      <c r="N59" s="45" t="n">
        <f aca="false">SUMIFS(Data!$O$2:$O$781,Data!$H$2:$H$781,B59)</f>
        <v>0</v>
      </c>
      <c r="O59" s="43" t="n">
        <f aca="false">SUMIFS(Data!$N$2:$N$781,Data!$H$2:$H$781,B59)</f>
        <v>0</v>
      </c>
      <c r="P59" s="42" t="n">
        <f aca="false">SUMIFS(Data!$P$2:$P$781,Data!$H$2:$H$781,B59)</f>
        <v>0</v>
      </c>
      <c r="Q59" s="43" t="n">
        <f aca="false">SUMIFS(Data!$O$782:$O$2370,Data!$H$782:$H$2370,B59)</f>
        <v>0</v>
      </c>
      <c r="R59" s="43" t="n">
        <f aca="false">SUMIFS(Data!$N$782:$N$2370,Data!$H$782:$H$2370,B59)</f>
        <v>0</v>
      </c>
      <c r="S59" s="43" t="n">
        <f aca="false">SUMIFS(Data!$O$2371:$O$3999,Data!$H$2371:$H$3999,B59)</f>
        <v>0</v>
      </c>
      <c r="T59" s="43" t="n">
        <f aca="false">SUMIFS(Data!$N$2371:$N$3999,Data!$H$2371:$H$3999,B59)</f>
        <v>0</v>
      </c>
      <c r="U59" s="46" t="n">
        <f aca="false">SUMIFS(Data!$R$2:$R$781,Data!$H$2:$H$781,B59)</f>
        <v>3</v>
      </c>
      <c r="V59" s="47" t="n">
        <f aca="false">SUMIFS(Data!$Q$2:$Q$781,Data!$H$2:$H$781,B59)</f>
        <v>0</v>
      </c>
      <c r="W59" s="42" t="n">
        <f aca="false">SUMIFS(Data!$R$782:$R$2370,Data!$H$782:$H$2370,B59)</f>
        <v>6</v>
      </c>
      <c r="X59" s="43" t="n">
        <f aca="false">SUMIFS(Data!$Q$782:$Q$2370,Data!$H$782:$H$2370,B59)</f>
        <v>0</v>
      </c>
      <c r="Y59" s="42" t="n">
        <f aca="false">SUMIFS(Data!$R$2371:$R$3999,Data!$H$2371:$H$3999,B59)</f>
        <v>3</v>
      </c>
      <c r="Z59" s="43" t="n">
        <f aca="false">SUMIFS(Data!$Q$2371:$Q$3999,Data!$H$2371:$H$3999,B59)</f>
        <v>0</v>
      </c>
      <c r="AA59" s="48" t="n">
        <f aca="false">V59+U59+O59+N59+K59+F59+E59+P59</f>
        <v>8</v>
      </c>
      <c r="AB59" s="49" t="n">
        <f aca="false">X59+W59+T59+R59+Q59+L59+H59+G59</f>
        <v>12</v>
      </c>
      <c r="AC59" s="49" t="n">
        <f aca="false">Z59+Y59+T59+S59+M59+J59+I59</f>
        <v>7</v>
      </c>
    </row>
    <row r="60" customFormat="false" ht="23.25" hidden="false" customHeight="true" outlineLevel="0" collapsed="false">
      <c r="A60" s="31" t="n">
        <f aca="false">Data!AE59</f>
        <v>636</v>
      </c>
      <c r="B60" s="31" t="str">
        <f aca="false">Data!AD59</f>
        <v>مسار الفيصليه</v>
      </c>
      <c r="C60" s="31" t="n">
        <f aca="false">Data!AH59</f>
        <v>502862354</v>
      </c>
      <c r="D60" s="31" t="str">
        <f aca="false">Data!AF59</f>
        <v>تبوك</v>
      </c>
      <c r="E60" s="69" t="n">
        <f aca="false">SUMIFS(Data!$L$2:$L$781,Data!$H$2:$H$781,B60)</f>
        <v>0</v>
      </c>
      <c r="F60" s="70" t="n">
        <f aca="false">SUMIFS(Data!$K$2:$K$781,Data!$H$2:$H$781,B60)</f>
        <v>1</v>
      </c>
      <c r="G60" s="69" t="n">
        <f aca="false">SUMIFS(Data!$L$782:$L$2370,Data!$H$782:$H$2370,B60)</f>
        <v>0</v>
      </c>
      <c r="H60" s="70" t="n">
        <f aca="false">SUMIFS(Data!$K$782:$K$2370,Data!$H$782:$H$2370,B60)</f>
        <v>15</v>
      </c>
      <c r="I60" s="69" t="n">
        <f aca="false">SUMIFS(Data!$L$2371:$L$3999,Data!$H$2371:$H$3999,B60)</f>
        <v>0</v>
      </c>
      <c r="J60" s="70" t="n">
        <f aca="false">SUMIFS(Data!$K$2371:$K$3999,Data!$H$2371:$H$3999,B60)</f>
        <v>15</v>
      </c>
      <c r="K60" s="69" t="n">
        <f aca="false">SUMIFS(Data!$M$2:$M$781,Data!$H$2:$H$781,B60)</f>
        <v>2</v>
      </c>
      <c r="L60" s="69" t="n">
        <f aca="false">SUMIFS(Data!$M$782:$M$2370,Data!$H$782:$H$2370,B60)</f>
        <v>42</v>
      </c>
      <c r="M60" s="69" t="n">
        <f aca="false">SUMIFS(Data!$M$2371:$M$3999,Data!$H$2371:$H$3999,B60)</f>
        <v>12</v>
      </c>
      <c r="N60" s="70" t="n">
        <f aca="false">SUMIFS(Data!$O$2:$O$781,Data!$H$2:$H$781,B60)</f>
        <v>2</v>
      </c>
      <c r="O60" s="70" t="n">
        <f aca="false">SUMIFS(Data!$N$2:$N$781,Data!$H$2:$H$781,B60)</f>
        <v>0</v>
      </c>
      <c r="P60" s="69" t="n">
        <f aca="false">SUMIFS(Data!$P$2:$P$781,Data!$H$2:$H$781,B60)</f>
        <v>0</v>
      </c>
      <c r="Q60" s="70" t="n">
        <f aca="false">SUMIFS(Data!$O$782:$O$2370,Data!$H$782:$H$2370,B60)</f>
        <v>14</v>
      </c>
      <c r="R60" s="70" t="n">
        <f aca="false">SUMIFS(Data!$N$782:$N$2370,Data!$H$782:$H$2370,B60)</f>
        <v>3</v>
      </c>
      <c r="S60" s="70" t="n">
        <f aca="false">SUMIFS(Data!$O$2371:$O$3999,Data!$H$2371:$H$3999,B60)</f>
        <v>2</v>
      </c>
      <c r="T60" s="70" t="n">
        <f aca="false">SUMIFS(Data!$N$2371:$N$3999,Data!$H$2371:$H$3999,B60)</f>
        <v>3</v>
      </c>
      <c r="U60" s="69" t="n">
        <f aca="false">SUMIFS(Data!$R$2:$R$781,Data!$H$2:$H$781,B60)</f>
        <v>2</v>
      </c>
      <c r="V60" s="71" t="n">
        <f aca="false">SUMIFS(Data!$Q$2:$Q$781,Data!$H$2:$H$781,B60)</f>
        <v>2</v>
      </c>
      <c r="W60" s="69" t="n">
        <f aca="false">SUMIFS(Data!$R$782:$R$2370,Data!$H$782:$H$2370,B60)</f>
        <v>8</v>
      </c>
      <c r="X60" s="70" t="n">
        <f aca="false">SUMIFS(Data!$Q$782:$Q$2370,Data!$H$782:$H$2370,B60)</f>
        <v>16</v>
      </c>
      <c r="Y60" s="69" t="n">
        <f aca="false">SUMIFS(Data!$R$2371:$R$3999,Data!$H$2371:$H$3999,B60)</f>
        <v>0</v>
      </c>
      <c r="Z60" s="70" t="n">
        <f aca="false">SUMIFS(Data!$Q$2371:$Q$3999,Data!$H$2371:$H$3999,B60)</f>
        <v>16</v>
      </c>
      <c r="AA60" s="68" t="n">
        <f aca="false">V60+U60+O60+N60+K60+F60+E60+P60</f>
        <v>9</v>
      </c>
      <c r="AB60" s="68" t="n">
        <f aca="false">X60+W60+T60+R60+Q60+L60+H60+G60</f>
        <v>101</v>
      </c>
      <c r="AC60" s="68" t="n">
        <f aca="false">Z60+Y60+T60+S60+M60+J60+I60</f>
        <v>48</v>
      </c>
    </row>
    <row r="61" customFormat="false" ht="23.25" hidden="false" customHeight="true" outlineLevel="0" collapsed="false">
      <c r="A61" s="31" t="n">
        <f aca="false">Data!AE60</f>
        <v>1071</v>
      </c>
      <c r="B61" s="31" t="str">
        <f aca="false">Data!AD60</f>
        <v>الركن المميز</v>
      </c>
      <c r="C61" s="31" t="n">
        <f aca="false">Data!AH60</f>
        <v>502862354</v>
      </c>
      <c r="D61" s="31" t="str">
        <f aca="false">Data!AF60</f>
        <v>تبوك</v>
      </c>
      <c r="E61" s="69" t="n">
        <f aca="false">SUMIFS(Data!$L$2:$L$781,Data!$H$2:$H$781,B61)</f>
        <v>0</v>
      </c>
      <c r="F61" s="70" t="n">
        <f aca="false">SUMIFS(Data!$K$2:$K$781,Data!$H$2:$H$781,B61)</f>
        <v>0</v>
      </c>
      <c r="G61" s="69" t="n">
        <f aca="false">SUMIFS(Data!$L$782:$L$2370,Data!$H$782:$H$2370,B61)</f>
        <v>0</v>
      </c>
      <c r="H61" s="70" t="n">
        <f aca="false">SUMIFS(Data!$K$782:$K$2370,Data!$H$782:$H$2370,B61)</f>
        <v>6</v>
      </c>
      <c r="I61" s="69" t="n">
        <f aca="false">SUMIFS(Data!$L$2371:$L$3999,Data!$H$2371:$H$3999,B61)</f>
        <v>0</v>
      </c>
      <c r="J61" s="70" t="n">
        <f aca="false">SUMIFS(Data!$K$2371:$K$3999,Data!$H$2371:$H$3999,B61)</f>
        <v>25</v>
      </c>
      <c r="K61" s="69" t="n">
        <f aca="false">SUMIFS(Data!$M$2:$M$781,Data!$H$2:$H$781,B61)</f>
        <v>0</v>
      </c>
      <c r="L61" s="69" t="n">
        <f aca="false">SUMIFS(Data!$M$782:$M$2370,Data!$H$782:$H$2370,B61)</f>
        <v>3</v>
      </c>
      <c r="M61" s="69" t="n">
        <f aca="false">SUMIFS(Data!$M$2371:$M$3999,Data!$H$2371:$H$3999,B61)</f>
        <v>31</v>
      </c>
      <c r="N61" s="70" t="n">
        <f aca="false">SUMIFS(Data!$O$2:$O$781,Data!$H$2:$H$781,B61)</f>
        <v>0</v>
      </c>
      <c r="O61" s="70" t="n">
        <f aca="false">SUMIFS(Data!$N$2:$N$781,Data!$H$2:$H$781,B61)</f>
        <v>0</v>
      </c>
      <c r="P61" s="69" t="n">
        <f aca="false">SUMIFS(Data!$P$2:$P$781,Data!$H$2:$H$781,B61)</f>
        <v>0</v>
      </c>
      <c r="Q61" s="70" t="n">
        <f aca="false">SUMIFS(Data!$O$782:$O$2370,Data!$H$782:$H$2370,B61)</f>
        <v>0</v>
      </c>
      <c r="R61" s="70" t="n">
        <f aca="false">SUMIFS(Data!$N$782:$N$2370,Data!$H$782:$H$2370,B61)</f>
        <v>0</v>
      </c>
      <c r="S61" s="70" t="n">
        <f aca="false">SUMIFS(Data!$O$2371:$O$3999,Data!$H$2371:$H$3999,B61)</f>
        <v>5</v>
      </c>
      <c r="T61" s="70" t="n">
        <f aca="false">SUMIFS(Data!$N$2371:$N$3999,Data!$H$2371:$H$3999,B61)</f>
        <v>30</v>
      </c>
      <c r="U61" s="69" t="n">
        <f aca="false">SUMIFS(Data!$R$2:$R$781,Data!$H$2:$H$781,B61)</f>
        <v>0</v>
      </c>
      <c r="V61" s="71" t="n">
        <f aca="false">SUMIFS(Data!$Q$2:$Q$781,Data!$H$2:$H$781,B61)</f>
        <v>0</v>
      </c>
      <c r="W61" s="69" t="n">
        <f aca="false">SUMIFS(Data!$R$782:$R$2370,Data!$H$782:$H$2370,B61)</f>
        <v>0</v>
      </c>
      <c r="X61" s="70" t="n">
        <f aca="false">SUMIFS(Data!$Q$782:$Q$2370,Data!$H$782:$H$2370,B61)</f>
        <v>2</v>
      </c>
      <c r="Y61" s="69" t="n">
        <f aca="false">SUMIFS(Data!$R$2371:$R$3999,Data!$H$2371:$H$3999,B61)</f>
        <v>10</v>
      </c>
      <c r="Z61" s="70" t="n">
        <f aca="false">SUMIFS(Data!$Q$2371:$Q$3999,Data!$H$2371:$H$3999,B61)</f>
        <v>10</v>
      </c>
      <c r="AA61" s="68" t="n">
        <f aca="false">V61+U61+O61+N61+K61+F61+E61+P61</f>
        <v>0</v>
      </c>
      <c r="AB61" s="68" t="n">
        <f aca="false">X61+W61+T61+R61+Q61+L61+H61+G61</f>
        <v>41</v>
      </c>
      <c r="AC61" s="68" t="n">
        <f aca="false">Z61+Y61+T61+S61+M61+J61+I61</f>
        <v>111</v>
      </c>
    </row>
    <row r="62" customFormat="false" ht="23.25" hidden="false" customHeight="true" outlineLevel="0" collapsed="false">
      <c r="A62" s="31" t="n">
        <f aca="false">Data!AE61</f>
        <v>979</v>
      </c>
      <c r="B62" s="31" t="str">
        <f aca="false">Data!AD61</f>
        <v>سهم المهرجان</v>
      </c>
      <c r="C62" s="31" t="n">
        <f aca="false">Data!AH61</f>
        <v>0</v>
      </c>
      <c r="D62" s="31" t="str">
        <f aca="false">Data!AF61</f>
        <v>تبوك</v>
      </c>
      <c r="E62" s="69" t="n">
        <f aca="false">SUMIFS(Data!$L$2:$L$781,Data!$H$2:$H$781,B62)</f>
        <v>0</v>
      </c>
      <c r="F62" s="70" t="n">
        <f aca="false">SUMIFS(Data!$K$2:$K$781,Data!$H$2:$H$781,B62)</f>
        <v>0</v>
      </c>
      <c r="G62" s="69" t="n">
        <f aca="false">SUMIFS(Data!$L$782:$L$2370,Data!$H$782:$H$2370,B62)</f>
        <v>0</v>
      </c>
      <c r="H62" s="70" t="n">
        <f aca="false">SUMIFS(Data!$K$782:$K$2370,Data!$H$782:$H$2370,B62)</f>
        <v>9</v>
      </c>
      <c r="I62" s="69" t="n">
        <f aca="false">SUMIFS(Data!$L$2371:$L$3999,Data!$H$2371:$H$3999,B62)</f>
        <v>0</v>
      </c>
      <c r="J62" s="70" t="n">
        <f aca="false">SUMIFS(Data!$K$2371:$K$3999,Data!$H$2371:$H$3999,B62)</f>
        <v>4</v>
      </c>
      <c r="K62" s="69" t="n">
        <f aca="false">SUMIFS(Data!$M$2:$M$781,Data!$H$2:$H$781,B62)</f>
        <v>0</v>
      </c>
      <c r="L62" s="69" t="n">
        <f aca="false">SUMIFS(Data!$M$782:$M$2370,Data!$H$782:$H$2370,B62)</f>
        <v>2</v>
      </c>
      <c r="M62" s="69" t="n">
        <f aca="false">SUMIFS(Data!$M$2371:$M$3999,Data!$H$2371:$H$3999,B62)</f>
        <v>1</v>
      </c>
      <c r="N62" s="70" t="n">
        <f aca="false">SUMIFS(Data!$O$2:$O$781,Data!$H$2:$H$781,B62)</f>
        <v>0</v>
      </c>
      <c r="O62" s="70" t="n">
        <f aca="false">SUMIFS(Data!$N$2:$N$781,Data!$H$2:$H$781,B62)</f>
        <v>0</v>
      </c>
      <c r="P62" s="69" t="n">
        <f aca="false">SUMIFS(Data!$P$2:$P$781,Data!$H$2:$H$781,B62)</f>
        <v>0</v>
      </c>
      <c r="Q62" s="70" t="n">
        <f aca="false">SUMIFS(Data!$O$782:$O$2370,Data!$H$782:$H$2370,B62)</f>
        <v>0</v>
      </c>
      <c r="R62" s="70" t="n">
        <f aca="false">SUMIFS(Data!$N$782:$N$2370,Data!$H$782:$H$2370,B62)</f>
        <v>0</v>
      </c>
      <c r="S62" s="70" t="n">
        <f aca="false">SUMIFS(Data!$O$2371:$O$3999,Data!$H$2371:$H$3999,B62)</f>
        <v>0</v>
      </c>
      <c r="T62" s="70" t="n">
        <f aca="false">SUMIFS(Data!$N$2371:$N$3999,Data!$H$2371:$H$3999,B62)</f>
        <v>0</v>
      </c>
      <c r="U62" s="69" t="n">
        <f aca="false">SUMIFS(Data!$R$2:$R$781,Data!$H$2:$H$781,B62)</f>
        <v>0</v>
      </c>
      <c r="V62" s="71" t="n">
        <f aca="false">SUMIFS(Data!$Q$2:$Q$781,Data!$H$2:$H$781,B62)</f>
        <v>0</v>
      </c>
      <c r="W62" s="69" t="n">
        <f aca="false">SUMIFS(Data!$R$782:$R$2370,Data!$H$782:$H$2370,B62)</f>
        <v>0</v>
      </c>
      <c r="X62" s="70" t="n">
        <f aca="false">SUMIFS(Data!$Q$782:$Q$2370,Data!$H$782:$H$2370,B62)</f>
        <v>2</v>
      </c>
      <c r="Y62" s="69" t="n">
        <f aca="false">SUMIFS(Data!$R$2371:$R$3999,Data!$H$2371:$H$3999,B62)</f>
        <v>3</v>
      </c>
      <c r="Z62" s="70" t="n">
        <f aca="false">SUMIFS(Data!$Q$2371:$Q$3999,Data!$H$2371:$H$3999,B62)</f>
        <v>1</v>
      </c>
      <c r="AA62" s="68" t="n">
        <f aca="false">V62+U62+O62+N62+K62+F62+E62+P62</f>
        <v>0</v>
      </c>
      <c r="AB62" s="68" t="n">
        <f aca="false">X62+W62+T62+R62+Q62+L62+H62+G62</f>
        <v>13</v>
      </c>
      <c r="AC62" s="68" t="n">
        <f aca="false">Z62+Y62+T62+S62+M62+J62+I62</f>
        <v>9</v>
      </c>
    </row>
    <row r="63" customFormat="false" ht="23.25" hidden="false" customHeight="true" outlineLevel="0" collapsed="false">
      <c r="A63" s="31" t="n">
        <f aca="false">Data!AE62</f>
        <v>0</v>
      </c>
      <c r="B63" s="31" t="n">
        <f aca="false">Data!AD62</f>
        <v>0</v>
      </c>
      <c r="C63" s="31" t="n">
        <f aca="false">Data!AH62</f>
        <v>0</v>
      </c>
      <c r="D63" s="31" t="str">
        <f aca="false">Data!AF62</f>
        <v>تبوك</v>
      </c>
      <c r="E63" s="69" t="n">
        <f aca="false">SUMIFS(Data!$L$2:$L$781,Data!$H$2:$H$781,B63)</f>
        <v>0</v>
      </c>
      <c r="F63" s="70" t="n">
        <f aca="false">SUMIFS(Data!$K$2:$K$781,Data!$H$2:$H$781,B63)</f>
        <v>0</v>
      </c>
      <c r="G63" s="69" t="n">
        <f aca="false">SUMIFS(Data!$L$782:$L$2370,Data!$H$782:$H$2370,B63)</f>
        <v>0</v>
      </c>
      <c r="H63" s="70" t="n">
        <f aca="false">SUMIFS(Data!$K$782:$K$2370,Data!$H$782:$H$2370,B63)</f>
        <v>0</v>
      </c>
      <c r="I63" s="69" t="n">
        <f aca="false">SUMIFS(Data!$L$2371:$L$3999,Data!$H$2371:$H$3999,B63)</f>
        <v>0</v>
      </c>
      <c r="J63" s="70" t="n">
        <f aca="false">SUMIFS(Data!$K$2371:$K$3999,Data!$H$2371:$H$3999,B63)</f>
        <v>0</v>
      </c>
      <c r="K63" s="69" t="n">
        <f aca="false">SUMIFS(Data!$M$2:$M$781,Data!$H$2:$H$781,B63)</f>
        <v>0</v>
      </c>
      <c r="L63" s="69" t="n">
        <f aca="false">SUMIFS(Data!$M$782:$M$2370,Data!$H$782:$H$2370,B63)</f>
        <v>0</v>
      </c>
      <c r="M63" s="69" t="n">
        <f aca="false">SUMIFS(Data!$M$2371:$M$3999,Data!$H$2371:$H$3999,B63)</f>
        <v>0</v>
      </c>
      <c r="N63" s="70" t="n">
        <f aca="false">SUMIFS(Data!$O$2:$O$781,Data!$H$2:$H$781,B63)</f>
        <v>0</v>
      </c>
      <c r="O63" s="70" t="n">
        <f aca="false">SUMIFS(Data!$N$2:$N$781,Data!$H$2:$H$781,B63)</f>
        <v>0</v>
      </c>
      <c r="P63" s="69" t="n">
        <f aca="false">SUMIFS(Data!$P$2:$P$781,Data!$H$2:$H$781,B63)</f>
        <v>0</v>
      </c>
      <c r="Q63" s="70" t="n">
        <f aca="false">SUMIFS(Data!$O$782:$O$2370,Data!$H$782:$H$2370,B63)</f>
        <v>0</v>
      </c>
      <c r="R63" s="70" t="n">
        <f aca="false">SUMIFS(Data!$N$782:$N$2370,Data!$H$782:$H$2370,B63)</f>
        <v>0</v>
      </c>
      <c r="S63" s="70" t="n">
        <f aca="false">SUMIFS(Data!$O$2371:$O$3999,Data!$H$2371:$H$3999,B63)</f>
        <v>0</v>
      </c>
      <c r="T63" s="70" t="n">
        <f aca="false">SUMIFS(Data!$N$2371:$N$3999,Data!$H$2371:$H$3999,B63)</f>
        <v>0</v>
      </c>
      <c r="U63" s="69" t="n">
        <f aca="false">SUMIFS(Data!$R$2:$R$781,Data!$H$2:$H$781,B63)</f>
        <v>0</v>
      </c>
      <c r="V63" s="71" t="n">
        <f aca="false">SUMIFS(Data!$Q$2:$Q$781,Data!$H$2:$H$781,B63)</f>
        <v>0</v>
      </c>
      <c r="W63" s="69" t="n">
        <f aca="false">SUMIFS(Data!$R$782:$R$2370,Data!$H$782:$H$2370,B63)</f>
        <v>0</v>
      </c>
      <c r="X63" s="70" t="n">
        <f aca="false">SUMIFS(Data!$Q$782:$Q$2370,Data!$H$782:$H$2370,B63)</f>
        <v>0</v>
      </c>
      <c r="Y63" s="69" t="n">
        <f aca="false">SUMIFS(Data!$R$2371:$R$3999,Data!$H$2371:$H$3999,B63)</f>
        <v>0</v>
      </c>
      <c r="Z63" s="70" t="n">
        <f aca="false">SUMIFS(Data!$Q$2371:$Q$3999,Data!$H$2371:$H$3999,B63)</f>
        <v>0</v>
      </c>
      <c r="AA63" s="68" t="n">
        <f aca="false">V63+U63+O63+N63+K63+F63+E63+P63</f>
        <v>0</v>
      </c>
      <c r="AB63" s="68" t="n">
        <f aca="false">X63+W63+T63+R63+Q63+L63+H63+G63</f>
        <v>0</v>
      </c>
      <c r="AC63" s="68" t="n">
        <f aca="false">Z63+Y63+T63+S63+M63+J63+I63</f>
        <v>0</v>
      </c>
    </row>
    <row r="64" customFormat="false" ht="23.25" hidden="false" customHeight="true" outlineLevel="0" collapsed="false">
      <c r="A64" s="31" t="n">
        <f aca="false">Data!AE63</f>
        <v>945</v>
      </c>
      <c r="B64" s="31" t="str">
        <f aca="false">Data!AD63</f>
        <v>درع المحرك</v>
      </c>
      <c r="C64" s="31" t="n">
        <f aca="false">Data!AH63</f>
        <v>0</v>
      </c>
      <c r="D64" s="31" t="str">
        <f aca="false">Data!AF63</f>
        <v>تبوك</v>
      </c>
      <c r="E64" s="69" t="n">
        <f aca="false">SUMIFS(Data!$L$2:$L$781,Data!$H$2:$H$781,B64)</f>
        <v>0</v>
      </c>
      <c r="F64" s="70" t="n">
        <f aca="false">SUMIFS(Data!$K$2:$K$781,Data!$H$2:$H$781,B64)</f>
        <v>0</v>
      </c>
      <c r="G64" s="69" t="n">
        <f aca="false">SUMIFS(Data!$L$782:$L$2370,Data!$H$782:$H$2370,B64)</f>
        <v>0</v>
      </c>
      <c r="H64" s="70" t="n">
        <f aca="false">SUMIFS(Data!$K$782:$K$2370,Data!$H$782:$H$2370,B64)</f>
        <v>0</v>
      </c>
      <c r="I64" s="69" t="n">
        <f aca="false">SUMIFS(Data!$L$2371:$L$3999,Data!$H$2371:$H$3999,B64)</f>
        <v>0</v>
      </c>
      <c r="J64" s="70" t="n">
        <f aca="false">SUMIFS(Data!$K$2371:$K$3999,Data!$H$2371:$H$3999,B64)</f>
        <v>7</v>
      </c>
      <c r="K64" s="69" t="n">
        <f aca="false">SUMIFS(Data!$M$2:$M$781,Data!$H$2:$H$781,B64)</f>
        <v>0</v>
      </c>
      <c r="L64" s="69" t="n">
        <f aca="false">SUMIFS(Data!$M$782:$M$2370,Data!$H$782:$H$2370,B64)</f>
        <v>0</v>
      </c>
      <c r="M64" s="69" t="n">
        <f aca="false">SUMIFS(Data!$M$2371:$M$3999,Data!$H$2371:$H$3999,B64)</f>
        <v>0</v>
      </c>
      <c r="N64" s="70" t="n">
        <f aca="false">SUMIFS(Data!$O$2:$O$781,Data!$H$2:$H$781,B64)</f>
        <v>0</v>
      </c>
      <c r="O64" s="70" t="n">
        <f aca="false">SUMIFS(Data!$N$2:$N$781,Data!$H$2:$H$781,B64)</f>
        <v>0</v>
      </c>
      <c r="P64" s="69" t="n">
        <f aca="false">SUMIFS(Data!$P$2:$P$781,Data!$H$2:$H$781,B64)</f>
        <v>0</v>
      </c>
      <c r="Q64" s="70" t="n">
        <f aca="false">SUMIFS(Data!$O$782:$O$2370,Data!$H$782:$H$2370,B64)</f>
        <v>0</v>
      </c>
      <c r="R64" s="70" t="n">
        <f aca="false">SUMIFS(Data!$N$782:$N$2370,Data!$H$782:$H$2370,B64)</f>
        <v>0</v>
      </c>
      <c r="S64" s="70" t="n">
        <f aca="false">SUMIFS(Data!$O$2371:$O$3999,Data!$H$2371:$H$3999,B64)</f>
        <v>0</v>
      </c>
      <c r="T64" s="70" t="n">
        <f aca="false">SUMIFS(Data!$N$2371:$N$3999,Data!$H$2371:$H$3999,B64)</f>
        <v>0</v>
      </c>
      <c r="U64" s="69" t="n">
        <f aca="false">SUMIFS(Data!$R$2:$R$781,Data!$H$2:$H$781,B64)</f>
        <v>0</v>
      </c>
      <c r="V64" s="71" t="n">
        <f aca="false">SUMIFS(Data!$Q$2:$Q$781,Data!$H$2:$H$781,B64)</f>
        <v>0</v>
      </c>
      <c r="W64" s="69" t="n">
        <f aca="false">SUMIFS(Data!$R$782:$R$2370,Data!$H$782:$H$2370,B64)</f>
        <v>11</v>
      </c>
      <c r="X64" s="70" t="n">
        <f aca="false">SUMIFS(Data!$Q$782:$Q$2370,Data!$H$782:$H$2370,B64)</f>
        <v>1</v>
      </c>
      <c r="Y64" s="69" t="n">
        <f aca="false">SUMIFS(Data!$R$2371:$R$3999,Data!$H$2371:$H$3999,B64)</f>
        <v>10</v>
      </c>
      <c r="Z64" s="70" t="n">
        <f aca="false">SUMIFS(Data!$Q$2371:$Q$3999,Data!$H$2371:$H$3999,B64)</f>
        <v>0</v>
      </c>
      <c r="AA64" s="68" t="n">
        <f aca="false">V64+U64+O64+N64+K64+F64+E64+P64</f>
        <v>0</v>
      </c>
      <c r="AB64" s="68" t="n">
        <f aca="false">X64+W64+T64+R64+Q64+L64+H64+G64</f>
        <v>12</v>
      </c>
      <c r="AC64" s="68" t="n">
        <f aca="false">Z64+Y64+T64+S64+M64+J64+I64</f>
        <v>17</v>
      </c>
    </row>
    <row r="65" customFormat="false" ht="23.25" hidden="false" customHeight="true" outlineLevel="0" collapsed="false">
      <c r="A65" s="31" t="n">
        <f aca="false">Data!AE64</f>
        <v>1002906</v>
      </c>
      <c r="B65" s="31" t="str">
        <f aca="false">Data!AD64</f>
        <v>امجاد الركن</v>
      </c>
      <c r="C65" s="31" t="n">
        <f aca="false">Data!AH64</f>
        <v>558376707</v>
      </c>
      <c r="D65" s="31" t="str">
        <f aca="false">Data!AF64</f>
        <v>تبوك</v>
      </c>
      <c r="E65" s="69" t="n">
        <f aca="false">SUMIFS(Data!$L$2:$L$781,Data!$H$2:$H$781,B65)</f>
        <v>0</v>
      </c>
      <c r="F65" s="70" t="n">
        <f aca="false">SUMIFS(Data!$K$2:$K$781,Data!$H$2:$H$781,B65)</f>
        <v>0</v>
      </c>
      <c r="G65" s="69" t="n">
        <f aca="false">SUMIFS(Data!$L$782:$L$2370,Data!$H$782:$H$2370,B65)</f>
        <v>0</v>
      </c>
      <c r="H65" s="70" t="n">
        <f aca="false">SUMIFS(Data!$K$782:$K$2370,Data!$H$782:$H$2370,B65)</f>
        <v>0</v>
      </c>
      <c r="I65" s="69" t="n">
        <f aca="false">SUMIFS(Data!$L$2371:$L$3999,Data!$H$2371:$H$3999,B65)</f>
        <v>0</v>
      </c>
      <c r="J65" s="70" t="n">
        <f aca="false">SUMIFS(Data!$K$2371:$K$3999,Data!$H$2371:$H$3999,B65)</f>
        <v>44</v>
      </c>
      <c r="K65" s="69" t="n">
        <f aca="false">SUMIFS(Data!$M$2:$M$781,Data!$H$2:$H$781,B65)</f>
        <v>0</v>
      </c>
      <c r="L65" s="69" t="n">
        <f aca="false">SUMIFS(Data!$M$782:$M$2370,Data!$H$782:$H$2370,B65)</f>
        <v>2</v>
      </c>
      <c r="M65" s="69" t="n">
        <f aca="false">SUMIFS(Data!$M$2371:$M$3999,Data!$H$2371:$H$3999,B65)</f>
        <v>29</v>
      </c>
      <c r="N65" s="70" t="n">
        <f aca="false">SUMIFS(Data!$O$2:$O$781,Data!$H$2:$H$781,B65)</f>
        <v>0</v>
      </c>
      <c r="O65" s="70" t="n">
        <f aca="false">SUMIFS(Data!$N$2:$N$781,Data!$H$2:$H$781,B65)</f>
        <v>0</v>
      </c>
      <c r="P65" s="69" t="n">
        <f aca="false">SUMIFS(Data!$P$2:$P$781,Data!$H$2:$H$781,B65)</f>
        <v>0</v>
      </c>
      <c r="Q65" s="70" t="n">
        <f aca="false">SUMIFS(Data!$O$782:$O$2370,Data!$H$782:$H$2370,B65)</f>
        <v>0</v>
      </c>
      <c r="R65" s="70" t="n">
        <f aca="false">SUMIFS(Data!$N$782:$N$2370,Data!$H$782:$H$2370,B65)</f>
        <v>0</v>
      </c>
      <c r="S65" s="70" t="n">
        <f aca="false">SUMIFS(Data!$O$2371:$O$3999,Data!$H$2371:$H$3999,B65)</f>
        <v>0</v>
      </c>
      <c r="T65" s="70" t="n">
        <f aca="false">SUMIFS(Data!$N$2371:$N$3999,Data!$H$2371:$H$3999,B65)</f>
        <v>2</v>
      </c>
      <c r="U65" s="69" t="n">
        <f aca="false">SUMIFS(Data!$R$2:$R$781,Data!$H$2:$H$781,B65)</f>
        <v>0</v>
      </c>
      <c r="V65" s="71" t="n">
        <f aca="false">SUMIFS(Data!$Q$2:$Q$781,Data!$H$2:$H$781,B65)</f>
        <v>0</v>
      </c>
      <c r="W65" s="69" t="n">
        <f aca="false">SUMIFS(Data!$R$782:$R$2370,Data!$H$782:$H$2370,B65)</f>
        <v>0</v>
      </c>
      <c r="X65" s="70" t="n">
        <f aca="false">SUMIFS(Data!$Q$782:$Q$2370,Data!$H$782:$H$2370,B65)</f>
        <v>0</v>
      </c>
      <c r="Y65" s="69" t="n">
        <f aca="false">SUMIFS(Data!$R$2371:$R$3999,Data!$H$2371:$H$3999,B65)</f>
        <v>1</v>
      </c>
      <c r="Z65" s="70" t="n">
        <f aca="false">SUMIFS(Data!$Q$2371:$Q$3999,Data!$H$2371:$H$3999,B65)</f>
        <v>1</v>
      </c>
      <c r="AA65" s="68" t="n">
        <f aca="false">V65+U65+O65+N65+K65+F65+E65+P65</f>
        <v>0</v>
      </c>
      <c r="AB65" s="68" t="n">
        <f aca="false">X65+W65+T65+R65+Q65+L65+H65+G65</f>
        <v>4</v>
      </c>
      <c r="AC65" s="68" t="n">
        <f aca="false">Z65+Y65+T65+S65+M65+J65+I65</f>
        <v>77</v>
      </c>
    </row>
    <row r="66" customFormat="false" ht="23.25" hidden="false" customHeight="true" outlineLevel="0" collapsed="false">
      <c r="A66" s="31" t="n">
        <f aca="false">Data!AE65</f>
        <v>1002919</v>
      </c>
      <c r="B66" s="31" t="str">
        <f aca="false">Data!AD65</f>
        <v>ثبات الجوده</v>
      </c>
      <c r="C66" s="31" t="n">
        <f aca="false">Data!AH65</f>
        <v>0</v>
      </c>
      <c r="D66" s="31" t="str">
        <f aca="false">Data!AF65</f>
        <v>تبوك</v>
      </c>
      <c r="E66" s="69" t="n">
        <f aca="false">SUMIFS(Data!$L$2:$L$781,Data!$H$2:$H$781,B66)</f>
        <v>0</v>
      </c>
      <c r="F66" s="70" t="n">
        <f aca="false">SUMIFS(Data!$K$2:$K$781,Data!$H$2:$H$781,B66)</f>
        <v>0</v>
      </c>
      <c r="G66" s="69" t="n">
        <f aca="false">SUMIFS(Data!$L$782:$L$2370,Data!$H$782:$H$2370,B66)</f>
        <v>0</v>
      </c>
      <c r="H66" s="70" t="n">
        <f aca="false">SUMIFS(Data!$K$782:$K$2370,Data!$H$782:$H$2370,B66)</f>
        <v>0</v>
      </c>
      <c r="I66" s="69" t="n">
        <f aca="false">SUMIFS(Data!$L$2371:$L$3999,Data!$H$2371:$H$3999,B66)</f>
        <v>0</v>
      </c>
      <c r="J66" s="70" t="n">
        <f aca="false">SUMIFS(Data!$K$2371:$K$3999,Data!$H$2371:$H$3999,B66)</f>
        <v>0</v>
      </c>
      <c r="K66" s="69" t="n">
        <f aca="false">SUMIFS(Data!$M$2:$M$781,Data!$H$2:$H$781,B66)</f>
        <v>0</v>
      </c>
      <c r="L66" s="69" t="n">
        <f aca="false">SUMIFS(Data!$M$782:$M$2370,Data!$H$782:$H$2370,B66)</f>
        <v>2</v>
      </c>
      <c r="M66" s="69" t="n">
        <f aca="false">SUMIFS(Data!$M$2371:$M$3999,Data!$H$2371:$H$3999,B66)</f>
        <v>14</v>
      </c>
      <c r="N66" s="70" t="n">
        <f aca="false">SUMIFS(Data!$O$2:$O$781,Data!$H$2:$H$781,B66)</f>
        <v>0</v>
      </c>
      <c r="O66" s="70" t="n">
        <f aca="false">SUMIFS(Data!$N$2:$N$781,Data!$H$2:$H$781,B66)</f>
        <v>0</v>
      </c>
      <c r="P66" s="69" t="n">
        <f aca="false">SUMIFS(Data!$P$2:$P$781,Data!$H$2:$H$781,B66)</f>
        <v>0</v>
      </c>
      <c r="Q66" s="70" t="n">
        <f aca="false">SUMIFS(Data!$O$782:$O$2370,Data!$H$782:$H$2370,B66)</f>
        <v>0</v>
      </c>
      <c r="R66" s="70" t="n">
        <f aca="false">SUMIFS(Data!$N$782:$N$2370,Data!$H$782:$H$2370,B66)</f>
        <v>0</v>
      </c>
      <c r="S66" s="70" t="n">
        <f aca="false">SUMIFS(Data!$O$2371:$O$3999,Data!$H$2371:$H$3999,B66)</f>
        <v>0</v>
      </c>
      <c r="T66" s="70" t="n">
        <f aca="false">SUMIFS(Data!$N$2371:$N$3999,Data!$H$2371:$H$3999,B66)</f>
        <v>3</v>
      </c>
      <c r="U66" s="69" t="n">
        <f aca="false">SUMIFS(Data!$R$2:$R$781,Data!$H$2:$H$781,B66)</f>
        <v>0</v>
      </c>
      <c r="V66" s="71" t="n">
        <f aca="false">SUMIFS(Data!$Q$2:$Q$781,Data!$H$2:$H$781,B66)</f>
        <v>0</v>
      </c>
      <c r="W66" s="69" t="n">
        <f aca="false">SUMIFS(Data!$R$782:$R$2370,Data!$H$782:$H$2370,B66)</f>
        <v>0</v>
      </c>
      <c r="X66" s="70" t="n">
        <f aca="false">SUMIFS(Data!$Q$782:$Q$2370,Data!$H$782:$H$2370,B66)</f>
        <v>0</v>
      </c>
      <c r="Y66" s="69" t="n">
        <f aca="false">SUMIFS(Data!$R$2371:$R$3999,Data!$H$2371:$H$3999,B66)</f>
        <v>0</v>
      </c>
      <c r="Z66" s="70" t="n">
        <f aca="false">SUMIFS(Data!$Q$2371:$Q$3999,Data!$H$2371:$H$3999,B66)</f>
        <v>0</v>
      </c>
      <c r="AA66" s="68" t="n">
        <f aca="false">V66+U66+O66+N66+K66+F66+E66+P66</f>
        <v>0</v>
      </c>
      <c r="AB66" s="68" t="n">
        <f aca="false">X66+W66+T66+R66+Q66+L66+H66+G66</f>
        <v>5</v>
      </c>
      <c r="AC66" s="68" t="n">
        <f aca="false">Z66+Y66+T66+S66+M66+J66+I66</f>
        <v>17</v>
      </c>
    </row>
    <row r="67" customFormat="false" ht="23.25" hidden="false" customHeight="true" outlineLevel="0" collapsed="false">
      <c r="A67" s="31" t="n">
        <f aca="false">Data!AE66</f>
        <v>1060</v>
      </c>
      <c r="B67" s="31" t="str">
        <f aca="false">Data!AD66</f>
        <v>الوليد طلال</v>
      </c>
      <c r="C67" s="31" t="n">
        <f aca="false">Data!AH66</f>
        <v>0</v>
      </c>
      <c r="D67" s="31" t="str">
        <f aca="false">Data!AF66</f>
        <v>تبوك</v>
      </c>
      <c r="E67" s="69" t="n">
        <f aca="false">SUMIFS(Data!$L$2:$L$781,Data!$H$2:$H$781,B67)</f>
        <v>0</v>
      </c>
      <c r="F67" s="70" t="n">
        <f aca="false">SUMIFS(Data!$K$2:$K$781,Data!$H$2:$H$781,B67)</f>
        <v>0</v>
      </c>
      <c r="G67" s="69" t="n">
        <f aca="false">SUMIFS(Data!$L$782:$L$2370,Data!$H$782:$H$2370,B67)</f>
        <v>0</v>
      </c>
      <c r="H67" s="70" t="n">
        <f aca="false">SUMIFS(Data!$K$782:$K$2370,Data!$H$782:$H$2370,B67)</f>
        <v>0</v>
      </c>
      <c r="I67" s="69" t="n">
        <f aca="false">SUMIFS(Data!$L$2371:$L$3999,Data!$H$2371:$H$3999,B67)</f>
        <v>0</v>
      </c>
      <c r="J67" s="70" t="n">
        <f aca="false">SUMIFS(Data!$K$2371:$K$3999,Data!$H$2371:$H$3999,B67)</f>
        <v>0</v>
      </c>
      <c r="K67" s="69" t="n">
        <f aca="false">SUMIFS(Data!$M$2:$M$781,Data!$H$2:$H$781,B67)</f>
        <v>0</v>
      </c>
      <c r="L67" s="69" t="n">
        <f aca="false">SUMIFS(Data!$M$782:$M$2370,Data!$H$782:$H$2370,B67)</f>
        <v>0</v>
      </c>
      <c r="M67" s="69" t="n">
        <f aca="false">SUMIFS(Data!$M$2371:$M$3999,Data!$H$2371:$H$3999,B67)</f>
        <v>0</v>
      </c>
      <c r="N67" s="70" t="n">
        <f aca="false">SUMIFS(Data!$O$2:$O$781,Data!$H$2:$H$781,B67)</f>
        <v>0</v>
      </c>
      <c r="O67" s="70" t="n">
        <f aca="false">SUMIFS(Data!$N$2:$N$781,Data!$H$2:$H$781,B67)</f>
        <v>0</v>
      </c>
      <c r="P67" s="69" t="n">
        <f aca="false">SUMIFS(Data!$P$2:$P$781,Data!$H$2:$H$781,B67)</f>
        <v>0</v>
      </c>
      <c r="Q67" s="70" t="n">
        <f aca="false">SUMIFS(Data!$O$782:$O$2370,Data!$H$782:$H$2370,B67)</f>
        <v>0</v>
      </c>
      <c r="R67" s="70" t="n">
        <f aca="false">SUMIFS(Data!$N$782:$N$2370,Data!$H$782:$H$2370,B67)</f>
        <v>3</v>
      </c>
      <c r="S67" s="70" t="n">
        <f aca="false">SUMIFS(Data!$O$2371:$O$3999,Data!$H$2371:$H$3999,B67)</f>
        <v>0</v>
      </c>
      <c r="T67" s="70" t="n">
        <f aca="false">SUMIFS(Data!$N$2371:$N$3999,Data!$H$2371:$H$3999,B67)</f>
        <v>0</v>
      </c>
      <c r="U67" s="69" t="n">
        <f aca="false">SUMIFS(Data!$R$2:$R$781,Data!$H$2:$H$781,B67)</f>
        <v>0</v>
      </c>
      <c r="V67" s="71" t="n">
        <f aca="false">SUMIFS(Data!$Q$2:$Q$781,Data!$H$2:$H$781,B67)</f>
        <v>0</v>
      </c>
      <c r="W67" s="69" t="n">
        <f aca="false">SUMIFS(Data!$R$782:$R$2370,Data!$H$782:$H$2370,B67)</f>
        <v>0</v>
      </c>
      <c r="X67" s="70" t="n">
        <f aca="false">SUMIFS(Data!$Q$782:$Q$2370,Data!$H$782:$H$2370,B67)</f>
        <v>0</v>
      </c>
      <c r="Y67" s="69" t="n">
        <f aca="false">SUMIFS(Data!$R$2371:$R$3999,Data!$H$2371:$H$3999,B67)</f>
        <v>0</v>
      </c>
      <c r="Z67" s="70" t="n">
        <f aca="false">SUMIFS(Data!$Q$2371:$Q$3999,Data!$H$2371:$H$3999,B67)</f>
        <v>0</v>
      </c>
      <c r="AA67" s="68" t="n">
        <f aca="false">V67+U67+O67+N67+K67+F67+E67+P67</f>
        <v>0</v>
      </c>
      <c r="AB67" s="68" t="n">
        <f aca="false">X67+W67+T67+R67+Q67+L67+H67+G67</f>
        <v>3</v>
      </c>
      <c r="AC67" s="68" t="n">
        <f aca="false">Z67+Y67+T67+S67+M67+J67+I67</f>
        <v>0</v>
      </c>
    </row>
    <row r="68" customFormat="false" ht="23.25" hidden="false" customHeight="true" outlineLevel="0" collapsed="false">
      <c r="A68" s="31" t="n">
        <f aca="false">Data!AE67</f>
        <v>855</v>
      </c>
      <c r="B68" s="31" t="str">
        <f aca="false">Data!AD67</f>
        <v>عالم الزيوت</v>
      </c>
      <c r="C68" s="31" t="n">
        <f aca="false">Data!AH67</f>
        <v>0</v>
      </c>
      <c r="D68" s="31" t="str">
        <f aca="false">Data!AF67</f>
        <v>تبوك</v>
      </c>
      <c r="E68" s="69" t="n">
        <f aca="false">SUMIFS(Data!$L$2:$L$781,Data!$H$2:$H$781,B68)</f>
        <v>0</v>
      </c>
      <c r="F68" s="70" t="n">
        <f aca="false">SUMIFS(Data!$K$2:$K$781,Data!$H$2:$H$781,B68)</f>
        <v>0</v>
      </c>
      <c r="G68" s="69" t="n">
        <f aca="false">SUMIFS(Data!$L$782:$L$2370,Data!$H$782:$H$2370,B68)</f>
        <v>0</v>
      </c>
      <c r="H68" s="70" t="n">
        <f aca="false">SUMIFS(Data!$K$782:$K$2370,Data!$H$782:$H$2370,B68)</f>
        <v>0</v>
      </c>
      <c r="I68" s="69" t="n">
        <f aca="false">SUMIFS(Data!$L$2371:$L$3999,Data!$H$2371:$H$3999,B68)</f>
        <v>121</v>
      </c>
      <c r="J68" s="70" t="n">
        <f aca="false">SUMIFS(Data!$K$2371:$K$3999,Data!$H$2371:$H$3999,B68)</f>
        <v>76</v>
      </c>
      <c r="K68" s="69" t="n">
        <f aca="false">SUMIFS(Data!$M$2:$M$781,Data!$H$2:$H$781,B68)</f>
        <v>0</v>
      </c>
      <c r="L68" s="69" t="n">
        <f aca="false">SUMIFS(Data!$M$782:$M$2370,Data!$H$782:$H$2370,B68)</f>
        <v>43</v>
      </c>
      <c r="M68" s="69" t="n">
        <f aca="false">SUMIFS(Data!$M$2371:$M$3999,Data!$H$2371:$H$3999,B68)</f>
        <v>93</v>
      </c>
      <c r="N68" s="70" t="n">
        <f aca="false">SUMIFS(Data!$O$2:$O$781,Data!$H$2:$H$781,B68)</f>
        <v>0</v>
      </c>
      <c r="O68" s="70" t="n">
        <f aca="false">SUMIFS(Data!$N$2:$N$781,Data!$H$2:$H$781,B68)</f>
        <v>0</v>
      </c>
      <c r="P68" s="69" t="n">
        <f aca="false">SUMIFS(Data!$P$2:$P$781,Data!$H$2:$H$781,B68)</f>
        <v>0</v>
      </c>
      <c r="Q68" s="70" t="n">
        <f aca="false">SUMIFS(Data!$O$782:$O$2370,Data!$H$782:$H$2370,B68)</f>
        <v>0</v>
      </c>
      <c r="R68" s="70" t="n">
        <f aca="false">SUMIFS(Data!$N$782:$N$2370,Data!$H$782:$H$2370,B68)</f>
        <v>0</v>
      </c>
      <c r="S68" s="70" t="n">
        <f aca="false">SUMIFS(Data!$O$2371:$O$3999,Data!$H$2371:$H$3999,B68)</f>
        <v>0</v>
      </c>
      <c r="T68" s="70" t="n">
        <f aca="false">SUMIFS(Data!$N$2371:$N$3999,Data!$H$2371:$H$3999,B68)</f>
        <v>0</v>
      </c>
      <c r="U68" s="69" t="n">
        <f aca="false">SUMIFS(Data!$R$2:$R$781,Data!$H$2:$H$781,B68)</f>
        <v>0</v>
      </c>
      <c r="V68" s="71" t="n">
        <f aca="false">SUMIFS(Data!$Q$2:$Q$781,Data!$H$2:$H$781,B68)</f>
        <v>0</v>
      </c>
      <c r="W68" s="69" t="n">
        <f aca="false">SUMIFS(Data!$R$782:$R$2370,Data!$H$782:$H$2370,B68)</f>
        <v>18</v>
      </c>
      <c r="X68" s="70" t="n">
        <f aca="false">SUMIFS(Data!$Q$782:$Q$2370,Data!$H$782:$H$2370,B68)</f>
        <v>3</v>
      </c>
      <c r="Y68" s="69" t="n">
        <f aca="false">SUMIFS(Data!$R$2371:$R$3999,Data!$H$2371:$H$3999,B68)</f>
        <v>35</v>
      </c>
      <c r="Z68" s="70" t="n">
        <f aca="false">SUMIFS(Data!$Q$2371:$Q$3999,Data!$H$2371:$H$3999,B68)</f>
        <v>12</v>
      </c>
      <c r="AA68" s="68" t="n">
        <f aca="false">V68+U68+O68+N68+K68+F68+E68+P68</f>
        <v>0</v>
      </c>
      <c r="AB68" s="68" t="n">
        <f aca="false">X68+W68+T68+R68+Q68+L68+H68+G68</f>
        <v>64</v>
      </c>
      <c r="AC68" s="68" t="n">
        <f aca="false">Z68+Y68+T68+S68+M68+J68+I68</f>
        <v>337</v>
      </c>
    </row>
    <row r="69" customFormat="false" ht="23.25" hidden="false" customHeight="true" outlineLevel="0" collapsed="false">
      <c r="A69" s="31" t="n">
        <f aca="false">Data!AE68</f>
        <v>1045</v>
      </c>
      <c r="B69" s="31" t="str">
        <f aca="false">Data!AD68</f>
        <v>الموتر للاطارات</v>
      </c>
      <c r="C69" s="31" t="n">
        <f aca="false">Data!AH68</f>
        <v>508498450</v>
      </c>
      <c r="D69" s="31" t="str">
        <f aca="false">Data!AF68</f>
        <v>تبوك</v>
      </c>
      <c r="E69" s="69" t="n">
        <f aca="false">SUMIFS(Data!$L$2:$L$781,Data!$H$2:$H$781,B69)</f>
        <v>0</v>
      </c>
      <c r="F69" s="70" t="n">
        <f aca="false">SUMIFS(Data!$K$2:$K$781,Data!$H$2:$H$781,B69)</f>
        <v>0</v>
      </c>
      <c r="G69" s="69" t="n">
        <f aca="false">SUMIFS(Data!$L$782:$L$2370,Data!$H$782:$H$2370,B69)</f>
        <v>0</v>
      </c>
      <c r="H69" s="70" t="n">
        <f aca="false">SUMIFS(Data!$K$782:$K$2370,Data!$H$782:$H$2370,B69)</f>
        <v>0</v>
      </c>
      <c r="I69" s="69" t="n">
        <f aca="false">SUMIFS(Data!$L$2371:$L$3999,Data!$H$2371:$H$3999,B69)</f>
        <v>0</v>
      </c>
      <c r="J69" s="70" t="n">
        <f aca="false">SUMIFS(Data!$K$2371:$K$3999,Data!$H$2371:$H$3999,B69)</f>
        <v>0</v>
      </c>
      <c r="K69" s="69" t="n">
        <f aca="false">SUMIFS(Data!$M$2:$M$781,Data!$H$2:$H$781,B69)</f>
        <v>0</v>
      </c>
      <c r="L69" s="69" t="n">
        <f aca="false">SUMIFS(Data!$M$782:$M$2370,Data!$H$782:$H$2370,B69)</f>
        <v>6</v>
      </c>
      <c r="M69" s="69" t="n">
        <f aca="false">SUMIFS(Data!$M$2371:$M$3999,Data!$H$2371:$H$3999,B69)</f>
        <v>7</v>
      </c>
      <c r="N69" s="70" t="n">
        <f aca="false">SUMIFS(Data!$O$2:$O$781,Data!$H$2:$H$781,B69)</f>
        <v>0</v>
      </c>
      <c r="O69" s="70" t="n">
        <f aca="false">SUMIFS(Data!$N$2:$N$781,Data!$H$2:$H$781,B69)</f>
        <v>0</v>
      </c>
      <c r="P69" s="69" t="n">
        <f aca="false">SUMIFS(Data!$P$2:$P$781,Data!$H$2:$H$781,B69)</f>
        <v>0</v>
      </c>
      <c r="Q69" s="70" t="n">
        <f aca="false">SUMIFS(Data!$O$782:$O$2370,Data!$H$782:$H$2370,B69)</f>
        <v>0</v>
      </c>
      <c r="R69" s="70" t="n">
        <f aca="false">SUMIFS(Data!$N$782:$N$2370,Data!$H$782:$H$2370,B69)</f>
        <v>0</v>
      </c>
      <c r="S69" s="70" t="n">
        <f aca="false">SUMIFS(Data!$O$2371:$O$3999,Data!$H$2371:$H$3999,B69)</f>
        <v>0</v>
      </c>
      <c r="T69" s="70" t="n">
        <f aca="false">SUMIFS(Data!$N$2371:$N$3999,Data!$H$2371:$H$3999,B69)</f>
        <v>0</v>
      </c>
      <c r="U69" s="69" t="n">
        <f aca="false">SUMIFS(Data!$R$2:$R$781,Data!$H$2:$H$781,B69)</f>
        <v>0</v>
      </c>
      <c r="V69" s="71" t="n">
        <f aca="false">SUMIFS(Data!$Q$2:$Q$781,Data!$H$2:$H$781,B69)</f>
        <v>0</v>
      </c>
      <c r="W69" s="69" t="n">
        <f aca="false">SUMIFS(Data!$R$782:$R$2370,Data!$H$782:$H$2370,B69)</f>
        <v>3</v>
      </c>
      <c r="X69" s="70" t="n">
        <f aca="false">SUMIFS(Data!$Q$782:$Q$2370,Data!$H$782:$H$2370,B69)</f>
        <v>0</v>
      </c>
      <c r="Y69" s="69" t="n">
        <f aca="false">SUMIFS(Data!$R$2371:$R$3999,Data!$H$2371:$H$3999,B69)</f>
        <v>3</v>
      </c>
      <c r="Z69" s="70" t="n">
        <f aca="false">SUMIFS(Data!$Q$2371:$Q$3999,Data!$H$2371:$H$3999,B69)</f>
        <v>0</v>
      </c>
      <c r="AA69" s="68" t="n">
        <f aca="false">V69+U69+O69+N69+K69+F69+E69+P69</f>
        <v>0</v>
      </c>
      <c r="AB69" s="68" t="n">
        <f aca="false">X69+W69+T69+R69+Q69+L69+H69+G69</f>
        <v>9</v>
      </c>
      <c r="AC69" s="68" t="n">
        <f aca="false">Z69+Y69+T69+S69+M69+J69+I69</f>
        <v>10</v>
      </c>
    </row>
    <row r="70" customFormat="false" ht="23.25" hidden="false" customHeight="true" outlineLevel="0" collapsed="false">
      <c r="A70" s="31" t="n">
        <f aca="false">Data!AE69</f>
        <v>1008272</v>
      </c>
      <c r="B70" s="31" t="str">
        <f aca="false">Data!AD69</f>
        <v>زهرة عدن</v>
      </c>
      <c r="C70" s="31" t="n">
        <f aca="false">Data!AH69</f>
        <v>506881730</v>
      </c>
      <c r="D70" s="31" t="str">
        <f aca="false">Data!AF69</f>
        <v>تبوك</v>
      </c>
      <c r="E70" s="69" t="n">
        <f aca="false">SUMIFS(Data!$L$2:$L$781,Data!$H$2:$H$781,B70)</f>
        <v>1</v>
      </c>
      <c r="F70" s="70" t="n">
        <f aca="false">SUMIFS(Data!$K$2:$K$781,Data!$H$2:$H$781,B70)</f>
        <v>7</v>
      </c>
      <c r="G70" s="69" t="n">
        <f aca="false">SUMIFS(Data!$L$782:$L$2370,Data!$H$782:$H$2370,B70)</f>
        <v>0</v>
      </c>
      <c r="H70" s="70" t="n">
        <f aca="false">SUMIFS(Data!$K$782:$K$2370,Data!$H$782:$H$2370,B70)</f>
        <v>24</v>
      </c>
      <c r="I70" s="69" t="n">
        <f aca="false">SUMIFS(Data!$L$2371:$L$3999,Data!$H$2371:$H$3999,B70)</f>
        <v>0</v>
      </c>
      <c r="J70" s="70" t="n">
        <f aca="false">SUMIFS(Data!$K$2371:$K$3999,Data!$H$2371:$H$3999,B70)</f>
        <v>4</v>
      </c>
      <c r="K70" s="69" t="n">
        <f aca="false">SUMIFS(Data!$M$2:$M$781,Data!$H$2:$H$781,B70)</f>
        <v>1</v>
      </c>
      <c r="L70" s="69" t="n">
        <f aca="false">SUMIFS(Data!$M$782:$M$2370,Data!$H$782:$H$2370,B70)</f>
        <v>2</v>
      </c>
      <c r="M70" s="69" t="n">
        <f aca="false">SUMIFS(Data!$M$2371:$M$3999,Data!$H$2371:$H$3999,B70)</f>
        <v>0</v>
      </c>
      <c r="N70" s="70" t="n">
        <f aca="false">SUMIFS(Data!$O$2:$O$781,Data!$H$2:$H$781,B70)</f>
        <v>0</v>
      </c>
      <c r="O70" s="70" t="n">
        <f aca="false">SUMIFS(Data!$N$2:$N$781,Data!$H$2:$H$781,B70)</f>
        <v>0</v>
      </c>
      <c r="P70" s="69" t="n">
        <f aca="false">SUMIFS(Data!$P$2:$P$781,Data!$H$2:$H$781,B70)</f>
        <v>0</v>
      </c>
      <c r="Q70" s="70" t="n">
        <f aca="false">SUMIFS(Data!$O$782:$O$2370,Data!$H$782:$H$2370,B70)</f>
        <v>0</v>
      </c>
      <c r="R70" s="70" t="n">
        <f aca="false">SUMIFS(Data!$N$782:$N$2370,Data!$H$782:$H$2370,B70)</f>
        <v>0</v>
      </c>
      <c r="S70" s="70" t="n">
        <f aca="false">SUMIFS(Data!$O$2371:$O$3999,Data!$H$2371:$H$3999,B70)</f>
        <v>1</v>
      </c>
      <c r="T70" s="70" t="n">
        <f aca="false">SUMIFS(Data!$N$2371:$N$3999,Data!$H$2371:$H$3999,B70)</f>
        <v>2</v>
      </c>
      <c r="U70" s="69" t="n">
        <f aca="false">SUMIFS(Data!$R$2:$R$781,Data!$H$2:$H$781,B70)</f>
        <v>0</v>
      </c>
      <c r="V70" s="71" t="n">
        <f aca="false">SUMIFS(Data!$Q$2:$Q$781,Data!$H$2:$H$781,B70)</f>
        <v>0</v>
      </c>
      <c r="W70" s="69" t="n">
        <f aca="false">SUMIFS(Data!$R$782:$R$2370,Data!$H$782:$H$2370,B70)</f>
        <v>1</v>
      </c>
      <c r="X70" s="70" t="n">
        <f aca="false">SUMIFS(Data!$Q$782:$Q$2370,Data!$H$782:$H$2370,B70)</f>
        <v>3</v>
      </c>
      <c r="Y70" s="69" t="n">
        <f aca="false">SUMIFS(Data!$R$2371:$R$3999,Data!$H$2371:$H$3999,B70)</f>
        <v>1</v>
      </c>
      <c r="Z70" s="70" t="n">
        <f aca="false">SUMIFS(Data!$Q$2371:$Q$3999,Data!$H$2371:$H$3999,B70)</f>
        <v>5</v>
      </c>
      <c r="AA70" s="68" t="n">
        <f aca="false">V70+U70+O70+N70+K70+F70+E70+P70</f>
        <v>9</v>
      </c>
      <c r="AB70" s="68" t="n">
        <f aca="false">X70+W70+T70+R70+Q70+L70+H70+G70</f>
        <v>32</v>
      </c>
      <c r="AC70" s="68" t="n">
        <f aca="false">Z70+Y70+T70+S70+M70+J70+I70</f>
        <v>13</v>
      </c>
    </row>
    <row r="71" customFormat="false" ht="23.25" hidden="false" customHeight="true" outlineLevel="0" collapsed="false">
      <c r="A71" s="31" t="n">
        <f aca="false">Data!AE70</f>
        <v>1008273</v>
      </c>
      <c r="B71" s="31" t="str">
        <f aca="false">Data!AD70</f>
        <v>الهلال الذهبي</v>
      </c>
      <c r="C71" s="31" t="n">
        <f aca="false">Data!AH70</f>
        <v>0</v>
      </c>
      <c r="D71" s="31" t="str">
        <f aca="false">Data!AF70</f>
        <v>تبوك</v>
      </c>
      <c r="E71" s="69" t="n">
        <f aca="false">SUMIFS(Data!$L$2:$L$781,Data!$H$2:$H$781,B71)</f>
        <v>1</v>
      </c>
      <c r="F71" s="70" t="n">
        <f aca="false">SUMIFS(Data!$K$2:$K$781,Data!$H$2:$H$781,B71)</f>
        <v>5</v>
      </c>
      <c r="G71" s="69" t="n">
        <f aca="false">SUMIFS(Data!$L$782:$L$2370,Data!$H$782:$H$2370,B71)</f>
        <v>0</v>
      </c>
      <c r="H71" s="70" t="n">
        <f aca="false">SUMIFS(Data!$K$782:$K$2370,Data!$H$782:$H$2370,B71)</f>
        <v>1</v>
      </c>
      <c r="I71" s="69" t="n">
        <f aca="false">SUMIFS(Data!$L$2371:$L$3999,Data!$H$2371:$H$3999,B71)</f>
        <v>0</v>
      </c>
      <c r="J71" s="70" t="n">
        <f aca="false">SUMIFS(Data!$K$2371:$K$3999,Data!$H$2371:$H$3999,B71)</f>
        <v>0</v>
      </c>
      <c r="K71" s="69" t="n">
        <f aca="false">SUMIFS(Data!$M$2:$M$781,Data!$H$2:$H$781,B71)</f>
        <v>0</v>
      </c>
      <c r="L71" s="69" t="n">
        <f aca="false">SUMIFS(Data!$M$782:$M$2370,Data!$H$782:$H$2370,B71)</f>
        <v>0</v>
      </c>
      <c r="M71" s="69" t="n">
        <f aca="false">SUMIFS(Data!$M$2371:$M$3999,Data!$H$2371:$H$3999,B71)</f>
        <v>1</v>
      </c>
      <c r="N71" s="70" t="n">
        <f aca="false">SUMIFS(Data!$O$2:$O$781,Data!$H$2:$H$781,B71)</f>
        <v>4</v>
      </c>
      <c r="O71" s="70" t="n">
        <f aca="false">SUMIFS(Data!$N$2:$N$781,Data!$H$2:$H$781,B71)</f>
        <v>2</v>
      </c>
      <c r="P71" s="69" t="n">
        <f aca="false">SUMIFS(Data!$P$2:$P$781,Data!$H$2:$H$781,B71)</f>
        <v>0</v>
      </c>
      <c r="Q71" s="70" t="n">
        <f aca="false">SUMIFS(Data!$O$782:$O$2370,Data!$H$782:$H$2370,B71)</f>
        <v>0</v>
      </c>
      <c r="R71" s="70" t="n">
        <f aca="false">SUMIFS(Data!$N$782:$N$2370,Data!$H$782:$H$2370,B71)</f>
        <v>0</v>
      </c>
      <c r="S71" s="70" t="n">
        <f aca="false">SUMIFS(Data!$O$2371:$O$3999,Data!$H$2371:$H$3999,B71)</f>
        <v>0</v>
      </c>
      <c r="T71" s="70" t="n">
        <f aca="false">SUMIFS(Data!$N$2371:$N$3999,Data!$H$2371:$H$3999,B71)</f>
        <v>0</v>
      </c>
      <c r="U71" s="69" t="n">
        <f aca="false">SUMIFS(Data!$R$2:$R$781,Data!$H$2:$H$781,B71)</f>
        <v>2</v>
      </c>
      <c r="V71" s="71" t="n">
        <f aca="false">SUMIFS(Data!$Q$2:$Q$781,Data!$H$2:$H$781,B71)</f>
        <v>2</v>
      </c>
      <c r="W71" s="69" t="n">
        <f aca="false">SUMIFS(Data!$R$782:$R$2370,Data!$H$782:$H$2370,B71)</f>
        <v>3</v>
      </c>
      <c r="X71" s="70" t="n">
        <f aca="false">SUMIFS(Data!$Q$782:$Q$2370,Data!$H$782:$H$2370,B71)</f>
        <v>0</v>
      </c>
      <c r="Y71" s="69" t="n">
        <f aca="false">SUMIFS(Data!$R$2371:$R$3999,Data!$H$2371:$H$3999,B71)</f>
        <v>0</v>
      </c>
      <c r="Z71" s="70" t="n">
        <f aca="false">SUMIFS(Data!$Q$2371:$Q$3999,Data!$H$2371:$H$3999,B71)</f>
        <v>0</v>
      </c>
      <c r="AA71" s="68" t="n">
        <f aca="false">V71+U71+O71+N71+K71+F71+E71+P71</f>
        <v>16</v>
      </c>
      <c r="AB71" s="68" t="n">
        <f aca="false">X71+W71+T71+R71+Q71+L71+H71+G71</f>
        <v>4</v>
      </c>
      <c r="AC71" s="68" t="n">
        <f aca="false">Z71+Y71+T71+S71+M71+J71+I71</f>
        <v>1</v>
      </c>
    </row>
    <row r="72" customFormat="false" ht="23.25" hidden="false" customHeight="true" outlineLevel="0" collapsed="false">
      <c r="A72" s="31" t="n">
        <f aca="false">Data!AE71</f>
        <v>1008276</v>
      </c>
      <c r="B72" s="31" t="str">
        <f aca="false">Data!AD71</f>
        <v>مرعي الصيعري</v>
      </c>
      <c r="C72" s="31" t="n">
        <f aca="false">Data!AH71</f>
        <v>0</v>
      </c>
      <c r="D72" s="31" t="str">
        <f aca="false">Data!AF71</f>
        <v>تبوك</v>
      </c>
      <c r="E72" s="69" t="n">
        <f aca="false">SUMIFS(Data!$L$2:$L$781,Data!$H$2:$H$781,B72)</f>
        <v>1</v>
      </c>
      <c r="F72" s="70" t="n">
        <f aca="false">SUMIFS(Data!$K$2:$K$781,Data!$H$2:$H$781,B72)</f>
        <v>4</v>
      </c>
      <c r="G72" s="69" t="n">
        <f aca="false">SUMIFS(Data!$L$782:$L$2370,Data!$H$782:$H$2370,B72)</f>
        <v>0</v>
      </c>
      <c r="H72" s="70" t="n">
        <f aca="false">SUMIFS(Data!$K$782:$K$2370,Data!$H$782:$H$2370,B72)</f>
        <v>5</v>
      </c>
      <c r="I72" s="69" t="n">
        <f aca="false">SUMIFS(Data!$L$2371:$L$3999,Data!$H$2371:$H$3999,B72)</f>
        <v>0</v>
      </c>
      <c r="J72" s="70" t="n">
        <f aca="false">SUMIFS(Data!$K$2371:$K$3999,Data!$H$2371:$H$3999,B72)</f>
        <v>8</v>
      </c>
      <c r="K72" s="69" t="n">
        <f aca="false">SUMIFS(Data!$M$2:$M$781,Data!$H$2:$H$781,B72)</f>
        <v>0</v>
      </c>
      <c r="L72" s="69" t="n">
        <f aca="false">SUMIFS(Data!$M$782:$M$2370,Data!$H$782:$H$2370,B72)</f>
        <v>0</v>
      </c>
      <c r="M72" s="69" t="n">
        <f aca="false">SUMIFS(Data!$M$2371:$M$3999,Data!$H$2371:$H$3999,B72)</f>
        <v>7</v>
      </c>
      <c r="N72" s="70" t="n">
        <f aca="false">SUMIFS(Data!$O$2:$O$781,Data!$H$2:$H$781,B72)</f>
        <v>0</v>
      </c>
      <c r="O72" s="70" t="n">
        <f aca="false">SUMIFS(Data!$N$2:$N$781,Data!$H$2:$H$781,B72)</f>
        <v>0</v>
      </c>
      <c r="P72" s="69" t="n">
        <f aca="false">SUMIFS(Data!$P$2:$P$781,Data!$H$2:$H$781,B72)</f>
        <v>0</v>
      </c>
      <c r="Q72" s="70" t="n">
        <f aca="false">SUMIFS(Data!$O$782:$O$2370,Data!$H$782:$H$2370,B72)</f>
        <v>0</v>
      </c>
      <c r="R72" s="70" t="n">
        <f aca="false">SUMIFS(Data!$N$782:$N$2370,Data!$H$782:$H$2370,B72)</f>
        <v>21</v>
      </c>
      <c r="S72" s="70" t="n">
        <f aca="false">SUMIFS(Data!$O$2371:$O$3999,Data!$H$2371:$H$3999,B72)</f>
        <v>1</v>
      </c>
      <c r="T72" s="70" t="n">
        <f aca="false">SUMIFS(Data!$N$2371:$N$3999,Data!$H$2371:$H$3999,B72)</f>
        <v>6</v>
      </c>
      <c r="U72" s="69" t="n">
        <f aca="false">SUMIFS(Data!$R$2:$R$781,Data!$H$2:$H$781,B72)</f>
        <v>0</v>
      </c>
      <c r="V72" s="71" t="n">
        <f aca="false">SUMIFS(Data!$Q$2:$Q$781,Data!$H$2:$H$781,B72)</f>
        <v>0</v>
      </c>
      <c r="W72" s="69" t="n">
        <f aca="false">SUMIFS(Data!$R$782:$R$2370,Data!$H$782:$H$2370,B72)</f>
        <v>0</v>
      </c>
      <c r="X72" s="70" t="n">
        <f aca="false">SUMIFS(Data!$Q$782:$Q$2370,Data!$H$782:$H$2370,B72)</f>
        <v>0</v>
      </c>
      <c r="Y72" s="69" t="n">
        <f aca="false">SUMIFS(Data!$R$2371:$R$3999,Data!$H$2371:$H$3999,B72)</f>
        <v>0</v>
      </c>
      <c r="Z72" s="70" t="n">
        <f aca="false">SUMIFS(Data!$Q$2371:$Q$3999,Data!$H$2371:$H$3999,B72)</f>
        <v>1</v>
      </c>
      <c r="AA72" s="68" t="n">
        <f aca="false">V72+U72+O72+N72+K72+F72+E72+P72</f>
        <v>5</v>
      </c>
      <c r="AB72" s="68" t="n">
        <f aca="false">X72+W72+T72+R72+Q72+L72+H72+G72</f>
        <v>32</v>
      </c>
      <c r="AC72" s="68" t="n">
        <f aca="false">Z72+Y72+T72+S72+M72+J72+I72</f>
        <v>23</v>
      </c>
    </row>
    <row r="73" customFormat="false" ht="23.25" hidden="false" customHeight="true" outlineLevel="0" collapsed="false">
      <c r="A73" s="31" t="n">
        <f aca="false">Data!AE72</f>
        <v>1008265</v>
      </c>
      <c r="B73" s="31" t="str">
        <f aca="false">Data!AD72</f>
        <v>ايمان خلف</v>
      </c>
      <c r="C73" s="31" t="n">
        <f aca="false">Data!AH72</f>
        <v>0</v>
      </c>
      <c r="D73" s="31" t="str">
        <f aca="false">Data!AF72</f>
        <v>تبوك</v>
      </c>
      <c r="E73" s="69" t="n">
        <f aca="false">SUMIFS(Data!$L$2:$L$781,Data!$H$2:$H$781,B73)</f>
        <v>1</v>
      </c>
      <c r="F73" s="70" t="n">
        <f aca="false">SUMIFS(Data!$K$2:$K$781,Data!$H$2:$H$781,B73)</f>
        <v>4</v>
      </c>
      <c r="G73" s="69" t="n">
        <f aca="false">SUMIFS(Data!$L$782:$L$2370,Data!$H$782:$H$2370,B73)</f>
        <v>0</v>
      </c>
      <c r="H73" s="70" t="n">
        <f aca="false">SUMIFS(Data!$K$782:$K$2370,Data!$H$782:$H$2370,B73)</f>
        <v>10</v>
      </c>
      <c r="I73" s="69" t="n">
        <f aca="false">SUMIFS(Data!$L$2371:$L$3999,Data!$H$2371:$H$3999,B73)</f>
        <v>0</v>
      </c>
      <c r="J73" s="70" t="n">
        <f aca="false">SUMIFS(Data!$K$2371:$K$3999,Data!$H$2371:$H$3999,B73)</f>
        <v>4</v>
      </c>
      <c r="K73" s="69" t="n">
        <f aca="false">SUMIFS(Data!$M$2:$M$781,Data!$H$2:$H$781,B73)</f>
        <v>0</v>
      </c>
      <c r="L73" s="69" t="n">
        <f aca="false">SUMIFS(Data!$M$782:$M$2370,Data!$H$782:$H$2370,B73)</f>
        <v>0</v>
      </c>
      <c r="M73" s="69" t="n">
        <f aca="false">SUMIFS(Data!$M$2371:$M$3999,Data!$H$2371:$H$3999,B73)</f>
        <v>0</v>
      </c>
      <c r="N73" s="70" t="n">
        <f aca="false">SUMIFS(Data!$O$2:$O$781,Data!$H$2:$H$781,B73)</f>
        <v>0</v>
      </c>
      <c r="O73" s="70" t="n">
        <f aca="false">SUMIFS(Data!$N$2:$N$781,Data!$H$2:$H$781,B73)</f>
        <v>0</v>
      </c>
      <c r="P73" s="69" t="n">
        <f aca="false">SUMIFS(Data!$P$2:$P$781,Data!$H$2:$H$781,B73)</f>
        <v>0</v>
      </c>
      <c r="Q73" s="70" t="n">
        <f aca="false">SUMIFS(Data!$O$782:$O$2370,Data!$H$782:$H$2370,B73)</f>
        <v>0</v>
      </c>
      <c r="R73" s="70" t="n">
        <f aca="false">SUMIFS(Data!$N$782:$N$2370,Data!$H$782:$H$2370,B73)</f>
        <v>0</v>
      </c>
      <c r="S73" s="70" t="n">
        <f aca="false">SUMIFS(Data!$O$2371:$O$3999,Data!$H$2371:$H$3999,B73)</f>
        <v>0</v>
      </c>
      <c r="T73" s="70" t="n">
        <f aca="false">SUMIFS(Data!$N$2371:$N$3999,Data!$H$2371:$H$3999,B73)</f>
        <v>0</v>
      </c>
      <c r="U73" s="69" t="n">
        <f aca="false">SUMIFS(Data!$R$2:$R$781,Data!$H$2:$H$781,B73)</f>
        <v>0</v>
      </c>
      <c r="V73" s="71" t="n">
        <f aca="false">SUMIFS(Data!$Q$2:$Q$781,Data!$H$2:$H$781,B73)</f>
        <v>0</v>
      </c>
      <c r="W73" s="69" t="n">
        <f aca="false">SUMIFS(Data!$R$782:$R$2370,Data!$H$782:$H$2370,B73)</f>
        <v>0</v>
      </c>
      <c r="X73" s="70" t="n">
        <f aca="false">SUMIFS(Data!$Q$782:$Q$2370,Data!$H$782:$H$2370,B73)</f>
        <v>0</v>
      </c>
      <c r="Y73" s="69" t="n">
        <f aca="false">SUMIFS(Data!$R$2371:$R$3999,Data!$H$2371:$H$3999,B73)</f>
        <v>1</v>
      </c>
      <c r="Z73" s="70" t="n">
        <f aca="false">SUMIFS(Data!$Q$2371:$Q$3999,Data!$H$2371:$H$3999,B73)</f>
        <v>0</v>
      </c>
      <c r="AA73" s="68" t="n">
        <f aca="false">V73+U73+O73+N73+K73+F73+E73+P73</f>
        <v>5</v>
      </c>
      <c r="AB73" s="68" t="n">
        <f aca="false">X73+W73+T73+R73+Q73+L73+H73+G73</f>
        <v>10</v>
      </c>
      <c r="AC73" s="68" t="n">
        <f aca="false">Z73+Y73+T73+S73+M73+J73+I73</f>
        <v>5</v>
      </c>
    </row>
    <row r="74" customFormat="false" ht="23.25" hidden="false" customHeight="true" outlineLevel="0" collapsed="false">
      <c r="A74" s="31" t="n">
        <f aca="false">Data!AE73</f>
        <v>1008274</v>
      </c>
      <c r="B74" s="31" t="str">
        <f aca="false">Data!AD73</f>
        <v>دروب الحياه</v>
      </c>
      <c r="C74" s="31" t="n">
        <f aca="false">Data!AH73</f>
        <v>500548269</v>
      </c>
      <c r="D74" s="31" t="str">
        <f aca="false">Data!AF73</f>
        <v>تبوك</v>
      </c>
      <c r="E74" s="69" t="n">
        <f aca="false">SUMIFS(Data!$L$2:$L$781,Data!$H$2:$H$781,B74)</f>
        <v>1</v>
      </c>
      <c r="F74" s="70" t="n">
        <f aca="false">SUMIFS(Data!$K$2:$K$781,Data!$H$2:$H$781,B74)</f>
        <v>4</v>
      </c>
      <c r="G74" s="69" t="n">
        <f aca="false">SUMIFS(Data!$L$782:$L$2370,Data!$H$782:$H$2370,B74)</f>
        <v>1</v>
      </c>
      <c r="H74" s="70" t="n">
        <f aca="false">SUMIFS(Data!$K$782:$K$2370,Data!$H$782:$H$2370,B74)</f>
        <v>6</v>
      </c>
      <c r="I74" s="69" t="n">
        <f aca="false">SUMIFS(Data!$L$2371:$L$3999,Data!$H$2371:$H$3999,B74)</f>
        <v>0</v>
      </c>
      <c r="J74" s="70" t="n">
        <f aca="false">SUMIFS(Data!$K$2371:$K$3999,Data!$H$2371:$H$3999,B74)</f>
        <v>0</v>
      </c>
      <c r="K74" s="69" t="n">
        <f aca="false">SUMIFS(Data!$M$2:$M$781,Data!$H$2:$H$781,B74)</f>
        <v>1</v>
      </c>
      <c r="L74" s="69" t="n">
        <f aca="false">SUMIFS(Data!$M$782:$M$2370,Data!$H$782:$H$2370,B74)</f>
        <v>2</v>
      </c>
      <c r="M74" s="69" t="n">
        <f aca="false">SUMIFS(Data!$M$2371:$M$3999,Data!$H$2371:$H$3999,B74)</f>
        <v>0</v>
      </c>
      <c r="N74" s="70" t="n">
        <f aca="false">SUMIFS(Data!$O$2:$O$781,Data!$H$2:$H$781,B74)</f>
        <v>0</v>
      </c>
      <c r="O74" s="70" t="n">
        <f aca="false">SUMIFS(Data!$N$2:$N$781,Data!$H$2:$H$781,B74)</f>
        <v>0</v>
      </c>
      <c r="P74" s="69" t="n">
        <f aca="false">SUMIFS(Data!$P$2:$P$781,Data!$H$2:$H$781,B74)</f>
        <v>0</v>
      </c>
      <c r="Q74" s="70" t="n">
        <f aca="false">SUMIFS(Data!$O$782:$O$2370,Data!$H$782:$H$2370,B74)</f>
        <v>0</v>
      </c>
      <c r="R74" s="70" t="n">
        <f aca="false">SUMIFS(Data!$N$782:$N$2370,Data!$H$782:$H$2370,B74)</f>
        <v>0</v>
      </c>
      <c r="S74" s="70" t="n">
        <f aca="false">SUMIFS(Data!$O$2371:$O$3999,Data!$H$2371:$H$3999,B74)</f>
        <v>0</v>
      </c>
      <c r="T74" s="70" t="n">
        <f aca="false">SUMIFS(Data!$N$2371:$N$3999,Data!$H$2371:$H$3999,B74)</f>
        <v>0</v>
      </c>
      <c r="U74" s="69" t="n">
        <f aca="false">SUMIFS(Data!$R$2:$R$781,Data!$H$2:$H$781,B74)</f>
        <v>0</v>
      </c>
      <c r="V74" s="71" t="n">
        <f aca="false">SUMIFS(Data!$Q$2:$Q$781,Data!$H$2:$H$781,B74)</f>
        <v>1</v>
      </c>
      <c r="W74" s="69" t="n">
        <f aca="false">SUMIFS(Data!$R$782:$R$2370,Data!$H$782:$H$2370,B74)</f>
        <v>1</v>
      </c>
      <c r="X74" s="70" t="n">
        <f aca="false">SUMIFS(Data!$Q$782:$Q$2370,Data!$H$782:$H$2370,B74)</f>
        <v>8</v>
      </c>
      <c r="Y74" s="69" t="n">
        <f aca="false">SUMIFS(Data!$R$2371:$R$3999,Data!$H$2371:$H$3999,B74)</f>
        <v>0</v>
      </c>
      <c r="Z74" s="70" t="n">
        <f aca="false">SUMIFS(Data!$Q$2371:$Q$3999,Data!$H$2371:$H$3999,B74)</f>
        <v>4</v>
      </c>
      <c r="AA74" s="68" t="n">
        <f aca="false">V74+U74+O74+N74+K74+F74+E74+P74</f>
        <v>7</v>
      </c>
      <c r="AB74" s="68" t="n">
        <f aca="false">X74+W74+T74+R74+Q74+L74+H74+G74</f>
        <v>18</v>
      </c>
      <c r="AC74" s="68" t="n">
        <f aca="false">Z74+Y74+T74+S74+M74+J74+I74</f>
        <v>4</v>
      </c>
    </row>
    <row r="75" customFormat="false" ht="23.25" hidden="false" customHeight="true" outlineLevel="0" collapsed="false">
      <c r="A75" s="31" t="n">
        <f aca="false">Data!AE74</f>
        <v>1006466</v>
      </c>
      <c r="B75" s="31" t="str">
        <f aca="false">Data!AD74</f>
        <v>شباب الابداع</v>
      </c>
      <c r="C75" s="31" t="n">
        <f aca="false">Data!AH74</f>
        <v>506098012</v>
      </c>
      <c r="D75" s="31" t="str">
        <f aca="false">Data!AF74</f>
        <v>تبوك</v>
      </c>
      <c r="E75" s="69" t="n">
        <f aca="false">SUMIFS(Data!$L$2:$L$781,Data!$H$2:$H$781,B75)</f>
        <v>0</v>
      </c>
      <c r="F75" s="70" t="n">
        <f aca="false">SUMIFS(Data!$K$2:$K$781,Data!$H$2:$H$781,B75)</f>
        <v>0</v>
      </c>
      <c r="G75" s="69" t="n">
        <f aca="false">SUMIFS(Data!$L$782:$L$2370,Data!$H$782:$H$2370,B75)</f>
        <v>0</v>
      </c>
      <c r="H75" s="70" t="n">
        <f aca="false">SUMIFS(Data!$K$782:$K$2370,Data!$H$782:$H$2370,B75)</f>
        <v>3</v>
      </c>
      <c r="I75" s="69" t="n">
        <f aca="false">SUMIFS(Data!$L$2371:$L$3999,Data!$H$2371:$H$3999,B75)</f>
        <v>0</v>
      </c>
      <c r="J75" s="70" t="n">
        <f aca="false">SUMIFS(Data!$K$2371:$K$3999,Data!$H$2371:$H$3999,B75)</f>
        <v>8</v>
      </c>
      <c r="K75" s="69" t="n">
        <f aca="false">SUMIFS(Data!$M$2:$M$781,Data!$H$2:$H$781,B75)</f>
        <v>0</v>
      </c>
      <c r="L75" s="69" t="n">
        <f aca="false">SUMIFS(Data!$M$782:$M$2370,Data!$H$782:$H$2370,B75)</f>
        <v>0</v>
      </c>
      <c r="M75" s="69" t="n">
        <f aca="false">SUMIFS(Data!$M$2371:$M$3999,Data!$H$2371:$H$3999,B75)</f>
        <v>1</v>
      </c>
      <c r="N75" s="70" t="n">
        <f aca="false">SUMIFS(Data!$O$2:$O$781,Data!$H$2:$H$781,B75)</f>
        <v>0</v>
      </c>
      <c r="O75" s="70" t="n">
        <f aca="false">SUMIFS(Data!$N$2:$N$781,Data!$H$2:$H$781,B75)</f>
        <v>0</v>
      </c>
      <c r="P75" s="69" t="n">
        <f aca="false">SUMIFS(Data!$P$2:$P$781,Data!$H$2:$H$781,B75)</f>
        <v>0</v>
      </c>
      <c r="Q75" s="70" t="n">
        <f aca="false">SUMIFS(Data!$O$782:$O$2370,Data!$H$782:$H$2370,B75)</f>
        <v>0</v>
      </c>
      <c r="R75" s="70" t="n">
        <f aca="false">SUMIFS(Data!$N$782:$N$2370,Data!$H$782:$H$2370,B75)</f>
        <v>0</v>
      </c>
      <c r="S75" s="70" t="n">
        <f aca="false">SUMIFS(Data!$O$2371:$O$3999,Data!$H$2371:$H$3999,B75)</f>
        <v>0</v>
      </c>
      <c r="T75" s="70" t="n">
        <f aca="false">SUMIFS(Data!$N$2371:$N$3999,Data!$H$2371:$H$3999,B75)</f>
        <v>0</v>
      </c>
      <c r="U75" s="69" t="n">
        <f aca="false">SUMIFS(Data!$R$2:$R$781,Data!$H$2:$H$781,B75)</f>
        <v>0</v>
      </c>
      <c r="V75" s="71" t="n">
        <f aca="false">SUMIFS(Data!$Q$2:$Q$781,Data!$H$2:$H$781,B75)</f>
        <v>0</v>
      </c>
      <c r="W75" s="69" t="n">
        <f aca="false">SUMIFS(Data!$R$782:$R$2370,Data!$H$782:$H$2370,B75)</f>
        <v>0</v>
      </c>
      <c r="X75" s="70" t="n">
        <f aca="false">SUMIFS(Data!$Q$782:$Q$2370,Data!$H$782:$H$2370,B75)</f>
        <v>1</v>
      </c>
      <c r="Y75" s="69" t="n">
        <f aca="false">SUMIFS(Data!$R$2371:$R$3999,Data!$H$2371:$H$3999,B75)</f>
        <v>1</v>
      </c>
      <c r="Z75" s="70" t="n">
        <f aca="false">SUMIFS(Data!$Q$2371:$Q$3999,Data!$H$2371:$H$3999,B75)</f>
        <v>0</v>
      </c>
      <c r="AA75" s="68" t="n">
        <f aca="false">V75+U75+O75+N75+K75+F75+E75+P75</f>
        <v>0</v>
      </c>
      <c r="AB75" s="68" t="n">
        <f aca="false">X75+W75+T75+R75+Q75+L75+H75+G75</f>
        <v>4</v>
      </c>
      <c r="AC75" s="68" t="n">
        <f aca="false">Z75+Y75+T75+S75+M75+J75+I75</f>
        <v>10</v>
      </c>
    </row>
    <row r="76" customFormat="false" ht="23.25" hidden="false" customHeight="true" outlineLevel="0" collapsed="false">
      <c r="A76" s="31" t="n">
        <f aca="false">Data!AE75</f>
        <v>1002928</v>
      </c>
      <c r="B76" s="31" t="str">
        <f aca="false">Data!AD75</f>
        <v>الشموخ</v>
      </c>
      <c r="C76" s="31" t="n">
        <f aca="false">Data!AH75</f>
        <v>0</v>
      </c>
      <c r="D76" s="31" t="str">
        <f aca="false">Data!AF75</f>
        <v>تبوك</v>
      </c>
      <c r="E76" s="69" t="n">
        <f aca="false">SUMIFS(Data!$L$2:$L$781,Data!$H$2:$H$781,B76)</f>
        <v>0</v>
      </c>
      <c r="F76" s="70" t="n">
        <f aca="false">SUMIFS(Data!$K$2:$K$781,Data!$H$2:$H$781,B76)</f>
        <v>0</v>
      </c>
      <c r="G76" s="69" t="n">
        <f aca="false">SUMIFS(Data!$L$782:$L$2370,Data!$H$782:$H$2370,B76)</f>
        <v>0</v>
      </c>
      <c r="H76" s="70" t="n">
        <f aca="false">SUMIFS(Data!$K$782:$K$2370,Data!$H$782:$H$2370,B76)</f>
        <v>0</v>
      </c>
      <c r="I76" s="69" t="n">
        <f aca="false">SUMIFS(Data!$L$2371:$L$3999,Data!$H$2371:$H$3999,B76)</f>
        <v>0</v>
      </c>
      <c r="J76" s="70" t="n">
        <f aca="false">SUMIFS(Data!$K$2371:$K$3999,Data!$H$2371:$H$3999,B76)</f>
        <v>0</v>
      </c>
      <c r="K76" s="69" t="n">
        <f aca="false">SUMIFS(Data!$M$2:$M$781,Data!$H$2:$H$781,B76)</f>
        <v>0</v>
      </c>
      <c r="L76" s="69" t="n">
        <f aca="false">SUMIFS(Data!$M$782:$M$2370,Data!$H$782:$H$2370,B76)</f>
        <v>0</v>
      </c>
      <c r="M76" s="69" t="n">
        <f aca="false">SUMIFS(Data!$M$2371:$M$3999,Data!$H$2371:$H$3999,B76)</f>
        <v>0</v>
      </c>
      <c r="N76" s="70" t="n">
        <f aca="false">SUMIFS(Data!$O$2:$O$781,Data!$H$2:$H$781,B76)</f>
        <v>0</v>
      </c>
      <c r="O76" s="70" t="n">
        <f aca="false">SUMIFS(Data!$N$2:$N$781,Data!$H$2:$H$781,B76)</f>
        <v>0</v>
      </c>
      <c r="P76" s="69" t="n">
        <f aca="false">SUMIFS(Data!$P$2:$P$781,Data!$H$2:$H$781,B76)</f>
        <v>0</v>
      </c>
      <c r="Q76" s="70" t="n">
        <f aca="false">SUMIFS(Data!$O$782:$O$2370,Data!$H$782:$H$2370,B76)</f>
        <v>0</v>
      </c>
      <c r="R76" s="70" t="n">
        <f aca="false">SUMIFS(Data!$N$782:$N$2370,Data!$H$782:$H$2370,B76)</f>
        <v>0</v>
      </c>
      <c r="S76" s="70" t="n">
        <f aca="false">SUMIFS(Data!$O$2371:$O$3999,Data!$H$2371:$H$3999,B76)</f>
        <v>0</v>
      </c>
      <c r="T76" s="70" t="n">
        <f aca="false">SUMIFS(Data!$N$2371:$N$3999,Data!$H$2371:$H$3999,B76)</f>
        <v>0</v>
      </c>
      <c r="U76" s="69" t="n">
        <f aca="false">SUMIFS(Data!$R$2:$R$781,Data!$H$2:$H$781,B76)</f>
        <v>0</v>
      </c>
      <c r="V76" s="71" t="n">
        <f aca="false">SUMIFS(Data!$Q$2:$Q$781,Data!$H$2:$H$781,B76)</f>
        <v>0</v>
      </c>
      <c r="W76" s="69" t="n">
        <f aca="false">SUMIFS(Data!$R$782:$R$2370,Data!$H$782:$H$2370,B76)</f>
        <v>0</v>
      </c>
      <c r="X76" s="70" t="n">
        <f aca="false">SUMIFS(Data!$Q$782:$Q$2370,Data!$H$782:$H$2370,B76)</f>
        <v>0</v>
      </c>
      <c r="Y76" s="69" t="n">
        <f aca="false">SUMIFS(Data!$R$2371:$R$3999,Data!$H$2371:$H$3999,B76)</f>
        <v>1</v>
      </c>
      <c r="Z76" s="70" t="n">
        <f aca="false">SUMIFS(Data!$Q$2371:$Q$3999,Data!$H$2371:$H$3999,B76)</f>
        <v>2</v>
      </c>
      <c r="AA76" s="68" t="n">
        <f aca="false">V76+U76+O76+N76+K76+F76+E76+P76</f>
        <v>0</v>
      </c>
      <c r="AB76" s="68" t="n">
        <f aca="false">X76+W76+T76+R76+Q76+L76+H76+G76</f>
        <v>0</v>
      </c>
      <c r="AC76" s="68" t="n">
        <f aca="false">Z76+Y76+T76+S76+M76+J76+I76</f>
        <v>3</v>
      </c>
    </row>
    <row r="77" customFormat="false" ht="23.25" hidden="false" customHeight="true" outlineLevel="0" collapsed="false">
      <c r="A77" s="31" t="n">
        <f aca="false">Data!AE76</f>
        <v>553</v>
      </c>
      <c r="B77" s="31" t="str">
        <f aca="false">Data!AD76</f>
        <v>همس الاحتراف</v>
      </c>
      <c r="C77" s="31" t="n">
        <f aca="false">Data!AH76</f>
        <v>500687469</v>
      </c>
      <c r="D77" s="31" t="str">
        <f aca="false">Data!AF76</f>
        <v>تبوك</v>
      </c>
      <c r="E77" s="69" t="n">
        <f aca="false">SUMIFS(Data!$L$2:$L$781,Data!$H$2:$H$781,B77)</f>
        <v>1</v>
      </c>
      <c r="F77" s="70" t="n">
        <f aca="false">SUMIFS(Data!$K$2:$K$781,Data!$H$2:$H$781,B77)</f>
        <v>5</v>
      </c>
      <c r="G77" s="69" t="n">
        <f aca="false">SUMIFS(Data!$L$782:$L$2370,Data!$H$782:$H$2370,B77)</f>
        <v>0</v>
      </c>
      <c r="H77" s="70" t="n">
        <f aca="false">SUMIFS(Data!$K$782:$K$2370,Data!$H$782:$H$2370,B77)</f>
        <v>2</v>
      </c>
      <c r="I77" s="69" t="n">
        <f aca="false">SUMIFS(Data!$L$2371:$L$3999,Data!$H$2371:$H$3999,B77)</f>
        <v>0</v>
      </c>
      <c r="J77" s="70" t="n">
        <f aca="false">SUMIFS(Data!$K$2371:$K$3999,Data!$H$2371:$H$3999,B77)</f>
        <v>0</v>
      </c>
      <c r="K77" s="69" t="n">
        <f aca="false">SUMIFS(Data!$M$2:$M$781,Data!$H$2:$H$781,B77)</f>
        <v>0</v>
      </c>
      <c r="L77" s="69" t="n">
        <f aca="false">SUMIFS(Data!$M$782:$M$2370,Data!$H$782:$H$2370,B77)</f>
        <v>1</v>
      </c>
      <c r="M77" s="69" t="n">
        <f aca="false">SUMIFS(Data!$M$2371:$M$3999,Data!$H$2371:$H$3999,B77)</f>
        <v>1</v>
      </c>
      <c r="N77" s="70" t="n">
        <f aca="false">SUMIFS(Data!$O$2:$O$781,Data!$H$2:$H$781,B77)</f>
        <v>0</v>
      </c>
      <c r="O77" s="70" t="n">
        <f aca="false">SUMIFS(Data!$N$2:$N$781,Data!$H$2:$H$781,B77)</f>
        <v>0</v>
      </c>
      <c r="P77" s="69" t="n">
        <f aca="false">SUMIFS(Data!$P$2:$P$781,Data!$H$2:$H$781,B77)</f>
        <v>0</v>
      </c>
      <c r="Q77" s="70" t="n">
        <f aca="false">SUMIFS(Data!$O$782:$O$2370,Data!$H$782:$H$2370,B77)</f>
        <v>0</v>
      </c>
      <c r="R77" s="70" t="n">
        <f aca="false">SUMIFS(Data!$N$782:$N$2370,Data!$H$782:$H$2370,B77)</f>
        <v>0</v>
      </c>
      <c r="S77" s="70" t="n">
        <f aca="false">SUMIFS(Data!$O$2371:$O$3999,Data!$H$2371:$H$3999,B77)</f>
        <v>0</v>
      </c>
      <c r="T77" s="70" t="n">
        <f aca="false">SUMIFS(Data!$N$2371:$N$3999,Data!$H$2371:$H$3999,B77)</f>
        <v>0</v>
      </c>
      <c r="U77" s="69" t="n">
        <f aca="false">SUMIFS(Data!$R$2:$R$781,Data!$H$2:$H$781,B77)</f>
        <v>5</v>
      </c>
      <c r="V77" s="71" t="n">
        <f aca="false">SUMIFS(Data!$Q$2:$Q$781,Data!$H$2:$H$781,B77)</f>
        <v>0</v>
      </c>
      <c r="W77" s="69" t="n">
        <f aca="false">SUMIFS(Data!$R$782:$R$2370,Data!$H$782:$H$2370,B77)</f>
        <v>4</v>
      </c>
      <c r="X77" s="70" t="n">
        <f aca="false">SUMIFS(Data!$Q$782:$Q$2370,Data!$H$782:$H$2370,B77)</f>
        <v>0</v>
      </c>
      <c r="Y77" s="69" t="n">
        <f aca="false">SUMIFS(Data!$R$2371:$R$3999,Data!$H$2371:$H$3999,B77)</f>
        <v>6</v>
      </c>
      <c r="Z77" s="70" t="n">
        <f aca="false">SUMIFS(Data!$Q$2371:$Q$3999,Data!$H$2371:$H$3999,B77)</f>
        <v>0</v>
      </c>
      <c r="AA77" s="68" t="n">
        <f aca="false">V77+U77+O77+N77+K77+F77+E77+P77</f>
        <v>11</v>
      </c>
      <c r="AB77" s="68" t="n">
        <f aca="false">X77+W77+T77+R77+Q77+L77+H77+G77</f>
        <v>7</v>
      </c>
      <c r="AC77" s="68" t="n">
        <f aca="false">Z77+Y77+T77+S77+M77+J77+I77</f>
        <v>7</v>
      </c>
    </row>
    <row r="78" customFormat="false" ht="23.25" hidden="false" customHeight="true" outlineLevel="0" collapsed="false">
      <c r="A78" s="31" t="n">
        <f aca="false">Data!AE77</f>
        <v>0</v>
      </c>
      <c r="B78" s="31" t="n">
        <f aca="false">Data!AD77</f>
        <v>0</v>
      </c>
      <c r="C78" s="31" t="n">
        <f aca="false">Data!AH77</f>
        <v>0</v>
      </c>
      <c r="D78" s="31" t="n">
        <f aca="false">Data!AF77</f>
        <v>0</v>
      </c>
      <c r="E78" s="69" t="n">
        <f aca="false">SUMIFS(Data!$L$2:$L$781,Data!$H$2:$H$781,B78)</f>
        <v>0</v>
      </c>
      <c r="F78" s="70" t="n">
        <f aca="false">SUMIFS(Data!$K$2:$K$781,Data!$H$2:$H$781,B78)</f>
        <v>0</v>
      </c>
      <c r="G78" s="69" t="n">
        <f aca="false">SUMIFS(Data!$L$782:$L$2370,Data!$H$782:$H$2370,B78)</f>
        <v>0</v>
      </c>
      <c r="H78" s="70" t="n">
        <f aca="false">SUMIFS(Data!$K$782:$K$2370,Data!$H$782:$H$2370,B78)</f>
        <v>0</v>
      </c>
      <c r="I78" s="69" t="n">
        <f aca="false">SUMIFS(Data!$L$2371:$L$3999,Data!$H$2371:$H$3999,B78)</f>
        <v>0</v>
      </c>
      <c r="J78" s="70" t="n">
        <f aca="false">SUMIFS(Data!$K$2371:$K$3999,Data!$H$2371:$H$3999,B78)</f>
        <v>0</v>
      </c>
      <c r="K78" s="69" t="n">
        <f aca="false">SUMIFS(Data!$M$2:$M$781,Data!$H$2:$H$781,B78)</f>
        <v>0</v>
      </c>
      <c r="L78" s="69" t="n">
        <f aca="false">SUMIFS(Data!$M$782:$M$2370,Data!$H$782:$H$2370,B78)</f>
        <v>0</v>
      </c>
      <c r="M78" s="69" t="n">
        <f aca="false">SUMIFS(Data!$M$2371:$M$3999,Data!$H$2371:$H$3999,B78)</f>
        <v>0</v>
      </c>
      <c r="N78" s="70" t="n">
        <f aca="false">SUMIFS(Data!$O$2:$O$781,Data!$H$2:$H$781,B78)</f>
        <v>0</v>
      </c>
      <c r="O78" s="70" t="n">
        <f aca="false">SUMIFS(Data!$N$2:$N$781,Data!$H$2:$H$781,B78)</f>
        <v>0</v>
      </c>
      <c r="P78" s="69" t="n">
        <f aca="false">SUMIFS(Data!$P$2:$P$781,Data!$H$2:$H$781,B78)</f>
        <v>0</v>
      </c>
      <c r="Q78" s="70" t="n">
        <f aca="false">SUMIFS(Data!$O$782:$O$2370,Data!$H$782:$H$2370,B78)</f>
        <v>0</v>
      </c>
      <c r="R78" s="70" t="n">
        <f aca="false">SUMIFS(Data!$N$782:$N$2370,Data!$H$782:$H$2370,B78)</f>
        <v>0</v>
      </c>
      <c r="S78" s="70" t="n">
        <f aca="false">SUMIFS(Data!$O$2371:$O$3999,Data!$H$2371:$H$3999,B78)</f>
        <v>0</v>
      </c>
      <c r="T78" s="70" t="n">
        <f aca="false">SUMIFS(Data!$N$2371:$N$3999,Data!$H$2371:$H$3999,B78)</f>
        <v>0</v>
      </c>
      <c r="U78" s="69" t="n">
        <f aca="false">SUMIFS(Data!$R$2:$R$781,Data!$H$2:$H$781,B78)</f>
        <v>0</v>
      </c>
      <c r="V78" s="71" t="n">
        <f aca="false">SUMIFS(Data!$Q$2:$Q$781,Data!$H$2:$H$781,B78)</f>
        <v>0</v>
      </c>
      <c r="W78" s="69" t="n">
        <f aca="false">SUMIFS(Data!$R$782:$R$2370,Data!$H$782:$H$2370,B78)</f>
        <v>0</v>
      </c>
      <c r="X78" s="70" t="n">
        <f aca="false">SUMIFS(Data!$Q$782:$Q$2370,Data!$H$782:$H$2370,B78)</f>
        <v>0</v>
      </c>
      <c r="Y78" s="69" t="n">
        <f aca="false">SUMIFS(Data!$R$2371:$R$3999,Data!$H$2371:$H$3999,B78)</f>
        <v>0</v>
      </c>
      <c r="Z78" s="70" t="n">
        <f aca="false">SUMIFS(Data!$Q$2371:$Q$3999,Data!$H$2371:$H$3999,B78)</f>
        <v>0</v>
      </c>
      <c r="AA78" s="68" t="n">
        <f aca="false">V78+U78+O78+N78+K78+F78+E78+P78</f>
        <v>0</v>
      </c>
      <c r="AB78" s="68" t="n">
        <f aca="false">X78+W78+T78+R78+Q78+L78+H78+G78</f>
        <v>0</v>
      </c>
      <c r="AC78" s="68" t="n">
        <f aca="false">Z78+Y78+T78+S78+M78+J78+I78</f>
        <v>0</v>
      </c>
    </row>
    <row r="79" customFormat="false" ht="23.25" hidden="false" customHeight="true" outlineLevel="0" collapsed="false">
      <c r="A79" s="31" t="n">
        <f aca="false">Data!AE78</f>
        <v>548</v>
      </c>
      <c r="B79" s="31" t="str">
        <f aca="false">Data!AD78</f>
        <v>زيت الاصاله</v>
      </c>
      <c r="C79" s="31" t="n">
        <f aca="false">Data!AH78</f>
        <v>0</v>
      </c>
      <c r="D79" s="31" t="str">
        <f aca="false">Data!AF78</f>
        <v>تبوك</v>
      </c>
      <c r="E79" s="69" t="n">
        <f aca="false">SUMIFS(Data!$L$2:$L$781,Data!$H$2:$H$781,B79)</f>
        <v>1</v>
      </c>
      <c r="F79" s="70" t="n">
        <f aca="false">SUMIFS(Data!$K$2:$K$781,Data!$H$2:$H$781,B79)</f>
        <v>7</v>
      </c>
      <c r="G79" s="69" t="n">
        <f aca="false">SUMIFS(Data!$L$782:$L$2370,Data!$H$782:$H$2370,B79)</f>
        <v>0</v>
      </c>
      <c r="H79" s="70" t="n">
        <f aca="false">SUMIFS(Data!$K$782:$K$2370,Data!$H$782:$H$2370,B79)</f>
        <v>0</v>
      </c>
      <c r="I79" s="69" t="n">
        <f aca="false">SUMIFS(Data!$L$2371:$L$3999,Data!$H$2371:$H$3999,B79)</f>
        <v>0</v>
      </c>
      <c r="J79" s="70" t="n">
        <f aca="false">SUMIFS(Data!$K$2371:$K$3999,Data!$H$2371:$H$3999,B79)</f>
        <v>0</v>
      </c>
      <c r="K79" s="69" t="n">
        <f aca="false">SUMIFS(Data!$M$2:$M$781,Data!$H$2:$H$781,B79)</f>
        <v>0</v>
      </c>
      <c r="L79" s="69" t="n">
        <f aca="false">SUMIFS(Data!$M$782:$M$2370,Data!$H$782:$H$2370,B79)</f>
        <v>0</v>
      </c>
      <c r="M79" s="69" t="n">
        <f aca="false">SUMIFS(Data!$M$2371:$M$3999,Data!$H$2371:$H$3999,B79)</f>
        <v>0</v>
      </c>
      <c r="N79" s="70" t="n">
        <f aca="false">SUMIFS(Data!$O$2:$O$781,Data!$H$2:$H$781,B79)</f>
        <v>0</v>
      </c>
      <c r="O79" s="70" t="n">
        <f aca="false">SUMIFS(Data!$N$2:$N$781,Data!$H$2:$H$781,B79)</f>
        <v>0</v>
      </c>
      <c r="P79" s="69" t="n">
        <f aca="false">SUMIFS(Data!$P$2:$P$781,Data!$H$2:$H$781,B79)</f>
        <v>0</v>
      </c>
      <c r="Q79" s="70" t="n">
        <f aca="false">SUMIFS(Data!$O$782:$O$2370,Data!$H$782:$H$2370,B79)</f>
        <v>0</v>
      </c>
      <c r="R79" s="70" t="n">
        <f aca="false">SUMIFS(Data!$N$782:$N$2370,Data!$H$782:$H$2370,B79)</f>
        <v>0</v>
      </c>
      <c r="S79" s="70" t="n">
        <f aca="false">SUMIFS(Data!$O$2371:$O$3999,Data!$H$2371:$H$3999,B79)</f>
        <v>0</v>
      </c>
      <c r="T79" s="70" t="n">
        <f aca="false">SUMIFS(Data!$N$2371:$N$3999,Data!$H$2371:$H$3999,B79)</f>
        <v>0</v>
      </c>
      <c r="U79" s="69" t="n">
        <f aca="false">SUMIFS(Data!$R$2:$R$781,Data!$H$2:$H$781,B79)</f>
        <v>1</v>
      </c>
      <c r="V79" s="71" t="n">
        <f aca="false">SUMIFS(Data!$Q$2:$Q$781,Data!$H$2:$H$781,B79)</f>
        <v>1</v>
      </c>
      <c r="W79" s="69" t="n">
        <f aca="false">SUMIFS(Data!$R$782:$R$2370,Data!$H$782:$H$2370,B79)</f>
        <v>0</v>
      </c>
      <c r="X79" s="70" t="n">
        <f aca="false">SUMIFS(Data!$Q$782:$Q$2370,Data!$H$782:$H$2370,B79)</f>
        <v>0</v>
      </c>
      <c r="Y79" s="69" t="n">
        <f aca="false">SUMIFS(Data!$R$2371:$R$3999,Data!$H$2371:$H$3999,B79)</f>
        <v>0</v>
      </c>
      <c r="Z79" s="70" t="n">
        <f aca="false">SUMIFS(Data!$Q$2371:$Q$3999,Data!$H$2371:$H$3999,B79)</f>
        <v>0</v>
      </c>
      <c r="AA79" s="68" t="n">
        <f aca="false">V79+U79+O79+N79+K79+F79+E79+P79</f>
        <v>10</v>
      </c>
      <c r="AB79" s="68" t="n">
        <f aca="false">X79+W79+T79+R79+Q79+L79+H79+G79</f>
        <v>0</v>
      </c>
      <c r="AC79" s="68" t="n">
        <f aca="false">Z79+Y79+T79+S79+M79+J79+I79</f>
        <v>0</v>
      </c>
    </row>
    <row r="80" customFormat="false" ht="23.25" hidden="false" customHeight="true" outlineLevel="0" collapsed="false">
      <c r="A80" s="31" t="n">
        <f aca="false">Data!AE79</f>
        <v>0</v>
      </c>
      <c r="B80" s="31" t="n">
        <f aca="false">Data!AD79</f>
        <v>0</v>
      </c>
      <c r="C80" s="31" t="n">
        <f aca="false">Data!AH79</f>
        <v>0</v>
      </c>
      <c r="D80" s="31" t="n">
        <f aca="false">Data!AF79</f>
        <v>0</v>
      </c>
      <c r="E80" s="69" t="n">
        <f aca="false">SUMIFS(Data!$L$2:$L$781,Data!$H$2:$H$781,B80)</f>
        <v>0</v>
      </c>
      <c r="F80" s="70" t="n">
        <f aca="false">SUMIFS(Data!$K$2:$K$781,Data!$H$2:$H$781,B80)</f>
        <v>0</v>
      </c>
      <c r="G80" s="69" t="n">
        <f aca="false">SUMIFS(Data!$L$782:$L$2370,Data!$H$782:$H$2370,B80)</f>
        <v>0</v>
      </c>
      <c r="H80" s="70" t="n">
        <f aca="false">SUMIFS(Data!$K$782:$K$2370,Data!$H$782:$H$2370,B80)</f>
        <v>0</v>
      </c>
      <c r="I80" s="69" t="n">
        <f aca="false">SUMIFS(Data!$L$2371:$L$3999,Data!$H$2371:$H$3999,B80)</f>
        <v>0</v>
      </c>
      <c r="J80" s="70" t="n">
        <f aca="false">SUMIFS(Data!$K$2371:$K$3999,Data!$H$2371:$H$3999,B80)</f>
        <v>0</v>
      </c>
      <c r="K80" s="69" t="n">
        <f aca="false">SUMIFS(Data!$M$2:$M$781,Data!$H$2:$H$781,B80)</f>
        <v>0</v>
      </c>
      <c r="L80" s="69" t="n">
        <f aca="false">SUMIFS(Data!$M$782:$M$2370,Data!$H$782:$H$2370,B80)</f>
        <v>0</v>
      </c>
      <c r="M80" s="69" t="n">
        <f aca="false">SUMIFS(Data!$M$2371:$M$3999,Data!$H$2371:$H$3999,B80)</f>
        <v>0</v>
      </c>
      <c r="N80" s="70" t="n">
        <f aca="false">SUMIFS(Data!$O$2:$O$781,Data!$H$2:$H$781,B80)</f>
        <v>0</v>
      </c>
      <c r="O80" s="70" t="n">
        <f aca="false">SUMIFS(Data!$N$2:$N$781,Data!$H$2:$H$781,B80)</f>
        <v>0</v>
      </c>
      <c r="P80" s="69" t="n">
        <f aca="false">SUMIFS(Data!$P$2:$P$781,Data!$H$2:$H$781,B80)</f>
        <v>0</v>
      </c>
      <c r="Q80" s="70" t="n">
        <f aca="false">SUMIFS(Data!$O$782:$O$2370,Data!$H$782:$H$2370,B80)</f>
        <v>0</v>
      </c>
      <c r="R80" s="70" t="n">
        <f aca="false">SUMIFS(Data!$N$782:$N$2370,Data!$H$782:$H$2370,B80)</f>
        <v>0</v>
      </c>
      <c r="S80" s="70" t="n">
        <f aca="false">SUMIFS(Data!$O$2371:$O$3999,Data!$H$2371:$H$3999,B80)</f>
        <v>0</v>
      </c>
      <c r="T80" s="70" t="n">
        <f aca="false">SUMIFS(Data!$N$2371:$N$3999,Data!$H$2371:$H$3999,B80)</f>
        <v>0</v>
      </c>
      <c r="U80" s="69" t="n">
        <f aca="false">SUMIFS(Data!$R$2:$R$781,Data!$H$2:$H$781,B80)</f>
        <v>0</v>
      </c>
      <c r="V80" s="71" t="n">
        <f aca="false">SUMIFS(Data!$Q$2:$Q$781,Data!$H$2:$H$781,B80)</f>
        <v>0</v>
      </c>
      <c r="W80" s="69" t="n">
        <f aca="false">SUMIFS(Data!$R$782:$R$2370,Data!$H$782:$H$2370,B80)</f>
        <v>0</v>
      </c>
      <c r="X80" s="70" t="n">
        <f aca="false">SUMIFS(Data!$Q$782:$Q$2370,Data!$H$782:$H$2370,B80)</f>
        <v>0</v>
      </c>
      <c r="Y80" s="69" t="n">
        <f aca="false">SUMIFS(Data!$R$2371:$R$3999,Data!$H$2371:$H$3999,B80)</f>
        <v>0</v>
      </c>
      <c r="Z80" s="70" t="n">
        <f aca="false">SUMIFS(Data!$Q$2371:$Q$3999,Data!$H$2371:$H$3999,B80)</f>
        <v>0</v>
      </c>
      <c r="AA80" s="68" t="n">
        <f aca="false">V80+U80+O80+N80+K80+F80+E80+P80</f>
        <v>0</v>
      </c>
      <c r="AB80" s="68" t="n">
        <f aca="false">X80+W80+T80+R80+Q80+L80+H80+G80</f>
        <v>0</v>
      </c>
      <c r="AC80" s="68" t="n">
        <f aca="false">Z80+Y80+T80+S80+M80+J80+I80</f>
        <v>0</v>
      </c>
    </row>
    <row r="81" customFormat="false" ht="23.25" hidden="false" customHeight="true" outlineLevel="0" collapsed="false">
      <c r="A81" s="31" t="n">
        <f aca="false">Data!AE80</f>
        <v>1002912</v>
      </c>
      <c r="B81" s="31" t="str">
        <f aca="false">Data!AD80</f>
        <v>اسماء الزهراني</v>
      </c>
      <c r="C81" s="31" t="n">
        <f aca="false">Data!AH80</f>
        <v>510321316</v>
      </c>
      <c r="D81" s="31" t="str">
        <f aca="false">Data!AF80</f>
        <v>تبوك</v>
      </c>
      <c r="E81" s="69" t="n">
        <f aca="false">SUMIFS(Data!$L$2:$L$781,Data!$H$2:$H$781,B81)</f>
        <v>0</v>
      </c>
      <c r="F81" s="70" t="n">
        <f aca="false">SUMIFS(Data!$K$2:$K$781,Data!$H$2:$H$781,B81)</f>
        <v>0</v>
      </c>
      <c r="G81" s="69" t="n">
        <f aca="false">SUMIFS(Data!$L$782:$L$2370,Data!$H$782:$H$2370,B81)</f>
        <v>0</v>
      </c>
      <c r="H81" s="70" t="n">
        <f aca="false">SUMIFS(Data!$K$782:$K$2370,Data!$H$782:$H$2370,B81)</f>
        <v>0</v>
      </c>
      <c r="I81" s="69" t="n">
        <f aca="false">SUMIFS(Data!$L$2371:$L$3999,Data!$H$2371:$H$3999,B81)</f>
        <v>30</v>
      </c>
      <c r="J81" s="70" t="n">
        <f aca="false">SUMIFS(Data!$K$2371:$K$3999,Data!$H$2371:$H$3999,B81)</f>
        <v>55</v>
      </c>
      <c r="K81" s="69" t="n">
        <f aca="false">SUMIFS(Data!$M$2:$M$781,Data!$H$2:$H$781,B81)</f>
        <v>0</v>
      </c>
      <c r="L81" s="69" t="n">
        <f aca="false">SUMIFS(Data!$M$782:$M$2370,Data!$H$782:$H$2370,B81)</f>
        <v>0</v>
      </c>
      <c r="M81" s="69" t="n">
        <f aca="false">SUMIFS(Data!$M$2371:$M$3999,Data!$H$2371:$H$3999,B81)</f>
        <v>7</v>
      </c>
      <c r="N81" s="70" t="n">
        <f aca="false">SUMIFS(Data!$O$2:$O$781,Data!$H$2:$H$781,B81)</f>
        <v>0</v>
      </c>
      <c r="O81" s="70" t="n">
        <f aca="false">SUMIFS(Data!$N$2:$N$781,Data!$H$2:$H$781,B81)</f>
        <v>0</v>
      </c>
      <c r="P81" s="69" t="n">
        <f aca="false">SUMIFS(Data!$P$2:$P$781,Data!$H$2:$H$781,B81)</f>
        <v>0</v>
      </c>
      <c r="Q81" s="70" t="n">
        <f aca="false">SUMIFS(Data!$O$782:$O$2370,Data!$H$782:$H$2370,B81)</f>
        <v>0</v>
      </c>
      <c r="R81" s="70" t="n">
        <f aca="false">SUMIFS(Data!$N$782:$N$2370,Data!$H$782:$H$2370,B81)</f>
        <v>0</v>
      </c>
      <c r="S81" s="70" t="n">
        <f aca="false">SUMIFS(Data!$O$2371:$O$3999,Data!$H$2371:$H$3999,B81)</f>
        <v>0</v>
      </c>
      <c r="T81" s="70" t="n">
        <f aca="false">SUMIFS(Data!$N$2371:$N$3999,Data!$H$2371:$H$3999,B81)</f>
        <v>2</v>
      </c>
      <c r="U81" s="69" t="n">
        <f aca="false">SUMIFS(Data!$R$2:$R$781,Data!$H$2:$H$781,B81)</f>
        <v>0</v>
      </c>
      <c r="V81" s="71" t="n">
        <f aca="false">SUMIFS(Data!$Q$2:$Q$781,Data!$H$2:$H$781,B81)</f>
        <v>0</v>
      </c>
      <c r="W81" s="69" t="n">
        <f aca="false">SUMIFS(Data!$R$782:$R$2370,Data!$H$782:$H$2370,B81)</f>
        <v>0</v>
      </c>
      <c r="X81" s="70" t="n">
        <f aca="false">SUMIFS(Data!$Q$782:$Q$2370,Data!$H$782:$H$2370,B81)</f>
        <v>0</v>
      </c>
      <c r="Y81" s="69" t="n">
        <f aca="false">SUMIFS(Data!$R$2371:$R$3999,Data!$H$2371:$H$3999,B81)</f>
        <v>4</v>
      </c>
      <c r="Z81" s="70" t="n">
        <f aca="false">SUMIFS(Data!$Q$2371:$Q$3999,Data!$H$2371:$H$3999,B81)</f>
        <v>0</v>
      </c>
      <c r="AA81" s="68" t="n">
        <f aca="false">V81+U81+O81+N81+K81+F81+E81+P81</f>
        <v>0</v>
      </c>
      <c r="AB81" s="68" t="n">
        <f aca="false">X81+W81+T81+R81+Q81+L81+H81+G81</f>
        <v>2</v>
      </c>
      <c r="AC81" s="68" t="n">
        <f aca="false">Z81+Y81+T81+S81+M81+J81+I81</f>
        <v>98</v>
      </c>
    </row>
    <row r="82" customFormat="false" ht="23.25" hidden="false" customHeight="true" outlineLevel="0" collapsed="false">
      <c r="A82" s="31" t="n">
        <f aca="false">Data!AE81</f>
        <v>1002901</v>
      </c>
      <c r="B82" s="31" t="str">
        <f aca="false">Data!AD81</f>
        <v>الفالح</v>
      </c>
      <c r="C82" s="31" t="n">
        <f aca="false">Data!AH81</f>
        <v>0</v>
      </c>
      <c r="D82" s="31" t="str">
        <f aca="false">Data!AF81</f>
        <v>تبوك</v>
      </c>
      <c r="E82" s="69" t="n">
        <f aca="false">SUMIFS(Data!$L$2:$L$781,Data!$H$2:$H$781,B82)</f>
        <v>0</v>
      </c>
      <c r="F82" s="70" t="n">
        <f aca="false">SUMIFS(Data!$K$2:$K$781,Data!$H$2:$H$781,B82)</f>
        <v>5</v>
      </c>
      <c r="G82" s="69" t="n">
        <f aca="false">SUMIFS(Data!$L$782:$L$2370,Data!$H$782:$H$2370,B82)</f>
        <v>0</v>
      </c>
      <c r="H82" s="70" t="n">
        <f aca="false">SUMIFS(Data!$K$782:$K$2370,Data!$H$782:$H$2370,B82)</f>
        <v>11</v>
      </c>
      <c r="I82" s="69" t="n">
        <f aca="false">SUMIFS(Data!$L$2371:$L$3999,Data!$H$2371:$H$3999,B82)</f>
        <v>0</v>
      </c>
      <c r="J82" s="70" t="n">
        <f aca="false">SUMIFS(Data!$K$2371:$K$3999,Data!$H$2371:$H$3999,B82)</f>
        <v>0</v>
      </c>
      <c r="K82" s="69" t="n">
        <f aca="false">SUMIFS(Data!$M$2:$M$781,Data!$H$2:$H$781,B82)</f>
        <v>2</v>
      </c>
      <c r="L82" s="69" t="n">
        <f aca="false">SUMIFS(Data!$M$782:$M$2370,Data!$H$782:$H$2370,B82)</f>
        <v>1</v>
      </c>
      <c r="M82" s="69" t="n">
        <f aca="false">SUMIFS(Data!$M$2371:$M$3999,Data!$H$2371:$H$3999,B82)</f>
        <v>0</v>
      </c>
      <c r="N82" s="70" t="n">
        <f aca="false">SUMIFS(Data!$O$2:$O$781,Data!$H$2:$H$781,B82)</f>
        <v>0</v>
      </c>
      <c r="O82" s="70" t="n">
        <f aca="false">SUMIFS(Data!$N$2:$N$781,Data!$H$2:$H$781,B82)</f>
        <v>0</v>
      </c>
      <c r="P82" s="69" t="n">
        <f aca="false">SUMIFS(Data!$P$2:$P$781,Data!$H$2:$H$781,B82)</f>
        <v>0</v>
      </c>
      <c r="Q82" s="70" t="n">
        <f aca="false">SUMIFS(Data!$O$782:$O$2370,Data!$H$782:$H$2370,B82)</f>
        <v>1</v>
      </c>
      <c r="R82" s="70" t="n">
        <f aca="false">SUMIFS(Data!$N$782:$N$2370,Data!$H$782:$H$2370,B82)</f>
        <v>0</v>
      </c>
      <c r="S82" s="70" t="n">
        <f aca="false">SUMIFS(Data!$O$2371:$O$3999,Data!$H$2371:$H$3999,B82)</f>
        <v>0</v>
      </c>
      <c r="T82" s="70" t="n">
        <f aca="false">SUMIFS(Data!$N$2371:$N$3999,Data!$H$2371:$H$3999,B82)</f>
        <v>0</v>
      </c>
      <c r="U82" s="69" t="n">
        <f aca="false">SUMIFS(Data!$R$2:$R$781,Data!$H$2:$H$781,B82)</f>
        <v>1</v>
      </c>
      <c r="V82" s="71" t="n">
        <f aca="false">SUMIFS(Data!$Q$2:$Q$781,Data!$H$2:$H$781,B82)</f>
        <v>2</v>
      </c>
      <c r="W82" s="69" t="n">
        <f aca="false">SUMIFS(Data!$R$782:$R$2370,Data!$H$782:$H$2370,B82)</f>
        <v>0</v>
      </c>
      <c r="X82" s="70" t="n">
        <f aca="false">SUMIFS(Data!$Q$782:$Q$2370,Data!$H$782:$H$2370,B82)</f>
        <v>0</v>
      </c>
      <c r="Y82" s="69" t="n">
        <f aca="false">SUMIFS(Data!$R$2371:$R$3999,Data!$H$2371:$H$3999,B82)</f>
        <v>0</v>
      </c>
      <c r="Z82" s="70" t="n">
        <f aca="false">SUMIFS(Data!$Q$2371:$Q$3999,Data!$H$2371:$H$3999,B82)</f>
        <v>1</v>
      </c>
      <c r="AA82" s="68" t="n">
        <f aca="false">V82+U82+O82+N82+K82+F82+E82+P82</f>
        <v>10</v>
      </c>
      <c r="AB82" s="68" t="n">
        <f aca="false">X82+W82+T82+R82+Q82+L82+H82+G82</f>
        <v>13</v>
      </c>
      <c r="AC82" s="68" t="n">
        <f aca="false">Z82+Y82+T82+S82+M82+J82+I82</f>
        <v>1</v>
      </c>
    </row>
    <row r="83" customFormat="false" ht="23.25" hidden="false" customHeight="true" outlineLevel="0" collapsed="false">
      <c r="A83" s="31" t="n">
        <f aca="false">Data!AE82</f>
        <v>982</v>
      </c>
      <c r="B83" s="31" t="str">
        <f aca="false">Data!AD82</f>
        <v>وسام الجزيره</v>
      </c>
      <c r="C83" s="31" t="n">
        <f aca="false">Data!AH82</f>
        <v>0</v>
      </c>
      <c r="D83" s="31" t="str">
        <f aca="false">Data!AF82</f>
        <v>تبوك</v>
      </c>
      <c r="E83" s="69" t="n">
        <f aca="false">SUMIFS(Data!$L$2:$L$781,Data!$H$2:$H$781,B83)</f>
        <v>0</v>
      </c>
      <c r="F83" s="70" t="n">
        <f aca="false">SUMIFS(Data!$K$2:$K$781,Data!$H$2:$H$781,B83)</f>
        <v>0</v>
      </c>
      <c r="G83" s="69" t="n">
        <f aca="false">SUMIFS(Data!$L$782:$L$2370,Data!$H$782:$H$2370,B83)</f>
        <v>0</v>
      </c>
      <c r="H83" s="70" t="n">
        <f aca="false">SUMIFS(Data!$K$782:$K$2370,Data!$H$782:$H$2370,B83)</f>
        <v>6</v>
      </c>
      <c r="I83" s="69" t="n">
        <f aca="false">SUMIFS(Data!$L$2371:$L$3999,Data!$H$2371:$H$3999,B83)</f>
        <v>0</v>
      </c>
      <c r="J83" s="70" t="n">
        <f aca="false">SUMIFS(Data!$K$2371:$K$3999,Data!$H$2371:$H$3999,B83)</f>
        <v>15</v>
      </c>
      <c r="K83" s="69" t="n">
        <f aca="false">SUMIFS(Data!$M$2:$M$781,Data!$H$2:$H$781,B83)</f>
        <v>0</v>
      </c>
      <c r="L83" s="69" t="n">
        <f aca="false">SUMIFS(Data!$M$782:$M$2370,Data!$H$782:$H$2370,B83)</f>
        <v>1</v>
      </c>
      <c r="M83" s="69" t="n">
        <f aca="false">SUMIFS(Data!$M$2371:$M$3999,Data!$H$2371:$H$3999,B83)</f>
        <v>0</v>
      </c>
      <c r="N83" s="70" t="n">
        <f aca="false">SUMIFS(Data!$O$2:$O$781,Data!$H$2:$H$781,B83)</f>
        <v>0</v>
      </c>
      <c r="O83" s="70" t="n">
        <f aca="false">SUMIFS(Data!$N$2:$N$781,Data!$H$2:$H$781,B83)</f>
        <v>0</v>
      </c>
      <c r="P83" s="69" t="n">
        <f aca="false">SUMIFS(Data!$P$2:$P$781,Data!$H$2:$H$781,B83)</f>
        <v>0</v>
      </c>
      <c r="Q83" s="70" t="n">
        <f aca="false">SUMIFS(Data!$O$782:$O$2370,Data!$H$782:$H$2370,B83)</f>
        <v>0</v>
      </c>
      <c r="R83" s="70" t="n">
        <f aca="false">SUMIFS(Data!$N$782:$N$2370,Data!$H$782:$H$2370,B83)</f>
        <v>0</v>
      </c>
      <c r="S83" s="70" t="n">
        <f aca="false">SUMIFS(Data!$O$2371:$O$3999,Data!$H$2371:$H$3999,B83)</f>
        <v>0</v>
      </c>
      <c r="T83" s="70" t="n">
        <f aca="false">SUMIFS(Data!$N$2371:$N$3999,Data!$H$2371:$H$3999,B83)</f>
        <v>0</v>
      </c>
      <c r="U83" s="69" t="n">
        <f aca="false">SUMIFS(Data!$R$2:$R$781,Data!$H$2:$H$781,B83)</f>
        <v>0</v>
      </c>
      <c r="V83" s="71" t="n">
        <f aca="false">SUMIFS(Data!$Q$2:$Q$781,Data!$H$2:$H$781,B83)</f>
        <v>0</v>
      </c>
      <c r="W83" s="69" t="n">
        <f aca="false">SUMIFS(Data!$R$782:$R$2370,Data!$H$782:$H$2370,B83)</f>
        <v>0</v>
      </c>
      <c r="X83" s="70" t="n">
        <f aca="false">SUMIFS(Data!$Q$782:$Q$2370,Data!$H$782:$H$2370,B83)</f>
        <v>1</v>
      </c>
      <c r="Y83" s="69" t="n">
        <f aca="false">SUMIFS(Data!$R$2371:$R$3999,Data!$H$2371:$H$3999,B83)</f>
        <v>0</v>
      </c>
      <c r="Z83" s="70" t="n">
        <f aca="false">SUMIFS(Data!$Q$2371:$Q$3999,Data!$H$2371:$H$3999,B83)</f>
        <v>3</v>
      </c>
      <c r="AA83" s="68" t="n">
        <f aca="false">V83+U83+O83+N83+K83+F83+E83+P83</f>
        <v>0</v>
      </c>
      <c r="AB83" s="68" t="n">
        <f aca="false">X83+W83+T83+R83+Q83+L83+H83+G83</f>
        <v>8</v>
      </c>
      <c r="AC83" s="68" t="n">
        <f aca="false">Z83+Y83+T83+S83+M83+J83+I83</f>
        <v>18</v>
      </c>
    </row>
    <row r="84" customFormat="false" ht="23.25" hidden="false" customHeight="true" outlineLevel="0" collapsed="false">
      <c r="A84" s="31" t="n">
        <f aca="false">Data!AE83</f>
        <v>1002949</v>
      </c>
      <c r="B84" s="31" t="str">
        <f aca="false">Data!AD83</f>
        <v>الموعد الثاني</v>
      </c>
      <c r="C84" s="31" t="n">
        <f aca="false">Data!AH83</f>
        <v>503807011</v>
      </c>
      <c r="D84" s="31" t="str">
        <f aca="false">Data!AF83</f>
        <v>تبوك</v>
      </c>
      <c r="E84" s="69" t="n">
        <f aca="false">SUMIFS(Data!$L$2:$L$781,Data!$H$2:$H$781,B84)</f>
        <v>0</v>
      </c>
      <c r="F84" s="70" t="n">
        <f aca="false">SUMIFS(Data!$K$2:$K$781,Data!$H$2:$H$781,B84)</f>
        <v>2</v>
      </c>
      <c r="G84" s="69" t="n">
        <f aca="false">SUMIFS(Data!$L$782:$L$2370,Data!$H$782:$H$2370,B84)</f>
        <v>0</v>
      </c>
      <c r="H84" s="70" t="n">
        <f aca="false">SUMIFS(Data!$K$782:$K$2370,Data!$H$782:$H$2370,B84)</f>
        <v>6</v>
      </c>
      <c r="I84" s="69" t="n">
        <f aca="false">SUMIFS(Data!$L$2371:$L$3999,Data!$H$2371:$H$3999,B84)</f>
        <v>7</v>
      </c>
      <c r="J84" s="70" t="n">
        <f aca="false">SUMIFS(Data!$K$2371:$K$3999,Data!$H$2371:$H$3999,B84)</f>
        <v>82</v>
      </c>
      <c r="K84" s="69" t="n">
        <f aca="false">SUMIFS(Data!$M$2:$M$781,Data!$H$2:$H$781,B84)</f>
        <v>0</v>
      </c>
      <c r="L84" s="69" t="n">
        <f aca="false">SUMIFS(Data!$M$782:$M$2370,Data!$H$782:$H$2370,B84)</f>
        <v>1</v>
      </c>
      <c r="M84" s="69" t="n">
        <f aca="false">SUMIFS(Data!$M$2371:$M$3999,Data!$H$2371:$H$3999,B84)</f>
        <v>21</v>
      </c>
      <c r="N84" s="70" t="n">
        <f aca="false">SUMIFS(Data!$O$2:$O$781,Data!$H$2:$H$781,B84)</f>
        <v>0</v>
      </c>
      <c r="O84" s="70" t="n">
        <f aca="false">SUMIFS(Data!$N$2:$N$781,Data!$H$2:$H$781,B84)</f>
        <v>0</v>
      </c>
      <c r="P84" s="69" t="n">
        <f aca="false">SUMIFS(Data!$P$2:$P$781,Data!$H$2:$H$781,B84)</f>
        <v>0</v>
      </c>
      <c r="Q84" s="70" t="n">
        <f aca="false">SUMIFS(Data!$O$782:$O$2370,Data!$H$782:$H$2370,B84)</f>
        <v>0</v>
      </c>
      <c r="R84" s="70" t="n">
        <f aca="false">SUMIFS(Data!$N$782:$N$2370,Data!$H$782:$H$2370,B84)</f>
        <v>0</v>
      </c>
      <c r="S84" s="70" t="n">
        <f aca="false">SUMIFS(Data!$O$2371:$O$3999,Data!$H$2371:$H$3999,B84)</f>
        <v>0</v>
      </c>
      <c r="T84" s="70" t="n">
        <f aca="false">SUMIFS(Data!$N$2371:$N$3999,Data!$H$2371:$H$3999,B84)</f>
        <v>0</v>
      </c>
      <c r="U84" s="69" t="n">
        <f aca="false">SUMIFS(Data!$R$2:$R$781,Data!$H$2:$H$781,B84)</f>
        <v>4</v>
      </c>
      <c r="V84" s="71" t="n">
        <f aca="false">SUMIFS(Data!$Q$2:$Q$781,Data!$H$2:$H$781,B84)</f>
        <v>0</v>
      </c>
      <c r="W84" s="69" t="n">
        <f aca="false">SUMIFS(Data!$R$782:$R$2370,Data!$H$782:$H$2370,B84)</f>
        <v>0</v>
      </c>
      <c r="X84" s="70" t="n">
        <f aca="false">SUMIFS(Data!$Q$782:$Q$2370,Data!$H$782:$H$2370,B84)</f>
        <v>0</v>
      </c>
      <c r="Y84" s="69" t="n">
        <f aca="false">SUMIFS(Data!$R$2371:$R$3999,Data!$H$2371:$H$3999,B84)</f>
        <v>3</v>
      </c>
      <c r="Z84" s="70" t="n">
        <f aca="false">SUMIFS(Data!$Q$2371:$Q$3999,Data!$H$2371:$H$3999,B84)</f>
        <v>1</v>
      </c>
      <c r="AA84" s="68" t="n">
        <f aca="false">V84+U84+O84+N84+K84+F84+E84+P84</f>
        <v>6</v>
      </c>
      <c r="AB84" s="68" t="n">
        <f aca="false">X84+W84+T84+R84+Q84+L84+H84+G84</f>
        <v>7</v>
      </c>
      <c r="AC84" s="68" t="n">
        <f aca="false">Z84+Y84+T84+S84+M84+J84+I84</f>
        <v>114</v>
      </c>
    </row>
    <row r="85" customFormat="false" ht="23.25" hidden="false" customHeight="true" outlineLevel="0" collapsed="false">
      <c r="A85" s="31" t="n">
        <f aca="false">Data!AE84</f>
        <v>1002899</v>
      </c>
      <c r="B85" s="31" t="str">
        <f aca="false">Data!AD84</f>
        <v>جزيرة الجنوب</v>
      </c>
      <c r="C85" s="31" t="n">
        <f aca="false">Data!AH84</f>
        <v>0</v>
      </c>
      <c r="D85" s="31" t="str">
        <f aca="false">Data!AF84</f>
        <v>تبوك</v>
      </c>
      <c r="E85" s="69" t="n">
        <f aca="false">SUMIFS(Data!$L$2:$L$781,Data!$H$2:$H$781,B85)</f>
        <v>0</v>
      </c>
      <c r="F85" s="70" t="n">
        <f aca="false">SUMIFS(Data!$K$2:$K$781,Data!$H$2:$H$781,B85)</f>
        <v>0</v>
      </c>
      <c r="G85" s="69" t="n">
        <f aca="false">SUMIFS(Data!$L$782:$L$2370,Data!$H$782:$H$2370,B85)</f>
        <v>0</v>
      </c>
      <c r="H85" s="70" t="n">
        <f aca="false">SUMIFS(Data!$K$782:$K$2370,Data!$H$782:$H$2370,B85)</f>
        <v>0</v>
      </c>
      <c r="I85" s="69" t="n">
        <f aca="false">SUMIFS(Data!$L$2371:$L$3999,Data!$H$2371:$H$3999,B85)</f>
        <v>0</v>
      </c>
      <c r="J85" s="70" t="n">
        <f aca="false">SUMIFS(Data!$K$2371:$K$3999,Data!$H$2371:$H$3999,B85)</f>
        <v>0</v>
      </c>
      <c r="K85" s="69" t="n">
        <f aca="false">SUMIFS(Data!$M$2:$M$781,Data!$H$2:$H$781,B85)</f>
        <v>0</v>
      </c>
      <c r="L85" s="69" t="n">
        <f aca="false">SUMIFS(Data!$M$782:$M$2370,Data!$H$782:$H$2370,B85)</f>
        <v>0</v>
      </c>
      <c r="M85" s="69" t="n">
        <f aca="false">SUMIFS(Data!$M$2371:$M$3999,Data!$H$2371:$H$3999,B85)</f>
        <v>0</v>
      </c>
      <c r="N85" s="70" t="n">
        <f aca="false">SUMIFS(Data!$O$2:$O$781,Data!$H$2:$H$781,B85)</f>
        <v>0</v>
      </c>
      <c r="O85" s="70" t="n">
        <f aca="false">SUMIFS(Data!$N$2:$N$781,Data!$H$2:$H$781,B85)</f>
        <v>0</v>
      </c>
      <c r="P85" s="69" t="n">
        <f aca="false">SUMIFS(Data!$P$2:$P$781,Data!$H$2:$H$781,B85)</f>
        <v>0</v>
      </c>
      <c r="Q85" s="70" t="n">
        <f aca="false">SUMIFS(Data!$O$782:$O$2370,Data!$H$782:$H$2370,B85)</f>
        <v>0</v>
      </c>
      <c r="R85" s="70" t="n">
        <f aca="false">SUMIFS(Data!$N$782:$N$2370,Data!$H$782:$H$2370,B85)</f>
        <v>0</v>
      </c>
      <c r="S85" s="70" t="n">
        <f aca="false">SUMIFS(Data!$O$2371:$O$3999,Data!$H$2371:$H$3999,B85)</f>
        <v>0</v>
      </c>
      <c r="T85" s="70" t="n">
        <f aca="false">SUMIFS(Data!$N$2371:$N$3999,Data!$H$2371:$H$3999,B85)</f>
        <v>0</v>
      </c>
      <c r="U85" s="69" t="n">
        <f aca="false">SUMIFS(Data!$R$2:$R$781,Data!$H$2:$H$781,B85)</f>
        <v>1</v>
      </c>
      <c r="V85" s="71" t="n">
        <f aca="false">SUMIFS(Data!$Q$2:$Q$781,Data!$H$2:$H$781,B85)</f>
        <v>0</v>
      </c>
      <c r="W85" s="69" t="n">
        <f aca="false">SUMIFS(Data!$R$782:$R$2370,Data!$H$782:$H$2370,B85)</f>
        <v>0</v>
      </c>
      <c r="X85" s="70" t="n">
        <f aca="false">SUMIFS(Data!$Q$782:$Q$2370,Data!$H$782:$H$2370,B85)</f>
        <v>0</v>
      </c>
      <c r="Y85" s="69" t="n">
        <f aca="false">SUMIFS(Data!$R$2371:$R$3999,Data!$H$2371:$H$3999,B85)</f>
        <v>1</v>
      </c>
      <c r="Z85" s="70" t="n">
        <f aca="false">SUMIFS(Data!$Q$2371:$Q$3999,Data!$H$2371:$H$3999,B85)</f>
        <v>0</v>
      </c>
      <c r="AA85" s="68" t="n">
        <f aca="false">V85+U85+O85+N85+K85+F85+E85+P85</f>
        <v>1</v>
      </c>
      <c r="AB85" s="68" t="n">
        <f aca="false">X85+W85+T85+R85+Q85+L85+H85+G85</f>
        <v>0</v>
      </c>
      <c r="AC85" s="68" t="n">
        <f aca="false">Z85+Y85+T85+S85+M85+J85+I85</f>
        <v>1</v>
      </c>
    </row>
    <row r="86" customFormat="false" ht="23.25" hidden="false" customHeight="true" outlineLevel="0" collapsed="false">
      <c r="A86" s="31" t="n">
        <f aca="false">Data!AE85</f>
        <v>635</v>
      </c>
      <c r="B86" s="31" t="str">
        <f aca="false">Data!AD85</f>
        <v>ليلى سلامي</v>
      </c>
      <c r="C86" s="31" t="n">
        <f aca="false">Data!AH85</f>
        <v>504494592</v>
      </c>
      <c r="D86" s="31" t="str">
        <f aca="false">Data!AF85</f>
        <v>تبوك</v>
      </c>
      <c r="E86" s="69" t="n">
        <f aca="false">SUMIFS(Data!$L$2:$L$781,Data!$H$2:$H$781,B86)</f>
        <v>0</v>
      </c>
      <c r="F86" s="70" t="n">
        <f aca="false">SUMIFS(Data!$K$2:$K$781,Data!$H$2:$H$781,B86)</f>
        <v>1</v>
      </c>
      <c r="G86" s="69" t="n">
        <f aca="false">SUMIFS(Data!$L$782:$L$2370,Data!$H$782:$H$2370,B86)</f>
        <v>0</v>
      </c>
      <c r="H86" s="70" t="n">
        <f aca="false">SUMIFS(Data!$K$782:$K$2370,Data!$H$782:$H$2370,B86)</f>
        <v>20</v>
      </c>
      <c r="I86" s="69" t="n">
        <f aca="false">SUMIFS(Data!$L$2371:$L$3999,Data!$H$2371:$H$3999,B86)</f>
        <v>0</v>
      </c>
      <c r="J86" s="70" t="n">
        <f aca="false">SUMIFS(Data!$K$2371:$K$3999,Data!$H$2371:$H$3999,B86)</f>
        <v>7</v>
      </c>
      <c r="K86" s="69" t="n">
        <f aca="false">SUMIFS(Data!$M$2:$M$781,Data!$H$2:$H$781,B86)</f>
        <v>0</v>
      </c>
      <c r="L86" s="69" t="n">
        <f aca="false">SUMIFS(Data!$M$782:$M$2370,Data!$H$782:$H$2370,B86)</f>
        <v>0</v>
      </c>
      <c r="M86" s="69" t="n">
        <f aca="false">SUMIFS(Data!$M$2371:$M$3999,Data!$H$2371:$H$3999,B86)</f>
        <v>7</v>
      </c>
      <c r="N86" s="70" t="n">
        <f aca="false">SUMIFS(Data!$O$2:$O$781,Data!$H$2:$H$781,B86)</f>
        <v>0</v>
      </c>
      <c r="O86" s="70" t="n">
        <f aca="false">SUMIFS(Data!$N$2:$N$781,Data!$H$2:$H$781,B86)</f>
        <v>0</v>
      </c>
      <c r="P86" s="69" t="n">
        <f aca="false">SUMIFS(Data!$P$2:$P$781,Data!$H$2:$H$781,B86)</f>
        <v>0</v>
      </c>
      <c r="Q86" s="70" t="n">
        <f aca="false">SUMIFS(Data!$O$782:$O$2370,Data!$H$782:$H$2370,B86)</f>
        <v>0</v>
      </c>
      <c r="R86" s="70" t="n">
        <f aca="false">SUMIFS(Data!$N$782:$N$2370,Data!$H$782:$H$2370,B86)</f>
        <v>0</v>
      </c>
      <c r="S86" s="70" t="n">
        <f aca="false">SUMIFS(Data!$O$2371:$O$3999,Data!$H$2371:$H$3999,B86)</f>
        <v>0</v>
      </c>
      <c r="T86" s="70" t="n">
        <f aca="false">SUMIFS(Data!$N$2371:$N$3999,Data!$H$2371:$H$3999,B86)</f>
        <v>0</v>
      </c>
      <c r="U86" s="69" t="n">
        <f aca="false">SUMIFS(Data!$R$2:$R$781,Data!$H$2:$H$781,B86)</f>
        <v>0</v>
      </c>
      <c r="V86" s="71" t="n">
        <f aca="false">SUMIFS(Data!$Q$2:$Q$781,Data!$H$2:$H$781,B86)</f>
        <v>0</v>
      </c>
      <c r="W86" s="69" t="n">
        <f aca="false">SUMIFS(Data!$R$782:$R$2370,Data!$H$782:$H$2370,B86)</f>
        <v>6</v>
      </c>
      <c r="X86" s="70" t="n">
        <f aca="false">SUMIFS(Data!$Q$782:$Q$2370,Data!$H$782:$H$2370,B86)</f>
        <v>3</v>
      </c>
      <c r="Y86" s="69" t="n">
        <f aca="false">SUMIFS(Data!$R$2371:$R$3999,Data!$H$2371:$H$3999,B86)</f>
        <v>1</v>
      </c>
      <c r="Z86" s="70" t="n">
        <f aca="false">SUMIFS(Data!$Q$2371:$Q$3999,Data!$H$2371:$H$3999,B86)</f>
        <v>0</v>
      </c>
      <c r="AA86" s="68" t="n">
        <f aca="false">V86+U86+O86+N86+K86+F86+E86+P86</f>
        <v>1</v>
      </c>
      <c r="AB86" s="68" t="n">
        <f aca="false">X86+W86+T86+R86+Q86+L86+H86+G86</f>
        <v>29</v>
      </c>
      <c r="AC86" s="68" t="n">
        <f aca="false">Z86+Y86+T86+S86+M86+J86+I86</f>
        <v>15</v>
      </c>
    </row>
    <row r="87" customFormat="false" ht="23.25" hidden="false" customHeight="true" outlineLevel="0" collapsed="false">
      <c r="A87" s="31" t="n">
        <f aca="false">Data!AE86</f>
        <v>1063</v>
      </c>
      <c r="B87" s="31" t="str">
        <f aca="false">Data!AD86</f>
        <v>دار اليزيد</v>
      </c>
      <c r="C87" s="31" t="n">
        <f aca="false">Data!AH86</f>
        <v>583493701</v>
      </c>
      <c r="D87" s="31" t="str">
        <f aca="false">Data!AF86</f>
        <v>تبوك</v>
      </c>
      <c r="E87" s="69" t="n">
        <f aca="false">SUMIFS(Data!$L$2:$L$781,Data!$H$2:$H$781,B87)</f>
        <v>0</v>
      </c>
      <c r="F87" s="70" t="n">
        <f aca="false">SUMIFS(Data!$K$2:$K$781,Data!$H$2:$H$781,B87)</f>
        <v>0</v>
      </c>
      <c r="G87" s="69" t="n">
        <f aca="false">SUMIFS(Data!$L$782:$L$2370,Data!$H$782:$H$2370,B87)</f>
        <v>0</v>
      </c>
      <c r="H87" s="70" t="n">
        <f aca="false">SUMIFS(Data!$K$782:$K$2370,Data!$H$782:$H$2370,B87)</f>
        <v>3</v>
      </c>
      <c r="I87" s="69" t="n">
        <f aca="false">SUMIFS(Data!$L$2371:$L$3999,Data!$H$2371:$H$3999,B87)</f>
        <v>2</v>
      </c>
      <c r="J87" s="70" t="n">
        <f aca="false">SUMIFS(Data!$K$2371:$K$3999,Data!$H$2371:$H$3999,B87)</f>
        <v>1</v>
      </c>
      <c r="K87" s="69" t="n">
        <f aca="false">SUMIFS(Data!$M$2:$M$781,Data!$H$2:$H$781,B87)</f>
        <v>0</v>
      </c>
      <c r="L87" s="69" t="n">
        <f aca="false">SUMIFS(Data!$M$782:$M$2370,Data!$H$782:$H$2370,B87)</f>
        <v>65</v>
      </c>
      <c r="M87" s="69" t="n">
        <f aca="false">SUMIFS(Data!$M$2371:$M$3999,Data!$H$2371:$H$3999,B87)</f>
        <v>353</v>
      </c>
      <c r="N87" s="70" t="n">
        <f aca="false">SUMIFS(Data!$O$2:$O$781,Data!$H$2:$H$781,B87)</f>
        <v>0</v>
      </c>
      <c r="O87" s="70" t="n">
        <f aca="false">SUMIFS(Data!$N$2:$N$781,Data!$H$2:$H$781,B87)</f>
        <v>0</v>
      </c>
      <c r="P87" s="69" t="n">
        <f aca="false">SUMIFS(Data!$P$2:$P$781,Data!$H$2:$H$781,B87)</f>
        <v>0</v>
      </c>
      <c r="Q87" s="70" t="n">
        <f aca="false">SUMIFS(Data!$O$782:$O$2370,Data!$H$782:$H$2370,B87)</f>
        <v>0</v>
      </c>
      <c r="R87" s="70" t="n">
        <f aca="false">SUMIFS(Data!$N$782:$N$2370,Data!$H$782:$H$2370,B87)</f>
        <v>0</v>
      </c>
      <c r="S87" s="70" t="n">
        <f aca="false">SUMIFS(Data!$O$2371:$O$3999,Data!$H$2371:$H$3999,B87)</f>
        <v>0</v>
      </c>
      <c r="T87" s="70" t="n">
        <f aca="false">SUMIFS(Data!$N$2371:$N$3999,Data!$H$2371:$H$3999,B87)</f>
        <v>0</v>
      </c>
      <c r="U87" s="69" t="n">
        <f aca="false">SUMIFS(Data!$R$2:$R$781,Data!$H$2:$H$781,B87)</f>
        <v>0</v>
      </c>
      <c r="V87" s="71" t="n">
        <f aca="false">SUMIFS(Data!$Q$2:$Q$781,Data!$H$2:$H$781,B87)</f>
        <v>0</v>
      </c>
      <c r="W87" s="69" t="n">
        <f aca="false">SUMIFS(Data!$R$782:$R$2370,Data!$H$782:$H$2370,B87)</f>
        <v>0</v>
      </c>
      <c r="X87" s="70" t="n">
        <f aca="false">SUMIFS(Data!$Q$782:$Q$2370,Data!$H$782:$H$2370,B87)</f>
        <v>0</v>
      </c>
      <c r="Y87" s="69" t="n">
        <f aca="false">SUMIFS(Data!$R$2371:$R$3999,Data!$H$2371:$H$3999,B87)</f>
        <v>18</v>
      </c>
      <c r="Z87" s="70" t="n">
        <f aca="false">SUMIFS(Data!$Q$2371:$Q$3999,Data!$H$2371:$H$3999,B87)</f>
        <v>25</v>
      </c>
      <c r="AA87" s="68" t="n">
        <f aca="false">V87+U87+O87+N87+K87+F87+E87+P87</f>
        <v>0</v>
      </c>
      <c r="AB87" s="68" t="n">
        <f aca="false">X87+W87+T87+R87+Q87+L87+H87+G87</f>
        <v>68</v>
      </c>
      <c r="AC87" s="68" t="n">
        <f aca="false">Z87+Y87+T87+S87+M87+J87+I87</f>
        <v>399</v>
      </c>
    </row>
    <row r="88" customFormat="false" ht="23.25" hidden="false" customHeight="true" outlineLevel="0" collapsed="false">
      <c r="A88" s="31" t="n">
        <f aca="false">Data!AE87</f>
        <v>1002852</v>
      </c>
      <c r="B88" s="31" t="str">
        <f aca="false">Data!AD87</f>
        <v>واحة تبوك</v>
      </c>
      <c r="C88" s="31" t="n">
        <f aca="false">Data!AH87</f>
        <v>552473281</v>
      </c>
      <c r="D88" s="31" t="str">
        <f aca="false">Data!AF87</f>
        <v>تبوك</v>
      </c>
      <c r="E88" s="69" t="n">
        <f aca="false">SUMIFS(Data!$L$2:$L$781,Data!$H$2:$H$781,B88)</f>
        <v>1</v>
      </c>
      <c r="F88" s="70" t="n">
        <f aca="false">SUMIFS(Data!$K$2:$K$781,Data!$H$2:$H$781,B88)</f>
        <v>5</v>
      </c>
      <c r="G88" s="69" t="n">
        <f aca="false">SUMIFS(Data!$L$782:$L$2370,Data!$H$782:$H$2370,B88)</f>
        <v>0</v>
      </c>
      <c r="H88" s="70" t="n">
        <f aca="false">SUMIFS(Data!$K$782:$K$2370,Data!$H$782:$H$2370,B88)</f>
        <v>17</v>
      </c>
      <c r="I88" s="69" t="n">
        <f aca="false">SUMIFS(Data!$L$2371:$L$3999,Data!$H$2371:$H$3999,B88)</f>
        <v>7</v>
      </c>
      <c r="J88" s="70" t="n">
        <f aca="false">SUMIFS(Data!$K$2371:$K$3999,Data!$H$2371:$H$3999,B88)</f>
        <v>7</v>
      </c>
      <c r="K88" s="69" t="n">
        <f aca="false">SUMIFS(Data!$M$2:$M$781,Data!$H$2:$H$781,B88)</f>
        <v>3</v>
      </c>
      <c r="L88" s="69" t="n">
        <f aca="false">SUMIFS(Data!$M$782:$M$2370,Data!$H$782:$H$2370,B88)</f>
        <v>9</v>
      </c>
      <c r="M88" s="69" t="n">
        <f aca="false">SUMIFS(Data!$M$2371:$M$3999,Data!$H$2371:$H$3999,B88)</f>
        <v>1</v>
      </c>
      <c r="N88" s="70" t="n">
        <f aca="false">SUMIFS(Data!$O$2:$O$781,Data!$H$2:$H$781,B88)</f>
        <v>0</v>
      </c>
      <c r="O88" s="70" t="n">
        <f aca="false">SUMIFS(Data!$N$2:$N$781,Data!$H$2:$H$781,B88)</f>
        <v>0</v>
      </c>
      <c r="P88" s="69" t="n">
        <f aca="false">SUMIFS(Data!$P$2:$P$781,Data!$H$2:$H$781,B88)</f>
        <v>0</v>
      </c>
      <c r="Q88" s="70" t="n">
        <f aca="false">SUMIFS(Data!$O$782:$O$2370,Data!$H$782:$H$2370,B88)</f>
        <v>0</v>
      </c>
      <c r="R88" s="70" t="n">
        <f aca="false">SUMIFS(Data!$N$782:$N$2370,Data!$H$782:$H$2370,B88)</f>
        <v>0</v>
      </c>
      <c r="S88" s="70" t="n">
        <f aca="false">SUMIFS(Data!$O$2371:$O$3999,Data!$H$2371:$H$3999,B88)</f>
        <v>0</v>
      </c>
      <c r="T88" s="70" t="n">
        <f aca="false">SUMIFS(Data!$N$2371:$N$3999,Data!$H$2371:$H$3999,B88)</f>
        <v>0</v>
      </c>
      <c r="U88" s="69" t="n">
        <f aca="false">SUMIFS(Data!$R$2:$R$781,Data!$H$2:$H$781,B88)</f>
        <v>4</v>
      </c>
      <c r="V88" s="71" t="n">
        <f aca="false">SUMIFS(Data!$Q$2:$Q$781,Data!$H$2:$H$781,B88)</f>
        <v>1</v>
      </c>
      <c r="W88" s="69" t="n">
        <f aca="false">SUMIFS(Data!$R$782:$R$2370,Data!$H$782:$H$2370,B88)</f>
        <v>14</v>
      </c>
      <c r="X88" s="70" t="n">
        <f aca="false">SUMIFS(Data!$Q$782:$Q$2370,Data!$H$782:$H$2370,B88)</f>
        <v>3</v>
      </c>
      <c r="Y88" s="69" t="n">
        <f aca="false">SUMIFS(Data!$R$2371:$R$3999,Data!$H$2371:$H$3999,B88)</f>
        <v>10</v>
      </c>
      <c r="Z88" s="70" t="n">
        <f aca="false">SUMIFS(Data!$Q$2371:$Q$3999,Data!$H$2371:$H$3999,B88)</f>
        <v>3</v>
      </c>
      <c r="AA88" s="68" t="n">
        <f aca="false">V88+U88+O88+N88+K88+F88+E88+P88</f>
        <v>14</v>
      </c>
      <c r="AB88" s="68" t="n">
        <f aca="false">X88+W88+T88+R88+Q88+L88+H88+G88</f>
        <v>43</v>
      </c>
      <c r="AC88" s="68" t="n">
        <f aca="false">Z88+Y88+T88+S88+M88+J88+I88</f>
        <v>28</v>
      </c>
    </row>
    <row r="89" customFormat="false" ht="23.25" hidden="false" customHeight="true" outlineLevel="0" collapsed="false">
      <c r="A89" s="31" t="n">
        <f aca="false">Data!AE88</f>
        <v>1008264</v>
      </c>
      <c r="B89" s="31" t="str">
        <f aca="false">Data!AD88</f>
        <v>ابراج اليزيد</v>
      </c>
      <c r="C89" s="31" t="n">
        <f aca="false">Data!AH88</f>
        <v>578762845</v>
      </c>
      <c r="D89" s="31" t="str">
        <f aca="false">Data!AF88</f>
        <v>تبوك</v>
      </c>
      <c r="E89" s="69" t="n">
        <f aca="false">SUMIFS(Data!$L$2:$L$781,Data!$H$2:$H$781,B89)</f>
        <v>1</v>
      </c>
      <c r="F89" s="70" t="n">
        <f aca="false">SUMIFS(Data!$K$2:$K$781,Data!$H$2:$H$781,B89)</f>
        <v>15</v>
      </c>
      <c r="G89" s="69" t="n">
        <f aca="false">SUMIFS(Data!$L$782:$L$2370,Data!$H$782:$H$2370,B89)</f>
        <v>2</v>
      </c>
      <c r="H89" s="70" t="n">
        <f aca="false">SUMIFS(Data!$K$782:$K$2370,Data!$H$782:$H$2370,B89)</f>
        <v>24</v>
      </c>
      <c r="I89" s="69" t="n">
        <f aca="false">SUMIFS(Data!$L$2371:$L$3999,Data!$H$2371:$H$3999,B89)</f>
        <v>0</v>
      </c>
      <c r="J89" s="70" t="n">
        <f aca="false">SUMIFS(Data!$K$2371:$K$3999,Data!$H$2371:$H$3999,B89)</f>
        <v>0</v>
      </c>
      <c r="K89" s="69" t="n">
        <f aca="false">SUMIFS(Data!$M$2:$M$781,Data!$H$2:$H$781,B89)</f>
        <v>1</v>
      </c>
      <c r="L89" s="69" t="n">
        <f aca="false">SUMIFS(Data!$M$782:$M$2370,Data!$H$782:$H$2370,B89)</f>
        <v>5</v>
      </c>
      <c r="M89" s="69" t="n">
        <f aca="false">SUMIFS(Data!$M$2371:$M$3999,Data!$H$2371:$H$3999,B89)</f>
        <v>0</v>
      </c>
      <c r="N89" s="70" t="n">
        <f aca="false">SUMIFS(Data!$O$2:$O$781,Data!$H$2:$H$781,B89)</f>
        <v>3</v>
      </c>
      <c r="O89" s="70" t="n">
        <f aca="false">SUMIFS(Data!$N$2:$N$781,Data!$H$2:$H$781,B89)</f>
        <v>0</v>
      </c>
      <c r="P89" s="69" t="n">
        <f aca="false">SUMIFS(Data!$P$2:$P$781,Data!$H$2:$H$781,B89)</f>
        <v>0</v>
      </c>
      <c r="Q89" s="70" t="n">
        <f aca="false">SUMIFS(Data!$O$782:$O$2370,Data!$H$782:$H$2370,B89)</f>
        <v>0</v>
      </c>
      <c r="R89" s="70" t="n">
        <f aca="false">SUMIFS(Data!$N$782:$N$2370,Data!$H$782:$H$2370,B89)</f>
        <v>0</v>
      </c>
      <c r="S89" s="70" t="n">
        <f aca="false">SUMIFS(Data!$O$2371:$O$3999,Data!$H$2371:$H$3999,B89)</f>
        <v>1</v>
      </c>
      <c r="T89" s="70" t="n">
        <f aca="false">SUMIFS(Data!$N$2371:$N$3999,Data!$H$2371:$H$3999,B89)</f>
        <v>0</v>
      </c>
      <c r="U89" s="69" t="n">
        <f aca="false">SUMIFS(Data!$R$2:$R$781,Data!$H$2:$H$781,B89)</f>
        <v>0</v>
      </c>
      <c r="V89" s="71" t="n">
        <f aca="false">SUMIFS(Data!$Q$2:$Q$781,Data!$H$2:$H$781,B89)</f>
        <v>2</v>
      </c>
      <c r="W89" s="69" t="n">
        <f aca="false">SUMIFS(Data!$R$782:$R$2370,Data!$H$782:$H$2370,B89)</f>
        <v>4</v>
      </c>
      <c r="X89" s="70" t="n">
        <f aca="false">SUMIFS(Data!$Q$782:$Q$2370,Data!$H$782:$H$2370,B89)</f>
        <v>1</v>
      </c>
      <c r="Y89" s="69" t="n">
        <f aca="false">SUMIFS(Data!$R$2371:$R$3999,Data!$H$2371:$H$3999,B89)</f>
        <v>3</v>
      </c>
      <c r="Z89" s="70" t="n">
        <f aca="false">SUMIFS(Data!$Q$2371:$Q$3999,Data!$H$2371:$H$3999,B89)</f>
        <v>0</v>
      </c>
      <c r="AA89" s="68" t="n">
        <f aca="false">V89+U89+O89+N89+K89+F89+E89+P89</f>
        <v>22</v>
      </c>
      <c r="AB89" s="68" t="n">
        <f aca="false">X89+W89+T89+R89+Q89+L89+H89+G89</f>
        <v>36</v>
      </c>
      <c r="AC89" s="68" t="n">
        <f aca="false">Z89+Y89+T89+S89+M89+J89+I89</f>
        <v>4</v>
      </c>
    </row>
    <row r="90" customFormat="false" ht="23.25" hidden="false" customHeight="true" outlineLevel="0" collapsed="false">
      <c r="A90" s="31" t="n">
        <f aca="false">Data!AE89</f>
        <v>1002875</v>
      </c>
      <c r="B90" s="31" t="str">
        <f aca="false">Data!AD89</f>
        <v>درة الراقي</v>
      </c>
      <c r="C90" s="31" t="n">
        <f aca="false">Data!AH89</f>
        <v>500384560</v>
      </c>
      <c r="D90" s="31" t="str">
        <f aca="false">Data!AF89</f>
        <v>تبوك</v>
      </c>
      <c r="E90" s="69" t="n">
        <f aca="false">SUMIFS(Data!$L$2:$L$781,Data!$H$2:$H$781,B90)</f>
        <v>0</v>
      </c>
      <c r="F90" s="70" t="n">
        <f aca="false">SUMIFS(Data!$K$2:$K$781,Data!$H$2:$H$781,B90)</f>
        <v>0</v>
      </c>
      <c r="G90" s="69" t="n">
        <f aca="false">SUMIFS(Data!$L$782:$L$2370,Data!$H$782:$H$2370,B90)</f>
        <v>0</v>
      </c>
      <c r="H90" s="70" t="n">
        <f aca="false">SUMIFS(Data!$K$782:$K$2370,Data!$H$782:$H$2370,B90)</f>
        <v>3</v>
      </c>
      <c r="I90" s="69" t="n">
        <f aca="false">SUMIFS(Data!$L$2371:$L$3999,Data!$H$2371:$H$3999,B90)</f>
        <v>0</v>
      </c>
      <c r="J90" s="70" t="n">
        <f aca="false">SUMIFS(Data!$K$2371:$K$3999,Data!$H$2371:$H$3999,B90)</f>
        <v>21</v>
      </c>
      <c r="K90" s="69" t="n">
        <f aca="false">SUMIFS(Data!$M$2:$M$781,Data!$H$2:$H$781,B90)</f>
        <v>0</v>
      </c>
      <c r="L90" s="69" t="n">
        <f aca="false">SUMIFS(Data!$M$782:$M$2370,Data!$H$782:$H$2370,B90)</f>
        <v>0</v>
      </c>
      <c r="M90" s="69" t="n">
        <f aca="false">SUMIFS(Data!$M$2371:$M$3999,Data!$H$2371:$H$3999,B90)</f>
        <v>27</v>
      </c>
      <c r="N90" s="70" t="n">
        <f aca="false">SUMIFS(Data!$O$2:$O$781,Data!$H$2:$H$781,B90)</f>
        <v>0</v>
      </c>
      <c r="O90" s="70" t="n">
        <f aca="false">SUMIFS(Data!$N$2:$N$781,Data!$H$2:$H$781,B90)</f>
        <v>0</v>
      </c>
      <c r="P90" s="69" t="n">
        <f aca="false">SUMIFS(Data!$P$2:$P$781,Data!$H$2:$H$781,B90)</f>
        <v>0</v>
      </c>
      <c r="Q90" s="70" t="n">
        <f aca="false">SUMIFS(Data!$O$782:$O$2370,Data!$H$782:$H$2370,B90)</f>
        <v>0</v>
      </c>
      <c r="R90" s="70" t="n">
        <f aca="false">SUMIFS(Data!$N$782:$N$2370,Data!$H$782:$H$2370,B90)</f>
        <v>0</v>
      </c>
      <c r="S90" s="70" t="n">
        <f aca="false">SUMIFS(Data!$O$2371:$O$3999,Data!$H$2371:$H$3999,B90)</f>
        <v>0</v>
      </c>
      <c r="T90" s="70" t="n">
        <f aca="false">SUMIFS(Data!$N$2371:$N$3999,Data!$H$2371:$H$3999,B90)</f>
        <v>8</v>
      </c>
      <c r="U90" s="69" t="n">
        <f aca="false">SUMIFS(Data!$R$2:$R$781,Data!$H$2:$H$781,B90)</f>
        <v>0</v>
      </c>
      <c r="V90" s="71" t="n">
        <f aca="false">SUMIFS(Data!$Q$2:$Q$781,Data!$H$2:$H$781,B90)</f>
        <v>0</v>
      </c>
      <c r="W90" s="69" t="n">
        <f aca="false">SUMIFS(Data!$R$782:$R$2370,Data!$H$782:$H$2370,B90)</f>
        <v>1</v>
      </c>
      <c r="X90" s="70" t="n">
        <f aca="false">SUMIFS(Data!$Q$782:$Q$2370,Data!$H$782:$H$2370,B90)</f>
        <v>2</v>
      </c>
      <c r="Y90" s="69" t="n">
        <f aca="false">SUMIFS(Data!$R$2371:$R$3999,Data!$H$2371:$H$3999,B90)</f>
        <v>28</v>
      </c>
      <c r="Z90" s="70" t="n">
        <f aca="false">SUMIFS(Data!$Q$2371:$Q$3999,Data!$H$2371:$H$3999,B90)</f>
        <v>7</v>
      </c>
      <c r="AA90" s="68" t="n">
        <f aca="false">V90+U90+O90+N90+K90+F90+E90+P90</f>
        <v>0</v>
      </c>
      <c r="AB90" s="68" t="n">
        <f aca="false">X90+W90+T90+R90+Q90+L90+H90+G90</f>
        <v>14</v>
      </c>
      <c r="AC90" s="68" t="n">
        <f aca="false">Z90+Y90+T90+S90+M90+J90+I90</f>
        <v>91</v>
      </c>
    </row>
    <row r="91" customFormat="false" ht="23.25" hidden="false" customHeight="true" outlineLevel="0" collapsed="false">
      <c r="A91" s="31" t="n">
        <f aca="false">Data!AE90</f>
        <v>1002914</v>
      </c>
      <c r="B91" s="31" t="str">
        <f aca="false">Data!AD90</f>
        <v>ابداعات الوليد</v>
      </c>
      <c r="C91" s="31" t="n">
        <f aca="false">Data!AH90</f>
        <v>570684260</v>
      </c>
      <c r="D91" s="31" t="str">
        <f aca="false">Data!AF90</f>
        <v>تبوك</v>
      </c>
      <c r="E91" s="69" t="n">
        <f aca="false">SUMIFS(Data!$L$2:$L$781,Data!$H$2:$H$781,B91)</f>
        <v>0</v>
      </c>
      <c r="F91" s="70" t="n">
        <f aca="false">SUMIFS(Data!$K$2:$K$781,Data!$H$2:$H$781,B91)</f>
        <v>0</v>
      </c>
      <c r="G91" s="69" t="n">
        <f aca="false">SUMIFS(Data!$L$782:$L$2370,Data!$H$782:$H$2370,B91)</f>
        <v>0</v>
      </c>
      <c r="H91" s="70" t="n">
        <f aca="false">SUMIFS(Data!$K$782:$K$2370,Data!$H$782:$H$2370,B91)</f>
        <v>3</v>
      </c>
      <c r="I91" s="69" t="n">
        <f aca="false">SUMIFS(Data!$L$2371:$L$3999,Data!$H$2371:$H$3999,B91)</f>
        <v>0</v>
      </c>
      <c r="J91" s="70" t="n">
        <f aca="false">SUMIFS(Data!$K$2371:$K$3999,Data!$H$2371:$H$3999,B91)</f>
        <v>15</v>
      </c>
      <c r="K91" s="69" t="n">
        <f aca="false">SUMIFS(Data!$M$2:$M$781,Data!$H$2:$H$781,B91)</f>
        <v>0</v>
      </c>
      <c r="L91" s="69" t="n">
        <f aca="false">SUMIFS(Data!$M$782:$M$2370,Data!$H$782:$H$2370,B91)</f>
        <v>0</v>
      </c>
      <c r="M91" s="69" t="n">
        <f aca="false">SUMIFS(Data!$M$2371:$M$3999,Data!$H$2371:$H$3999,B91)</f>
        <v>0</v>
      </c>
      <c r="N91" s="70" t="n">
        <f aca="false">SUMIFS(Data!$O$2:$O$781,Data!$H$2:$H$781,B91)</f>
        <v>0</v>
      </c>
      <c r="O91" s="70" t="n">
        <f aca="false">SUMIFS(Data!$N$2:$N$781,Data!$H$2:$H$781,B91)</f>
        <v>0</v>
      </c>
      <c r="P91" s="69" t="n">
        <f aca="false">SUMIFS(Data!$P$2:$P$781,Data!$H$2:$H$781,B91)</f>
        <v>0</v>
      </c>
      <c r="Q91" s="70" t="n">
        <f aca="false">SUMIFS(Data!$O$782:$O$2370,Data!$H$782:$H$2370,B91)</f>
        <v>0</v>
      </c>
      <c r="R91" s="70" t="n">
        <f aca="false">SUMIFS(Data!$N$782:$N$2370,Data!$H$782:$H$2370,B91)</f>
        <v>0</v>
      </c>
      <c r="S91" s="70" t="n">
        <f aca="false">SUMIFS(Data!$O$2371:$O$3999,Data!$H$2371:$H$3999,B91)</f>
        <v>0</v>
      </c>
      <c r="T91" s="70" t="n">
        <f aca="false">SUMIFS(Data!$N$2371:$N$3999,Data!$H$2371:$H$3999,B91)</f>
        <v>0</v>
      </c>
      <c r="U91" s="69" t="n">
        <f aca="false">SUMIFS(Data!$R$2:$R$781,Data!$H$2:$H$781,B91)</f>
        <v>0</v>
      </c>
      <c r="V91" s="71" t="n">
        <f aca="false">SUMIFS(Data!$Q$2:$Q$781,Data!$H$2:$H$781,B91)</f>
        <v>0</v>
      </c>
      <c r="W91" s="69" t="n">
        <f aca="false">SUMIFS(Data!$R$782:$R$2370,Data!$H$782:$H$2370,B91)</f>
        <v>0</v>
      </c>
      <c r="X91" s="70" t="n">
        <f aca="false">SUMIFS(Data!$Q$782:$Q$2370,Data!$H$782:$H$2370,B91)</f>
        <v>0</v>
      </c>
      <c r="Y91" s="69" t="n">
        <f aca="false">SUMIFS(Data!$R$2371:$R$3999,Data!$H$2371:$H$3999,B91)</f>
        <v>0</v>
      </c>
      <c r="Z91" s="70" t="n">
        <f aca="false">SUMIFS(Data!$Q$2371:$Q$3999,Data!$H$2371:$H$3999,B91)</f>
        <v>1</v>
      </c>
      <c r="AA91" s="68" t="n">
        <f aca="false">V91+U91+O91+N91+K91+F91+E91+P91</f>
        <v>0</v>
      </c>
      <c r="AB91" s="68" t="n">
        <f aca="false">X91+W91+T91+R91+Q91+L91+H91+G91</f>
        <v>3</v>
      </c>
      <c r="AC91" s="68" t="n">
        <f aca="false">Z91+Y91+T91+S91+M91+J91+I91</f>
        <v>16</v>
      </c>
    </row>
    <row r="92" customFormat="false" ht="23.25" hidden="false" customHeight="true" outlineLevel="0" collapsed="false">
      <c r="A92" s="31" t="n">
        <f aca="false">Data!AE91</f>
        <v>541</v>
      </c>
      <c r="B92" s="31" t="str">
        <f aca="false">Data!AD91</f>
        <v>الاصلي الذهبي</v>
      </c>
      <c r="C92" s="31" t="n">
        <f aca="false">Data!AH91</f>
        <v>0</v>
      </c>
      <c r="D92" s="31" t="str">
        <f aca="false">Data!AF91</f>
        <v>تبوك</v>
      </c>
      <c r="E92" s="69" t="n">
        <f aca="false">SUMIFS(Data!$L$2:$L$781,Data!$H$2:$H$781,B92)</f>
        <v>0</v>
      </c>
      <c r="F92" s="70" t="n">
        <f aca="false">SUMIFS(Data!$K$2:$K$781,Data!$H$2:$H$781,B92)</f>
        <v>0</v>
      </c>
      <c r="G92" s="69" t="n">
        <f aca="false">SUMIFS(Data!$L$782:$L$2370,Data!$H$782:$H$2370,B92)</f>
        <v>0</v>
      </c>
      <c r="H92" s="70" t="n">
        <f aca="false">SUMIFS(Data!$K$782:$K$2370,Data!$H$782:$H$2370,B92)</f>
        <v>0</v>
      </c>
      <c r="I92" s="69" t="n">
        <f aca="false">SUMIFS(Data!$L$2371:$L$3999,Data!$H$2371:$H$3999,B92)</f>
        <v>0</v>
      </c>
      <c r="J92" s="70" t="n">
        <f aca="false">SUMIFS(Data!$K$2371:$K$3999,Data!$H$2371:$H$3999,B92)</f>
        <v>0</v>
      </c>
      <c r="K92" s="69" t="n">
        <f aca="false">SUMIFS(Data!$M$2:$M$781,Data!$H$2:$H$781,B92)</f>
        <v>0</v>
      </c>
      <c r="L92" s="69" t="n">
        <f aca="false">SUMIFS(Data!$M$782:$M$2370,Data!$H$782:$H$2370,B92)</f>
        <v>0</v>
      </c>
      <c r="M92" s="69" t="n">
        <f aca="false">SUMIFS(Data!$M$2371:$M$3999,Data!$H$2371:$H$3999,B92)</f>
        <v>0</v>
      </c>
      <c r="N92" s="70" t="n">
        <f aca="false">SUMIFS(Data!$O$2:$O$781,Data!$H$2:$H$781,B92)</f>
        <v>0</v>
      </c>
      <c r="O92" s="70" t="n">
        <f aca="false">SUMIFS(Data!$N$2:$N$781,Data!$H$2:$H$781,B92)</f>
        <v>0</v>
      </c>
      <c r="P92" s="69" t="n">
        <f aca="false">SUMIFS(Data!$P$2:$P$781,Data!$H$2:$H$781,B92)</f>
        <v>0</v>
      </c>
      <c r="Q92" s="70" t="n">
        <f aca="false">SUMIFS(Data!$O$782:$O$2370,Data!$H$782:$H$2370,B92)</f>
        <v>0</v>
      </c>
      <c r="R92" s="70" t="n">
        <f aca="false">SUMIFS(Data!$N$782:$N$2370,Data!$H$782:$H$2370,B92)</f>
        <v>0</v>
      </c>
      <c r="S92" s="70" t="n">
        <f aca="false">SUMIFS(Data!$O$2371:$O$3999,Data!$H$2371:$H$3999,B92)</f>
        <v>0</v>
      </c>
      <c r="T92" s="70" t="n">
        <f aca="false">SUMIFS(Data!$N$2371:$N$3999,Data!$H$2371:$H$3999,B92)</f>
        <v>0</v>
      </c>
      <c r="U92" s="69" t="n">
        <f aca="false">SUMIFS(Data!$R$2:$R$781,Data!$H$2:$H$781,B92)</f>
        <v>0</v>
      </c>
      <c r="V92" s="71" t="n">
        <f aca="false">SUMIFS(Data!$Q$2:$Q$781,Data!$H$2:$H$781,B92)</f>
        <v>0</v>
      </c>
      <c r="W92" s="69" t="n">
        <f aca="false">SUMIFS(Data!$R$782:$R$2370,Data!$H$782:$H$2370,B92)</f>
        <v>0</v>
      </c>
      <c r="X92" s="70" t="n">
        <f aca="false">SUMIFS(Data!$Q$782:$Q$2370,Data!$H$782:$H$2370,B92)</f>
        <v>0</v>
      </c>
      <c r="Y92" s="69" t="n">
        <f aca="false">SUMIFS(Data!$R$2371:$R$3999,Data!$H$2371:$H$3999,B92)</f>
        <v>1</v>
      </c>
      <c r="Z92" s="70" t="n">
        <f aca="false">SUMIFS(Data!$Q$2371:$Q$3999,Data!$H$2371:$H$3999,B92)</f>
        <v>0</v>
      </c>
      <c r="AA92" s="68" t="n">
        <f aca="false">V92+U92+O92+N92+K92+F92+E92+P92</f>
        <v>0</v>
      </c>
      <c r="AB92" s="68" t="n">
        <f aca="false">X92+W92+T92+R92+Q92+L92+H92+G92</f>
        <v>0</v>
      </c>
      <c r="AC92" s="68" t="n">
        <f aca="false">Z92+Y92+T92+S92+M92+J92+I92</f>
        <v>1</v>
      </c>
    </row>
    <row r="93" customFormat="false" ht="23.25" hidden="false" customHeight="true" outlineLevel="0" collapsed="false">
      <c r="A93" s="31" t="n">
        <f aca="false">Data!AE92</f>
        <v>543</v>
      </c>
      <c r="B93" s="31" t="str">
        <f aca="false">Data!AD92</f>
        <v>دريس الذهبي</v>
      </c>
      <c r="C93" s="31" t="n">
        <f aca="false">Data!AH92</f>
        <v>531812717</v>
      </c>
      <c r="D93" s="31" t="str">
        <f aca="false">Data!AF92</f>
        <v>تبوك</v>
      </c>
      <c r="E93" s="69" t="n">
        <f aca="false">SUMIFS(Data!$L$2:$L$781,Data!$H$2:$H$781,B93)</f>
        <v>0</v>
      </c>
      <c r="F93" s="70" t="n">
        <f aca="false">SUMIFS(Data!$K$2:$K$781,Data!$H$2:$H$781,B93)</f>
        <v>0</v>
      </c>
      <c r="G93" s="69" t="n">
        <f aca="false">SUMIFS(Data!$L$782:$L$2370,Data!$H$782:$H$2370,B93)</f>
        <v>0</v>
      </c>
      <c r="H93" s="70" t="n">
        <f aca="false">SUMIFS(Data!$K$782:$K$2370,Data!$H$782:$H$2370,B93)</f>
        <v>0</v>
      </c>
      <c r="I93" s="69" t="n">
        <f aca="false">SUMIFS(Data!$L$2371:$L$3999,Data!$H$2371:$H$3999,B93)</f>
        <v>0</v>
      </c>
      <c r="J93" s="70" t="n">
        <f aca="false">SUMIFS(Data!$K$2371:$K$3999,Data!$H$2371:$H$3999,B93)</f>
        <v>0</v>
      </c>
      <c r="K93" s="69" t="n">
        <f aca="false">SUMIFS(Data!$M$2:$M$781,Data!$H$2:$H$781,B93)</f>
        <v>0</v>
      </c>
      <c r="L93" s="69" t="n">
        <f aca="false">SUMIFS(Data!$M$782:$M$2370,Data!$H$782:$H$2370,B93)</f>
        <v>0</v>
      </c>
      <c r="M93" s="69" t="n">
        <f aca="false">SUMIFS(Data!$M$2371:$M$3999,Data!$H$2371:$H$3999,B93)</f>
        <v>0</v>
      </c>
      <c r="N93" s="70" t="n">
        <f aca="false">SUMIFS(Data!$O$2:$O$781,Data!$H$2:$H$781,B93)</f>
        <v>0</v>
      </c>
      <c r="O93" s="70" t="n">
        <f aca="false">SUMIFS(Data!$N$2:$N$781,Data!$H$2:$H$781,B93)</f>
        <v>0</v>
      </c>
      <c r="P93" s="69" t="n">
        <f aca="false">SUMIFS(Data!$P$2:$P$781,Data!$H$2:$H$781,B93)</f>
        <v>0</v>
      </c>
      <c r="Q93" s="70" t="n">
        <f aca="false">SUMIFS(Data!$O$782:$O$2370,Data!$H$782:$H$2370,B93)</f>
        <v>0</v>
      </c>
      <c r="R93" s="70" t="n">
        <f aca="false">SUMIFS(Data!$N$782:$N$2370,Data!$H$782:$H$2370,B93)</f>
        <v>0</v>
      </c>
      <c r="S93" s="70" t="n">
        <f aca="false">SUMIFS(Data!$O$2371:$O$3999,Data!$H$2371:$H$3999,B93)</f>
        <v>0</v>
      </c>
      <c r="T93" s="70" t="n">
        <f aca="false">SUMIFS(Data!$N$2371:$N$3999,Data!$H$2371:$H$3999,B93)</f>
        <v>0</v>
      </c>
      <c r="U93" s="69" t="n">
        <f aca="false">SUMIFS(Data!$R$2:$R$781,Data!$H$2:$H$781,B93)</f>
        <v>0</v>
      </c>
      <c r="V93" s="71" t="n">
        <f aca="false">SUMIFS(Data!$Q$2:$Q$781,Data!$H$2:$H$781,B93)</f>
        <v>0</v>
      </c>
      <c r="W93" s="69" t="n">
        <f aca="false">SUMIFS(Data!$R$782:$R$2370,Data!$H$782:$H$2370,B93)</f>
        <v>0</v>
      </c>
      <c r="X93" s="70" t="n">
        <f aca="false">SUMIFS(Data!$Q$782:$Q$2370,Data!$H$782:$H$2370,B93)</f>
        <v>0</v>
      </c>
      <c r="Y93" s="69" t="n">
        <f aca="false">SUMIFS(Data!$R$2371:$R$3999,Data!$H$2371:$H$3999,B93)</f>
        <v>1</v>
      </c>
      <c r="Z93" s="70" t="n">
        <f aca="false">SUMIFS(Data!$Q$2371:$Q$3999,Data!$H$2371:$H$3999,B93)</f>
        <v>0</v>
      </c>
      <c r="AA93" s="68" t="n">
        <f aca="false">V93+U93+O93+N93+K93+F93+E93+P93</f>
        <v>0</v>
      </c>
      <c r="AB93" s="68" t="n">
        <f aca="false">X93+W93+T93+R93+Q93+L93+H93+G93</f>
        <v>0</v>
      </c>
      <c r="AC93" s="68" t="n">
        <f aca="false">Z93+Y93+T93+S93+M93+J93+I93</f>
        <v>1</v>
      </c>
    </row>
    <row r="94" customFormat="false" ht="23.25" hidden="false" customHeight="true" outlineLevel="0" collapsed="false">
      <c r="A94" s="31" t="n">
        <f aca="false">Data!AE93</f>
        <v>983</v>
      </c>
      <c r="B94" s="31" t="str">
        <f aca="false">Data!AD93</f>
        <v>درر السعاده</v>
      </c>
      <c r="C94" s="31" t="n">
        <f aca="false">Data!AH93</f>
        <v>0</v>
      </c>
      <c r="D94" s="31" t="str">
        <f aca="false">Data!AF93</f>
        <v>تبوك</v>
      </c>
      <c r="E94" s="69" t="n">
        <f aca="false">SUMIFS(Data!$L$2:$L$781,Data!$H$2:$H$781,B94)</f>
        <v>0</v>
      </c>
      <c r="F94" s="70" t="n">
        <f aca="false">SUMIFS(Data!$K$2:$K$781,Data!$H$2:$H$781,B94)</f>
        <v>0</v>
      </c>
      <c r="G94" s="69" t="n">
        <f aca="false">SUMIFS(Data!$L$782:$L$2370,Data!$H$782:$H$2370,B94)</f>
        <v>0</v>
      </c>
      <c r="H94" s="70" t="n">
        <f aca="false">SUMIFS(Data!$K$782:$K$2370,Data!$H$782:$H$2370,B94)</f>
        <v>3</v>
      </c>
      <c r="I94" s="69" t="n">
        <f aca="false">SUMIFS(Data!$L$2371:$L$3999,Data!$H$2371:$H$3999,B94)</f>
        <v>0</v>
      </c>
      <c r="J94" s="70" t="n">
        <f aca="false">SUMIFS(Data!$K$2371:$K$3999,Data!$H$2371:$H$3999,B94)</f>
        <v>0</v>
      </c>
      <c r="K94" s="69" t="n">
        <f aca="false">SUMIFS(Data!$M$2:$M$781,Data!$H$2:$H$781,B94)</f>
        <v>0</v>
      </c>
      <c r="L94" s="69" t="n">
        <f aca="false">SUMIFS(Data!$M$782:$M$2370,Data!$H$782:$H$2370,B94)</f>
        <v>1</v>
      </c>
      <c r="M94" s="69" t="n">
        <f aca="false">SUMIFS(Data!$M$2371:$M$3999,Data!$H$2371:$H$3999,B94)</f>
        <v>0</v>
      </c>
      <c r="N94" s="70" t="n">
        <f aca="false">SUMIFS(Data!$O$2:$O$781,Data!$H$2:$H$781,B94)</f>
        <v>0</v>
      </c>
      <c r="O94" s="70" t="n">
        <f aca="false">SUMIFS(Data!$N$2:$N$781,Data!$H$2:$H$781,B94)</f>
        <v>0</v>
      </c>
      <c r="P94" s="69" t="n">
        <f aca="false">SUMIFS(Data!$P$2:$P$781,Data!$H$2:$H$781,B94)</f>
        <v>0</v>
      </c>
      <c r="Q94" s="70" t="n">
        <f aca="false">SUMIFS(Data!$O$782:$O$2370,Data!$H$782:$H$2370,B94)</f>
        <v>0</v>
      </c>
      <c r="R94" s="70" t="n">
        <f aca="false">SUMIFS(Data!$N$782:$N$2370,Data!$H$782:$H$2370,B94)</f>
        <v>0</v>
      </c>
      <c r="S94" s="70" t="n">
        <f aca="false">SUMIFS(Data!$O$2371:$O$3999,Data!$H$2371:$H$3999,B94)</f>
        <v>0</v>
      </c>
      <c r="T94" s="70" t="n">
        <f aca="false">SUMIFS(Data!$N$2371:$N$3999,Data!$H$2371:$H$3999,B94)</f>
        <v>0</v>
      </c>
      <c r="U94" s="69" t="n">
        <f aca="false">SUMIFS(Data!$R$2:$R$781,Data!$H$2:$H$781,B94)</f>
        <v>0</v>
      </c>
      <c r="V94" s="71" t="n">
        <f aca="false">SUMIFS(Data!$Q$2:$Q$781,Data!$H$2:$H$781,B94)</f>
        <v>0</v>
      </c>
      <c r="W94" s="69" t="n">
        <f aca="false">SUMIFS(Data!$R$782:$R$2370,Data!$H$782:$H$2370,B94)</f>
        <v>0</v>
      </c>
      <c r="X94" s="70" t="n">
        <f aca="false">SUMIFS(Data!$Q$782:$Q$2370,Data!$H$782:$H$2370,B94)</f>
        <v>1</v>
      </c>
      <c r="Y94" s="69" t="n">
        <f aca="false">SUMIFS(Data!$R$2371:$R$3999,Data!$H$2371:$H$3999,B94)</f>
        <v>0</v>
      </c>
      <c r="Z94" s="70" t="n">
        <f aca="false">SUMIFS(Data!$Q$2371:$Q$3999,Data!$H$2371:$H$3999,B94)</f>
        <v>0</v>
      </c>
      <c r="AA94" s="68" t="n">
        <f aca="false">V94+U94+O94+N94+K94+F94+E94+P94</f>
        <v>0</v>
      </c>
      <c r="AB94" s="68" t="n">
        <f aca="false">X94+W94+T94+R94+Q94+L94+H94+G94</f>
        <v>5</v>
      </c>
      <c r="AC94" s="68" t="n">
        <f aca="false">Z94+Y94+T94+S94+M94+J94+I94</f>
        <v>0</v>
      </c>
    </row>
    <row r="95" customFormat="false" ht="23.25" hidden="false" customHeight="true" outlineLevel="0" collapsed="false">
      <c r="A95" s="31" t="n">
        <f aca="false">Data!AE94</f>
        <v>1008269</v>
      </c>
      <c r="B95" s="31" t="str">
        <f aca="false">Data!AD94</f>
        <v>نبراس القادسيه</v>
      </c>
      <c r="C95" s="31" t="n">
        <f aca="false">Data!AH94</f>
        <v>0</v>
      </c>
      <c r="D95" s="31" t="str">
        <f aca="false">Data!AF94</f>
        <v>تبوك</v>
      </c>
      <c r="E95" s="69" t="n">
        <f aca="false">SUMIFS(Data!$L$2:$L$781,Data!$H$2:$H$781,B95)</f>
        <v>1</v>
      </c>
      <c r="F95" s="70" t="n">
        <f aca="false">SUMIFS(Data!$K$2:$K$781,Data!$H$2:$H$781,B95)</f>
        <v>4</v>
      </c>
      <c r="G95" s="69" t="n">
        <f aca="false">SUMIFS(Data!$L$782:$L$2370,Data!$H$782:$H$2370,B95)</f>
        <v>0</v>
      </c>
      <c r="H95" s="70" t="n">
        <f aca="false">SUMIFS(Data!$K$782:$K$2370,Data!$H$782:$H$2370,B95)</f>
        <v>3</v>
      </c>
      <c r="I95" s="69" t="n">
        <f aca="false">SUMIFS(Data!$L$2371:$L$3999,Data!$H$2371:$H$3999,B95)</f>
        <v>0</v>
      </c>
      <c r="J95" s="70" t="n">
        <f aca="false">SUMIFS(Data!$K$2371:$K$3999,Data!$H$2371:$H$3999,B95)</f>
        <v>0</v>
      </c>
      <c r="K95" s="69" t="n">
        <f aca="false">SUMIFS(Data!$M$2:$M$781,Data!$H$2:$H$781,B95)</f>
        <v>0</v>
      </c>
      <c r="L95" s="69" t="n">
        <f aca="false">SUMIFS(Data!$M$782:$M$2370,Data!$H$782:$H$2370,B95)</f>
        <v>0</v>
      </c>
      <c r="M95" s="69" t="n">
        <f aca="false">SUMIFS(Data!$M$2371:$M$3999,Data!$H$2371:$H$3999,B95)</f>
        <v>0</v>
      </c>
      <c r="N95" s="70" t="n">
        <f aca="false">SUMIFS(Data!$O$2:$O$781,Data!$H$2:$H$781,B95)</f>
        <v>0</v>
      </c>
      <c r="O95" s="70" t="n">
        <f aca="false">SUMIFS(Data!$N$2:$N$781,Data!$H$2:$H$781,B95)</f>
        <v>0</v>
      </c>
      <c r="P95" s="69" t="n">
        <f aca="false">SUMIFS(Data!$P$2:$P$781,Data!$H$2:$H$781,B95)</f>
        <v>0</v>
      </c>
      <c r="Q95" s="70" t="n">
        <f aca="false">SUMIFS(Data!$O$782:$O$2370,Data!$H$782:$H$2370,B95)</f>
        <v>0</v>
      </c>
      <c r="R95" s="70" t="n">
        <f aca="false">SUMIFS(Data!$N$782:$N$2370,Data!$H$782:$H$2370,B95)</f>
        <v>1</v>
      </c>
      <c r="S95" s="70" t="n">
        <f aca="false">SUMIFS(Data!$O$2371:$O$3999,Data!$H$2371:$H$3999,B95)</f>
        <v>0</v>
      </c>
      <c r="T95" s="70" t="n">
        <f aca="false">SUMIFS(Data!$N$2371:$N$3999,Data!$H$2371:$H$3999,B95)</f>
        <v>0</v>
      </c>
      <c r="U95" s="69" t="n">
        <f aca="false">SUMIFS(Data!$R$2:$R$781,Data!$H$2:$H$781,B95)</f>
        <v>0</v>
      </c>
      <c r="V95" s="71" t="n">
        <f aca="false">SUMIFS(Data!$Q$2:$Q$781,Data!$H$2:$H$781,B95)</f>
        <v>2</v>
      </c>
      <c r="W95" s="69" t="n">
        <f aca="false">SUMIFS(Data!$R$782:$R$2370,Data!$H$782:$H$2370,B95)</f>
        <v>2</v>
      </c>
      <c r="X95" s="70" t="n">
        <f aca="false">SUMIFS(Data!$Q$782:$Q$2370,Data!$H$782:$H$2370,B95)</f>
        <v>2</v>
      </c>
      <c r="Y95" s="69" t="n">
        <f aca="false">SUMIFS(Data!$R$2371:$R$3999,Data!$H$2371:$H$3999,B95)</f>
        <v>2</v>
      </c>
      <c r="Z95" s="70" t="n">
        <f aca="false">SUMIFS(Data!$Q$2371:$Q$3999,Data!$H$2371:$H$3999,B95)</f>
        <v>2</v>
      </c>
      <c r="AA95" s="68" t="n">
        <f aca="false">V95+U95+O95+N95+K95+F95+E95+P95</f>
        <v>7</v>
      </c>
      <c r="AB95" s="68" t="n">
        <f aca="false">X95+W95+T95+R95+Q95+L95+H95+G95</f>
        <v>8</v>
      </c>
      <c r="AC95" s="68" t="n">
        <f aca="false">Z95+Y95+T95+S95+M95+J95+I95</f>
        <v>4</v>
      </c>
    </row>
    <row r="96" customFormat="false" ht="23.25" hidden="false" customHeight="true" outlineLevel="0" collapsed="false">
      <c r="A96" s="31" t="n">
        <f aca="false">Data!AE95</f>
        <v>1002940</v>
      </c>
      <c r="B96" s="31" t="str">
        <f aca="false">Data!AD95</f>
        <v>مكس البوادي</v>
      </c>
      <c r="C96" s="31" t="n">
        <f aca="false">Data!AH95</f>
        <v>0</v>
      </c>
      <c r="D96" s="31" t="str">
        <f aca="false">Data!AF95</f>
        <v>تبوك</v>
      </c>
      <c r="E96" s="69" t="n">
        <f aca="false">SUMIFS(Data!$L$2:$L$781,Data!$H$2:$H$781,B96)</f>
        <v>1</v>
      </c>
      <c r="F96" s="70" t="n">
        <f aca="false">SUMIFS(Data!$K$2:$K$781,Data!$H$2:$H$781,B96)</f>
        <v>8</v>
      </c>
      <c r="G96" s="69" t="n">
        <f aca="false">SUMIFS(Data!$L$782:$L$2370,Data!$H$782:$H$2370,B96)</f>
        <v>0</v>
      </c>
      <c r="H96" s="70" t="n">
        <f aca="false">SUMIFS(Data!$K$782:$K$2370,Data!$H$782:$H$2370,B96)</f>
        <v>6</v>
      </c>
      <c r="I96" s="69" t="n">
        <f aca="false">SUMIFS(Data!$L$2371:$L$3999,Data!$H$2371:$H$3999,B96)</f>
        <v>0</v>
      </c>
      <c r="J96" s="70" t="n">
        <f aca="false">SUMIFS(Data!$K$2371:$K$3999,Data!$H$2371:$H$3999,B96)</f>
        <v>0</v>
      </c>
      <c r="K96" s="69" t="n">
        <f aca="false">SUMIFS(Data!$M$2:$M$781,Data!$H$2:$H$781,B96)</f>
        <v>4</v>
      </c>
      <c r="L96" s="69" t="n">
        <f aca="false">SUMIFS(Data!$M$782:$M$2370,Data!$H$782:$H$2370,B96)</f>
        <v>1</v>
      </c>
      <c r="M96" s="69" t="n">
        <f aca="false">SUMIFS(Data!$M$2371:$M$3999,Data!$H$2371:$H$3999,B96)</f>
        <v>0</v>
      </c>
      <c r="N96" s="70" t="n">
        <f aca="false">SUMIFS(Data!$O$2:$O$781,Data!$H$2:$H$781,B96)</f>
        <v>0</v>
      </c>
      <c r="O96" s="70" t="n">
        <f aca="false">SUMIFS(Data!$N$2:$N$781,Data!$H$2:$H$781,B96)</f>
        <v>0</v>
      </c>
      <c r="P96" s="69" t="n">
        <f aca="false">SUMIFS(Data!$P$2:$P$781,Data!$H$2:$H$781,B96)</f>
        <v>0</v>
      </c>
      <c r="Q96" s="70" t="n">
        <f aca="false">SUMIFS(Data!$O$782:$O$2370,Data!$H$782:$H$2370,B96)</f>
        <v>0</v>
      </c>
      <c r="R96" s="70" t="n">
        <f aca="false">SUMIFS(Data!$N$782:$N$2370,Data!$H$782:$H$2370,B96)</f>
        <v>0</v>
      </c>
      <c r="S96" s="70" t="n">
        <f aca="false">SUMIFS(Data!$O$2371:$O$3999,Data!$H$2371:$H$3999,B96)</f>
        <v>0</v>
      </c>
      <c r="T96" s="70" t="n">
        <f aca="false">SUMIFS(Data!$N$2371:$N$3999,Data!$H$2371:$H$3999,B96)</f>
        <v>0</v>
      </c>
      <c r="U96" s="69" t="n">
        <f aca="false">SUMIFS(Data!$R$2:$R$781,Data!$H$2:$H$781,B96)</f>
        <v>2</v>
      </c>
      <c r="V96" s="71" t="n">
        <f aca="false">SUMIFS(Data!$Q$2:$Q$781,Data!$H$2:$H$781,B96)</f>
        <v>5</v>
      </c>
      <c r="W96" s="69" t="n">
        <f aca="false">SUMIFS(Data!$R$782:$R$2370,Data!$H$782:$H$2370,B96)</f>
        <v>0</v>
      </c>
      <c r="X96" s="70" t="n">
        <f aca="false">SUMIFS(Data!$Q$782:$Q$2370,Data!$H$782:$H$2370,B96)</f>
        <v>3</v>
      </c>
      <c r="Y96" s="69" t="n">
        <f aca="false">SUMIFS(Data!$R$2371:$R$3999,Data!$H$2371:$H$3999,B96)</f>
        <v>0</v>
      </c>
      <c r="Z96" s="70" t="n">
        <f aca="false">SUMIFS(Data!$Q$2371:$Q$3999,Data!$H$2371:$H$3999,B96)</f>
        <v>0</v>
      </c>
      <c r="AA96" s="68" t="n">
        <f aca="false">V96+U96+O96+N96+K96+F96+E96+P96</f>
        <v>20</v>
      </c>
      <c r="AB96" s="68" t="n">
        <f aca="false">X96+W96+T96+R96+Q96+L96+H96+G96</f>
        <v>10</v>
      </c>
      <c r="AC96" s="68" t="n">
        <f aca="false">Z96+Y96+T96+S96+M96+J96+I96</f>
        <v>0</v>
      </c>
    </row>
    <row r="97" customFormat="false" ht="23.25" hidden="false" customHeight="true" outlineLevel="0" collapsed="false">
      <c r="A97" s="31" t="n">
        <f aca="false">Data!AE96</f>
        <v>566</v>
      </c>
      <c r="B97" s="31" t="str">
        <f aca="false">Data!AD96</f>
        <v>عالم الطموح</v>
      </c>
      <c r="C97" s="31" t="n">
        <f aca="false">Data!AH96</f>
        <v>559831330</v>
      </c>
      <c r="D97" s="31" t="str">
        <f aca="false">Data!AF96</f>
        <v>تبوك</v>
      </c>
      <c r="E97" s="69" t="n">
        <f aca="false">SUMIFS(Data!$L$2:$L$781,Data!$H$2:$H$781,B97)</f>
        <v>1</v>
      </c>
      <c r="F97" s="70" t="n">
        <f aca="false">SUMIFS(Data!$K$2:$K$781,Data!$H$2:$H$781,B97)</f>
        <v>6</v>
      </c>
      <c r="G97" s="69" t="n">
        <f aca="false">SUMIFS(Data!$L$782:$L$2370,Data!$H$782:$H$2370,B97)</f>
        <v>0</v>
      </c>
      <c r="H97" s="70" t="n">
        <f aca="false">SUMIFS(Data!$K$782:$K$2370,Data!$H$782:$H$2370,B97)</f>
        <v>16</v>
      </c>
      <c r="I97" s="69" t="n">
        <f aca="false">SUMIFS(Data!$L$2371:$L$3999,Data!$H$2371:$H$3999,B97)</f>
        <v>0</v>
      </c>
      <c r="J97" s="70" t="n">
        <f aca="false">SUMIFS(Data!$K$2371:$K$3999,Data!$H$2371:$H$3999,B97)</f>
        <v>25</v>
      </c>
      <c r="K97" s="69" t="n">
        <f aca="false">SUMIFS(Data!$M$2:$M$781,Data!$H$2:$H$781,B97)</f>
        <v>0</v>
      </c>
      <c r="L97" s="69" t="n">
        <f aca="false">SUMIFS(Data!$M$782:$M$2370,Data!$H$782:$H$2370,B97)</f>
        <v>0</v>
      </c>
      <c r="M97" s="69" t="n">
        <f aca="false">SUMIFS(Data!$M$2371:$M$3999,Data!$H$2371:$H$3999,B97)</f>
        <v>7</v>
      </c>
      <c r="N97" s="70" t="n">
        <f aca="false">SUMIFS(Data!$O$2:$O$781,Data!$H$2:$H$781,B97)</f>
        <v>0</v>
      </c>
      <c r="O97" s="70" t="n">
        <f aca="false">SUMIFS(Data!$N$2:$N$781,Data!$H$2:$H$781,B97)</f>
        <v>0</v>
      </c>
      <c r="P97" s="69" t="n">
        <f aca="false">SUMIFS(Data!$P$2:$P$781,Data!$H$2:$H$781,B97)</f>
        <v>0</v>
      </c>
      <c r="Q97" s="70" t="n">
        <f aca="false">SUMIFS(Data!$O$782:$O$2370,Data!$H$782:$H$2370,B97)</f>
        <v>0</v>
      </c>
      <c r="R97" s="70" t="n">
        <f aca="false">SUMIFS(Data!$N$782:$N$2370,Data!$H$782:$H$2370,B97)</f>
        <v>0</v>
      </c>
      <c r="S97" s="70" t="n">
        <f aca="false">SUMIFS(Data!$O$2371:$O$3999,Data!$H$2371:$H$3999,B97)</f>
        <v>1</v>
      </c>
      <c r="T97" s="70" t="n">
        <f aca="false">SUMIFS(Data!$N$2371:$N$3999,Data!$H$2371:$H$3999,B97)</f>
        <v>0</v>
      </c>
      <c r="U97" s="69" t="n">
        <f aca="false">SUMIFS(Data!$R$2:$R$781,Data!$H$2:$H$781,B97)</f>
        <v>0</v>
      </c>
      <c r="V97" s="71" t="n">
        <f aca="false">SUMIFS(Data!$Q$2:$Q$781,Data!$H$2:$H$781,B97)</f>
        <v>0</v>
      </c>
      <c r="W97" s="69" t="n">
        <f aca="false">SUMIFS(Data!$R$782:$R$2370,Data!$H$782:$H$2370,B97)</f>
        <v>4</v>
      </c>
      <c r="X97" s="70" t="n">
        <f aca="false">SUMIFS(Data!$Q$782:$Q$2370,Data!$H$782:$H$2370,B97)</f>
        <v>1</v>
      </c>
      <c r="Y97" s="69" t="n">
        <f aca="false">SUMIFS(Data!$R$2371:$R$3999,Data!$H$2371:$H$3999,B97)</f>
        <v>2</v>
      </c>
      <c r="Z97" s="70" t="n">
        <f aca="false">SUMIFS(Data!$Q$2371:$Q$3999,Data!$H$2371:$H$3999,B97)</f>
        <v>1</v>
      </c>
      <c r="AA97" s="68" t="n">
        <f aca="false">V97+U97+O97+N97+K97+F97+E97+P97</f>
        <v>7</v>
      </c>
      <c r="AB97" s="68" t="n">
        <f aca="false">X97+W97+T97+R97+Q97+L97+H97+G97</f>
        <v>21</v>
      </c>
      <c r="AC97" s="68" t="n">
        <f aca="false">Z97+Y97+T97+S97+M97+J97+I97</f>
        <v>36</v>
      </c>
    </row>
    <row r="98" customFormat="false" ht="23.25" hidden="false" customHeight="true" outlineLevel="0" collapsed="false">
      <c r="A98" s="31" t="n">
        <f aca="false">Data!AE97</f>
        <v>1002949</v>
      </c>
      <c r="B98" s="31" t="str">
        <f aca="false">Data!AD97</f>
        <v>كيان لارا</v>
      </c>
      <c r="C98" s="31" t="n">
        <f aca="false">Data!AH97</f>
        <v>531817222</v>
      </c>
      <c r="D98" s="31" t="str">
        <f aca="false">Data!AF97</f>
        <v>تبوك</v>
      </c>
      <c r="E98" s="69" t="n">
        <f aca="false">SUMIFS(Data!$L$2:$L$781,Data!$H$2:$H$781,B98)</f>
        <v>0</v>
      </c>
      <c r="F98" s="70" t="n">
        <f aca="false">SUMIFS(Data!$K$2:$K$781,Data!$H$2:$H$781,B98)</f>
        <v>0</v>
      </c>
      <c r="G98" s="69" t="n">
        <f aca="false">SUMIFS(Data!$L$782:$L$2370,Data!$H$782:$H$2370,B98)</f>
        <v>0</v>
      </c>
      <c r="H98" s="70" t="n">
        <f aca="false">SUMIFS(Data!$K$782:$K$2370,Data!$H$782:$H$2370,B98)</f>
        <v>13</v>
      </c>
      <c r="I98" s="69" t="n">
        <f aca="false">SUMIFS(Data!$L$2371:$L$3999,Data!$H$2371:$H$3999,B98)</f>
        <v>7</v>
      </c>
      <c r="J98" s="70" t="n">
        <f aca="false">SUMIFS(Data!$K$2371:$K$3999,Data!$H$2371:$H$3999,B98)</f>
        <v>7</v>
      </c>
      <c r="K98" s="69" t="n">
        <f aca="false">SUMIFS(Data!$M$2:$M$781,Data!$H$2:$H$781,B98)</f>
        <v>0</v>
      </c>
      <c r="L98" s="69" t="n">
        <f aca="false">SUMIFS(Data!$M$782:$M$2370,Data!$H$782:$H$2370,B98)</f>
        <v>12</v>
      </c>
      <c r="M98" s="69" t="n">
        <f aca="false">SUMIFS(Data!$M$2371:$M$3999,Data!$H$2371:$H$3999,B98)</f>
        <v>2</v>
      </c>
      <c r="N98" s="70" t="n">
        <f aca="false">SUMIFS(Data!$O$2:$O$781,Data!$H$2:$H$781,B98)</f>
        <v>0</v>
      </c>
      <c r="O98" s="70" t="n">
        <f aca="false">SUMIFS(Data!$N$2:$N$781,Data!$H$2:$H$781,B98)</f>
        <v>0</v>
      </c>
      <c r="P98" s="69" t="n">
        <f aca="false">SUMIFS(Data!$P$2:$P$781,Data!$H$2:$H$781,B98)</f>
        <v>0</v>
      </c>
      <c r="Q98" s="70" t="n">
        <f aca="false">SUMIFS(Data!$O$782:$O$2370,Data!$H$782:$H$2370,B98)</f>
        <v>1</v>
      </c>
      <c r="R98" s="70" t="n">
        <f aca="false">SUMIFS(Data!$N$782:$N$2370,Data!$H$782:$H$2370,B98)</f>
        <v>1</v>
      </c>
      <c r="S98" s="70" t="n">
        <f aca="false">SUMIFS(Data!$O$2371:$O$3999,Data!$H$2371:$H$3999,B98)</f>
        <v>2</v>
      </c>
      <c r="T98" s="70" t="n">
        <f aca="false">SUMIFS(Data!$N$2371:$N$3999,Data!$H$2371:$H$3999,B98)</f>
        <v>0</v>
      </c>
      <c r="U98" s="69" t="n">
        <f aca="false">SUMIFS(Data!$R$2:$R$781,Data!$H$2:$H$781,B98)</f>
        <v>0</v>
      </c>
      <c r="V98" s="71" t="n">
        <f aca="false">SUMIFS(Data!$Q$2:$Q$781,Data!$H$2:$H$781,B98)</f>
        <v>0</v>
      </c>
      <c r="W98" s="69" t="n">
        <f aca="false">SUMIFS(Data!$R$782:$R$2370,Data!$H$782:$H$2370,B98)</f>
        <v>3</v>
      </c>
      <c r="X98" s="70" t="n">
        <f aca="false">SUMIFS(Data!$Q$782:$Q$2370,Data!$H$782:$H$2370,B98)</f>
        <v>6</v>
      </c>
      <c r="Y98" s="69" t="n">
        <f aca="false">SUMIFS(Data!$R$2371:$R$3999,Data!$H$2371:$H$3999,B98)</f>
        <v>0</v>
      </c>
      <c r="Z98" s="70" t="n">
        <f aca="false">SUMIFS(Data!$Q$2371:$Q$3999,Data!$H$2371:$H$3999,B98)</f>
        <v>0</v>
      </c>
      <c r="AA98" s="68" t="n">
        <f aca="false">V98+U98+O98+N98+K98+F98+E98+P98</f>
        <v>0</v>
      </c>
      <c r="AB98" s="68" t="n">
        <f aca="false">X98+W98+T98+R98+Q98+L98+H98+G98</f>
        <v>36</v>
      </c>
      <c r="AC98" s="68" t="n">
        <f aca="false">Z98+Y98+T98+S98+M98+J98+I98</f>
        <v>18</v>
      </c>
    </row>
    <row r="99" customFormat="false" ht="23.25" hidden="false" customHeight="true" outlineLevel="0" collapsed="false">
      <c r="A99" s="31" t="n">
        <f aca="false">Data!AE98</f>
        <v>1002949</v>
      </c>
      <c r="B99" s="31" t="str">
        <f aca="false">Data!AD98</f>
        <v>ماجد الركن</v>
      </c>
      <c r="C99" s="31" t="n">
        <f aca="false">Data!AH98</f>
        <v>0</v>
      </c>
      <c r="D99" s="31" t="str">
        <f aca="false">Data!AF98</f>
        <v>تبوك</v>
      </c>
      <c r="E99" s="69" t="n">
        <f aca="false">SUMIFS(Data!$L$2:$L$781,Data!$H$2:$H$781,B99)</f>
        <v>0</v>
      </c>
      <c r="F99" s="70" t="n">
        <f aca="false">SUMIFS(Data!$K$2:$K$781,Data!$H$2:$H$781,B99)</f>
        <v>0</v>
      </c>
      <c r="G99" s="69" t="n">
        <f aca="false">SUMIFS(Data!$L$782:$L$2370,Data!$H$782:$H$2370,B99)</f>
        <v>0</v>
      </c>
      <c r="H99" s="70" t="n">
        <f aca="false">SUMIFS(Data!$K$782:$K$2370,Data!$H$782:$H$2370,B99)</f>
        <v>3</v>
      </c>
      <c r="I99" s="69" t="n">
        <f aca="false">SUMIFS(Data!$L$2371:$L$3999,Data!$H$2371:$H$3999,B99)</f>
        <v>0</v>
      </c>
      <c r="J99" s="70" t="n">
        <f aca="false">SUMIFS(Data!$K$2371:$K$3999,Data!$H$2371:$H$3999,B99)</f>
        <v>0</v>
      </c>
      <c r="K99" s="69" t="n">
        <f aca="false">SUMIFS(Data!$M$2:$M$781,Data!$H$2:$H$781,B99)</f>
        <v>0</v>
      </c>
      <c r="L99" s="69" t="n">
        <f aca="false">SUMIFS(Data!$M$782:$M$2370,Data!$H$782:$H$2370,B99)</f>
        <v>0</v>
      </c>
      <c r="M99" s="69" t="n">
        <f aca="false">SUMIFS(Data!$M$2371:$M$3999,Data!$H$2371:$H$3999,B99)</f>
        <v>0</v>
      </c>
      <c r="N99" s="70" t="n">
        <f aca="false">SUMIFS(Data!$O$2:$O$781,Data!$H$2:$H$781,B99)</f>
        <v>0</v>
      </c>
      <c r="O99" s="70" t="n">
        <f aca="false">SUMIFS(Data!$N$2:$N$781,Data!$H$2:$H$781,B99)</f>
        <v>0</v>
      </c>
      <c r="P99" s="69" t="n">
        <f aca="false">SUMIFS(Data!$P$2:$P$781,Data!$H$2:$H$781,B99)</f>
        <v>0</v>
      </c>
      <c r="Q99" s="70" t="n">
        <f aca="false">SUMIFS(Data!$O$782:$O$2370,Data!$H$782:$H$2370,B99)</f>
        <v>0</v>
      </c>
      <c r="R99" s="70" t="n">
        <f aca="false">SUMIFS(Data!$N$782:$N$2370,Data!$H$782:$H$2370,B99)</f>
        <v>0</v>
      </c>
      <c r="S99" s="70" t="n">
        <f aca="false">SUMIFS(Data!$O$2371:$O$3999,Data!$H$2371:$H$3999,B99)</f>
        <v>0</v>
      </c>
      <c r="T99" s="70" t="n">
        <f aca="false">SUMIFS(Data!$N$2371:$N$3999,Data!$H$2371:$H$3999,B99)</f>
        <v>0</v>
      </c>
      <c r="U99" s="69" t="n">
        <f aca="false">SUMIFS(Data!$R$2:$R$781,Data!$H$2:$H$781,B99)</f>
        <v>0</v>
      </c>
      <c r="V99" s="71" t="n">
        <f aca="false">SUMIFS(Data!$Q$2:$Q$781,Data!$H$2:$H$781,B99)</f>
        <v>0</v>
      </c>
      <c r="W99" s="69" t="n">
        <f aca="false">SUMIFS(Data!$R$782:$R$2370,Data!$H$782:$H$2370,B99)</f>
        <v>0</v>
      </c>
      <c r="X99" s="70" t="n">
        <f aca="false">SUMIFS(Data!$Q$782:$Q$2370,Data!$H$782:$H$2370,B99)</f>
        <v>0</v>
      </c>
      <c r="Y99" s="69" t="n">
        <f aca="false">SUMIFS(Data!$R$2371:$R$3999,Data!$H$2371:$H$3999,B99)</f>
        <v>0</v>
      </c>
      <c r="Z99" s="70" t="n">
        <f aca="false">SUMIFS(Data!$Q$2371:$Q$3999,Data!$H$2371:$H$3999,B99)</f>
        <v>0</v>
      </c>
      <c r="AA99" s="68" t="n">
        <f aca="false">V99+U99+O99+N99+K99+F99+E99+P99</f>
        <v>0</v>
      </c>
      <c r="AB99" s="68" t="n">
        <f aca="false">X99+W99+T99+R99+Q99+L99+H99+G99</f>
        <v>3</v>
      </c>
      <c r="AC99" s="68" t="n">
        <f aca="false">Z99+Y99+T99+S99+M99+J99+I99</f>
        <v>0</v>
      </c>
    </row>
    <row r="100" customFormat="false" ht="23.25" hidden="false" customHeight="true" outlineLevel="0" collapsed="false">
      <c r="A100" s="31" t="n">
        <f aca="false">Data!AE99</f>
        <v>1002930</v>
      </c>
      <c r="B100" s="31" t="str">
        <f aca="false">Data!AD99</f>
        <v>اطار البساتين</v>
      </c>
      <c r="C100" s="31" t="n">
        <f aca="false">Data!AH99</f>
        <v>501749568</v>
      </c>
      <c r="D100" s="31" t="str">
        <f aca="false">Data!AF99</f>
        <v>تبوك</v>
      </c>
      <c r="E100" s="69" t="n">
        <f aca="false">SUMIFS(Data!$L$2:$L$781,Data!$H$2:$H$781,B100)</f>
        <v>0</v>
      </c>
      <c r="F100" s="70" t="n">
        <f aca="false">SUMIFS(Data!$K$2:$K$781,Data!$H$2:$H$781,B100)</f>
        <v>0</v>
      </c>
      <c r="G100" s="69" t="n">
        <f aca="false">SUMIFS(Data!$L$782:$L$2370,Data!$H$782:$H$2370,B100)</f>
        <v>0</v>
      </c>
      <c r="H100" s="70" t="n">
        <f aca="false">SUMIFS(Data!$K$782:$K$2370,Data!$H$782:$H$2370,B100)</f>
        <v>3</v>
      </c>
      <c r="I100" s="69" t="n">
        <f aca="false">SUMIFS(Data!$L$2371:$L$3999,Data!$H$2371:$H$3999,B100)</f>
        <v>4</v>
      </c>
      <c r="J100" s="70" t="n">
        <f aca="false">SUMIFS(Data!$K$2371:$K$3999,Data!$H$2371:$H$3999,B100)</f>
        <v>40</v>
      </c>
      <c r="K100" s="69" t="n">
        <f aca="false">SUMIFS(Data!$M$2:$M$781,Data!$H$2:$H$781,B100)</f>
        <v>0</v>
      </c>
      <c r="L100" s="69" t="n">
        <f aca="false">SUMIFS(Data!$M$782:$M$2370,Data!$H$782:$H$2370,B100)</f>
        <v>0</v>
      </c>
      <c r="M100" s="69" t="n">
        <f aca="false">SUMIFS(Data!$M$2371:$M$3999,Data!$H$2371:$H$3999,B100)</f>
        <v>0</v>
      </c>
      <c r="N100" s="70" t="n">
        <f aca="false">SUMIFS(Data!$O$2:$O$781,Data!$H$2:$H$781,B100)</f>
        <v>0</v>
      </c>
      <c r="O100" s="70" t="n">
        <f aca="false">SUMIFS(Data!$N$2:$N$781,Data!$H$2:$H$781,B100)</f>
        <v>0</v>
      </c>
      <c r="P100" s="69" t="n">
        <f aca="false">SUMIFS(Data!$P$2:$P$781,Data!$H$2:$H$781,B100)</f>
        <v>0</v>
      </c>
      <c r="Q100" s="70" t="n">
        <f aca="false">SUMIFS(Data!$O$782:$O$2370,Data!$H$782:$H$2370,B100)</f>
        <v>0</v>
      </c>
      <c r="R100" s="70" t="n">
        <f aca="false">SUMIFS(Data!$N$782:$N$2370,Data!$H$782:$H$2370,B100)</f>
        <v>0</v>
      </c>
      <c r="S100" s="70" t="n">
        <f aca="false">SUMIFS(Data!$O$2371:$O$3999,Data!$H$2371:$H$3999,B100)</f>
        <v>0</v>
      </c>
      <c r="T100" s="70" t="n">
        <f aca="false">SUMIFS(Data!$N$2371:$N$3999,Data!$H$2371:$H$3999,B100)</f>
        <v>0</v>
      </c>
      <c r="U100" s="69" t="n">
        <f aca="false">SUMIFS(Data!$R$2:$R$781,Data!$H$2:$H$781,B100)</f>
        <v>0</v>
      </c>
      <c r="V100" s="71" t="n">
        <f aca="false">SUMIFS(Data!$Q$2:$Q$781,Data!$H$2:$H$781,B100)</f>
        <v>0</v>
      </c>
      <c r="W100" s="69" t="n">
        <f aca="false">SUMIFS(Data!$R$782:$R$2370,Data!$H$782:$H$2370,B100)</f>
        <v>0</v>
      </c>
      <c r="X100" s="70" t="n">
        <f aca="false">SUMIFS(Data!$Q$782:$Q$2370,Data!$H$782:$H$2370,B100)</f>
        <v>0</v>
      </c>
      <c r="Y100" s="69" t="n">
        <f aca="false">SUMIFS(Data!$R$2371:$R$3999,Data!$H$2371:$H$3999,B100)</f>
        <v>0</v>
      </c>
      <c r="Z100" s="70" t="n">
        <f aca="false">SUMIFS(Data!$Q$2371:$Q$3999,Data!$H$2371:$H$3999,B100)</f>
        <v>0</v>
      </c>
      <c r="AA100" s="68" t="n">
        <f aca="false">V100+U100+O100+N100+K100+F100+E100+P100</f>
        <v>0</v>
      </c>
      <c r="AB100" s="68" t="n">
        <f aca="false">X100+W100+T100+R100+Q100+L100+H100+G100</f>
        <v>3</v>
      </c>
      <c r="AC100" s="68" t="n">
        <f aca="false">Z100+Y100+T100+S100+M100+J100+I100</f>
        <v>44</v>
      </c>
    </row>
    <row r="101" customFormat="false" ht="23.25" hidden="false" customHeight="true" outlineLevel="0" collapsed="false">
      <c r="A101" s="31" t="n">
        <f aca="false">Data!AE100</f>
        <v>1002897</v>
      </c>
      <c r="B101" s="31" t="str">
        <f aca="false">Data!AD100</f>
        <v>الاخضر الحديث</v>
      </c>
      <c r="C101" s="31" t="n">
        <f aca="false">Data!AH100</f>
        <v>531812717</v>
      </c>
      <c r="D101" s="31" t="str">
        <f aca="false">Data!AF100</f>
        <v>تبوك</v>
      </c>
      <c r="E101" s="69" t="n">
        <f aca="false">SUMIFS(Data!$L$2:$L$781,Data!$H$2:$H$781,B101)</f>
        <v>0</v>
      </c>
      <c r="F101" s="70" t="n">
        <f aca="false">SUMIFS(Data!$K$2:$K$781,Data!$H$2:$H$781,B101)</f>
        <v>0</v>
      </c>
      <c r="G101" s="69" t="n">
        <f aca="false">SUMIFS(Data!$L$782:$L$2370,Data!$H$782:$H$2370,B101)</f>
        <v>0</v>
      </c>
      <c r="H101" s="70" t="n">
        <f aca="false">SUMIFS(Data!$K$782:$K$2370,Data!$H$782:$H$2370,B101)</f>
        <v>0</v>
      </c>
      <c r="I101" s="69" t="n">
        <f aca="false">SUMIFS(Data!$L$2371:$L$3999,Data!$H$2371:$H$3999,B101)</f>
        <v>4</v>
      </c>
      <c r="J101" s="70" t="n">
        <f aca="false">SUMIFS(Data!$K$2371:$K$3999,Data!$H$2371:$H$3999,B101)</f>
        <v>36</v>
      </c>
      <c r="K101" s="69" t="n">
        <f aca="false">SUMIFS(Data!$M$2:$M$781,Data!$H$2:$H$781,B101)</f>
        <v>0</v>
      </c>
      <c r="L101" s="69" t="n">
        <f aca="false">SUMIFS(Data!$M$782:$M$2370,Data!$H$782:$H$2370,B101)</f>
        <v>0</v>
      </c>
      <c r="M101" s="69" t="n">
        <f aca="false">SUMIFS(Data!$M$2371:$M$3999,Data!$H$2371:$H$3999,B101)</f>
        <v>0</v>
      </c>
      <c r="N101" s="70" t="n">
        <f aca="false">SUMIFS(Data!$O$2:$O$781,Data!$H$2:$H$781,B101)</f>
        <v>0</v>
      </c>
      <c r="O101" s="70" t="n">
        <f aca="false">SUMIFS(Data!$N$2:$N$781,Data!$H$2:$H$781,B101)</f>
        <v>0</v>
      </c>
      <c r="P101" s="69" t="n">
        <f aca="false">SUMIFS(Data!$P$2:$P$781,Data!$H$2:$H$781,B101)</f>
        <v>0</v>
      </c>
      <c r="Q101" s="70" t="n">
        <f aca="false">SUMIFS(Data!$O$782:$O$2370,Data!$H$782:$H$2370,B101)</f>
        <v>0</v>
      </c>
      <c r="R101" s="70" t="n">
        <f aca="false">SUMIFS(Data!$N$782:$N$2370,Data!$H$782:$H$2370,B101)</f>
        <v>0</v>
      </c>
      <c r="S101" s="70" t="n">
        <f aca="false">SUMIFS(Data!$O$2371:$O$3999,Data!$H$2371:$H$3999,B101)</f>
        <v>0</v>
      </c>
      <c r="T101" s="70" t="n">
        <f aca="false">SUMIFS(Data!$N$2371:$N$3999,Data!$H$2371:$H$3999,B101)</f>
        <v>8</v>
      </c>
      <c r="U101" s="69" t="n">
        <f aca="false">SUMIFS(Data!$R$2:$R$781,Data!$H$2:$H$781,B101)</f>
        <v>0</v>
      </c>
      <c r="V101" s="71" t="n">
        <f aca="false">SUMIFS(Data!$Q$2:$Q$781,Data!$H$2:$H$781,B101)</f>
        <v>0</v>
      </c>
      <c r="W101" s="69" t="n">
        <f aca="false">SUMIFS(Data!$R$782:$R$2370,Data!$H$782:$H$2370,B101)</f>
        <v>0</v>
      </c>
      <c r="X101" s="70" t="n">
        <f aca="false">SUMIFS(Data!$Q$782:$Q$2370,Data!$H$782:$H$2370,B101)</f>
        <v>0</v>
      </c>
      <c r="Y101" s="69" t="n">
        <f aca="false">SUMIFS(Data!$R$2371:$R$3999,Data!$H$2371:$H$3999,B101)</f>
        <v>3</v>
      </c>
      <c r="Z101" s="70" t="n">
        <f aca="false">SUMIFS(Data!$Q$2371:$Q$3999,Data!$H$2371:$H$3999,B101)</f>
        <v>0</v>
      </c>
      <c r="AA101" s="68" t="n">
        <f aca="false">V101+U101+O101+N101+K101+F101+E101+P101</f>
        <v>0</v>
      </c>
      <c r="AB101" s="68" t="n">
        <f aca="false">X101+W101+T101+R101+Q101+L101+H101+G101</f>
        <v>8</v>
      </c>
      <c r="AC101" s="68" t="n">
        <f aca="false">Z101+Y101+T101+S101+M101+J101+I101</f>
        <v>51</v>
      </c>
    </row>
    <row r="102" customFormat="false" ht="23.25" hidden="false" customHeight="true" outlineLevel="0" collapsed="false">
      <c r="A102" s="31" t="n">
        <f aca="false">Data!AE101</f>
        <v>1002895</v>
      </c>
      <c r="B102" s="31" t="str">
        <f aca="false">Data!AD101</f>
        <v>قوس الزيت</v>
      </c>
      <c r="C102" s="31" t="n">
        <f aca="false">Data!AH101</f>
        <v>558509370</v>
      </c>
      <c r="D102" s="31" t="str">
        <f aca="false">Data!AF101</f>
        <v>تبوك</v>
      </c>
      <c r="E102" s="69" t="n">
        <f aca="false">SUMIFS(Data!$L$2:$L$781,Data!$H$2:$H$781,B102)</f>
        <v>0</v>
      </c>
      <c r="F102" s="70" t="n">
        <f aca="false">SUMIFS(Data!$K$2:$K$781,Data!$H$2:$H$781,B102)</f>
        <v>0</v>
      </c>
      <c r="G102" s="69" t="n">
        <f aca="false">SUMIFS(Data!$L$782:$L$2370,Data!$H$782:$H$2370,B102)</f>
        <v>0</v>
      </c>
      <c r="H102" s="70" t="n">
        <f aca="false">SUMIFS(Data!$K$782:$K$2370,Data!$H$782:$H$2370,B102)</f>
        <v>0</v>
      </c>
      <c r="I102" s="69" t="n">
        <f aca="false">SUMIFS(Data!$L$2371:$L$3999,Data!$H$2371:$H$3999,B102)</f>
        <v>0</v>
      </c>
      <c r="J102" s="70" t="n">
        <f aca="false">SUMIFS(Data!$K$2371:$K$3999,Data!$H$2371:$H$3999,B102)</f>
        <v>4</v>
      </c>
      <c r="K102" s="69" t="n">
        <f aca="false">SUMIFS(Data!$M$2:$M$781,Data!$H$2:$H$781,B102)</f>
        <v>0</v>
      </c>
      <c r="L102" s="69" t="n">
        <f aca="false">SUMIFS(Data!$M$782:$M$2370,Data!$H$782:$H$2370,B102)</f>
        <v>0</v>
      </c>
      <c r="M102" s="69" t="n">
        <f aca="false">SUMIFS(Data!$M$2371:$M$3999,Data!$H$2371:$H$3999,B102)</f>
        <v>0</v>
      </c>
      <c r="N102" s="70" t="n">
        <f aca="false">SUMIFS(Data!$O$2:$O$781,Data!$H$2:$H$781,B102)</f>
        <v>0</v>
      </c>
      <c r="O102" s="70" t="n">
        <f aca="false">SUMIFS(Data!$N$2:$N$781,Data!$H$2:$H$781,B102)</f>
        <v>0</v>
      </c>
      <c r="P102" s="69" t="n">
        <f aca="false">SUMIFS(Data!$P$2:$P$781,Data!$H$2:$H$781,B102)</f>
        <v>0</v>
      </c>
      <c r="Q102" s="70" t="n">
        <f aca="false">SUMIFS(Data!$O$782:$O$2370,Data!$H$782:$H$2370,B102)</f>
        <v>0</v>
      </c>
      <c r="R102" s="70" t="n">
        <f aca="false">SUMIFS(Data!$N$782:$N$2370,Data!$H$782:$H$2370,B102)</f>
        <v>0</v>
      </c>
      <c r="S102" s="70" t="n">
        <f aca="false">SUMIFS(Data!$O$2371:$O$3999,Data!$H$2371:$H$3999,B102)</f>
        <v>0</v>
      </c>
      <c r="T102" s="70" t="n">
        <f aca="false">SUMIFS(Data!$N$2371:$N$3999,Data!$H$2371:$H$3999,B102)</f>
        <v>0</v>
      </c>
      <c r="U102" s="69" t="n">
        <f aca="false">SUMIFS(Data!$R$2:$R$781,Data!$H$2:$H$781,B102)</f>
        <v>0</v>
      </c>
      <c r="V102" s="71" t="n">
        <f aca="false">SUMIFS(Data!$Q$2:$Q$781,Data!$H$2:$H$781,B102)</f>
        <v>0</v>
      </c>
      <c r="W102" s="69" t="n">
        <f aca="false">SUMIFS(Data!$R$782:$R$2370,Data!$H$782:$H$2370,B102)</f>
        <v>0</v>
      </c>
      <c r="X102" s="70" t="n">
        <f aca="false">SUMIFS(Data!$Q$782:$Q$2370,Data!$H$782:$H$2370,B102)</f>
        <v>0</v>
      </c>
      <c r="Y102" s="69" t="n">
        <f aca="false">SUMIFS(Data!$R$2371:$R$3999,Data!$H$2371:$H$3999,B102)</f>
        <v>1</v>
      </c>
      <c r="Z102" s="70" t="n">
        <f aca="false">SUMIFS(Data!$Q$2371:$Q$3999,Data!$H$2371:$H$3999,B102)</f>
        <v>2</v>
      </c>
      <c r="AA102" s="68" t="n">
        <f aca="false">V102+U102+O102+N102+K102+F102+E102+P102</f>
        <v>0</v>
      </c>
      <c r="AB102" s="68" t="n">
        <f aca="false">X102+W102+T102+R102+Q102+L102+H102+G102</f>
        <v>0</v>
      </c>
      <c r="AC102" s="68" t="n">
        <f aca="false">Z102+Y102+T102+S102+M102+J102+I102</f>
        <v>7</v>
      </c>
    </row>
    <row r="103" customFormat="false" ht="23.25" hidden="false" customHeight="true" outlineLevel="0" collapsed="false">
      <c r="A103" s="31" t="n">
        <f aca="false">Data!AE102</f>
        <v>1002947</v>
      </c>
      <c r="B103" s="31" t="str">
        <f aca="false">Data!AD102</f>
        <v>مرام البلوي</v>
      </c>
      <c r="C103" s="31" t="n">
        <f aca="false">Data!AH102</f>
        <v>558241822</v>
      </c>
      <c r="D103" s="31" t="str">
        <f aca="false">Data!AF102</f>
        <v>تبوك</v>
      </c>
      <c r="E103" s="69" t="n">
        <f aca="false">SUMIFS(Data!$L$2:$L$781,Data!$H$2:$H$781,B103)</f>
        <v>0</v>
      </c>
      <c r="F103" s="70" t="n">
        <f aca="false">SUMIFS(Data!$K$2:$K$781,Data!$H$2:$H$781,B103)</f>
        <v>0</v>
      </c>
      <c r="G103" s="69" t="n">
        <f aca="false">SUMIFS(Data!$L$782:$L$2370,Data!$H$782:$H$2370,B103)</f>
        <v>0</v>
      </c>
      <c r="H103" s="70" t="n">
        <f aca="false">SUMIFS(Data!$K$782:$K$2370,Data!$H$782:$H$2370,B103)</f>
        <v>0</v>
      </c>
      <c r="I103" s="69" t="n">
        <f aca="false">SUMIFS(Data!$L$2371:$L$3999,Data!$H$2371:$H$3999,B103)</f>
        <v>12</v>
      </c>
      <c r="J103" s="70" t="n">
        <f aca="false">SUMIFS(Data!$K$2371:$K$3999,Data!$H$2371:$H$3999,B103)</f>
        <v>19</v>
      </c>
      <c r="K103" s="69" t="n">
        <f aca="false">SUMIFS(Data!$M$2:$M$781,Data!$H$2:$H$781,B103)</f>
        <v>0</v>
      </c>
      <c r="L103" s="69" t="n">
        <f aca="false">SUMIFS(Data!$M$782:$M$2370,Data!$H$782:$H$2370,B103)</f>
        <v>0</v>
      </c>
      <c r="M103" s="69" t="n">
        <f aca="false">SUMIFS(Data!$M$2371:$M$3999,Data!$H$2371:$H$3999,B103)</f>
        <v>15</v>
      </c>
      <c r="N103" s="70" t="n">
        <f aca="false">SUMIFS(Data!$O$2:$O$781,Data!$H$2:$H$781,B103)</f>
        <v>0</v>
      </c>
      <c r="O103" s="70" t="n">
        <f aca="false">SUMIFS(Data!$N$2:$N$781,Data!$H$2:$H$781,B103)</f>
        <v>0</v>
      </c>
      <c r="P103" s="69" t="n">
        <f aca="false">SUMIFS(Data!$P$2:$P$781,Data!$H$2:$H$781,B103)</f>
        <v>0</v>
      </c>
      <c r="Q103" s="70" t="n">
        <f aca="false">SUMIFS(Data!$O$782:$O$2370,Data!$H$782:$H$2370,B103)</f>
        <v>0</v>
      </c>
      <c r="R103" s="70" t="n">
        <f aca="false">SUMIFS(Data!$N$782:$N$2370,Data!$H$782:$H$2370,B103)</f>
        <v>0</v>
      </c>
      <c r="S103" s="70" t="n">
        <f aca="false">SUMIFS(Data!$O$2371:$O$3999,Data!$H$2371:$H$3999,B103)</f>
        <v>0</v>
      </c>
      <c r="T103" s="70" t="n">
        <f aca="false">SUMIFS(Data!$N$2371:$N$3999,Data!$H$2371:$H$3999,B103)</f>
        <v>0</v>
      </c>
      <c r="U103" s="69" t="n">
        <f aca="false">SUMIFS(Data!$R$2:$R$781,Data!$H$2:$H$781,B103)</f>
        <v>0</v>
      </c>
      <c r="V103" s="71" t="n">
        <f aca="false">SUMIFS(Data!$Q$2:$Q$781,Data!$H$2:$H$781,B103)</f>
        <v>0</v>
      </c>
      <c r="W103" s="69" t="n">
        <f aca="false">SUMIFS(Data!$R$782:$R$2370,Data!$H$782:$H$2370,B103)</f>
        <v>0</v>
      </c>
      <c r="X103" s="70" t="n">
        <f aca="false">SUMIFS(Data!$Q$782:$Q$2370,Data!$H$782:$H$2370,B103)</f>
        <v>0</v>
      </c>
      <c r="Y103" s="69" t="n">
        <f aca="false">SUMIFS(Data!$R$2371:$R$3999,Data!$H$2371:$H$3999,B103)</f>
        <v>11</v>
      </c>
      <c r="Z103" s="70" t="n">
        <f aca="false">SUMIFS(Data!$Q$2371:$Q$3999,Data!$H$2371:$H$3999,B103)</f>
        <v>5</v>
      </c>
      <c r="AA103" s="68" t="n">
        <f aca="false">V103+U103+O103+N103+K103+F103+E103+P103</f>
        <v>0</v>
      </c>
      <c r="AB103" s="68" t="n">
        <f aca="false">X103+W103+T103+R103+Q103+L103+H103+G103</f>
        <v>0</v>
      </c>
      <c r="AC103" s="68" t="n">
        <f aca="false">Z103+Y103+T103+S103+M103+J103+I103</f>
        <v>62</v>
      </c>
    </row>
    <row r="104" customFormat="false" ht="23.25" hidden="false" customHeight="true" outlineLevel="0" collapsed="false">
      <c r="A104" s="31" t="n">
        <f aca="false">Data!AE103</f>
        <v>1002938</v>
      </c>
      <c r="B104" s="31" t="str">
        <f aca="false">Data!AD103</f>
        <v>وسام الاندلس</v>
      </c>
      <c r="C104" s="31" t="n">
        <f aca="false">Data!AH103</f>
        <v>578607733</v>
      </c>
      <c r="D104" s="31" t="str">
        <f aca="false">Data!AF103</f>
        <v>تبوك</v>
      </c>
      <c r="E104" s="69" t="n">
        <f aca="false">SUMIFS(Data!$L$2:$L$781,Data!$H$2:$H$781,B104)</f>
        <v>0</v>
      </c>
      <c r="F104" s="70" t="n">
        <f aca="false">SUMIFS(Data!$K$2:$K$781,Data!$H$2:$H$781,B104)</f>
        <v>0</v>
      </c>
      <c r="G104" s="69" t="n">
        <f aca="false">SUMIFS(Data!$L$782:$L$2370,Data!$H$782:$H$2370,B104)</f>
        <v>0</v>
      </c>
      <c r="H104" s="70" t="n">
        <f aca="false">SUMIFS(Data!$K$782:$K$2370,Data!$H$782:$H$2370,B104)</f>
        <v>6</v>
      </c>
      <c r="I104" s="69" t="n">
        <f aca="false">SUMIFS(Data!$L$2371:$L$3999,Data!$H$2371:$H$3999,B104)</f>
        <v>5</v>
      </c>
      <c r="J104" s="70" t="n">
        <f aca="false">SUMIFS(Data!$K$2371:$K$3999,Data!$H$2371:$H$3999,B104)</f>
        <v>33</v>
      </c>
      <c r="K104" s="69" t="n">
        <f aca="false">SUMIFS(Data!$M$2:$M$781,Data!$H$2:$H$781,B104)</f>
        <v>0</v>
      </c>
      <c r="L104" s="69" t="n">
        <f aca="false">SUMIFS(Data!$M$782:$M$2370,Data!$H$782:$H$2370,B104)</f>
        <v>0</v>
      </c>
      <c r="M104" s="69" t="n">
        <f aca="false">SUMIFS(Data!$M$2371:$M$3999,Data!$H$2371:$H$3999,B104)</f>
        <v>12</v>
      </c>
      <c r="N104" s="70" t="n">
        <f aca="false">SUMIFS(Data!$O$2:$O$781,Data!$H$2:$H$781,B104)</f>
        <v>0</v>
      </c>
      <c r="O104" s="70" t="n">
        <f aca="false">SUMIFS(Data!$N$2:$N$781,Data!$H$2:$H$781,B104)</f>
        <v>0</v>
      </c>
      <c r="P104" s="69" t="n">
        <f aca="false">SUMIFS(Data!$P$2:$P$781,Data!$H$2:$H$781,B104)</f>
        <v>0</v>
      </c>
      <c r="Q104" s="70" t="n">
        <f aca="false">SUMIFS(Data!$O$782:$O$2370,Data!$H$782:$H$2370,B104)</f>
        <v>0</v>
      </c>
      <c r="R104" s="70" t="n">
        <f aca="false">SUMIFS(Data!$N$782:$N$2370,Data!$H$782:$H$2370,B104)</f>
        <v>0</v>
      </c>
      <c r="S104" s="70" t="n">
        <f aca="false">SUMIFS(Data!$O$2371:$O$3999,Data!$H$2371:$H$3999,B104)</f>
        <v>0</v>
      </c>
      <c r="T104" s="70" t="n">
        <f aca="false">SUMIFS(Data!$N$2371:$N$3999,Data!$H$2371:$H$3999,B104)</f>
        <v>0</v>
      </c>
      <c r="U104" s="69" t="n">
        <f aca="false">SUMIFS(Data!$R$2:$R$781,Data!$H$2:$H$781,B104)</f>
        <v>0</v>
      </c>
      <c r="V104" s="71" t="n">
        <f aca="false">SUMIFS(Data!$Q$2:$Q$781,Data!$H$2:$H$781,B104)</f>
        <v>0</v>
      </c>
      <c r="W104" s="69" t="n">
        <f aca="false">SUMIFS(Data!$R$782:$R$2370,Data!$H$782:$H$2370,B104)</f>
        <v>0</v>
      </c>
      <c r="X104" s="70" t="n">
        <f aca="false">SUMIFS(Data!$Q$782:$Q$2370,Data!$H$782:$H$2370,B104)</f>
        <v>0</v>
      </c>
      <c r="Y104" s="69" t="n">
        <f aca="false">SUMIFS(Data!$R$2371:$R$3999,Data!$H$2371:$H$3999,B104)</f>
        <v>0</v>
      </c>
      <c r="Z104" s="70" t="n">
        <f aca="false">SUMIFS(Data!$Q$2371:$Q$3999,Data!$H$2371:$H$3999,B104)</f>
        <v>2</v>
      </c>
      <c r="AA104" s="68" t="n">
        <f aca="false">V104+U104+O104+N104+K104+F104+E104+P104</f>
        <v>0</v>
      </c>
      <c r="AB104" s="68" t="n">
        <f aca="false">X104+W104+T104+R104+Q104+L104+H104+G104</f>
        <v>6</v>
      </c>
      <c r="AC104" s="68" t="n">
        <f aca="false">Z104+Y104+T104+S104+M104+J104+I104</f>
        <v>52</v>
      </c>
    </row>
    <row r="105" customFormat="false" ht="23.25" hidden="false" customHeight="true" outlineLevel="0" collapsed="false">
      <c r="A105" s="31" t="n">
        <f aca="false">Data!AE104</f>
        <v>1008262</v>
      </c>
      <c r="B105" s="31" t="str">
        <f aca="false">Data!AD104</f>
        <v>محرك فور</v>
      </c>
      <c r="C105" s="31" t="n">
        <f aca="false">Data!AH104</f>
        <v>532871348</v>
      </c>
      <c r="D105" s="31" t="str">
        <f aca="false">Data!AF104</f>
        <v>تبوك</v>
      </c>
      <c r="E105" s="69" t="n">
        <f aca="false">SUMIFS(Data!$L$2:$L$781,Data!$H$2:$H$781,B105)</f>
        <v>2</v>
      </c>
      <c r="F105" s="70" t="n">
        <f aca="false">SUMIFS(Data!$K$2:$K$781,Data!$H$2:$H$781,B105)</f>
        <v>9</v>
      </c>
      <c r="G105" s="69" t="n">
        <f aca="false">SUMIFS(Data!$L$782:$L$2370,Data!$H$782:$H$2370,B105)</f>
        <v>0</v>
      </c>
      <c r="H105" s="70" t="n">
        <f aca="false">SUMIFS(Data!$K$782:$K$2370,Data!$H$782:$H$2370,B105)</f>
        <v>21</v>
      </c>
      <c r="I105" s="69" t="n">
        <f aca="false">SUMIFS(Data!$L$2371:$L$3999,Data!$H$2371:$H$3999,B105)</f>
        <v>0</v>
      </c>
      <c r="J105" s="70" t="n">
        <f aca="false">SUMIFS(Data!$K$2371:$K$3999,Data!$H$2371:$H$3999,B105)</f>
        <v>0</v>
      </c>
      <c r="K105" s="69" t="n">
        <f aca="false">SUMIFS(Data!$M$2:$M$781,Data!$H$2:$H$781,B105)</f>
        <v>2</v>
      </c>
      <c r="L105" s="69" t="n">
        <f aca="false">SUMIFS(Data!$M$782:$M$2370,Data!$H$782:$H$2370,B105)</f>
        <v>1</v>
      </c>
      <c r="M105" s="69" t="n">
        <f aca="false">SUMIFS(Data!$M$2371:$M$3999,Data!$H$2371:$H$3999,B105)</f>
        <v>0</v>
      </c>
      <c r="N105" s="70" t="n">
        <f aca="false">SUMIFS(Data!$O$2:$O$781,Data!$H$2:$H$781,B105)</f>
        <v>0</v>
      </c>
      <c r="O105" s="70" t="n">
        <f aca="false">SUMIFS(Data!$N$2:$N$781,Data!$H$2:$H$781,B105)</f>
        <v>0</v>
      </c>
      <c r="P105" s="69" t="n">
        <f aca="false">SUMIFS(Data!$P$2:$P$781,Data!$H$2:$H$781,B105)</f>
        <v>0</v>
      </c>
      <c r="Q105" s="70" t="n">
        <f aca="false">SUMIFS(Data!$O$782:$O$2370,Data!$H$782:$H$2370,B105)</f>
        <v>0</v>
      </c>
      <c r="R105" s="70" t="n">
        <f aca="false">SUMIFS(Data!$N$782:$N$2370,Data!$H$782:$H$2370,B105)</f>
        <v>0</v>
      </c>
      <c r="S105" s="70" t="n">
        <f aca="false">SUMIFS(Data!$O$2371:$O$3999,Data!$H$2371:$H$3999,B105)</f>
        <v>0</v>
      </c>
      <c r="T105" s="70" t="n">
        <f aca="false">SUMIFS(Data!$N$2371:$N$3999,Data!$H$2371:$H$3999,B105)</f>
        <v>0</v>
      </c>
      <c r="U105" s="69" t="n">
        <f aca="false">SUMIFS(Data!$R$2:$R$781,Data!$H$2:$H$781,B105)</f>
        <v>0</v>
      </c>
      <c r="V105" s="71" t="n">
        <f aca="false">SUMIFS(Data!$Q$2:$Q$781,Data!$H$2:$H$781,B105)</f>
        <v>1</v>
      </c>
      <c r="W105" s="69" t="n">
        <f aca="false">SUMIFS(Data!$R$782:$R$2370,Data!$H$782:$H$2370,B105)</f>
        <v>2</v>
      </c>
      <c r="X105" s="70" t="n">
        <f aca="false">SUMIFS(Data!$Q$782:$Q$2370,Data!$H$782:$H$2370,B105)</f>
        <v>0</v>
      </c>
      <c r="Y105" s="69" t="n">
        <f aca="false">SUMIFS(Data!$R$2371:$R$3999,Data!$H$2371:$H$3999,B105)</f>
        <v>1</v>
      </c>
      <c r="Z105" s="70" t="n">
        <f aca="false">SUMIFS(Data!$Q$2371:$Q$3999,Data!$H$2371:$H$3999,B105)</f>
        <v>1</v>
      </c>
      <c r="AA105" s="68" t="n">
        <f aca="false">V105+U105+O105+N105+K105+F105+E105+P105</f>
        <v>14</v>
      </c>
      <c r="AB105" s="68" t="n">
        <f aca="false">X105+W105+T105+R105+Q105+L105+H105+G105</f>
        <v>24</v>
      </c>
      <c r="AC105" s="68" t="n">
        <f aca="false">Z105+Y105+T105+S105+M105+J105+I105</f>
        <v>2</v>
      </c>
    </row>
    <row r="106" customFormat="false" ht="23.25" hidden="false" customHeight="true" outlineLevel="0" collapsed="false">
      <c r="A106" s="31" t="n">
        <f aca="false">Data!AE105</f>
        <v>622</v>
      </c>
      <c r="B106" s="31" t="str">
        <f aca="false">Data!AD105</f>
        <v>ركن السكن</v>
      </c>
      <c r="C106" s="31" t="n">
        <f aca="false">Data!AH105</f>
        <v>0</v>
      </c>
      <c r="D106" s="31" t="str">
        <f aca="false">Data!AF105</f>
        <v>تبوك</v>
      </c>
      <c r="E106" s="69" t="n">
        <f aca="false">SUMIFS(Data!$L$2:$L$781,Data!$H$2:$H$781,B106)</f>
        <v>0</v>
      </c>
      <c r="F106" s="70" t="n">
        <f aca="false">SUMIFS(Data!$K$2:$K$781,Data!$H$2:$H$781,B106)</f>
        <v>1</v>
      </c>
      <c r="G106" s="69" t="n">
        <f aca="false">SUMIFS(Data!$L$782:$L$2370,Data!$H$782:$H$2370,B106)</f>
        <v>0</v>
      </c>
      <c r="H106" s="70" t="n">
        <f aca="false">SUMIFS(Data!$K$782:$K$2370,Data!$H$782:$H$2370,B106)</f>
        <v>9</v>
      </c>
      <c r="I106" s="69" t="n">
        <f aca="false">SUMIFS(Data!$L$2371:$L$3999,Data!$H$2371:$H$3999,B106)</f>
        <v>0</v>
      </c>
      <c r="J106" s="70" t="n">
        <f aca="false">SUMIFS(Data!$K$2371:$K$3999,Data!$H$2371:$H$3999,B106)</f>
        <v>0</v>
      </c>
      <c r="K106" s="69" t="n">
        <f aca="false">SUMIFS(Data!$M$2:$M$781,Data!$H$2:$H$781,B106)</f>
        <v>0</v>
      </c>
      <c r="L106" s="69" t="n">
        <f aca="false">SUMIFS(Data!$M$782:$M$2370,Data!$H$782:$H$2370,B106)</f>
        <v>0</v>
      </c>
      <c r="M106" s="69" t="n">
        <f aca="false">SUMIFS(Data!$M$2371:$M$3999,Data!$H$2371:$H$3999,B106)</f>
        <v>0</v>
      </c>
      <c r="N106" s="70" t="n">
        <f aca="false">SUMIFS(Data!$O$2:$O$781,Data!$H$2:$H$781,B106)</f>
        <v>0</v>
      </c>
      <c r="O106" s="70" t="n">
        <f aca="false">SUMIFS(Data!$N$2:$N$781,Data!$H$2:$H$781,B106)</f>
        <v>0</v>
      </c>
      <c r="P106" s="69" t="n">
        <f aca="false">SUMIFS(Data!$P$2:$P$781,Data!$H$2:$H$781,B106)</f>
        <v>0</v>
      </c>
      <c r="Q106" s="70" t="n">
        <f aca="false">SUMIFS(Data!$O$782:$O$2370,Data!$H$782:$H$2370,B106)</f>
        <v>1</v>
      </c>
      <c r="R106" s="70" t="n">
        <f aca="false">SUMIFS(Data!$N$782:$N$2370,Data!$H$782:$H$2370,B106)</f>
        <v>0</v>
      </c>
      <c r="S106" s="70" t="n">
        <f aca="false">SUMIFS(Data!$O$2371:$O$3999,Data!$H$2371:$H$3999,B106)</f>
        <v>0</v>
      </c>
      <c r="T106" s="70" t="n">
        <f aca="false">SUMIFS(Data!$N$2371:$N$3999,Data!$H$2371:$H$3999,B106)</f>
        <v>0</v>
      </c>
      <c r="U106" s="69" t="n">
        <f aca="false">SUMIFS(Data!$R$2:$R$781,Data!$H$2:$H$781,B106)</f>
        <v>2</v>
      </c>
      <c r="V106" s="71" t="n">
        <f aca="false">SUMIFS(Data!$Q$2:$Q$781,Data!$H$2:$H$781,B106)</f>
        <v>0</v>
      </c>
      <c r="W106" s="69" t="n">
        <f aca="false">SUMIFS(Data!$R$782:$R$2370,Data!$H$782:$H$2370,B106)</f>
        <v>3</v>
      </c>
      <c r="X106" s="70" t="n">
        <f aca="false">SUMIFS(Data!$Q$782:$Q$2370,Data!$H$782:$H$2370,B106)</f>
        <v>0</v>
      </c>
      <c r="Y106" s="69" t="n">
        <f aca="false">SUMIFS(Data!$R$2371:$R$3999,Data!$H$2371:$H$3999,B106)</f>
        <v>1</v>
      </c>
      <c r="Z106" s="70" t="n">
        <f aca="false">SUMIFS(Data!$Q$2371:$Q$3999,Data!$H$2371:$H$3999,B106)</f>
        <v>0</v>
      </c>
      <c r="AA106" s="68" t="n">
        <f aca="false">V106+U106+O106+N106+K106+F106+E106+P106</f>
        <v>3</v>
      </c>
      <c r="AB106" s="68" t="n">
        <f aca="false">X106+W106+T106+R106+Q106+L106+H106+G106</f>
        <v>13</v>
      </c>
      <c r="AC106" s="68" t="n">
        <f aca="false">Z106+Y106+T106+S106+M106+J106+I106</f>
        <v>1</v>
      </c>
    </row>
    <row r="107" customFormat="false" ht="23.25" hidden="false" customHeight="true" outlineLevel="0" collapsed="false">
      <c r="A107" s="31" t="n">
        <f aca="false">Data!AE106</f>
        <v>1008266</v>
      </c>
      <c r="B107" s="31" t="str">
        <f aca="false">Data!AD106</f>
        <v>مروج عدن</v>
      </c>
      <c r="C107" s="31" t="n">
        <f aca="false">Data!AH106</f>
        <v>507510179</v>
      </c>
      <c r="D107" s="31" t="str">
        <f aca="false">Data!AF106</f>
        <v>تبوك</v>
      </c>
      <c r="E107" s="69" t="n">
        <f aca="false">SUMIFS(Data!$L$2:$L$781,Data!$H$2:$H$781,B107)</f>
        <v>3</v>
      </c>
      <c r="F107" s="70" t="n">
        <f aca="false">SUMIFS(Data!$K$2:$K$781,Data!$H$2:$H$781,B107)</f>
        <v>9</v>
      </c>
      <c r="G107" s="69" t="n">
        <f aca="false">SUMIFS(Data!$L$782:$L$2370,Data!$H$782:$H$2370,B107)</f>
        <v>7</v>
      </c>
      <c r="H107" s="70" t="n">
        <f aca="false">SUMIFS(Data!$K$782:$K$2370,Data!$H$782:$H$2370,B107)</f>
        <v>32</v>
      </c>
      <c r="I107" s="69" t="n">
        <f aca="false">SUMIFS(Data!$L$2371:$L$3999,Data!$H$2371:$H$3999,B107)</f>
        <v>0</v>
      </c>
      <c r="J107" s="70" t="n">
        <f aca="false">SUMIFS(Data!$K$2371:$K$3999,Data!$H$2371:$H$3999,B107)</f>
        <v>0</v>
      </c>
      <c r="K107" s="69" t="n">
        <f aca="false">SUMIFS(Data!$M$2:$M$781,Data!$H$2:$H$781,B107)</f>
        <v>1</v>
      </c>
      <c r="L107" s="69" t="n">
        <f aca="false">SUMIFS(Data!$M$782:$M$2370,Data!$H$782:$H$2370,B107)</f>
        <v>2</v>
      </c>
      <c r="M107" s="69" t="n">
        <f aca="false">SUMIFS(Data!$M$2371:$M$3999,Data!$H$2371:$H$3999,B107)</f>
        <v>0</v>
      </c>
      <c r="N107" s="70" t="n">
        <f aca="false">SUMIFS(Data!$O$2:$O$781,Data!$H$2:$H$781,B107)</f>
        <v>0</v>
      </c>
      <c r="O107" s="70" t="n">
        <f aca="false">SUMIFS(Data!$N$2:$N$781,Data!$H$2:$H$781,B107)</f>
        <v>0</v>
      </c>
      <c r="P107" s="69" t="n">
        <f aca="false">SUMIFS(Data!$P$2:$P$781,Data!$H$2:$H$781,B107)</f>
        <v>0</v>
      </c>
      <c r="Q107" s="70" t="n">
        <f aca="false">SUMIFS(Data!$O$782:$O$2370,Data!$H$782:$H$2370,B107)</f>
        <v>0</v>
      </c>
      <c r="R107" s="70" t="n">
        <f aca="false">SUMIFS(Data!$N$782:$N$2370,Data!$H$782:$H$2370,B107)</f>
        <v>0</v>
      </c>
      <c r="S107" s="70" t="n">
        <f aca="false">SUMIFS(Data!$O$2371:$O$3999,Data!$H$2371:$H$3999,B107)</f>
        <v>1</v>
      </c>
      <c r="T107" s="70" t="n">
        <f aca="false">SUMIFS(Data!$N$2371:$N$3999,Data!$H$2371:$H$3999,B107)</f>
        <v>3</v>
      </c>
      <c r="U107" s="69" t="n">
        <f aca="false">SUMIFS(Data!$R$2:$R$781,Data!$H$2:$H$781,B107)</f>
        <v>0</v>
      </c>
      <c r="V107" s="71" t="n">
        <f aca="false">SUMIFS(Data!$Q$2:$Q$781,Data!$H$2:$H$781,B107)</f>
        <v>2</v>
      </c>
      <c r="W107" s="69" t="n">
        <f aca="false">SUMIFS(Data!$R$782:$R$2370,Data!$H$782:$H$2370,B107)</f>
        <v>0</v>
      </c>
      <c r="X107" s="70" t="n">
        <f aca="false">SUMIFS(Data!$Q$782:$Q$2370,Data!$H$782:$H$2370,B107)</f>
        <v>2</v>
      </c>
      <c r="Y107" s="69" t="n">
        <f aca="false">SUMIFS(Data!$R$2371:$R$3999,Data!$H$2371:$H$3999,B107)</f>
        <v>3</v>
      </c>
      <c r="Z107" s="70" t="n">
        <f aca="false">SUMIFS(Data!$Q$2371:$Q$3999,Data!$H$2371:$H$3999,B107)</f>
        <v>1</v>
      </c>
      <c r="AA107" s="68" t="n">
        <f aca="false">V107+U107+O107+N107+K107+F107+E107+P107</f>
        <v>15</v>
      </c>
      <c r="AB107" s="68" t="n">
        <f aca="false">X107+W107+T107+R107+Q107+L107+H107+G107</f>
        <v>46</v>
      </c>
      <c r="AC107" s="68" t="n">
        <f aca="false">Z107+Y107+T107+S107+M107+J107+I107</f>
        <v>8</v>
      </c>
    </row>
    <row r="108" customFormat="false" ht="23.25" hidden="false" customHeight="true" outlineLevel="0" collapsed="false">
      <c r="A108" s="31" t="n">
        <f aca="false">Data!AE107</f>
        <v>1008275</v>
      </c>
      <c r="B108" s="31" t="str">
        <f aca="false">Data!AD107</f>
        <v>محرك بلس</v>
      </c>
      <c r="C108" s="31" t="n">
        <f aca="false">Data!AH107</f>
        <v>550684461</v>
      </c>
      <c r="D108" s="31" t="str">
        <f aca="false">Data!AF107</f>
        <v>تبوك</v>
      </c>
      <c r="E108" s="69" t="n">
        <f aca="false">SUMIFS(Data!$L$2:$L$781,Data!$H$2:$H$781,B108)</f>
        <v>7</v>
      </c>
      <c r="F108" s="70" t="n">
        <f aca="false">SUMIFS(Data!$K$2:$K$781,Data!$H$2:$H$781,B108)</f>
        <v>9</v>
      </c>
      <c r="G108" s="69" t="n">
        <f aca="false">SUMIFS(Data!$L$782:$L$2370,Data!$H$782:$H$2370,B108)</f>
        <v>2</v>
      </c>
      <c r="H108" s="70" t="n">
        <f aca="false">SUMIFS(Data!$K$782:$K$2370,Data!$H$782:$H$2370,B108)</f>
        <v>25</v>
      </c>
      <c r="I108" s="69" t="n">
        <f aca="false">SUMIFS(Data!$L$2371:$L$3999,Data!$H$2371:$H$3999,B108)</f>
        <v>0</v>
      </c>
      <c r="J108" s="70" t="n">
        <f aca="false">SUMIFS(Data!$K$2371:$K$3999,Data!$H$2371:$H$3999,B108)</f>
        <v>11</v>
      </c>
      <c r="K108" s="69" t="n">
        <f aca="false">SUMIFS(Data!$M$2:$M$781,Data!$H$2:$H$781,B108)</f>
        <v>2</v>
      </c>
      <c r="L108" s="69" t="n">
        <f aca="false">SUMIFS(Data!$M$782:$M$2370,Data!$H$782:$H$2370,B108)</f>
        <v>2</v>
      </c>
      <c r="M108" s="69" t="n">
        <f aca="false">SUMIFS(Data!$M$2371:$M$3999,Data!$H$2371:$H$3999,B108)</f>
        <v>1</v>
      </c>
      <c r="N108" s="70" t="n">
        <f aca="false">SUMIFS(Data!$O$2:$O$781,Data!$H$2:$H$781,B108)</f>
        <v>0</v>
      </c>
      <c r="O108" s="70" t="n">
        <f aca="false">SUMIFS(Data!$N$2:$N$781,Data!$H$2:$H$781,B108)</f>
        <v>0</v>
      </c>
      <c r="P108" s="69" t="n">
        <f aca="false">SUMIFS(Data!$P$2:$P$781,Data!$H$2:$H$781,B108)</f>
        <v>0</v>
      </c>
      <c r="Q108" s="70" t="n">
        <f aca="false">SUMIFS(Data!$O$782:$O$2370,Data!$H$782:$H$2370,B108)</f>
        <v>0</v>
      </c>
      <c r="R108" s="70" t="n">
        <f aca="false">SUMIFS(Data!$N$782:$N$2370,Data!$H$782:$H$2370,B108)</f>
        <v>0</v>
      </c>
      <c r="S108" s="70" t="n">
        <f aca="false">SUMIFS(Data!$O$2371:$O$3999,Data!$H$2371:$H$3999,B108)</f>
        <v>0</v>
      </c>
      <c r="T108" s="70" t="n">
        <f aca="false">SUMIFS(Data!$N$2371:$N$3999,Data!$H$2371:$H$3999,B108)</f>
        <v>0</v>
      </c>
      <c r="U108" s="69" t="n">
        <f aca="false">SUMIFS(Data!$R$2:$R$781,Data!$H$2:$H$781,B108)</f>
        <v>0</v>
      </c>
      <c r="V108" s="71" t="n">
        <f aca="false">SUMIFS(Data!$Q$2:$Q$781,Data!$H$2:$H$781,B108)</f>
        <v>0</v>
      </c>
      <c r="W108" s="69" t="n">
        <f aca="false">SUMIFS(Data!$R$782:$R$2370,Data!$H$782:$H$2370,B108)</f>
        <v>0</v>
      </c>
      <c r="X108" s="70" t="n">
        <f aca="false">SUMIFS(Data!$Q$782:$Q$2370,Data!$H$782:$H$2370,B108)</f>
        <v>0</v>
      </c>
      <c r="Y108" s="69" t="n">
        <f aca="false">SUMIFS(Data!$R$2371:$R$3999,Data!$H$2371:$H$3999,B108)</f>
        <v>0</v>
      </c>
      <c r="Z108" s="70" t="n">
        <f aca="false">SUMIFS(Data!$Q$2371:$Q$3999,Data!$H$2371:$H$3999,B108)</f>
        <v>1</v>
      </c>
      <c r="AA108" s="68" t="n">
        <f aca="false">V108+U108+O108+N108+K108+F108+E108+P108</f>
        <v>18</v>
      </c>
      <c r="AB108" s="68" t="n">
        <f aca="false">X108+W108+T108+R108+Q108+L108+H108+G108</f>
        <v>29</v>
      </c>
      <c r="AC108" s="68" t="n">
        <f aca="false">Z108+Y108+T108+S108+M108+J108+I108</f>
        <v>13</v>
      </c>
    </row>
    <row r="109" customFormat="false" ht="23.25" hidden="false" customHeight="true" outlineLevel="0" collapsed="false">
      <c r="A109" s="31" t="n">
        <f aca="false">Data!AE108</f>
        <v>755</v>
      </c>
      <c r="B109" s="31" t="str">
        <f aca="false">Data!AD108</f>
        <v>عوده العطوي</v>
      </c>
      <c r="C109" s="31" t="n">
        <f aca="false">Data!AH108</f>
        <v>502673563</v>
      </c>
      <c r="D109" s="31" t="str">
        <f aca="false">Data!AF108</f>
        <v>تبوك</v>
      </c>
      <c r="E109" s="69" t="n">
        <f aca="false">SUMIFS(Data!$L$2:$L$781,Data!$H$2:$H$781,B109)</f>
        <v>0</v>
      </c>
      <c r="F109" s="70" t="n">
        <f aca="false">SUMIFS(Data!$K$2:$K$781,Data!$H$2:$H$781,B109)</f>
        <v>0</v>
      </c>
      <c r="G109" s="69" t="n">
        <f aca="false">SUMIFS(Data!$L$782:$L$2370,Data!$H$782:$H$2370,B109)</f>
        <v>3</v>
      </c>
      <c r="H109" s="70" t="n">
        <f aca="false">SUMIFS(Data!$K$782:$K$2370,Data!$H$782:$H$2370,B109)</f>
        <v>28</v>
      </c>
      <c r="I109" s="69" t="n">
        <f aca="false">SUMIFS(Data!$L$2371:$L$3999,Data!$H$2371:$H$3999,B109)</f>
        <v>0</v>
      </c>
      <c r="J109" s="70" t="n">
        <f aca="false">SUMIFS(Data!$K$2371:$K$3999,Data!$H$2371:$H$3999,B109)</f>
        <v>0</v>
      </c>
      <c r="K109" s="69" t="n">
        <f aca="false">SUMIFS(Data!$M$2:$M$781,Data!$H$2:$H$781,B109)</f>
        <v>0</v>
      </c>
      <c r="L109" s="69" t="n">
        <f aca="false">SUMIFS(Data!$M$782:$M$2370,Data!$H$782:$H$2370,B109)</f>
        <v>0</v>
      </c>
      <c r="M109" s="69" t="n">
        <f aca="false">SUMIFS(Data!$M$2371:$M$3999,Data!$H$2371:$H$3999,B109)</f>
        <v>7</v>
      </c>
      <c r="N109" s="70" t="n">
        <f aca="false">SUMIFS(Data!$O$2:$O$781,Data!$H$2:$H$781,B109)</f>
        <v>0</v>
      </c>
      <c r="O109" s="70" t="n">
        <f aca="false">SUMIFS(Data!$N$2:$N$781,Data!$H$2:$H$781,B109)</f>
        <v>0</v>
      </c>
      <c r="P109" s="69" t="n">
        <f aca="false">SUMIFS(Data!$P$2:$P$781,Data!$H$2:$H$781,B109)</f>
        <v>0</v>
      </c>
      <c r="Q109" s="70" t="n">
        <f aca="false">SUMIFS(Data!$O$782:$O$2370,Data!$H$782:$H$2370,B109)</f>
        <v>0</v>
      </c>
      <c r="R109" s="70" t="n">
        <f aca="false">SUMIFS(Data!$N$782:$N$2370,Data!$H$782:$H$2370,B109)</f>
        <v>0</v>
      </c>
      <c r="S109" s="70" t="n">
        <f aca="false">SUMIFS(Data!$O$2371:$O$3999,Data!$H$2371:$H$3999,B109)</f>
        <v>0</v>
      </c>
      <c r="T109" s="70" t="n">
        <f aca="false">SUMIFS(Data!$N$2371:$N$3999,Data!$H$2371:$H$3999,B109)</f>
        <v>3</v>
      </c>
      <c r="U109" s="69" t="n">
        <f aca="false">SUMIFS(Data!$R$2:$R$781,Data!$H$2:$H$781,B109)</f>
        <v>0</v>
      </c>
      <c r="V109" s="71" t="n">
        <f aca="false">SUMIFS(Data!$Q$2:$Q$781,Data!$H$2:$H$781,B109)</f>
        <v>0</v>
      </c>
      <c r="W109" s="69" t="n">
        <f aca="false">SUMIFS(Data!$R$782:$R$2370,Data!$H$782:$H$2370,B109)</f>
        <v>1</v>
      </c>
      <c r="X109" s="70" t="n">
        <f aca="false">SUMIFS(Data!$Q$782:$Q$2370,Data!$H$782:$H$2370,B109)</f>
        <v>0</v>
      </c>
      <c r="Y109" s="69" t="n">
        <f aca="false">SUMIFS(Data!$R$2371:$R$3999,Data!$H$2371:$H$3999,B109)</f>
        <v>2</v>
      </c>
      <c r="Z109" s="70" t="n">
        <f aca="false">SUMIFS(Data!$Q$2371:$Q$3999,Data!$H$2371:$H$3999,B109)</f>
        <v>0</v>
      </c>
      <c r="AA109" s="68" t="n">
        <f aca="false">V109+U109+O109+N109+K109+F109+E109+P109</f>
        <v>0</v>
      </c>
      <c r="AB109" s="68" t="n">
        <f aca="false">X109+W109+T109+R109+Q109+L109+H109+G109</f>
        <v>35</v>
      </c>
      <c r="AC109" s="68" t="n">
        <f aca="false">Z109+Y109+T109+S109+M109+J109+I109</f>
        <v>12</v>
      </c>
    </row>
    <row r="110" customFormat="false" ht="23.25" hidden="false" customHeight="true" outlineLevel="0" collapsed="false">
      <c r="A110" s="31" t="n">
        <f aca="false">Data!AE109</f>
        <v>1004</v>
      </c>
      <c r="B110" s="31" t="str">
        <f aca="false">Data!AD109</f>
        <v>سعد موتر</v>
      </c>
      <c r="C110" s="31" t="n">
        <f aca="false">Data!AH109</f>
        <v>0</v>
      </c>
      <c r="D110" s="31" t="str">
        <f aca="false">Data!AF109</f>
        <v>تبوك</v>
      </c>
      <c r="E110" s="69" t="n">
        <f aca="false">SUMIFS(Data!$L$2:$L$781,Data!$H$2:$H$781,B110)</f>
        <v>0</v>
      </c>
      <c r="F110" s="70" t="n">
        <f aca="false">SUMIFS(Data!$K$2:$K$781,Data!$H$2:$H$781,B110)</f>
        <v>0</v>
      </c>
      <c r="G110" s="69" t="n">
        <f aca="false">SUMIFS(Data!$L$782:$L$2370,Data!$H$782:$H$2370,B110)</f>
        <v>0</v>
      </c>
      <c r="H110" s="70" t="n">
        <f aca="false">SUMIFS(Data!$K$782:$K$2370,Data!$H$782:$H$2370,B110)</f>
        <v>3</v>
      </c>
      <c r="I110" s="69" t="n">
        <f aca="false">SUMIFS(Data!$L$2371:$L$3999,Data!$H$2371:$H$3999,B110)</f>
        <v>2</v>
      </c>
      <c r="J110" s="70" t="n">
        <f aca="false">SUMIFS(Data!$K$2371:$K$3999,Data!$H$2371:$H$3999,B110)</f>
        <v>4</v>
      </c>
      <c r="K110" s="69" t="n">
        <f aca="false">SUMIFS(Data!$M$2:$M$781,Data!$H$2:$H$781,B110)</f>
        <v>0</v>
      </c>
      <c r="L110" s="69" t="n">
        <f aca="false">SUMIFS(Data!$M$782:$M$2370,Data!$H$782:$H$2370,B110)</f>
        <v>1</v>
      </c>
      <c r="M110" s="69" t="n">
        <f aca="false">SUMIFS(Data!$M$2371:$M$3999,Data!$H$2371:$H$3999,B110)</f>
        <v>3</v>
      </c>
      <c r="N110" s="70" t="n">
        <f aca="false">SUMIFS(Data!$O$2:$O$781,Data!$H$2:$H$781,B110)</f>
        <v>0</v>
      </c>
      <c r="O110" s="70" t="n">
        <f aca="false">SUMIFS(Data!$N$2:$N$781,Data!$H$2:$H$781,B110)</f>
        <v>0</v>
      </c>
      <c r="P110" s="69" t="n">
        <f aca="false">SUMIFS(Data!$P$2:$P$781,Data!$H$2:$H$781,B110)</f>
        <v>0</v>
      </c>
      <c r="Q110" s="70" t="n">
        <f aca="false">SUMIFS(Data!$O$782:$O$2370,Data!$H$782:$H$2370,B110)</f>
        <v>0</v>
      </c>
      <c r="R110" s="70" t="n">
        <f aca="false">SUMIFS(Data!$N$782:$N$2370,Data!$H$782:$H$2370,B110)</f>
        <v>0</v>
      </c>
      <c r="S110" s="70" t="n">
        <f aca="false">SUMIFS(Data!$O$2371:$O$3999,Data!$H$2371:$H$3999,B110)</f>
        <v>0</v>
      </c>
      <c r="T110" s="70" t="n">
        <f aca="false">SUMIFS(Data!$N$2371:$N$3999,Data!$H$2371:$H$3999,B110)</f>
        <v>0</v>
      </c>
      <c r="U110" s="69" t="n">
        <f aca="false">SUMIFS(Data!$R$2:$R$781,Data!$H$2:$H$781,B110)</f>
        <v>0</v>
      </c>
      <c r="V110" s="71" t="n">
        <f aca="false">SUMIFS(Data!$Q$2:$Q$781,Data!$H$2:$H$781,B110)</f>
        <v>0</v>
      </c>
      <c r="W110" s="69" t="n">
        <f aca="false">SUMIFS(Data!$R$782:$R$2370,Data!$H$782:$H$2370,B110)</f>
        <v>3</v>
      </c>
      <c r="X110" s="70" t="n">
        <f aca="false">SUMIFS(Data!$Q$782:$Q$2370,Data!$H$782:$H$2370,B110)</f>
        <v>1</v>
      </c>
      <c r="Y110" s="69" t="n">
        <f aca="false">SUMIFS(Data!$R$2371:$R$3999,Data!$H$2371:$H$3999,B110)</f>
        <v>10</v>
      </c>
      <c r="Z110" s="70" t="n">
        <f aca="false">SUMIFS(Data!$Q$2371:$Q$3999,Data!$H$2371:$H$3999,B110)</f>
        <v>2</v>
      </c>
      <c r="AA110" s="68" t="n">
        <f aca="false">V110+U110+O110+N110+K110+F110+E110+P110</f>
        <v>0</v>
      </c>
      <c r="AB110" s="68" t="n">
        <f aca="false">X110+W110+T110+R110+Q110+L110+H110+G110</f>
        <v>8</v>
      </c>
      <c r="AC110" s="68" t="n">
        <f aca="false">Z110+Y110+T110+S110+M110+J110+I110</f>
        <v>21</v>
      </c>
    </row>
    <row r="111" customFormat="false" ht="23.25" hidden="false" customHeight="true" outlineLevel="0" collapsed="false">
      <c r="A111" s="31" t="n">
        <f aca="false">Data!AE110</f>
        <v>827</v>
      </c>
      <c r="B111" s="31" t="str">
        <f aca="false">Data!AD110</f>
        <v>اصالة المحرك</v>
      </c>
      <c r="C111" s="31" t="n">
        <f aca="false">Data!AH110</f>
        <v>508761357</v>
      </c>
      <c r="D111" s="31" t="str">
        <f aca="false">Data!AF110</f>
        <v>تبوك</v>
      </c>
      <c r="E111" s="69" t="n">
        <f aca="false">SUMIFS(Data!$L$2:$L$781,Data!$H$2:$H$781,B111)</f>
        <v>0</v>
      </c>
      <c r="F111" s="70" t="n">
        <f aca="false">SUMIFS(Data!$K$2:$K$781,Data!$H$2:$H$781,B111)</f>
        <v>0</v>
      </c>
      <c r="G111" s="69" t="n">
        <f aca="false">SUMIFS(Data!$L$782:$L$2370,Data!$H$782:$H$2370,B111)</f>
        <v>1</v>
      </c>
      <c r="H111" s="70" t="n">
        <f aca="false">SUMIFS(Data!$K$782:$K$2370,Data!$H$782:$H$2370,B111)</f>
        <v>21</v>
      </c>
      <c r="I111" s="69" t="n">
        <f aca="false">SUMIFS(Data!$L$2371:$L$3999,Data!$H$2371:$H$3999,B111)</f>
        <v>7</v>
      </c>
      <c r="J111" s="70" t="n">
        <f aca="false">SUMIFS(Data!$K$2371:$K$3999,Data!$H$2371:$H$3999,B111)</f>
        <v>12</v>
      </c>
      <c r="K111" s="69" t="n">
        <f aca="false">SUMIFS(Data!$M$2:$M$781,Data!$H$2:$H$781,B111)</f>
        <v>0</v>
      </c>
      <c r="L111" s="69" t="n">
        <f aca="false">SUMIFS(Data!$M$782:$M$2370,Data!$H$782:$H$2370,B111)</f>
        <v>10</v>
      </c>
      <c r="M111" s="69" t="n">
        <f aca="false">SUMIFS(Data!$M$2371:$M$3999,Data!$H$2371:$H$3999,B111)</f>
        <v>8</v>
      </c>
      <c r="N111" s="70" t="n">
        <f aca="false">SUMIFS(Data!$O$2:$O$781,Data!$H$2:$H$781,B111)</f>
        <v>0</v>
      </c>
      <c r="O111" s="70" t="n">
        <f aca="false">SUMIFS(Data!$N$2:$N$781,Data!$H$2:$H$781,B111)</f>
        <v>0</v>
      </c>
      <c r="P111" s="69" t="n">
        <f aca="false">SUMIFS(Data!$P$2:$P$781,Data!$H$2:$H$781,B111)</f>
        <v>0</v>
      </c>
      <c r="Q111" s="70" t="n">
        <f aca="false">SUMIFS(Data!$O$782:$O$2370,Data!$H$782:$H$2370,B111)</f>
        <v>4</v>
      </c>
      <c r="R111" s="70" t="n">
        <f aca="false">SUMIFS(Data!$N$782:$N$2370,Data!$H$782:$H$2370,B111)</f>
        <v>0</v>
      </c>
      <c r="S111" s="70" t="n">
        <f aca="false">SUMIFS(Data!$O$2371:$O$3999,Data!$H$2371:$H$3999,B111)</f>
        <v>1</v>
      </c>
      <c r="T111" s="70" t="n">
        <f aca="false">SUMIFS(Data!$N$2371:$N$3999,Data!$H$2371:$H$3999,B111)</f>
        <v>1</v>
      </c>
      <c r="U111" s="69" t="n">
        <f aca="false">SUMIFS(Data!$R$2:$R$781,Data!$H$2:$H$781,B111)</f>
        <v>0</v>
      </c>
      <c r="V111" s="71" t="n">
        <f aca="false">SUMIFS(Data!$Q$2:$Q$781,Data!$H$2:$H$781,B111)</f>
        <v>0</v>
      </c>
      <c r="W111" s="69" t="n">
        <f aca="false">SUMIFS(Data!$R$782:$R$2370,Data!$H$782:$H$2370,B111)</f>
        <v>3</v>
      </c>
      <c r="X111" s="70" t="n">
        <f aca="false">SUMIFS(Data!$Q$782:$Q$2370,Data!$H$782:$H$2370,B111)</f>
        <v>1</v>
      </c>
      <c r="Y111" s="69" t="n">
        <f aca="false">SUMIFS(Data!$R$2371:$R$3999,Data!$H$2371:$H$3999,B111)</f>
        <v>1</v>
      </c>
      <c r="Z111" s="70" t="n">
        <f aca="false">SUMIFS(Data!$Q$2371:$Q$3999,Data!$H$2371:$H$3999,B111)</f>
        <v>1</v>
      </c>
      <c r="AA111" s="68" t="n">
        <f aca="false">V111+U111+O111+N111+K111+F111+E111+P111</f>
        <v>0</v>
      </c>
      <c r="AB111" s="68" t="n">
        <f aca="false">X111+W111+T111+R111+Q111+L111+H111+G111</f>
        <v>41</v>
      </c>
      <c r="AC111" s="68" t="n">
        <f aca="false">Z111+Y111+T111+S111+M111+J111+I111</f>
        <v>31</v>
      </c>
    </row>
    <row r="112" customFormat="false" ht="23.25" hidden="false" customHeight="true" outlineLevel="0" collapsed="false">
      <c r="A112" s="31" t="n">
        <f aca="false">Data!AE111</f>
        <v>721</v>
      </c>
      <c r="B112" s="31" t="str">
        <f aca="false">Data!AD111</f>
        <v>واحة الزيت</v>
      </c>
      <c r="C112" s="31" t="n">
        <f aca="false">Data!AH111</f>
        <v>502708959</v>
      </c>
      <c r="D112" s="31" t="str">
        <f aca="false">Data!AF111</f>
        <v>تبوك</v>
      </c>
      <c r="E112" s="69" t="n">
        <f aca="false">SUMIFS(Data!$L$2:$L$781,Data!$H$2:$H$781,B112)</f>
        <v>0</v>
      </c>
      <c r="F112" s="70" t="n">
        <f aca="false">SUMIFS(Data!$K$2:$K$781,Data!$H$2:$H$781,B112)</f>
        <v>0</v>
      </c>
      <c r="G112" s="69" t="n">
        <f aca="false">SUMIFS(Data!$L$782:$L$2370,Data!$H$782:$H$2370,B112)</f>
        <v>2</v>
      </c>
      <c r="H112" s="70" t="n">
        <f aca="false">SUMIFS(Data!$K$782:$K$2370,Data!$H$782:$H$2370,B112)</f>
        <v>3</v>
      </c>
      <c r="I112" s="69" t="n">
        <f aca="false">SUMIFS(Data!$L$2371:$L$3999,Data!$H$2371:$H$3999,B112)</f>
        <v>2</v>
      </c>
      <c r="J112" s="70" t="n">
        <f aca="false">SUMIFS(Data!$K$2371:$K$3999,Data!$H$2371:$H$3999,B112)</f>
        <v>11</v>
      </c>
      <c r="K112" s="69" t="n">
        <f aca="false">SUMIFS(Data!$M$2:$M$781,Data!$H$2:$H$781,B112)</f>
        <v>0</v>
      </c>
      <c r="L112" s="69" t="n">
        <f aca="false">SUMIFS(Data!$M$782:$M$2370,Data!$H$782:$H$2370,B112)</f>
        <v>16</v>
      </c>
      <c r="M112" s="69" t="n">
        <f aca="false">SUMIFS(Data!$M$2371:$M$3999,Data!$H$2371:$H$3999,B112)</f>
        <v>21</v>
      </c>
      <c r="N112" s="70" t="n">
        <f aca="false">SUMIFS(Data!$O$2:$O$781,Data!$H$2:$H$781,B112)</f>
        <v>0</v>
      </c>
      <c r="O112" s="70" t="n">
        <f aca="false">SUMIFS(Data!$N$2:$N$781,Data!$H$2:$H$781,B112)</f>
        <v>0</v>
      </c>
      <c r="P112" s="69" t="n">
        <f aca="false">SUMIFS(Data!$P$2:$P$781,Data!$H$2:$H$781,B112)</f>
        <v>0</v>
      </c>
      <c r="Q112" s="70" t="n">
        <f aca="false">SUMIFS(Data!$O$782:$O$2370,Data!$H$782:$H$2370,B112)</f>
        <v>0</v>
      </c>
      <c r="R112" s="70" t="n">
        <f aca="false">SUMIFS(Data!$N$782:$N$2370,Data!$H$782:$H$2370,B112)</f>
        <v>0</v>
      </c>
      <c r="S112" s="70" t="n">
        <f aca="false">SUMIFS(Data!$O$2371:$O$3999,Data!$H$2371:$H$3999,B112)</f>
        <v>0</v>
      </c>
      <c r="T112" s="70" t="n">
        <f aca="false">SUMIFS(Data!$N$2371:$N$3999,Data!$H$2371:$H$3999,B112)</f>
        <v>5</v>
      </c>
      <c r="U112" s="69" t="n">
        <f aca="false">SUMIFS(Data!$R$2:$R$781,Data!$H$2:$H$781,B112)</f>
        <v>0</v>
      </c>
      <c r="V112" s="71" t="n">
        <f aca="false">SUMIFS(Data!$Q$2:$Q$781,Data!$H$2:$H$781,B112)</f>
        <v>0</v>
      </c>
      <c r="W112" s="69" t="n">
        <f aca="false">SUMIFS(Data!$R$782:$R$2370,Data!$H$782:$H$2370,B112)</f>
        <v>4</v>
      </c>
      <c r="X112" s="70" t="n">
        <f aca="false">SUMIFS(Data!$Q$782:$Q$2370,Data!$H$782:$H$2370,B112)</f>
        <v>2</v>
      </c>
      <c r="Y112" s="69" t="n">
        <f aca="false">SUMIFS(Data!$R$2371:$R$3999,Data!$H$2371:$H$3999,B112)</f>
        <v>9</v>
      </c>
      <c r="Z112" s="70" t="n">
        <f aca="false">SUMIFS(Data!$Q$2371:$Q$3999,Data!$H$2371:$H$3999,B112)</f>
        <v>13</v>
      </c>
      <c r="AA112" s="68" t="n">
        <f aca="false">V112+U112+O112+N112+K112+F112+E112+P112</f>
        <v>0</v>
      </c>
      <c r="AB112" s="68" t="n">
        <f aca="false">X112+W112+T112+R112+Q112+L112+H112+G112</f>
        <v>32</v>
      </c>
      <c r="AC112" s="68" t="n">
        <f aca="false">Z112+Y112+T112+S112+M112+J112+I112</f>
        <v>61</v>
      </c>
    </row>
    <row r="113" customFormat="false" ht="23.25" hidden="false" customHeight="true" outlineLevel="0" collapsed="false">
      <c r="A113" s="31" t="n">
        <f aca="false">Data!AE112</f>
        <v>1008260</v>
      </c>
      <c r="B113" s="31" t="str">
        <f aca="false">Data!AD112</f>
        <v>يارا البلوي</v>
      </c>
      <c r="C113" s="31" t="n">
        <f aca="false">Data!AH112</f>
        <v>557373298</v>
      </c>
      <c r="D113" s="31" t="str">
        <f aca="false">Data!AF112</f>
        <v>تبوك</v>
      </c>
      <c r="E113" s="69" t="n">
        <f aca="false">SUMIFS(Data!$L$2:$L$781,Data!$H$2:$H$781,B113)</f>
        <v>0</v>
      </c>
      <c r="F113" s="70" t="n">
        <f aca="false">SUMIFS(Data!$K$2:$K$781,Data!$H$2:$H$781,B113)</f>
        <v>0</v>
      </c>
      <c r="G113" s="69" t="n">
        <f aca="false">SUMIFS(Data!$L$782:$L$2370,Data!$H$782:$H$2370,B113)</f>
        <v>2</v>
      </c>
      <c r="H113" s="70" t="n">
        <f aca="false">SUMIFS(Data!$K$782:$K$2370,Data!$H$782:$H$2370,B113)</f>
        <v>20</v>
      </c>
      <c r="I113" s="69" t="n">
        <f aca="false">SUMIFS(Data!$L$2371:$L$3999,Data!$H$2371:$H$3999,B113)</f>
        <v>0</v>
      </c>
      <c r="J113" s="70" t="n">
        <f aca="false">SUMIFS(Data!$K$2371:$K$3999,Data!$H$2371:$H$3999,B113)</f>
        <v>27</v>
      </c>
      <c r="K113" s="69" t="n">
        <f aca="false">SUMIFS(Data!$M$2:$M$781,Data!$H$2:$H$781,B113)</f>
        <v>0</v>
      </c>
      <c r="L113" s="69" t="n">
        <f aca="false">SUMIFS(Data!$M$782:$M$2370,Data!$H$782:$H$2370,B113)</f>
        <v>4</v>
      </c>
      <c r="M113" s="69" t="n">
        <f aca="false">SUMIFS(Data!$M$2371:$M$3999,Data!$H$2371:$H$3999,B113)</f>
        <v>1</v>
      </c>
      <c r="N113" s="70" t="n">
        <f aca="false">SUMIFS(Data!$O$2:$O$781,Data!$H$2:$H$781,B113)</f>
        <v>0</v>
      </c>
      <c r="O113" s="70" t="n">
        <f aca="false">SUMIFS(Data!$N$2:$N$781,Data!$H$2:$H$781,B113)</f>
        <v>0</v>
      </c>
      <c r="P113" s="69" t="n">
        <f aca="false">SUMIFS(Data!$P$2:$P$781,Data!$H$2:$H$781,B113)</f>
        <v>1</v>
      </c>
      <c r="Q113" s="70" t="n">
        <f aca="false">SUMIFS(Data!$O$782:$O$2370,Data!$H$782:$H$2370,B113)</f>
        <v>0</v>
      </c>
      <c r="R113" s="70" t="n">
        <f aca="false">SUMIFS(Data!$N$782:$N$2370,Data!$H$782:$H$2370,B113)</f>
        <v>0</v>
      </c>
      <c r="S113" s="70" t="n">
        <f aca="false">SUMIFS(Data!$O$2371:$O$3999,Data!$H$2371:$H$3999,B113)</f>
        <v>0</v>
      </c>
      <c r="T113" s="70" t="n">
        <f aca="false">SUMIFS(Data!$N$2371:$N$3999,Data!$H$2371:$H$3999,B113)</f>
        <v>0</v>
      </c>
      <c r="U113" s="69" t="n">
        <f aca="false">SUMIFS(Data!$R$2:$R$781,Data!$H$2:$H$781,B113)</f>
        <v>2</v>
      </c>
      <c r="V113" s="71" t="n">
        <f aca="false">SUMIFS(Data!$Q$2:$Q$781,Data!$H$2:$H$781,B113)</f>
        <v>0</v>
      </c>
      <c r="W113" s="69" t="n">
        <f aca="false">SUMIFS(Data!$R$782:$R$2370,Data!$H$782:$H$2370,B113)</f>
        <v>9</v>
      </c>
      <c r="X113" s="70" t="n">
        <f aca="false">SUMIFS(Data!$Q$782:$Q$2370,Data!$H$782:$H$2370,B113)</f>
        <v>0</v>
      </c>
      <c r="Y113" s="69" t="n">
        <f aca="false">SUMIFS(Data!$R$2371:$R$3999,Data!$H$2371:$H$3999,B113)</f>
        <v>10</v>
      </c>
      <c r="Z113" s="70" t="n">
        <f aca="false">SUMIFS(Data!$Q$2371:$Q$3999,Data!$H$2371:$H$3999,B113)</f>
        <v>0</v>
      </c>
      <c r="AA113" s="68" t="n">
        <f aca="false">V113+U113+O113+N113+K113+F113+E113+P113</f>
        <v>3</v>
      </c>
      <c r="AB113" s="68" t="n">
        <f aca="false">X113+W113+T113+R113+Q113+L113+H113+G113</f>
        <v>35</v>
      </c>
      <c r="AC113" s="68" t="n">
        <f aca="false">Z113+Y113+T113+S113+M113+J113+I113</f>
        <v>38</v>
      </c>
    </row>
    <row r="114" customFormat="false" ht="23.25" hidden="false" customHeight="true" outlineLevel="0" collapsed="false">
      <c r="A114" s="31" t="n">
        <f aca="false">Data!AE113</f>
        <v>1002936</v>
      </c>
      <c r="B114" s="31" t="str">
        <f aca="false">Data!AD113</f>
        <v>عكاظ بلس</v>
      </c>
      <c r="C114" s="31" t="n">
        <f aca="false">Data!AH113</f>
        <v>560701611</v>
      </c>
      <c r="D114" s="31" t="str">
        <f aca="false">Data!AF113</f>
        <v>تبوك</v>
      </c>
      <c r="E114" s="69" t="n">
        <f aca="false">SUMIFS(Data!$L$2:$L$781,Data!$H$2:$H$781,B114)</f>
        <v>0</v>
      </c>
      <c r="F114" s="70" t="n">
        <f aca="false">SUMIFS(Data!$K$2:$K$781,Data!$H$2:$H$781,B114)</f>
        <v>0</v>
      </c>
      <c r="G114" s="69" t="n">
        <f aca="false">SUMIFS(Data!$L$782:$L$2370,Data!$H$782:$H$2370,B114)</f>
        <v>0</v>
      </c>
      <c r="H114" s="70" t="n">
        <f aca="false">SUMIFS(Data!$K$782:$K$2370,Data!$H$782:$H$2370,B114)</f>
        <v>0</v>
      </c>
      <c r="I114" s="69" t="n">
        <f aca="false">SUMIFS(Data!$L$2371:$L$3999,Data!$H$2371:$H$3999,B114)</f>
        <v>0</v>
      </c>
      <c r="J114" s="70" t="n">
        <f aca="false">SUMIFS(Data!$K$2371:$K$3999,Data!$H$2371:$H$3999,B114)</f>
        <v>0</v>
      </c>
      <c r="K114" s="69" t="n">
        <f aca="false">SUMIFS(Data!$M$2:$M$781,Data!$H$2:$H$781,B114)</f>
        <v>0</v>
      </c>
      <c r="L114" s="69" t="n">
        <f aca="false">SUMIFS(Data!$M$782:$M$2370,Data!$H$782:$H$2370,B114)</f>
        <v>0</v>
      </c>
      <c r="M114" s="69" t="n">
        <f aca="false">SUMIFS(Data!$M$2371:$M$3999,Data!$H$2371:$H$3999,B114)</f>
        <v>1</v>
      </c>
      <c r="N114" s="70" t="n">
        <f aca="false">SUMIFS(Data!$O$2:$O$781,Data!$H$2:$H$781,B114)</f>
        <v>0</v>
      </c>
      <c r="O114" s="70" t="n">
        <f aca="false">SUMIFS(Data!$N$2:$N$781,Data!$H$2:$H$781,B114)</f>
        <v>0</v>
      </c>
      <c r="P114" s="69" t="n">
        <f aca="false">SUMIFS(Data!$P$2:$P$781,Data!$H$2:$H$781,B114)</f>
        <v>0</v>
      </c>
      <c r="Q114" s="70" t="n">
        <f aca="false">SUMIFS(Data!$O$782:$O$2370,Data!$H$782:$H$2370,B114)</f>
        <v>0</v>
      </c>
      <c r="R114" s="70" t="n">
        <f aca="false">SUMIFS(Data!$N$782:$N$2370,Data!$H$782:$H$2370,B114)</f>
        <v>0</v>
      </c>
      <c r="S114" s="70" t="n">
        <f aca="false">SUMIFS(Data!$O$2371:$O$3999,Data!$H$2371:$H$3999,B114)</f>
        <v>0</v>
      </c>
      <c r="T114" s="70" t="n">
        <f aca="false">SUMIFS(Data!$N$2371:$N$3999,Data!$H$2371:$H$3999,B114)</f>
        <v>0</v>
      </c>
      <c r="U114" s="69" t="n">
        <f aca="false">SUMIFS(Data!$R$2:$R$781,Data!$H$2:$H$781,B114)</f>
        <v>0</v>
      </c>
      <c r="V114" s="71" t="n">
        <f aca="false">SUMIFS(Data!$Q$2:$Q$781,Data!$H$2:$H$781,B114)</f>
        <v>0</v>
      </c>
      <c r="W114" s="69" t="n">
        <f aca="false">SUMIFS(Data!$R$782:$R$2370,Data!$H$782:$H$2370,B114)</f>
        <v>0</v>
      </c>
      <c r="X114" s="70" t="n">
        <f aca="false">SUMIFS(Data!$Q$782:$Q$2370,Data!$H$782:$H$2370,B114)</f>
        <v>0</v>
      </c>
      <c r="Y114" s="69" t="n">
        <f aca="false">SUMIFS(Data!$R$2371:$R$3999,Data!$H$2371:$H$3999,B114)</f>
        <v>1</v>
      </c>
      <c r="Z114" s="70" t="n">
        <f aca="false">SUMIFS(Data!$Q$2371:$Q$3999,Data!$H$2371:$H$3999,B114)</f>
        <v>2</v>
      </c>
      <c r="AA114" s="68" t="n">
        <f aca="false">V114+U114+O114+N114+K114+F114+E114+P114</f>
        <v>0</v>
      </c>
      <c r="AB114" s="68" t="n">
        <f aca="false">X114+W114+T114+R114+Q114+L114+H114+G114</f>
        <v>0</v>
      </c>
      <c r="AC114" s="68" t="n">
        <f aca="false">Z114+Y114+T114+S114+M114+J114+I114</f>
        <v>4</v>
      </c>
    </row>
    <row r="115" customFormat="false" ht="23.25" hidden="false" customHeight="true" outlineLevel="0" collapsed="false">
      <c r="A115" s="31" t="n">
        <f aca="false">Data!AE114</f>
        <v>1350</v>
      </c>
      <c r="B115" s="31" t="str">
        <f aca="false">Data!AD114</f>
        <v>القياده الفني</v>
      </c>
      <c r="C115" s="31" t="n">
        <f aca="false">Data!AH114</f>
        <v>552548700</v>
      </c>
      <c r="D115" s="31" t="str">
        <f aca="false">Data!AF114</f>
        <v>تبوك</v>
      </c>
      <c r="E115" s="69" t="n">
        <f aca="false">SUMIFS(Data!$L$2:$L$781,Data!$H$2:$H$781,B115)</f>
        <v>0</v>
      </c>
      <c r="F115" s="70" t="n">
        <f aca="false">SUMIFS(Data!$K$2:$K$781,Data!$H$2:$H$781,B115)</f>
        <v>0</v>
      </c>
      <c r="G115" s="69" t="n">
        <f aca="false">SUMIFS(Data!$L$782:$L$2370,Data!$H$782:$H$2370,B115)</f>
        <v>0</v>
      </c>
      <c r="H115" s="70" t="n">
        <f aca="false">SUMIFS(Data!$K$782:$K$2370,Data!$H$782:$H$2370,B115)</f>
        <v>0</v>
      </c>
      <c r="I115" s="69" t="n">
        <f aca="false">SUMIFS(Data!$L$2371:$L$3999,Data!$H$2371:$H$3999,B115)</f>
        <v>0</v>
      </c>
      <c r="J115" s="70" t="n">
        <f aca="false">SUMIFS(Data!$K$2371:$K$3999,Data!$H$2371:$H$3999,B115)</f>
        <v>4</v>
      </c>
      <c r="K115" s="69" t="n">
        <f aca="false">SUMIFS(Data!$M$2:$M$781,Data!$H$2:$H$781,B115)</f>
        <v>0</v>
      </c>
      <c r="L115" s="69" t="n">
        <f aca="false">SUMIFS(Data!$M$782:$M$2370,Data!$H$782:$H$2370,B115)</f>
        <v>0</v>
      </c>
      <c r="M115" s="69" t="n">
        <f aca="false">SUMIFS(Data!$M$2371:$M$3999,Data!$H$2371:$H$3999,B115)</f>
        <v>0</v>
      </c>
      <c r="N115" s="70" t="n">
        <f aca="false">SUMIFS(Data!$O$2:$O$781,Data!$H$2:$H$781,B115)</f>
        <v>0</v>
      </c>
      <c r="O115" s="70" t="n">
        <f aca="false">SUMIFS(Data!$N$2:$N$781,Data!$H$2:$H$781,B115)</f>
        <v>0</v>
      </c>
      <c r="P115" s="69" t="n">
        <f aca="false">SUMIFS(Data!$P$2:$P$781,Data!$H$2:$H$781,B115)</f>
        <v>0</v>
      </c>
      <c r="Q115" s="70" t="n">
        <f aca="false">SUMIFS(Data!$O$782:$O$2370,Data!$H$782:$H$2370,B115)</f>
        <v>0</v>
      </c>
      <c r="R115" s="70" t="n">
        <f aca="false">SUMIFS(Data!$N$782:$N$2370,Data!$H$782:$H$2370,B115)</f>
        <v>0</v>
      </c>
      <c r="S115" s="70" t="n">
        <f aca="false">SUMIFS(Data!$O$2371:$O$3999,Data!$H$2371:$H$3999,B115)</f>
        <v>0</v>
      </c>
      <c r="T115" s="70" t="n">
        <f aca="false">SUMIFS(Data!$N$2371:$N$3999,Data!$H$2371:$H$3999,B115)</f>
        <v>0</v>
      </c>
      <c r="U115" s="69" t="n">
        <f aca="false">SUMIFS(Data!$R$2:$R$781,Data!$H$2:$H$781,B115)</f>
        <v>0</v>
      </c>
      <c r="V115" s="71" t="n">
        <f aca="false">SUMIFS(Data!$Q$2:$Q$781,Data!$H$2:$H$781,B115)</f>
        <v>0</v>
      </c>
      <c r="W115" s="69" t="n">
        <f aca="false">SUMIFS(Data!$R$782:$R$2370,Data!$H$782:$H$2370,B115)</f>
        <v>0</v>
      </c>
      <c r="X115" s="70" t="n">
        <f aca="false">SUMIFS(Data!$Q$782:$Q$2370,Data!$H$782:$H$2370,B115)</f>
        <v>0</v>
      </c>
      <c r="Y115" s="69" t="n">
        <f aca="false">SUMIFS(Data!$R$2371:$R$3999,Data!$H$2371:$H$3999,B115)</f>
        <v>0</v>
      </c>
      <c r="Z115" s="70" t="n">
        <f aca="false">SUMIFS(Data!$Q$2371:$Q$3999,Data!$H$2371:$H$3999,B115)</f>
        <v>0</v>
      </c>
      <c r="AA115" s="68" t="n">
        <f aca="false">V115+U115+O115+N115+K115+F115+E115+P115</f>
        <v>0</v>
      </c>
      <c r="AB115" s="68" t="n">
        <f aca="false">X115+W115+T115+R115+Q115+L115+H115+G115</f>
        <v>0</v>
      </c>
      <c r="AC115" s="68" t="n">
        <f aca="false">Z115+Y115+T115+S115+M115+J115+I115</f>
        <v>4</v>
      </c>
    </row>
    <row r="116" customFormat="false" ht="23.25" hidden="false" customHeight="true" outlineLevel="0" collapsed="false">
      <c r="A116" s="31" t="n">
        <f aca="false">Data!AE115</f>
        <v>1002896</v>
      </c>
      <c r="B116" s="31" t="str">
        <f aca="false">Data!AD115</f>
        <v>سما الصفا2</v>
      </c>
      <c r="C116" s="31" t="n">
        <f aca="false">Data!AH115</f>
        <v>577568572</v>
      </c>
      <c r="D116" s="31" t="str">
        <f aca="false">Data!AF115</f>
        <v>تبوك</v>
      </c>
      <c r="E116" s="69" t="n">
        <f aca="false">SUMIFS(Data!$L$2:$L$781,Data!$H$2:$H$781,B116)</f>
        <v>0</v>
      </c>
      <c r="F116" s="70" t="n">
        <f aca="false">SUMIFS(Data!$K$2:$K$781,Data!$H$2:$H$781,B116)</f>
        <v>0</v>
      </c>
      <c r="G116" s="69" t="n">
        <f aca="false">SUMIFS(Data!$L$782:$L$2370,Data!$H$782:$H$2370,B116)</f>
        <v>0</v>
      </c>
      <c r="H116" s="70" t="n">
        <f aca="false">SUMIFS(Data!$K$782:$K$2370,Data!$H$782:$H$2370,B116)</f>
        <v>0</v>
      </c>
      <c r="I116" s="69" t="n">
        <f aca="false">SUMIFS(Data!$L$2371:$L$3999,Data!$H$2371:$H$3999,B116)</f>
        <v>0</v>
      </c>
      <c r="J116" s="70" t="n">
        <f aca="false">SUMIFS(Data!$K$2371:$K$3999,Data!$H$2371:$H$3999,B116)</f>
        <v>22</v>
      </c>
      <c r="K116" s="69" t="n">
        <f aca="false">SUMIFS(Data!$M$2:$M$781,Data!$H$2:$H$781,B116)</f>
        <v>0</v>
      </c>
      <c r="L116" s="69" t="n">
        <f aca="false">SUMIFS(Data!$M$782:$M$2370,Data!$H$782:$H$2370,B116)</f>
        <v>0</v>
      </c>
      <c r="M116" s="69" t="n">
        <f aca="false">SUMIFS(Data!$M$2371:$M$3999,Data!$H$2371:$H$3999,B116)</f>
        <v>1</v>
      </c>
      <c r="N116" s="70" t="n">
        <f aca="false">SUMIFS(Data!$O$2:$O$781,Data!$H$2:$H$781,B116)</f>
        <v>0</v>
      </c>
      <c r="O116" s="70" t="n">
        <f aca="false">SUMIFS(Data!$N$2:$N$781,Data!$H$2:$H$781,B116)</f>
        <v>0</v>
      </c>
      <c r="P116" s="69" t="n">
        <f aca="false">SUMIFS(Data!$P$2:$P$781,Data!$H$2:$H$781,B116)</f>
        <v>0</v>
      </c>
      <c r="Q116" s="70" t="n">
        <f aca="false">SUMIFS(Data!$O$782:$O$2370,Data!$H$782:$H$2370,B116)</f>
        <v>0</v>
      </c>
      <c r="R116" s="70" t="n">
        <f aca="false">SUMIFS(Data!$N$782:$N$2370,Data!$H$782:$H$2370,B116)</f>
        <v>0</v>
      </c>
      <c r="S116" s="70" t="n">
        <f aca="false">SUMIFS(Data!$O$2371:$O$3999,Data!$H$2371:$H$3999,B116)</f>
        <v>0</v>
      </c>
      <c r="T116" s="70" t="n">
        <f aca="false">SUMIFS(Data!$N$2371:$N$3999,Data!$H$2371:$H$3999,B116)</f>
        <v>0</v>
      </c>
      <c r="U116" s="69" t="n">
        <f aca="false">SUMIFS(Data!$R$2:$R$781,Data!$H$2:$H$781,B116)</f>
        <v>0</v>
      </c>
      <c r="V116" s="71" t="n">
        <f aca="false">SUMIFS(Data!$Q$2:$Q$781,Data!$H$2:$H$781,B116)</f>
        <v>0</v>
      </c>
      <c r="W116" s="69" t="n">
        <f aca="false">SUMIFS(Data!$R$782:$R$2370,Data!$H$782:$H$2370,B116)</f>
        <v>0</v>
      </c>
      <c r="X116" s="70" t="n">
        <f aca="false">SUMIFS(Data!$Q$782:$Q$2370,Data!$H$782:$H$2370,B116)</f>
        <v>0</v>
      </c>
      <c r="Y116" s="69" t="n">
        <f aca="false">SUMIFS(Data!$R$2371:$R$3999,Data!$H$2371:$H$3999,B116)</f>
        <v>1</v>
      </c>
      <c r="Z116" s="70" t="n">
        <f aca="false">SUMIFS(Data!$Q$2371:$Q$3999,Data!$H$2371:$H$3999,B116)</f>
        <v>1</v>
      </c>
      <c r="AA116" s="68" t="n">
        <f aca="false">V116+U116+O116+N116+K116+F116+E116+P116</f>
        <v>0</v>
      </c>
      <c r="AB116" s="68" t="n">
        <f aca="false">X116+W116+T116+R116+Q116+L116+H116+G116</f>
        <v>0</v>
      </c>
      <c r="AC116" s="68" t="n">
        <f aca="false">Z116+Y116+T116+S116+M116+J116+I116</f>
        <v>25</v>
      </c>
    </row>
    <row r="117" customFormat="false" ht="23.25" hidden="false" customHeight="true" outlineLevel="0" collapsed="false">
      <c r="A117" s="31" t="n">
        <f aca="false">Data!AE116</f>
        <v>1002924</v>
      </c>
      <c r="B117" s="31" t="str">
        <f aca="false">Data!AD116</f>
        <v>سما البوادي</v>
      </c>
      <c r="C117" s="31" t="n">
        <f aca="false">Data!AH116</f>
        <v>501455356</v>
      </c>
      <c r="D117" s="31" t="str">
        <f aca="false">Data!AF116</f>
        <v>تبوك</v>
      </c>
      <c r="E117" s="69" t="n">
        <f aca="false">SUMIFS(Data!$L$2:$L$781,Data!$H$2:$H$781,B117)</f>
        <v>0</v>
      </c>
      <c r="F117" s="70" t="n">
        <f aca="false">SUMIFS(Data!$K$2:$K$781,Data!$H$2:$H$781,B117)</f>
        <v>0</v>
      </c>
      <c r="G117" s="69" t="n">
        <f aca="false">SUMIFS(Data!$L$782:$L$2370,Data!$H$782:$H$2370,B117)</f>
        <v>0</v>
      </c>
      <c r="H117" s="70" t="n">
        <f aca="false">SUMIFS(Data!$K$782:$K$2370,Data!$H$782:$H$2370,B117)</f>
        <v>0</v>
      </c>
      <c r="I117" s="69" t="n">
        <f aca="false">SUMIFS(Data!$L$2371:$L$3999,Data!$H$2371:$H$3999,B117)</f>
        <v>0</v>
      </c>
      <c r="J117" s="70" t="n">
        <f aca="false">SUMIFS(Data!$K$2371:$K$3999,Data!$H$2371:$H$3999,B117)</f>
        <v>11</v>
      </c>
      <c r="K117" s="69" t="n">
        <f aca="false">SUMIFS(Data!$M$2:$M$781,Data!$H$2:$H$781,B117)</f>
        <v>0</v>
      </c>
      <c r="L117" s="69" t="n">
        <f aca="false">SUMIFS(Data!$M$782:$M$2370,Data!$H$782:$H$2370,B117)</f>
        <v>0</v>
      </c>
      <c r="M117" s="69" t="n">
        <f aca="false">SUMIFS(Data!$M$2371:$M$3999,Data!$H$2371:$H$3999,B117)</f>
        <v>0</v>
      </c>
      <c r="N117" s="70" t="n">
        <f aca="false">SUMIFS(Data!$O$2:$O$781,Data!$H$2:$H$781,B117)</f>
        <v>0</v>
      </c>
      <c r="O117" s="70" t="n">
        <f aca="false">SUMIFS(Data!$N$2:$N$781,Data!$H$2:$H$781,B117)</f>
        <v>0</v>
      </c>
      <c r="P117" s="69" t="n">
        <f aca="false">SUMIFS(Data!$P$2:$P$781,Data!$H$2:$H$781,B117)</f>
        <v>0</v>
      </c>
      <c r="Q117" s="70" t="n">
        <f aca="false">SUMIFS(Data!$O$782:$O$2370,Data!$H$782:$H$2370,B117)</f>
        <v>0</v>
      </c>
      <c r="R117" s="70" t="n">
        <f aca="false">SUMIFS(Data!$N$782:$N$2370,Data!$H$782:$H$2370,B117)</f>
        <v>0</v>
      </c>
      <c r="S117" s="70" t="n">
        <f aca="false">SUMIFS(Data!$O$2371:$O$3999,Data!$H$2371:$H$3999,B117)</f>
        <v>0</v>
      </c>
      <c r="T117" s="70" t="n">
        <f aca="false">SUMIFS(Data!$N$2371:$N$3999,Data!$H$2371:$H$3999,B117)</f>
        <v>0</v>
      </c>
      <c r="U117" s="69" t="n">
        <f aca="false">SUMIFS(Data!$R$2:$R$781,Data!$H$2:$H$781,B117)</f>
        <v>0</v>
      </c>
      <c r="V117" s="71" t="n">
        <f aca="false">SUMIFS(Data!$Q$2:$Q$781,Data!$H$2:$H$781,B117)</f>
        <v>0</v>
      </c>
      <c r="W117" s="69" t="n">
        <f aca="false">SUMIFS(Data!$R$782:$R$2370,Data!$H$782:$H$2370,B117)</f>
        <v>0</v>
      </c>
      <c r="X117" s="70" t="n">
        <f aca="false">SUMIFS(Data!$Q$782:$Q$2370,Data!$H$782:$H$2370,B117)</f>
        <v>0</v>
      </c>
      <c r="Y117" s="69" t="n">
        <f aca="false">SUMIFS(Data!$R$2371:$R$3999,Data!$H$2371:$H$3999,B117)</f>
        <v>1</v>
      </c>
      <c r="Z117" s="70" t="n">
        <f aca="false">SUMIFS(Data!$Q$2371:$Q$3999,Data!$H$2371:$H$3999,B117)</f>
        <v>0</v>
      </c>
      <c r="AA117" s="68" t="n">
        <f aca="false">V117+U117+O117+N117+K117+F117+E117+P117</f>
        <v>0</v>
      </c>
      <c r="AB117" s="68" t="n">
        <f aca="false">X117+W117+T117+R117+Q117+L117+H117+G117</f>
        <v>0</v>
      </c>
      <c r="AC117" s="68" t="n">
        <f aca="false">Z117+Y117+T117+S117+M117+J117+I117</f>
        <v>12</v>
      </c>
    </row>
    <row r="118" customFormat="false" ht="23.25" hidden="false" customHeight="true" outlineLevel="0" collapsed="false">
      <c r="A118" s="31" t="n">
        <f aca="false">Data!AE117</f>
        <v>1002907</v>
      </c>
      <c r="B118" s="31" t="str">
        <f aca="false">Data!AD117</f>
        <v>ساحة الاخضر</v>
      </c>
      <c r="C118" s="31" t="n">
        <f aca="false">Data!AH117</f>
        <v>509828692</v>
      </c>
      <c r="D118" s="31" t="str">
        <f aca="false">Data!AF117</f>
        <v>تبوك</v>
      </c>
      <c r="E118" s="69" t="n">
        <f aca="false">SUMIFS(Data!$L$2:$L$781,Data!$H$2:$H$781,B118)</f>
        <v>0</v>
      </c>
      <c r="F118" s="70" t="n">
        <f aca="false">SUMIFS(Data!$K$2:$K$781,Data!$H$2:$H$781,B118)</f>
        <v>0</v>
      </c>
      <c r="G118" s="69" t="n">
        <f aca="false">SUMIFS(Data!$L$782:$L$2370,Data!$H$782:$H$2370,B118)</f>
        <v>0</v>
      </c>
      <c r="H118" s="70" t="n">
        <f aca="false">SUMIFS(Data!$K$782:$K$2370,Data!$H$782:$H$2370,B118)</f>
        <v>0</v>
      </c>
      <c r="I118" s="69" t="n">
        <f aca="false">SUMIFS(Data!$L$2371:$L$3999,Data!$H$2371:$H$3999,B118)</f>
        <v>0</v>
      </c>
      <c r="J118" s="70" t="n">
        <f aca="false">SUMIFS(Data!$K$2371:$K$3999,Data!$H$2371:$H$3999,B118)</f>
        <v>43</v>
      </c>
      <c r="K118" s="69" t="n">
        <f aca="false">SUMIFS(Data!$M$2:$M$781,Data!$H$2:$H$781,B118)</f>
        <v>0</v>
      </c>
      <c r="L118" s="69" t="n">
        <f aca="false">SUMIFS(Data!$M$782:$M$2370,Data!$H$782:$H$2370,B118)</f>
        <v>0</v>
      </c>
      <c r="M118" s="69" t="n">
        <f aca="false">SUMIFS(Data!$M$2371:$M$3999,Data!$H$2371:$H$3999,B118)</f>
        <v>50</v>
      </c>
      <c r="N118" s="70" t="n">
        <f aca="false">SUMIFS(Data!$O$2:$O$781,Data!$H$2:$H$781,B118)</f>
        <v>0</v>
      </c>
      <c r="O118" s="70" t="n">
        <f aca="false">SUMIFS(Data!$N$2:$N$781,Data!$H$2:$H$781,B118)</f>
        <v>0</v>
      </c>
      <c r="P118" s="69" t="n">
        <f aca="false">SUMIFS(Data!$P$2:$P$781,Data!$H$2:$H$781,B118)</f>
        <v>0</v>
      </c>
      <c r="Q118" s="70" t="n">
        <f aca="false">SUMIFS(Data!$O$782:$O$2370,Data!$H$782:$H$2370,B118)</f>
        <v>0</v>
      </c>
      <c r="R118" s="70" t="n">
        <f aca="false">SUMIFS(Data!$N$782:$N$2370,Data!$H$782:$H$2370,B118)</f>
        <v>0</v>
      </c>
      <c r="S118" s="70" t="n">
        <f aca="false">SUMIFS(Data!$O$2371:$O$3999,Data!$H$2371:$H$3999,B118)</f>
        <v>0</v>
      </c>
      <c r="T118" s="70" t="n">
        <f aca="false">SUMIFS(Data!$N$2371:$N$3999,Data!$H$2371:$H$3999,B118)</f>
        <v>0</v>
      </c>
      <c r="U118" s="69" t="n">
        <f aca="false">SUMIFS(Data!$R$2:$R$781,Data!$H$2:$H$781,B118)</f>
        <v>0</v>
      </c>
      <c r="V118" s="71" t="n">
        <f aca="false">SUMIFS(Data!$Q$2:$Q$781,Data!$H$2:$H$781,B118)</f>
        <v>0</v>
      </c>
      <c r="W118" s="69" t="n">
        <f aca="false">SUMIFS(Data!$R$782:$R$2370,Data!$H$782:$H$2370,B118)</f>
        <v>0</v>
      </c>
      <c r="X118" s="70" t="n">
        <f aca="false">SUMIFS(Data!$Q$782:$Q$2370,Data!$H$782:$H$2370,B118)</f>
        <v>0</v>
      </c>
      <c r="Y118" s="69" t="n">
        <f aca="false">SUMIFS(Data!$R$2371:$R$3999,Data!$H$2371:$H$3999,B118)</f>
        <v>1</v>
      </c>
      <c r="Z118" s="70" t="n">
        <f aca="false">SUMIFS(Data!$Q$2371:$Q$3999,Data!$H$2371:$H$3999,B118)</f>
        <v>1</v>
      </c>
      <c r="AA118" s="68" t="n">
        <f aca="false">V118+U118+O118+N118+K118+F118+E118+P118</f>
        <v>0</v>
      </c>
      <c r="AB118" s="68" t="n">
        <f aca="false">X118+W118+T118+R118+Q118+L118+H118+G118</f>
        <v>0</v>
      </c>
      <c r="AC118" s="68" t="n">
        <f aca="false">Z118+Y118+T118+S118+M118+J118+I118</f>
        <v>95</v>
      </c>
    </row>
    <row r="119" customFormat="false" ht="23.25" hidden="false" customHeight="true" outlineLevel="0" collapsed="false">
      <c r="A119" s="31" t="n">
        <f aca="false">Data!AE118</f>
        <v>1002911</v>
      </c>
      <c r="B119" s="31" t="str">
        <f aca="false">Data!AD118</f>
        <v>واحة البساتين</v>
      </c>
      <c r="C119" s="31" t="n">
        <f aca="false">Data!AH118</f>
        <v>0</v>
      </c>
      <c r="D119" s="31" t="str">
        <f aca="false">Data!AF118</f>
        <v>تبوك</v>
      </c>
      <c r="E119" s="69" t="n">
        <f aca="false">SUMIFS(Data!$L$2:$L$781,Data!$H$2:$H$781,B119)</f>
        <v>0</v>
      </c>
      <c r="F119" s="70" t="n">
        <f aca="false">SUMIFS(Data!$K$2:$K$781,Data!$H$2:$H$781,B119)</f>
        <v>0</v>
      </c>
      <c r="G119" s="69" t="n">
        <f aca="false">SUMIFS(Data!$L$782:$L$2370,Data!$H$782:$H$2370,B119)</f>
        <v>0</v>
      </c>
      <c r="H119" s="70" t="n">
        <f aca="false">SUMIFS(Data!$K$782:$K$2370,Data!$H$782:$H$2370,B119)</f>
        <v>0</v>
      </c>
      <c r="I119" s="69" t="n">
        <f aca="false">SUMIFS(Data!$L$2371:$L$3999,Data!$H$2371:$H$3999,B119)</f>
        <v>0</v>
      </c>
      <c r="J119" s="70" t="n">
        <f aca="false">SUMIFS(Data!$K$2371:$K$3999,Data!$H$2371:$H$3999,B119)</f>
        <v>0</v>
      </c>
      <c r="K119" s="69" t="n">
        <f aca="false">SUMIFS(Data!$M$2:$M$781,Data!$H$2:$H$781,B119)</f>
        <v>0</v>
      </c>
      <c r="L119" s="69" t="n">
        <f aca="false">SUMIFS(Data!$M$782:$M$2370,Data!$H$782:$H$2370,B119)</f>
        <v>0</v>
      </c>
      <c r="M119" s="69" t="n">
        <f aca="false">SUMIFS(Data!$M$2371:$M$3999,Data!$H$2371:$H$3999,B119)</f>
        <v>0</v>
      </c>
      <c r="N119" s="70" t="n">
        <f aca="false">SUMIFS(Data!$O$2:$O$781,Data!$H$2:$H$781,B119)</f>
        <v>0</v>
      </c>
      <c r="O119" s="70" t="n">
        <f aca="false">SUMIFS(Data!$N$2:$N$781,Data!$H$2:$H$781,B119)</f>
        <v>0</v>
      </c>
      <c r="P119" s="69" t="n">
        <f aca="false">SUMIFS(Data!$P$2:$P$781,Data!$H$2:$H$781,B119)</f>
        <v>0</v>
      </c>
      <c r="Q119" s="70" t="n">
        <f aca="false">SUMIFS(Data!$O$782:$O$2370,Data!$H$782:$H$2370,B119)</f>
        <v>0</v>
      </c>
      <c r="R119" s="70" t="n">
        <f aca="false">SUMIFS(Data!$N$782:$N$2370,Data!$H$782:$H$2370,B119)</f>
        <v>0</v>
      </c>
      <c r="S119" s="70" t="n">
        <f aca="false">SUMIFS(Data!$O$2371:$O$3999,Data!$H$2371:$H$3999,B119)</f>
        <v>0</v>
      </c>
      <c r="T119" s="70" t="n">
        <f aca="false">SUMIFS(Data!$N$2371:$N$3999,Data!$H$2371:$H$3999,B119)</f>
        <v>0</v>
      </c>
      <c r="U119" s="69" t="n">
        <f aca="false">SUMIFS(Data!$R$2:$R$781,Data!$H$2:$H$781,B119)</f>
        <v>0</v>
      </c>
      <c r="V119" s="71" t="n">
        <f aca="false">SUMIFS(Data!$Q$2:$Q$781,Data!$H$2:$H$781,B119)</f>
        <v>0</v>
      </c>
      <c r="W119" s="69" t="n">
        <f aca="false">SUMIFS(Data!$R$782:$R$2370,Data!$H$782:$H$2370,B119)</f>
        <v>0</v>
      </c>
      <c r="X119" s="70" t="n">
        <f aca="false">SUMIFS(Data!$Q$782:$Q$2370,Data!$H$782:$H$2370,B119)</f>
        <v>0</v>
      </c>
      <c r="Y119" s="69" t="n">
        <f aca="false">SUMIFS(Data!$R$2371:$R$3999,Data!$H$2371:$H$3999,B119)</f>
        <v>1</v>
      </c>
      <c r="Z119" s="70" t="n">
        <f aca="false">SUMIFS(Data!$Q$2371:$Q$3999,Data!$H$2371:$H$3999,B119)</f>
        <v>0</v>
      </c>
      <c r="AA119" s="68" t="n">
        <f aca="false">V119+U119+O119+N119+K119+F119+E119+P119</f>
        <v>0</v>
      </c>
      <c r="AB119" s="68" t="n">
        <f aca="false">X119+W119+T119+R119+Q119+L119+H119+G119</f>
        <v>0</v>
      </c>
      <c r="AC119" s="68" t="n">
        <f aca="false">Z119+Y119+T119+S119+M119+J119+I119</f>
        <v>1</v>
      </c>
    </row>
    <row r="120" customFormat="false" ht="23.25" hidden="false" customHeight="true" outlineLevel="0" collapsed="false">
      <c r="A120" s="31" t="n">
        <f aca="false">Data!AE119</f>
        <v>1212</v>
      </c>
      <c r="B120" s="31" t="str">
        <f aca="false">Data!AD119</f>
        <v>الزوايا المتطوره</v>
      </c>
      <c r="C120" s="31" t="n">
        <f aca="false">Data!AH119</f>
        <v>556979410</v>
      </c>
      <c r="D120" s="31" t="str">
        <f aca="false">Data!AF119</f>
        <v>تبوك</v>
      </c>
      <c r="E120" s="69" t="n">
        <f aca="false">SUMIFS(Data!$L$2:$L$781,Data!$H$2:$H$781,B120)</f>
        <v>0</v>
      </c>
      <c r="F120" s="70" t="n">
        <f aca="false">SUMIFS(Data!$K$2:$K$781,Data!$H$2:$H$781,B120)</f>
        <v>0</v>
      </c>
      <c r="G120" s="69" t="n">
        <f aca="false">SUMIFS(Data!$L$782:$L$2370,Data!$H$782:$H$2370,B120)</f>
        <v>0</v>
      </c>
      <c r="H120" s="70" t="n">
        <f aca="false">SUMIFS(Data!$K$782:$K$2370,Data!$H$782:$H$2370,B120)</f>
        <v>0</v>
      </c>
      <c r="I120" s="69" t="n">
        <f aca="false">SUMIFS(Data!$L$2371:$L$3999,Data!$H$2371:$H$3999,B120)</f>
        <v>0</v>
      </c>
      <c r="J120" s="70" t="n">
        <f aca="false">SUMIFS(Data!$K$2371:$K$3999,Data!$H$2371:$H$3999,B120)</f>
        <v>7</v>
      </c>
      <c r="K120" s="69" t="n">
        <f aca="false">SUMIFS(Data!$M$2:$M$781,Data!$H$2:$H$781,B120)</f>
        <v>0</v>
      </c>
      <c r="L120" s="69" t="n">
        <f aca="false">SUMIFS(Data!$M$782:$M$2370,Data!$H$782:$H$2370,B120)</f>
        <v>0</v>
      </c>
      <c r="M120" s="69" t="n">
        <f aca="false">SUMIFS(Data!$M$2371:$M$3999,Data!$H$2371:$H$3999,B120)</f>
        <v>7</v>
      </c>
      <c r="N120" s="70" t="n">
        <f aca="false">SUMIFS(Data!$O$2:$O$781,Data!$H$2:$H$781,B120)</f>
        <v>0</v>
      </c>
      <c r="O120" s="70" t="n">
        <f aca="false">SUMIFS(Data!$N$2:$N$781,Data!$H$2:$H$781,B120)</f>
        <v>0</v>
      </c>
      <c r="P120" s="69" t="n">
        <f aca="false">SUMIFS(Data!$P$2:$P$781,Data!$H$2:$H$781,B120)</f>
        <v>0</v>
      </c>
      <c r="Q120" s="70" t="n">
        <f aca="false">SUMIFS(Data!$O$782:$O$2370,Data!$H$782:$H$2370,B120)</f>
        <v>0</v>
      </c>
      <c r="R120" s="70" t="n">
        <f aca="false">SUMIFS(Data!$N$782:$N$2370,Data!$H$782:$H$2370,B120)</f>
        <v>0</v>
      </c>
      <c r="S120" s="70" t="n">
        <f aca="false">SUMIFS(Data!$O$2371:$O$3999,Data!$H$2371:$H$3999,B120)</f>
        <v>0</v>
      </c>
      <c r="T120" s="70" t="n">
        <f aca="false">SUMIFS(Data!$N$2371:$N$3999,Data!$H$2371:$H$3999,B120)</f>
        <v>0</v>
      </c>
      <c r="U120" s="69" t="n">
        <f aca="false">SUMIFS(Data!$R$2:$R$781,Data!$H$2:$H$781,B120)</f>
        <v>0</v>
      </c>
      <c r="V120" s="71" t="n">
        <f aca="false">SUMIFS(Data!$Q$2:$Q$781,Data!$H$2:$H$781,B120)</f>
        <v>0</v>
      </c>
      <c r="W120" s="69" t="n">
        <f aca="false">SUMIFS(Data!$R$782:$R$2370,Data!$H$782:$H$2370,B120)</f>
        <v>0</v>
      </c>
      <c r="X120" s="70" t="n">
        <f aca="false">SUMIFS(Data!$Q$782:$Q$2370,Data!$H$782:$H$2370,B120)</f>
        <v>0</v>
      </c>
      <c r="Y120" s="69" t="n">
        <f aca="false">SUMIFS(Data!$R$2371:$R$3999,Data!$H$2371:$H$3999,B120)</f>
        <v>0</v>
      </c>
      <c r="Z120" s="70" t="n">
        <f aca="false">SUMIFS(Data!$Q$2371:$Q$3999,Data!$H$2371:$H$3999,B120)</f>
        <v>0</v>
      </c>
      <c r="AA120" s="68" t="n">
        <f aca="false">V120+U120+O120+N120+K120+F120+E120+P120</f>
        <v>0</v>
      </c>
      <c r="AB120" s="68" t="n">
        <f aca="false">X120+W120+T120+R120+Q120+L120+H120+G120</f>
        <v>0</v>
      </c>
      <c r="AC120" s="68" t="n">
        <f aca="false">Z120+Y120+T120+S120+M120+J120+I120</f>
        <v>14</v>
      </c>
    </row>
    <row r="121" customFormat="false" ht="23.25" hidden="false" customHeight="true" outlineLevel="0" collapsed="false">
      <c r="A121" s="31" t="n">
        <f aca="false">Data!AE120</f>
        <v>1002882</v>
      </c>
      <c r="B121" s="31" t="str">
        <f aca="false">Data!AD120</f>
        <v>وسام الجزيره 2</v>
      </c>
      <c r="C121" s="31" t="n">
        <f aca="false">Data!AH120</f>
        <v>536015753</v>
      </c>
      <c r="D121" s="31" t="str">
        <f aca="false">Data!AF120</f>
        <v>تبوك</v>
      </c>
      <c r="E121" s="69" t="n">
        <f aca="false">SUMIFS(Data!$L$2:$L$781,Data!$H$2:$H$781,B121)</f>
        <v>0</v>
      </c>
      <c r="F121" s="70" t="n">
        <f aca="false">SUMIFS(Data!$K$2:$K$781,Data!$H$2:$H$781,B121)</f>
        <v>0</v>
      </c>
      <c r="G121" s="69" t="n">
        <f aca="false">SUMIFS(Data!$L$782:$L$2370,Data!$H$782:$H$2370,B121)</f>
        <v>0</v>
      </c>
      <c r="H121" s="70" t="n">
        <f aca="false">SUMIFS(Data!$K$782:$K$2370,Data!$H$782:$H$2370,B121)</f>
        <v>0</v>
      </c>
      <c r="I121" s="69" t="n">
        <f aca="false">SUMIFS(Data!$L$2371:$L$3999,Data!$H$2371:$H$3999,B121)</f>
        <v>0</v>
      </c>
      <c r="J121" s="70" t="n">
        <f aca="false">SUMIFS(Data!$K$2371:$K$3999,Data!$H$2371:$H$3999,B121)</f>
        <v>11</v>
      </c>
      <c r="K121" s="69" t="n">
        <f aca="false">SUMIFS(Data!$M$2:$M$781,Data!$H$2:$H$781,B121)</f>
        <v>0</v>
      </c>
      <c r="L121" s="69" t="n">
        <f aca="false">SUMIFS(Data!$M$782:$M$2370,Data!$H$782:$H$2370,B121)</f>
        <v>0</v>
      </c>
      <c r="M121" s="69" t="n">
        <f aca="false">SUMIFS(Data!$M$2371:$M$3999,Data!$H$2371:$H$3999,B121)</f>
        <v>1</v>
      </c>
      <c r="N121" s="70" t="n">
        <f aca="false">SUMIFS(Data!$O$2:$O$781,Data!$H$2:$H$781,B121)</f>
        <v>0</v>
      </c>
      <c r="O121" s="70" t="n">
        <f aca="false">SUMIFS(Data!$N$2:$N$781,Data!$H$2:$H$781,B121)</f>
        <v>0</v>
      </c>
      <c r="P121" s="69" t="n">
        <f aca="false">SUMIFS(Data!$P$2:$P$781,Data!$H$2:$H$781,B121)</f>
        <v>0</v>
      </c>
      <c r="Q121" s="70" t="n">
        <f aca="false">SUMIFS(Data!$O$782:$O$2370,Data!$H$782:$H$2370,B121)</f>
        <v>0</v>
      </c>
      <c r="R121" s="70" t="n">
        <f aca="false">SUMIFS(Data!$N$782:$N$2370,Data!$H$782:$H$2370,B121)</f>
        <v>0</v>
      </c>
      <c r="S121" s="70" t="n">
        <f aca="false">SUMIFS(Data!$O$2371:$O$3999,Data!$H$2371:$H$3999,B121)</f>
        <v>0</v>
      </c>
      <c r="T121" s="70" t="n">
        <f aca="false">SUMIFS(Data!$N$2371:$N$3999,Data!$H$2371:$H$3999,B121)</f>
        <v>0</v>
      </c>
      <c r="U121" s="69" t="n">
        <f aca="false">SUMIFS(Data!$R$2:$R$781,Data!$H$2:$H$781,B121)</f>
        <v>0</v>
      </c>
      <c r="V121" s="71" t="n">
        <f aca="false">SUMIFS(Data!$Q$2:$Q$781,Data!$H$2:$H$781,B121)</f>
        <v>0</v>
      </c>
      <c r="W121" s="69" t="n">
        <f aca="false">SUMIFS(Data!$R$782:$R$2370,Data!$H$782:$H$2370,B121)</f>
        <v>0</v>
      </c>
      <c r="X121" s="70" t="n">
        <f aca="false">SUMIFS(Data!$Q$782:$Q$2370,Data!$H$782:$H$2370,B121)</f>
        <v>0</v>
      </c>
      <c r="Y121" s="69" t="n">
        <f aca="false">SUMIFS(Data!$R$2371:$R$3999,Data!$H$2371:$H$3999,B121)</f>
        <v>2</v>
      </c>
      <c r="Z121" s="70" t="n">
        <f aca="false">SUMIFS(Data!$Q$2371:$Q$3999,Data!$H$2371:$H$3999,B121)</f>
        <v>1</v>
      </c>
      <c r="AA121" s="68" t="n">
        <f aca="false">V121+U121+O121+N121+K121+F121+E121+P121</f>
        <v>0</v>
      </c>
      <c r="AB121" s="68" t="n">
        <f aca="false">X121+W121+T121+R121+Q121+L121+H121+G121</f>
        <v>0</v>
      </c>
      <c r="AC121" s="68" t="n">
        <f aca="false">Z121+Y121+T121+S121+M121+J121+I121</f>
        <v>15</v>
      </c>
    </row>
    <row r="122" customFormat="false" ht="23.25" hidden="false" customHeight="true" outlineLevel="0" collapsed="false">
      <c r="A122" s="31" t="n">
        <f aca="false">Data!AE121</f>
        <v>1008058</v>
      </c>
      <c r="B122" s="31" t="str">
        <f aca="false">Data!AD121</f>
        <v>اشراق تبوك</v>
      </c>
      <c r="C122" s="31" t="n">
        <f aca="false">Data!AH121</f>
        <v>0</v>
      </c>
      <c r="D122" s="31" t="str">
        <f aca="false">Data!AF121</f>
        <v>تبوك</v>
      </c>
      <c r="E122" s="69" t="n">
        <f aca="false">SUMIFS(Data!$L$2:$L$781,Data!$H$2:$H$781,B122)</f>
        <v>0</v>
      </c>
      <c r="F122" s="70" t="n">
        <f aca="false">SUMIFS(Data!$K$2:$K$781,Data!$H$2:$H$781,B122)</f>
        <v>0</v>
      </c>
      <c r="G122" s="69" t="n">
        <f aca="false">SUMIFS(Data!$L$782:$L$2370,Data!$H$782:$H$2370,B122)</f>
        <v>0</v>
      </c>
      <c r="H122" s="70" t="n">
        <f aca="false">SUMIFS(Data!$K$782:$K$2370,Data!$H$782:$H$2370,B122)</f>
        <v>1</v>
      </c>
      <c r="I122" s="69" t="n">
        <f aca="false">SUMIFS(Data!$L$2371:$L$3999,Data!$H$2371:$H$3999,B122)</f>
        <v>0</v>
      </c>
      <c r="J122" s="70" t="n">
        <f aca="false">SUMIFS(Data!$K$2371:$K$3999,Data!$H$2371:$H$3999,B122)</f>
        <v>0</v>
      </c>
      <c r="K122" s="69" t="n">
        <f aca="false">SUMIFS(Data!$M$2:$M$781,Data!$H$2:$H$781,B122)</f>
        <v>0</v>
      </c>
      <c r="L122" s="69" t="n">
        <f aca="false">SUMIFS(Data!$M$782:$M$2370,Data!$H$782:$H$2370,B122)</f>
        <v>0</v>
      </c>
      <c r="M122" s="69" t="n">
        <f aca="false">SUMIFS(Data!$M$2371:$M$3999,Data!$H$2371:$H$3999,B122)</f>
        <v>0</v>
      </c>
      <c r="N122" s="70" t="n">
        <f aca="false">SUMIFS(Data!$O$2:$O$781,Data!$H$2:$H$781,B122)</f>
        <v>0</v>
      </c>
      <c r="O122" s="70" t="n">
        <f aca="false">SUMIFS(Data!$N$2:$N$781,Data!$H$2:$H$781,B122)</f>
        <v>0</v>
      </c>
      <c r="P122" s="69" t="n">
        <f aca="false">SUMIFS(Data!$P$2:$P$781,Data!$H$2:$H$781,B122)</f>
        <v>0</v>
      </c>
      <c r="Q122" s="70" t="n">
        <f aca="false">SUMIFS(Data!$O$782:$O$2370,Data!$H$782:$H$2370,B122)</f>
        <v>0</v>
      </c>
      <c r="R122" s="70" t="n">
        <f aca="false">SUMIFS(Data!$N$782:$N$2370,Data!$H$782:$H$2370,B122)</f>
        <v>0</v>
      </c>
      <c r="S122" s="70" t="n">
        <f aca="false">SUMIFS(Data!$O$2371:$O$3999,Data!$H$2371:$H$3999,B122)</f>
        <v>1</v>
      </c>
      <c r="T122" s="70" t="n">
        <f aca="false">SUMIFS(Data!$N$2371:$N$3999,Data!$H$2371:$H$3999,B122)</f>
        <v>0</v>
      </c>
      <c r="U122" s="69" t="n">
        <f aca="false">SUMIFS(Data!$R$2:$R$781,Data!$H$2:$H$781,B122)</f>
        <v>0</v>
      </c>
      <c r="V122" s="71" t="n">
        <f aca="false">SUMIFS(Data!$Q$2:$Q$781,Data!$H$2:$H$781,B122)</f>
        <v>0</v>
      </c>
      <c r="W122" s="69" t="n">
        <f aca="false">SUMIFS(Data!$R$782:$R$2370,Data!$H$782:$H$2370,B122)</f>
        <v>0</v>
      </c>
      <c r="X122" s="70" t="n">
        <f aca="false">SUMIFS(Data!$Q$782:$Q$2370,Data!$H$782:$H$2370,B122)</f>
        <v>0</v>
      </c>
      <c r="Y122" s="69" t="n">
        <f aca="false">SUMIFS(Data!$R$2371:$R$3999,Data!$H$2371:$H$3999,B122)</f>
        <v>0</v>
      </c>
      <c r="Z122" s="70" t="n">
        <f aca="false">SUMIFS(Data!$Q$2371:$Q$3999,Data!$H$2371:$H$3999,B122)</f>
        <v>0</v>
      </c>
      <c r="AA122" s="68" t="n">
        <f aca="false">V122+U122+O122+N122+K122+F122+E122+P122</f>
        <v>0</v>
      </c>
      <c r="AB122" s="68" t="n">
        <f aca="false">X122+W122+T122+R122+Q122+L122+H122+G122</f>
        <v>1</v>
      </c>
      <c r="AC122" s="68" t="n">
        <f aca="false">Z122+Y122+T122+S122+M122+J122+I122</f>
        <v>1</v>
      </c>
    </row>
    <row r="123" customFormat="false" ht="23.25" hidden="false" customHeight="true" outlineLevel="0" collapsed="false">
      <c r="A123" s="31" t="n">
        <f aca="false">Data!AE122</f>
        <v>1002879</v>
      </c>
      <c r="B123" s="31" t="str">
        <f aca="false">Data!AD122</f>
        <v>رانيه قبوري 2</v>
      </c>
      <c r="C123" s="31" t="n">
        <f aca="false">Data!AH122</f>
        <v>536806024</v>
      </c>
      <c r="D123" s="31" t="str">
        <f aca="false">Data!AF122</f>
        <v>تبوك</v>
      </c>
      <c r="E123" s="69" t="n">
        <f aca="false">SUMIFS(Data!$L$2:$L$781,Data!$H$2:$H$781,B123)</f>
        <v>0</v>
      </c>
      <c r="F123" s="70" t="n">
        <f aca="false">SUMIFS(Data!$K$2:$K$781,Data!$H$2:$H$781,B123)</f>
        <v>0</v>
      </c>
      <c r="G123" s="69" t="n">
        <f aca="false">SUMIFS(Data!$L$782:$L$2370,Data!$H$782:$H$2370,B123)</f>
        <v>0</v>
      </c>
      <c r="H123" s="70" t="n">
        <f aca="false">SUMIFS(Data!$K$782:$K$2370,Data!$H$782:$H$2370,B123)</f>
        <v>6</v>
      </c>
      <c r="I123" s="69" t="n">
        <f aca="false">SUMIFS(Data!$L$2371:$L$3999,Data!$H$2371:$H$3999,B123)</f>
        <v>0</v>
      </c>
      <c r="J123" s="70" t="n">
        <f aca="false">SUMIFS(Data!$K$2371:$K$3999,Data!$H$2371:$H$3999,B123)</f>
        <v>15</v>
      </c>
      <c r="K123" s="69" t="n">
        <f aca="false">SUMIFS(Data!$M$2:$M$781,Data!$H$2:$H$781,B123)</f>
        <v>0</v>
      </c>
      <c r="L123" s="69" t="n">
        <f aca="false">SUMIFS(Data!$M$782:$M$2370,Data!$H$782:$H$2370,B123)</f>
        <v>0</v>
      </c>
      <c r="M123" s="69" t="n">
        <f aca="false">SUMIFS(Data!$M$2371:$M$3999,Data!$H$2371:$H$3999,B123)</f>
        <v>0</v>
      </c>
      <c r="N123" s="70" t="n">
        <f aca="false">SUMIFS(Data!$O$2:$O$781,Data!$H$2:$H$781,B123)</f>
        <v>0</v>
      </c>
      <c r="O123" s="70" t="n">
        <f aca="false">SUMIFS(Data!$N$2:$N$781,Data!$H$2:$H$781,B123)</f>
        <v>0</v>
      </c>
      <c r="P123" s="69" t="n">
        <f aca="false">SUMIFS(Data!$P$2:$P$781,Data!$H$2:$H$781,B123)</f>
        <v>0</v>
      </c>
      <c r="Q123" s="70" t="n">
        <f aca="false">SUMIFS(Data!$O$782:$O$2370,Data!$H$782:$H$2370,B123)</f>
        <v>0</v>
      </c>
      <c r="R123" s="70" t="n">
        <f aca="false">SUMIFS(Data!$N$782:$N$2370,Data!$H$782:$H$2370,B123)</f>
        <v>0</v>
      </c>
      <c r="S123" s="70" t="n">
        <f aca="false">SUMIFS(Data!$O$2371:$O$3999,Data!$H$2371:$H$3999,B123)</f>
        <v>2</v>
      </c>
      <c r="T123" s="70" t="n">
        <f aca="false">SUMIFS(Data!$N$2371:$N$3999,Data!$H$2371:$H$3999,B123)</f>
        <v>0</v>
      </c>
      <c r="U123" s="69" t="n">
        <f aca="false">SUMIFS(Data!$R$2:$R$781,Data!$H$2:$H$781,B123)</f>
        <v>0</v>
      </c>
      <c r="V123" s="71" t="n">
        <f aca="false">SUMIFS(Data!$Q$2:$Q$781,Data!$H$2:$H$781,B123)</f>
        <v>0</v>
      </c>
      <c r="W123" s="69" t="n">
        <f aca="false">SUMIFS(Data!$R$782:$R$2370,Data!$H$782:$H$2370,B123)</f>
        <v>0</v>
      </c>
      <c r="X123" s="70" t="n">
        <f aca="false">SUMIFS(Data!$Q$782:$Q$2370,Data!$H$782:$H$2370,B123)</f>
        <v>0</v>
      </c>
      <c r="Y123" s="69" t="n">
        <f aca="false">SUMIFS(Data!$R$2371:$R$3999,Data!$H$2371:$H$3999,B123)</f>
        <v>1</v>
      </c>
      <c r="Z123" s="70" t="n">
        <f aca="false">SUMIFS(Data!$Q$2371:$Q$3999,Data!$H$2371:$H$3999,B123)</f>
        <v>0</v>
      </c>
      <c r="AA123" s="68" t="n">
        <f aca="false">V123+U123+O123+N123+K123+F123+E123+P123</f>
        <v>0</v>
      </c>
      <c r="AB123" s="68" t="n">
        <f aca="false">X123+W123+T123+R123+Q123+L123+H123+G123</f>
        <v>6</v>
      </c>
      <c r="AC123" s="68" t="n">
        <f aca="false">Z123+Y123+T123+S123+M123+J123+I123</f>
        <v>18</v>
      </c>
    </row>
    <row r="124" customFormat="false" ht="23.25" hidden="false" customHeight="true" outlineLevel="0" collapsed="false">
      <c r="A124" s="31" t="n">
        <f aca="false">Data!AE123</f>
        <v>1002898</v>
      </c>
      <c r="B124" s="31" t="str">
        <f aca="false">Data!AD123</f>
        <v>ريم العنزي</v>
      </c>
      <c r="C124" s="31" t="n">
        <f aca="false">Data!AH123</f>
        <v>533596513</v>
      </c>
      <c r="D124" s="31" t="str">
        <f aca="false">Data!AF123</f>
        <v>تبوك</v>
      </c>
      <c r="E124" s="69" t="n">
        <f aca="false">SUMIFS(Data!$L$2:$L$781,Data!$H$2:$H$781,B124)</f>
        <v>0</v>
      </c>
      <c r="F124" s="70" t="n">
        <f aca="false">SUMIFS(Data!$K$2:$K$781,Data!$H$2:$H$781,B124)</f>
        <v>0</v>
      </c>
      <c r="G124" s="69" t="n">
        <f aca="false">SUMIFS(Data!$L$782:$L$2370,Data!$H$782:$H$2370,B124)</f>
        <v>0</v>
      </c>
      <c r="H124" s="70" t="n">
        <f aca="false">SUMIFS(Data!$K$782:$K$2370,Data!$H$782:$H$2370,B124)</f>
        <v>3</v>
      </c>
      <c r="I124" s="69" t="n">
        <f aca="false">SUMIFS(Data!$L$2371:$L$3999,Data!$H$2371:$H$3999,B124)</f>
        <v>0</v>
      </c>
      <c r="J124" s="70" t="n">
        <f aca="false">SUMIFS(Data!$K$2371:$K$3999,Data!$H$2371:$H$3999,B124)</f>
        <v>29</v>
      </c>
      <c r="K124" s="69" t="n">
        <f aca="false">SUMIFS(Data!$M$2:$M$781,Data!$H$2:$H$781,B124)</f>
        <v>0</v>
      </c>
      <c r="L124" s="69" t="n">
        <f aca="false">SUMIFS(Data!$M$782:$M$2370,Data!$H$782:$H$2370,B124)</f>
        <v>0</v>
      </c>
      <c r="M124" s="69" t="n">
        <f aca="false">SUMIFS(Data!$M$2371:$M$3999,Data!$H$2371:$H$3999,B124)</f>
        <v>10</v>
      </c>
      <c r="N124" s="70" t="n">
        <f aca="false">SUMIFS(Data!$O$2:$O$781,Data!$H$2:$H$781,B124)</f>
        <v>0</v>
      </c>
      <c r="O124" s="70" t="n">
        <f aca="false">SUMIFS(Data!$N$2:$N$781,Data!$H$2:$H$781,B124)</f>
        <v>0</v>
      </c>
      <c r="P124" s="69" t="n">
        <f aca="false">SUMIFS(Data!$P$2:$P$781,Data!$H$2:$H$781,B124)</f>
        <v>0</v>
      </c>
      <c r="Q124" s="70" t="n">
        <f aca="false">SUMIFS(Data!$O$782:$O$2370,Data!$H$782:$H$2370,B124)</f>
        <v>0</v>
      </c>
      <c r="R124" s="70" t="n">
        <f aca="false">SUMIFS(Data!$N$782:$N$2370,Data!$H$782:$H$2370,B124)</f>
        <v>0</v>
      </c>
      <c r="S124" s="70" t="n">
        <f aca="false">SUMIFS(Data!$O$2371:$O$3999,Data!$H$2371:$H$3999,B124)</f>
        <v>3</v>
      </c>
      <c r="T124" s="70" t="n">
        <f aca="false">SUMIFS(Data!$N$2371:$N$3999,Data!$H$2371:$H$3999,B124)</f>
        <v>0</v>
      </c>
      <c r="U124" s="69" t="n">
        <f aca="false">SUMIFS(Data!$R$2:$R$781,Data!$H$2:$H$781,B124)</f>
        <v>0</v>
      </c>
      <c r="V124" s="71" t="n">
        <f aca="false">SUMIFS(Data!$Q$2:$Q$781,Data!$H$2:$H$781,B124)</f>
        <v>0</v>
      </c>
      <c r="W124" s="69" t="n">
        <f aca="false">SUMIFS(Data!$R$782:$R$2370,Data!$H$782:$H$2370,B124)</f>
        <v>2</v>
      </c>
      <c r="X124" s="70" t="n">
        <f aca="false">SUMIFS(Data!$Q$782:$Q$2370,Data!$H$782:$H$2370,B124)</f>
        <v>0</v>
      </c>
      <c r="Y124" s="69" t="n">
        <f aca="false">SUMIFS(Data!$R$2371:$R$3999,Data!$H$2371:$H$3999,B124)</f>
        <v>0</v>
      </c>
      <c r="Z124" s="70" t="n">
        <f aca="false">SUMIFS(Data!$Q$2371:$Q$3999,Data!$H$2371:$H$3999,B124)</f>
        <v>0</v>
      </c>
      <c r="AA124" s="68" t="n">
        <f aca="false">V124+U124+O124+N124+K124+F124+E124+P124</f>
        <v>0</v>
      </c>
      <c r="AB124" s="68" t="n">
        <f aca="false">X124+W124+T124+R124+Q124+L124+H124+G124</f>
        <v>5</v>
      </c>
      <c r="AC124" s="68" t="n">
        <f aca="false">Z124+Y124+T124+S124+M124+J124+I124</f>
        <v>42</v>
      </c>
    </row>
    <row r="125" customFormat="false" ht="23.25" hidden="false" customHeight="true" outlineLevel="0" collapsed="false">
      <c r="A125" s="31" t="n">
        <f aca="false">Data!AE124</f>
        <v>826</v>
      </c>
      <c r="B125" s="31" t="str">
        <f aca="false">Data!AD124</f>
        <v>الونش</v>
      </c>
      <c r="C125" s="31" t="n">
        <f aca="false">Data!AH124</f>
        <v>535829342</v>
      </c>
      <c r="D125" s="31" t="str">
        <f aca="false">Data!AF124</f>
        <v>تبوك</v>
      </c>
      <c r="E125" s="69" t="n">
        <f aca="false">SUMIFS(Data!$L$2:$L$781,Data!$H$2:$H$781,B125)</f>
        <v>0</v>
      </c>
      <c r="F125" s="70" t="n">
        <f aca="false">SUMIFS(Data!$K$2:$K$781,Data!$H$2:$H$781,B125)</f>
        <v>0</v>
      </c>
      <c r="G125" s="69" t="n">
        <f aca="false">SUMIFS(Data!$L$782:$L$2370,Data!$H$782:$H$2370,B125)</f>
        <v>1</v>
      </c>
      <c r="H125" s="70" t="n">
        <f aca="false">SUMIFS(Data!$K$782:$K$2370,Data!$H$782:$H$2370,B125)</f>
        <v>0</v>
      </c>
      <c r="I125" s="69" t="n">
        <f aca="false">SUMIFS(Data!$L$2371:$L$3999,Data!$H$2371:$H$3999,B125)</f>
        <v>0</v>
      </c>
      <c r="J125" s="70" t="n">
        <f aca="false">SUMIFS(Data!$K$2371:$K$3999,Data!$H$2371:$H$3999,B125)</f>
        <v>0</v>
      </c>
      <c r="K125" s="69" t="n">
        <f aca="false">SUMIFS(Data!$M$2:$M$781,Data!$H$2:$H$781,B125)</f>
        <v>0</v>
      </c>
      <c r="L125" s="69" t="n">
        <f aca="false">SUMIFS(Data!$M$782:$M$2370,Data!$H$782:$H$2370,B125)</f>
        <v>2</v>
      </c>
      <c r="M125" s="69" t="n">
        <f aca="false">SUMIFS(Data!$M$2371:$M$3999,Data!$H$2371:$H$3999,B125)</f>
        <v>0</v>
      </c>
      <c r="N125" s="70" t="n">
        <f aca="false">SUMIFS(Data!$O$2:$O$781,Data!$H$2:$H$781,B125)</f>
        <v>0</v>
      </c>
      <c r="O125" s="70" t="n">
        <f aca="false">SUMIFS(Data!$N$2:$N$781,Data!$H$2:$H$781,B125)</f>
        <v>0</v>
      </c>
      <c r="P125" s="69" t="n">
        <f aca="false">SUMIFS(Data!$P$2:$P$781,Data!$H$2:$H$781,B125)</f>
        <v>0</v>
      </c>
      <c r="Q125" s="70" t="n">
        <f aca="false">SUMIFS(Data!$O$782:$O$2370,Data!$H$782:$H$2370,B125)</f>
        <v>0</v>
      </c>
      <c r="R125" s="70" t="n">
        <f aca="false">SUMIFS(Data!$N$782:$N$2370,Data!$H$782:$H$2370,B125)</f>
        <v>0</v>
      </c>
      <c r="S125" s="70" t="n">
        <f aca="false">SUMIFS(Data!$O$2371:$O$3999,Data!$H$2371:$H$3999,B125)</f>
        <v>0</v>
      </c>
      <c r="T125" s="70" t="n">
        <f aca="false">SUMIFS(Data!$N$2371:$N$3999,Data!$H$2371:$H$3999,B125)</f>
        <v>0</v>
      </c>
      <c r="U125" s="69" t="n">
        <f aca="false">SUMIFS(Data!$R$2:$R$781,Data!$H$2:$H$781,B125)</f>
        <v>0</v>
      </c>
      <c r="V125" s="71" t="n">
        <f aca="false">SUMIFS(Data!$Q$2:$Q$781,Data!$H$2:$H$781,B125)</f>
        <v>0</v>
      </c>
      <c r="W125" s="69" t="n">
        <f aca="false">SUMIFS(Data!$R$782:$R$2370,Data!$H$782:$H$2370,B125)</f>
        <v>9</v>
      </c>
      <c r="X125" s="70" t="n">
        <f aca="false">SUMIFS(Data!$Q$782:$Q$2370,Data!$H$782:$H$2370,B125)</f>
        <v>0</v>
      </c>
      <c r="Y125" s="69" t="n">
        <f aca="false">SUMIFS(Data!$R$2371:$R$3999,Data!$H$2371:$H$3999,B125)</f>
        <v>1</v>
      </c>
      <c r="Z125" s="70" t="n">
        <f aca="false">SUMIFS(Data!$Q$2371:$Q$3999,Data!$H$2371:$H$3999,B125)</f>
        <v>0</v>
      </c>
      <c r="AA125" s="68" t="n">
        <f aca="false">V125+U125+O125+N125+K125+F125+E125+P125</f>
        <v>0</v>
      </c>
      <c r="AB125" s="68" t="n">
        <f aca="false">X125+W125+T125+R125+Q125+L125+H125+G125</f>
        <v>12</v>
      </c>
      <c r="AC125" s="68" t="n">
        <f aca="false">Z125+Y125+T125+S125+M125+J125+I125</f>
        <v>1</v>
      </c>
    </row>
    <row r="126" customFormat="false" ht="23.25" hidden="false" customHeight="true" outlineLevel="0" collapsed="false">
      <c r="A126" s="31" t="n">
        <f aca="false">Data!AE125</f>
        <v>1002910</v>
      </c>
      <c r="B126" s="31" t="str">
        <f aca="false">Data!AD125</f>
        <v>تبوك الورد</v>
      </c>
      <c r="C126" s="31" t="n">
        <f aca="false">Data!AH125</f>
        <v>535275357</v>
      </c>
      <c r="D126" s="31" t="str">
        <f aca="false">Data!AF125</f>
        <v>تبوك</v>
      </c>
      <c r="E126" s="69" t="n">
        <f aca="false">SUMIFS(Data!$L$2:$L$781,Data!$H$2:$H$781,B126)</f>
        <v>0</v>
      </c>
      <c r="F126" s="70" t="n">
        <f aca="false">SUMIFS(Data!$K$2:$K$781,Data!$H$2:$H$781,B126)</f>
        <v>0</v>
      </c>
      <c r="G126" s="69" t="n">
        <f aca="false">SUMIFS(Data!$L$782:$L$2370,Data!$H$782:$H$2370,B126)</f>
        <v>0</v>
      </c>
      <c r="H126" s="70" t="n">
        <f aca="false">SUMIFS(Data!$K$782:$K$2370,Data!$H$782:$H$2370,B126)</f>
        <v>6</v>
      </c>
      <c r="I126" s="69" t="n">
        <f aca="false">SUMIFS(Data!$L$2371:$L$3999,Data!$H$2371:$H$3999,B126)</f>
        <v>4</v>
      </c>
      <c r="J126" s="70" t="n">
        <f aca="false">SUMIFS(Data!$K$2371:$K$3999,Data!$H$2371:$H$3999,B126)</f>
        <v>11</v>
      </c>
      <c r="K126" s="69" t="n">
        <f aca="false">SUMIFS(Data!$M$2:$M$781,Data!$H$2:$H$781,B126)</f>
        <v>0</v>
      </c>
      <c r="L126" s="69" t="n">
        <f aca="false">SUMIFS(Data!$M$782:$M$2370,Data!$H$782:$H$2370,B126)</f>
        <v>0</v>
      </c>
      <c r="M126" s="69" t="n">
        <f aca="false">SUMIFS(Data!$M$2371:$M$3999,Data!$H$2371:$H$3999,B126)</f>
        <v>0</v>
      </c>
      <c r="N126" s="70" t="n">
        <f aca="false">SUMIFS(Data!$O$2:$O$781,Data!$H$2:$H$781,B126)</f>
        <v>0</v>
      </c>
      <c r="O126" s="70" t="n">
        <f aca="false">SUMIFS(Data!$N$2:$N$781,Data!$H$2:$H$781,B126)</f>
        <v>0</v>
      </c>
      <c r="P126" s="69" t="n">
        <f aca="false">SUMIFS(Data!$P$2:$P$781,Data!$H$2:$H$781,B126)</f>
        <v>0</v>
      </c>
      <c r="Q126" s="70" t="n">
        <f aca="false">SUMIFS(Data!$O$782:$O$2370,Data!$H$782:$H$2370,B126)</f>
        <v>0</v>
      </c>
      <c r="R126" s="70" t="n">
        <f aca="false">SUMIFS(Data!$N$782:$N$2370,Data!$H$782:$H$2370,B126)</f>
        <v>0</v>
      </c>
      <c r="S126" s="70" t="n">
        <f aca="false">SUMIFS(Data!$O$2371:$O$3999,Data!$H$2371:$H$3999,B126)</f>
        <v>1</v>
      </c>
      <c r="T126" s="70" t="n">
        <f aca="false">SUMIFS(Data!$N$2371:$N$3999,Data!$H$2371:$H$3999,B126)</f>
        <v>0</v>
      </c>
      <c r="U126" s="69" t="n">
        <f aca="false">SUMIFS(Data!$R$2:$R$781,Data!$H$2:$H$781,B126)</f>
        <v>0</v>
      </c>
      <c r="V126" s="71" t="n">
        <f aca="false">SUMIFS(Data!$Q$2:$Q$781,Data!$H$2:$H$781,B126)</f>
        <v>0</v>
      </c>
      <c r="W126" s="69" t="n">
        <f aca="false">SUMIFS(Data!$R$782:$R$2370,Data!$H$782:$H$2370,B126)</f>
        <v>0</v>
      </c>
      <c r="X126" s="70" t="n">
        <f aca="false">SUMIFS(Data!$Q$782:$Q$2370,Data!$H$782:$H$2370,B126)</f>
        <v>1</v>
      </c>
      <c r="Y126" s="69" t="n">
        <f aca="false">SUMIFS(Data!$R$2371:$R$3999,Data!$H$2371:$H$3999,B126)</f>
        <v>1</v>
      </c>
      <c r="Z126" s="70" t="n">
        <f aca="false">SUMIFS(Data!$Q$2371:$Q$3999,Data!$H$2371:$H$3999,B126)</f>
        <v>1</v>
      </c>
      <c r="AA126" s="68" t="n">
        <f aca="false">V126+U126+O126+N126+K126+F126+E126+P126</f>
        <v>0</v>
      </c>
      <c r="AB126" s="68" t="n">
        <f aca="false">X126+W126+T126+R126+Q126+L126+H126+G126</f>
        <v>7</v>
      </c>
      <c r="AC126" s="68" t="n">
        <f aca="false">Z126+Y126+T126+S126+M126+J126+I126</f>
        <v>18</v>
      </c>
    </row>
    <row r="127" customFormat="false" ht="23.25" hidden="false" customHeight="true" outlineLevel="0" collapsed="false">
      <c r="A127" s="31" t="n">
        <f aca="false">Data!AE126</f>
        <v>1002883</v>
      </c>
      <c r="B127" s="31" t="str">
        <f aca="false">Data!AD126</f>
        <v>درة الحمرا</v>
      </c>
      <c r="C127" s="31" t="n">
        <f aca="false">Data!AH126</f>
        <v>559785685</v>
      </c>
      <c r="D127" s="31" t="str">
        <f aca="false">Data!AF126</f>
        <v>تبوك</v>
      </c>
      <c r="E127" s="69" t="n">
        <f aca="false">SUMIFS(Data!$L$2:$L$781,Data!$H$2:$H$781,B127)</f>
        <v>0</v>
      </c>
      <c r="F127" s="70" t="n">
        <f aca="false">SUMIFS(Data!$K$2:$K$781,Data!$H$2:$H$781,B127)</f>
        <v>0</v>
      </c>
      <c r="G127" s="69" t="n">
        <f aca="false">SUMIFS(Data!$L$782:$L$2370,Data!$H$782:$H$2370,B127)</f>
        <v>0</v>
      </c>
      <c r="H127" s="70" t="n">
        <f aca="false">SUMIFS(Data!$K$782:$K$2370,Data!$H$782:$H$2370,B127)</f>
        <v>3</v>
      </c>
      <c r="I127" s="69" t="n">
        <f aca="false">SUMIFS(Data!$L$2371:$L$3999,Data!$H$2371:$H$3999,B127)</f>
        <v>0</v>
      </c>
      <c r="J127" s="70" t="n">
        <f aca="false">SUMIFS(Data!$K$2371:$K$3999,Data!$H$2371:$H$3999,B127)</f>
        <v>19</v>
      </c>
      <c r="K127" s="69" t="n">
        <f aca="false">SUMIFS(Data!$M$2:$M$781,Data!$H$2:$H$781,B127)</f>
        <v>0</v>
      </c>
      <c r="L127" s="69" t="n">
        <f aca="false">SUMIFS(Data!$M$782:$M$2370,Data!$H$782:$H$2370,B127)</f>
        <v>0</v>
      </c>
      <c r="M127" s="69" t="n">
        <f aca="false">SUMIFS(Data!$M$2371:$M$3999,Data!$H$2371:$H$3999,B127)</f>
        <v>16</v>
      </c>
      <c r="N127" s="70" t="n">
        <f aca="false">SUMIFS(Data!$O$2:$O$781,Data!$H$2:$H$781,B127)</f>
        <v>0</v>
      </c>
      <c r="O127" s="70" t="n">
        <f aca="false">SUMIFS(Data!$N$2:$N$781,Data!$H$2:$H$781,B127)</f>
        <v>0</v>
      </c>
      <c r="P127" s="69" t="n">
        <f aca="false">SUMIFS(Data!$P$2:$P$781,Data!$H$2:$H$781,B127)</f>
        <v>0</v>
      </c>
      <c r="Q127" s="70" t="n">
        <f aca="false">SUMIFS(Data!$O$782:$O$2370,Data!$H$782:$H$2370,B127)</f>
        <v>0</v>
      </c>
      <c r="R127" s="70" t="n">
        <f aca="false">SUMIFS(Data!$N$782:$N$2370,Data!$H$782:$H$2370,B127)</f>
        <v>0</v>
      </c>
      <c r="S127" s="70" t="n">
        <f aca="false">SUMIFS(Data!$O$2371:$O$3999,Data!$H$2371:$H$3999,B127)</f>
        <v>0</v>
      </c>
      <c r="T127" s="70" t="n">
        <f aca="false">SUMIFS(Data!$N$2371:$N$3999,Data!$H$2371:$H$3999,B127)</f>
        <v>0</v>
      </c>
      <c r="U127" s="69" t="n">
        <f aca="false">SUMIFS(Data!$R$2:$R$781,Data!$H$2:$H$781,B127)</f>
        <v>0</v>
      </c>
      <c r="V127" s="71" t="n">
        <f aca="false">SUMIFS(Data!$Q$2:$Q$781,Data!$H$2:$H$781,B127)</f>
        <v>0</v>
      </c>
      <c r="W127" s="69" t="n">
        <f aca="false">SUMIFS(Data!$R$782:$R$2370,Data!$H$782:$H$2370,B127)</f>
        <v>0</v>
      </c>
      <c r="X127" s="70" t="n">
        <f aca="false">SUMIFS(Data!$Q$782:$Q$2370,Data!$H$782:$H$2370,B127)</f>
        <v>0</v>
      </c>
      <c r="Y127" s="69" t="n">
        <f aca="false">SUMIFS(Data!$R$2371:$R$3999,Data!$H$2371:$H$3999,B127)</f>
        <v>2</v>
      </c>
      <c r="Z127" s="70" t="n">
        <f aca="false">SUMIFS(Data!$Q$2371:$Q$3999,Data!$H$2371:$H$3999,B127)</f>
        <v>1</v>
      </c>
      <c r="AA127" s="68" t="n">
        <f aca="false">V127+U127+O127+N127+K127+F127+E127+P127</f>
        <v>0</v>
      </c>
      <c r="AB127" s="68" t="n">
        <f aca="false">X127+W127+T127+R127+Q127+L127+H127+G127</f>
        <v>3</v>
      </c>
      <c r="AC127" s="68" t="n">
        <f aca="false">Z127+Y127+T127+S127+M127+J127+I127</f>
        <v>38</v>
      </c>
    </row>
    <row r="128" customFormat="false" ht="23.25" hidden="false" customHeight="true" outlineLevel="0" collapsed="false">
      <c r="A128" s="31" t="n">
        <f aca="false">Data!AE127</f>
        <v>954</v>
      </c>
      <c r="B128" s="31" t="str">
        <f aca="false">Data!AD127</f>
        <v>فارس الهويدي</v>
      </c>
      <c r="C128" s="31" t="n">
        <f aca="false">Data!AH127</f>
        <v>554524132</v>
      </c>
      <c r="D128" s="31" t="str">
        <f aca="false">Data!AF127</f>
        <v>تبوك</v>
      </c>
      <c r="E128" s="69" t="n">
        <f aca="false">SUMIFS(Data!$L$2:$L$781,Data!$H$2:$H$781,B128)</f>
        <v>0</v>
      </c>
      <c r="F128" s="70" t="n">
        <f aca="false">SUMIFS(Data!$K$2:$K$781,Data!$H$2:$H$781,B128)</f>
        <v>0</v>
      </c>
      <c r="G128" s="69" t="n">
        <f aca="false">SUMIFS(Data!$L$782:$L$2370,Data!$H$782:$H$2370,B128)</f>
        <v>0</v>
      </c>
      <c r="H128" s="70" t="n">
        <f aca="false">SUMIFS(Data!$K$782:$K$2370,Data!$H$782:$H$2370,B128)</f>
        <v>15</v>
      </c>
      <c r="I128" s="69" t="n">
        <f aca="false">SUMIFS(Data!$L$2371:$L$3999,Data!$H$2371:$H$3999,B128)</f>
        <v>7</v>
      </c>
      <c r="J128" s="70" t="n">
        <f aca="false">SUMIFS(Data!$K$2371:$K$3999,Data!$H$2371:$H$3999,B128)</f>
        <v>0</v>
      </c>
      <c r="K128" s="69" t="n">
        <f aca="false">SUMIFS(Data!$M$2:$M$781,Data!$H$2:$H$781,B128)</f>
        <v>0</v>
      </c>
      <c r="L128" s="69" t="n">
        <f aca="false">SUMIFS(Data!$M$782:$M$2370,Data!$H$782:$H$2370,B128)</f>
        <v>5</v>
      </c>
      <c r="M128" s="69" t="n">
        <f aca="false">SUMIFS(Data!$M$2371:$M$3999,Data!$H$2371:$H$3999,B128)</f>
        <v>0</v>
      </c>
      <c r="N128" s="70" t="n">
        <f aca="false">SUMIFS(Data!$O$2:$O$781,Data!$H$2:$H$781,B128)</f>
        <v>0</v>
      </c>
      <c r="O128" s="70" t="n">
        <f aca="false">SUMIFS(Data!$N$2:$N$781,Data!$H$2:$H$781,B128)</f>
        <v>0</v>
      </c>
      <c r="P128" s="69" t="n">
        <f aca="false">SUMIFS(Data!$P$2:$P$781,Data!$H$2:$H$781,B128)</f>
        <v>0</v>
      </c>
      <c r="Q128" s="70" t="n">
        <f aca="false">SUMIFS(Data!$O$782:$O$2370,Data!$H$782:$H$2370,B128)</f>
        <v>0</v>
      </c>
      <c r="R128" s="70" t="n">
        <f aca="false">SUMIFS(Data!$N$782:$N$2370,Data!$H$782:$H$2370,B128)</f>
        <v>0</v>
      </c>
      <c r="S128" s="70" t="n">
        <f aca="false">SUMIFS(Data!$O$2371:$O$3999,Data!$H$2371:$H$3999,B128)</f>
        <v>0</v>
      </c>
      <c r="T128" s="70" t="n">
        <f aca="false">SUMIFS(Data!$N$2371:$N$3999,Data!$H$2371:$H$3999,B128)</f>
        <v>0</v>
      </c>
      <c r="U128" s="69" t="n">
        <f aca="false">SUMIFS(Data!$R$2:$R$781,Data!$H$2:$H$781,B128)</f>
        <v>0</v>
      </c>
      <c r="V128" s="71" t="n">
        <f aca="false">SUMIFS(Data!$Q$2:$Q$781,Data!$H$2:$H$781,B128)</f>
        <v>0</v>
      </c>
      <c r="W128" s="69" t="n">
        <f aca="false">SUMIFS(Data!$R$782:$R$2370,Data!$H$782:$H$2370,B128)</f>
        <v>9</v>
      </c>
      <c r="X128" s="70" t="n">
        <f aca="false">SUMIFS(Data!$Q$782:$Q$2370,Data!$H$782:$H$2370,B128)</f>
        <v>2</v>
      </c>
      <c r="Y128" s="69" t="n">
        <f aca="false">SUMIFS(Data!$R$2371:$R$3999,Data!$H$2371:$H$3999,B128)</f>
        <v>1</v>
      </c>
      <c r="Z128" s="70" t="n">
        <f aca="false">SUMIFS(Data!$Q$2371:$Q$3999,Data!$H$2371:$H$3999,B128)</f>
        <v>1</v>
      </c>
      <c r="AA128" s="68" t="n">
        <f aca="false">V128+U128+O128+N128+K128+F128+E128+P128</f>
        <v>0</v>
      </c>
      <c r="AB128" s="68" t="n">
        <f aca="false">X128+W128+T128+R128+Q128+L128+H128+G128</f>
        <v>31</v>
      </c>
      <c r="AC128" s="68" t="n">
        <f aca="false">Z128+Y128+T128+S128+M128+J128+I128</f>
        <v>9</v>
      </c>
    </row>
    <row r="129" customFormat="false" ht="23.25" hidden="false" customHeight="true" outlineLevel="0" collapsed="false">
      <c r="A129" s="31" t="n">
        <f aca="false">Data!AE128</f>
        <v>0</v>
      </c>
      <c r="B129" s="31" t="n">
        <f aca="false">Data!AD128</f>
        <v>0</v>
      </c>
      <c r="C129" s="31" t="n">
        <f aca="false">Data!AH128</f>
        <v>0</v>
      </c>
      <c r="D129" s="31" t="n">
        <f aca="false">Data!AF128</f>
        <v>0</v>
      </c>
      <c r="E129" s="69" t="n">
        <f aca="false">SUMIFS(Data!$L$2:$L$781,Data!$H$2:$H$781,B129)</f>
        <v>0</v>
      </c>
      <c r="F129" s="70" t="n">
        <f aca="false">SUMIFS(Data!$K$2:$K$781,Data!$H$2:$H$781,B129)</f>
        <v>0</v>
      </c>
      <c r="G129" s="69" t="n">
        <f aca="false">SUMIFS(Data!$L$782:$L$2370,Data!$H$782:$H$2370,B129)</f>
        <v>0</v>
      </c>
      <c r="H129" s="70" t="n">
        <f aca="false">SUMIFS(Data!$K$782:$K$2370,Data!$H$782:$H$2370,B129)</f>
        <v>0</v>
      </c>
      <c r="I129" s="69" t="n">
        <f aca="false">SUMIFS(Data!$L$2371:$L$3999,Data!$H$2371:$H$3999,B129)</f>
        <v>0</v>
      </c>
      <c r="J129" s="70" t="n">
        <f aca="false">SUMIFS(Data!$K$2371:$K$3999,Data!$H$2371:$H$3999,B129)</f>
        <v>0</v>
      </c>
      <c r="K129" s="69" t="n">
        <f aca="false">SUMIFS(Data!$M$2:$M$781,Data!$H$2:$H$781,B129)</f>
        <v>0</v>
      </c>
      <c r="L129" s="69" t="n">
        <f aca="false">SUMIFS(Data!$M$782:$M$2370,Data!$H$782:$H$2370,B129)</f>
        <v>0</v>
      </c>
      <c r="M129" s="69" t="n">
        <f aca="false">SUMIFS(Data!$M$2371:$M$3999,Data!$H$2371:$H$3999,B129)</f>
        <v>0</v>
      </c>
      <c r="N129" s="70" t="n">
        <f aca="false">SUMIFS(Data!$O$2:$O$781,Data!$H$2:$H$781,B129)</f>
        <v>0</v>
      </c>
      <c r="O129" s="70" t="n">
        <f aca="false">SUMIFS(Data!$N$2:$N$781,Data!$H$2:$H$781,B129)</f>
        <v>0</v>
      </c>
      <c r="P129" s="69" t="n">
        <f aca="false">SUMIFS(Data!$P$2:$P$781,Data!$H$2:$H$781,B129)</f>
        <v>0</v>
      </c>
      <c r="Q129" s="70" t="n">
        <f aca="false">SUMIFS(Data!$O$782:$O$2370,Data!$H$782:$H$2370,B129)</f>
        <v>0</v>
      </c>
      <c r="R129" s="70" t="n">
        <f aca="false">SUMIFS(Data!$N$782:$N$2370,Data!$H$782:$H$2370,B129)</f>
        <v>0</v>
      </c>
      <c r="S129" s="70" t="n">
        <f aca="false">SUMIFS(Data!$O$2371:$O$3999,Data!$H$2371:$H$3999,B129)</f>
        <v>0</v>
      </c>
      <c r="T129" s="70" t="n">
        <f aca="false">SUMIFS(Data!$N$2371:$N$3999,Data!$H$2371:$H$3999,B129)</f>
        <v>0</v>
      </c>
      <c r="U129" s="69" t="n">
        <f aca="false">SUMIFS(Data!$R$2:$R$781,Data!$H$2:$H$781,B129)</f>
        <v>0</v>
      </c>
      <c r="V129" s="71" t="n">
        <f aca="false">SUMIFS(Data!$Q$2:$Q$781,Data!$H$2:$H$781,B129)</f>
        <v>0</v>
      </c>
      <c r="W129" s="69" t="n">
        <f aca="false">SUMIFS(Data!$R$782:$R$2370,Data!$H$782:$H$2370,B129)</f>
        <v>0</v>
      </c>
      <c r="X129" s="70" t="n">
        <f aca="false">SUMIFS(Data!$Q$782:$Q$2370,Data!$H$782:$H$2370,B129)</f>
        <v>0</v>
      </c>
      <c r="Y129" s="69" t="n">
        <f aca="false">SUMIFS(Data!$R$2371:$R$3999,Data!$H$2371:$H$3999,B129)</f>
        <v>0</v>
      </c>
      <c r="Z129" s="70" t="n">
        <f aca="false">SUMIFS(Data!$Q$2371:$Q$3999,Data!$H$2371:$H$3999,B129)</f>
        <v>0</v>
      </c>
      <c r="AA129" s="68" t="n">
        <f aca="false">V129+U129+O129+N129+K129+F129+E129+P129</f>
        <v>0</v>
      </c>
      <c r="AB129" s="68" t="n">
        <f aca="false">X129+W129+T129+R129+Q129+L129+H129+G129</f>
        <v>0</v>
      </c>
      <c r="AC129" s="68" t="n">
        <f aca="false">Z129+Y129+T129+S129+M129+J129+I129</f>
        <v>0</v>
      </c>
    </row>
    <row r="130" customFormat="false" ht="23.25" hidden="false" customHeight="true" outlineLevel="0" collapsed="false">
      <c r="A130" s="31" t="n">
        <f aca="false">Data!AE129</f>
        <v>1002909</v>
      </c>
      <c r="B130" s="31" t="str">
        <f aca="false">Data!AD129</f>
        <v>درة العليا</v>
      </c>
      <c r="C130" s="31" t="n">
        <f aca="false">Data!AH129</f>
        <v>0</v>
      </c>
      <c r="D130" s="31" t="str">
        <f aca="false">Data!AF129</f>
        <v>تبوك</v>
      </c>
      <c r="E130" s="69" t="n">
        <f aca="false">SUMIFS(Data!$L$2:$L$781,Data!$H$2:$H$781,B130)</f>
        <v>0</v>
      </c>
      <c r="F130" s="70" t="n">
        <f aca="false">SUMIFS(Data!$K$2:$K$781,Data!$H$2:$H$781,B130)</f>
        <v>0</v>
      </c>
      <c r="G130" s="69" t="n">
        <f aca="false">SUMIFS(Data!$L$782:$L$2370,Data!$H$782:$H$2370,B130)</f>
        <v>0</v>
      </c>
      <c r="H130" s="70" t="n">
        <f aca="false">SUMIFS(Data!$K$782:$K$2370,Data!$H$782:$H$2370,B130)</f>
        <v>3</v>
      </c>
      <c r="I130" s="69" t="n">
        <f aca="false">SUMIFS(Data!$L$2371:$L$3999,Data!$H$2371:$H$3999,B130)</f>
        <v>0</v>
      </c>
      <c r="J130" s="70" t="n">
        <f aca="false">SUMIFS(Data!$K$2371:$K$3999,Data!$H$2371:$H$3999,B130)</f>
        <v>0</v>
      </c>
      <c r="K130" s="69" t="n">
        <f aca="false">SUMIFS(Data!$M$2:$M$781,Data!$H$2:$H$781,B130)</f>
        <v>0</v>
      </c>
      <c r="L130" s="69" t="n">
        <f aca="false">SUMIFS(Data!$M$782:$M$2370,Data!$H$782:$H$2370,B130)</f>
        <v>0</v>
      </c>
      <c r="M130" s="69" t="n">
        <f aca="false">SUMIFS(Data!$M$2371:$M$3999,Data!$H$2371:$H$3999,B130)</f>
        <v>2</v>
      </c>
      <c r="N130" s="70" t="n">
        <f aca="false">SUMIFS(Data!$O$2:$O$781,Data!$H$2:$H$781,B130)</f>
        <v>0</v>
      </c>
      <c r="O130" s="70" t="n">
        <f aca="false">SUMIFS(Data!$N$2:$N$781,Data!$H$2:$H$781,B130)</f>
        <v>0</v>
      </c>
      <c r="P130" s="69" t="n">
        <f aca="false">SUMIFS(Data!$P$2:$P$781,Data!$H$2:$H$781,B130)</f>
        <v>0</v>
      </c>
      <c r="Q130" s="70" t="n">
        <f aca="false">SUMIFS(Data!$O$782:$O$2370,Data!$H$782:$H$2370,B130)</f>
        <v>0</v>
      </c>
      <c r="R130" s="70" t="n">
        <f aca="false">SUMIFS(Data!$N$782:$N$2370,Data!$H$782:$H$2370,B130)</f>
        <v>0</v>
      </c>
      <c r="S130" s="70" t="n">
        <f aca="false">SUMIFS(Data!$O$2371:$O$3999,Data!$H$2371:$H$3999,B130)</f>
        <v>0</v>
      </c>
      <c r="T130" s="70" t="n">
        <f aca="false">SUMIFS(Data!$N$2371:$N$3999,Data!$H$2371:$H$3999,B130)</f>
        <v>0</v>
      </c>
      <c r="U130" s="69" t="n">
        <f aca="false">SUMIFS(Data!$R$2:$R$781,Data!$H$2:$H$781,B130)</f>
        <v>0</v>
      </c>
      <c r="V130" s="71" t="n">
        <f aca="false">SUMIFS(Data!$Q$2:$Q$781,Data!$H$2:$H$781,B130)</f>
        <v>0</v>
      </c>
      <c r="W130" s="69" t="n">
        <f aca="false">SUMIFS(Data!$R$782:$R$2370,Data!$H$782:$H$2370,B130)</f>
        <v>0</v>
      </c>
      <c r="X130" s="70" t="n">
        <f aca="false">SUMIFS(Data!$Q$782:$Q$2370,Data!$H$782:$H$2370,B130)</f>
        <v>0</v>
      </c>
      <c r="Y130" s="69" t="n">
        <f aca="false">SUMIFS(Data!$R$2371:$R$3999,Data!$H$2371:$H$3999,B130)</f>
        <v>0</v>
      </c>
      <c r="Z130" s="70" t="n">
        <f aca="false">SUMIFS(Data!$Q$2371:$Q$3999,Data!$H$2371:$H$3999,B130)</f>
        <v>0</v>
      </c>
      <c r="AA130" s="68" t="n">
        <f aca="false">V130+U130+O130+N130+K130+F130+E130+P130</f>
        <v>0</v>
      </c>
      <c r="AB130" s="68" t="n">
        <f aca="false">X130+W130+T130+R130+Q130+L130+H130+G130</f>
        <v>3</v>
      </c>
      <c r="AC130" s="68" t="n">
        <f aca="false">Z130+Y130+T130+S130+M130+J130+I130</f>
        <v>2</v>
      </c>
    </row>
    <row r="131" customFormat="false" ht="23.25" hidden="false" customHeight="true" outlineLevel="0" collapsed="false">
      <c r="A131" s="31" t="n">
        <f aca="false">Data!AE130</f>
        <v>1002891</v>
      </c>
      <c r="B131" s="31" t="str">
        <f aca="false">Data!AD130</f>
        <v>زاوية الزيوت</v>
      </c>
      <c r="C131" s="31" t="n">
        <f aca="false">Data!AH130</f>
        <v>556964957</v>
      </c>
      <c r="D131" s="31" t="str">
        <f aca="false">Data!AF130</f>
        <v>تبوك</v>
      </c>
      <c r="E131" s="69" t="n">
        <f aca="false">SUMIFS(Data!$L$2:$L$781,Data!$H$2:$H$781,B131)</f>
        <v>0</v>
      </c>
      <c r="F131" s="70" t="n">
        <f aca="false">SUMIFS(Data!$K$2:$K$781,Data!$H$2:$H$781,B131)</f>
        <v>0</v>
      </c>
      <c r="G131" s="69" t="n">
        <f aca="false">SUMIFS(Data!$L$782:$L$2370,Data!$H$782:$H$2370,B131)</f>
        <v>0</v>
      </c>
      <c r="H131" s="70" t="n">
        <f aca="false">SUMIFS(Data!$K$782:$K$2370,Data!$H$782:$H$2370,B131)</f>
        <v>3</v>
      </c>
      <c r="I131" s="69" t="n">
        <f aca="false">SUMIFS(Data!$L$2371:$L$3999,Data!$H$2371:$H$3999,B131)</f>
        <v>0</v>
      </c>
      <c r="J131" s="70" t="n">
        <f aca="false">SUMIFS(Data!$K$2371:$K$3999,Data!$H$2371:$H$3999,B131)</f>
        <v>30</v>
      </c>
      <c r="K131" s="69" t="n">
        <f aca="false">SUMIFS(Data!$M$2:$M$781,Data!$H$2:$H$781,B131)</f>
        <v>1</v>
      </c>
      <c r="L131" s="69" t="n">
        <f aca="false">SUMIFS(Data!$M$782:$M$2370,Data!$H$782:$H$2370,B131)</f>
        <v>2</v>
      </c>
      <c r="M131" s="69" t="n">
        <f aca="false">SUMIFS(Data!$M$2371:$M$3999,Data!$H$2371:$H$3999,B131)</f>
        <v>19</v>
      </c>
      <c r="N131" s="70" t="n">
        <f aca="false">SUMIFS(Data!$O$2:$O$781,Data!$H$2:$H$781,B131)</f>
        <v>0</v>
      </c>
      <c r="O131" s="70" t="n">
        <f aca="false">SUMIFS(Data!$N$2:$N$781,Data!$H$2:$H$781,B131)</f>
        <v>0</v>
      </c>
      <c r="P131" s="69" t="n">
        <f aca="false">SUMIFS(Data!$P$2:$P$781,Data!$H$2:$H$781,B131)</f>
        <v>0</v>
      </c>
      <c r="Q131" s="70" t="n">
        <f aca="false">SUMIFS(Data!$O$782:$O$2370,Data!$H$782:$H$2370,B131)</f>
        <v>0</v>
      </c>
      <c r="R131" s="70" t="n">
        <f aca="false">SUMIFS(Data!$N$782:$N$2370,Data!$H$782:$H$2370,B131)</f>
        <v>0</v>
      </c>
      <c r="S131" s="70" t="n">
        <f aca="false">SUMIFS(Data!$O$2371:$O$3999,Data!$H$2371:$H$3999,B131)</f>
        <v>1</v>
      </c>
      <c r="T131" s="70" t="n">
        <f aca="false">SUMIFS(Data!$N$2371:$N$3999,Data!$H$2371:$H$3999,B131)</f>
        <v>1</v>
      </c>
      <c r="U131" s="69" t="n">
        <f aca="false">SUMIFS(Data!$R$2:$R$781,Data!$H$2:$H$781,B131)</f>
        <v>0</v>
      </c>
      <c r="V131" s="71" t="n">
        <f aca="false">SUMIFS(Data!$Q$2:$Q$781,Data!$H$2:$H$781,B131)</f>
        <v>0</v>
      </c>
      <c r="W131" s="69" t="n">
        <f aca="false">SUMIFS(Data!$R$782:$R$2370,Data!$H$782:$H$2370,B131)</f>
        <v>0</v>
      </c>
      <c r="X131" s="70" t="n">
        <f aca="false">SUMIFS(Data!$Q$782:$Q$2370,Data!$H$782:$H$2370,B131)</f>
        <v>1</v>
      </c>
      <c r="Y131" s="69" t="n">
        <f aca="false">SUMIFS(Data!$R$2371:$R$3999,Data!$H$2371:$H$3999,B131)</f>
        <v>1</v>
      </c>
      <c r="Z131" s="70" t="n">
        <f aca="false">SUMIFS(Data!$Q$2371:$Q$3999,Data!$H$2371:$H$3999,B131)</f>
        <v>4</v>
      </c>
      <c r="AA131" s="68" t="n">
        <f aca="false">V131+U131+O131+N131+K131+F131+E131+P131</f>
        <v>1</v>
      </c>
      <c r="AB131" s="68" t="n">
        <f aca="false">X131+W131+T131+R131+Q131+L131+H131+G131</f>
        <v>7</v>
      </c>
      <c r="AC131" s="68" t="n">
        <f aca="false">Z131+Y131+T131+S131+M131+J131+I131</f>
        <v>56</v>
      </c>
    </row>
    <row r="132" customFormat="false" ht="23.25" hidden="false" customHeight="true" outlineLevel="0" collapsed="false">
      <c r="A132" s="31" t="n">
        <f aca="false">Data!AE131</f>
        <v>1192</v>
      </c>
      <c r="B132" s="31" t="str">
        <f aca="false">Data!AD131</f>
        <v>نجم الواحه</v>
      </c>
      <c r="C132" s="31" t="n">
        <f aca="false">Data!AH131</f>
        <v>0</v>
      </c>
      <c r="D132" s="31" t="str">
        <f aca="false">Data!AF131</f>
        <v>تبوك</v>
      </c>
      <c r="E132" s="69" t="n">
        <f aca="false">SUMIFS(Data!$L$2:$L$781,Data!$H$2:$H$781,B132)</f>
        <v>0</v>
      </c>
      <c r="F132" s="70" t="n">
        <f aca="false">SUMIFS(Data!$K$2:$K$781,Data!$H$2:$H$781,B132)</f>
        <v>0</v>
      </c>
      <c r="G132" s="69" t="n">
        <f aca="false">SUMIFS(Data!$L$782:$L$2370,Data!$H$782:$H$2370,B132)</f>
        <v>0</v>
      </c>
      <c r="H132" s="70" t="n">
        <f aca="false">SUMIFS(Data!$K$782:$K$2370,Data!$H$782:$H$2370,B132)</f>
        <v>0</v>
      </c>
      <c r="I132" s="69" t="n">
        <f aca="false">SUMIFS(Data!$L$2371:$L$3999,Data!$H$2371:$H$3999,B132)</f>
        <v>0</v>
      </c>
      <c r="J132" s="70" t="n">
        <f aca="false">SUMIFS(Data!$K$2371:$K$3999,Data!$H$2371:$H$3999,B132)</f>
        <v>0</v>
      </c>
      <c r="K132" s="69" t="n">
        <f aca="false">SUMIFS(Data!$M$2:$M$781,Data!$H$2:$H$781,B132)</f>
        <v>0</v>
      </c>
      <c r="L132" s="69" t="n">
        <f aca="false">SUMIFS(Data!$M$782:$M$2370,Data!$H$782:$H$2370,B132)</f>
        <v>0</v>
      </c>
      <c r="M132" s="69" t="n">
        <f aca="false">SUMIFS(Data!$M$2371:$M$3999,Data!$H$2371:$H$3999,B132)</f>
        <v>0</v>
      </c>
      <c r="N132" s="70" t="n">
        <f aca="false">SUMIFS(Data!$O$2:$O$781,Data!$H$2:$H$781,B132)</f>
        <v>0</v>
      </c>
      <c r="O132" s="70" t="n">
        <f aca="false">SUMIFS(Data!$N$2:$N$781,Data!$H$2:$H$781,B132)</f>
        <v>0</v>
      </c>
      <c r="P132" s="69" t="n">
        <f aca="false">SUMIFS(Data!$P$2:$P$781,Data!$H$2:$H$781,B132)</f>
        <v>0</v>
      </c>
      <c r="Q132" s="70" t="n">
        <f aca="false">SUMIFS(Data!$O$782:$O$2370,Data!$H$782:$H$2370,B132)</f>
        <v>0</v>
      </c>
      <c r="R132" s="70" t="n">
        <f aca="false">SUMIFS(Data!$N$782:$N$2370,Data!$H$782:$H$2370,B132)</f>
        <v>0</v>
      </c>
      <c r="S132" s="70" t="n">
        <f aca="false">SUMIFS(Data!$O$2371:$O$3999,Data!$H$2371:$H$3999,B132)</f>
        <v>0</v>
      </c>
      <c r="T132" s="70" t="n">
        <f aca="false">SUMIFS(Data!$N$2371:$N$3999,Data!$H$2371:$H$3999,B132)</f>
        <v>0</v>
      </c>
      <c r="U132" s="69" t="n">
        <f aca="false">SUMIFS(Data!$R$2:$R$781,Data!$H$2:$H$781,B132)</f>
        <v>0</v>
      </c>
      <c r="V132" s="71" t="n">
        <f aca="false">SUMIFS(Data!$Q$2:$Q$781,Data!$H$2:$H$781,B132)</f>
        <v>0</v>
      </c>
      <c r="W132" s="69" t="n">
        <f aca="false">SUMIFS(Data!$R$782:$R$2370,Data!$H$782:$H$2370,B132)</f>
        <v>0</v>
      </c>
      <c r="X132" s="70" t="n">
        <f aca="false">SUMIFS(Data!$Q$782:$Q$2370,Data!$H$782:$H$2370,B132)</f>
        <v>0</v>
      </c>
      <c r="Y132" s="69" t="n">
        <f aca="false">SUMIFS(Data!$R$2371:$R$3999,Data!$H$2371:$H$3999,B132)</f>
        <v>0</v>
      </c>
      <c r="Z132" s="70" t="n">
        <f aca="false">SUMIFS(Data!$Q$2371:$Q$3999,Data!$H$2371:$H$3999,B132)</f>
        <v>1</v>
      </c>
      <c r="AA132" s="68" t="n">
        <f aca="false">V132+U132+O132+N132+K132+F132+E132+P132</f>
        <v>0</v>
      </c>
      <c r="AB132" s="68" t="n">
        <f aca="false">X132+W132+T132+R132+Q132+L132+H132+G132</f>
        <v>0</v>
      </c>
      <c r="AC132" s="68" t="n">
        <f aca="false">Z132+Y132+T132+S132+M132+J132+I132</f>
        <v>1</v>
      </c>
    </row>
    <row r="133" customFormat="false" ht="23.25" hidden="false" customHeight="true" outlineLevel="0" collapsed="false">
      <c r="A133" s="31" t="n">
        <f aca="false">Data!AE132</f>
        <v>1224</v>
      </c>
      <c r="B133" s="31" t="str">
        <f aca="false">Data!AD132</f>
        <v>نايف البلوي</v>
      </c>
      <c r="C133" s="31" t="n">
        <f aca="false">Data!AH132</f>
        <v>535878038</v>
      </c>
      <c r="D133" s="31" t="str">
        <f aca="false">Data!AF132</f>
        <v>تبوك</v>
      </c>
      <c r="E133" s="69" t="n">
        <f aca="false">SUMIFS(Data!$L$2:$L$781,Data!$H$2:$H$781,B133)</f>
        <v>0</v>
      </c>
      <c r="F133" s="70" t="n">
        <f aca="false">SUMIFS(Data!$K$2:$K$781,Data!$H$2:$H$781,B133)</f>
        <v>0</v>
      </c>
      <c r="G133" s="69" t="n">
        <f aca="false">SUMIFS(Data!$L$782:$L$2370,Data!$H$782:$H$2370,B133)</f>
        <v>0</v>
      </c>
      <c r="H133" s="70" t="n">
        <f aca="false">SUMIFS(Data!$K$782:$K$2370,Data!$H$782:$H$2370,B133)</f>
        <v>0</v>
      </c>
      <c r="I133" s="69" t="n">
        <f aca="false">SUMIFS(Data!$L$2371:$L$3999,Data!$H$2371:$H$3999,B133)</f>
        <v>4</v>
      </c>
      <c r="J133" s="70" t="n">
        <f aca="false">SUMIFS(Data!$K$2371:$K$3999,Data!$H$2371:$H$3999,B133)</f>
        <v>12</v>
      </c>
      <c r="K133" s="69" t="n">
        <f aca="false">SUMIFS(Data!$M$2:$M$781,Data!$H$2:$H$781,B133)</f>
        <v>0</v>
      </c>
      <c r="L133" s="69" t="n">
        <f aca="false">SUMIFS(Data!$M$782:$M$2370,Data!$H$782:$H$2370,B133)</f>
        <v>0</v>
      </c>
      <c r="M133" s="69" t="n">
        <f aca="false">SUMIFS(Data!$M$2371:$M$3999,Data!$H$2371:$H$3999,B133)</f>
        <v>0</v>
      </c>
      <c r="N133" s="70" t="n">
        <f aca="false">SUMIFS(Data!$O$2:$O$781,Data!$H$2:$H$781,B133)</f>
        <v>0</v>
      </c>
      <c r="O133" s="70" t="n">
        <f aca="false">SUMIFS(Data!$N$2:$N$781,Data!$H$2:$H$781,B133)</f>
        <v>0</v>
      </c>
      <c r="P133" s="69" t="n">
        <f aca="false">SUMIFS(Data!$P$2:$P$781,Data!$H$2:$H$781,B133)</f>
        <v>0</v>
      </c>
      <c r="Q133" s="70" t="n">
        <f aca="false">SUMIFS(Data!$O$782:$O$2370,Data!$H$782:$H$2370,B133)</f>
        <v>0</v>
      </c>
      <c r="R133" s="70" t="n">
        <f aca="false">SUMIFS(Data!$N$782:$N$2370,Data!$H$782:$H$2370,B133)</f>
        <v>0</v>
      </c>
      <c r="S133" s="70" t="n">
        <f aca="false">SUMIFS(Data!$O$2371:$O$3999,Data!$H$2371:$H$3999,B133)</f>
        <v>0</v>
      </c>
      <c r="T133" s="70" t="n">
        <f aca="false">SUMIFS(Data!$N$2371:$N$3999,Data!$H$2371:$H$3999,B133)</f>
        <v>0</v>
      </c>
      <c r="U133" s="69" t="n">
        <f aca="false">SUMIFS(Data!$R$2:$R$781,Data!$H$2:$H$781,B133)</f>
        <v>0</v>
      </c>
      <c r="V133" s="71" t="n">
        <f aca="false">SUMIFS(Data!$Q$2:$Q$781,Data!$H$2:$H$781,B133)</f>
        <v>0</v>
      </c>
      <c r="W133" s="69" t="n">
        <f aca="false">SUMIFS(Data!$R$782:$R$2370,Data!$H$782:$H$2370,B133)</f>
        <v>0</v>
      </c>
      <c r="X133" s="70" t="n">
        <f aca="false">SUMIFS(Data!$Q$782:$Q$2370,Data!$H$782:$H$2370,B133)</f>
        <v>0</v>
      </c>
      <c r="Y133" s="69" t="n">
        <f aca="false">SUMIFS(Data!$R$2371:$R$3999,Data!$H$2371:$H$3999,B133)</f>
        <v>0</v>
      </c>
      <c r="Z133" s="70" t="n">
        <f aca="false">SUMIFS(Data!$Q$2371:$Q$3999,Data!$H$2371:$H$3999,B133)</f>
        <v>0</v>
      </c>
      <c r="AA133" s="68" t="n">
        <f aca="false">V133+U133+O133+N133+K133+F133+E133+P133</f>
        <v>0</v>
      </c>
      <c r="AB133" s="68" t="n">
        <f aca="false">X133+W133+T133+R133+Q133+L133+H133+G133</f>
        <v>0</v>
      </c>
      <c r="AC133" s="68" t="n">
        <f aca="false">Z133+Y133+T133+S133+M133+J133+I133</f>
        <v>16</v>
      </c>
    </row>
    <row r="134" customFormat="false" ht="23.25" hidden="false" customHeight="true" outlineLevel="0" collapsed="false">
      <c r="A134" s="31" t="n">
        <f aca="false">Data!AE133</f>
        <v>0</v>
      </c>
      <c r="B134" s="31" t="n">
        <f aca="false">Data!AD133</f>
        <v>0</v>
      </c>
      <c r="C134" s="31" t="n">
        <f aca="false">Data!AH133</f>
        <v>0</v>
      </c>
      <c r="D134" s="31" t="str">
        <f aca="false">Data!AF133</f>
        <v>تبوك</v>
      </c>
      <c r="E134" s="60" t="n">
        <f aca="false">SUMIFS(Data!$L$2:$L$781,Data!$H$2:$H$781,B134)</f>
        <v>0</v>
      </c>
      <c r="F134" s="61" t="n">
        <f aca="false">SUMIFS(Data!$K$2:$K$781,Data!$H$2:$H$781,B134)</f>
        <v>0</v>
      </c>
      <c r="G134" s="60" t="n">
        <f aca="false">SUMIFS(Data!$L$782:$L$2370,Data!$H$782:$H$2370,B134)</f>
        <v>0</v>
      </c>
      <c r="H134" s="61" t="n">
        <f aca="false">SUMIFS(Data!$K$782:$K$2370,Data!$H$782:$H$2370,B134)</f>
        <v>0</v>
      </c>
      <c r="I134" s="60" t="n">
        <f aca="false">SUMIFS(Data!$L$2371:$L$3999,Data!$H$2371:$H$3999,B134)</f>
        <v>0</v>
      </c>
      <c r="J134" s="61" t="n">
        <f aca="false">SUMIFS(Data!$K$2371:$K$3999,Data!$H$2371:$H$3999,B134)</f>
        <v>0</v>
      </c>
      <c r="K134" s="62" t="n">
        <f aca="false">SUMIFS(Data!$M$2:$M$781,Data!$H$2:$H$781,B134)</f>
        <v>0</v>
      </c>
      <c r="L134" s="60" t="n">
        <f aca="false">SUMIFS(Data!$M$782:$M$2370,Data!$H$782:$H$2370,B134)</f>
        <v>0</v>
      </c>
      <c r="M134" s="60" t="n">
        <f aca="false">SUMIFS(Data!$M$2371:$M$3999,Data!$H$2371:$H$3999,B134)</f>
        <v>0</v>
      </c>
      <c r="N134" s="63" t="n">
        <f aca="false">SUMIFS(Data!$O$2:$O$781,Data!$H$2:$H$781,B134)</f>
        <v>0</v>
      </c>
      <c r="O134" s="61" t="n">
        <f aca="false">SUMIFS(Data!$N$2:$N$781,Data!$H$2:$H$781,B134)</f>
        <v>0</v>
      </c>
      <c r="P134" s="60" t="n">
        <f aca="false">SUMIFS(Data!$P$2:$P$781,Data!$H$2:$H$781,B134)</f>
        <v>0</v>
      </c>
      <c r="Q134" s="61" t="n">
        <f aca="false">SUMIFS(Data!$O$782:$O$2370,Data!$H$782:$H$2370,B134)</f>
        <v>0</v>
      </c>
      <c r="R134" s="61" t="n">
        <f aca="false">SUMIFS(Data!$N$782:$N$2370,Data!$H$782:$H$2370,B134)</f>
        <v>0</v>
      </c>
      <c r="S134" s="61" t="n">
        <f aca="false">SUMIFS(Data!$O$2371:$O$3999,Data!$H$2371:$H$3999,B134)</f>
        <v>0</v>
      </c>
      <c r="T134" s="61" t="n">
        <f aca="false">SUMIFS(Data!$N$2371:$N$3999,Data!$H$2371:$H$3999,B134)</f>
        <v>0</v>
      </c>
      <c r="U134" s="64" t="n">
        <f aca="false">SUMIFS(Data!$R$2:$R$781,Data!$H$2:$H$781,B134)</f>
        <v>0</v>
      </c>
      <c r="V134" s="65" t="n">
        <f aca="false">SUMIFS(Data!$Q$2:$Q$781,Data!$H$2:$H$781,B134)</f>
        <v>0</v>
      </c>
      <c r="W134" s="60" t="n">
        <f aca="false">SUMIFS(Data!$R$782:$R$2370,Data!$H$782:$H$2370,B134)</f>
        <v>0</v>
      </c>
      <c r="X134" s="61" t="n">
        <f aca="false">SUMIFS(Data!$Q$782:$Q$2370,Data!$H$782:$H$2370,B134)</f>
        <v>0</v>
      </c>
      <c r="Y134" s="60" t="n">
        <f aca="false">SUMIFS(Data!$R$2371:$R$3999,Data!$H$2371:$H$3999,B134)</f>
        <v>0</v>
      </c>
      <c r="Z134" s="61" t="n">
        <f aca="false">SUMIFS(Data!$Q$2371:$Q$3999,Data!$H$2371:$H$3999,B134)</f>
        <v>0</v>
      </c>
      <c r="AA134" s="66" t="n">
        <f aca="false">V134+U134+O134+N134+K134+F134+E134+P134</f>
        <v>0</v>
      </c>
      <c r="AB134" s="67" t="n">
        <f aca="false">X134+W134+T134+R134+Q134+L134+H134+G134</f>
        <v>0</v>
      </c>
      <c r="AC134" s="67" t="n">
        <f aca="false">Z134+Y134+T134+S134+M134+J134+I134</f>
        <v>0</v>
      </c>
    </row>
    <row r="135" customFormat="false" ht="23.25" hidden="false" customHeight="true" outlineLevel="0" collapsed="false">
      <c r="A135" s="31" t="n">
        <f aca="false">Data!AE134</f>
        <v>946</v>
      </c>
      <c r="B135" s="31" t="str">
        <f aca="false">Data!AD134</f>
        <v>رانيه قبوري</v>
      </c>
      <c r="C135" s="31" t="n">
        <f aca="false">Data!AH134</f>
        <v>0</v>
      </c>
      <c r="D135" s="31" t="str">
        <f aca="false">Data!AF134</f>
        <v>تبوك</v>
      </c>
      <c r="E135" s="42" t="n">
        <f aca="false">SUMIFS(Data!$L$2:$L$781,Data!$H$2:$H$781,B135)</f>
        <v>0</v>
      </c>
      <c r="F135" s="43" t="n">
        <f aca="false">SUMIFS(Data!$K$2:$K$781,Data!$H$2:$H$781,B135)</f>
        <v>0</v>
      </c>
      <c r="G135" s="42" t="n">
        <f aca="false">SUMIFS(Data!$L$782:$L$2370,Data!$H$782:$H$2370,B135)</f>
        <v>0</v>
      </c>
      <c r="H135" s="43" t="n">
        <f aca="false">SUMIFS(Data!$K$782:$K$2370,Data!$H$782:$H$2370,B135)</f>
        <v>3</v>
      </c>
      <c r="I135" s="42" t="n">
        <f aca="false">SUMIFS(Data!$L$2371:$L$3999,Data!$H$2371:$H$3999,B135)</f>
        <v>11</v>
      </c>
      <c r="J135" s="43" t="n">
        <f aca="false">SUMIFS(Data!$K$2371:$K$3999,Data!$H$2371:$H$3999,B135)</f>
        <v>4</v>
      </c>
      <c r="K135" s="44" t="n">
        <f aca="false">SUMIFS(Data!$M$2:$M$781,Data!$H$2:$H$781,B135)</f>
        <v>0</v>
      </c>
      <c r="L135" s="42" t="n">
        <f aca="false">SUMIFS(Data!$M$782:$M$2370,Data!$H$782:$H$2370,B135)</f>
        <v>1</v>
      </c>
      <c r="M135" s="42" t="n">
        <f aca="false">SUMIFS(Data!$M$2371:$M$3999,Data!$H$2371:$H$3999,B135)</f>
        <v>0</v>
      </c>
      <c r="N135" s="45" t="n">
        <f aca="false">SUMIFS(Data!$O$2:$O$781,Data!$H$2:$H$781,B135)</f>
        <v>0</v>
      </c>
      <c r="O135" s="43" t="n">
        <f aca="false">SUMIFS(Data!$N$2:$N$781,Data!$H$2:$H$781,B135)</f>
        <v>0</v>
      </c>
      <c r="P135" s="42" t="n">
        <f aca="false">SUMIFS(Data!$P$2:$P$781,Data!$H$2:$H$781,B135)</f>
        <v>0</v>
      </c>
      <c r="Q135" s="43" t="n">
        <f aca="false">SUMIFS(Data!$O$782:$O$2370,Data!$H$782:$H$2370,B135)</f>
        <v>0</v>
      </c>
      <c r="R135" s="43" t="n">
        <f aca="false">SUMIFS(Data!$N$782:$N$2370,Data!$H$782:$H$2370,B135)</f>
        <v>0</v>
      </c>
      <c r="S135" s="43" t="n">
        <f aca="false">SUMIFS(Data!$O$2371:$O$3999,Data!$H$2371:$H$3999,B135)</f>
        <v>0</v>
      </c>
      <c r="T135" s="43" t="n">
        <f aca="false">SUMIFS(Data!$N$2371:$N$3999,Data!$H$2371:$H$3999,B135)</f>
        <v>0</v>
      </c>
      <c r="U135" s="46" t="n">
        <f aca="false">SUMIFS(Data!$R$2:$R$781,Data!$H$2:$H$781,B135)</f>
        <v>0</v>
      </c>
      <c r="V135" s="47" t="n">
        <f aca="false">SUMIFS(Data!$Q$2:$Q$781,Data!$H$2:$H$781,B135)</f>
        <v>0</v>
      </c>
      <c r="W135" s="42" t="n">
        <f aca="false">SUMIFS(Data!$R$782:$R$2370,Data!$H$782:$H$2370,B135)</f>
        <v>2</v>
      </c>
      <c r="X135" s="43" t="n">
        <f aca="false">SUMIFS(Data!$Q$782:$Q$2370,Data!$H$782:$H$2370,B135)</f>
        <v>0</v>
      </c>
      <c r="Y135" s="42" t="n">
        <f aca="false">SUMIFS(Data!$R$2371:$R$3999,Data!$H$2371:$H$3999,B135)</f>
        <v>0</v>
      </c>
      <c r="Z135" s="43" t="n">
        <f aca="false">SUMIFS(Data!$Q$2371:$Q$3999,Data!$H$2371:$H$3999,B135)</f>
        <v>0</v>
      </c>
      <c r="AA135" s="48" t="n">
        <f aca="false">V135+U135+O135+N135+K135+F135+E135+P135</f>
        <v>0</v>
      </c>
      <c r="AB135" s="49" t="n">
        <f aca="false">X135+W135+T135+R135+Q135+L135+H135+G135</f>
        <v>6</v>
      </c>
      <c r="AC135" s="49" t="n">
        <f aca="false">Z135+Y135+T135+S135+M135+J135+I135</f>
        <v>15</v>
      </c>
    </row>
    <row r="136" customFormat="false" ht="23.25" hidden="false" customHeight="true" outlineLevel="0" collapsed="false">
      <c r="A136" s="31" t="n">
        <f aca="false">Data!AE135</f>
        <v>1307</v>
      </c>
      <c r="B136" s="31" t="str">
        <f aca="false">Data!AD135</f>
        <v>محمد منصور</v>
      </c>
      <c r="C136" s="31" t="n">
        <f aca="false">Data!AH135</f>
        <v>562241691</v>
      </c>
      <c r="D136" s="31" t="str">
        <f aca="false">Data!AF135</f>
        <v>تبوك</v>
      </c>
      <c r="E136" s="42" t="n">
        <f aca="false">SUMIFS(Data!$L$2:$L$781,Data!$H$2:$H$781,B136)</f>
        <v>0</v>
      </c>
      <c r="F136" s="43" t="n">
        <f aca="false">SUMIFS(Data!$K$2:$K$781,Data!$H$2:$H$781,B136)</f>
        <v>0</v>
      </c>
      <c r="G136" s="42" t="n">
        <f aca="false">SUMIFS(Data!$L$782:$L$2370,Data!$H$782:$H$2370,B136)</f>
        <v>0</v>
      </c>
      <c r="H136" s="43" t="n">
        <f aca="false">SUMIFS(Data!$K$782:$K$2370,Data!$H$782:$H$2370,B136)</f>
        <v>0</v>
      </c>
      <c r="I136" s="42" t="n">
        <f aca="false">SUMIFS(Data!$L$2371:$L$3999,Data!$H$2371:$H$3999,B136)</f>
        <v>0</v>
      </c>
      <c r="J136" s="43" t="n">
        <f aca="false">SUMIFS(Data!$K$2371:$K$3999,Data!$H$2371:$H$3999,B136)</f>
        <v>0</v>
      </c>
      <c r="K136" s="44" t="n">
        <f aca="false">SUMIFS(Data!$M$2:$M$781,Data!$H$2:$H$781,B136)</f>
        <v>0</v>
      </c>
      <c r="L136" s="42" t="n">
        <f aca="false">SUMIFS(Data!$M$782:$M$2370,Data!$H$782:$H$2370,B136)</f>
        <v>0</v>
      </c>
      <c r="M136" s="42" t="n">
        <f aca="false">SUMIFS(Data!$M$2371:$M$3999,Data!$H$2371:$H$3999,B136)</f>
        <v>0</v>
      </c>
      <c r="N136" s="45" t="n">
        <f aca="false">SUMIFS(Data!$O$2:$O$781,Data!$H$2:$H$781,B136)</f>
        <v>0</v>
      </c>
      <c r="O136" s="43" t="n">
        <f aca="false">SUMIFS(Data!$N$2:$N$781,Data!$H$2:$H$781,B136)</f>
        <v>0</v>
      </c>
      <c r="P136" s="42" t="n">
        <f aca="false">SUMIFS(Data!$P$2:$P$781,Data!$H$2:$H$781,B136)</f>
        <v>0</v>
      </c>
      <c r="Q136" s="43" t="n">
        <f aca="false">SUMIFS(Data!$O$782:$O$2370,Data!$H$782:$H$2370,B136)</f>
        <v>0</v>
      </c>
      <c r="R136" s="43" t="n">
        <f aca="false">SUMIFS(Data!$N$782:$N$2370,Data!$H$782:$H$2370,B136)</f>
        <v>0</v>
      </c>
      <c r="S136" s="43" t="n">
        <f aca="false">SUMIFS(Data!$O$2371:$O$3999,Data!$H$2371:$H$3999,B136)</f>
        <v>0</v>
      </c>
      <c r="T136" s="43" t="n">
        <f aca="false">SUMIFS(Data!$N$2371:$N$3999,Data!$H$2371:$H$3999,B136)</f>
        <v>0</v>
      </c>
      <c r="U136" s="46" t="n">
        <f aca="false">SUMIFS(Data!$R$2:$R$781,Data!$H$2:$H$781,B136)</f>
        <v>0</v>
      </c>
      <c r="V136" s="47" t="n">
        <f aca="false">SUMIFS(Data!$Q$2:$Q$781,Data!$H$2:$H$781,B136)</f>
        <v>0</v>
      </c>
      <c r="W136" s="42" t="n">
        <f aca="false">SUMIFS(Data!$R$782:$R$2370,Data!$H$782:$H$2370,B136)</f>
        <v>0</v>
      </c>
      <c r="X136" s="43" t="n">
        <f aca="false">SUMIFS(Data!$Q$782:$Q$2370,Data!$H$782:$H$2370,B136)</f>
        <v>0</v>
      </c>
      <c r="Y136" s="42" t="n">
        <f aca="false">SUMIFS(Data!$R$2371:$R$3999,Data!$H$2371:$H$3999,B136)</f>
        <v>0</v>
      </c>
      <c r="Z136" s="43" t="n">
        <f aca="false">SUMIFS(Data!$Q$2371:$Q$3999,Data!$H$2371:$H$3999,B136)</f>
        <v>0</v>
      </c>
      <c r="AA136" s="48" t="n">
        <f aca="false">V136+U136+O136+N136+K136+F136+E136+P136</f>
        <v>0</v>
      </c>
      <c r="AB136" s="49" t="n">
        <f aca="false">X136+W136+T136+R136+Q136+L136+H136+G136</f>
        <v>0</v>
      </c>
      <c r="AC136" s="49" t="n">
        <f aca="false">Z136+Y136+T136+S136+M136+J136+I136</f>
        <v>0</v>
      </c>
    </row>
    <row r="137" customFormat="false" ht="23.25" hidden="false" customHeight="true" outlineLevel="0" collapsed="false">
      <c r="A137" s="31" t="n">
        <f aca="false">Data!AE136</f>
        <v>0</v>
      </c>
      <c r="B137" s="31" t="n">
        <f aca="false">Data!AD136</f>
        <v>0</v>
      </c>
      <c r="C137" s="31" t="n">
        <f aca="false">Data!AH136</f>
        <v>0</v>
      </c>
      <c r="D137" s="31" t="n">
        <f aca="false">Data!AF136</f>
        <v>0</v>
      </c>
      <c r="E137" s="42" t="n">
        <f aca="false">SUMIFS(Data!$L$2:$L$781,Data!$H$2:$H$781,B137)</f>
        <v>0</v>
      </c>
      <c r="F137" s="43" t="n">
        <f aca="false">SUMIFS(Data!$K$2:$K$781,Data!$H$2:$H$781,B137)</f>
        <v>0</v>
      </c>
      <c r="G137" s="42" t="n">
        <f aca="false">SUMIFS(Data!$L$782:$L$2370,Data!$H$782:$H$2370,B137)</f>
        <v>0</v>
      </c>
      <c r="H137" s="43" t="n">
        <f aca="false">SUMIFS(Data!$K$782:$K$2370,Data!$H$782:$H$2370,B137)</f>
        <v>0</v>
      </c>
      <c r="I137" s="42" t="n">
        <f aca="false">SUMIFS(Data!$L$2371:$L$3999,Data!$H$2371:$H$3999,B137)</f>
        <v>0</v>
      </c>
      <c r="J137" s="43" t="n">
        <f aca="false">SUMIFS(Data!$K$2371:$K$3999,Data!$H$2371:$H$3999,B137)</f>
        <v>0</v>
      </c>
      <c r="K137" s="44" t="n">
        <f aca="false">SUMIFS(Data!$M$2:$M$781,Data!$H$2:$H$781,B137)</f>
        <v>0</v>
      </c>
      <c r="L137" s="42" t="n">
        <f aca="false">SUMIFS(Data!$M$782:$M$2370,Data!$H$782:$H$2370,B137)</f>
        <v>0</v>
      </c>
      <c r="M137" s="42" t="n">
        <f aca="false">SUMIFS(Data!$M$2371:$M$3999,Data!$H$2371:$H$3999,B137)</f>
        <v>0</v>
      </c>
      <c r="N137" s="45" t="n">
        <f aca="false">SUMIFS(Data!$O$2:$O$781,Data!$H$2:$H$781,B137)</f>
        <v>0</v>
      </c>
      <c r="O137" s="43" t="n">
        <f aca="false">SUMIFS(Data!$N$2:$N$781,Data!$H$2:$H$781,B137)</f>
        <v>0</v>
      </c>
      <c r="P137" s="42" t="n">
        <f aca="false">SUMIFS(Data!$P$2:$P$781,Data!$H$2:$H$781,B137)</f>
        <v>0</v>
      </c>
      <c r="Q137" s="43" t="n">
        <f aca="false">SUMIFS(Data!$O$782:$O$2370,Data!$H$782:$H$2370,B137)</f>
        <v>0</v>
      </c>
      <c r="R137" s="43" t="n">
        <f aca="false">SUMIFS(Data!$N$782:$N$2370,Data!$H$782:$H$2370,B137)</f>
        <v>0</v>
      </c>
      <c r="S137" s="43" t="n">
        <f aca="false">SUMIFS(Data!$O$2371:$O$3999,Data!$H$2371:$H$3999,B137)</f>
        <v>0</v>
      </c>
      <c r="T137" s="43" t="n">
        <f aca="false">SUMIFS(Data!$N$2371:$N$3999,Data!$H$2371:$H$3999,B137)</f>
        <v>0</v>
      </c>
      <c r="U137" s="46" t="n">
        <f aca="false">SUMIFS(Data!$R$2:$R$781,Data!$H$2:$H$781,B137)</f>
        <v>0</v>
      </c>
      <c r="V137" s="47" t="n">
        <f aca="false">SUMIFS(Data!$Q$2:$Q$781,Data!$H$2:$H$781,B137)</f>
        <v>0</v>
      </c>
      <c r="W137" s="42" t="n">
        <f aca="false">SUMIFS(Data!$R$782:$R$2370,Data!$H$782:$H$2370,B137)</f>
        <v>0</v>
      </c>
      <c r="X137" s="43" t="n">
        <f aca="false">SUMIFS(Data!$Q$782:$Q$2370,Data!$H$782:$H$2370,B137)</f>
        <v>0</v>
      </c>
      <c r="Y137" s="42" t="n">
        <f aca="false">SUMIFS(Data!$R$2371:$R$3999,Data!$H$2371:$H$3999,B137)</f>
        <v>0</v>
      </c>
      <c r="Z137" s="43" t="n">
        <f aca="false">SUMIFS(Data!$Q$2371:$Q$3999,Data!$H$2371:$H$3999,B137)</f>
        <v>0</v>
      </c>
      <c r="AA137" s="48" t="n">
        <f aca="false">V137+U137+O137+N137+K137+F137+E137+P137</f>
        <v>0</v>
      </c>
      <c r="AB137" s="49" t="n">
        <f aca="false">X137+W137+T137+R137+Q137+L137+H137+G137</f>
        <v>0</v>
      </c>
      <c r="AC137" s="49" t="n">
        <f aca="false">Z137+Y137+T137+S137+M137+J137+I137</f>
        <v>0</v>
      </c>
    </row>
    <row r="138" customFormat="false" ht="23.25" hidden="false" customHeight="true" outlineLevel="0" collapsed="false">
      <c r="A138" s="31" t="n">
        <f aca="false">Data!AE137</f>
        <v>1297</v>
      </c>
      <c r="B138" s="31" t="str">
        <f aca="false">Data!AD137</f>
        <v>يارا البلوي2</v>
      </c>
      <c r="C138" s="31" t="n">
        <f aca="false">Data!AH137</f>
        <v>594627278</v>
      </c>
      <c r="D138" s="31" t="str">
        <f aca="false">Data!AF137</f>
        <v>تبوك</v>
      </c>
      <c r="E138" s="42" t="n">
        <f aca="false">SUMIFS(Data!$L$2:$L$781,Data!$H$2:$H$781,B138)</f>
        <v>0</v>
      </c>
      <c r="F138" s="43" t="n">
        <f aca="false">SUMIFS(Data!$K$2:$K$781,Data!$H$2:$H$781,B138)</f>
        <v>0</v>
      </c>
      <c r="G138" s="42" t="n">
        <f aca="false">SUMIFS(Data!$L$782:$L$2370,Data!$H$782:$H$2370,B138)</f>
        <v>0</v>
      </c>
      <c r="H138" s="43" t="n">
        <f aca="false">SUMIFS(Data!$K$782:$K$2370,Data!$H$782:$H$2370,B138)</f>
        <v>0</v>
      </c>
      <c r="I138" s="42" t="n">
        <f aca="false">SUMIFS(Data!$L$2371:$L$3999,Data!$H$2371:$H$3999,B138)</f>
        <v>0</v>
      </c>
      <c r="J138" s="43" t="n">
        <f aca="false">SUMIFS(Data!$K$2371:$K$3999,Data!$H$2371:$H$3999,B138)</f>
        <v>4</v>
      </c>
      <c r="K138" s="44" t="n">
        <f aca="false">SUMIFS(Data!$M$2:$M$781,Data!$H$2:$H$781,B138)</f>
        <v>0</v>
      </c>
      <c r="L138" s="42" t="n">
        <f aca="false">SUMIFS(Data!$M$782:$M$2370,Data!$H$782:$H$2370,B138)</f>
        <v>0</v>
      </c>
      <c r="M138" s="42" t="n">
        <f aca="false">SUMIFS(Data!$M$2371:$M$3999,Data!$H$2371:$H$3999,B138)</f>
        <v>0</v>
      </c>
      <c r="N138" s="45" t="n">
        <f aca="false">SUMIFS(Data!$O$2:$O$781,Data!$H$2:$H$781,B138)</f>
        <v>0</v>
      </c>
      <c r="O138" s="43" t="n">
        <f aca="false">SUMIFS(Data!$N$2:$N$781,Data!$H$2:$H$781,B138)</f>
        <v>0</v>
      </c>
      <c r="P138" s="42" t="n">
        <f aca="false">SUMIFS(Data!$P$2:$P$781,Data!$H$2:$H$781,B138)</f>
        <v>0</v>
      </c>
      <c r="Q138" s="43" t="n">
        <f aca="false">SUMIFS(Data!$O$782:$O$2370,Data!$H$782:$H$2370,B138)</f>
        <v>0</v>
      </c>
      <c r="R138" s="43" t="n">
        <f aca="false">SUMIFS(Data!$N$782:$N$2370,Data!$H$782:$H$2370,B138)</f>
        <v>0</v>
      </c>
      <c r="S138" s="43" t="n">
        <f aca="false">SUMIFS(Data!$O$2371:$O$3999,Data!$H$2371:$H$3999,B138)</f>
        <v>0</v>
      </c>
      <c r="T138" s="43" t="n">
        <f aca="false">SUMIFS(Data!$N$2371:$N$3999,Data!$H$2371:$H$3999,B138)</f>
        <v>3</v>
      </c>
      <c r="U138" s="46" t="n">
        <f aca="false">SUMIFS(Data!$R$2:$R$781,Data!$H$2:$H$781,B138)</f>
        <v>0</v>
      </c>
      <c r="V138" s="47" t="n">
        <f aca="false">SUMIFS(Data!$Q$2:$Q$781,Data!$H$2:$H$781,B138)</f>
        <v>0</v>
      </c>
      <c r="W138" s="42" t="n">
        <f aca="false">SUMIFS(Data!$R$782:$R$2370,Data!$H$782:$H$2370,B138)</f>
        <v>0</v>
      </c>
      <c r="X138" s="43" t="n">
        <f aca="false">SUMIFS(Data!$Q$782:$Q$2370,Data!$H$782:$H$2370,B138)</f>
        <v>0</v>
      </c>
      <c r="Y138" s="42" t="n">
        <f aca="false">SUMIFS(Data!$R$2371:$R$3999,Data!$H$2371:$H$3999,B138)</f>
        <v>0</v>
      </c>
      <c r="Z138" s="43" t="n">
        <f aca="false">SUMIFS(Data!$Q$2371:$Q$3999,Data!$H$2371:$H$3999,B138)</f>
        <v>0</v>
      </c>
      <c r="AA138" s="48" t="n">
        <f aca="false">V138+U138+O138+N138+K138+F138+E138+P138</f>
        <v>0</v>
      </c>
      <c r="AB138" s="49" t="n">
        <f aca="false">X138+W138+T138+R138+Q138+L138+H138+G138</f>
        <v>3</v>
      </c>
      <c r="AC138" s="49" t="n">
        <f aca="false">Z138+Y138+T138+S138+M138+J138+I138</f>
        <v>7</v>
      </c>
    </row>
    <row r="139" s="74" customFormat="true" ht="23.25" hidden="false" customHeight="true" outlineLevel="0" collapsed="false">
      <c r="A139" s="31" t="n">
        <f aca="false">Data!AE138</f>
        <v>1282</v>
      </c>
      <c r="B139" s="31" t="str">
        <f aca="false">Data!AD138</f>
        <v>ميسه الخباز</v>
      </c>
      <c r="C139" s="31" t="n">
        <f aca="false">Data!AH138</f>
        <v>537096613</v>
      </c>
      <c r="D139" s="31" t="str">
        <f aca="false">Data!AF138</f>
        <v>تبوك</v>
      </c>
      <c r="E139" s="51" t="n">
        <f aca="false">SUMIFS(Data!$L$2:$L$781,Data!$H$2:$H$781,B139)</f>
        <v>0</v>
      </c>
      <c r="F139" s="52" t="n">
        <f aca="false">SUMIFS(Data!$K$2:$K$781,Data!$H$2:$H$781,B139)</f>
        <v>0</v>
      </c>
      <c r="G139" s="51" t="n">
        <f aca="false">SUMIFS(Data!$L$782:$L$2370,Data!$H$782:$H$2370,B139)</f>
        <v>0</v>
      </c>
      <c r="H139" s="52" t="n">
        <f aca="false">SUMIFS(Data!$K$782:$K$2370,Data!$H$782:$H$2370,B139)</f>
        <v>0</v>
      </c>
      <c r="I139" s="51" t="n">
        <f aca="false">SUMIFS(Data!$L$2371:$L$3999,Data!$H$2371:$H$3999,B139)</f>
        <v>0</v>
      </c>
      <c r="J139" s="52" t="n">
        <f aca="false">SUMIFS(Data!$K$2371:$K$3999,Data!$H$2371:$H$3999,B139)</f>
        <v>0</v>
      </c>
      <c r="K139" s="53" t="n">
        <f aca="false">SUMIFS(Data!$M$2:$M$781,Data!$H$2:$H$781,B139)</f>
        <v>0</v>
      </c>
      <c r="L139" s="51" t="n">
        <f aca="false">SUMIFS(Data!$M$782:$M$2370,Data!$H$782:$H$2370,B139)</f>
        <v>0</v>
      </c>
      <c r="M139" s="51" t="n">
        <f aca="false">SUMIFS(Data!$M$2371:$M$3999,Data!$H$2371:$H$3999,B139)</f>
        <v>0</v>
      </c>
      <c r="N139" s="54" t="n">
        <f aca="false">SUMIFS(Data!$O$2:$O$781,Data!$H$2:$H$781,B139)</f>
        <v>0</v>
      </c>
      <c r="O139" s="52" t="n">
        <f aca="false">SUMIFS(Data!$N$2:$N$781,Data!$H$2:$H$781,B139)</f>
        <v>0</v>
      </c>
      <c r="P139" s="51" t="n">
        <f aca="false">SUMIFS(Data!$P$2:$P$781,Data!$H$2:$H$781,B139)</f>
        <v>0</v>
      </c>
      <c r="Q139" s="52" t="n">
        <f aca="false">SUMIFS(Data!$O$782:$O$2370,Data!$H$782:$H$2370,B139)</f>
        <v>0</v>
      </c>
      <c r="R139" s="52" t="n">
        <f aca="false">SUMIFS(Data!$N$782:$N$2370,Data!$H$782:$H$2370,B139)</f>
        <v>0</v>
      </c>
      <c r="S139" s="52" t="n">
        <f aca="false">SUMIFS(Data!$O$2371:$O$3999,Data!$H$2371:$H$3999,B139)</f>
        <v>0</v>
      </c>
      <c r="T139" s="52" t="n">
        <f aca="false">SUMIFS(Data!$N$2371:$N$3999,Data!$H$2371:$H$3999,B139)</f>
        <v>3</v>
      </c>
      <c r="U139" s="55" t="n">
        <f aca="false">SUMIFS(Data!$R$2:$R$781,Data!$H$2:$H$781,B139)</f>
        <v>0</v>
      </c>
      <c r="V139" s="56" t="n">
        <f aca="false">SUMIFS(Data!$Q$2:$Q$781,Data!$H$2:$H$781,B139)</f>
        <v>0</v>
      </c>
      <c r="W139" s="51" t="n">
        <f aca="false">SUMIFS(Data!$R$782:$R$2370,Data!$H$782:$H$2370,B139)</f>
        <v>0</v>
      </c>
      <c r="X139" s="52" t="n">
        <f aca="false">SUMIFS(Data!$Q$782:$Q$2370,Data!$H$782:$H$2370,B139)</f>
        <v>0</v>
      </c>
      <c r="Y139" s="51" t="n">
        <f aca="false">SUMIFS(Data!$R$2371:$R$3999,Data!$H$2371:$H$3999,B139)</f>
        <v>0</v>
      </c>
      <c r="Z139" s="52" t="n">
        <f aca="false">SUMIFS(Data!$Q$2371:$Q$3999,Data!$H$2371:$H$3999,B139)</f>
        <v>0</v>
      </c>
      <c r="AA139" s="57" t="n">
        <f aca="false">V139+U139+O139+N139+K139+F139+E139+P139</f>
        <v>0</v>
      </c>
      <c r="AB139" s="58" t="n">
        <f aca="false">X139+W139+T139+R139+Q139+L139+H139+G139</f>
        <v>3</v>
      </c>
      <c r="AC139" s="58" t="n">
        <f aca="false">Z139+Y139+T139+S139+M139+J139+I139</f>
        <v>3</v>
      </c>
    </row>
    <row r="140" customFormat="false" ht="23.25" hidden="false" customHeight="true" outlineLevel="0" collapsed="false">
      <c r="A140" s="31" t="n">
        <f aca="false">Data!AE139</f>
        <v>1293</v>
      </c>
      <c r="B140" s="31" t="str">
        <f aca="false">Data!AD139</f>
        <v>عالم الزيوت2</v>
      </c>
      <c r="C140" s="31" t="n">
        <f aca="false">Data!AH139</f>
        <v>530863384</v>
      </c>
      <c r="D140" s="31" t="str">
        <f aca="false">Data!AF139</f>
        <v>تبوك</v>
      </c>
      <c r="E140" s="60" t="n">
        <f aca="false">SUMIFS(Data!$L$2:$L$781,Data!$H$2:$H$781,B140)</f>
        <v>0</v>
      </c>
      <c r="F140" s="61" t="n">
        <f aca="false">SUMIFS(Data!$K$2:$K$781,Data!$H$2:$H$781,B140)</f>
        <v>0</v>
      </c>
      <c r="G140" s="60" t="n">
        <f aca="false">SUMIFS(Data!$L$782:$L$2370,Data!$H$782:$H$2370,B140)</f>
        <v>0</v>
      </c>
      <c r="H140" s="61" t="n">
        <f aca="false">SUMIFS(Data!$K$782:$K$2370,Data!$H$782:$H$2370,B140)</f>
        <v>0</v>
      </c>
      <c r="I140" s="60" t="n">
        <f aca="false">SUMIFS(Data!$L$2371:$L$3999,Data!$H$2371:$H$3999,B140)</f>
        <v>45</v>
      </c>
      <c r="J140" s="61" t="n">
        <f aca="false">SUMIFS(Data!$K$2371:$K$3999,Data!$H$2371:$H$3999,B140)</f>
        <v>4</v>
      </c>
      <c r="K140" s="62" t="n">
        <f aca="false">SUMIFS(Data!$M$2:$M$781,Data!$H$2:$H$781,B140)</f>
        <v>0</v>
      </c>
      <c r="L140" s="60" t="n">
        <f aca="false">SUMIFS(Data!$M$782:$M$2370,Data!$H$782:$H$2370,B140)</f>
        <v>0</v>
      </c>
      <c r="M140" s="60" t="n">
        <f aca="false">SUMIFS(Data!$M$2371:$M$3999,Data!$H$2371:$H$3999,B140)</f>
        <v>12</v>
      </c>
      <c r="N140" s="63" t="n">
        <f aca="false">SUMIFS(Data!$O$2:$O$781,Data!$H$2:$H$781,B140)</f>
        <v>0</v>
      </c>
      <c r="O140" s="61" t="n">
        <f aca="false">SUMIFS(Data!$N$2:$N$781,Data!$H$2:$H$781,B140)</f>
        <v>0</v>
      </c>
      <c r="P140" s="60" t="n">
        <f aca="false">SUMIFS(Data!$P$2:$P$781,Data!$H$2:$H$781,B140)</f>
        <v>0</v>
      </c>
      <c r="Q140" s="61" t="n">
        <f aca="false">SUMIFS(Data!$O$782:$O$2370,Data!$H$782:$H$2370,B140)</f>
        <v>0</v>
      </c>
      <c r="R140" s="61" t="n">
        <f aca="false">SUMIFS(Data!$N$782:$N$2370,Data!$H$782:$H$2370,B140)</f>
        <v>0</v>
      </c>
      <c r="S140" s="61" t="n">
        <f aca="false">SUMIFS(Data!$O$2371:$O$3999,Data!$H$2371:$H$3999,B140)</f>
        <v>0</v>
      </c>
      <c r="T140" s="61" t="n">
        <f aca="false">SUMIFS(Data!$N$2371:$N$3999,Data!$H$2371:$H$3999,B140)</f>
        <v>1</v>
      </c>
      <c r="U140" s="64" t="n">
        <f aca="false">SUMIFS(Data!$R$2:$R$781,Data!$H$2:$H$781,B140)</f>
        <v>0</v>
      </c>
      <c r="V140" s="65" t="n">
        <f aca="false">SUMIFS(Data!$Q$2:$Q$781,Data!$H$2:$H$781,B140)</f>
        <v>0</v>
      </c>
      <c r="W140" s="60" t="n">
        <f aca="false">SUMIFS(Data!$R$782:$R$2370,Data!$H$782:$H$2370,B140)</f>
        <v>0</v>
      </c>
      <c r="X140" s="61" t="n">
        <f aca="false">SUMIFS(Data!$Q$782:$Q$2370,Data!$H$782:$H$2370,B140)</f>
        <v>0</v>
      </c>
      <c r="Y140" s="60" t="n">
        <f aca="false">SUMIFS(Data!$R$2371:$R$3999,Data!$H$2371:$H$3999,B140)</f>
        <v>0</v>
      </c>
      <c r="Z140" s="61" t="n">
        <f aca="false">SUMIFS(Data!$Q$2371:$Q$3999,Data!$H$2371:$H$3999,B140)</f>
        <v>2</v>
      </c>
      <c r="AA140" s="66" t="n">
        <f aca="false">V140+U140+O140+N140+K140+F140+E140+P140</f>
        <v>0</v>
      </c>
      <c r="AB140" s="67" t="n">
        <f aca="false">X140+W140+T140+R140+Q140+L140+H140+G140</f>
        <v>1</v>
      </c>
      <c r="AC140" s="67" t="n">
        <f aca="false">Z140+Y140+T140+S140+M140+J140+I140</f>
        <v>64</v>
      </c>
    </row>
    <row r="141" customFormat="false" ht="23.25" hidden="false" customHeight="true" outlineLevel="0" collapsed="false">
      <c r="A141" s="31" t="n">
        <f aca="false">Data!AE140</f>
        <v>1283</v>
      </c>
      <c r="B141" s="31" t="str">
        <f aca="false">Data!AD140</f>
        <v>الاصلي الحديث</v>
      </c>
      <c r="C141" s="31" t="n">
        <f aca="false">Data!AH140</f>
        <v>0</v>
      </c>
      <c r="D141" s="31" t="str">
        <f aca="false">Data!AF140</f>
        <v>تيماء</v>
      </c>
      <c r="E141" s="42" t="n">
        <f aca="false">SUMIFS(Data!$L$2:$L$781,Data!$H$2:$H$781,B141)</f>
        <v>0</v>
      </c>
      <c r="F141" s="43" t="n">
        <f aca="false">SUMIFS(Data!$K$2:$K$781,Data!$H$2:$H$781,B141)</f>
        <v>0</v>
      </c>
      <c r="G141" s="42" t="n">
        <f aca="false">SUMIFS(Data!$L$782:$L$2370,Data!$H$782:$H$2370,B141)</f>
        <v>0</v>
      </c>
      <c r="H141" s="43" t="n">
        <f aca="false">SUMIFS(Data!$K$782:$K$2370,Data!$H$782:$H$2370,B141)</f>
        <v>0</v>
      </c>
      <c r="I141" s="42" t="n">
        <f aca="false">SUMIFS(Data!$L$2371:$L$3999,Data!$H$2371:$H$3999,B141)</f>
        <v>0</v>
      </c>
      <c r="J141" s="43" t="n">
        <f aca="false">SUMIFS(Data!$K$2371:$K$3999,Data!$H$2371:$H$3999,B141)</f>
        <v>0</v>
      </c>
      <c r="K141" s="44" t="n">
        <f aca="false">SUMIFS(Data!$M$2:$M$781,Data!$H$2:$H$781,B141)</f>
        <v>0</v>
      </c>
      <c r="L141" s="42" t="n">
        <f aca="false">SUMIFS(Data!$M$782:$M$2370,Data!$H$782:$H$2370,B141)</f>
        <v>0</v>
      </c>
      <c r="M141" s="42" t="n">
        <f aca="false">SUMIFS(Data!$M$2371:$M$3999,Data!$H$2371:$H$3999,B141)</f>
        <v>0</v>
      </c>
      <c r="N141" s="45" t="n">
        <f aca="false">SUMIFS(Data!$O$2:$O$781,Data!$H$2:$H$781,B141)</f>
        <v>0</v>
      </c>
      <c r="O141" s="43" t="n">
        <f aca="false">SUMIFS(Data!$N$2:$N$781,Data!$H$2:$H$781,B141)</f>
        <v>0</v>
      </c>
      <c r="P141" s="42" t="n">
        <f aca="false">SUMIFS(Data!$P$2:$P$781,Data!$H$2:$H$781,B141)</f>
        <v>0</v>
      </c>
      <c r="Q141" s="43" t="n">
        <f aca="false">SUMIFS(Data!$O$782:$O$2370,Data!$H$782:$H$2370,B141)</f>
        <v>0</v>
      </c>
      <c r="R141" s="43" t="n">
        <f aca="false">SUMIFS(Data!$N$782:$N$2370,Data!$H$782:$H$2370,B141)</f>
        <v>0</v>
      </c>
      <c r="S141" s="43" t="n">
        <f aca="false">SUMIFS(Data!$O$2371:$O$3999,Data!$H$2371:$H$3999,B141)</f>
        <v>0</v>
      </c>
      <c r="T141" s="43" t="n">
        <f aca="false">SUMIFS(Data!$N$2371:$N$3999,Data!$H$2371:$H$3999,B141)</f>
        <v>0</v>
      </c>
      <c r="U141" s="46" t="n">
        <f aca="false">SUMIFS(Data!$R$2:$R$781,Data!$H$2:$H$781,B141)</f>
        <v>0</v>
      </c>
      <c r="V141" s="47" t="n">
        <f aca="false">SUMIFS(Data!$Q$2:$Q$781,Data!$H$2:$H$781,B141)</f>
        <v>0</v>
      </c>
      <c r="W141" s="42" t="n">
        <f aca="false">SUMIFS(Data!$R$782:$R$2370,Data!$H$782:$H$2370,B141)</f>
        <v>0</v>
      </c>
      <c r="X141" s="43" t="n">
        <f aca="false">SUMIFS(Data!$Q$782:$Q$2370,Data!$H$782:$H$2370,B141)</f>
        <v>0</v>
      </c>
      <c r="Y141" s="42" t="n">
        <f aca="false">SUMIFS(Data!$R$2371:$R$3999,Data!$H$2371:$H$3999,B141)</f>
        <v>0</v>
      </c>
      <c r="Z141" s="43" t="n">
        <f aca="false">SUMIFS(Data!$Q$2371:$Q$3999,Data!$H$2371:$H$3999,B141)</f>
        <v>2</v>
      </c>
      <c r="AA141" s="48" t="n">
        <f aca="false">V141+U141+O141+N141+K141+F141+E141+P141</f>
        <v>0</v>
      </c>
      <c r="AB141" s="49" t="n">
        <f aca="false">X141+W141+T141+R141+Q141+L141+H141+G141</f>
        <v>0</v>
      </c>
      <c r="AC141" s="49" t="n">
        <f aca="false">Z141+Y141+T141+S141+M141+J141+I141</f>
        <v>2</v>
      </c>
    </row>
    <row r="142" customFormat="false" ht="23.25" hidden="false" customHeight="true" outlineLevel="0" collapsed="false">
      <c r="A142" s="31" t="n">
        <f aca="false">Data!AE141</f>
        <v>1284</v>
      </c>
      <c r="B142" s="31" t="str">
        <f aca="false">Data!AD141</f>
        <v>الموتر الحديث</v>
      </c>
      <c r="C142" s="31" t="n">
        <f aca="false">Data!AH141</f>
        <v>0</v>
      </c>
      <c r="D142" s="31" t="str">
        <f aca="false">Data!AF141</f>
        <v>تيماء</v>
      </c>
      <c r="E142" s="42" t="n">
        <f aca="false">SUMIFS(Data!$L$2:$L$781,Data!$H$2:$H$781,B142)</f>
        <v>0</v>
      </c>
      <c r="F142" s="43" t="n">
        <f aca="false">SUMIFS(Data!$K$2:$K$781,Data!$H$2:$H$781,B142)</f>
        <v>0</v>
      </c>
      <c r="G142" s="42" t="n">
        <f aca="false">SUMIFS(Data!$L$782:$L$2370,Data!$H$782:$H$2370,B142)</f>
        <v>0</v>
      </c>
      <c r="H142" s="43" t="n">
        <f aca="false">SUMIFS(Data!$K$782:$K$2370,Data!$H$782:$H$2370,B142)</f>
        <v>0</v>
      </c>
      <c r="I142" s="42" t="n">
        <f aca="false">SUMIFS(Data!$L$2371:$L$3999,Data!$H$2371:$H$3999,B142)</f>
        <v>0</v>
      </c>
      <c r="J142" s="43" t="n">
        <f aca="false">SUMIFS(Data!$K$2371:$K$3999,Data!$H$2371:$H$3999,B142)</f>
        <v>0</v>
      </c>
      <c r="K142" s="44" t="n">
        <f aca="false">SUMIFS(Data!$M$2:$M$781,Data!$H$2:$H$781,B142)</f>
        <v>0</v>
      </c>
      <c r="L142" s="42" t="n">
        <f aca="false">SUMIFS(Data!$M$782:$M$2370,Data!$H$782:$H$2370,B142)</f>
        <v>0</v>
      </c>
      <c r="M142" s="42" t="n">
        <f aca="false">SUMIFS(Data!$M$2371:$M$3999,Data!$H$2371:$H$3999,B142)</f>
        <v>0</v>
      </c>
      <c r="N142" s="45" t="n">
        <f aca="false">SUMIFS(Data!$O$2:$O$781,Data!$H$2:$H$781,B142)</f>
        <v>0</v>
      </c>
      <c r="O142" s="43" t="n">
        <f aca="false">SUMIFS(Data!$N$2:$N$781,Data!$H$2:$H$781,B142)</f>
        <v>0</v>
      </c>
      <c r="P142" s="42" t="n">
        <f aca="false">SUMIFS(Data!$P$2:$P$781,Data!$H$2:$H$781,B142)</f>
        <v>0</v>
      </c>
      <c r="Q142" s="43" t="n">
        <f aca="false">SUMIFS(Data!$O$782:$O$2370,Data!$H$782:$H$2370,B142)</f>
        <v>0</v>
      </c>
      <c r="R142" s="43" t="n">
        <f aca="false">SUMIFS(Data!$N$782:$N$2370,Data!$H$782:$H$2370,B142)</f>
        <v>0</v>
      </c>
      <c r="S142" s="43" t="n">
        <f aca="false">SUMIFS(Data!$O$2371:$O$3999,Data!$H$2371:$H$3999,B142)</f>
        <v>0</v>
      </c>
      <c r="T142" s="43" t="n">
        <f aca="false">SUMIFS(Data!$N$2371:$N$3999,Data!$H$2371:$H$3999,B142)</f>
        <v>0</v>
      </c>
      <c r="U142" s="46" t="n">
        <f aca="false">SUMIFS(Data!$R$2:$R$781,Data!$H$2:$H$781,B142)</f>
        <v>0</v>
      </c>
      <c r="V142" s="47" t="n">
        <f aca="false">SUMIFS(Data!$Q$2:$Q$781,Data!$H$2:$H$781,B142)</f>
        <v>0</v>
      </c>
      <c r="W142" s="42" t="n">
        <f aca="false">SUMIFS(Data!$R$782:$R$2370,Data!$H$782:$H$2370,B142)</f>
        <v>0</v>
      </c>
      <c r="X142" s="43" t="n">
        <f aca="false">SUMIFS(Data!$Q$782:$Q$2370,Data!$H$782:$H$2370,B142)</f>
        <v>0</v>
      </c>
      <c r="Y142" s="42" t="n">
        <f aca="false">SUMIFS(Data!$R$2371:$R$3999,Data!$H$2371:$H$3999,B142)</f>
        <v>0</v>
      </c>
      <c r="Z142" s="43" t="n">
        <f aca="false">SUMIFS(Data!$Q$2371:$Q$3999,Data!$H$2371:$H$3999,B142)</f>
        <v>0</v>
      </c>
      <c r="AA142" s="48" t="n">
        <f aca="false">V142+U142+O142+N142+K142+F142+E142+P142</f>
        <v>0</v>
      </c>
      <c r="AB142" s="49" t="n">
        <f aca="false">X142+W142+T142+R142+Q142+L142+H142+G142</f>
        <v>0</v>
      </c>
      <c r="AC142" s="49" t="n">
        <f aca="false">Z142+Y142+T142+S142+M142+J142+I142</f>
        <v>0</v>
      </c>
    </row>
    <row r="143" customFormat="false" ht="23.25" hidden="false" customHeight="true" outlineLevel="0" collapsed="false">
      <c r="A143" s="31" t="n">
        <f aca="false">Data!AE142</f>
        <v>1285</v>
      </c>
      <c r="B143" s="31" t="str">
        <f aca="false">Data!AD142</f>
        <v>عجلة الجوكر</v>
      </c>
      <c r="C143" s="31" t="n">
        <f aca="false">Data!AH142</f>
        <v>0</v>
      </c>
      <c r="D143" s="31" t="str">
        <f aca="false">Data!AF142</f>
        <v>تيماء</v>
      </c>
      <c r="E143" s="42" t="n">
        <f aca="false">SUMIFS(Data!$L$2:$L$781,Data!$H$2:$H$781,B143)</f>
        <v>0</v>
      </c>
      <c r="F143" s="43" t="n">
        <f aca="false">SUMIFS(Data!$K$2:$K$781,Data!$H$2:$H$781,B143)</f>
        <v>0</v>
      </c>
      <c r="G143" s="42" t="n">
        <f aca="false">SUMIFS(Data!$L$782:$L$2370,Data!$H$782:$H$2370,B143)</f>
        <v>0</v>
      </c>
      <c r="H143" s="43" t="n">
        <f aca="false">SUMIFS(Data!$K$782:$K$2370,Data!$H$782:$H$2370,B143)</f>
        <v>0</v>
      </c>
      <c r="I143" s="42" t="n">
        <f aca="false">SUMIFS(Data!$L$2371:$L$3999,Data!$H$2371:$H$3999,B143)</f>
        <v>0</v>
      </c>
      <c r="J143" s="43" t="n">
        <f aca="false">SUMIFS(Data!$K$2371:$K$3999,Data!$H$2371:$H$3999,B143)</f>
        <v>0</v>
      </c>
      <c r="K143" s="44" t="n">
        <f aca="false">SUMIFS(Data!$M$2:$M$781,Data!$H$2:$H$781,B143)</f>
        <v>0</v>
      </c>
      <c r="L143" s="42" t="n">
        <f aca="false">SUMIFS(Data!$M$782:$M$2370,Data!$H$782:$H$2370,B143)</f>
        <v>0</v>
      </c>
      <c r="M143" s="42" t="n">
        <f aca="false">SUMIFS(Data!$M$2371:$M$3999,Data!$H$2371:$H$3999,B143)</f>
        <v>0</v>
      </c>
      <c r="N143" s="45" t="n">
        <f aca="false">SUMIFS(Data!$O$2:$O$781,Data!$H$2:$H$781,B143)</f>
        <v>0</v>
      </c>
      <c r="O143" s="43" t="n">
        <f aca="false">SUMIFS(Data!$N$2:$N$781,Data!$H$2:$H$781,B143)</f>
        <v>0</v>
      </c>
      <c r="P143" s="42" t="n">
        <f aca="false">SUMIFS(Data!$P$2:$P$781,Data!$H$2:$H$781,B143)</f>
        <v>0</v>
      </c>
      <c r="Q143" s="43" t="n">
        <f aca="false">SUMIFS(Data!$O$782:$O$2370,Data!$H$782:$H$2370,B143)</f>
        <v>0</v>
      </c>
      <c r="R143" s="43" t="n">
        <f aca="false">SUMIFS(Data!$N$782:$N$2370,Data!$H$782:$H$2370,B143)</f>
        <v>0</v>
      </c>
      <c r="S143" s="43" t="n">
        <f aca="false">SUMIFS(Data!$O$2371:$O$3999,Data!$H$2371:$H$3999,B143)</f>
        <v>0</v>
      </c>
      <c r="T143" s="43" t="n">
        <f aca="false">SUMIFS(Data!$N$2371:$N$3999,Data!$H$2371:$H$3999,B143)</f>
        <v>0</v>
      </c>
      <c r="U143" s="46" t="n">
        <f aca="false">SUMIFS(Data!$R$2:$R$781,Data!$H$2:$H$781,B143)</f>
        <v>0</v>
      </c>
      <c r="V143" s="47" t="n">
        <f aca="false">SUMIFS(Data!$Q$2:$Q$781,Data!$H$2:$H$781,B143)</f>
        <v>0</v>
      </c>
      <c r="W143" s="42" t="n">
        <f aca="false">SUMIFS(Data!$R$782:$R$2370,Data!$H$782:$H$2370,B143)</f>
        <v>0</v>
      </c>
      <c r="X143" s="43" t="n">
        <f aca="false">SUMIFS(Data!$Q$782:$Q$2370,Data!$H$782:$H$2370,B143)</f>
        <v>0</v>
      </c>
      <c r="Y143" s="42" t="n">
        <f aca="false">SUMIFS(Data!$R$2371:$R$3999,Data!$H$2371:$H$3999,B143)</f>
        <v>0</v>
      </c>
      <c r="Z143" s="43" t="n">
        <f aca="false">SUMIFS(Data!$Q$2371:$Q$3999,Data!$H$2371:$H$3999,B143)</f>
        <v>0</v>
      </c>
      <c r="AA143" s="48" t="n">
        <f aca="false">V143+U143+O143+N143+K143+F143+E143+P143</f>
        <v>0</v>
      </c>
      <c r="AB143" s="49" t="n">
        <f aca="false">X143+W143+T143+R143+Q143+L143+H143+G143</f>
        <v>0</v>
      </c>
      <c r="AC143" s="49" t="n">
        <f aca="false">Z143+Y143+T143+S143+M143+J143+I143</f>
        <v>0</v>
      </c>
    </row>
    <row r="144" customFormat="false" ht="23.25" hidden="false" customHeight="true" outlineLevel="0" collapsed="false">
      <c r="A144" s="31" t="n">
        <f aca="false">Data!AE143</f>
        <v>1286</v>
      </c>
      <c r="B144" s="31" t="str">
        <f aca="false">Data!AD143</f>
        <v>الحيزان</v>
      </c>
      <c r="C144" s="31" t="n">
        <f aca="false">Data!AH143</f>
        <v>0</v>
      </c>
      <c r="D144" s="31" t="str">
        <f aca="false">Data!AF143</f>
        <v>تيماء</v>
      </c>
      <c r="E144" s="42" t="n">
        <f aca="false">SUMIFS(Data!$L$2:$L$781,Data!$H$2:$H$781,B144)</f>
        <v>0</v>
      </c>
      <c r="F144" s="43" t="n">
        <f aca="false">SUMIFS(Data!$K$2:$K$781,Data!$H$2:$H$781,B144)</f>
        <v>0</v>
      </c>
      <c r="G144" s="42" t="n">
        <f aca="false">SUMIFS(Data!$L$782:$L$2370,Data!$H$782:$H$2370,B144)</f>
        <v>0</v>
      </c>
      <c r="H144" s="43" t="n">
        <f aca="false">SUMIFS(Data!$K$782:$K$2370,Data!$H$782:$H$2370,B144)</f>
        <v>0</v>
      </c>
      <c r="I144" s="42" t="n">
        <f aca="false">SUMIFS(Data!$L$2371:$L$3999,Data!$H$2371:$H$3999,B144)</f>
        <v>0</v>
      </c>
      <c r="J144" s="43" t="n">
        <f aca="false">SUMIFS(Data!$K$2371:$K$3999,Data!$H$2371:$H$3999,B144)</f>
        <v>0</v>
      </c>
      <c r="K144" s="44" t="n">
        <f aca="false">SUMIFS(Data!$M$2:$M$781,Data!$H$2:$H$781,B144)</f>
        <v>0</v>
      </c>
      <c r="L144" s="42" t="n">
        <f aca="false">SUMIFS(Data!$M$782:$M$2370,Data!$H$782:$H$2370,B144)</f>
        <v>0</v>
      </c>
      <c r="M144" s="42" t="n">
        <f aca="false">SUMIFS(Data!$M$2371:$M$3999,Data!$H$2371:$H$3999,B144)</f>
        <v>0</v>
      </c>
      <c r="N144" s="45" t="n">
        <f aca="false">SUMIFS(Data!$O$2:$O$781,Data!$H$2:$H$781,B144)</f>
        <v>0</v>
      </c>
      <c r="O144" s="43" t="n">
        <f aca="false">SUMIFS(Data!$N$2:$N$781,Data!$H$2:$H$781,B144)</f>
        <v>0</v>
      </c>
      <c r="P144" s="42" t="n">
        <f aca="false">SUMIFS(Data!$P$2:$P$781,Data!$H$2:$H$781,B144)</f>
        <v>0</v>
      </c>
      <c r="Q144" s="43" t="n">
        <f aca="false">SUMIFS(Data!$O$782:$O$2370,Data!$H$782:$H$2370,B144)</f>
        <v>0</v>
      </c>
      <c r="R144" s="43" t="n">
        <f aca="false">SUMIFS(Data!$N$782:$N$2370,Data!$H$782:$H$2370,B144)</f>
        <v>0</v>
      </c>
      <c r="S144" s="43" t="n">
        <f aca="false">SUMIFS(Data!$O$2371:$O$3999,Data!$H$2371:$H$3999,B144)</f>
        <v>0</v>
      </c>
      <c r="T144" s="43" t="n">
        <f aca="false">SUMIFS(Data!$N$2371:$N$3999,Data!$H$2371:$H$3999,B144)</f>
        <v>0</v>
      </c>
      <c r="U144" s="46" t="n">
        <f aca="false">SUMIFS(Data!$R$2:$R$781,Data!$H$2:$H$781,B144)</f>
        <v>0</v>
      </c>
      <c r="V144" s="47" t="n">
        <f aca="false">SUMIFS(Data!$Q$2:$Q$781,Data!$H$2:$H$781,B144)</f>
        <v>0</v>
      </c>
      <c r="W144" s="42" t="n">
        <f aca="false">SUMIFS(Data!$R$782:$R$2370,Data!$H$782:$H$2370,B144)</f>
        <v>0</v>
      </c>
      <c r="X144" s="43" t="n">
        <f aca="false">SUMIFS(Data!$Q$782:$Q$2370,Data!$H$782:$H$2370,B144)</f>
        <v>0</v>
      </c>
      <c r="Y144" s="42" t="n">
        <f aca="false">SUMIFS(Data!$R$2371:$R$3999,Data!$H$2371:$H$3999,B144)</f>
        <v>0</v>
      </c>
      <c r="Z144" s="43" t="n">
        <f aca="false">SUMIFS(Data!$Q$2371:$Q$3999,Data!$H$2371:$H$3999,B144)</f>
        <v>7</v>
      </c>
      <c r="AA144" s="48" t="n">
        <f aca="false">V144+U144+O144+N144+K144+F144+E144+P144</f>
        <v>0</v>
      </c>
      <c r="AB144" s="49" t="n">
        <f aca="false">X144+W144+T144+R144+Q144+L144+H144+G144</f>
        <v>0</v>
      </c>
      <c r="AC144" s="49" t="n">
        <f aca="false">Z144+Y144+T144+S144+M144+J144+I144</f>
        <v>7</v>
      </c>
    </row>
    <row r="145" customFormat="false" ht="23.25" hidden="false" customHeight="true" outlineLevel="0" collapsed="false">
      <c r="A145" s="31" t="n">
        <f aca="false">Data!AE144</f>
        <v>1292</v>
      </c>
      <c r="B145" s="31" t="str">
        <f aca="false">Data!AD144</f>
        <v>نجوم تيماء</v>
      </c>
      <c r="C145" s="31" t="n">
        <f aca="false">Data!AH144</f>
        <v>0</v>
      </c>
      <c r="D145" s="31" t="str">
        <f aca="false">Data!AF144</f>
        <v>تيماء</v>
      </c>
      <c r="E145" s="42" t="n">
        <f aca="false">SUMIFS(Data!$L$2:$L$781,Data!$H$2:$H$781,B145)</f>
        <v>0</v>
      </c>
      <c r="F145" s="43" t="n">
        <f aca="false">SUMIFS(Data!$K$2:$K$781,Data!$H$2:$H$781,B145)</f>
        <v>0</v>
      </c>
      <c r="G145" s="42" t="n">
        <f aca="false">SUMIFS(Data!$L$782:$L$2370,Data!$H$782:$H$2370,B145)</f>
        <v>0</v>
      </c>
      <c r="H145" s="43" t="n">
        <f aca="false">SUMIFS(Data!$K$782:$K$2370,Data!$H$782:$H$2370,B145)</f>
        <v>0</v>
      </c>
      <c r="I145" s="42" t="n">
        <f aca="false">SUMIFS(Data!$L$2371:$L$3999,Data!$H$2371:$H$3999,B145)</f>
        <v>0</v>
      </c>
      <c r="J145" s="43" t="n">
        <f aca="false">SUMIFS(Data!$K$2371:$K$3999,Data!$H$2371:$H$3999,B145)</f>
        <v>4</v>
      </c>
      <c r="K145" s="44" t="n">
        <f aca="false">SUMIFS(Data!$M$2:$M$781,Data!$H$2:$H$781,B145)</f>
        <v>0</v>
      </c>
      <c r="L145" s="42" t="n">
        <f aca="false">SUMIFS(Data!$M$782:$M$2370,Data!$H$782:$H$2370,B145)</f>
        <v>0</v>
      </c>
      <c r="M145" s="42" t="n">
        <f aca="false">SUMIFS(Data!$M$2371:$M$3999,Data!$H$2371:$H$3999,B145)</f>
        <v>0</v>
      </c>
      <c r="N145" s="45" t="n">
        <f aca="false">SUMIFS(Data!$O$2:$O$781,Data!$H$2:$H$781,B145)</f>
        <v>0</v>
      </c>
      <c r="O145" s="43" t="n">
        <f aca="false">SUMIFS(Data!$N$2:$N$781,Data!$H$2:$H$781,B145)</f>
        <v>0</v>
      </c>
      <c r="P145" s="42" t="n">
        <f aca="false">SUMIFS(Data!$P$2:$P$781,Data!$H$2:$H$781,B145)</f>
        <v>0</v>
      </c>
      <c r="Q145" s="43" t="n">
        <f aca="false">SUMIFS(Data!$O$782:$O$2370,Data!$H$782:$H$2370,B145)</f>
        <v>0</v>
      </c>
      <c r="R145" s="43" t="n">
        <f aca="false">SUMIFS(Data!$N$782:$N$2370,Data!$H$782:$H$2370,B145)</f>
        <v>0</v>
      </c>
      <c r="S145" s="43" t="n">
        <f aca="false">SUMIFS(Data!$O$2371:$O$3999,Data!$H$2371:$H$3999,B145)</f>
        <v>0</v>
      </c>
      <c r="T145" s="43" t="n">
        <f aca="false">SUMIFS(Data!$N$2371:$N$3999,Data!$H$2371:$H$3999,B145)</f>
        <v>0</v>
      </c>
      <c r="U145" s="46" t="n">
        <f aca="false">SUMIFS(Data!$R$2:$R$781,Data!$H$2:$H$781,B145)</f>
        <v>0</v>
      </c>
      <c r="V145" s="47" t="n">
        <f aca="false">SUMIFS(Data!$Q$2:$Q$781,Data!$H$2:$H$781,B145)</f>
        <v>0</v>
      </c>
      <c r="W145" s="42" t="n">
        <f aca="false">SUMIFS(Data!$R$782:$R$2370,Data!$H$782:$H$2370,B145)</f>
        <v>0</v>
      </c>
      <c r="X145" s="43" t="n">
        <f aca="false">SUMIFS(Data!$Q$782:$Q$2370,Data!$H$782:$H$2370,B145)</f>
        <v>0</v>
      </c>
      <c r="Y145" s="42" t="n">
        <f aca="false">SUMIFS(Data!$R$2371:$R$3999,Data!$H$2371:$H$3999,B145)</f>
        <v>0</v>
      </c>
      <c r="Z145" s="43" t="n">
        <f aca="false">SUMIFS(Data!$Q$2371:$Q$3999,Data!$H$2371:$H$3999,B145)</f>
        <v>0</v>
      </c>
      <c r="AA145" s="48" t="n">
        <f aca="false">V145+U145+O145+N145+K145+F145+E145+P145</f>
        <v>0</v>
      </c>
      <c r="AB145" s="49" t="n">
        <f aca="false">X145+W145+T145+R145+Q145+L145+H145+G145</f>
        <v>0</v>
      </c>
      <c r="AC145" s="49" t="n">
        <f aca="false">Z145+Y145+T145+S145+M145+J145+I145</f>
        <v>4</v>
      </c>
    </row>
    <row r="146" customFormat="false" ht="23.25" hidden="false" customHeight="true" outlineLevel="0" collapsed="false">
      <c r="A146" s="31" t="n">
        <f aca="false">Data!AE145</f>
        <v>1311</v>
      </c>
      <c r="B146" s="31" t="str">
        <f aca="false">Data!AD145</f>
        <v>الاطار المتوفر</v>
      </c>
      <c r="C146" s="31" t="n">
        <f aca="false">Data!AH145</f>
        <v>0</v>
      </c>
      <c r="D146" s="31" t="str">
        <f aca="false">Data!AF145</f>
        <v>تيماء</v>
      </c>
      <c r="E146" s="42" t="n">
        <f aca="false">SUMIFS(Data!$L$2:$L$781,Data!$H$2:$H$781,B146)</f>
        <v>0</v>
      </c>
      <c r="F146" s="43" t="n">
        <f aca="false">SUMIFS(Data!$K$2:$K$781,Data!$H$2:$H$781,B146)</f>
        <v>0</v>
      </c>
      <c r="G146" s="42" t="n">
        <f aca="false">SUMIFS(Data!$L$782:$L$2370,Data!$H$782:$H$2370,B146)</f>
        <v>0</v>
      </c>
      <c r="H146" s="43" t="n">
        <f aca="false">SUMIFS(Data!$K$782:$K$2370,Data!$H$782:$H$2370,B146)</f>
        <v>0</v>
      </c>
      <c r="I146" s="42" t="n">
        <f aca="false">SUMIFS(Data!$L$2371:$L$3999,Data!$H$2371:$H$3999,B146)</f>
        <v>0</v>
      </c>
      <c r="J146" s="43" t="n">
        <f aca="false">SUMIFS(Data!$K$2371:$K$3999,Data!$H$2371:$H$3999,B146)</f>
        <v>0</v>
      </c>
      <c r="K146" s="44" t="n">
        <f aca="false">SUMIFS(Data!$M$2:$M$781,Data!$H$2:$H$781,B146)</f>
        <v>0</v>
      </c>
      <c r="L146" s="42" t="n">
        <f aca="false">SUMIFS(Data!$M$782:$M$2370,Data!$H$782:$H$2370,B146)</f>
        <v>0</v>
      </c>
      <c r="M146" s="42" t="n">
        <f aca="false">SUMIFS(Data!$M$2371:$M$3999,Data!$H$2371:$H$3999,B146)</f>
        <v>0</v>
      </c>
      <c r="N146" s="45" t="n">
        <f aca="false">SUMIFS(Data!$O$2:$O$781,Data!$H$2:$H$781,B146)</f>
        <v>0</v>
      </c>
      <c r="O146" s="43" t="n">
        <f aca="false">SUMIFS(Data!$N$2:$N$781,Data!$H$2:$H$781,B146)</f>
        <v>0</v>
      </c>
      <c r="P146" s="42" t="n">
        <f aca="false">SUMIFS(Data!$P$2:$P$781,Data!$H$2:$H$781,B146)</f>
        <v>0</v>
      </c>
      <c r="Q146" s="43" t="n">
        <f aca="false">SUMIFS(Data!$O$782:$O$2370,Data!$H$782:$H$2370,B146)</f>
        <v>0</v>
      </c>
      <c r="R146" s="43" t="n">
        <f aca="false">SUMIFS(Data!$N$782:$N$2370,Data!$H$782:$H$2370,B146)</f>
        <v>0</v>
      </c>
      <c r="S146" s="43" t="n">
        <f aca="false">SUMIFS(Data!$O$2371:$O$3999,Data!$H$2371:$H$3999,B146)</f>
        <v>0</v>
      </c>
      <c r="T146" s="43" t="n">
        <f aca="false">SUMIFS(Data!$N$2371:$N$3999,Data!$H$2371:$H$3999,B146)</f>
        <v>0</v>
      </c>
      <c r="U146" s="46" t="n">
        <f aca="false">SUMIFS(Data!$R$2:$R$781,Data!$H$2:$H$781,B146)</f>
        <v>0</v>
      </c>
      <c r="V146" s="47" t="n">
        <f aca="false">SUMIFS(Data!$Q$2:$Q$781,Data!$H$2:$H$781,B146)</f>
        <v>0</v>
      </c>
      <c r="W146" s="42" t="n">
        <f aca="false">SUMIFS(Data!$R$782:$R$2370,Data!$H$782:$H$2370,B146)</f>
        <v>0</v>
      </c>
      <c r="X146" s="43" t="n">
        <f aca="false">SUMIFS(Data!$Q$782:$Q$2370,Data!$H$782:$H$2370,B146)</f>
        <v>0</v>
      </c>
      <c r="Y146" s="42" t="n">
        <f aca="false">SUMIFS(Data!$R$2371:$R$3999,Data!$H$2371:$H$3999,B146)</f>
        <v>0</v>
      </c>
      <c r="Z146" s="43" t="n">
        <f aca="false">SUMIFS(Data!$Q$2371:$Q$3999,Data!$H$2371:$H$3999,B146)</f>
        <v>0</v>
      </c>
      <c r="AA146" s="48" t="n">
        <f aca="false">V146+U146+O146+N146+K146+F146+E146+P146</f>
        <v>0</v>
      </c>
      <c r="AB146" s="49" t="n">
        <f aca="false">X146+W146+T146+R146+Q146+L146+H146+G146</f>
        <v>0</v>
      </c>
      <c r="AC146" s="49" t="n">
        <f aca="false">Z146+Y146+T146+S146+M146+J146+I146</f>
        <v>0</v>
      </c>
    </row>
    <row r="147" customFormat="false" ht="23.25" hidden="false" customHeight="true" outlineLevel="0" collapsed="false">
      <c r="A147" s="31" t="n">
        <f aca="false">Data!AE146</f>
        <v>1312</v>
      </c>
      <c r="B147" s="31" t="str">
        <f aca="false">Data!AD146</f>
        <v>دوار الساعه</v>
      </c>
      <c r="C147" s="31" t="n">
        <f aca="false">Data!AH146</f>
        <v>0</v>
      </c>
      <c r="D147" s="31" t="str">
        <f aca="false">Data!AF146</f>
        <v>تيماء</v>
      </c>
      <c r="E147" s="42" t="n">
        <f aca="false">SUMIFS(Data!$L$2:$L$781,Data!$H$2:$H$781,B147)</f>
        <v>0</v>
      </c>
      <c r="F147" s="43" t="n">
        <f aca="false">SUMIFS(Data!$K$2:$K$781,Data!$H$2:$H$781,B147)</f>
        <v>0</v>
      </c>
      <c r="G147" s="42" t="n">
        <f aca="false">SUMIFS(Data!$L$782:$L$2370,Data!$H$782:$H$2370,B147)</f>
        <v>0</v>
      </c>
      <c r="H147" s="43" t="n">
        <f aca="false">SUMIFS(Data!$K$782:$K$2370,Data!$H$782:$H$2370,B147)</f>
        <v>0</v>
      </c>
      <c r="I147" s="42" t="n">
        <f aca="false">SUMIFS(Data!$L$2371:$L$3999,Data!$H$2371:$H$3999,B147)</f>
        <v>0</v>
      </c>
      <c r="J147" s="43" t="n">
        <f aca="false">SUMIFS(Data!$K$2371:$K$3999,Data!$H$2371:$H$3999,B147)</f>
        <v>0</v>
      </c>
      <c r="K147" s="44" t="n">
        <f aca="false">SUMIFS(Data!$M$2:$M$781,Data!$H$2:$H$781,B147)</f>
        <v>0</v>
      </c>
      <c r="L147" s="42" t="n">
        <f aca="false">SUMIFS(Data!$M$782:$M$2370,Data!$H$782:$H$2370,B147)</f>
        <v>0</v>
      </c>
      <c r="M147" s="42" t="n">
        <f aca="false">SUMIFS(Data!$M$2371:$M$3999,Data!$H$2371:$H$3999,B147)</f>
        <v>0</v>
      </c>
      <c r="N147" s="45" t="n">
        <f aca="false">SUMIFS(Data!$O$2:$O$781,Data!$H$2:$H$781,B147)</f>
        <v>0</v>
      </c>
      <c r="O147" s="43" t="n">
        <f aca="false">SUMIFS(Data!$N$2:$N$781,Data!$H$2:$H$781,B147)</f>
        <v>0</v>
      </c>
      <c r="P147" s="42" t="n">
        <f aca="false">SUMIFS(Data!$P$2:$P$781,Data!$H$2:$H$781,B147)</f>
        <v>0</v>
      </c>
      <c r="Q147" s="43" t="n">
        <f aca="false">SUMIFS(Data!$O$782:$O$2370,Data!$H$782:$H$2370,B147)</f>
        <v>0</v>
      </c>
      <c r="R147" s="43" t="n">
        <f aca="false">SUMIFS(Data!$N$782:$N$2370,Data!$H$782:$H$2370,B147)</f>
        <v>0</v>
      </c>
      <c r="S147" s="43" t="n">
        <f aca="false">SUMIFS(Data!$O$2371:$O$3999,Data!$H$2371:$H$3999,B147)</f>
        <v>0</v>
      </c>
      <c r="T147" s="43" t="n">
        <f aca="false">SUMIFS(Data!$N$2371:$N$3999,Data!$H$2371:$H$3999,B147)</f>
        <v>0</v>
      </c>
      <c r="U147" s="46" t="n">
        <f aca="false">SUMIFS(Data!$R$2:$R$781,Data!$H$2:$H$781,B147)</f>
        <v>0</v>
      </c>
      <c r="V147" s="47" t="n">
        <f aca="false">SUMIFS(Data!$Q$2:$Q$781,Data!$H$2:$H$781,B147)</f>
        <v>0</v>
      </c>
      <c r="W147" s="42" t="n">
        <f aca="false">SUMIFS(Data!$R$782:$R$2370,Data!$H$782:$H$2370,B147)</f>
        <v>0</v>
      </c>
      <c r="X147" s="43" t="n">
        <f aca="false">SUMIFS(Data!$Q$782:$Q$2370,Data!$H$782:$H$2370,B147)</f>
        <v>0</v>
      </c>
      <c r="Y147" s="42" t="n">
        <f aca="false">SUMIFS(Data!$R$2371:$R$3999,Data!$H$2371:$H$3999,B147)</f>
        <v>0</v>
      </c>
      <c r="Z147" s="43" t="n">
        <f aca="false">SUMIFS(Data!$Q$2371:$Q$3999,Data!$H$2371:$H$3999,B147)</f>
        <v>0</v>
      </c>
      <c r="AA147" s="48" t="n">
        <f aca="false">V147+U147+O147+N147+K147+F147+E147+P147</f>
        <v>0</v>
      </c>
      <c r="AB147" s="49" t="n">
        <f aca="false">X147+W147+T147+R147+Q147+L147+H147+G147</f>
        <v>0</v>
      </c>
      <c r="AC147" s="49" t="n">
        <f aca="false">Z147+Y147+T147+S147+M147+J147+I147</f>
        <v>0</v>
      </c>
    </row>
    <row r="148" customFormat="false" ht="23.25" hidden="false" customHeight="true" outlineLevel="0" collapsed="false">
      <c r="A148" s="31" t="n">
        <f aca="false">Data!AE147</f>
        <v>1316</v>
      </c>
      <c r="B148" s="31" t="str">
        <f aca="false">Data!AD147</f>
        <v>المنتصف</v>
      </c>
      <c r="C148" s="31" t="n">
        <f aca="false">Data!AH147</f>
        <v>547667297</v>
      </c>
      <c r="D148" s="31" t="str">
        <f aca="false">Data!AF147</f>
        <v>تبوك</v>
      </c>
      <c r="E148" s="42" t="n">
        <f aca="false">SUMIFS(Data!$L$2:$L$781,Data!$H$2:$H$781,B148)</f>
        <v>0</v>
      </c>
      <c r="F148" s="43" t="n">
        <f aca="false">SUMIFS(Data!$K$2:$K$781,Data!$H$2:$H$781,B148)</f>
        <v>0</v>
      </c>
      <c r="G148" s="42" t="n">
        <f aca="false">SUMIFS(Data!$L$782:$L$2370,Data!$H$782:$H$2370,B148)</f>
        <v>0</v>
      </c>
      <c r="H148" s="43" t="n">
        <f aca="false">SUMIFS(Data!$K$782:$K$2370,Data!$H$782:$H$2370,B148)</f>
        <v>0</v>
      </c>
      <c r="I148" s="42" t="n">
        <f aca="false">SUMIFS(Data!$L$2371:$L$3999,Data!$H$2371:$H$3999,B148)</f>
        <v>0</v>
      </c>
      <c r="J148" s="43" t="n">
        <f aca="false">SUMIFS(Data!$K$2371:$K$3999,Data!$H$2371:$H$3999,B148)</f>
        <v>4</v>
      </c>
      <c r="K148" s="44" t="n">
        <f aca="false">SUMIFS(Data!$M$2:$M$781,Data!$H$2:$H$781,B148)</f>
        <v>0</v>
      </c>
      <c r="L148" s="42" t="n">
        <f aca="false">SUMIFS(Data!$M$782:$M$2370,Data!$H$782:$H$2370,B148)</f>
        <v>0</v>
      </c>
      <c r="M148" s="42" t="n">
        <f aca="false">SUMIFS(Data!$M$2371:$M$3999,Data!$H$2371:$H$3999,B148)</f>
        <v>0</v>
      </c>
      <c r="N148" s="45" t="n">
        <f aca="false">SUMIFS(Data!$O$2:$O$781,Data!$H$2:$H$781,B148)</f>
        <v>0</v>
      </c>
      <c r="O148" s="43" t="n">
        <f aca="false">SUMIFS(Data!$N$2:$N$781,Data!$H$2:$H$781,B148)</f>
        <v>0</v>
      </c>
      <c r="P148" s="42" t="n">
        <f aca="false">SUMIFS(Data!$P$2:$P$781,Data!$H$2:$H$781,B148)</f>
        <v>0</v>
      </c>
      <c r="Q148" s="43" t="n">
        <f aca="false">SUMIFS(Data!$O$782:$O$2370,Data!$H$782:$H$2370,B148)</f>
        <v>0</v>
      </c>
      <c r="R148" s="43" t="n">
        <f aca="false">SUMIFS(Data!$N$782:$N$2370,Data!$H$782:$H$2370,B148)</f>
        <v>0</v>
      </c>
      <c r="S148" s="43" t="n">
        <f aca="false">SUMIFS(Data!$O$2371:$O$3999,Data!$H$2371:$H$3999,B148)</f>
        <v>0</v>
      </c>
      <c r="T148" s="43" t="n">
        <f aca="false">SUMIFS(Data!$N$2371:$N$3999,Data!$H$2371:$H$3999,B148)</f>
        <v>0</v>
      </c>
      <c r="U148" s="46" t="n">
        <f aca="false">SUMIFS(Data!$R$2:$R$781,Data!$H$2:$H$781,B148)</f>
        <v>0</v>
      </c>
      <c r="V148" s="47" t="n">
        <f aca="false">SUMIFS(Data!$Q$2:$Q$781,Data!$H$2:$H$781,B148)</f>
        <v>0</v>
      </c>
      <c r="W148" s="42" t="n">
        <f aca="false">SUMIFS(Data!$R$782:$R$2370,Data!$H$782:$H$2370,B148)</f>
        <v>0</v>
      </c>
      <c r="X148" s="43" t="n">
        <f aca="false">SUMIFS(Data!$Q$782:$Q$2370,Data!$H$782:$H$2370,B148)</f>
        <v>0</v>
      </c>
      <c r="Y148" s="42" t="n">
        <f aca="false">SUMIFS(Data!$R$2371:$R$3999,Data!$H$2371:$H$3999,B148)</f>
        <v>0</v>
      </c>
      <c r="Z148" s="43" t="n">
        <f aca="false">SUMIFS(Data!$Q$2371:$Q$3999,Data!$H$2371:$H$3999,B148)</f>
        <v>0</v>
      </c>
      <c r="AA148" s="48" t="n">
        <f aca="false">V148+U148+O148+N148+K148+F148+E148+P148</f>
        <v>0</v>
      </c>
      <c r="AB148" s="49" t="n">
        <f aca="false">X148+W148+T148+R148+Q148+L148+H148+G148</f>
        <v>0</v>
      </c>
      <c r="AC148" s="49" t="n">
        <f aca="false">Z148+Y148+T148+S148+M148+J148+I148</f>
        <v>4</v>
      </c>
    </row>
    <row r="149" customFormat="false" ht="23.25" hidden="false" customHeight="true" outlineLevel="0" collapsed="false">
      <c r="A149" s="31" t="n">
        <f aca="false">Data!AE148</f>
        <v>1315</v>
      </c>
      <c r="B149" s="31" t="str">
        <f aca="false">Data!AD148</f>
        <v>اميره العطوي</v>
      </c>
      <c r="C149" s="31" t="n">
        <f aca="false">Data!AH148</f>
        <v>507964983</v>
      </c>
      <c r="D149" s="31" t="str">
        <f aca="false">Data!AF148</f>
        <v>تبوك</v>
      </c>
      <c r="E149" s="42" t="n">
        <f aca="false">SUMIFS(Data!$L$2:$L$781,Data!$H$2:$H$781,B149)</f>
        <v>0</v>
      </c>
      <c r="F149" s="43" t="n">
        <f aca="false">SUMIFS(Data!$K$2:$K$781,Data!$H$2:$H$781,B149)</f>
        <v>0</v>
      </c>
      <c r="G149" s="42" t="n">
        <f aca="false">SUMIFS(Data!$L$782:$L$2370,Data!$H$782:$H$2370,B149)</f>
        <v>0</v>
      </c>
      <c r="H149" s="43" t="n">
        <f aca="false">SUMIFS(Data!$K$782:$K$2370,Data!$H$782:$H$2370,B149)</f>
        <v>0</v>
      </c>
      <c r="I149" s="42" t="n">
        <f aca="false">SUMIFS(Data!$L$2371:$L$3999,Data!$H$2371:$H$3999,B149)</f>
        <v>0</v>
      </c>
      <c r="J149" s="43" t="n">
        <f aca="false">SUMIFS(Data!$K$2371:$K$3999,Data!$H$2371:$H$3999,B149)</f>
        <v>4</v>
      </c>
      <c r="K149" s="44" t="n">
        <f aca="false">SUMIFS(Data!$M$2:$M$781,Data!$H$2:$H$781,B149)</f>
        <v>0</v>
      </c>
      <c r="L149" s="42" t="n">
        <f aca="false">SUMIFS(Data!$M$782:$M$2370,Data!$H$782:$H$2370,B149)</f>
        <v>0</v>
      </c>
      <c r="M149" s="42" t="n">
        <f aca="false">SUMIFS(Data!$M$2371:$M$3999,Data!$H$2371:$H$3999,B149)</f>
        <v>0</v>
      </c>
      <c r="N149" s="45" t="n">
        <f aca="false">SUMIFS(Data!$O$2:$O$781,Data!$H$2:$H$781,B149)</f>
        <v>0</v>
      </c>
      <c r="O149" s="43" t="n">
        <f aca="false">SUMIFS(Data!$N$2:$N$781,Data!$H$2:$H$781,B149)</f>
        <v>0</v>
      </c>
      <c r="P149" s="42" t="n">
        <f aca="false">SUMIFS(Data!$P$2:$P$781,Data!$H$2:$H$781,B149)</f>
        <v>0</v>
      </c>
      <c r="Q149" s="43" t="n">
        <f aca="false">SUMIFS(Data!$O$782:$O$2370,Data!$H$782:$H$2370,B149)</f>
        <v>0</v>
      </c>
      <c r="R149" s="43" t="n">
        <f aca="false">SUMIFS(Data!$N$782:$N$2370,Data!$H$782:$H$2370,B149)</f>
        <v>0</v>
      </c>
      <c r="S149" s="43" t="n">
        <f aca="false">SUMIFS(Data!$O$2371:$O$3999,Data!$H$2371:$H$3999,B149)</f>
        <v>0</v>
      </c>
      <c r="T149" s="43" t="n">
        <f aca="false">SUMIFS(Data!$N$2371:$N$3999,Data!$H$2371:$H$3999,B149)</f>
        <v>0</v>
      </c>
      <c r="U149" s="46" t="n">
        <f aca="false">SUMIFS(Data!$R$2:$R$781,Data!$H$2:$H$781,B149)</f>
        <v>0</v>
      </c>
      <c r="V149" s="47" t="n">
        <f aca="false">SUMIFS(Data!$Q$2:$Q$781,Data!$H$2:$H$781,B149)</f>
        <v>0</v>
      </c>
      <c r="W149" s="42" t="n">
        <f aca="false">SUMIFS(Data!$R$782:$R$2370,Data!$H$782:$H$2370,B149)</f>
        <v>0</v>
      </c>
      <c r="X149" s="43" t="n">
        <f aca="false">SUMIFS(Data!$Q$782:$Q$2370,Data!$H$782:$H$2370,B149)</f>
        <v>0</v>
      </c>
      <c r="Y149" s="42" t="n">
        <f aca="false">SUMIFS(Data!$R$2371:$R$3999,Data!$H$2371:$H$3999,B149)</f>
        <v>0</v>
      </c>
      <c r="Z149" s="43" t="n">
        <f aca="false">SUMIFS(Data!$Q$2371:$Q$3999,Data!$H$2371:$H$3999,B149)</f>
        <v>0</v>
      </c>
      <c r="AA149" s="48" t="n">
        <f aca="false">V149+U149+O149+N149+K149+F149+E149+P149</f>
        <v>0</v>
      </c>
      <c r="AB149" s="49" t="n">
        <f aca="false">X149+W149+T149+R149+Q149+L149+H149+G149</f>
        <v>0</v>
      </c>
      <c r="AC149" s="49" t="n">
        <f aca="false">Z149+Y149+T149+S149+M149+J149+I149</f>
        <v>4</v>
      </c>
    </row>
    <row r="150" customFormat="false" ht="23.25" hidden="false" customHeight="true" outlineLevel="0" collapsed="false">
      <c r="A150" s="31" t="n">
        <f aca="false">Data!AE149</f>
        <v>1064</v>
      </c>
      <c r="B150" s="31" t="str">
        <f aca="false">Data!AD149</f>
        <v>عنوان الزيت</v>
      </c>
      <c r="C150" s="31" t="n">
        <f aca="false">Data!AH149</f>
        <v>0</v>
      </c>
      <c r="D150" s="31" t="str">
        <f aca="false">Data!AF149</f>
        <v>تبوك</v>
      </c>
      <c r="E150" s="42" t="n">
        <f aca="false">SUMIFS(Data!$L$2:$L$781,Data!$H$2:$H$781,B150)</f>
        <v>0</v>
      </c>
      <c r="F150" s="43" t="n">
        <f aca="false">SUMIFS(Data!$K$2:$K$781,Data!$H$2:$H$781,B150)</f>
        <v>0</v>
      </c>
      <c r="G150" s="42" t="n">
        <f aca="false">SUMIFS(Data!$L$782:$L$2370,Data!$H$782:$H$2370,B150)</f>
        <v>0</v>
      </c>
      <c r="H150" s="43" t="n">
        <f aca="false">SUMIFS(Data!$K$782:$K$2370,Data!$H$782:$H$2370,B150)</f>
        <v>0</v>
      </c>
      <c r="I150" s="42" t="n">
        <f aca="false">SUMIFS(Data!$L$2371:$L$3999,Data!$H$2371:$H$3999,B150)</f>
        <v>0</v>
      </c>
      <c r="J150" s="43" t="n">
        <f aca="false">SUMIFS(Data!$K$2371:$K$3999,Data!$H$2371:$H$3999,B150)</f>
        <v>0</v>
      </c>
      <c r="K150" s="44" t="n">
        <f aca="false">SUMIFS(Data!$M$2:$M$781,Data!$H$2:$H$781,B150)</f>
        <v>0</v>
      </c>
      <c r="L150" s="42" t="n">
        <f aca="false">SUMIFS(Data!$M$782:$M$2370,Data!$H$782:$H$2370,B150)</f>
        <v>0</v>
      </c>
      <c r="M150" s="42" t="n">
        <f aca="false">SUMIFS(Data!$M$2371:$M$3999,Data!$H$2371:$H$3999,B150)</f>
        <v>0</v>
      </c>
      <c r="N150" s="45" t="n">
        <f aca="false">SUMIFS(Data!$O$2:$O$781,Data!$H$2:$H$781,B150)</f>
        <v>0</v>
      </c>
      <c r="O150" s="43" t="n">
        <f aca="false">SUMIFS(Data!$N$2:$N$781,Data!$H$2:$H$781,B150)</f>
        <v>0</v>
      </c>
      <c r="P150" s="42" t="n">
        <f aca="false">SUMIFS(Data!$P$2:$P$781,Data!$H$2:$H$781,B150)</f>
        <v>0</v>
      </c>
      <c r="Q150" s="43" t="n">
        <f aca="false">SUMIFS(Data!$O$782:$O$2370,Data!$H$782:$H$2370,B150)</f>
        <v>0</v>
      </c>
      <c r="R150" s="43" t="n">
        <f aca="false">SUMIFS(Data!$N$782:$N$2370,Data!$H$782:$H$2370,B150)</f>
        <v>0</v>
      </c>
      <c r="S150" s="43" t="n">
        <f aca="false">SUMIFS(Data!$O$2371:$O$3999,Data!$H$2371:$H$3999,B150)</f>
        <v>0</v>
      </c>
      <c r="T150" s="43" t="n">
        <f aca="false">SUMIFS(Data!$N$2371:$N$3999,Data!$H$2371:$H$3999,B150)</f>
        <v>0</v>
      </c>
      <c r="U150" s="46" t="n">
        <f aca="false">SUMIFS(Data!$R$2:$R$781,Data!$H$2:$H$781,B150)</f>
        <v>0</v>
      </c>
      <c r="V150" s="47" t="n">
        <f aca="false">SUMIFS(Data!$Q$2:$Q$781,Data!$H$2:$H$781,B150)</f>
        <v>0</v>
      </c>
      <c r="W150" s="42" t="n">
        <f aca="false">SUMIFS(Data!$R$782:$R$2370,Data!$H$782:$H$2370,B150)</f>
        <v>0</v>
      </c>
      <c r="X150" s="43" t="n">
        <f aca="false">SUMIFS(Data!$Q$782:$Q$2370,Data!$H$782:$H$2370,B150)</f>
        <v>0</v>
      </c>
      <c r="Y150" s="42" t="n">
        <f aca="false">SUMIFS(Data!$R$2371:$R$3999,Data!$H$2371:$H$3999,B150)</f>
        <v>5</v>
      </c>
      <c r="Z150" s="43" t="n">
        <f aca="false">SUMIFS(Data!$Q$2371:$Q$3999,Data!$H$2371:$H$3999,B150)</f>
        <v>1</v>
      </c>
      <c r="AA150" s="48" t="n">
        <f aca="false">V150+U150+O150+N150+K150+F150+E150+P150</f>
        <v>0</v>
      </c>
      <c r="AB150" s="49" t="n">
        <f aca="false">X150+W150+T150+R150+Q150+L150+H150+G150</f>
        <v>0</v>
      </c>
      <c r="AC150" s="49" t="n">
        <f aca="false">Z150+Y150+T150+S150+M150+J150+I150</f>
        <v>6</v>
      </c>
    </row>
    <row r="151" customFormat="false" ht="23.25" hidden="false" customHeight="true" outlineLevel="0" collapsed="false">
      <c r="A151" s="31" t="n">
        <f aca="false">Data!AE150</f>
        <v>1002851</v>
      </c>
      <c r="B151" s="31" t="str">
        <f aca="false">Data!AD150</f>
        <v>درة عدن</v>
      </c>
      <c r="C151" s="31" t="n">
        <f aca="false">Data!AH150</f>
        <v>532520433</v>
      </c>
      <c r="D151" s="31" t="str">
        <f aca="false">Data!AF150</f>
        <v>تبوك</v>
      </c>
      <c r="E151" s="42" t="n">
        <f aca="false">SUMIFS(Data!$L$2:$L$781,Data!$H$2:$H$781,B151)</f>
        <v>0</v>
      </c>
      <c r="F151" s="43" t="n">
        <f aca="false">SUMIFS(Data!$K$2:$K$781,Data!$H$2:$H$781,B151)</f>
        <v>0</v>
      </c>
      <c r="G151" s="42" t="n">
        <f aca="false">SUMIFS(Data!$L$782:$L$2370,Data!$H$782:$H$2370,B151)</f>
        <v>0</v>
      </c>
      <c r="H151" s="43" t="n">
        <f aca="false">SUMIFS(Data!$K$782:$K$2370,Data!$H$782:$H$2370,B151)</f>
        <v>0</v>
      </c>
      <c r="I151" s="42" t="n">
        <f aca="false">SUMIFS(Data!$L$2371:$L$3999,Data!$H$2371:$H$3999,B151)</f>
        <v>0</v>
      </c>
      <c r="J151" s="43" t="n">
        <f aca="false">SUMIFS(Data!$K$2371:$K$3999,Data!$H$2371:$H$3999,B151)</f>
        <v>4</v>
      </c>
      <c r="K151" s="44" t="n">
        <f aca="false">SUMIFS(Data!$M$2:$M$781,Data!$H$2:$H$781,B151)</f>
        <v>0</v>
      </c>
      <c r="L151" s="42" t="n">
        <f aca="false">SUMIFS(Data!$M$782:$M$2370,Data!$H$782:$H$2370,B151)</f>
        <v>0</v>
      </c>
      <c r="M151" s="42" t="n">
        <f aca="false">SUMIFS(Data!$M$2371:$M$3999,Data!$H$2371:$H$3999,B151)</f>
        <v>0</v>
      </c>
      <c r="N151" s="45" t="n">
        <f aca="false">SUMIFS(Data!$O$2:$O$781,Data!$H$2:$H$781,B151)</f>
        <v>0</v>
      </c>
      <c r="O151" s="43" t="n">
        <f aca="false">SUMIFS(Data!$N$2:$N$781,Data!$H$2:$H$781,B151)</f>
        <v>0</v>
      </c>
      <c r="P151" s="42" t="n">
        <f aca="false">SUMIFS(Data!$P$2:$P$781,Data!$H$2:$H$781,B151)</f>
        <v>0</v>
      </c>
      <c r="Q151" s="43" t="n">
        <f aca="false">SUMIFS(Data!$O$782:$O$2370,Data!$H$782:$H$2370,B151)</f>
        <v>0</v>
      </c>
      <c r="R151" s="43" t="n">
        <f aca="false">SUMIFS(Data!$N$782:$N$2370,Data!$H$782:$H$2370,B151)</f>
        <v>0</v>
      </c>
      <c r="S151" s="43" t="n">
        <f aca="false">SUMIFS(Data!$O$2371:$O$3999,Data!$H$2371:$H$3999,B151)</f>
        <v>0</v>
      </c>
      <c r="T151" s="43" t="n">
        <f aca="false">SUMIFS(Data!$N$2371:$N$3999,Data!$H$2371:$H$3999,B151)</f>
        <v>0</v>
      </c>
      <c r="U151" s="46" t="n">
        <f aca="false">SUMIFS(Data!$R$2:$R$781,Data!$H$2:$H$781,B151)</f>
        <v>0</v>
      </c>
      <c r="V151" s="47" t="n">
        <f aca="false">SUMIFS(Data!$Q$2:$Q$781,Data!$H$2:$H$781,B151)</f>
        <v>0</v>
      </c>
      <c r="W151" s="42" t="n">
        <f aca="false">SUMIFS(Data!$R$782:$R$2370,Data!$H$782:$H$2370,B151)</f>
        <v>0</v>
      </c>
      <c r="X151" s="43" t="n">
        <f aca="false">SUMIFS(Data!$Q$782:$Q$2370,Data!$H$782:$H$2370,B151)</f>
        <v>0</v>
      </c>
      <c r="Y151" s="42" t="n">
        <f aca="false">SUMIFS(Data!$R$2371:$R$3999,Data!$H$2371:$H$3999,B151)</f>
        <v>0</v>
      </c>
      <c r="Z151" s="43" t="n">
        <f aca="false">SUMIFS(Data!$Q$2371:$Q$3999,Data!$H$2371:$H$3999,B151)</f>
        <v>0</v>
      </c>
      <c r="AA151" s="48" t="n">
        <f aca="false">V151+U151+O151+N151+K151+F151+E151+P151</f>
        <v>0</v>
      </c>
      <c r="AB151" s="49" t="n">
        <f aca="false">X151+W151+T151+R151+Q151+L151+H151+G151</f>
        <v>0</v>
      </c>
      <c r="AC151" s="49" t="n">
        <f aca="false">Z151+Y151+T151+S151+M151+J151+I151</f>
        <v>4</v>
      </c>
    </row>
    <row r="152" customFormat="false" ht="23.25" hidden="false" customHeight="true" outlineLevel="0" collapsed="false">
      <c r="A152" s="31" t="n">
        <f aca="false">Data!AE151</f>
        <v>1002904</v>
      </c>
      <c r="B152" s="31" t="str">
        <f aca="false">Data!AD151</f>
        <v>المهرجان</v>
      </c>
      <c r="C152" s="31" t="n">
        <f aca="false">Data!AH151</f>
        <v>556417484</v>
      </c>
      <c r="D152" s="31" t="str">
        <f aca="false">Data!AF151</f>
        <v>تبوك</v>
      </c>
      <c r="E152" s="42" t="n">
        <f aca="false">SUMIFS(Data!$L$2:$L$781,Data!$H$2:$H$781,B152)</f>
        <v>0</v>
      </c>
      <c r="F152" s="43" t="n">
        <f aca="false">SUMIFS(Data!$K$2:$K$781,Data!$H$2:$H$781,B152)</f>
        <v>0</v>
      </c>
      <c r="G152" s="42" t="n">
        <f aca="false">SUMIFS(Data!$L$782:$L$2370,Data!$H$782:$H$2370,B152)</f>
        <v>0</v>
      </c>
      <c r="H152" s="43" t="n">
        <f aca="false">SUMIFS(Data!$K$782:$K$2370,Data!$H$782:$H$2370,B152)</f>
        <v>3</v>
      </c>
      <c r="I152" s="42" t="n">
        <f aca="false">SUMIFS(Data!$L$2371:$L$3999,Data!$H$2371:$H$3999,B152)</f>
        <v>0</v>
      </c>
      <c r="J152" s="43" t="n">
        <f aca="false">SUMIFS(Data!$K$2371:$K$3999,Data!$H$2371:$H$3999,B152)</f>
        <v>0</v>
      </c>
      <c r="K152" s="44" t="n">
        <f aca="false">SUMIFS(Data!$M$2:$M$781,Data!$H$2:$H$781,B152)</f>
        <v>0</v>
      </c>
      <c r="L152" s="42" t="n">
        <f aca="false">SUMIFS(Data!$M$782:$M$2370,Data!$H$782:$H$2370,B152)</f>
        <v>0</v>
      </c>
      <c r="M152" s="42" t="n">
        <f aca="false">SUMIFS(Data!$M$2371:$M$3999,Data!$H$2371:$H$3999,B152)</f>
        <v>0</v>
      </c>
      <c r="N152" s="45" t="n">
        <f aca="false">SUMIFS(Data!$O$2:$O$781,Data!$H$2:$H$781,B152)</f>
        <v>0</v>
      </c>
      <c r="O152" s="43" t="n">
        <f aca="false">SUMIFS(Data!$N$2:$N$781,Data!$H$2:$H$781,B152)</f>
        <v>0</v>
      </c>
      <c r="P152" s="42" t="n">
        <f aca="false">SUMIFS(Data!$P$2:$P$781,Data!$H$2:$H$781,B152)</f>
        <v>0</v>
      </c>
      <c r="Q152" s="43" t="n">
        <f aca="false">SUMIFS(Data!$O$782:$O$2370,Data!$H$782:$H$2370,B152)</f>
        <v>0</v>
      </c>
      <c r="R152" s="43" t="n">
        <f aca="false">SUMIFS(Data!$N$782:$N$2370,Data!$H$782:$H$2370,B152)</f>
        <v>0</v>
      </c>
      <c r="S152" s="43" t="n">
        <f aca="false">SUMIFS(Data!$O$2371:$O$3999,Data!$H$2371:$H$3999,B152)</f>
        <v>0</v>
      </c>
      <c r="T152" s="43" t="n">
        <f aca="false">SUMIFS(Data!$N$2371:$N$3999,Data!$H$2371:$H$3999,B152)</f>
        <v>0</v>
      </c>
      <c r="U152" s="46" t="n">
        <f aca="false">SUMIFS(Data!$R$2:$R$781,Data!$H$2:$H$781,B152)</f>
        <v>0</v>
      </c>
      <c r="V152" s="47" t="n">
        <f aca="false">SUMIFS(Data!$Q$2:$Q$781,Data!$H$2:$H$781,B152)</f>
        <v>0</v>
      </c>
      <c r="W152" s="42" t="n">
        <f aca="false">SUMIFS(Data!$R$782:$R$2370,Data!$H$782:$H$2370,B152)</f>
        <v>0</v>
      </c>
      <c r="X152" s="43" t="n">
        <f aca="false">SUMIFS(Data!$Q$782:$Q$2370,Data!$H$782:$H$2370,B152)</f>
        <v>0</v>
      </c>
      <c r="Y152" s="42" t="n">
        <f aca="false">SUMIFS(Data!$R$2371:$R$3999,Data!$H$2371:$H$3999,B152)</f>
        <v>0</v>
      </c>
      <c r="Z152" s="43" t="n">
        <f aca="false">SUMIFS(Data!$Q$2371:$Q$3999,Data!$H$2371:$H$3999,B152)</f>
        <v>2</v>
      </c>
      <c r="AA152" s="48" t="n">
        <f aca="false">V152+U152+O152+N152+K152+F152+E152+P152</f>
        <v>0</v>
      </c>
      <c r="AB152" s="49" t="n">
        <f aca="false">X152+W152+T152+R152+Q152+L152+H152+G152</f>
        <v>3</v>
      </c>
      <c r="AC152" s="49" t="n">
        <f aca="false">Z152+Y152+T152+S152+M152+J152+I152</f>
        <v>2</v>
      </c>
    </row>
    <row r="153" customFormat="false" ht="23.25" hidden="false" customHeight="true" outlineLevel="0" collapsed="false">
      <c r="A153" s="31" t="n">
        <f aca="false">Data!AE152</f>
        <v>540</v>
      </c>
      <c r="B153" s="31" t="str">
        <f aca="false">Data!AD152</f>
        <v>تطور الحديث</v>
      </c>
      <c r="C153" s="31" t="n">
        <f aca="false">Data!AH152</f>
        <v>0</v>
      </c>
      <c r="D153" s="31" t="str">
        <f aca="false">Data!AF152</f>
        <v>تبوك</v>
      </c>
      <c r="E153" s="42" t="n">
        <f aca="false">SUMIFS(Data!$L$2:$L$781,Data!$H$2:$H$781,B153)</f>
        <v>1</v>
      </c>
      <c r="F153" s="43" t="n">
        <f aca="false">SUMIFS(Data!$K$2:$K$781,Data!$H$2:$H$781,B153)</f>
        <v>4</v>
      </c>
      <c r="G153" s="42" t="n">
        <f aca="false">SUMIFS(Data!$L$782:$L$2370,Data!$H$782:$H$2370,B153)</f>
        <v>0</v>
      </c>
      <c r="H153" s="43" t="n">
        <f aca="false">SUMIFS(Data!$K$782:$K$2370,Data!$H$782:$H$2370,B153)</f>
        <v>0</v>
      </c>
      <c r="I153" s="42" t="n">
        <f aca="false">SUMIFS(Data!$L$2371:$L$3999,Data!$H$2371:$H$3999,B153)</f>
        <v>0</v>
      </c>
      <c r="J153" s="43" t="n">
        <f aca="false">SUMIFS(Data!$K$2371:$K$3999,Data!$H$2371:$H$3999,B153)</f>
        <v>0</v>
      </c>
      <c r="K153" s="44" t="n">
        <f aca="false">SUMIFS(Data!$M$2:$M$781,Data!$H$2:$H$781,B153)</f>
        <v>3</v>
      </c>
      <c r="L153" s="42" t="n">
        <f aca="false">SUMIFS(Data!$M$782:$M$2370,Data!$H$782:$H$2370,B153)</f>
        <v>1</v>
      </c>
      <c r="M153" s="42" t="n">
        <f aca="false">SUMIFS(Data!$M$2371:$M$3999,Data!$H$2371:$H$3999,B153)</f>
        <v>1</v>
      </c>
      <c r="N153" s="45" t="n">
        <f aca="false">SUMIFS(Data!$O$2:$O$781,Data!$H$2:$H$781,B153)</f>
        <v>0</v>
      </c>
      <c r="O153" s="43" t="n">
        <f aca="false">SUMIFS(Data!$N$2:$N$781,Data!$H$2:$H$781,B153)</f>
        <v>0</v>
      </c>
      <c r="P153" s="42" t="n">
        <f aca="false">SUMIFS(Data!$P$2:$P$781,Data!$H$2:$H$781,B153)</f>
        <v>0</v>
      </c>
      <c r="Q153" s="43" t="n">
        <f aca="false">SUMIFS(Data!$O$782:$O$2370,Data!$H$782:$H$2370,B153)</f>
        <v>0</v>
      </c>
      <c r="R153" s="43" t="n">
        <f aca="false">SUMIFS(Data!$N$782:$N$2370,Data!$H$782:$H$2370,B153)</f>
        <v>0</v>
      </c>
      <c r="S153" s="43" t="n">
        <f aca="false">SUMIFS(Data!$O$2371:$O$3999,Data!$H$2371:$H$3999,B153)</f>
        <v>0</v>
      </c>
      <c r="T153" s="43" t="n">
        <f aca="false">SUMIFS(Data!$N$2371:$N$3999,Data!$H$2371:$H$3999,B153)</f>
        <v>0</v>
      </c>
      <c r="U153" s="46" t="n">
        <f aca="false">SUMIFS(Data!$R$2:$R$781,Data!$H$2:$H$781,B153)</f>
        <v>1</v>
      </c>
      <c r="V153" s="47" t="n">
        <f aca="false">SUMIFS(Data!$Q$2:$Q$781,Data!$H$2:$H$781,B153)</f>
        <v>0</v>
      </c>
      <c r="W153" s="42" t="n">
        <f aca="false">SUMIFS(Data!$R$782:$R$2370,Data!$H$782:$H$2370,B153)</f>
        <v>0</v>
      </c>
      <c r="X153" s="43" t="n">
        <f aca="false">SUMIFS(Data!$Q$782:$Q$2370,Data!$H$782:$H$2370,B153)</f>
        <v>0</v>
      </c>
      <c r="Y153" s="42" t="n">
        <f aca="false">SUMIFS(Data!$R$2371:$R$3999,Data!$H$2371:$H$3999,B153)</f>
        <v>0</v>
      </c>
      <c r="Z153" s="43" t="n">
        <f aca="false">SUMIFS(Data!$Q$2371:$Q$3999,Data!$H$2371:$H$3999,B153)</f>
        <v>1</v>
      </c>
      <c r="AA153" s="48" t="n">
        <f aca="false">V153+U153+O153+N153+K153+F153+E153+P153</f>
        <v>9</v>
      </c>
      <c r="AB153" s="49" t="n">
        <f aca="false">X153+W153+T153+R153+Q153+L153+H153+G153</f>
        <v>1</v>
      </c>
      <c r="AC153" s="49" t="n">
        <f aca="false">Z153+Y153+T153+S153+M153+J153+I153</f>
        <v>2</v>
      </c>
    </row>
    <row r="154" customFormat="false" ht="23.25" hidden="false" customHeight="true" outlineLevel="0" collapsed="false">
      <c r="A154" s="31" t="n">
        <f aca="false">Data!AE153</f>
        <v>0</v>
      </c>
      <c r="B154" s="31" t="n">
        <f aca="false">Data!AD153</f>
        <v>0</v>
      </c>
      <c r="C154" s="31" t="n">
        <f aca="false">Data!AH153</f>
        <v>0</v>
      </c>
      <c r="D154" s="31" t="n">
        <f aca="false">Data!AF153</f>
        <v>0</v>
      </c>
      <c r="E154" s="42" t="n">
        <f aca="false">SUMIFS(Data!$L$2:$L$781,Data!$H$2:$H$781,B154)</f>
        <v>0</v>
      </c>
      <c r="F154" s="43" t="n">
        <f aca="false">SUMIFS(Data!$K$2:$K$781,Data!$H$2:$H$781,B154)</f>
        <v>0</v>
      </c>
      <c r="G154" s="42" t="n">
        <f aca="false">SUMIFS(Data!$L$782:$L$2370,Data!$H$782:$H$2370,B154)</f>
        <v>0</v>
      </c>
      <c r="H154" s="43" t="n">
        <f aca="false">SUMIFS(Data!$K$782:$K$2370,Data!$H$782:$H$2370,B154)</f>
        <v>0</v>
      </c>
      <c r="I154" s="42" t="n">
        <f aca="false">SUMIFS(Data!$L$2371:$L$3999,Data!$H$2371:$H$3999,B154)</f>
        <v>0</v>
      </c>
      <c r="J154" s="43" t="n">
        <f aca="false">SUMIFS(Data!$K$2371:$K$3999,Data!$H$2371:$H$3999,B154)</f>
        <v>0</v>
      </c>
      <c r="K154" s="44" t="n">
        <f aca="false">SUMIFS(Data!$M$2:$M$781,Data!$H$2:$H$781,B154)</f>
        <v>0</v>
      </c>
      <c r="L154" s="42" t="n">
        <f aca="false">SUMIFS(Data!$M$782:$M$2370,Data!$H$782:$H$2370,B154)</f>
        <v>0</v>
      </c>
      <c r="M154" s="42" t="n">
        <f aca="false">SUMIFS(Data!$M$2371:$M$3999,Data!$H$2371:$H$3999,B154)</f>
        <v>0</v>
      </c>
      <c r="N154" s="45" t="n">
        <f aca="false">SUMIFS(Data!$O$2:$O$781,Data!$H$2:$H$781,B154)</f>
        <v>0</v>
      </c>
      <c r="O154" s="43" t="n">
        <f aca="false">SUMIFS(Data!$N$2:$N$781,Data!$H$2:$H$781,B154)</f>
        <v>0</v>
      </c>
      <c r="P154" s="42" t="n">
        <f aca="false">SUMIFS(Data!$P$2:$P$781,Data!$H$2:$H$781,B154)</f>
        <v>0</v>
      </c>
      <c r="Q154" s="43" t="n">
        <f aca="false">SUMIFS(Data!$O$782:$O$2370,Data!$H$782:$H$2370,B154)</f>
        <v>0</v>
      </c>
      <c r="R154" s="43" t="n">
        <f aca="false">SUMIFS(Data!$N$782:$N$2370,Data!$H$782:$H$2370,B154)</f>
        <v>0</v>
      </c>
      <c r="S154" s="43" t="n">
        <f aca="false">SUMIFS(Data!$O$2371:$O$3999,Data!$H$2371:$H$3999,B154)</f>
        <v>0</v>
      </c>
      <c r="T154" s="43" t="n">
        <f aca="false">SUMIFS(Data!$N$2371:$N$3999,Data!$H$2371:$H$3999,B154)</f>
        <v>0</v>
      </c>
      <c r="U154" s="46" t="n">
        <f aca="false">SUMIFS(Data!$R$2:$R$781,Data!$H$2:$H$781,B154)</f>
        <v>0</v>
      </c>
      <c r="V154" s="47" t="n">
        <f aca="false">SUMIFS(Data!$Q$2:$Q$781,Data!$H$2:$H$781,B154)</f>
        <v>0</v>
      </c>
      <c r="W154" s="42" t="n">
        <f aca="false">SUMIFS(Data!$R$782:$R$2370,Data!$H$782:$H$2370,B154)</f>
        <v>0</v>
      </c>
      <c r="X154" s="43" t="n">
        <f aca="false">SUMIFS(Data!$Q$782:$Q$2370,Data!$H$782:$H$2370,B154)</f>
        <v>0</v>
      </c>
      <c r="Y154" s="42" t="n">
        <f aca="false">SUMIFS(Data!$R$2371:$R$3999,Data!$H$2371:$H$3999,B154)</f>
        <v>0</v>
      </c>
      <c r="Z154" s="43" t="n">
        <f aca="false">SUMIFS(Data!$Q$2371:$Q$3999,Data!$H$2371:$H$3999,B154)</f>
        <v>0</v>
      </c>
      <c r="AA154" s="48" t="n">
        <f aca="false">V154+U154+O154+N154+K154+F154+E154+P154</f>
        <v>0</v>
      </c>
      <c r="AB154" s="49" t="n">
        <f aca="false">X154+W154+T154+R154+Q154+L154+H154+G154</f>
        <v>0</v>
      </c>
      <c r="AC154" s="49" t="n">
        <f aca="false">Z154+Y154+T154+S154+M154+J154+I154</f>
        <v>0</v>
      </c>
    </row>
    <row r="155" customFormat="false" ht="23.25" hidden="false" customHeight="true" outlineLevel="0" collapsed="false">
      <c r="A155" s="31" t="n">
        <f aca="false">Data!AE154</f>
        <v>0</v>
      </c>
      <c r="B155" s="31" t="n">
        <f aca="false">Data!AD154</f>
        <v>0</v>
      </c>
      <c r="C155" s="31" t="n">
        <f aca="false">Data!AH154</f>
        <v>0</v>
      </c>
      <c r="D155" s="31" t="n">
        <f aca="false">Data!AF154</f>
        <v>0</v>
      </c>
      <c r="E155" s="42" t="n">
        <f aca="false">SUMIFS(Data!$L$2:$L$781,Data!$H$2:$H$781,B155)</f>
        <v>0</v>
      </c>
      <c r="F155" s="43" t="n">
        <f aca="false">SUMIFS(Data!$K$2:$K$781,Data!$H$2:$H$781,B155)</f>
        <v>0</v>
      </c>
      <c r="G155" s="42" t="n">
        <f aca="false">SUMIFS(Data!$L$782:$L$2370,Data!$H$782:$H$2370,B155)</f>
        <v>0</v>
      </c>
      <c r="H155" s="43" t="n">
        <f aca="false">SUMIFS(Data!$K$782:$K$2370,Data!$H$782:$H$2370,B155)</f>
        <v>0</v>
      </c>
      <c r="I155" s="42" t="n">
        <f aca="false">SUMIFS(Data!$L$2371:$L$3999,Data!$H$2371:$H$3999,B155)</f>
        <v>0</v>
      </c>
      <c r="J155" s="43" t="n">
        <f aca="false">SUMIFS(Data!$K$2371:$K$3999,Data!$H$2371:$H$3999,B155)</f>
        <v>0</v>
      </c>
      <c r="K155" s="44" t="n">
        <f aca="false">SUMIFS(Data!$M$2:$M$781,Data!$H$2:$H$781,B155)</f>
        <v>0</v>
      </c>
      <c r="L155" s="42" t="n">
        <f aca="false">SUMIFS(Data!$M$782:$M$2370,Data!$H$782:$H$2370,B155)</f>
        <v>0</v>
      </c>
      <c r="M155" s="42" t="n">
        <f aca="false">SUMIFS(Data!$M$2371:$M$3999,Data!$H$2371:$H$3999,B155)</f>
        <v>0</v>
      </c>
      <c r="N155" s="45" t="n">
        <f aca="false">SUMIFS(Data!$O$2:$O$781,Data!$H$2:$H$781,B155)</f>
        <v>0</v>
      </c>
      <c r="O155" s="43" t="n">
        <f aca="false">SUMIFS(Data!$N$2:$N$781,Data!$H$2:$H$781,B155)</f>
        <v>0</v>
      </c>
      <c r="P155" s="42" t="n">
        <f aca="false">SUMIFS(Data!$P$2:$P$781,Data!$H$2:$H$781,B155)</f>
        <v>0</v>
      </c>
      <c r="Q155" s="43" t="n">
        <f aca="false">SUMIFS(Data!$O$782:$O$2370,Data!$H$782:$H$2370,B155)</f>
        <v>0</v>
      </c>
      <c r="R155" s="43" t="n">
        <f aca="false">SUMIFS(Data!$N$782:$N$2370,Data!$H$782:$H$2370,B155)</f>
        <v>0</v>
      </c>
      <c r="S155" s="43" t="n">
        <f aca="false">SUMIFS(Data!$O$2371:$O$3999,Data!$H$2371:$H$3999,B155)</f>
        <v>0</v>
      </c>
      <c r="T155" s="43" t="n">
        <f aca="false">SUMIFS(Data!$N$2371:$N$3999,Data!$H$2371:$H$3999,B155)</f>
        <v>0</v>
      </c>
      <c r="U155" s="46" t="n">
        <f aca="false">SUMIFS(Data!$R$2:$R$781,Data!$H$2:$H$781,B155)</f>
        <v>0</v>
      </c>
      <c r="V155" s="47" t="n">
        <f aca="false">SUMIFS(Data!$Q$2:$Q$781,Data!$H$2:$H$781,B155)</f>
        <v>0</v>
      </c>
      <c r="W155" s="42" t="n">
        <f aca="false">SUMIFS(Data!$R$782:$R$2370,Data!$H$782:$H$2370,B155)</f>
        <v>0</v>
      </c>
      <c r="X155" s="43" t="n">
        <f aca="false">SUMIFS(Data!$Q$782:$Q$2370,Data!$H$782:$H$2370,B155)</f>
        <v>0</v>
      </c>
      <c r="Y155" s="42" t="n">
        <f aca="false">SUMIFS(Data!$R$2371:$R$3999,Data!$H$2371:$H$3999,B155)</f>
        <v>0</v>
      </c>
      <c r="Z155" s="43" t="n">
        <f aca="false">SUMIFS(Data!$Q$2371:$Q$3999,Data!$H$2371:$H$3999,B155)</f>
        <v>0</v>
      </c>
      <c r="AA155" s="48" t="n">
        <f aca="false">V155+U155+O155+N155+K155+F155+E155+P155</f>
        <v>0</v>
      </c>
      <c r="AB155" s="49" t="n">
        <f aca="false">X155+W155+T155+R155+Q155+L155+H155+G155</f>
        <v>0</v>
      </c>
      <c r="AC155" s="49" t="n">
        <f aca="false">Z155+Y155+T155+S155+M155+J155+I155</f>
        <v>0</v>
      </c>
    </row>
    <row r="156" customFormat="false" ht="23.25" hidden="false" customHeight="true" outlineLevel="0" collapsed="false">
      <c r="A156" s="31" t="n">
        <f aca="false">Data!AE155</f>
        <v>0</v>
      </c>
      <c r="B156" s="31" t="n">
        <f aca="false">Data!AD155</f>
        <v>0</v>
      </c>
      <c r="C156" s="31" t="n">
        <f aca="false">Data!AH155</f>
        <v>0</v>
      </c>
      <c r="D156" s="31" t="n">
        <f aca="false">Data!AF155</f>
        <v>0</v>
      </c>
      <c r="E156" s="42" t="n">
        <f aca="false">SUMIFS(Data!$L$2:$L$781,Data!$H$2:$H$781,B156)</f>
        <v>0</v>
      </c>
      <c r="F156" s="43" t="n">
        <f aca="false">SUMIFS(Data!$K$2:$K$781,Data!$H$2:$H$781,B156)</f>
        <v>0</v>
      </c>
      <c r="G156" s="42" t="n">
        <f aca="false">SUMIFS(Data!$L$782:$L$2370,Data!$H$782:$H$2370,B156)</f>
        <v>0</v>
      </c>
      <c r="H156" s="43" t="n">
        <f aca="false">SUMIFS(Data!$K$782:$K$2370,Data!$H$782:$H$2370,B156)</f>
        <v>0</v>
      </c>
      <c r="I156" s="42" t="n">
        <f aca="false">SUMIFS(Data!$L$2371:$L$3999,Data!$H$2371:$H$3999,B156)</f>
        <v>0</v>
      </c>
      <c r="J156" s="43" t="n">
        <f aca="false">SUMIFS(Data!$K$2371:$K$3999,Data!$H$2371:$H$3999,B156)</f>
        <v>0</v>
      </c>
      <c r="K156" s="44" t="n">
        <f aca="false">SUMIFS(Data!$M$2:$M$781,Data!$H$2:$H$781,B156)</f>
        <v>0</v>
      </c>
      <c r="L156" s="42" t="n">
        <f aca="false">SUMIFS(Data!$M$782:$M$2370,Data!$H$782:$H$2370,B156)</f>
        <v>0</v>
      </c>
      <c r="M156" s="42" t="n">
        <f aca="false">SUMIFS(Data!$M$2371:$M$3999,Data!$H$2371:$H$3999,B156)</f>
        <v>0</v>
      </c>
      <c r="N156" s="45" t="n">
        <f aca="false">SUMIFS(Data!$O$2:$O$781,Data!$H$2:$H$781,B156)</f>
        <v>0</v>
      </c>
      <c r="O156" s="43" t="n">
        <f aca="false">SUMIFS(Data!$N$2:$N$781,Data!$H$2:$H$781,B156)</f>
        <v>0</v>
      </c>
      <c r="P156" s="42" t="n">
        <f aca="false">SUMIFS(Data!$P$2:$P$781,Data!$H$2:$H$781,B156)</f>
        <v>0</v>
      </c>
      <c r="Q156" s="43" t="n">
        <f aca="false">SUMIFS(Data!$O$782:$O$2370,Data!$H$782:$H$2370,B156)</f>
        <v>0</v>
      </c>
      <c r="R156" s="43" t="n">
        <f aca="false">SUMIFS(Data!$N$782:$N$2370,Data!$H$782:$H$2370,B156)</f>
        <v>0</v>
      </c>
      <c r="S156" s="43" t="n">
        <f aca="false">SUMIFS(Data!$O$2371:$O$3999,Data!$H$2371:$H$3999,B156)</f>
        <v>0</v>
      </c>
      <c r="T156" s="43" t="n">
        <f aca="false">SUMIFS(Data!$N$2371:$N$3999,Data!$H$2371:$H$3999,B156)</f>
        <v>0</v>
      </c>
      <c r="U156" s="46" t="n">
        <f aca="false">SUMIFS(Data!$R$2:$R$781,Data!$H$2:$H$781,B156)</f>
        <v>0</v>
      </c>
      <c r="V156" s="47" t="n">
        <f aca="false">SUMIFS(Data!$Q$2:$Q$781,Data!$H$2:$H$781,B156)</f>
        <v>0</v>
      </c>
      <c r="W156" s="42" t="n">
        <f aca="false">SUMIFS(Data!$R$782:$R$2370,Data!$H$782:$H$2370,B156)</f>
        <v>0</v>
      </c>
      <c r="X156" s="43" t="n">
        <f aca="false">SUMIFS(Data!$Q$782:$Q$2370,Data!$H$782:$H$2370,B156)</f>
        <v>0</v>
      </c>
      <c r="Y156" s="42" t="n">
        <f aca="false">SUMIFS(Data!$R$2371:$R$3999,Data!$H$2371:$H$3999,B156)</f>
        <v>0</v>
      </c>
      <c r="Z156" s="43" t="n">
        <f aca="false">SUMIFS(Data!$Q$2371:$Q$3999,Data!$H$2371:$H$3999,B156)</f>
        <v>0</v>
      </c>
      <c r="AA156" s="48" t="n">
        <f aca="false">V156+U156+O156+N156+K156+F156+E156+P156</f>
        <v>0</v>
      </c>
      <c r="AB156" s="49" t="n">
        <f aca="false">X156+W156+T156+R156+Q156+L156+H156+G156</f>
        <v>0</v>
      </c>
      <c r="AC156" s="49" t="n">
        <f aca="false">Z156+Y156+T156+S156+M156+J156+I156</f>
        <v>0</v>
      </c>
    </row>
    <row r="157" customFormat="false" ht="23.25" hidden="false" customHeight="true" outlineLevel="0" collapsed="false">
      <c r="A157" s="31" t="n">
        <f aca="false">Data!AE156</f>
        <v>0</v>
      </c>
      <c r="B157" s="31" t="n">
        <f aca="false">Data!AD156</f>
        <v>0</v>
      </c>
      <c r="C157" s="31" t="n">
        <f aca="false">Data!AH156</f>
        <v>0</v>
      </c>
      <c r="D157" s="31" t="n">
        <f aca="false">Data!AF156</f>
        <v>0</v>
      </c>
      <c r="E157" s="42" t="n">
        <f aca="false">SUMIFS(Data!$L$2:$L$781,Data!$H$2:$H$781,B157)</f>
        <v>0</v>
      </c>
      <c r="F157" s="43" t="n">
        <f aca="false">SUMIFS(Data!$K$2:$K$781,Data!$H$2:$H$781,B157)</f>
        <v>0</v>
      </c>
      <c r="G157" s="42" t="n">
        <f aca="false">SUMIFS(Data!$L$782:$L$2370,Data!$H$782:$H$2370,B157)</f>
        <v>0</v>
      </c>
      <c r="H157" s="43" t="n">
        <f aca="false">SUMIFS(Data!$K$782:$K$2370,Data!$H$782:$H$2370,B157)</f>
        <v>0</v>
      </c>
      <c r="I157" s="42" t="n">
        <f aca="false">SUMIFS(Data!$L$2371:$L$3999,Data!$H$2371:$H$3999,B157)</f>
        <v>0</v>
      </c>
      <c r="J157" s="43" t="n">
        <f aca="false">SUMIFS(Data!$K$2371:$K$3999,Data!$H$2371:$H$3999,B157)</f>
        <v>0</v>
      </c>
      <c r="K157" s="44" t="n">
        <f aca="false">SUMIFS(Data!$M$2:$M$781,Data!$H$2:$H$781,B157)</f>
        <v>0</v>
      </c>
      <c r="L157" s="42" t="n">
        <f aca="false">SUMIFS(Data!$M$782:$M$2370,Data!$H$782:$H$2370,B157)</f>
        <v>0</v>
      </c>
      <c r="M157" s="42" t="n">
        <f aca="false">SUMIFS(Data!$M$2371:$M$3999,Data!$H$2371:$H$3999,B157)</f>
        <v>0</v>
      </c>
      <c r="N157" s="45" t="n">
        <f aca="false">SUMIFS(Data!$O$2:$O$781,Data!$H$2:$H$781,B157)</f>
        <v>0</v>
      </c>
      <c r="O157" s="43" t="n">
        <f aca="false">SUMIFS(Data!$N$2:$N$781,Data!$H$2:$H$781,B157)</f>
        <v>0</v>
      </c>
      <c r="P157" s="42" t="n">
        <f aca="false">SUMIFS(Data!$P$2:$P$781,Data!$H$2:$H$781,B157)</f>
        <v>0</v>
      </c>
      <c r="Q157" s="43" t="n">
        <f aca="false">SUMIFS(Data!$O$782:$O$2370,Data!$H$782:$H$2370,B157)</f>
        <v>0</v>
      </c>
      <c r="R157" s="43" t="n">
        <f aca="false">SUMIFS(Data!$N$782:$N$2370,Data!$H$782:$H$2370,B157)</f>
        <v>0</v>
      </c>
      <c r="S157" s="43" t="n">
        <f aca="false">SUMIFS(Data!$O$2371:$O$3999,Data!$H$2371:$H$3999,B157)</f>
        <v>0</v>
      </c>
      <c r="T157" s="43" t="n">
        <f aca="false">SUMIFS(Data!$N$2371:$N$3999,Data!$H$2371:$H$3999,B157)</f>
        <v>0</v>
      </c>
      <c r="U157" s="46" t="n">
        <f aca="false">SUMIFS(Data!$R$2:$R$781,Data!$H$2:$H$781,B157)</f>
        <v>0</v>
      </c>
      <c r="V157" s="47" t="n">
        <f aca="false">SUMIFS(Data!$Q$2:$Q$781,Data!$H$2:$H$781,B157)</f>
        <v>0</v>
      </c>
      <c r="W157" s="42" t="n">
        <f aca="false">SUMIFS(Data!$R$782:$R$2370,Data!$H$782:$H$2370,B157)</f>
        <v>0</v>
      </c>
      <c r="X157" s="43" t="n">
        <f aca="false">SUMIFS(Data!$Q$782:$Q$2370,Data!$H$782:$H$2370,B157)</f>
        <v>0</v>
      </c>
      <c r="Y157" s="42" t="n">
        <f aca="false">SUMIFS(Data!$R$2371:$R$3999,Data!$H$2371:$H$3999,B157)</f>
        <v>0</v>
      </c>
      <c r="Z157" s="43" t="n">
        <f aca="false">SUMIFS(Data!$Q$2371:$Q$3999,Data!$H$2371:$H$3999,B157)</f>
        <v>0</v>
      </c>
      <c r="AA157" s="48" t="n">
        <f aca="false">V157+U157+O157+N157+K157+F157+E157+P157</f>
        <v>0</v>
      </c>
      <c r="AB157" s="49" t="n">
        <f aca="false">X157+W157+T157+R157+Q157+L157+H157+G157</f>
        <v>0</v>
      </c>
      <c r="AC157" s="49" t="n">
        <f aca="false">Z157+Y157+T157+S157+M157+J157+I157</f>
        <v>0</v>
      </c>
    </row>
    <row r="158" customFormat="false" ht="23.25" hidden="false" customHeight="true" outlineLevel="0" collapsed="false">
      <c r="A158" s="31" t="n">
        <f aca="false">Data!AE157</f>
        <v>0</v>
      </c>
      <c r="B158" s="31" t="n">
        <f aca="false">Data!AD157</f>
        <v>0</v>
      </c>
      <c r="C158" s="31" t="n">
        <f aca="false">Data!AH157</f>
        <v>0</v>
      </c>
      <c r="D158" s="31" t="n">
        <f aca="false">Data!AF157</f>
        <v>0</v>
      </c>
      <c r="E158" s="42" t="n">
        <f aca="false">SUMIFS(Data!$L$2:$L$781,Data!$H$2:$H$781,B158)</f>
        <v>0</v>
      </c>
      <c r="F158" s="43" t="n">
        <f aca="false">SUMIFS(Data!$K$2:$K$781,Data!$H$2:$H$781,B158)</f>
        <v>0</v>
      </c>
      <c r="G158" s="42" t="n">
        <f aca="false">SUMIFS(Data!$L$782:$L$2370,Data!$H$782:$H$2370,B158)</f>
        <v>0</v>
      </c>
      <c r="H158" s="43" t="n">
        <f aca="false">SUMIFS(Data!$K$782:$K$2370,Data!$H$782:$H$2370,B158)</f>
        <v>0</v>
      </c>
      <c r="I158" s="42" t="n">
        <f aca="false">SUMIFS(Data!$L$2371:$L$3999,Data!$H$2371:$H$3999,B158)</f>
        <v>0</v>
      </c>
      <c r="J158" s="43" t="n">
        <f aca="false">SUMIFS(Data!$K$2371:$K$3999,Data!$H$2371:$H$3999,B158)</f>
        <v>0</v>
      </c>
      <c r="K158" s="44" t="n">
        <f aca="false">SUMIFS(Data!$M$2:$M$781,Data!$H$2:$H$781,B158)</f>
        <v>0</v>
      </c>
      <c r="L158" s="42" t="n">
        <f aca="false">SUMIFS(Data!$M$782:$M$2370,Data!$H$782:$H$2370,B158)</f>
        <v>0</v>
      </c>
      <c r="M158" s="42" t="n">
        <f aca="false">SUMIFS(Data!$M$2371:$M$3999,Data!$H$2371:$H$3999,B158)</f>
        <v>0</v>
      </c>
      <c r="N158" s="45" t="n">
        <f aca="false">SUMIFS(Data!$O$2:$O$781,Data!$H$2:$H$781,B158)</f>
        <v>0</v>
      </c>
      <c r="O158" s="43" t="n">
        <f aca="false">SUMIFS(Data!$N$2:$N$781,Data!$H$2:$H$781,B158)</f>
        <v>0</v>
      </c>
      <c r="P158" s="42" t="n">
        <f aca="false">SUMIFS(Data!$P$2:$P$781,Data!$H$2:$H$781,B158)</f>
        <v>0</v>
      </c>
      <c r="Q158" s="43" t="n">
        <f aca="false">SUMIFS(Data!$O$782:$O$2370,Data!$H$782:$H$2370,B158)</f>
        <v>0</v>
      </c>
      <c r="R158" s="43" t="n">
        <f aca="false">SUMIFS(Data!$N$782:$N$2370,Data!$H$782:$H$2370,B158)</f>
        <v>0</v>
      </c>
      <c r="S158" s="43" t="n">
        <f aca="false">SUMIFS(Data!$O$2371:$O$3999,Data!$H$2371:$H$3999,B158)</f>
        <v>0</v>
      </c>
      <c r="T158" s="43" t="n">
        <f aca="false">SUMIFS(Data!$N$2371:$N$3999,Data!$H$2371:$H$3999,B158)</f>
        <v>0</v>
      </c>
      <c r="U158" s="46" t="n">
        <f aca="false">SUMIFS(Data!$R$2:$R$781,Data!$H$2:$H$781,B158)</f>
        <v>0</v>
      </c>
      <c r="V158" s="47" t="n">
        <f aca="false">SUMIFS(Data!$Q$2:$Q$781,Data!$H$2:$H$781,B158)</f>
        <v>0</v>
      </c>
      <c r="W158" s="42" t="n">
        <f aca="false">SUMIFS(Data!$R$782:$R$2370,Data!$H$782:$H$2370,B158)</f>
        <v>0</v>
      </c>
      <c r="X158" s="43" t="n">
        <f aca="false">SUMIFS(Data!$Q$782:$Q$2370,Data!$H$782:$H$2370,B158)</f>
        <v>0</v>
      </c>
      <c r="Y158" s="42" t="n">
        <f aca="false">SUMIFS(Data!$R$2371:$R$3999,Data!$H$2371:$H$3999,B158)</f>
        <v>0</v>
      </c>
      <c r="Z158" s="43" t="n">
        <f aca="false">SUMIFS(Data!$Q$2371:$Q$3999,Data!$H$2371:$H$3999,B158)</f>
        <v>0</v>
      </c>
      <c r="AA158" s="48" t="n">
        <f aca="false">V158+U158+O158+N158+K158+F158+E158+P158</f>
        <v>0</v>
      </c>
      <c r="AB158" s="49" t="n">
        <f aca="false">X158+W158+T158+R158+Q158+L158+H158+G158</f>
        <v>0</v>
      </c>
      <c r="AC158" s="49" t="n">
        <f aca="false">Z158+Y158+T158+S158+M158+J158+I158</f>
        <v>0</v>
      </c>
    </row>
    <row r="159" customFormat="false" ht="23.25" hidden="false" customHeight="true" outlineLevel="0" collapsed="false">
      <c r="A159" s="31" t="n">
        <f aca="false">Data!AE158</f>
        <v>0</v>
      </c>
      <c r="B159" s="31" t="n">
        <f aca="false">Data!AD158</f>
        <v>0</v>
      </c>
      <c r="C159" s="31" t="n">
        <f aca="false">Data!AH158</f>
        <v>0</v>
      </c>
      <c r="D159" s="31" t="n">
        <f aca="false">Data!AF158</f>
        <v>0</v>
      </c>
      <c r="E159" s="42" t="n">
        <f aca="false">SUMIFS(Data!$L$2:$L$781,Data!$H$2:$H$781,B159)</f>
        <v>0</v>
      </c>
      <c r="F159" s="43" t="n">
        <f aca="false">SUMIFS(Data!$K$2:$K$781,Data!$H$2:$H$781,B159)</f>
        <v>0</v>
      </c>
      <c r="G159" s="42" t="n">
        <f aca="false">SUMIFS(Data!$L$782:$L$2370,Data!$H$782:$H$2370,B159)</f>
        <v>0</v>
      </c>
      <c r="H159" s="43" t="n">
        <f aca="false">SUMIFS(Data!$K$782:$K$2370,Data!$H$782:$H$2370,B159)</f>
        <v>0</v>
      </c>
      <c r="I159" s="42" t="n">
        <f aca="false">SUMIFS(Data!$L$2371:$L$3999,Data!$H$2371:$H$3999,B159)</f>
        <v>0</v>
      </c>
      <c r="J159" s="43" t="n">
        <f aca="false">SUMIFS(Data!$K$2371:$K$3999,Data!$H$2371:$H$3999,B159)</f>
        <v>0</v>
      </c>
      <c r="K159" s="44" t="n">
        <f aca="false">SUMIFS(Data!$M$2:$M$781,Data!$H$2:$H$781,B159)</f>
        <v>0</v>
      </c>
      <c r="L159" s="42" t="n">
        <f aca="false">SUMIFS(Data!$M$782:$M$2370,Data!$H$782:$H$2370,B159)</f>
        <v>0</v>
      </c>
      <c r="M159" s="42" t="n">
        <f aca="false">SUMIFS(Data!$M$2371:$M$3999,Data!$H$2371:$H$3999,B159)</f>
        <v>0</v>
      </c>
      <c r="N159" s="45" t="n">
        <f aca="false">SUMIFS(Data!$O$2:$O$781,Data!$H$2:$H$781,B159)</f>
        <v>0</v>
      </c>
      <c r="O159" s="43" t="n">
        <f aca="false">SUMIFS(Data!$N$2:$N$781,Data!$H$2:$H$781,B159)</f>
        <v>0</v>
      </c>
      <c r="P159" s="42" t="n">
        <f aca="false">SUMIFS(Data!$P$2:$P$781,Data!$H$2:$H$781,B159)</f>
        <v>0</v>
      </c>
      <c r="Q159" s="43" t="n">
        <f aca="false">SUMIFS(Data!$O$782:$O$2370,Data!$H$782:$H$2370,B159)</f>
        <v>0</v>
      </c>
      <c r="R159" s="43" t="n">
        <f aca="false">SUMIFS(Data!$N$782:$N$2370,Data!$H$782:$H$2370,B159)</f>
        <v>0</v>
      </c>
      <c r="S159" s="43" t="n">
        <f aca="false">SUMIFS(Data!$O$2371:$O$3999,Data!$H$2371:$H$3999,B159)</f>
        <v>0</v>
      </c>
      <c r="T159" s="43" t="n">
        <f aca="false">SUMIFS(Data!$N$2371:$N$3999,Data!$H$2371:$H$3999,B159)</f>
        <v>0</v>
      </c>
      <c r="U159" s="46" t="n">
        <f aca="false">SUMIFS(Data!$R$2:$R$781,Data!$H$2:$H$781,B159)</f>
        <v>0</v>
      </c>
      <c r="V159" s="47" t="n">
        <f aca="false">SUMIFS(Data!$Q$2:$Q$781,Data!$H$2:$H$781,B159)</f>
        <v>0</v>
      </c>
      <c r="W159" s="42" t="n">
        <f aca="false">SUMIFS(Data!$R$782:$R$2370,Data!$H$782:$H$2370,B159)</f>
        <v>0</v>
      </c>
      <c r="X159" s="43" t="n">
        <f aca="false">SUMIFS(Data!$Q$782:$Q$2370,Data!$H$782:$H$2370,B159)</f>
        <v>0</v>
      </c>
      <c r="Y159" s="42" t="n">
        <f aca="false">SUMIFS(Data!$R$2371:$R$3999,Data!$H$2371:$H$3999,B159)</f>
        <v>0</v>
      </c>
      <c r="Z159" s="43" t="n">
        <f aca="false">SUMIFS(Data!$Q$2371:$Q$3999,Data!$H$2371:$H$3999,B159)</f>
        <v>0</v>
      </c>
      <c r="AA159" s="48" t="n">
        <f aca="false">V159+U159+O159+N159+K159+F159+E159+P159</f>
        <v>0</v>
      </c>
      <c r="AB159" s="49" t="n">
        <f aca="false">X159+W159+T159+R159+Q159+L159+H159+G159</f>
        <v>0</v>
      </c>
      <c r="AC159" s="49" t="n">
        <f aca="false">Z159+Y159+T159+S159+M159+J159+I159</f>
        <v>0</v>
      </c>
    </row>
    <row r="160" customFormat="false" ht="23.25" hidden="false" customHeight="true" outlineLevel="0" collapsed="false">
      <c r="A160" s="31" t="n">
        <f aca="false">Data!AE159</f>
        <v>0</v>
      </c>
      <c r="B160" s="31" t="n">
        <f aca="false">Data!AD159</f>
        <v>0</v>
      </c>
      <c r="C160" s="31" t="n">
        <f aca="false">Data!AH159</f>
        <v>0</v>
      </c>
      <c r="D160" s="31" t="n">
        <f aca="false">Data!AF159</f>
        <v>0</v>
      </c>
      <c r="E160" s="42" t="n">
        <f aca="false">SUMIFS(Data!$L$2:$L$781,Data!$H$2:$H$781,B160)</f>
        <v>0</v>
      </c>
      <c r="F160" s="43" t="n">
        <f aca="false">SUMIFS(Data!$K$2:$K$781,Data!$H$2:$H$781,B160)</f>
        <v>0</v>
      </c>
      <c r="G160" s="42" t="n">
        <f aca="false">SUMIFS(Data!$L$782:$L$2370,Data!$H$782:$H$2370,B160)</f>
        <v>0</v>
      </c>
      <c r="H160" s="43" t="n">
        <f aca="false">SUMIFS(Data!$K$782:$K$2370,Data!$H$782:$H$2370,B160)</f>
        <v>0</v>
      </c>
      <c r="I160" s="42" t="n">
        <f aca="false">SUMIFS(Data!$L$2371:$L$3999,Data!$H$2371:$H$3999,B160)</f>
        <v>0</v>
      </c>
      <c r="J160" s="43" t="n">
        <f aca="false">SUMIFS(Data!$K$2371:$K$3999,Data!$H$2371:$H$3999,B160)</f>
        <v>0</v>
      </c>
      <c r="K160" s="44" t="n">
        <f aca="false">SUMIFS(Data!$M$2:$M$781,Data!$H$2:$H$781,B160)</f>
        <v>0</v>
      </c>
      <c r="L160" s="42" t="n">
        <f aca="false">SUMIFS(Data!$M$782:$M$2370,Data!$H$782:$H$2370,B160)</f>
        <v>0</v>
      </c>
      <c r="M160" s="42" t="n">
        <f aca="false">SUMIFS(Data!$M$2371:$M$3999,Data!$H$2371:$H$3999,B160)</f>
        <v>0</v>
      </c>
      <c r="N160" s="45" t="n">
        <f aca="false">SUMIFS(Data!$O$2:$O$781,Data!$H$2:$H$781,B160)</f>
        <v>0</v>
      </c>
      <c r="O160" s="43" t="n">
        <f aca="false">SUMIFS(Data!$N$2:$N$781,Data!$H$2:$H$781,B160)</f>
        <v>0</v>
      </c>
      <c r="P160" s="42" t="n">
        <f aca="false">SUMIFS(Data!$P$2:$P$781,Data!$H$2:$H$781,B160)</f>
        <v>0</v>
      </c>
      <c r="Q160" s="43" t="n">
        <f aca="false">SUMIFS(Data!$O$782:$O$2370,Data!$H$782:$H$2370,B160)</f>
        <v>0</v>
      </c>
      <c r="R160" s="43" t="n">
        <f aca="false">SUMIFS(Data!$N$782:$N$2370,Data!$H$782:$H$2370,B160)</f>
        <v>0</v>
      </c>
      <c r="S160" s="43" t="n">
        <f aca="false">SUMIFS(Data!$O$2371:$O$3999,Data!$H$2371:$H$3999,B160)</f>
        <v>0</v>
      </c>
      <c r="T160" s="43" t="n">
        <f aca="false">SUMIFS(Data!$N$2371:$N$3999,Data!$H$2371:$H$3999,B160)</f>
        <v>0</v>
      </c>
      <c r="U160" s="46" t="n">
        <f aca="false">SUMIFS(Data!$R$2:$R$781,Data!$H$2:$H$781,B160)</f>
        <v>0</v>
      </c>
      <c r="V160" s="47" t="n">
        <f aca="false">SUMIFS(Data!$Q$2:$Q$781,Data!$H$2:$H$781,B160)</f>
        <v>0</v>
      </c>
      <c r="W160" s="42" t="n">
        <f aca="false">SUMIFS(Data!$R$782:$R$2370,Data!$H$782:$H$2370,B160)</f>
        <v>0</v>
      </c>
      <c r="X160" s="43" t="n">
        <f aca="false">SUMIFS(Data!$Q$782:$Q$2370,Data!$H$782:$H$2370,B160)</f>
        <v>0</v>
      </c>
      <c r="Y160" s="42" t="n">
        <f aca="false">SUMIFS(Data!$R$2371:$R$3999,Data!$H$2371:$H$3999,B160)</f>
        <v>0</v>
      </c>
      <c r="Z160" s="43" t="n">
        <f aca="false">SUMIFS(Data!$Q$2371:$Q$3999,Data!$H$2371:$H$3999,B160)</f>
        <v>0</v>
      </c>
      <c r="AA160" s="48" t="n">
        <f aca="false">V160+U160+O160+N160+K160+F160+E160+P160</f>
        <v>0</v>
      </c>
      <c r="AB160" s="49" t="n">
        <f aca="false">X160+W160+T160+R160+Q160+L160+H160+G160</f>
        <v>0</v>
      </c>
      <c r="AC160" s="49" t="n">
        <f aca="false">Z160+Y160+T160+S160+M160+J160+I160</f>
        <v>0</v>
      </c>
    </row>
    <row r="161" customFormat="false" ht="23.25" hidden="false" customHeight="true" outlineLevel="0" collapsed="false">
      <c r="A161" s="31" t="n">
        <f aca="false">Data!AE160</f>
        <v>0</v>
      </c>
      <c r="B161" s="31" t="n">
        <f aca="false">Data!AD160</f>
        <v>0</v>
      </c>
      <c r="C161" s="31" t="n">
        <f aca="false">Data!AH160</f>
        <v>0</v>
      </c>
      <c r="D161" s="31" t="n">
        <f aca="false">Data!AF160</f>
        <v>0</v>
      </c>
      <c r="E161" s="42" t="n">
        <f aca="false">SUMIFS(Data!$L$2:$L$781,Data!$H$2:$H$781,B161)</f>
        <v>0</v>
      </c>
      <c r="F161" s="43" t="n">
        <f aca="false">SUMIFS(Data!$K$2:$K$781,Data!$H$2:$H$781,B161)</f>
        <v>0</v>
      </c>
      <c r="G161" s="42" t="n">
        <f aca="false">SUMIFS(Data!$L$782:$L$2370,Data!$H$782:$H$2370,B161)</f>
        <v>0</v>
      </c>
      <c r="H161" s="43" t="n">
        <f aca="false">SUMIFS(Data!$K$782:$K$2370,Data!$H$782:$H$2370,B161)</f>
        <v>0</v>
      </c>
      <c r="I161" s="42" t="n">
        <f aca="false">SUMIFS(Data!$L$2371:$L$3999,Data!$H$2371:$H$3999,B161)</f>
        <v>0</v>
      </c>
      <c r="J161" s="43" t="n">
        <f aca="false">SUMIFS(Data!$K$2371:$K$3999,Data!$H$2371:$H$3999,B161)</f>
        <v>0</v>
      </c>
      <c r="K161" s="44" t="n">
        <f aca="false">SUMIFS(Data!$M$2:$M$781,Data!$H$2:$H$781,B161)</f>
        <v>0</v>
      </c>
      <c r="L161" s="42" t="n">
        <f aca="false">SUMIFS(Data!$M$782:$M$2370,Data!$H$782:$H$2370,B161)</f>
        <v>0</v>
      </c>
      <c r="M161" s="42" t="n">
        <f aca="false">SUMIFS(Data!$M$2371:$M$3999,Data!$H$2371:$H$3999,B161)</f>
        <v>0</v>
      </c>
      <c r="N161" s="45" t="n">
        <f aca="false">SUMIFS(Data!$O$2:$O$781,Data!$H$2:$H$781,B161)</f>
        <v>0</v>
      </c>
      <c r="O161" s="43" t="n">
        <f aca="false">SUMIFS(Data!$N$2:$N$781,Data!$H$2:$H$781,B161)</f>
        <v>0</v>
      </c>
      <c r="P161" s="42" t="n">
        <f aca="false">SUMIFS(Data!$P$2:$P$781,Data!$H$2:$H$781,B161)</f>
        <v>0</v>
      </c>
      <c r="Q161" s="43" t="n">
        <f aca="false">SUMIFS(Data!$O$782:$O$2370,Data!$H$782:$H$2370,B161)</f>
        <v>0</v>
      </c>
      <c r="R161" s="43" t="n">
        <f aca="false">SUMIFS(Data!$N$782:$N$2370,Data!$H$782:$H$2370,B161)</f>
        <v>0</v>
      </c>
      <c r="S161" s="43" t="n">
        <f aca="false">SUMIFS(Data!$O$2371:$O$3999,Data!$H$2371:$H$3999,B161)</f>
        <v>0</v>
      </c>
      <c r="T161" s="43" t="n">
        <f aca="false">SUMIFS(Data!$N$2371:$N$3999,Data!$H$2371:$H$3999,B161)</f>
        <v>0</v>
      </c>
      <c r="U161" s="46" t="n">
        <f aca="false">SUMIFS(Data!$R$2:$R$781,Data!$H$2:$H$781,B161)</f>
        <v>0</v>
      </c>
      <c r="V161" s="47" t="n">
        <f aca="false">SUMIFS(Data!$Q$2:$Q$781,Data!$H$2:$H$781,B161)</f>
        <v>0</v>
      </c>
      <c r="W161" s="42" t="n">
        <f aca="false">SUMIFS(Data!$R$782:$R$2370,Data!$H$782:$H$2370,B161)</f>
        <v>0</v>
      </c>
      <c r="X161" s="43" t="n">
        <f aca="false">SUMIFS(Data!$Q$782:$Q$2370,Data!$H$782:$H$2370,B161)</f>
        <v>0</v>
      </c>
      <c r="Y161" s="42" t="n">
        <f aca="false">SUMIFS(Data!$R$2371:$R$3999,Data!$H$2371:$H$3999,B161)</f>
        <v>0</v>
      </c>
      <c r="Z161" s="43" t="n">
        <f aca="false">SUMIFS(Data!$Q$2371:$Q$3999,Data!$H$2371:$H$3999,B161)</f>
        <v>0</v>
      </c>
      <c r="AA161" s="48" t="n">
        <f aca="false">V161+U161+O161+N161+K161+F161+E161+P161</f>
        <v>0</v>
      </c>
      <c r="AB161" s="49" t="n">
        <f aca="false">X161+W161+T161+R161+Q161+L161+H161+G161</f>
        <v>0</v>
      </c>
      <c r="AC161" s="49" t="n">
        <f aca="false">Z161+Y161+T161+S161+M161+J161+I161</f>
        <v>0</v>
      </c>
    </row>
    <row r="162" customFormat="false" ht="23.25" hidden="false" customHeight="true" outlineLevel="0" collapsed="false">
      <c r="A162" s="31" t="n">
        <f aca="false">Data!AE161</f>
        <v>0</v>
      </c>
      <c r="B162" s="31" t="n">
        <f aca="false">Data!AD161</f>
        <v>0</v>
      </c>
      <c r="C162" s="31" t="n">
        <f aca="false">Data!AH161</f>
        <v>0</v>
      </c>
      <c r="D162" s="31" t="n">
        <f aca="false">Data!AF161</f>
        <v>0</v>
      </c>
      <c r="E162" s="42" t="n">
        <f aca="false">SUMIFS(Data!$L$2:$L$781,Data!$H$2:$H$781,B162)</f>
        <v>0</v>
      </c>
      <c r="F162" s="43" t="n">
        <f aca="false">SUMIFS(Data!$K$2:$K$781,Data!$H$2:$H$781,B162)</f>
        <v>0</v>
      </c>
      <c r="G162" s="42" t="n">
        <f aca="false">SUMIFS(Data!$L$782:$L$2370,Data!$H$782:$H$2370,B162)</f>
        <v>0</v>
      </c>
      <c r="H162" s="43" t="n">
        <f aca="false">SUMIFS(Data!$K$782:$K$2370,Data!$H$782:$H$2370,B162)</f>
        <v>0</v>
      </c>
      <c r="I162" s="42" t="n">
        <f aca="false">SUMIFS(Data!$L$2371:$L$3999,Data!$H$2371:$H$3999,B162)</f>
        <v>0</v>
      </c>
      <c r="J162" s="43" t="n">
        <f aca="false">SUMIFS(Data!$K$2371:$K$3999,Data!$H$2371:$H$3999,B162)</f>
        <v>0</v>
      </c>
      <c r="K162" s="44" t="n">
        <f aca="false">SUMIFS(Data!$M$2:$M$781,Data!$H$2:$H$781,B162)</f>
        <v>0</v>
      </c>
      <c r="L162" s="42" t="n">
        <f aca="false">SUMIFS(Data!$M$782:$M$2370,Data!$H$782:$H$2370,B162)</f>
        <v>0</v>
      </c>
      <c r="M162" s="42" t="n">
        <f aca="false">SUMIFS(Data!$M$2371:$M$3999,Data!$H$2371:$H$3999,B162)</f>
        <v>0</v>
      </c>
      <c r="N162" s="45" t="n">
        <f aca="false">SUMIFS(Data!$O$2:$O$781,Data!$H$2:$H$781,B162)</f>
        <v>0</v>
      </c>
      <c r="O162" s="43" t="n">
        <f aca="false">SUMIFS(Data!$N$2:$N$781,Data!$H$2:$H$781,B162)</f>
        <v>0</v>
      </c>
      <c r="P162" s="42" t="n">
        <f aca="false">SUMIFS(Data!$P$2:$P$781,Data!$H$2:$H$781,B162)</f>
        <v>0</v>
      </c>
      <c r="Q162" s="43" t="n">
        <f aca="false">SUMIFS(Data!$O$782:$O$2370,Data!$H$782:$H$2370,B162)</f>
        <v>0</v>
      </c>
      <c r="R162" s="43" t="n">
        <f aca="false">SUMIFS(Data!$N$782:$N$2370,Data!$H$782:$H$2370,B162)</f>
        <v>0</v>
      </c>
      <c r="S162" s="43" t="n">
        <f aca="false">SUMIFS(Data!$O$2371:$O$3999,Data!$H$2371:$H$3999,B162)</f>
        <v>0</v>
      </c>
      <c r="T162" s="43" t="n">
        <f aca="false">SUMIFS(Data!$N$2371:$N$3999,Data!$H$2371:$H$3999,B162)</f>
        <v>0</v>
      </c>
      <c r="U162" s="46" t="n">
        <f aca="false">SUMIFS(Data!$R$2:$R$781,Data!$H$2:$H$781,B162)</f>
        <v>0</v>
      </c>
      <c r="V162" s="47" t="n">
        <f aca="false">SUMIFS(Data!$Q$2:$Q$781,Data!$H$2:$H$781,B162)</f>
        <v>0</v>
      </c>
      <c r="W162" s="42" t="n">
        <f aca="false">SUMIFS(Data!$R$782:$R$2370,Data!$H$782:$H$2370,B162)</f>
        <v>0</v>
      </c>
      <c r="X162" s="43" t="n">
        <f aca="false">SUMIFS(Data!$Q$782:$Q$2370,Data!$H$782:$H$2370,B162)</f>
        <v>0</v>
      </c>
      <c r="Y162" s="42" t="n">
        <f aca="false">SUMIFS(Data!$R$2371:$R$3999,Data!$H$2371:$H$3999,B162)</f>
        <v>0</v>
      </c>
      <c r="Z162" s="43" t="n">
        <f aca="false">SUMIFS(Data!$Q$2371:$Q$3999,Data!$H$2371:$H$3999,B162)</f>
        <v>0</v>
      </c>
      <c r="AA162" s="48" t="n">
        <f aca="false">V162+U162+O162+N162+K162+F162+E162+P162</f>
        <v>0</v>
      </c>
      <c r="AB162" s="49" t="n">
        <f aca="false">X162+W162+T162+R162+Q162+L162+H162+G162</f>
        <v>0</v>
      </c>
      <c r="AC162" s="49" t="n">
        <f aca="false">Z162+Y162+T162+S162+M162+J162+I162</f>
        <v>0</v>
      </c>
    </row>
    <row r="163" customFormat="false" ht="23.25" hidden="false" customHeight="true" outlineLevel="0" collapsed="false">
      <c r="A163" s="31" t="n">
        <f aca="false">Data!AE162</f>
        <v>0</v>
      </c>
      <c r="B163" s="31" t="n">
        <f aca="false">Data!AD162</f>
        <v>0</v>
      </c>
      <c r="C163" s="31" t="n">
        <f aca="false">Data!AH162</f>
        <v>0</v>
      </c>
      <c r="D163" s="31" t="n">
        <f aca="false">Data!AF162</f>
        <v>0</v>
      </c>
      <c r="E163" s="42" t="n">
        <f aca="false">SUMIFS(Data!$L$2:$L$781,Data!$H$2:$H$781,B163)</f>
        <v>0</v>
      </c>
      <c r="F163" s="43" t="n">
        <f aca="false">SUMIFS(Data!$K$2:$K$781,Data!$H$2:$H$781,B163)</f>
        <v>0</v>
      </c>
      <c r="G163" s="42" t="n">
        <f aca="false">SUMIFS(Data!$L$782:$L$2370,Data!$H$782:$H$2370,B163)</f>
        <v>0</v>
      </c>
      <c r="H163" s="43" t="n">
        <f aca="false">SUMIFS(Data!$K$782:$K$2370,Data!$H$782:$H$2370,B163)</f>
        <v>0</v>
      </c>
      <c r="I163" s="42" t="n">
        <f aca="false">SUMIFS(Data!$L$2371:$L$3999,Data!$H$2371:$H$3999,B163)</f>
        <v>0</v>
      </c>
      <c r="J163" s="43" t="n">
        <f aca="false">SUMIFS(Data!$K$2371:$K$3999,Data!$H$2371:$H$3999,B163)</f>
        <v>0</v>
      </c>
      <c r="K163" s="44" t="n">
        <f aca="false">SUMIFS(Data!$M$2:$M$781,Data!$H$2:$H$781,B163)</f>
        <v>0</v>
      </c>
      <c r="L163" s="42" t="n">
        <f aca="false">SUMIFS(Data!$M$782:$M$2370,Data!$H$782:$H$2370,B163)</f>
        <v>0</v>
      </c>
      <c r="M163" s="42" t="n">
        <f aca="false">SUMIFS(Data!$M$2371:$M$3999,Data!$H$2371:$H$3999,B163)</f>
        <v>0</v>
      </c>
      <c r="N163" s="45" t="n">
        <f aca="false">SUMIFS(Data!$O$2:$O$781,Data!$H$2:$H$781,B163)</f>
        <v>0</v>
      </c>
      <c r="O163" s="43" t="n">
        <f aca="false">SUMIFS(Data!$N$2:$N$781,Data!$H$2:$H$781,B163)</f>
        <v>0</v>
      </c>
      <c r="P163" s="42" t="n">
        <f aca="false">SUMIFS(Data!$P$2:$P$781,Data!$H$2:$H$781,B163)</f>
        <v>0</v>
      </c>
      <c r="Q163" s="43" t="n">
        <f aca="false">SUMIFS(Data!$O$782:$O$2370,Data!$H$782:$H$2370,B163)</f>
        <v>0</v>
      </c>
      <c r="R163" s="43" t="n">
        <f aca="false">SUMIFS(Data!$N$782:$N$2370,Data!$H$782:$H$2370,B163)</f>
        <v>0</v>
      </c>
      <c r="S163" s="43" t="n">
        <f aca="false">SUMIFS(Data!$O$2371:$O$3999,Data!$H$2371:$H$3999,B163)</f>
        <v>0</v>
      </c>
      <c r="T163" s="43" t="n">
        <f aca="false">SUMIFS(Data!$N$2371:$N$3999,Data!$H$2371:$H$3999,B163)</f>
        <v>0</v>
      </c>
      <c r="U163" s="46" t="n">
        <f aca="false">SUMIFS(Data!$R$2:$R$781,Data!$H$2:$H$781,B163)</f>
        <v>0</v>
      </c>
      <c r="V163" s="47" t="n">
        <f aca="false">SUMIFS(Data!$Q$2:$Q$781,Data!$H$2:$H$781,B163)</f>
        <v>0</v>
      </c>
      <c r="W163" s="42" t="n">
        <f aca="false">SUMIFS(Data!$R$782:$R$2370,Data!$H$782:$H$2370,B163)</f>
        <v>0</v>
      </c>
      <c r="X163" s="43" t="n">
        <f aca="false">SUMIFS(Data!$Q$782:$Q$2370,Data!$H$782:$H$2370,B163)</f>
        <v>0</v>
      </c>
      <c r="Y163" s="42" t="n">
        <f aca="false">SUMIFS(Data!$R$2371:$R$3999,Data!$H$2371:$H$3999,B163)</f>
        <v>0</v>
      </c>
      <c r="Z163" s="43" t="n">
        <f aca="false">SUMIFS(Data!$Q$2371:$Q$3999,Data!$H$2371:$H$3999,B163)</f>
        <v>0</v>
      </c>
      <c r="AA163" s="48" t="n">
        <f aca="false">V163+U163+O163+N163+K163+F163+E163+P163</f>
        <v>0</v>
      </c>
      <c r="AB163" s="49" t="n">
        <f aca="false">X163+W163+T163+R163+Q163+L163+H163+G163</f>
        <v>0</v>
      </c>
      <c r="AC163" s="49" t="n">
        <f aca="false">Z163+Y163+T163+S163+M163+J163+I163</f>
        <v>0</v>
      </c>
    </row>
    <row r="164" customFormat="false" ht="23.25" hidden="false" customHeight="true" outlineLevel="0" collapsed="false">
      <c r="A164" s="31" t="n">
        <f aca="false">Data!AE163</f>
        <v>0</v>
      </c>
      <c r="B164" s="31" t="n">
        <f aca="false">Data!AD163</f>
        <v>0</v>
      </c>
      <c r="C164" s="31" t="n">
        <f aca="false">Data!AH163</f>
        <v>0</v>
      </c>
      <c r="D164" s="31" t="n">
        <f aca="false">Data!AF163</f>
        <v>0</v>
      </c>
      <c r="E164" s="42" t="n">
        <f aca="false">SUMIFS(Data!$L$2:$L$781,Data!$H$2:$H$781,B164)</f>
        <v>0</v>
      </c>
      <c r="F164" s="43" t="n">
        <f aca="false">SUMIFS(Data!$K$2:$K$781,Data!$H$2:$H$781,B164)</f>
        <v>0</v>
      </c>
      <c r="G164" s="42" t="n">
        <f aca="false">SUMIFS(Data!$L$782:$L$2370,Data!$H$782:$H$2370,B164)</f>
        <v>0</v>
      </c>
      <c r="H164" s="43" t="n">
        <f aca="false">SUMIFS(Data!$K$782:$K$2370,Data!$H$782:$H$2370,B164)</f>
        <v>0</v>
      </c>
      <c r="I164" s="42" t="n">
        <f aca="false">SUMIFS(Data!$L$2371:$L$3999,Data!$H$2371:$H$3999,B164)</f>
        <v>0</v>
      </c>
      <c r="J164" s="43" t="n">
        <f aca="false">SUMIFS(Data!$K$2371:$K$3999,Data!$H$2371:$H$3999,B164)</f>
        <v>0</v>
      </c>
      <c r="K164" s="44" t="n">
        <f aca="false">SUMIFS(Data!$M$2:$M$781,Data!$H$2:$H$781,B164)</f>
        <v>0</v>
      </c>
      <c r="L164" s="42" t="n">
        <f aca="false">SUMIFS(Data!$M$782:$M$2370,Data!$H$782:$H$2370,B164)</f>
        <v>0</v>
      </c>
      <c r="M164" s="42" t="n">
        <f aca="false">SUMIFS(Data!$M$2371:$M$3999,Data!$H$2371:$H$3999,B164)</f>
        <v>0</v>
      </c>
      <c r="N164" s="45" t="n">
        <f aca="false">SUMIFS(Data!$O$2:$O$781,Data!$H$2:$H$781,B164)</f>
        <v>0</v>
      </c>
      <c r="O164" s="43" t="n">
        <f aca="false">SUMIFS(Data!$N$2:$N$781,Data!$H$2:$H$781,B164)</f>
        <v>0</v>
      </c>
      <c r="P164" s="42" t="n">
        <f aca="false">SUMIFS(Data!$P$2:$P$781,Data!$H$2:$H$781,B164)</f>
        <v>0</v>
      </c>
      <c r="Q164" s="43" t="n">
        <f aca="false">SUMIFS(Data!$O$782:$O$2370,Data!$H$782:$H$2370,B164)</f>
        <v>0</v>
      </c>
      <c r="R164" s="43" t="n">
        <f aca="false">SUMIFS(Data!$N$782:$N$2370,Data!$H$782:$H$2370,B164)</f>
        <v>0</v>
      </c>
      <c r="S164" s="43" t="n">
        <f aca="false">SUMIFS(Data!$O$2371:$O$3999,Data!$H$2371:$H$3999,B164)</f>
        <v>0</v>
      </c>
      <c r="T164" s="43" t="n">
        <f aca="false">SUMIFS(Data!$N$2371:$N$3999,Data!$H$2371:$H$3999,B164)</f>
        <v>0</v>
      </c>
      <c r="U164" s="46" t="n">
        <f aca="false">SUMIFS(Data!$R$2:$R$781,Data!$H$2:$H$781,B164)</f>
        <v>0</v>
      </c>
      <c r="V164" s="47" t="n">
        <f aca="false">SUMIFS(Data!$Q$2:$Q$781,Data!$H$2:$H$781,B164)</f>
        <v>0</v>
      </c>
      <c r="W164" s="42" t="n">
        <f aca="false">SUMIFS(Data!$R$782:$R$2370,Data!$H$782:$H$2370,B164)</f>
        <v>0</v>
      </c>
      <c r="X164" s="43" t="n">
        <f aca="false">SUMIFS(Data!$Q$782:$Q$2370,Data!$H$782:$H$2370,B164)</f>
        <v>0</v>
      </c>
      <c r="Y164" s="42" t="n">
        <f aca="false">SUMIFS(Data!$R$2371:$R$3999,Data!$H$2371:$H$3999,B164)</f>
        <v>0</v>
      </c>
      <c r="Z164" s="43" t="n">
        <f aca="false">SUMIFS(Data!$Q$2371:$Q$3999,Data!$H$2371:$H$3999,B164)</f>
        <v>0</v>
      </c>
      <c r="AA164" s="48" t="n">
        <f aca="false">V164+U164+O164+N164+K164+F164+E164+P164</f>
        <v>0</v>
      </c>
      <c r="AB164" s="49" t="n">
        <f aca="false">X164+W164+T164+R164+Q164+L164+H164+G164</f>
        <v>0</v>
      </c>
      <c r="AC164" s="49" t="n">
        <f aca="false">Z164+Y164+T164+S164+M164+J164+I164</f>
        <v>0</v>
      </c>
    </row>
    <row r="165" customFormat="false" ht="23.25" hidden="false" customHeight="true" outlineLevel="0" collapsed="false">
      <c r="A165" s="31" t="n">
        <f aca="false">Data!AE164</f>
        <v>0</v>
      </c>
      <c r="B165" s="31" t="n">
        <f aca="false">Data!AD164</f>
        <v>0</v>
      </c>
      <c r="C165" s="31" t="n">
        <f aca="false">Data!AH164</f>
        <v>0</v>
      </c>
      <c r="D165" s="31" t="n">
        <f aca="false">Data!AF164</f>
        <v>0</v>
      </c>
      <c r="E165" s="42" t="n">
        <f aca="false">SUMIFS(Data!$L$2:$L$781,Data!$H$2:$H$781,B165)</f>
        <v>0</v>
      </c>
      <c r="F165" s="43" t="n">
        <f aca="false">SUMIFS(Data!$K$2:$K$781,Data!$H$2:$H$781,B165)</f>
        <v>0</v>
      </c>
      <c r="G165" s="42" t="n">
        <f aca="false">SUMIFS(Data!$L$782:$L$2370,Data!$H$782:$H$2370,B165)</f>
        <v>0</v>
      </c>
      <c r="H165" s="43" t="n">
        <f aca="false">SUMIFS(Data!$K$782:$K$2370,Data!$H$782:$H$2370,B165)</f>
        <v>0</v>
      </c>
      <c r="I165" s="42" t="n">
        <f aca="false">SUMIFS(Data!$L$2371:$L$3999,Data!$H$2371:$H$3999,B165)</f>
        <v>0</v>
      </c>
      <c r="J165" s="43" t="n">
        <f aca="false">SUMIFS(Data!$K$2371:$K$3999,Data!$H$2371:$H$3999,B165)</f>
        <v>0</v>
      </c>
      <c r="K165" s="44" t="n">
        <f aca="false">SUMIFS(Data!$M$2:$M$781,Data!$H$2:$H$781,B165)</f>
        <v>0</v>
      </c>
      <c r="L165" s="42" t="n">
        <f aca="false">SUMIFS(Data!$M$782:$M$2370,Data!$H$782:$H$2370,B165)</f>
        <v>0</v>
      </c>
      <c r="M165" s="42" t="n">
        <f aca="false">SUMIFS(Data!$M$2371:$M$3999,Data!$H$2371:$H$3999,B165)</f>
        <v>0</v>
      </c>
      <c r="N165" s="45" t="n">
        <f aca="false">SUMIFS(Data!$O$2:$O$781,Data!$H$2:$H$781,B165)</f>
        <v>0</v>
      </c>
      <c r="O165" s="43" t="n">
        <f aca="false">SUMIFS(Data!$N$2:$N$781,Data!$H$2:$H$781,B165)</f>
        <v>0</v>
      </c>
      <c r="P165" s="42" t="n">
        <f aca="false">SUMIFS(Data!$P$2:$P$781,Data!$H$2:$H$781,B165)</f>
        <v>0</v>
      </c>
      <c r="Q165" s="43" t="n">
        <f aca="false">SUMIFS(Data!$O$782:$O$2370,Data!$H$782:$H$2370,B165)</f>
        <v>0</v>
      </c>
      <c r="R165" s="43" t="n">
        <f aca="false">SUMIFS(Data!$N$782:$N$2370,Data!$H$782:$H$2370,B165)</f>
        <v>0</v>
      </c>
      <c r="S165" s="43" t="n">
        <f aca="false">SUMIFS(Data!$O$2371:$O$3999,Data!$H$2371:$H$3999,B165)</f>
        <v>0</v>
      </c>
      <c r="T165" s="43" t="n">
        <f aca="false">SUMIFS(Data!$N$2371:$N$3999,Data!$H$2371:$H$3999,B165)</f>
        <v>0</v>
      </c>
      <c r="U165" s="46" t="n">
        <f aca="false">SUMIFS(Data!$R$2:$R$781,Data!$H$2:$H$781,B165)</f>
        <v>0</v>
      </c>
      <c r="V165" s="47" t="n">
        <f aca="false">SUMIFS(Data!$Q$2:$Q$781,Data!$H$2:$H$781,B165)</f>
        <v>0</v>
      </c>
      <c r="W165" s="42" t="n">
        <f aca="false">SUMIFS(Data!$R$782:$R$2370,Data!$H$782:$H$2370,B165)</f>
        <v>0</v>
      </c>
      <c r="X165" s="43" t="n">
        <f aca="false">SUMIFS(Data!$Q$782:$Q$2370,Data!$H$782:$H$2370,B165)</f>
        <v>0</v>
      </c>
      <c r="Y165" s="42" t="n">
        <f aca="false">SUMIFS(Data!$R$2371:$R$3999,Data!$H$2371:$H$3999,B165)</f>
        <v>0</v>
      </c>
      <c r="Z165" s="43" t="n">
        <f aca="false">SUMIFS(Data!$Q$2371:$Q$3999,Data!$H$2371:$H$3999,B165)</f>
        <v>0</v>
      </c>
      <c r="AA165" s="48" t="n">
        <f aca="false">V165+U165+O165+N165+K165+F165+E165+P165</f>
        <v>0</v>
      </c>
      <c r="AB165" s="49" t="n">
        <f aca="false">X165+W165+T165+R165+Q165+L165+H165+G165</f>
        <v>0</v>
      </c>
      <c r="AC165" s="49" t="n">
        <f aca="false">Z165+Y165+T165+S165+M165+J165+I165</f>
        <v>0</v>
      </c>
    </row>
    <row r="166" customFormat="false" ht="23.25" hidden="false" customHeight="true" outlineLevel="0" collapsed="false">
      <c r="A166" s="31" t="n">
        <f aca="false">Data!AE165</f>
        <v>0</v>
      </c>
      <c r="B166" s="31" t="n">
        <f aca="false">Data!AD165</f>
        <v>0</v>
      </c>
      <c r="C166" s="31" t="n">
        <f aca="false">Data!AH165</f>
        <v>0</v>
      </c>
      <c r="D166" s="31" t="n">
        <f aca="false">Data!AF165</f>
        <v>0</v>
      </c>
      <c r="E166" s="42" t="n">
        <f aca="false">SUMIFS(Data!$L$2:$L$781,Data!$H$2:$H$781,B166)</f>
        <v>0</v>
      </c>
      <c r="F166" s="43" t="n">
        <f aca="false">SUMIFS(Data!$K$2:$K$781,Data!$H$2:$H$781,B166)</f>
        <v>0</v>
      </c>
      <c r="G166" s="42" t="n">
        <f aca="false">SUMIFS(Data!$L$782:$L$2370,Data!$H$782:$H$2370,B166)</f>
        <v>0</v>
      </c>
      <c r="H166" s="43" t="n">
        <f aca="false">SUMIFS(Data!$K$782:$K$2370,Data!$H$782:$H$2370,B166)</f>
        <v>0</v>
      </c>
      <c r="I166" s="42" t="n">
        <f aca="false">SUMIFS(Data!$L$2371:$L$3999,Data!$H$2371:$H$3999,B166)</f>
        <v>0</v>
      </c>
      <c r="J166" s="43" t="n">
        <f aca="false">SUMIFS(Data!$K$2371:$K$3999,Data!$H$2371:$H$3999,B166)</f>
        <v>0</v>
      </c>
      <c r="K166" s="44" t="n">
        <f aca="false">SUMIFS(Data!$M$2:$M$781,Data!$H$2:$H$781,B166)</f>
        <v>0</v>
      </c>
      <c r="L166" s="42" t="n">
        <f aca="false">SUMIFS(Data!$M$782:$M$2370,Data!$H$782:$H$2370,B166)</f>
        <v>0</v>
      </c>
      <c r="M166" s="42" t="n">
        <f aca="false">SUMIFS(Data!$M$2371:$M$3999,Data!$H$2371:$H$3999,B166)</f>
        <v>0</v>
      </c>
      <c r="N166" s="45" t="n">
        <f aca="false">SUMIFS(Data!$O$2:$O$781,Data!$H$2:$H$781,B166)</f>
        <v>0</v>
      </c>
      <c r="O166" s="43" t="n">
        <f aca="false">SUMIFS(Data!$N$2:$N$781,Data!$H$2:$H$781,B166)</f>
        <v>0</v>
      </c>
      <c r="P166" s="42" t="n">
        <f aca="false">SUMIFS(Data!$P$2:$P$781,Data!$H$2:$H$781,B166)</f>
        <v>0</v>
      </c>
      <c r="Q166" s="43" t="n">
        <f aca="false">SUMIFS(Data!$O$782:$O$2370,Data!$H$782:$H$2370,B166)</f>
        <v>0</v>
      </c>
      <c r="R166" s="43" t="n">
        <f aca="false">SUMIFS(Data!$N$782:$N$2370,Data!$H$782:$H$2370,B166)</f>
        <v>0</v>
      </c>
      <c r="S166" s="43" t="n">
        <f aca="false">SUMIFS(Data!$O$2371:$O$3999,Data!$H$2371:$H$3999,B166)</f>
        <v>0</v>
      </c>
      <c r="T166" s="43" t="n">
        <f aca="false">SUMIFS(Data!$N$2371:$N$3999,Data!$H$2371:$H$3999,B166)</f>
        <v>0</v>
      </c>
      <c r="U166" s="46" t="n">
        <f aca="false">SUMIFS(Data!$R$2:$R$781,Data!$H$2:$H$781,B166)</f>
        <v>0</v>
      </c>
      <c r="V166" s="47" t="n">
        <f aca="false">SUMIFS(Data!$Q$2:$Q$781,Data!$H$2:$H$781,B166)</f>
        <v>0</v>
      </c>
      <c r="W166" s="42" t="n">
        <f aca="false">SUMIFS(Data!$R$782:$R$2370,Data!$H$782:$H$2370,B166)</f>
        <v>0</v>
      </c>
      <c r="X166" s="43" t="n">
        <f aca="false">SUMIFS(Data!$Q$782:$Q$2370,Data!$H$782:$H$2370,B166)</f>
        <v>0</v>
      </c>
      <c r="Y166" s="42" t="n">
        <f aca="false">SUMIFS(Data!$R$2371:$R$3999,Data!$H$2371:$H$3999,B166)</f>
        <v>0</v>
      </c>
      <c r="Z166" s="43" t="n">
        <f aca="false">SUMIFS(Data!$Q$2371:$Q$3999,Data!$H$2371:$H$3999,B166)</f>
        <v>0</v>
      </c>
      <c r="AA166" s="48" t="n">
        <f aca="false">V166+U166+O166+N166+K166+F166+E166+P166</f>
        <v>0</v>
      </c>
      <c r="AB166" s="49" t="n">
        <f aca="false">X166+W166+T166+R166+Q166+L166+H166+G166</f>
        <v>0</v>
      </c>
      <c r="AC166" s="49" t="n">
        <f aca="false">Z166+Y166+T166+S166+M166+J166+I166</f>
        <v>0</v>
      </c>
    </row>
    <row r="167" customFormat="false" ht="23.25" hidden="false" customHeight="true" outlineLevel="0" collapsed="false">
      <c r="A167" s="31" t="n">
        <f aca="false">Data!AE166</f>
        <v>0</v>
      </c>
      <c r="B167" s="31" t="n">
        <f aca="false">Data!AD166</f>
        <v>0</v>
      </c>
      <c r="C167" s="31" t="n">
        <f aca="false">Data!AH166</f>
        <v>0</v>
      </c>
      <c r="D167" s="31" t="n">
        <f aca="false">Data!AF166</f>
        <v>0</v>
      </c>
      <c r="E167" s="42" t="n">
        <f aca="false">SUMIFS(Data!$L$2:$L$781,Data!$H$2:$H$781,B167)</f>
        <v>0</v>
      </c>
      <c r="F167" s="43" t="n">
        <f aca="false">SUMIFS(Data!$K$2:$K$781,Data!$H$2:$H$781,B167)</f>
        <v>0</v>
      </c>
      <c r="G167" s="42" t="n">
        <f aca="false">SUMIFS(Data!$L$782:$L$2370,Data!$H$782:$H$2370,B167)</f>
        <v>0</v>
      </c>
      <c r="H167" s="43" t="n">
        <f aca="false">SUMIFS(Data!$K$782:$K$2370,Data!$H$782:$H$2370,B167)</f>
        <v>0</v>
      </c>
      <c r="I167" s="42" t="n">
        <f aca="false">SUMIFS(Data!$L$2371:$L$3999,Data!$H$2371:$H$3999,B167)</f>
        <v>0</v>
      </c>
      <c r="J167" s="43" t="n">
        <f aca="false">SUMIFS(Data!$K$2371:$K$3999,Data!$H$2371:$H$3999,B167)</f>
        <v>0</v>
      </c>
      <c r="K167" s="44" t="n">
        <f aca="false">SUMIFS(Data!$M$2:$M$781,Data!$H$2:$H$781,B167)</f>
        <v>0</v>
      </c>
      <c r="L167" s="42" t="n">
        <f aca="false">SUMIFS(Data!$M$782:$M$2370,Data!$H$782:$H$2370,B167)</f>
        <v>0</v>
      </c>
      <c r="M167" s="42" t="n">
        <f aca="false">SUMIFS(Data!$M$2371:$M$3999,Data!$H$2371:$H$3999,B167)</f>
        <v>0</v>
      </c>
      <c r="N167" s="45" t="n">
        <f aca="false">SUMIFS(Data!$O$2:$O$781,Data!$H$2:$H$781,B167)</f>
        <v>0</v>
      </c>
      <c r="O167" s="43" t="n">
        <f aca="false">SUMIFS(Data!$N$2:$N$781,Data!$H$2:$H$781,B167)</f>
        <v>0</v>
      </c>
      <c r="P167" s="42" t="n">
        <f aca="false">SUMIFS(Data!$P$2:$P$781,Data!$H$2:$H$781,B167)</f>
        <v>0</v>
      </c>
      <c r="Q167" s="43" t="n">
        <f aca="false">SUMIFS(Data!$O$782:$O$2370,Data!$H$782:$H$2370,B167)</f>
        <v>0</v>
      </c>
      <c r="R167" s="43" t="n">
        <f aca="false">SUMIFS(Data!$N$782:$N$2370,Data!$H$782:$H$2370,B167)</f>
        <v>0</v>
      </c>
      <c r="S167" s="43" t="n">
        <f aca="false">SUMIFS(Data!$O$2371:$O$3999,Data!$H$2371:$H$3999,B167)</f>
        <v>0</v>
      </c>
      <c r="T167" s="43" t="n">
        <f aca="false">SUMIFS(Data!$N$2371:$N$3999,Data!$H$2371:$H$3999,B167)</f>
        <v>0</v>
      </c>
      <c r="U167" s="46" t="n">
        <f aca="false">SUMIFS(Data!$R$2:$R$781,Data!$H$2:$H$781,B167)</f>
        <v>0</v>
      </c>
      <c r="V167" s="47" t="n">
        <f aca="false">SUMIFS(Data!$Q$2:$Q$781,Data!$H$2:$H$781,B167)</f>
        <v>0</v>
      </c>
      <c r="W167" s="42" t="n">
        <f aca="false">SUMIFS(Data!$R$782:$R$2370,Data!$H$782:$H$2370,B167)</f>
        <v>0</v>
      </c>
      <c r="X167" s="43" t="n">
        <f aca="false">SUMIFS(Data!$Q$782:$Q$2370,Data!$H$782:$H$2370,B167)</f>
        <v>0</v>
      </c>
      <c r="Y167" s="42" t="n">
        <f aca="false">SUMIFS(Data!$R$2371:$R$3999,Data!$H$2371:$H$3999,B167)</f>
        <v>0</v>
      </c>
      <c r="Z167" s="43" t="n">
        <f aca="false">SUMIFS(Data!$Q$2371:$Q$3999,Data!$H$2371:$H$3999,B167)</f>
        <v>0</v>
      </c>
      <c r="AA167" s="48" t="n">
        <f aca="false">V167+U167+O167+N167+K167+F167+E167+P167</f>
        <v>0</v>
      </c>
      <c r="AB167" s="49" t="n">
        <f aca="false">X167+W167+T167+R167+Q167+L167+H167+G167</f>
        <v>0</v>
      </c>
      <c r="AC167" s="49" t="n">
        <f aca="false">Z167+Y167+T167+S167+M167+J167+I167</f>
        <v>0</v>
      </c>
    </row>
    <row r="168" customFormat="false" ht="23.25" hidden="false" customHeight="true" outlineLevel="0" collapsed="false">
      <c r="A168" s="31" t="n">
        <f aca="false">Data!AE167</f>
        <v>0</v>
      </c>
      <c r="B168" s="31" t="n">
        <f aca="false">Data!AD167</f>
        <v>0</v>
      </c>
      <c r="C168" s="31" t="n">
        <f aca="false">Data!AH167</f>
        <v>0</v>
      </c>
      <c r="D168" s="31" t="n">
        <f aca="false">Data!AF167</f>
        <v>0</v>
      </c>
      <c r="E168" s="42" t="n">
        <f aca="false">SUMIFS(Data!$L$2:$L$781,Data!$H$2:$H$781,B168)</f>
        <v>0</v>
      </c>
      <c r="F168" s="43" t="n">
        <f aca="false">SUMIFS(Data!$K$2:$K$781,Data!$H$2:$H$781,B168)</f>
        <v>0</v>
      </c>
      <c r="G168" s="42" t="n">
        <f aca="false">SUMIFS(Data!$L$782:$L$2370,Data!$H$782:$H$2370,B168)</f>
        <v>0</v>
      </c>
      <c r="H168" s="43" t="n">
        <f aca="false">SUMIFS(Data!$K$782:$K$2370,Data!$H$782:$H$2370,B168)</f>
        <v>0</v>
      </c>
      <c r="I168" s="42" t="n">
        <f aca="false">SUMIFS(Data!$L$2371:$L$3999,Data!$H$2371:$H$3999,B168)</f>
        <v>0</v>
      </c>
      <c r="J168" s="43" t="n">
        <f aca="false">SUMIFS(Data!$K$2371:$K$3999,Data!$H$2371:$H$3999,B168)</f>
        <v>0</v>
      </c>
      <c r="K168" s="44" t="n">
        <f aca="false">SUMIFS(Data!$M$2:$M$781,Data!$H$2:$H$781,B168)</f>
        <v>0</v>
      </c>
      <c r="L168" s="42" t="n">
        <f aca="false">SUMIFS(Data!$M$782:$M$2370,Data!$H$782:$H$2370,B168)</f>
        <v>0</v>
      </c>
      <c r="M168" s="42" t="n">
        <f aca="false">SUMIFS(Data!$M$2371:$M$3999,Data!$H$2371:$H$3999,B168)</f>
        <v>0</v>
      </c>
      <c r="N168" s="45" t="n">
        <f aca="false">SUMIFS(Data!$O$2:$O$781,Data!$H$2:$H$781,B168)</f>
        <v>0</v>
      </c>
      <c r="O168" s="43" t="n">
        <f aca="false">SUMIFS(Data!$N$2:$N$781,Data!$H$2:$H$781,B168)</f>
        <v>0</v>
      </c>
      <c r="P168" s="42" t="n">
        <f aca="false">SUMIFS(Data!$P$2:$P$781,Data!$H$2:$H$781,B168)</f>
        <v>0</v>
      </c>
      <c r="Q168" s="43" t="n">
        <f aca="false">SUMIFS(Data!$O$782:$O$2370,Data!$H$782:$H$2370,B168)</f>
        <v>0</v>
      </c>
      <c r="R168" s="43" t="n">
        <f aca="false">SUMIFS(Data!$N$782:$N$2370,Data!$H$782:$H$2370,B168)</f>
        <v>0</v>
      </c>
      <c r="S168" s="43" t="n">
        <f aca="false">SUMIFS(Data!$O$2371:$O$3999,Data!$H$2371:$H$3999,B168)</f>
        <v>0</v>
      </c>
      <c r="T168" s="43" t="n">
        <f aca="false">SUMIFS(Data!$N$2371:$N$3999,Data!$H$2371:$H$3999,B168)</f>
        <v>0</v>
      </c>
      <c r="U168" s="46" t="n">
        <f aca="false">SUMIFS(Data!$R$2:$R$781,Data!$H$2:$H$781,B168)</f>
        <v>0</v>
      </c>
      <c r="V168" s="47" t="n">
        <f aca="false">SUMIFS(Data!$Q$2:$Q$781,Data!$H$2:$H$781,B168)</f>
        <v>0</v>
      </c>
      <c r="W168" s="42" t="n">
        <f aca="false">SUMIFS(Data!$R$782:$R$2370,Data!$H$782:$H$2370,B168)</f>
        <v>0</v>
      </c>
      <c r="X168" s="43" t="n">
        <f aca="false">SUMIFS(Data!$Q$782:$Q$2370,Data!$H$782:$H$2370,B168)</f>
        <v>0</v>
      </c>
      <c r="Y168" s="42" t="n">
        <f aca="false">SUMIFS(Data!$R$2371:$R$3999,Data!$H$2371:$H$3999,B168)</f>
        <v>0</v>
      </c>
      <c r="Z168" s="43" t="n">
        <f aca="false">SUMIFS(Data!$Q$2371:$Q$3999,Data!$H$2371:$H$3999,B168)</f>
        <v>0</v>
      </c>
      <c r="AA168" s="48" t="n">
        <f aca="false">V168+U168+O168+N168+K168+F168+E168+P168</f>
        <v>0</v>
      </c>
      <c r="AB168" s="49" t="n">
        <f aca="false">X168+W168+T168+R168+Q168+L168+H168+G168</f>
        <v>0</v>
      </c>
      <c r="AC168" s="49" t="n">
        <f aca="false">Z168+Y168+T168+S168+M168+J168+I168</f>
        <v>0</v>
      </c>
    </row>
    <row r="169" customFormat="false" ht="23.25" hidden="false" customHeight="true" outlineLevel="0" collapsed="false">
      <c r="A169" s="31" t="n">
        <f aca="false">Data!AE168</f>
        <v>0</v>
      </c>
      <c r="B169" s="31" t="n">
        <f aca="false">Data!AD168</f>
        <v>0</v>
      </c>
      <c r="C169" s="31" t="n">
        <f aca="false">Data!AH168</f>
        <v>0</v>
      </c>
      <c r="D169" s="31" t="n">
        <f aca="false">Data!AF168</f>
        <v>0</v>
      </c>
      <c r="E169" s="42" t="n">
        <f aca="false">SUMIFS(Data!$L$2:$L$781,Data!$H$2:$H$781,B169)</f>
        <v>0</v>
      </c>
      <c r="F169" s="43" t="n">
        <f aca="false">SUMIFS(Data!$K$2:$K$781,Data!$H$2:$H$781,B169)</f>
        <v>0</v>
      </c>
      <c r="G169" s="42" t="n">
        <f aca="false">SUMIFS(Data!$L$782:$L$2370,Data!$H$782:$H$2370,B169)</f>
        <v>0</v>
      </c>
      <c r="H169" s="43" t="n">
        <f aca="false">SUMIFS(Data!$K$782:$K$2370,Data!$H$782:$H$2370,B169)</f>
        <v>0</v>
      </c>
      <c r="I169" s="42" t="n">
        <f aca="false">SUMIFS(Data!$L$2371:$L$3999,Data!$H$2371:$H$3999,B169)</f>
        <v>0</v>
      </c>
      <c r="J169" s="43" t="n">
        <f aca="false">SUMIFS(Data!$K$2371:$K$3999,Data!$H$2371:$H$3999,B169)</f>
        <v>0</v>
      </c>
      <c r="K169" s="44" t="n">
        <f aca="false">SUMIFS(Data!$M$2:$M$781,Data!$H$2:$H$781,B169)</f>
        <v>0</v>
      </c>
      <c r="L169" s="42" t="n">
        <f aca="false">SUMIFS(Data!$M$782:$M$2370,Data!$H$782:$H$2370,B169)</f>
        <v>0</v>
      </c>
      <c r="M169" s="42" t="n">
        <f aca="false">SUMIFS(Data!$M$2371:$M$3999,Data!$H$2371:$H$3999,B169)</f>
        <v>0</v>
      </c>
      <c r="N169" s="45" t="n">
        <f aca="false">SUMIFS(Data!$O$2:$O$781,Data!$H$2:$H$781,B169)</f>
        <v>0</v>
      </c>
      <c r="O169" s="43" t="n">
        <f aca="false">SUMIFS(Data!$N$2:$N$781,Data!$H$2:$H$781,B169)</f>
        <v>0</v>
      </c>
      <c r="P169" s="42" t="n">
        <f aca="false">SUMIFS(Data!$P$2:$P$781,Data!$H$2:$H$781,B169)</f>
        <v>0</v>
      </c>
      <c r="Q169" s="43" t="n">
        <f aca="false">SUMIFS(Data!$O$782:$O$2370,Data!$H$782:$H$2370,B169)</f>
        <v>0</v>
      </c>
      <c r="R169" s="43" t="n">
        <f aca="false">SUMIFS(Data!$N$782:$N$2370,Data!$H$782:$H$2370,B169)</f>
        <v>0</v>
      </c>
      <c r="S169" s="43" t="n">
        <f aca="false">SUMIFS(Data!$O$2371:$O$3999,Data!$H$2371:$H$3999,B169)</f>
        <v>0</v>
      </c>
      <c r="T169" s="43" t="n">
        <f aca="false">SUMIFS(Data!$N$2371:$N$3999,Data!$H$2371:$H$3999,B169)</f>
        <v>0</v>
      </c>
      <c r="U169" s="46" t="n">
        <f aca="false">SUMIFS(Data!$R$2:$R$781,Data!$H$2:$H$781,B169)</f>
        <v>0</v>
      </c>
      <c r="V169" s="47" t="n">
        <f aca="false">SUMIFS(Data!$Q$2:$Q$781,Data!$H$2:$H$781,B169)</f>
        <v>0</v>
      </c>
      <c r="W169" s="42" t="n">
        <f aca="false">SUMIFS(Data!$R$782:$R$2370,Data!$H$782:$H$2370,B169)</f>
        <v>0</v>
      </c>
      <c r="X169" s="43" t="n">
        <f aca="false">SUMIFS(Data!$Q$782:$Q$2370,Data!$H$782:$H$2370,B169)</f>
        <v>0</v>
      </c>
      <c r="Y169" s="42" t="n">
        <f aca="false">SUMIFS(Data!$R$2371:$R$3999,Data!$H$2371:$H$3999,B169)</f>
        <v>0</v>
      </c>
      <c r="Z169" s="43" t="n">
        <f aca="false">SUMIFS(Data!$Q$2371:$Q$3999,Data!$H$2371:$H$3999,B169)</f>
        <v>0</v>
      </c>
      <c r="AA169" s="48" t="n">
        <f aca="false">V169+U169+O169+N169+K169+F169+E169+P169</f>
        <v>0</v>
      </c>
      <c r="AB169" s="49" t="n">
        <f aca="false">X169+W169+T169+R169+Q169+L169+H169+G169</f>
        <v>0</v>
      </c>
      <c r="AC169" s="49" t="n">
        <f aca="false">Z169+Y169+T169+S169+M169+J169+I169</f>
        <v>0</v>
      </c>
    </row>
    <row r="170" customFormat="false" ht="23.25" hidden="false" customHeight="true" outlineLevel="0" collapsed="false">
      <c r="A170" s="31" t="n">
        <f aca="false">Data!AE169</f>
        <v>0</v>
      </c>
      <c r="B170" s="31" t="n">
        <f aca="false">Data!AD169</f>
        <v>0</v>
      </c>
      <c r="C170" s="31" t="n">
        <f aca="false">Data!AH169</f>
        <v>0</v>
      </c>
      <c r="D170" s="31" t="n">
        <f aca="false">Data!AF169</f>
        <v>0</v>
      </c>
      <c r="E170" s="42" t="n">
        <f aca="false">SUMIFS(Data!$L$2:$L$781,Data!$H$2:$H$781,B170)</f>
        <v>0</v>
      </c>
      <c r="F170" s="43" t="n">
        <f aca="false">SUMIFS(Data!$K$2:$K$781,Data!$H$2:$H$781,B170)</f>
        <v>0</v>
      </c>
      <c r="G170" s="42" t="n">
        <f aca="false">SUMIFS(Data!$L$782:$L$2370,Data!$H$782:$H$2370,B170)</f>
        <v>0</v>
      </c>
      <c r="H170" s="43" t="n">
        <f aca="false">SUMIFS(Data!$K$782:$K$2370,Data!$H$782:$H$2370,B170)</f>
        <v>0</v>
      </c>
      <c r="I170" s="42" t="n">
        <f aca="false">SUMIFS(Data!$L$2371:$L$3999,Data!$H$2371:$H$3999,B170)</f>
        <v>0</v>
      </c>
      <c r="J170" s="43" t="n">
        <f aca="false">SUMIFS(Data!$K$2371:$K$3999,Data!$H$2371:$H$3999,B170)</f>
        <v>0</v>
      </c>
      <c r="K170" s="44" t="n">
        <f aca="false">SUMIFS(Data!$M$2:$M$781,Data!$H$2:$H$781,B170)</f>
        <v>0</v>
      </c>
      <c r="L170" s="42" t="n">
        <f aca="false">SUMIFS(Data!$M$782:$M$2370,Data!$H$782:$H$2370,B170)</f>
        <v>0</v>
      </c>
      <c r="M170" s="42" t="n">
        <f aca="false">SUMIFS(Data!$M$2371:$M$3999,Data!$H$2371:$H$3999,B170)</f>
        <v>0</v>
      </c>
      <c r="N170" s="45" t="n">
        <f aca="false">SUMIFS(Data!$O$2:$O$781,Data!$H$2:$H$781,B170)</f>
        <v>0</v>
      </c>
      <c r="O170" s="43" t="n">
        <f aca="false">SUMIFS(Data!$N$2:$N$781,Data!$H$2:$H$781,B170)</f>
        <v>0</v>
      </c>
      <c r="P170" s="42" t="n">
        <f aca="false">SUMIFS(Data!$P$2:$P$781,Data!$H$2:$H$781,B170)</f>
        <v>0</v>
      </c>
      <c r="Q170" s="43" t="n">
        <f aca="false">SUMIFS(Data!$O$782:$O$2370,Data!$H$782:$H$2370,B170)</f>
        <v>0</v>
      </c>
      <c r="R170" s="43" t="n">
        <f aca="false">SUMIFS(Data!$N$782:$N$2370,Data!$H$782:$H$2370,B170)</f>
        <v>0</v>
      </c>
      <c r="S170" s="43" t="n">
        <f aca="false">SUMIFS(Data!$O$2371:$O$3999,Data!$H$2371:$H$3999,B170)</f>
        <v>0</v>
      </c>
      <c r="T170" s="43" t="n">
        <f aca="false">SUMIFS(Data!$N$2371:$N$3999,Data!$H$2371:$H$3999,B170)</f>
        <v>0</v>
      </c>
      <c r="U170" s="46" t="n">
        <f aca="false">SUMIFS(Data!$R$2:$R$781,Data!$H$2:$H$781,B170)</f>
        <v>0</v>
      </c>
      <c r="V170" s="47" t="n">
        <f aca="false">SUMIFS(Data!$Q$2:$Q$781,Data!$H$2:$H$781,B170)</f>
        <v>0</v>
      </c>
      <c r="W170" s="42" t="n">
        <f aca="false">SUMIFS(Data!$R$782:$R$2370,Data!$H$782:$H$2370,B170)</f>
        <v>0</v>
      </c>
      <c r="X170" s="43" t="n">
        <f aca="false">SUMIFS(Data!$Q$782:$Q$2370,Data!$H$782:$H$2370,B170)</f>
        <v>0</v>
      </c>
      <c r="Y170" s="42" t="n">
        <f aca="false">SUMIFS(Data!$R$2371:$R$3999,Data!$H$2371:$H$3999,B170)</f>
        <v>0</v>
      </c>
      <c r="Z170" s="43" t="n">
        <f aca="false">SUMIFS(Data!$Q$2371:$Q$3999,Data!$H$2371:$H$3999,B170)</f>
        <v>0</v>
      </c>
      <c r="AA170" s="48" t="n">
        <f aca="false">V170+U170+O170+N170+K170+F170+E170+P170</f>
        <v>0</v>
      </c>
      <c r="AB170" s="49" t="n">
        <f aca="false">X170+W170+T170+R170+Q170+L170+H170+G170</f>
        <v>0</v>
      </c>
      <c r="AC170" s="49" t="n">
        <f aca="false">Z170+Y170+T170+S170+M170+J170+I170</f>
        <v>0</v>
      </c>
    </row>
    <row r="171" customFormat="false" ht="23.25" hidden="false" customHeight="true" outlineLevel="0" collapsed="false">
      <c r="A171" s="31" t="n">
        <f aca="false">Data!AE170</f>
        <v>0</v>
      </c>
      <c r="B171" s="31" t="n">
        <f aca="false">Data!AD170</f>
        <v>0</v>
      </c>
      <c r="C171" s="31" t="n">
        <f aca="false">Data!AH170</f>
        <v>0</v>
      </c>
      <c r="D171" s="31" t="n">
        <f aca="false">Data!AF170</f>
        <v>0</v>
      </c>
      <c r="E171" s="42" t="n">
        <f aca="false">SUMIFS(Data!$L$2:$L$781,Data!$H$2:$H$781,B171)</f>
        <v>0</v>
      </c>
      <c r="F171" s="43" t="n">
        <f aca="false">SUMIFS(Data!$K$2:$K$781,Data!$H$2:$H$781,B171)</f>
        <v>0</v>
      </c>
      <c r="G171" s="42" t="n">
        <f aca="false">SUMIFS(Data!$L$782:$L$2370,Data!$H$782:$H$2370,B171)</f>
        <v>0</v>
      </c>
      <c r="H171" s="43" t="n">
        <f aca="false">SUMIFS(Data!$K$782:$K$2370,Data!$H$782:$H$2370,B171)</f>
        <v>0</v>
      </c>
      <c r="I171" s="42" t="n">
        <f aca="false">SUMIFS(Data!$L$2371:$L$3999,Data!$H$2371:$H$3999,B171)</f>
        <v>0</v>
      </c>
      <c r="J171" s="43" t="n">
        <f aca="false">SUMIFS(Data!$K$2371:$K$3999,Data!$H$2371:$H$3999,B171)</f>
        <v>0</v>
      </c>
      <c r="K171" s="44" t="n">
        <f aca="false">SUMIFS(Data!$M$2:$M$781,Data!$H$2:$H$781,B171)</f>
        <v>0</v>
      </c>
      <c r="L171" s="42" t="n">
        <f aca="false">SUMIFS(Data!$M$782:$M$2370,Data!$H$782:$H$2370,B171)</f>
        <v>0</v>
      </c>
      <c r="M171" s="42" t="n">
        <f aca="false">SUMIFS(Data!$M$2371:$M$3999,Data!$H$2371:$H$3999,B171)</f>
        <v>0</v>
      </c>
      <c r="N171" s="45" t="n">
        <f aca="false">SUMIFS(Data!$O$2:$O$781,Data!$H$2:$H$781,B171)</f>
        <v>0</v>
      </c>
      <c r="O171" s="43" t="n">
        <f aca="false">SUMIFS(Data!$N$2:$N$781,Data!$H$2:$H$781,B171)</f>
        <v>0</v>
      </c>
      <c r="P171" s="42" t="n">
        <f aca="false">SUMIFS(Data!$P$2:$P$781,Data!$H$2:$H$781,B171)</f>
        <v>0</v>
      </c>
      <c r="Q171" s="43" t="n">
        <f aca="false">SUMIFS(Data!$O$782:$O$2370,Data!$H$782:$H$2370,B171)</f>
        <v>0</v>
      </c>
      <c r="R171" s="43" t="n">
        <f aca="false">SUMIFS(Data!$N$782:$N$2370,Data!$H$782:$H$2370,B171)</f>
        <v>0</v>
      </c>
      <c r="S171" s="43" t="n">
        <f aca="false">SUMIFS(Data!$O$2371:$O$3999,Data!$H$2371:$H$3999,B171)</f>
        <v>0</v>
      </c>
      <c r="T171" s="43" t="n">
        <f aca="false">SUMIFS(Data!$N$2371:$N$3999,Data!$H$2371:$H$3999,B171)</f>
        <v>0</v>
      </c>
      <c r="U171" s="46" t="n">
        <f aca="false">SUMIFS(Data!$R$2:$R$781,Data!$H$2:$H$781,B171)</f>
        <v>0</v>
      </c>
      <c r="V171" s="47" t="n">
        <f aca="false">SUMIFS(Data!$Q$2:$Q$781,Data!$H$2:$H$781,B171)</f>
        <v>0</v>
      </c>
      <c r="W171" s="42" t="n">
        <f aca="false">SUMIFS(Data!$R$782:$R$2370,Data!$H$782:$H$2370,B171)</f>
        <v>0</v>
      </c>
      <c r="X171" s="43" t="n">
        <f aca="false">SUMIFS(Data!$Q$782:$Q$2370,Data!$H$782:$H$2370,B171)</f>
        <v>0</v>
      </c>
      <c r="Y171" s="42" t="n">
        <f aca="false">SUMIFS(Data!$R$2371:$R$3999,Data!$H$2371:$H$3999,B171)</f>
        <v>0</v>
      </c>
      <c r="Z171" s="43" t="n">
        <f aca="false">SUMIFS(Data!$Q$2371:$Q$3999,Data!$H$2371:$H$3999,B171)</f>
        <v>0</v>
      </c>
      <c r="AA171" s="48" t="n">
        <f aca="false">V171+U171+O171+N171+K171+F171+E171+P171</f>
        <v>0</v>
      </c>
      <c r="AB171" s="49" t="n">
        <f aca="false">X171+W171+T171+R171+Q171+L171+H171+G171</f>
        <v>0</v>
      </c>
      <c r="AC171" s="49" t="n">
        <f aca="false">Z171+Y171+T171+S171+M171+J171+I171</f>
        <v>0</v>
      </c>
    </row>
    <row r="172" customFormat="false" ht="23.25" hidden="false" customHeight="true" outlineLevel="0" collapsed="false">
      <c r="A172" s="31" t="n">
        <f aca="false">Data!AE171</f>
        <v>0</v>
      </c>
      <c r="B172" s="31" t="n">
        <f aca="false">Data!AD171</f>
        <v>0</v>
      </c>
      <c r="C172" s="31" t="n">
        <f aca="false">Data!AH171</f>
        <v>0</v>
      </c>
      <c r="D172" s="31" t="n">
        <f aca="false">Data!AF171</f>
        <v>0</v>
      </c>
      <c r="E172" s="42" t="n">
        <f aca="false">SUMIFS(Data!$L$2:$L$781,Data!$H$2:$H$781,B172)</f>
        <v>0</v>
      </c>
      <c r="F172" s="43" t="n">
        <f aca="false">SUMIFS(Data!$K$2:$K$781,Data!$H$2:$H$781,B172)</f>
        <v>0</v>
      </c>
      <c r="G172" s="42" t="n">
        <f aca="false">SUMIFS(Data!$L$782:$L$2370,Data!$H$782:$H$2370,B172)</f>
        <v>0</v>
      </c>
      <c r="H172" s="43" t="n">
        <f aca="false">SUMIFS(Data!$K$782:$K$2370,Data!$H$782:$H$2370,B172)</f>
        <v>0</v>
      </c>
      <c r="I172" s="42" t="n">
        <f aca="false">SUMIFS(Data!$L$2371:$L$3999,Data!$H$2371:$H$3999,B172)</f>
        <v>0</v>
      </c>
      <c r="J172" s="43" t="n">
        <f aca="false">SUMIFS(Data!$K$2371:$K$3999,Data!$H$2371:$H$3999,B172)</f>
        <v>0</v>
      </c>
      <c r="K172" s="44" t="n">
        <f aca="false">SUMIFS(Data!$M$2:$M$781,Data!$H$2:$H$781,B172)</f>
        <v>0</v>
      </c>
      <c r="L172" s="42" t="n">
        <f aca="false">SUMIFS(Data!$M$782:$M$2370,Data!$H$782:$H$2370,B172)</f>
        <v>0</v>
      </c>
      <c r="M172" s="42" t="n">
        <f aca="false">SUMIFS(Data!$M$2371:$M$3999,Data!$H$2371:$H$3999,B172)</f>
        <v>0</v>
      </c>
      <c r="N172" s="45" t="n">
        <f aca="false">SUMIFS(Data!$O$2:$O$781,Data!$H$2:$H$781,B172)</f>
        <v>0</v>
      </c>
      <c r="O172" s="43" t="n">
        <f aca="false">SUMIFS(Data!$N$2:$N$781,Data!$H$2:$H$781,B172)</f>
        <v>0</v>
      </c>
      <c r="P172" s="42" t="n">
        <f aca="false">SUMIFS(Data!$P$2:$P$781,Data!$H$2:$H$781,B172)</f>
        <v>0</v>
      </c>
      <c r="Q172" s="43" t="n">
        <f aca="false">SUMIFS(Data!$O$782:$O$2370,Data!$H$782:$H$2370,B172)</f>
        <v>0</v>
      </c>
      <c r="R172" s="43" t="n">
        <f aca="false">SUMIFS(Data!$N$782:$N$2370,Data!$H$782:$H$2370,B172)</f>
        <v>0</v>
      </c>
      <c r="S172" s="43" t="n">
        <f aca="false">SUMIFS(Data!$O$2371:$O$3999,Data!$H$2371:$H$3999,B172)</f>
        <v>0</v>
      </c>
      <c r="T172" s="43" t="n">
        <f aca="false">SUMIFS(Data!$N$2371:$N$3999,Data!$H$2371:$H$3999,B172)</f>
        <v>0</v>
      </c>
      <c r="U172" s="46" t="n">
        <f aca="false">SUMIFS(Data!$R$2:$R$781,Data!$H$2:$H$781,B172)</f>
        <v>0</v>
      </c>
      <c r="V172" s="47" t="n">
        <f aca="false">SUMIFS(Data!$Q$2:$Q$781,Data!$H$2:$H$781,B172)</f>
        <v>0</v>
      </c>
      <c r="W172" s="42" t="n">
        <f aca="false">SUMIFS(Data!$R$782:$R$2370,Data!$H$782:$H$2370,B172)</f>
        <v>0</v>
      </c>
      <c r="X172" s="43" t="n">
        <f aca="false">SUMIFS(Data!$Q$782:$Q$2370,Data!$H$782:$H$2370,B172)</f>
        <v>0</v>
      </c>
      <c r="Y172" s="42" t="n">
        <f aca="false">SUMIFS(Data!$R$2371:$R$3999,Data!$H$2371:$H$3999,B172)</f>
        <v>0</v>
      </c>
      <c r="Z172" s="43" t="n">
        <f aca="false">SUMIFS(Data!$Q$2371:$Q$3999,Data!$H$2371:$H$3999,B172)</f>
        <v>0</v>
      </c>
      <c r="AA172" s="48" t="n">
        <f aca="false">V172+U172+O172+N172+K172+F172+E172+P172</f>
        <v>0</v>
      </c>
      <c r="AB172" s="49" t="n">
        <f aca="false">X172+W172+T172+R172+Q172+L172+H172+G172</f>
        <v>0</v>
      </c>
      <c r="AC172" s="49" t="n">
        <f aca="false">Z172+Y172+T172+S172+M172+J172+I172</f>
        <v>0</v>
      </c>
    </row>
    <row r="173" customFormat="false" ht="23.25" hidden="false" customHeight="true" outlineLevel="0" collapsed="false">
      <c r="A173" s="31" t="n">
        <f aca="false">Data!AE172</f>
        <v>0</v>
      </c>
      <c r="B173" s="31" t="n">
        <f aca="false">Data!AD172</f>
        <v>0</v>
      </c>
      <c r="C173" s="31" t="n">
        <f aca="false">Data!AH172</f>
        <v>0</v>
      </c>
      <c r="D173" s="31" t="n">
        <f aca="false">Data!AF172</f>
        <v>0</v>
      </c>
      <c r="E173" s="42" t="n">
        <f aca="false">SUMIFS(Data!$L$2:$L$781,Data!$H$2:$H$781,B173)</f>
        <v>0</v>
      </c>
      <c r="F173" s="43" t="n">
        <f aca="false">SUMIFS(Data!$K$2:$K$781,Data!$H$2:$H$781,B173)</f>
        <v>0</v>
      </c>
      <c r="G173" s="42" t="n">
        <f aca="false">SUMIFS(Data!$L$782:$L$2370,Data!$H$782:$H$2370,B173)</f>
        <v>0</v>
      </c>
      <c r="H173" s="43" t="n">
        <f aca="false">SUMIFS(Data!$K$782:$K$2370,Data!$H$782:$H$2370,B173)</f>
        <v>0</v>
      </c>
      <c r="I173" s="42" t="n">
        <f aca="false">SUMIFS(Data!$L$2371:$L$3999,Data!$H$2371:$H$3999,B173)</f>
        <v>0</v>
      </c>
      <c r="J173" s="43" t="n">
        <f aca="false">SUMIFS(Data!$K$2371:$K$3999,Data!$H$2371:$H$3999,B173)</f>
        <v>0</v>
      </c>
      <c r="K173" s="44" t="n">
        <f aca="false">SUMIFS(Data!$M$2:$M$781,Data!$H$2:$H$781,B173)</f>
        <v>0</v>
      </c>
      <c r="L173" s="42" t="n">
        <f aca="false">SUMIFS(Data!$M$782:$M$2370,Data!$H$782:$H$2370,B173)</f>
        <v>0</v>
      </c>
      <c r="M173" s="42" t="n">
        <f aca="false">SUMIFS(Data!$M$2371:$M$3999,Data!$H$2371:$H$3999,B173)</f>
        <v>0</v>
      </c>
      <c r="N173" s="45" t="n">
        <f aca="false">SUMIFS(Data!$O$2:$O$781,Data!$H$2:$H$781,B173)</f>
        <v>0</v>
      </c>
      <c r="O173" s="43" t="n">
        <f aca="false">SUMIFS(Data!$N$2:$N$781,Data!$H$2:$H$781,B173)</f>
        <v>0</v>
      </c>
      <c r="P173" s="42" t="n">
        <f aca="false">SUMIFS(Data!$P$2:$P$781,Data!$H$2:$H$781,B173)</f>
        <v>0</v>
      </c>
      <c r="Q173" s="43" t="n">
        <f aca="false">SUMIFS(Data!$O$782:$O$2370,Data!$H$782:$H$2370,B173)</f>
        <v>0</v>
      </c>
      <c r="R173" s="43" t="n">
        <f aca="false">SUMIFS(Data!$N$782:$N$2370,Data!$H$782:$H$2370,B173)</f>
        <v>0</v>
      </c>
      <c r="S173" s="43" t="n">
        <f aca="false">SUMIFS(Data!$O$2371:$O$3999,Data!$H$2371:$H$3999,B173)</f>
        <v>0</v>
      </c>
      <c r="T173" s="43" t="n">
        <f aca="false">SUMIFS(Data!$N$2371:$N$3999,Data!$H$2371:$H$3999,B173)</f>
        <v>0</v>
      </c>
      <c r="U173" s="46" t="n">
        <f aca="false">SUMIFS(Data!$R$2:$R$781,Data!$H$2:$H$781,B173)</f>
        <v>0</v>
      </c>
      <c r="V173" s="47" t="n">
        <f aca="false">SUMIFS(Data!$Q$2:$Q$781,Data!$H$2:$H$781,B173)</f>
        <v>0</v>
      </c>
      <c r="W173" s="42" t="n">
        <f aca="false">SUMIFS(Data!$R$782:$R$2370,Data!$H$782:$H$2370,B173)</f>
        <v>0</v>
      </c>
      <c r="X173" s="43" t="n">
        <f aca="false">SUMIFS(Data!$Q$782:$Q$2370,Data!$H$782:$H$2370,B173)</f>
        <v>0</v>
      </c>
      <c r="Y173" s="42" t="n">
        <f aca="false">SUMIFS(Data!$R$2371:$R$3999,Data!$H$2371:$H$3999,B173)</f>
        <v>0</v>
      </c>
      <c r="Z173" s="43" t="n">
        <f aca="false">SUMIFS(Data!$Q$2371:$Q$3999,Data!$H$2371:$H$3999,B173)</f>
        <v>0</v>
      </c>
      <c r="AA173" s="48" t="n">
        <f aca="false">V173+U173+O173+N173+K173+F173+E173+P173</f>
        <v>0</v>
      </c>
      <c r="AB173" s="49" t="n">
        <f aca="false">X173+W173+T173+R173+Q173+L173+H173+G173</f>
        <v>0</v>
      </c>
      <c r="AC173" s="49" t="n">
        <f aca="false">Z173+Y173+T173+S173+M173+J173+I173</f>
        <v>0</v>
      </c>
    </row>
    <row r="174" customFormat="false" ht="23.25" hidden="false" customHeight="true" outlineLevel="0" collapsed="false">
      <c r="A174" s="31" t="n">
        <f aca="false">Data!AE173</f>
        <v>0</v>
      </c>
      <c r="B174" s="31" t="n">
        <f aca="false">Data!AD173</f>
        <v>0</v>
      </c>
      <c r="C174" s="31" t="n">
        <f aca="false">Data!AH173</f>
        <v>0</v>
      </c>
      <c r="D174" s="31" t="n">
        <f aca="false">Data!AF173</f>
        <v>0</v>
      </c>
      <c r="E174" s="42" t="n">
        <f aca="false">SUMIFS(Data!$L$2:$L$781,Data!$H$2:$H$781,B174)</f>
        <v>0</v>
      </c>
      <c r="F174" s="43" t="n">
        <f aca="false">SUMIFS(Data!$K$2:$K$781,Data!$H$2:$H$781,B174)</f>
        <v>0</v>
      </c>
      <c r="G174" s="42" t="n">
        <f aca="false">SUMIFS(Data!$L$782:$L$2370,Data!$H$782:$H$2370,B174)</f>
        <v>0</v>
      </c>
      <c r="H174" s="43" t="n">
        <f aca="false">SUMIFS(Data!$K$782:$K$2370,Data!$H$782:$H$2370,B174)</f>
        <v>0</v>
      </c>
      <c r="I174" s="42" t="n">
        <f aca="false">SUMIFS(Data!$L$2371:$L$3999,Data!$H$2371:$H$3999,B174)</f>
        <v>0</v>
      </c>
      <c r="J174" s="43" t="n">
        <f aca="false">SUMIFS(Data!$K$2371:$K$3999,Data!$H$2371:$H$3999,B174)</f>
        <v>0</v>
      </c>
      <c r="K174" s="44" t="n">
        <f aca="false">SUMIFS(Data!$M$2:$M$781,Data!$H$2:$H$781,B174)</f>
        <v>0</v>
      </c>
      <c r="L174" s="42" t="n">
        <f aca="false">SUMIFS(Data!$M$782:$M$2370,Data!$H$782:$H$2370,B174)</f>
        <v>0</v>
      </c>
      <c r="M174" s="42" t="n">
        <f aca="false">SUMIFS(Data!$M$2371:$M$3999,Data!$H$2371:$H$3999,B174)</f>
        <v>0</v>
      </c>
      <c r="N174" s="45" t="n">
        <f aca="false">SUMIFS(Data!$O$2:$O$781,Data!$H$2:$H$781,B174)</f>
        <v>0</v>
      </c>
      <c r="O174" s="43" t="n">
        <f aca="false">SUMIFS(Data!$N$2:$N$781,Data!$H$2:$H$781,B174)</f>
        <v>0</v>
      </c>
      <c r="P174" s="42" t="n">
        <f aca="false">SUMIFS(Data!$P$2:$P$781,Data!$H$2:$H$781,B174)</f>
        <v>0</v>
      </c>
      <c r="Q174" s="43" t="n">
        <f aca="false">SUMIFS(Data!$O$782:$O$2370,Data!$H$782:$H$2370,B174)</f>
        <v>0</v>
      </c>
      <c r="R174" s="43" t="n">
        <f aca="false">SUMIFS(Data!$N$782:$N$2370,Data!$H$782:$H$2370,B174)</f>
        <v>0</v>
      </c>
      <c r="S174" s="43" t="n">
        <f aca="false">SUMIFS(Data!$O$2371:$O$3999,Data!$H$2371:$H$3999,B174)</f>
        <v>0</v>
      </c>
      <c r="T174" s="43" t="n">
        <f aca="false">SUMIFS(Data!$N$2371:$N$3999,Data!$H$2371:$H$3999,B174)</f>
        <v>0</v>
      </c>
      <c r="U174" s="46" t="n">
        <f aca="false">SUMIFS(Data!$R$2:$R$781,Data!$H$2:$H$781,B174)</f>
        <v>0</v>
      </c>
      <c r="V174" s="47" t="n">
        <f aca="false">SUMIFS(Data!$Q$2:$Q$781,Data!$H$2:$H$781,B174)</f>
        <v>0</v>
      </c>
      <c r="W174" s="42" t="n">
        <f aca="false">SUMIFS(Data!$R$782:$R$2370,Data!$H$782:$H$2370,B174)</f>
        <v>0</v>
      </c>
      <c r="X174" s="43" t="n">
        <f aca="false">SUMIFS(Data!$Q$782:$Q$2370,Data!$H$782:$H$2370,B174)</f>
        <v>0</v>
      </c>
      <c r="Y174" s="42" t="n">
        <f aca="false">SUMIFS(Data!$R$2371:$R$3999,Data!$H$2371:$H$3999,B174)</f>
        <v>0</v>
      </c>
      <c r="Z174" s="43" t="n">
        <f aca="false">SUMIFS(Data!$Q$2371:$Q$3999,Data!$H$2371:$H$3999,B174)</f>
        <v>0</v>
      </c>
      <c r="AA174" s="48" t="n">
        <f aca="false">V174+U174+O174+N174+K174+F174+E174+P174</f>
        <v>0</v>
      </c>
      <c r="AB174" s="49" t="n">
        <f aca="false">X174+W174+T174+R174+Q174+L174+H174+G174</f>
        <v>0</v>
      </c>
      <c r="AC174" s="49" t="n">
        <f aca="false">Z174+Y174+T174+S174+M174+J174+I174</f>
        <v>0</v>
      </c>
    </row>
    <row r="175" customFormat="false" ht="23.25" hidden="false" customHeight="true" outlineLevel="0" collapsed="false">
      <c r="A175" s="31" t="n">
        <f aca="false">Data!AE174</f>
        <v>0</v>
      </c>
      <c r="B175" s="31" t="n">
        <f aca="false">Data!AD174</f>
        <v>0</v>
      </c>
      <c r="C175" s="31" t="n">
        <f aca="false">Data!AH174</f>
        <v>0</v>
      </c>
      <c r="D175" s="31" t="n">
        <f aca="false">Data!AF174</f>
        <v>0</v>
      </c>
      <c r="E175" s="42" t="n">
        <f aca="false">SUMIFS(Data!$L$2:$L$781,Data!$H$2:$H$781,B175)</f>
        <v>0</v>
      </c>
      <c r="F175" s="43" t="n">
        <f aca="false">SUMIFS(Data!$K$2:$K$781,Data!$H$2:$H$781,B175)</f>
        <v>0</v>
      </c>
      <c r="G175" s="42" t="n">
        <f aca="false">SUMIFS(Data!$L$782:$L$2370,Data!$H$782:$H$2370,B175)</f>
        <v>0</v>
      </c>
      <c r="H175" s="43" t="n">
        <f aca="false">SUMIFS(Data!$K$782:$K$2370,Data!$H$782:$H$2370,B175)</f>
        <v>0</v>
      </c>
      <c r="I175" s="42" t="n">
        <f aca="false">SUMIFS(Data!$L$2371:$L$3999,Data!$H$2371:$H$3999,B175)</f>
        <v>0</v>
      </c>
      <c r="J175" s="43" t="n">
        <f aca="false">SUMIFS(Data!$K$2371:$K$3999,Data!$H$2371:$H$3999,B175)</f>
        <v>0</v>
      </c>
      <c r="K175" s="44" t="n">
        <f aca="false">SUMIFS(Data!$M$2:$M$781,Data!$H$2:$H$781,B175)</f>
        <v>0</v>
      </c>
      <c r="L175" s="42" t="n">
        <f aca="false">SUMIFS(Data!$M$782:$M$2370,Data!$H$782:$H$2370,B175)</f>
        <v>0</v>
      </c>
      <c r="M175" s="42" t="n">
        <f aca="false">SUMIFS(Data!$M$2371:$M$3999,Data!$H$2371:$H$3999,B175)</f>
        <v>0</v>
      </c>
      <c r="N175" s="45" t="n">
        <f aca="false">SUMIFS(Data!$O$2:$O$781,Data!$H$2:$H$781,B175)</f>
        <v>0</v>
      </c>
      <c r="O175" s="43" t="n">
        <f aca="false">SUMIFS(Data!$N$2:$N$781,Data!$H$2:$H$781,B175)</f>
        <v>0</v>
      </c>
      <c r="P175" s="42" t="n">
        <f aca="false">SUMIFS(Data!$P$2:$P$781,Data!$H$2:$H$781,B175)</f>
        <v>0</v>
      </c>
      <c r="Q175" s="43" t="n">
        <f aca="false">SUMIFS(Data!$O$782:$O$2370,Data!$H$782:$H$2370,B175)</f>
        <v>0</v>
      </c>
      <c r="R175" s="43" t="n">
        <f aca="false">SUMIFS(Data!$N$782:$N$2370,Data!$H$782:$H$2370,B175)</f>
        <v>0</v>
      </c>
      <c r="S175" s="43" t="n">
        <f aca="false">SUMIFS(Data!$O$2371:$O$3999,Data!$H$2371:$H$3999,B175)</f>
        <v>0</v>
      </c>
      <c r="T175" s="43" t="n">
        <f aca="false">SUMIFS(Data!$N$2371:$N$3999,Data!$H$2371:$H$3999,B175)</f>
        <v>0</v>
      </c>
      <c r="U175" s="46" t="n">
        <f aca="false">SUMIFS(Data!$R$2:$R$781,Data!$H$2:$H$781,B175)</f>
        <v>0</v>
      </c>
      <c r="V175" s="47" t="n">
        <f aca="false">SUMIFS(Data!$Q$2:$Q$781,Data!$H$2:$H$781,B175)</f>
        <v>0</v>
      </c>
      <c r="W175" s="42" t="n">
        <f aca="false">SUMIFS(Data!$R$782:$R$2370,Data!$H$782:$H$2370,B175)</f>
        <v>0</v>
      </c>
      <c r="X175" s="43" t="n">
        <f aca="false">SUMIFS(Data!$Q$782:$Q$2370,Data!$H$782:$H$2370,B175)</f>
        <v>0</v>
      </c>
      <c r="Y175" s="42" t="n">
        <f aca="false">SUMIFS(Data!$R$2371:$R$3999,Data!$H$2371:$H$3999,B175)</f>
        <v>0</v>
      </c>
      <c r="Z175" s="43" t="n">
        <f aca="false">SUMIFS(Data!$Q$2371:$Q$3999,Data!$H$2371:$H$3999,B175)</f>
        <v>0</v>
      </c>
      <c r="AA175" s="48" t="n">
        <f aca="false">V175+U175+O175+N175+K175+F175+E175+P175</f>
        <v>0</v>
      </c>
      <c r="AB175" s="49" t="n">
        <f aca="false">X175+W175+T175+R175+Q175+L175+H175+G175</f>
        <v>0</v>
      </c>
      <c r="AC175" s="49" t="n">
        <f aca="false">Z175+Y175+T175+S175+M175+J175+I175</f>
        <v>0</v>
      </c>
    </row>
    <row r="176" customFormat="false" ht="23.25" hidden="false" customHeight="true" outlineLevel="0" collapsed="false">
      <c r="A176" s="31" t="n">
        <f aca="false">Data!AE175</f>
        <v>0</v>
      </c>
      <c r="B176" s="31" t="n">
        <f aca="false">Data!AD175</f>
        <v>0</v>
      </c>
      <c r="C176" s="31" t="n">
        <f aca="false">Data!AH175</f>
        <v>0</v>
      </c>
      <c r="D176" s="31" t="n">
        <f aca="false">Data!AF175</f>
        <v>0</v>
      </c>
      <c r="E176" s="42" t="n">
        <f aca="false">SUMIFS(Data!$L$2:$L$781,Data!$H$2:$H$781,B176)</f>
        <v>0</v>
      </c>
      <c r="F176" s="43" t="n">
        <f aca="false">SUMIFS(Data!$K$2:$K$781,Data!$H$2:$H$781,B176)</f>
        <v>0</v>
      </c>
      <c r="G176" s="42" t="n">
        <f aca="false">SUMIFS(Data!$L$782:$L$2370,Data!$H$782:$H$2370,B176)</f>
        <v>0</v>
      </c>
      <c r="H176" s="43" t="n">
        <f aca="false">SUMIFS(Data!$K$782:$K$2370,Data!$H$782:$H$2370,B176)</f>
        <v>0</v>
      </c>
      <c r="I176" s="42" t="n">
        <f aca="false">SUMIFS(Data!$L$2371:$L$3999,Data!$H$2371:$H$3999,B176)</f>
        <v>0</v>
      </c>
      <c r="J176" s="43" t="n">
        <f aca="false">SUMIFS(Data!$K$2371:$K$3999,Data!$H$2371:$H$3999,B176)</f>
        <v>0</v>
      </c>
      <c r="K176" s="44" t="n">
        <f aca="false">SUMIFS(Data!$M$2:$M$781,Data!$H$2:$H$781,B176)</f>
        <v>0</v>
      </c>
      <c r="L176" s="42" t="n">
        <f aca="false">SUMIFS(Data!$M$782:$M$2370,Data!$H$782:$H$2370,B176)</f>
        <v>0</v>
      </c>
      <c r="M176" s="42" t="n">
        <f aca="false">SUMIFS(Data!$M$2371:$M$3999,Data!$H$2371:$H$3999,B176)</f>
        <v>0</v>
      </c>
      <c r="N176" s="45" t="n">
        <f aca="false">SUMIFS(Data!$O$2:$O$781,Data!$H$2:$H$781,B176)</f>
        <v>0</v>
      </c>
      <c r="O176" s="43" t="n">
        <f aca="false">SUMIFS(Data!$N$2:$N$781,Data!$H$2:$H$781,B176)</f>
        <v>0</v>
      </c>
      <c r="P176" s="42" t="n">
        <f aca="false">SUMIFS(Data!$P$2:$P$781,Data!$H$2:$H$781,B176)</f>
        <v>0</v>
      </c>
      <c r="Q176" s="43" t="n">
        <f aca="false">SUMIFS(Data!$O$782:$O$2370,Data!$H$782:$H$2370,B176)</f>
        <v>0</v>
      </c>
      <c r="R176" s="43" t="n">
        <f aca="false">SUMIFS(Data!$N$782:$N$2370,Data!$H$782:$H$2370,B176)</f>
        <v>0</v>
      </c>
      <c r="S176" s="43" t="n">
        <f aca="false">SUMIFS(Data!$O$2371:$O$3999,Data!$H$2371:$H$3999,B176)</f>
        <v>0</v>
      </c>
      <c r="T176" s="43" t="n">
        <f aca="false">SUMIFS(Data!$N$2371:$N$3999,Data!$H$2371:$H$3999,B176)</f>
        <v>0</v>
      </c>
      <c r="U176" s="46" t="n">
        <f aca="false">SUMIFS(Data!$R$2:$R$781,Data!$H$2:$H$781,B176)</f>
        <v>0</v>
      </c>
      <c r="V176" s="47" t="n">
        <f aca="false">SUMIFS(Data!$Q$2:$Q$781,Data!$H$2:$H$781,B176)</f>
        <v>0</v>
      </c>
      <c r="W176" s="42" t="n">
        <f aca="false">SUMIFS(Data!$R$782:$R$2370,Data!$H$782:$H$2370,B176)</f>
        <v>0</v>
      </c>
      <c r="X176" s="43" t="n">
        <f aca="false">SUMIFS(Data!$Q$782:$Q$2370,Data!$H$782:$H$2370,B176)</f>
        <v>0</v>
      </c>
      <c r="Y176" s="42" t="n">
        <f aca="false">SUMIFS(Data!$R$2371:$R$3999,Data!$H$2371:$H$3999,B176)</f>
        <v>0</v>
      </c>
      <c r="Z176" s="43" t="n">
        <f aca="false">SUMIFS(Data!$Q$2371:$Q$3999,Data!$H$2371:$H$3999,B176)</f>
        <v>0</v>
      </c>
      <c r="AA176" s="48" t="n">
        <f aca="false">V176+U176+O176+N176+K176+F176+E176+P176</f>
        <v>0</v>
      </c>
      <c r="AB176" s="49" t="n">
        <f aca="false">X176+W176+T176+R176+Q176+L176+H176+G176</f>
        <v>0</v>
      </c>
      <c r="AC176" s="49" t="n">
        <f aca="false">Z176+Y176+T176+S176+M176+J176+I176</f>
        <v>0</v>
      </c>
    </row>
    <row r="177" customFormat="false" ht="23.25" hidden="false" customHeight="true" outlineLevel="0" collapsed="false">
      <c r="A177" s="31" t="n">
        <f aca="false">Data!AE176</f>
        <v>0</v>
      </c>
      <c r="B177" s="31" t="n">
        <f aca="false">Data!AD176</f>
        <v>0</v>
      </c>
      <c r="C177" s="31" t="n">
        <f aca="false">Data!AH176</f>
        <v>0</v>
      </c>
      <c r="D177" s="31" t="n">
        <f aca="false">Data!AF176</f>
        <v>0</v>
      </c>
      <c r="E177" s="42" t="n">
        <f aca="false">SUMIFS(Data!$L$2:$L$781,Data!$H$2:$H$781,B177)</f>
        <v>0</v>
      </c>
      <c r="F177" s="43" t="n">
        <f aca="false">SUMIFS(Data!$K$2:$K$781,Data!$H$2:$H$781,B177)</f>
        <v>0</v>
      </c>
      <c r="G177" s="42" t="n">
        <f aca="false">SUMIFS(Data!$L$782:$L$2370,Data!$H$782:$H$2370,B177)</f>
        <v>0</v>
      </c>
      <c r="H177" s="43" t="n">
        <f aca="false">SUMIFS(Data!$K$782:$K$2370,Data!$H$782:$H$2370,B177)</f>
        <v>0</v>
      </c>
      <c r="I177" s="42" t="n">
        <f aca="false">SUMIFS(Data!$L$2371:$L$3999,Data!$H$2371:$H$3999,B177)</f>
        <v>0</v>
      </c>
      <c r="J177" s="43" t="n">
        <f aca="false">SUMIFS(Data!$K$2371:$K$3999,Data!$H$2371:$H$3999,B177)</f>
        <v>0</v>
      </c>
      <c r="K177" s="44" t="n">
        <f aca="false">SUMIFS(Data!$M$2:$M$781,Data!$H$2:$H$781,B177)</f>
        <v>0</v>
      </c>
      <c r="L177" s="42" t="n">
        <f aca="false">SUMIFS(Data!$M$782:$M$2370,Data!$H$782:$H$2370,B177)</f>
        <v>0</v>
      </c>
      <c r="M177" s="42" t="n">
        <f aca="false">SUMIFS(Data!$M$2371:$M$3999,Data!$H$2371:$H$3999,B177)</f>
        <v>0</v>
      </c>
      <c r="N177" s="45" t="n">
        <f aca="false">SUMIFS(Data!$O$2:$O$781,Data!$H$2:$H$781,B177)</f>
        <v>0</v>
      </c>
      <c r="O177" s="43" t="n">
        <f aca="false">SUMIFS(Data!$N$2:$N$781,Data!$H$2:$H$781,B177)</f>
        <v>0</v>
      </c>
      <c r="P177" s="42" t="n">
        <f aca="false">SUMIFS(Data!$P$2:$P$781,Data!$H$2:$H$781,B177)</f>
        <v>0</v>
      </c>
      <c r="Q177" s="43" t="n">
        <f aca="false">SUMIFS(Data!$O$782:$O$2370,Data!$H$782:$H$2370,B177)</f>
        <v>0</v>
      </c>
      <c r="R177" s="43" t="n">
        <f aca="false">SUMIFS(Data!$N$782:$N$2370,Data!$H$782:$H$2370,B177)</f>
        <v>0</v>
      </c>
      <c r="S177" s="43" t="n">
        <f aca="false">SUMIFS(Data!$O$2371:$O$3999,Data!$H$2371:$H$3999,B177)</f>
        <v>0</v>
      </c>
      <c r="T177" s="43" t="n">
        <f aca="false">SUMIFS(Data!$N$2371:$N$3999,Data!$H$2371:$H$3999,B177)</f>
        <v>0</v>
      </c>
      <c r="U177" s="46" t="n">
        <f aca="false">SUMIFS(Data!$R$2:$R$781,Data!$H$2:$H$781,B177)</f>
        <v>0</v>
      </c>
      <c r="V177" s="47" t="n">
        <f aca="false">SUMIFS(Data!$Q$2:$Q$781,Data!$H$2:$H$781,B177)</f>
        <v>0</v>
      </c>
      <c r="W177" s="42" t="n">
        <f aca="false">SUMIFS(Data!$R$782:$R$2370,Data!$H$782:$H$2370,B177)</f>
        <v>0</v>
      </c>
      <c r="X177" s="43" t="n">
        <f aca="false">SUMIFS(Data!$Q$782:$Q$2370,Data!$H$782:$H$2370,B177)</f>
        <v>0</v>
      </c>
      <c r="Y177" s="42" t="n">
        <f aca="false">SUMIFS(Data!$R$2371:$R$3999,Data!$H$2371:$H$3999,B177)</f>
        <v>0</v>
      </c>
      <c r="Z177" s="43" t="n">
        <f aca="false">SUMIFS(Data!$Q$2371:$Q$3999,Data!$H$2371:$H$3999,B177)</f>
        <v>0</v>
      </c>
      <c r="AA177" s="48" t="n">
        <f aca="false">V177+U177+O177+N177+K177+F177+E177+P177</f>
        <v>0</v>
      </c>
      <c r="AB177" s="49" t="n">
        <f aca="false">X177+W177+T177+R177+Q177+L177+H177+G177</f>
        <v>0</v>
      </c>
      <c r="AC177" s="49" t="n">
        <f aca="false">Z177+Y177+T177+S177+M177+J177+I177</f>
        <v>0</v>
      </c>
    </row>
    <row r="178" customFormat="false" ht="23.25" hidden="false" customHeight="true" outlineLevel="0" collapsed="false">
      <c r="A178" s="31" t="n">
        <f aca="false">Data!AE177</f>
        <v>590</v>
      </c>
      <c r="B178" s="31" t="str">
        <f aca="false">Data!AD177</f>
        <v>الموتر تبوك</v>
      </c>
      <c r="C178" s="31" t="n">
        <f aca="false">Data!AH177</f>
        <v>0</v>
      </c>
      <c r="D178" s="31" t="str">
        <f aca="false">Data!AF177</f>
        <v>البدع</v>
      </c>
      <c r="E178" s="42" t="n">
        <f aca="false">SUMIFS(Data!$L$2:$L$781,Data!$H$2:$H$781,B178)</f>
        <v>0</v>
      </c>
      <c r="F178" s="43" t="n">
        <f aca="false">SUMIFS(Data!$K$2:$K$781,Data!$H$2:$H$781,B178)</f>
        <v>0</v>
      </c>
      <c r="G178" s="42" t="n">
        <f aca="false">SUMIFS(Data!$L$782:$L$2370,Data!$H$782:$H$2370,B178)</f>
        <v>0</v>
      </c>
      <c r="H178" s="43" t="n">
        <f aca="false">SUMIFS(Data!$K$782:$K$2370,Data!$H$782:$H$2370,B178)</f>
        <v>3</v>
      </c>
      <c r="I178" s="42" t="n">
        <f aca="false">SUMIFS(Data!$L$2371:$L$3999,Data!$H$2371:$H$3999,B178)</f>
        <v>0</v>
      </c>
      <c r="J178" s="43" t="n">
        <f aca="false">SUMIFS(Data!$K$2371:$K$3999,Data!$H$2371:$H$3999,B178)</f>
        <v>0</v>
      </c>
      <c r="K178" s="44" t="n">
        <f aca="false">SUMIFS(Data!$M$2:$M$781,Data!$H$2:$H$781,B178)</f>
        <v>0</v>
      </c>
      <c r="L178" s="42" t="n">
        <f aca="false">SUMIFS(Data!$M$782:$M$2370,Data!$H$782:$H$2370,B178)</f>
        <v>0</v>
      </c>
      <c r="M178" s="42" t="n">
        <f aca="false">SUMIFS(Data!$M$2371:$M$3999,Data!$H$2371:$H$3999,B178)</f>
        <v>0</v>
      </c>
      <c r="N178" s="45" t="n">
        <f aca="false">SUMIFS(Data!$O$2:$O$781,Data!$H$2:$H$781,B178)</f>
        <v>0</v>
      </c>
      <c r="O178" s="43" t="n">
        <f aca="false">SUMIFS(Data!$N$2:$N$781,Data!$H$2:$H$781,B178)</f>
        <v>0</v>
      </c>
      <c r="P178" s="42" t="n">
        <f aca="false">SUMIFS(Data!$P$2:$P$781,Data!$H$2:$H$781,B178)</f>
        <v>0</v>
      </c>
      <c r="Q178" s="43" t="n">
        <f aca="false">SUMIFS(Data!$O$782:$O$2370,Data!$H$782:$H$2370,B178)</f>
        <v>2</v>
      </c>
      <c r="R178" s="43" t="n">
        <f aca="false">SUMIFS(Data!$N$782:$N$2370,Data!$H$782:$H$2370,B178)</f>
        <v>3</v>
      </c>
      <c r="S178" s="43" t="n">
        <f aca="false">SUMIFS(Data!$O$2371:$O$3999,Data!$H$2371:$H$3999,B178)</f>
        <v>0</v>
      </c>
      <c r="T178" s="43" t="n">
        <f aca="false">SUMIFS(Data!$N$2371:$N$3999,Data!$H$2371:$H$3999,B178)</f>
        <v>0</v>
      </c>
      <c r="U178" s="46" t="n">
        <f aca="false">SUMIFS(Data!$R$2:$R$781,Data!$H$2:$H$781,B178)</f>
        <v>0</v>
      </c>
      <c r="V178" s="47" t="n">
        <f aca="false">SUMIFS(Data!$Q$2:$Q$781,Data!$H$2:$H$781,B178)</f>
        <v>1</v>
      </c>
      <c r="W178" s="42" t="n">
        <f aca="false">SUMIFS(Data!$R$782:$R$2370,Data!$H$782:$H$2370,B178)</f>
        <v>0</v>
      </c>
      <c r="X178" s="43" t="n">
        <f aca="false">SUMIFS(Data!$Q$782:$Q$2370,Data!$H$782:$H$2370,B178)</f>
        <v>8</v>
      </c>
      <c r="Y178" s="42" t="n">
        <f aca="false">SUMIFS(Data!$R$2371:$R$3999,Data!$H$2371:$H$3999,B178)</f>
        <v>0</v>
      </c>
      <c r="Z178" s="43" t="n">
        <f aca="false">SUMIFS(Data!$Q$2371:$Q$3999,Data!$H$2371:$H$3999,B178)</f>
        <v>0</v>
      </c>
      <c r="AA178" s="48" t="n">
        <f aca="false">V178+U178+O178+N178+K178+F178+E178+P178</f>
        <v>1</v>
      </c>
      <c r="AB178" s="49" t="n">
        <f aca="false">X178+W178+T178+R178+Q178+L178+H178+G178</f>
        <v>16</v>
      </c>
      <c r="AC178" s="49" t="n">
        <f aca="false">Z178+Y178+T178+S178+M178+J178+I178</f>
        <v>0</v>
      </c>
    </row>
    <row r="179" customFormat="false" ht="23.25" hidden="false" customHeight="true" outlineLevel="0" collapsed="false">
      <c r="A179" s="31" t="n">
        <f aca="false">Data!AE178</f>
        <v>750</v>
      </c>
      <c r="B179" s="31" t="str">
        <f aca="false">Data!AD178</f>
        <v>درة المسار</v>
      </c>
      <c r="C179" s="31" t="n">
        <f aca="false">Data!AH178</f>
        <v>530320041</v>
      </c>
      <c r="D179" s="31" t="str">
        <f aca="false">Data!AF178</f>
        <v>تبوك</v>
      </c>
      <c r="E179" s="42" t="n">
        <f aca="false">SUMIFS(Data!$L$2:$L$781,Data!$H$2:$H$781,B179)</f>
        <v>0</v>
      </c>
      <c r="F179" s="43" t="n">
        <f aca="false">SUMIFS(Data!$K$2:$K$781,Data!$H$2:$H$781,B179)</f>
        <v>0</v>
      </c>
      <c r="G179" s="42" t="n">
        <f aca="false">SUMIFS(Data!$L$782:$L$2370,Data!$H$782:$H$2370,B179)</f>
        <v>3</v>
      </c>
      <c r="H179" s="43" t="n">
        <f aca="false">SUMIFS(Data!$K$782:$K$2370,Data!$H$782:$H$2370,B179)</f>
        <v>22</v>
      </c>
      <c r="I179" s="42" t="n">
        <f aca="false">SUMIFS(Data!$L$2371:$L$3999,Data!$H$2371:$H$3999,B179)</f>
        <v>0</v>
      </c>
      <c r="J179" s="43" t="n">
        <f aca="false">SUMIFS(Data!$K$2371:$K$3999,Data!$H$2371:$H$3999,B179)</f>
        <v>0</v>
      </c>
      <c r="K179" s="44" t="n">
        <f aca="false">SUMIFS(Data!$M$2:$M$781,Data!$H$2:$H$781,B179)</f>
        <v>0</v>
      </c>
      <c r="L179" s="42" t="n">
        <f aca="false">SUMIFS(Data!$M$782:$M$2370,Data!$H$782:$H$2370,B179)</f>
        <v>5</v>
      </c>
      <c r="M179" s="42" t="n">
        <f aca="false">SUMIFS(Data!$M$2371:$M$3999,Data!$H$2371:$H$3999,B179)</f>
        <v>0</v>
      </c>
      <c r="N179" s="45" t="n">
        <f aca="false">SUMIFS(Data!$O$2:$O$781,Data!$H$2:$H$781,B179)</f>
        <v>0</v>
      </c>
      <c r="O179" s="43" t="n">
        <f aca="false">SUMIFS(Data!$N$2:$N$781,Data!$H$2:$H$781,B179)</f>
        <v>0</v>
      </c>
      <c r="P179" s="42" t="n">
        <f aca="false">SUMIFS(Data!$P$2:$P$781,Data!$H$2:$H$781,B179)</f>
        <v>0</v>
      </c>
      <c r="Q179" s="43" t="n">
        <f aca="false">SUMIFS(Data!$O$782:$O$2370,Data!$H$782:$H$2370,B179)</f>
        <v>0</v>
      </c>
      <c r="R179" s="43" t="n">
        <f aca="false">SUMIFS(Data!$N$782:$N$2370,Data!$H$782:$H$2370,B179)</f>
        <v>0</v>
      </c>
      <c r="S179" s="43" t="n">
        <f aca="false">SUMIFS(Data!$O$2371:$O$3999,Data!$H$2371:$H$3999,B179)</f>
        <v>0</v>
      </c>
      <c r="T179" s="43" t="n">
        <f aca="false">SUMIFS(Data!$N$2371:$N$3999,Data!$H$2371:$H$3999,B179)</f>
        <v>0</v>
      </c>
      <c r="U179" s="46" t="n">
        <f aca="false">SUMIFS(Data!$R$2:$R$781,Data!$H$2:$H$781,B179)</f>
        <v>0</v>
      </c>
      <c r="V179" s="47" t="n">
        <f aca="false">SUMIFS(Data!$Q$2:$Q$781,Data!$H$2:$H$781,B179)</f>
        <v>0</v>
      </c>
      <c r="W179" s="42" t="n">
        <f aca="false">SUMIFS(Data!$R$782:$R$2370,Data!$H$782:$H$2370,B179)</f>
        <v>1</v>
      </c>
      <c r="X179" s="43" t="n">
        <f aca="false">SUMIFS(Data!$Q$782:$Q$2370,Data!$H$782:$H$2370,B179)</f>
        <v>2</v>
      </c>
      <c r="Y179" s="42" t="n">
        <f aca="false">SUMIFS(Data!$R$2371:$R$3999,Data!$H$2371:$H$3999,B179)</f>
        <v>0</v>
      </c>
      <c r="Z179" s="43" t="n">
        <f aca="false">SUMIFS(Data!$Q$2371:$Q$3999,Data!$H$2371:$H$3999,B179)</f>
        <v>0</v>
      </c>
      <c r="AA179" s="48" t="n">
        <f aca="false">V179+U179+O179+N179+K179+F179+E179+P179</f>
        <v>0</v>
      </c>
      <c r="AB179" s="49" t="n">
        <f aca="false">X179+W179+T179+R179+Q179+L179+H179+G179</f>
        <v>33</v>
      </c>
      <c r="AC179" s="49" t="n">
        <f aca="false">Z179+Y179+T179+S179+M179+J179+I179</f>
        <v>0</v>
      </c>
    </row>
    <row r="180" customFormat="false" ht="23.25" hidden="false" customHeight="true" outlineLevel="0" collapsed="false">
      <c r="A180" s="31" t="n">
        <f aca="false">Data!AE179</f>
        <v>587</v>
      </c>
      <c r="B180" s="31" t="str">
        <f aca="false">Data!AD179</f>
        <v>درة المتميز</v>
      </c>
      <c r="C180" s="31" t="n">
        <f aca="false">Data!AH179</f>
        <v>0</v>
      </c>
      <c r="D180" s="31" t="str">
        <f aca="false">Data!AF179</f>
        <v>تبوك</v>
      </c>
      <c r="E180" s="42" t="n">
        <f aca="false">SUMIFS(Data!$L$2:$L$781,Data!$H$2:$H$781,B180)</f>
        <v>0</v>
      </c>
      <c r="F180" s="43" t="n">
        <f aca="false">SUMIFS(Data!$K$2:$K$781,Data!$H$2:$H$781,B180)</f>
        <v>0</v>
      </c>
      <c r="G180" s="42" t="n">
        <f aca="false">SUMIFS(Data!$L$782:$L$2370,Data!$H$782:$H$2370,B180)</f>
        <v>0</v>
      </c>
      <c r="H180" s="43" t="n">
        <f aca="false">SUMIFS(Data!$K$782:$K$2370,Data!$H$782:$H$2370,B180)</f>
        <v>1</v>
      </c>
      <c r="I180" s="42" t="n">
        <f aca="false">SUMIFS(Data!$L$2371:$L$3999,Data!$H$2371:$H$3999,B180)</f>
        <v>0</v>
      </c>
      <c r="J180" s="43" t="n">
        <f aca="false">SUMIFS(Data!$K$2371:$K$3999,Data!$H$2371:$H$3999,B180)</f>
        <v>0</v>
      </c>
      <c r="K180" s="44" t="n">
        <f aca="false">SUMIFS(Data!$M$2:$M$781,Data!$H$2:$H$781,B180)</f>
        <v>0</v>
      </c>
      <c r="L180" s="42" t="n">
        <f aca="false">SUMIFS(Data!$M$782:$M$2370,Data!$H$782:$H$2370,B180)</f>
        <v>0</v>
      </c>
      <c r="M180" s="42" t="n">
        <f aca="false">SUMIFS(Data!$M$2371:$M$3999,Data!$H$2371:$H$3999,B180)</f>
        <v>0</v>
      </c>
      <c r="N180" s="45" t="n">
        <f aca="false">SUMIFS(Data!$O$2:$O$781,Data!$H$2:$H$781,B180)</f>
        <v>0</v>
      </c>
      <c r="O180" s="43" t="n">
        <f aca="false">SUMIFS(Data!$N$2:$N$781,Data!$H$2:$H$781,B180)</f>
        <v>4</v>
      </c>
      <c r="P180" s="42" t="n">
        <f aca="false">SUMIFS(Data!$P$2:$P$781,Data!$H$2:$H$781,B180)</f>
        <v>0</v>
      </c>
      <c r="Q180" s="43" t="n">
        <f aca="false">SUMIFS(Data!$O$782:$O$2370,Data!$H$782:$H$2370,B180)</f>
        <v>0</v>
      </c>
      <c r="R180" s="43" t="n">
        <f aca="false">SUMIFS(Data!$N$782:$N$2370,Data!$H$782:$H$2370,B180)</f>
        <v>39</v>
      </c>
      <c r="S180" s="43" t="n">
        <f aca="false">SUMIFS(Data!$O$2371:$O$3999,Data!$H$2371:$H$3999,B180)</f>
        <v>0</v>
      </c>
      <c r="T180" s="43" t="n">
        <f aca="false">SUMIFS(Data!$N$2371:$N$3999,Data!$H$2371:$H$3999,B180)</f>
        <v>0</v>
      </c>
      <c r="U180" s="46" t="n">
        <f aca="false">SUMIFS(Data!$R$2:$R$781,Data!$H$2:$H$781,B180)</f>
        <v>4</v>
      </c>
      <c r="V180" s="47" t="n">
        <f aca="false">SUMIFS(Data!$Q$2:$Q$781,Data!$H$2:$H$781,B180)</f>
        <v>0</v>
      </c>
      <c r="W180" s="42" t="n">
        <f aca="false">SUMIFS(Data!$R$782:$R$2370,Data!$H$782:$H$2370,B180)</f>
        <v>12</v>
      </c>
      <c r="X180" s="43" t="n">
        <f aca="false">SUMIFS(Data!$Q$782:$Q$2370,Data!$H$782:$H$2370,B180)</f>
        <v>2</v>
      </c>
      <c r="Y180" s="42" t="n">
        <f aca="false">SUMIFS(Data!$R$2371:$R$3999,Data!$H$2371:$H$3999,B180)</f>
        <v>0</v>
      </c>
      <c r="Z180" s="43" t="n">
        <f aca="false">SUMIFS(Data!$Q$2371:$Q$3999,Data!$H$2371:$H$3999,B180)</f>
        <v>0</v>
      </c>
      <c r="AA180" s="48" t="n">
        <f aca="false">V180+U180+O180+N180+K180+F180+E180+P180</f>
        <v>8</v>
      </c>
      <c r="AB180" s="49" t="n">
        <f aca="false">X180+W180+T180+R180+Q180+L180+H180+G180</f>
        <v>54</v>
      </c>
      <c r="AC180" s="49" t="n">
        <f aca="false">Z180+Y180+T180+S180+M180+J180+I180</f>
        <v>0</v>
      </c>
    </row>
    <row r="181" customFormat="false" ht="23.25" hidden="false" customHeight="true" outlineLevel="0" collapsed="false">
      <c r="A181" s="31" t="n">
        <f aca="false">Data!AE180</f>
        <v>759</v>
      </c>
      <c r="B181" s="31" t="str">
        <f aca="false">Data!AD180</f>
        <v>خالد القعير</v>
      </c>
      <c r="C181" s="31" t="n">
        <f aca="false">Data!AH180</f>
        <v>0</v>
      </c>
      <c r="D181" s="31" t="str">
        <f aca="false">Data!AF180</f>
        <v>تبوك</v>
      </c>
      <c r="E181" s="42" t="n">
        <f aca="false">SUMIFS(Data!$L$2:$L$781,Data!$H$2:$H$781,B181)</f>
        <v>0</v>
      </c>
      <c r="F181" s="43" t="n">
        <f aca="false">SUMIFS(Data!$K$2:$K$781,Data!$H$2:$H$781,B181)</f>
        <v>0</v>
      </c>
      <c r="G181" s="42" t="n">
        <f aca="false">SUMIFS(Data!$L$782:$L$2370,Data!$H$782:$H$2370,B181)</f>
        <v>0</v>
      </c>
      <c r="H181" s="43" t="n">
        <f aca="false">SUMIFS(Data!$K$782:$K$2370,Data!$H$782:$H$2370,B181)</f>
        <v>0</v>
      </c>
      <c r="I181" s="42" t="n">
        <f aca="false">SUMIFS(Data!$L$2371:$L$3999,Data!$H$2371:$H$3999,B181)</f>
        <v>0</v>
      </c>
      <c r="J181" s="43" t="n">
        <f aca="false">SUMIFS(Data!$K$2371:$K$3999,Data!$H$2371:$H$3999,B181)</f>
        <v>0</v>
      </c>
      <c r="K181" s="44" t="n">
        <f aca="false">SUMIFS(Data!$M$2:$M$781,Data!$H$2:$H$781,B181)</f>
        <v>0</v>
      </c>
      <c r="L181" s="42" t="n">
        <f aca="false">SUMIFS(Data!$M$782:$M$2370,Data!$H$782:$H$2370,B181)</f>
        <v>0</v>
      </c>
      <c r="M181" s="42" t="n">
        <f aca="false">SUMIFS(Data!$M$2371:$M$3999,Data!$H$2371:$H$3999,B181)</f>
        <v>0</v>
      </c>
      <c r="N181" s="45" t="n">
        <f aca="false">SUMIFS(Data!$O$2:$O$781,Data!$H$2:$H$781,B181)</f>
        <v>0</v>
      </c>
      <c r="O181" s="43" t="n">
        <f aca="false">SUMIFS(Data!$N$2:$N$781,Data!$H$2:$H$781,B181)</f>
        <v>0</v>
      </c>
      <c r="P181" s="42" t="n">
        <f aca="false">SUMIFS(Data!$P$2:$P$781,Data!$H$2:$H$781,B181)</f>
        <v>0</v>
      </c>
      <c r="Q181" s="43" t="n">
        <f aca="false">SUMIFS(Data!$O$782:$O$2370,Data!$H$782:$H$2370,B181)</f>
        <v>0</v>
      </c>
      <c r="R181" s="43" t="n">
        <f aca="false">SUMIFS(Data!$N$782:$N$2370,Data!$H$782:$H$2370,B181)</f>
        <v>2</v>
      </c>
      <c r="S181" s="43" t="n">
        <f aca="false">SUMIFS(Data!$O$2371:$O$3999,Data!$H$2371:$H$3999,B181)</f>
        <v>0</v>
      </c>
      <c r="T181" s="43" t="n">
        <f aca="false">SUMIFS(Data!$N$2371:$N$3999,Data!$H$2371:$H$3999,B181)</f>
        <v>0</v>
      </c>
      <c r="U181" s="46" t="n">
        <f aca="false">SUMIFS(Data!$R$2:$R$781,Data!$H$2:$H$781,B181)</f>
        <v>0</v>
      </c>
      <c r="V181" s="47" t="n">
        <f aca="false">SUMIFS(Data!$Q$2:$Q$781,Data!$H$2:$H$781,B181)</f>
        <v>0</v>
      </c>
      <c r="W181" s="42" t="n">
        <f aca="false">SUMIFS(Data!$R$782:$R$2370,Data!$H$782:$H$2370,B181)</f>
        <v>0</v>
      </c>
      <c r="X181" s="43" t="n">
        <f aca="false">SUMIFS(Data!$Q$782:$Q$2370,Data!$H$782:$H$2370,B181)</f>
        <v>2</v>
      </c>
      <c r="Y181" s="42" t="n">
        <f aca="false">SUMIFS(Data!$R$2371:$R$3999,Data!$H$2371:$H$3999,B181)</f>
        <v>0</v>
      </c>
      <c r="Z181" s="43" t="n">
        <f aca="false">SUMIFS(Data!$Q$2371:$Q$3999,Data!$H$2371:$H$3999,B181)</f>
        <v>0</v>
      </c>
      <c r="AA181" s="48" t="n">
        <f aca="false">V181+U181+O181+N181+K181+F181+E181+P181</f>
        <v>0</v>
      </c>
      <c r="AB181" s="49" t="n">
        <f aca="false">X181+W181+T181+R181+Q181+L181+H181+G181</f>
        <v>4</v>
      </c>
      <c r="AC181" s="49" t="n">
        <f aca="false">Z181+Y181+T181+S181+M181+J181+I181</f>
        <v>0</v>
      </c>
    </row>
    <row r="182" customFormat="false" ht="23.25" hidden="false" customHeight="true" outlineLevel="0" collapsed="false">
      <c r="A182" s="31" t="n">
        <f aca="false">Data!AE181</f>
        <v>811</v>
      </c>
      <c r="B182" s="31" t="str">
        <f aca="false">Data!AD181</f>
        <v>الامتياز</v>
      </c>
      <c r="C182" s="31" t="n">
        <f aca="false">Data!AH181</f>
        <v>0</v>
      </c>
      <c r="D182" s="31" t="str">
        <f aca="false">Data!AF181</f>
        <v>تبوك</v>
      </c>
      <c r="E182" s="42" t="n">
        <f aca="false">SUMIFS(Data!$L$2:$L$781,Data!$H$2:$H$781,B182)</f>
        <v>0</v>
      </c>
      <c r="F182" s="43" t="n">
        <f aca="false">SUMIFS(Data!$K$2:$K$781,Data!$H$2:$H$781,B182)</f>
        <v>0</v>
      </c>
      <c r="G182" s="42" t="n">
        <f aca="false">SUMIFS(Data!$L$782:$L$2370,Data!$H$782:$H$2370,B182)</f>
        <v>0</v>
      </c>
      <c r="H182" s="43" t="n">
        <f aca="false">SUMIFS(Data!$K$782:$K$2370,Data!$H$782:$H$2370,B182)</f>
        <v>0</v>
      </c>
      <c r="I182" s="42" t="n">
        <f aca="false">SUMIFS(Data!$L$2371:$L$3999,Data!$H$2371:$H$3999,B182)</f>
        <v>0</v>
      </c>
      <c r="J182" s="43" t="n">
        <f aca="false">SUMIFS(Data!$K$2371:$K$3999,Data!$H$2371:$H$3999,B182)</f>
        <v>0</v>
      </c>
      <c r="K182" s="44" t="n">
        <f aca="false">SUMIFS(Data!$M$2:$M$781,Data!$H$2:$H$781,B182)</f>
        <v>0</v>
      </c>
      <c r="L182" s="42" t="n">
        <f aca="false">SUMIFS(Data!$M$782:$M$2370,Data!$H$782:$H$2370,B182)</f>
        <v>1</v>
      </c>
      <c r="M182" s="42" t="n">
        <f aca="false">SUMIFS(Data!$M$2371:$M$3999,Data!$H$2371:$H$3999,B182)</f>
        <v>0</v>
      </c>
      <c r="N182" s="45" t="n">
        <f aca="false">SUMIFS(Data!$O$2:$O$781,Data!$H$2:$H$781,B182)</f>
        <v>0</v>
      </c>
      <c r="O182" s="43" t="n">
        <f aca="false">SUMIFS(Data!$N$2:$N$781,Data!$H$2:$H$781,B182)</f>
        <v>0</v>
      </c>
      <c r="P182" s="42" t="n">
        <f aca="false">SUMIFS(Data!$P$2:$P$781,Data!$H$2:$H$781,B182)</f>
        <v>0</v>
      </c>
      <c r="Q182" s="43" t="n">
        <f aca="false">SUMIFS(Data!$O$782:$O$2370,Data!$H$782:$H$2370,B182)</f>
        <v>0</v>
      </c>
      <c r="R182" s="43" t="n">
        <f aca="false">SUMIFS(Data!$N$782:$N$2370,Data!$H$782:$H$2370,B182)</f>
        <v>0</v>
      </c>
      <c r="S182" s="43" t="n">
        <f aca="false">SUMIFS(Data!$O$2371:$O$3999,Data!$H$2371:$H$3999,B182)</f>
        <v>0</v>
      </c>
      <c r="T182" s="43" t="n">
        <f aca="false">SUMIFS(Data!$N$2371:$N$3999,Data!$H$2371:$H$3999,B182)</f>
        <v>0</v>
      </c>
      <c r="U182" s="46" t="n">
        <f aca="false">SUMIFS(Data!$R$2:$R$781,Data!$H$2:$H$781,B182)</f>
        <v>0</v>
      </c>
      <c r="V182" s="47" t="n">
        <f aca="false">SUMIFS(Data!$Q$2:$Q$781,Data!$H$2:$H$781,B182)</f>
        <v>0</v>
      </c>
      <c r="W182" s="42" t="n">
        <f aca="false">SUMIFS(Data!$R$782:$R$2370,Data!$H$782:$H$2370,B182)</f>
        <v>0</v>
      </c>
      <c r="X182" s="43" t="n">
        <f aca="false">SUMIFS(Data!$Q$782:$Q$2370,Data!$H$782:$H$2370,B182)</f>
        <v>0</v>
      </c>
      <c r="Y182" s="42" t="n">
        <f aca="false">SUMIFS(Data!$R$2371:$R$3999,Data!$H$2371:$H$3999,B182)</f>
        <v>0</v>
      </c>
      <c r="Z182" s="43" t="n">
        <f aca="false">SUMIFS(Data!$Q$2371:$Q$3999,Data!$H$2371:$H$3999,B182)</f>
        <v>0</v>
      </c>
      <c r="AA182" s="48" t="n">
        <f aca="false">V182+U182+O182+N182+K182+F182+E182+P182</f>
        <v>0</v>
      </c>
      <c r="AB182" s="49" t="n">
        <f aca="false">X182+W182+T182+R182+Q182+L182+H182+G182</f>
        <v>1</v>
      </c>
      <c r="AC182" s="49" t="n">
        <f aca="false">Z182+Y182+T182+S182+M182+J182+I182</f>
        <v>0</v>
      </c>
    </row>
    <row r="183" customFormat="false" ht="23.25" hidden="false" customHeight="true" outlineLevel="0" collapsed="false">
      <c r="A183" s="31" t="n">
        <f aca="false">Data!AE182</f>
        <v>813</v>
      </c>
      <c r="B183" s="31" t="str">
        <f aca="false">Data!AD182</f>
        <v>حسن السواط</v>
      </c>
      <c r="C183" s="31" t="n">
        <f aca="false">Data!AH182</f>
        <v>0</v>
      </c>
      <c r="D183" s="31" t="str">
        <f aca="false">Data!AF182</f>
        <v>تبوك</v>
      </c>
      <c r="E183" s="42" t="n">
        <f aca="false">SUMIFS(Data!$L$2:$L$781,Data!$H$2:$H$781,B183)</f>
        <v>0</v>
      </c>
      <c r="F183" s="43" t="n">
        <f aca="false">SUMIFS(Data!$K$2:$K$781,Data!$H$2:$H$781,B183)</f>
        <v>0</v>
      </c>
      <c r="G183" s="42" t="n">
        <f aca="false">SUMIFS(Data!$L$782:$L$2370,Data!$H$782:$H$2370,B183)</f>
        <v>0</v>
      </c>
      <c r="H183" s="43" t="n">
        <f aca="false">SUMIFS(Data!$K$782:$K$2370,Data!$H$782:$H$2370,B183)</f>
        <v>15</v>
      </c>
      <c r="I183" s="42" t="n">
        <f aca="false">SUMIFS(Data!$L$2371:$L$3999,Data!$H$2371:$H$3999,B183)</f>
        <v>0</v>
      </c>
      <c r="J183" s="43" t="n">
        <f aca="false">SUMIFS(Data!$K$2371:$K$3999,Data!$H$2371:$H$3999,B183)</f>
        <v>0</v>
      </c>
      <c r="K183" s="44" t="n">
        <f aca="false">SUMIFS(Data!$M$2:$M$781,Data!$H$2:$H$781,B183)</f>
        <v>0</v>
      </c>
      <c r="L183" s="42" t="n">
        <f aca="false">SUMIFS(Data!$M$782:$M$2370,Data!$H$782:$H$2370,B183)</f>
        <v>3</v>
      </c>
      <c r="M183" s="42" t="n">
        <f aca="false">SUMIFS(Data!$M$2371:$M$3999,Data!$H$2371:$H$3999,B183)</f>
        <v>0</v>
      </c>
      <c r="N183" s="45" t="n">
        <f aca="false">SUMIFS(Data!$O$2:$O$781,Data!$H$2:$H$781,B183)</f>
        <v>0</v>
      </c>
      <c r="O183" s="43" t="n">
        <f aca="false">SUMIFS(Data!$N$2:$N$781,Data!$H$2:$H$781,B183)</f>
        <v>0</v>
      </c>
      <c r="P183" s="42" t="n">
        <f aca="false">SUMIFS(Data!$P$2:$P$781,Data!$H$2:$H$781,B183)</f>
        <v>0</v>
      </c>
      <c r="Q183" s="43" t="n">
        <f aca="false">SUMIFS(Data!$O$782:$O$2370,Data!$H$782:$H$2370,B183)</f>
        <v>0</v>
      </c>
      <c r="R183" s="43" t="n">
        <f aca="false">SUMIFS(Data!$N$782:$N$2370,Data!$H$782:$H$2370,B183)</f>
        <v>0</v>
      </c>
      <c r="S183" s="43" t="n">
        <f aca="false">SUMIFS(Data!$O$2371:$O$3999,Data!$H$2371:$H$3999,B183)</f>
        <v>0</v>
      </c>
      <c r="T183" s="43" t="n">
        <f aca="false">SUMIFS(Data!$N$2371:$N$3999,Data!$H$2371:$H$3999,B183)</f>
        <v>0</v>
      </c>
      <c r="U183" s="46" t="n">
        <f aca="false">SUMIFS(Data!$R$2:$R$781,Data!$H$2:$H$781,B183)</f>
        <v>0</v>
      </c>
      <c r="V183" s="47" t="n">
        <f aca="false">SUMIFS(Data!$Q$2:$Q$781,Data!$H$2:$H$781,B183)</f>
        <v>0</v>
      </c>
      <c r="W183" s="42" t="n">
        <f aca="false">SUMIFS(Data!$R$782:$R$2370,Data!$H$782:$H$2370,B183)</f>
        <v>1</v>
      </c>
      <c r="X183" s="43" t="n">
        <f aca="false">SUMIFS(Data!$Q$782:$Q$2370,Data!$H$782:$H$2370,B183)</f>
        <v>4</v>
      </c>
      <c r="Y183" s="42" t="n">
        <f aca="false">SUMIFS(Data!$R$2371:$R$3999,Data!$H$2371:$H$3999,B183)</f>
        <v>0</v>
      </c>
      <c r="Z183" s="43" t="n">
        <f aca="false">SUMIFS(Data!$Q$2371:$Q$3999,Data!$H$2371:$H$3999,B183)</f>
        <v>0</v>
      </c>
      <c r="AA183" s="48" t="n">
        <f aca="false">V183+U183+O183+N183+K183+F183+E183+P183</f>
        <v>0</v>
      </c>
      <c r="AB183" s="49" t="n">
        <f aca="false">X183+W183+T183+R183+Q183+L183+H183+G183</f>
        <v>23</v>
      </c>
      <c r="AC183" s="49" t="n">
        <f aca="false">Z183+Y183+T183+S183+M183+J183+I183</f>
        <v>0</v>
      </c>
    </row>
    <row r="184" customFormat="false" ht="23.25" hidden="false" customHeight="true" outlineLevel="0" collapsed="false">
      <c r="A184" s="31" t="n">
        <f aca="false">Data!AE183</f>
        <v>633</v>
      </c>
      <c r="B184" s="31" t="str">
        <f aca="false">Data!AD183</f>
        <v>الحل الماسي</v>
      </c>
      <c r="C184" s="31" t="n">
        <f aca="false">Data!AH183</f>
        <v>0</v>
      </c>
      <c r="D184" s="31" t="str">
        <f aca="false">Data!AF183</f>
        <v>تبوك</v>
      </c>
      <c r="E184" s="42" t="n">
        <f aca="false">SUMIFS(Data!$L$2:$L$781,Data!$H$2:$H$781,B184)</f>
        <v>0</v>
      </c>
      <c r="F184" s="43" t="n">
        <f aca="false">SUMIFS(Data!$K$2:$K$781,Data!$H$2:$H$781,B184)</f>
        <v>0</v>
      </c>
      <c r="G184" s="42" t="n">
        <f aca="false">SUMIFS(Data!$L$782:$L$2370,Data!$H$782:$H$2370,B184)</f>
        <v>0</v>
      </c>
      <c r="H184" s="43" t="n">
        <f aca="false">SUMIFS(Data!$K$782:$K$2370,Data!$H$782:$H$2370,B184)</f>
        <v>0</v>
      </c>
      <c r="I184" s="42" t="n">
        <f aca="false">SUMIFS(Data!$L$2371:$L$3999,Data!$H$2371:$H$3999,B184)</f>
        <v>0</v>
      </c>
      <c r="J184" s="43" t="n">
        <f aca="false">SUMIFS(Data!$K$2371:$K$3999,Data!$H$2371:$H$3999,B184)</f>
        <v>0</v>
      </c>
      <c r="K184" s="44" t="n">
        <f aca="false">SUMIFS(Data!$M$2:$M$781,Data!$H$2:$H$781,B184)</f>
        <v>0</v>
      </c>
      <c r="L184" s="42" t="n">
        <f aca="false">SUMIFS(Data!$M$782:$M$2370,Data!$H$782:$H$2370,B184)</f>
        <v>0</v>
      </c>
      <c r="M184" s="42" t="n">
        <f aca="false">SUMIFS(Data!$M$2371:$M$3999,Data!$H$2371:$H$3999,B184)</f>
        <v>0</v>
      </c>
      <c r="N184" s="45" t="n">
        <f aca="false">SUMIFS(Data!$O$2:$O$781,Data!$H$2:$H$781,B184)</f>
        <v>1</v>
      </c>
      <c r="O184" s="43" t="n">
        <f aca="false">SUMIFS(Data!$N$2:$N$781,Data!$H$2:$H$781,B184)</f>
        <v>0</v>
      </c>
      <c r="P184" s="42" t="n">
        <f aca="false">SUMIFS(Data!$P$2:$P$781,Data!$H$2:$H$781,B184)</f>
        <v>0</v>
      </c>
      <c r="Q184" s="43" t="n">
        <f aca="false">SUMIFS(Data!$O$782:$O$2370,Data!$H$782:$H$2370,B184)</f>
        <v>0</v>
      </c>
      <c r="R184" s="43" t="n">
        <f aca="false">SUMIFS(Data!$N$782:$N$2370,Data!$H$782:$H$2370,B184)</f>
        <v>0</v>
      </c>
      <c r="S184" s="43" t="n">
        <f aca="false">SUMIFS(Data!$O$2371:$O$3999,Data!$H$2371:$H$3999,B184)</f>
        <v>0</v>
      </c>
      <c r="T184" s="43" t="n">
        <f aca="false">SUMIFS(Data!$N$2371:$N$3999,Data!$H$2371:$H$3999,B184)</f>
        <v>0</v>
      </c>
      <c r="U184" s="46" t="n">
        <f aca="false">SUMIFS(Data!$R$2:$R$781,Data!$H$2:$H$781,B184)</f>
        <v>0</v>
      </c>
      <c r="V184" s="47" t="n">
        <f aca="false">SUMIFS(Data!$Q$2:$Q$781,Data!$H$2:$H$781,B184)</f>
        <v>1</v>
      </c>
      <c r="W184" s="42" t="n">
        <f aca="false">SUMIFS(Data!$R$782:$R$2370,Data!$H$782:$H$2370,B184)</f>
        <v>0</v>
      </c>
      <c r="X184" s="43" t="n">
        <f aca="false">SUMIFS(Data!$Q$782:$Q$2370,Data!$H$782:$H$2370,B184)</f>
        <v>0</v>
      </c>
      <c r="Y184" s="42" t="n">
        <f aca="false">SUMIFS(Data!$R$2371:$R$3999,Data!$H$2371:$H$3999,B184)</f>
        <v>0</v>
      </c>
      <c r="Z184" s="43" t="n">
        <f aca="false">SUMIFS(Data!$Q$2371:$Q$3999,Data!$H$2371:$H$3999,B184)</f>
        <v>0</v>
      </c>
      <c r="AA184" s="48" t="n">
        <f aca="false">V184+U184+O184+N184+K184+F184+E184+P184</f>
        <v>2</v>
      </c>
      <c r="AB184" s="49" t="n">
        <f aca="false">X184+W184+T184+R184+Q184+L184+H184+G184</f>
        <v>0</v>
      </c>
      <c r="AC184" s="49" t="n">
        <f aca="false">Z184+Y184+T184+S184+M184+J184+I184</f>
        <v>0</v>
      </c>
    </row>
    <row r="185" customFormat="false" ht="23.25" hidden="false" customHeight="true" outlineLevel="0" collapsed="false">
      <c r="A185" s="31" t="n">
        <f aca="false">Data!AE184</f>
        <v>810</v>
      </c>
      <c r="B185" s="31" t="str">
        <f aca="false">Data!AD184</f>
        <v>ستار المصيف</v>
      </c>
      <c r="C185" s="31" t="n">
        <f aca="false">Data!AH184</f>
        <v>0</v>
      </c>
      <c r="D185" s="31" t="str">
        <f aca="false">Data!AF184</f>
        <v>تبوك</v>
      </c>
      <c r="E185" s="42" t="n">
        <f aca="false">SUMIFS(Data!$L$2:$L$781,Data!$H$2:$H$781,B185)</f>
        <v>0</v>
      </c>
      <c r="F185" s="43" t="n">
        <f aca="false">SUMIFS(Data!$K$2:$K$781,Data!$H$2:$H$781,B185)</f>
        <v>0</v>
      </c>
      <c r="G185" s="42" t="n">
        <f aca="false">SUMIFS(Data!$L$782:$L$2370,Data!$H$782:$H$2370,B185)</f>
        <v>0</v>
      </c>
      <c r="H185" s="43" t="n">
        <f aca="false">SUMIFS(Data!$K$782:$K$2370,Data!$H$782:$H$2370,B185)</f>
        <v>0</v>
      </c>
      <c r="I185" s="42" t="n">
        <f aca="false">SUMIFS(Data!$L$2371:$L$3999,Data!$H$2371:$H$3999,B185)</f>
        <v>0</v>
      </c>
      <c r="J185" s="43" t="n">
        <f aca="false">SUMIFS(Data!$K$2371:$K$3999,Data!$H$2371:$H$3999,B185)</f>
        <v>0</v>
      </c>
      <c r="K185" s="44" t="n">
        <f aca="false">SUMIFS(Data!$M$2:$M$781,Data!$H$2:$H$781,B185)</f>
        <v>0</v>
      </c>
      <c r="L185" s="42" t="n">
        <f aca="false">SUMIFS(Data!$M$782:$M$2370,Data!$H$782:$H$2370,B185)</f>
        <v>0</v>
      </c>
      <c r="M185" s="42" t="n">
        <f aca="false">SUMIFS(Data!$M$2371:$M$3999,Data!$H$2371:$H$3999,B185)</f>
        <v>0</v>
      </c>
      <c r="N185" s="45" t="n">
        <f aca="false">SUMIFS(Data!$O$2:$O$781,Data!$H$2:$H$781,B185)</f>
        <v>0</v>
      </c>
      <c r="O185" s="43" t="n">
        <f aca="false">SUMIFS(Data!$N$2:$N$781,Data!$H$2:$H$781,B185)</f>
        <v>0</v>
      </c>
      <c r="P185" s="42" t="n">
        <f aca="false">SUMIFS(Data!$P$2:$P$781,Data!$H$2:$H$781,B185)</f>
        <v>0</v>
      </c>
      <c r="Q185" s="43" t="n">
        <f aca="false">SUMIFS(Data!$O$782:$O$2370,Data!$H$782:$H$2370,B185)</f>
        <v>0</v>
      </c>
      <c r="R185" s="43" t="n">
        <f aca="false">SUMIFS(Data!$N$782:$N$2370,Data!$H$782:$H$2370,B185)</f>
        <v>0</v>
      </c>
      <c r="S185" s="43" t="n">
        <f aca="false">SUMIFS(Data!$O$2371:$O$3999,Data!$H$2371:$H$3999,B185)</f>
        <v>0</v>
      </c>
      <c r="T185" s="43" t="n">
        <f aca="false">SUMIFS(Data!$N$2371:$N$3999,Data!$H$2371:$H$3999,B185)</f>
        <v>0</v>
      </c>
      <c r="U185" s="46" t="n">
        <f aca="false">SUMIFS(Data!$R$2:$R$781,Data!$H$2:$H$781,B185)</f>
        <v>0</v>
      </c>
      <c r="V185" s="47" t="n">
        <f aca="false">SUMIFS(Data!$Q$2:$Q$781,Data!$H$2:$H$781,B185)</f>
        <v>0</v>
      </c>
      <c r="W185" s="42" t="n">
        <f aca="false">SUMIFS(Data!$R$782:$R$2370,Data!$H$782:$H$2370,B185)</f>
        <v>1</v>
      </c>
      <c r="X185" s="43" t="n">
        <f aca="false">SUMIFS(Data!$Q$782:$Q$2370,Data!$H$782:$H$2370,B185)</f>
        <v>0</v>
      </c>
      <c r="Y185" s="42" t="n">
        <f aca="false">SUMIFS(Data!$R$2371:$R$3999,Data!$H$2371:$H$3999,B185)</f>
        <v>0</v>
      </c>
      <c r="Z185" s="43" t="n">
        <f aca="false">SUMIFS(Data!$Q$2371:$Q$3999,Data!$H$2371:$H$3999,B185)</f>
        <v>0</v>
      </c>
      <c r="AA185" s="48" t="n">
        <f aca="false">V185+U185+O185+N185+K185+F185+E185+P185</f>
        <v>0</v>
      </c>
      <c r="AB185" s="49" t="n">
        <f aca="false">X185+W185+T185+R185+Q185+L185+H185+G185</f>
        <v>1</v>
      </c>
      <c r="AC185" s="49" t="n">
        <f aca="false">Z185+Y185+T185+S185+M185+J185+I185</f>
        <v>0</v>
      </c>
    </row>
    <row r="186" s="41" customFormat="true" ht="23.25" hidden="false" customHeight="true" outlineLevel="0" collapsed="false">
      <c r="A186" s="31" t="n">
        <f aca="false">Data!AE185</f>
        <v>1002885</v>
      </c>
      <c r="B186" s="31" t="str">
        <f aca="false">Data!AD185</f>
        <v>المفك السحري</v>
      </c>
      <c r="C186" s="31" t="n">
        <f aca="false">Data!AH185</f>
        <v>0</v>
      </c>
      <c r="D186" s="31" t="str">
        <f aca="false">Data!AF185</f>
        <v>تبوك</v>
      </c>
      <c r="E186" s="34" t="n">
        <f aca="false">SUMIFS(Data!$L$2:$L$781,Data!$H$2:$H$781,B186)</f>
        <v>0</v>
      </c>
      <c r="F186" s="33" t="n">
        <f aca="false">SUMIFS(Data!$K$2:$K$781,Data!$H$2:$H$781,B186)</f>
        <v>0</v>
      </c>
      <c r="G186" s="34" t="n">
        <f aca="false">SUMIFS(Data!$L$782:$L$2370,Data!$H$782:$H$2370,B186)</f>
        <v>0</v>
      </c>
      <c r="H186" s="33" t="n">
        <f aca="false">SUMIFS(Data!$K$782:$K$2370,Data!$H$782:$H$2370,B186)</f>
        <v>0</v>
      </c>
      <c r="I186" s="34" t="n">
        <f aca="false">SUMIFS(Data!$L$2371:$L$3999,Data!$H$2371:$H$3999,B186)</f>
        <v>0</v>
      </c>
      <c r="J186" s="33" t="n">
        <f aca="false">SUMIFS(Data!$K$2371:$K$3999,Data!$H$2371:$H$3999,B186)</f>
        <v>0</v>
      </c>
      <c r="K186" s="35" t="n">
        <f aca="false">SUMIFS(Data!$M$2:$M$781,Data!$H$2:$H$781,B186)</f>
        <v>0</v>
      </c>
      <c r="L186" s="34" t="n">
        <f aca="false">SUMIFS(Data!$M$782:$M$2370,Data!$H$782:$H$2370,B186)</f>
        <v>0</v>
      </c>
      <c r="M186" s="34" t="n">
        <f aca="false">SUMIFS(Data!$M$2371:$M$3999,Data!$H$2371:$H$3999,B186)</f>
        <v>0</v>
      </c>
      <c r="N186" s="36" t="n">
        <f aca="false">SUMIFS(Data!$O$2:$O$781,Data!$H$2:$H$781,B186)</f>
        <v>0</v>
      </c>
      <c r="O186" s="33" t="n">
        <f aca="false">SUMIFS(Data!$N$2:$N$781,Data!$H$2:$H$781,B186)</f>
        <v>0</v>
      </c>
      <c r="P186" s="34" t="n">
        <f aca="false">SUMIFS(Data!$P$2:$P$781,Data!$H$2:$H$781,B186)</f>
        <v>0</v>
      </c>
      <c r="Q186" s="33" t="n">
        <f aca="false">SUMIFS(Data!$O$782:$O$2370,Data!$H$782:$H$2370,B186)</f>
        <v>0</v>
      </c>
      <c r="R186" s="33" t="n">
        <f aca="false">SUMIFS(Data!$N$782:$N$2370,Data!$H$782:$H$2370,B186)</f>
        <v>0</v>
      </c>
      <c r="S186" s="33" t="n">
        <f aca="false">SUMIFS(Data!$O$2371:$O$3999,Data!$H$2371:$H$3999,B186)</f>
        <v>0</v>
      </c>
      <c r="T186" s="33" t="n">
        <f aca="false">SUMIFS(Data!$N$2371:$N$3999,Data!$H$2371:$H$3999,B186)</f>
        <v>0</v>
      </c>
      <c r="U186" s="37" t="n">
        <f aca="false">SUMIFS(Data!$R$2:$R$781,Data!$H$2:$H$781,B186)</f>
        <v>0</v>
      </c>
      <c r="V186" s="38" t="n">
        <f aca="false">SUMIFS(Data!$Q$2:$Q$781,Data!$H$2:$H$781,B186)</f>
        <v>0</v>
      </c>
      <c r="W186" s="34" t="n">
        <f aca="false">SUMIFS(Data!$R$782:$R$2370,Data!$H$782:$H$2370,B186)</f>
        <v>0</v>
      </c>
      <c r="X186" s="33" t="n">
        <f aca="false">SUMIFS(Data!$Q$782:$Q$2370,Data!$H$782:$H$2370,B186)</f>
        <v>0</v>
      </c>
      <c r="Y186" s="34" t="n">
        <f aca="false">SUMIFS(Data!$R$2371:$R$3999,Data!$H$2371:$H$3999,B186)</f>
        <v>0</v>
      </c>
      <c r="Z186" s="33" t="n">
        <f aca="false">SUMIFS(Data!$Q$2371:$Q$3999,Data!$H$2371:$H$3999,B186)</f>
        <v>0</v>
      </c>
      <c r="AA186" s="39" t="n">
        <f aca="false">V186+U186+O186+N186+K186+F186+E186+P186</f>
        <v>0</v>
      </c>
      <c r="AB186" s="40" t="n">
        <f aca="false">X186+W186+T186+R186+Q186+L186+H186+G186</f>
        <v>0</v>
      </c>
      <c r="AC186" s="40" t="n">
        <f aca="false">Z186+Y186+T186+S186+M186+J186+I186</f>
        <v>0</v>
      </c>
    </row>
    <row r="187" customFormat="false" ht="23.25" hidden="false" customHeight="true" outlineLevel="0" collapsed="false">
      <c r="A187" s="31" t="n">
        <f aca="false">Data!AE186</f>
        <v>1008277</v>
      </c>
      <c r="B187" s="31" t="str">
        <f aca="false">Data!AD186</f>
        <v>سما الصفا</v>
      </c>
      <c r="C187" s="31" t="n">
        <f aca="false">Data!AH186</f>
        <v>507267349</v>
      </c>
      <c r="D187" s="31" t="str">
        <f aca="false">Data!AF186</f>
        <v>تبوك</v>
      </c>
      <c r="E187" s="42" t="n">
        <f aca="false">SUMIFS(Data!$L$2:$L$781,Data!$H$2:$H$781,B187)</f>
        <v>1</v>
      </c>
      <c r="F187" s="43" t="n">
        <f aca="false">SUMIFS(Data!$K$2:$K$781,Data!$H$2:$H$781,B187)</f>
        <v>4</v>
      </c>
      <c r="G187" s="42" t="n">
        <f aca="false">SUMIFS(Data!$L$782:$L$2370,Data!$H$782:$H$2370,B187)</f>
        <v>0</v>
      </c>
      <c r="H187" s="43" t="n">
        <f aca="false">SUMIFS(Data!$K$782:$K$2370,Data!$H$782:$H$2370,B187)</f>
        <v>0</v>
      </c>
      <c r="I187" s="42" t="n">
        <f aca="false">SUMIFS(Data!$L$2371:$L$3999,Data!$H$2371:$H$3999,B187)</f>
        <v>0</v>
      </c>
      <c r="J187" s="43" t="n">
        <f aca="false">SUMIFS(Data!$K$2371:$K$3999,Data!$H$2371:$H$3999,B187)</f>
        <v>0</v>
      </c>
      <c r="K187" s="44" t="n">
        <f aca="false">SUMIFS(Data!$M$2:$M$781,Data!$H$2:$H$781,B187)</f>
        <v>2</v>
      </c>
      <c r="L187" s="42" t="n">
        <f aca="false">SUMIFS(Data!$M$782:$M$2370,Data!$H$782:$H$2370,B187)</f>
        <v>2</v>
      </c>
      <c r="M187" s="42" t="n">
        <f aca="false">SUMIFS(Data!$M$2371:$M$3999,Data!$H$2371:$H$3999,B187)</f>
        <v>0</v>
      </c>
      <c r="N187" s="45" t="n">
        <f aca="false">SUMIFS(Data!$O$2:$O$781,Data!$H$2:$H$781,B187)</f>
        <v>0</v>
      </c>
      <c r="O187" s="43" t="n">
        <f aca="false">SUMIFS(Data!$N$2:$N$781,Data!$H$2:$H$781,B187)</f>
        <v>0</v>
      </c>
      <c r="P187" s="42" t="n">
        <f aca="false">SUMIFS(Data!$P$2:$P$781,Data!$H$2:$H$781,B187)</f>
        <v>0</v>
      </c>
      <c r="Q187" s="43" t="n">
        <f aca="false">SUMIFS(Data!$O$782:$O$2370,Data!$H$782:$H$2370,B187)</f>
        <v>0</v>
      </c>
      <c r="R187" s="43" t="n">
        <f aca="false">SUMIFS(Data!$N$782:$N$2370,Data!$H$782:$H$2370,B187)</f>
        <v>0</v>
      </c>
      <c r="S187" s="43" t="n">
        <f aca="false">SUMIFS(Data!$O$2371:$O$3999,Data!$H$2371:$H$3999,B187)</f>
        <v>0</v>
      </c>
      <c r="T187" s="43" t="n">
        <f aca="false">SUMIFS(Data!$N$2371:$N$3999,Data!$H$2371:$H$3999,B187)</f>
        <v>0</v>
      </c>
      <c r="U187" s="46" t="n">
        <f aca="false">SUMIFS(Data!$R$2:$R$781,Data!$H$2:$H$781,B187)</f>
        <v>0</v>
      </c>
      <c r="V187" s="47" t="n">
        <f aca="false">SUMIFS(Data!$Q$2:$Q$781,Data!$H$2:$H$781,B187)</f>
        <v>2</v>
      </c>
      <c r="W187" s="42" t="n">
        <f aca="false">SUMIFS(Data!$R$782:$R$2370,Data!$H$782:$H$2370,B187)</f>
        <v>1</v>
      </c>
      <c r="X187" s="43" t="n">
        <f aca="false">SUMIFS(Data!$Q$782:$Q$2370,Data!$H$782:$H$2370,B187)</f>
        <v>3</v>
      </c>
      <c r="Y187" s="42" t="n">
        <f aca="false">SUMIFS(Data!$R$2371:$R$3999,Data!$H$2371:$H$3999,B187)</f>
        <v>0</v>
      </c>
      <c r="Z187" s="43" t="n">
        <f aca="false">SUMIFS(Data!$Q$2371:$Q$3999,Data!$H$2371:$H$3999,B187)</f>
        <v>0</v>
      </c>
      <c r="AA187" s="48" t="n">
        <f aca="false">V187+U187+O187+N187+K187+F187+E187+P187</f>
        <v>9</v>
      </c>
      <c r="AB187" s="49" t="n">
        <f aca="false">X187+W187+T187+R187+Q187+L187+H187+G187</f>
        <v>6</v>
      </c>
      <c r="AC187" s="49" t="n">
        <f aca="false">Z187+Y187+T187+S187+M187+J187+I187</f>
        <v>0</v>
      </c>
    </row>
    <row r="188" customFormat="false" ht="23.25" hidden="false" customHeight="true" outlineLevel="0" collapsed="false">
      <c r="A188" s="31" t="n">
        <f aca="false">Data!AE187</f>
        <v>562</v>
      </c>
      <c r="B188" s="31" t="str">
        <f aca="false">Data!AD187</f>
        <v>موتر لاين</v>
      </c>
      <c r="C188" s="31" t="n">
        <f aca="false">Data!AH187</f>
        <v>590826431</v>
      </c>
      <c r="D188" s="31" t="str">
        <f aca="false">Data!AF187</f>
        <v>تبوك</v>
      </c>
      <c r="E188" s="42" t="n">
        <f aca="false">SUMIFS(Data!$L$2:$L$781,Data!$H$2:$H$781,B188)</f>
        <v>1</v>
      </c>
      <c r="F188" s="43" t="n">
        <f aca="false">SUMIFS(Data!$K$2:$K$781,Data!$H$2:$H$781,B188)</f>
        <v>4</v>
      </c>
      <c r="G188" s="42" t="n">
        <f aca="false">SUMIFS(Data!$L$782:$L$2370,Data!$H$782:$H$2370,B188)</f>
        <v>0</v>
      </c>
      <c r="H188" s="43" t="n">
        <f aca="false">SUMIFS(Data!$K$782:$K$2370,Data!$H$782:$H$2370,B188)</f>
        <v>1</v>
      </c>
      <c r="I188" s="42" t="n">
        <f aca="false">SUMIFS(Data!$L$2371:$L$3999,Data!$H$2371:$H$3999,B188)</f>
        <v>0</v>
      </c>
      <c r="J188" s="43" t="n">
        <f aca="false">SUMIFS(Data!$K$2371:$K$3999,Data!$H$2371:$H$3999,B188)</f>
        <v>0</v>
      </c>
      <c r="K188" s="44" t="n">
        <f aca="false">SUMIFS(Data!$M$2:$M$781,Data!$H$2:$H$781,B188)</f>
        <v>2</v>
      </c>
      <c r="L188" s="42" t="n">
        <f aca="false">SUMIFS(Data!$M$782:$M$2370,Data!$H$782:$H$2370,B188)</f>
        <v>5</v>
      </c>
      <c r="M188" s="42" t="n">
        <f aca="false">SUMIFS(Data!$M$2371:$M$3999,Data!$H$2371:$H$3999,B188)</f>
        <v>0</v>
      </c>
      <c r="N188" s="45" t="n">
        <f aca="false">SUMIFS(Data!$O$2:$O$781,Data!$H$2:$H$781,B188)</f>
        <v>0</v>
      </c>
      <c r="O188" s="43" t="n">
        <f aca="false">SUMIFS(Data!$N$2:$N$781,Data!$H$2:$H$781,B188)</f>
        <v>0</v>
      </c>
      <c r="P188" s="42" t="n">
        <f aca="false">SUMIFS(Data!$P$2:$P$781,Data!$H$2:$H$781,B188)</f>
        <v>0</v>
      </c>
      <c r="Q188" s="43" t="n">
        <f aca="false">SUMIFS(Data!$O$782:$O$2370,Data!$H$782:$H$2370,B188)</f>
        <v>0</v>
      </c>
      <c r="R188" s="43" t="n">
        <f aca="false">SUMIFS(Data!$N$782:$N$2370,Data!$H$782:$H$2370,B188)</f>
        <v>0</v>
      </c>
      <c r="S188" s="43" t="n">
        <f aca="false">SUMIFS(Data!$O$2371:$O$3999,Data!$H$2371:$H$3999,B188)</f>
        <v>0</v>
      </c>
      <c r="T188" s="43" t="n">
        <f aca="false">SUMIFS(Data!$N$2371:$N$3999,Data!$H$2371:$H$3999,B188)</f>
        <v>0</v>
      </c>
      <c r="U188" s="46" t="n">
        <f aca="false">SUMIFS(Data!$R$2:$R$781,Data!$H$2:$H$781,B188)</f>
        <v>3</v>
      </c>
      <c r="V188" s="47" t="n">
        <f aca="false">SUMIFS(Data!$Q$2:$Q$781,Data!$H$2:$H$781,B188)</f>
        <v>4</v>
      </c>
      <c r="W188" s="42" t="n">
        <f aca="false">SUMIFS(Data!$R$782:$R$2370,Data!$H$782:$H$2370,B188)</f>
        <v>22</v>
      </c>
      <c r="X188" s="43" t="n">
        <f aca="false">SUMIFS(Data!$Q$782:$Q$2370,Data!$H$782:$H$2370,B188)</f>
        <v>3</v>
      </c>
      <c r="Y188" s="42" t="n">
        <f aca="false">SUMIFS(Data!$R$2371:$R$3999,Data!$H$2371:$H$3999,B188)</f>
        <v>0</v>
      </c>
      <c r="Z188" s="43" t="n">
        <f aca="false">SUMIFS(Data!$Q$2371:$Q$3999,Data!$H$2371:$H$3999,B188)</f>
        <v>0</v>
      </c>
      <c r="AA188" s="48" t="n">
        <f aca="false">V188+U188+O188+N188+K188+F188+E188+P188</f>
        <v>14</v>
      </c>
      <c r="AB188" s="49" t="n">
        <f aca="false">X188+W188+T188+R188+Q188+L188+H188+G188</f>
        <v>31</v>
      </c>
      <c r="AC188" s="49" t="n">
        <f aca="false">Z188+Y188+T188+S188+M188+J188+I188</f>
        <v>0</v>
      </c>
    </row>
    <row r="189" customFormat="false" ht="23.25" hidden="false" customHeight="true" outlineLevel="0" collapsed="false">
      <c r="A189" s="31" t="n">
        <f aca="false">Data!AE188</f>
        <v>1008268</v>
      </c>
      <c r="B189" s="31" t="str">
        <f aca="false">Data!AD188</f>
        <v>درب السعد</v>
      </c>
      <c r="C189" s="31" t="n">
        <f aca="false">Data!AH188</f>
        <v>0</v>
      </c>
      <c r="D189" s="31" t="str">
        <f aca="false">Data!AF188</f>
        <v>تبوك</v>
      </c>
      <c r="E189" s="42" t="n">
        <f aca="false">SUMIFS(Data!$L$2:$L$781,Data!$H$2:$H$781,B189)</f>
        <v>0</v>
      </c>
      <c r="F189" s="43" t="n">
        <f aca="false">SUMIFS(Data!$K$2:$K$781,Data!$H$2:$H$781,B189)</f>
        <v>0</v>
      </c>
      <c r="G189" s="42" t="n">
        <f aca="false">SUMIFS(Data!$L$782:$L$2370,Data!$H$782:$H$2370,B189)</f>
        <v>0</v>
      </c>
      <c r="H189" s="43" t="n">
        <f aca="false">SUMIFS(Data!$K$782:$K$2370,Data!$H$782:$H$2370,B189)</f>
        <v>1</v>
      </c>
      <c r="I189" s="42" t="n">
        <f aca="false">SUMIFS(Data!$L$2371:$L$3999,Data!$H$2371:$H$3999,B189)</f>
        <v>0</v>
      </c>
      <c r="J189" s="43" t="n">
        <f aca="false">SUMIFS(Data!$K$2371:$K$3999,Data!$H$2371:$H$3999,B189)</f>
        <v>0</v>
      </c>
      <c r="K189" s="44" t="n">
        <f aca="false">SUMIFS(Data!$M$2:$M$781,Data!$H$2:$H$781,B189)</f>
        <v>0</v>
      </c>
      <c r="L189" s="42" t="n">
        <f aca="false">SUMIFS(Data!$M$782:$M$2370,Data!$H$782:$H$2370,B189)</f>
        <v>0</v>
      </c>
      <c r="M189" s="42" t="n">
        <f aca="false">SUMIFS(Data!$M$2371:$M$3999,Data!$H$2371:$H$3999,B189)</f>
        <v>0</v>
      </c>
      <c r="N189" s="45" t="n">
        <f aca="false">SUMIFS(Data!$O$2:$O$781,Data!$H$2:$H$781,B189)</f>
        <v>0</v>
      </c>
      <c r="O189" s="43" t="n">
        <f aca="false">SUMIFS(Data!$N$2:$N$781,Data!$H$2:$H$781,B189)</f>
        <v>6</v>
      </c>
      <c r="P189" s="42" t="n">
        <f aca="false">SUMIFS(Data!$P$2:$P$781,Data!$H$2:$H$781,B189)</f>
        <v>0</v>
      </c>
      <c r="Q189" s="43" t="n">
        <f aca="false">SUMIFS(Data!$O$782:$O$2370,Data!$H$782:$H$2370,B189)</f>
        <v>0</v>
      </c>
      <c r="R189" s="43" t="n">
        <f aca="false">SUMIFS(Data!$N$782:$N$2370,Data!$H$782:$H$2370,B189)</f>
        <v>0</v>
      </c>
      <c r="S189" s="43" t="n">
        <f aca="false">SUMIFS(Data!$O$2371:$O$3999,Data!$H$2371:$H$3999,B189)</f>
        <v>0</v>
      </c>
      <c r="T189" s="43" t="n">
        <f aca="false">SUMIFS(Data!$N$2371:$N$3999,Data!$H$2371:$H$3999,B189)</f>
        <v>0</v>
      </c>
      <c r="U189" s="46" t="n">
        <f aca="false">SUMIFS(Data!$R$2:$R$781,Data!$H$2:$H$781,B189)</f>
        <v>0</v>
      </c>
      <c r="V189" s="47" t="n">
        <f aca="false">SUMIFS(Data!$Q$2:$Q$781,Data!$H$2:$H$781,B189)</f>
        <v>0</v>
      </c>
      <c r="W189" s="42" t="n">
        <f aca="false">SUMIFS(Data!$R$782:$R$2370,Data!$H$782:$H$2370,B189)</f>
        <v>0</v>
      </c>
      <c r="X189" s="43" t="n">
        <f aca="false">SUMIFS(Data!$Q$782:$Q$2370,Data!$H$782:$H$2370,B189)</f>
        <v>0</v>
      </c>
      <c r="Y189" s="42" t="n">
        <f aca="false">SUMIFS(Data!$R$2371:$R$3999,Data!$H$2371:$H$3999,B189)</f>
        <v>0</v>
      </c>
      <c r="Z189" s="43" t="n">
        <f aca="false">SUMIFS(Data!$Q$2371:$Q$3999,Data!$H$2371:$H$3999,B189)</f>
        <v>0</v>
      </c>
      <c r="AA189" s="48" t="n">
        <f aca="false">V189+U189+O189+N189+K189+F189+E189+P189</f>
        <v>6</v>
      </c>
      <c r="AB189" s="49" t="n">
        <f aca="false">X189+W189+T189+R189+Q189+L189+H189+G189</f>
        <v>1</v>
      </c>
      <c r="AC189" s="49" t="n">
        <f aca="false">Z189+Y189+T189+S189+M189+J189+I189</f>
        <v>0</v>
      </c>
    </row>
    <row r="190" customFormat="false" ht="23.25" hidden="false" customHeight="true" outlineLevel="0" collapsed="false">
      <c r="A190" s="31" t="n">
        <f aca="false">Data!AE189</f>
        <v>1008270</v>
      </c>
      <c r="B190" s="31" t="str">
        <f aca="false">Data!AD189</f>
        <v>الياسمين كار</v>
      </c>
      <c r="C190" s="31" t="n">
        <f aca="false">Data!AH189</f>
        <v>0</v>
      </c>
      <c r="D190" s="31" t="str">
        <f aca="false">Data!AF189</f>
        <v>تبوك</v>
      </c>
      <c r="E190" s="42" t="n">
        <f aca="false">SUMIFS(Data!$L$2:$L$781,Data!$H$2:$H$781,B190)</f>
        <v>0</v>
      </c>
      <c r="F190" s="43" t="n">
        <f aca="false">SUMIFS(Data!$K$2:$K$781,Data!$H$2:$H$781,B190)</f>
        <v>0</v>
      </c>
      <c r="G190" s="42" t="n">
        <f aca="false">SUMIFS(Data!$L$782:$L$2370,Data!$H$782:$H$2370,B190)</f>
        <v>0</v>
      </c>
      <c r="H190" s="43" t="n">
        <f aca="false">SUMIFS(Data!$K$782:$K$2370,Data!$H$782:$H$2370,B190)</f>
        <v>7</v>
      </c>
      <c r="I190" s="42" t="n">
        <f aca="false">SUMIFS(Data!$L$2371:$L$3999,Data!$H$2371:$H$3999,B190)</f>
        <v>0</v>
      </c>
      <c r="J190" s="43" t="n">
        <f aca="false">SUMIFS(Data!$K$2371:$K$3999,Data!$H$2371:$H$3999,B190)</f>
        <v>0</v>
      </c>
      <c r="K190" s="44" t="n">
        <f aca="false">SUMIFS(Data!$M$2:$M$781,Data!$H$2:$H$781,B190)</f>
        <v>0</v>
      </c>
      <c r="L190" s="42" t="n">
        <f aca="false">SUMIFS(Data!$M$782:$M$2370,Data!$H$782:$H$2370,B190)</f>
        <v>2</v>
      </c>
      <c r="M190" s="42" t="n">
        <f aca="false">SUMIFS(Data!$M$2371:$M$3999,Data!$H$2371:$H$3999,B190)</f>
        <v>0</v>
      </c>
      <c r="N190" s="45" t="n">
        <f aca="false">SUMIFS(Data!$O$2:$O$781,Data!$H$2:$H$781,B190)</f>
        <v>0</v>
      </c>
      <c r="O190" s="43" t="n">
        <f aca="false">SUMIFS(Data!$N$2:$N$781,Data!$H$2:$H$781,B190)</f>
        <v>0</v>
      </c>
      <c r="P190" s="42" t="n">
        <f aca="false">SUMIFS(Data!$P$2:$P$781,Data!$H$2:$H$781,B190)</f>
        <v>1</v>
      </c>
      <c r="Q190" s="43" t="n">
        <f aca="false">SUMIFS(Data!$O$782:$O$2370,Data!$H$782:$H$2370,B190)</f>
        <v>0</v>
      </c>
      <c r="R190" s="43" t="n">
        <f aca="false">SUMIFS(Data!$N$782:$N$2370,Data!$H$782:$H$2370,B190)</f>
        <v>1</v>
      </c>
      <c r="S190" s="43" t="n">
        <f aca="false">SUMIFS(Data!$O$2371:$O$3999,Data!$H$2371:$H$3999,B190)</f>
        <v>0</v>
      </c>
      <c r="T190" s="43" t="n">
        <f aca="false">SUMIFS(Data!$N$2371:$N$3999,Data!$H$2371:$H$3999,B190)</f>
        <v>0</v>
      </c>
      <c r="U190" s="46" t="n">
        <f aca="false">SUMIFS(Data!$R$2:$R$781,Data!$H$2:$H$781,B190)</f>
        <v>4</v>
      </c>
      <c r="V190" s="47" t="n">
        <f aca="false">SUMIFS(Data!$Q$2:$Q$781,Data!$H$2:$H$781,B190)</f>
        <v>0</v>
      </c>
      <c r="W190" s="42" t="n">
        <f aca="false">SUMIFS(Data!$R$782:$R$2370,Data!$H$782:$H$2370,B190)</f>
        <v>2</v>
      </c>
      <c r="X190" s="43" t="n">
        <f aca="false">SUMIFS(Data!$Q$782:$Q$2370,Data!$H$782:$H$2370,B190)</f>
        <v>0</v>
      </c>
      <c r="Y190" s="42" t="n">
        <f aca="false">SUMIFS(Data!$R$2371:$R$3999,Data!$H$2371:$H$3999,B190)</f>
        <v>0</v>
      </c>
      <c r="Z190" s="43" t="n">
        <f aca="false">SUMIFS(Data!$Q$2371:$Q$3999,Data!$H$2371:$H$3999,B190)</f>
        <v>0</v>
      </c>
      <c r="AA190" s="48" t="n">
        <f aca="false">V190+U190+O190+N190+K190+F190+E190+P190</f>
        <v>5</v>
      </c>
      <c r="AB190" s="49" t="n">
        <f aca="false">X190+W190+T190+R190+Q190+L190+H190+G190</f>
        <v>12</v>
      </c>
      <c r="AC190" s="49" t="n">
        <f aca="false">Z190+Y190+T190+S190+M190+J190+I190</f>
        <v>0</v>
      </c>
    </row>
    <row r="191" customFormat="false" ht="23.25" hidden="false" customHeight="true" outlineLevel="0" collapsed="false">
      <c r="A191" s="31" t="n">
        <f aca="false">Data!AE190</f>
        <v>539</v>
      </c>
      <c r="B191" s="31" t="str">
        <f aca="false">Data!AD190</f>
        <v>مكس الريان</v>
      </c>
      <c r="C191" s="31" t="n">
        <f aca="false">Data!AH190</f>
        <v>0</v>
      </c>
      <c r="D191" s="31" t="str">
        <f aca="false">Data!AF190</f>
        <v>تبوك</v>
      </c>
      <c r="E191" s="42" t="n">
        <f aca="false">SUMIFS(Data!$L$2:$L$781,Data!$H$2:$H$781,B191)</f>
        <v>0</v>
      </c>
      <c r="F191" s="43" t="n">
        <f aca="false">SUMIFS(Data!$K$2:$K$781,Data!$H$2:$H$781,B191)</f>
        <v>1</v>
      </c>
      <c r="G191" s="42" t="n">
        <f aca="false">SUMIFS(Data!$L$782:$L$2370,Data!$H$782:$H$2370,B191)</f>
        <v>1</v>
      </c>
      <c r="H191" s="43" t="n">
        <f aca="false">SUMIFS(Data!$K$782:$K$2370,Data!$H$782:$H$2370,B191)</f>
        <v>4</v>
      </c>
      <c r="I191" s="42" t="n">
        <f aca="false">SUMIFS(Data!$L$2371:$L$3999,Data!$H$2371:$H$3999,B191)</f>
        <v>0</v>
      </c>
      <c r="J191" s="43" t="n">
        <f aca="false">SUMIFS(Data!$K$2371:$K$3999,Data!$H$2371:$H$3999,B191)</f>
        <v>0</v>
      </c>
      <c r="K191" s="44" t="n">
        <f aca="false">SUMIFS(Data!$M$2:$M$781,Data!$H$2:$H$781,B191)</f>
        <v>2</v>
      </c>
      <c r="L191" s="42" t="n">
        <f aca="false">SUMIFS(Data!$M$782:$M$2370,Data!$H$782:$H$2370,B191)</f>
        <v>0</v>
      </c>
      <c r="M191" s="42" t="n">
        <f aca="false">SUMIFS(Data!$M$2371:$M$3999,Data!$H$2371:$H$3999,B191)</f>
        <v>0</v>
      </c>
      <c r="N191" s="45" t="n">
        <f aca="false">SUMIFS(Data!$O$2:$O$781,Data!$H$2:$H$781,B191)</f>
        <v>0</v>
      </c>
      <c r="O191" s="43" t="n">
        <f aca="false">SUMIFS(Data!$N$2:$N$781,Data!$H$2:$H$781,B191)</f>
        <v>0</v>
      </c>
      <c r="P191" s="42" t="n">
        <f aca="false">SUMIFS(Data!$P$2:$P$781,Data!$H$2:$H$781,B191)</f>
        <v>0</v>
      </c>
      <c r="Q191" s="43" t="n">
        <f aca="false">SUMIFS(Data!$O$782:$O$2370,Data!$H$782:$H$2370,B191)</f>
        <v>0</v>
      </c>
      <c r="R191" s="43" t="n">
        <f aca="false">SUMIFS(Data!$N$782:$N$2370,Data!$H$782:$H$2370,B191)</f>
        <v>0</v>
      </c>
      <c r="S191" s="43" t="n">
        <f aca="false">SUMIFS(Data!$O$2371:$O$3999,Data!$H$2371:$H$3999,B191)</f>
        <v>0</v>
      </c>
      <c r="T191" s="43" t="n">
        <f aca="false">SUMIFS(Data!$N$2371:$N$3999,Data!$H$2371:$H$3999,B191)</f>
        <v>0</v>
      </c>
      <c r="U191" s="46" t="n">
        <f aca="false">SUMIFS(Data!$R$2:$R$781,Data!$H$2:$H$781,B191)</f>
        <v>1</v>
      </c>
      <c r="V191" s="47" t="n">
        <f aca="false">SUMIFS(Data!$Q$2:$Q$781,Data!$H$2:$H$781,B191)</f>
        <v>1</v>
      </c>
      <c r="W191" s="42" t="n">
        <f aca="false">SUMIFS(Data!$R$782:$R$2370,Data!$H$782:$H$2370,B191)</f>
        <v>0</v>
      </c>
      <c r="X191" s="43" t="n">
        <f aca="false">SUMIFS(Data!$Q$782:$Q$2370,Data!$H$782:$H$2370,B191)</f>
        <v>5</v>
      </c>
      <c r="Y191" s="42" t="n">
        <f aca="false">SUMIFS(Data!$R$2371:$R$3999,Data!$H$2371:$H$3999,B191)</f>
        <v>0</v>
      </c>
      <c r="Z191" s="43" t="n">
        <f aca="false">SUMIFS(Data!$Q$2371:$Q$3999,Data!$H$2371:$H$3999,B191)</f>
        <v>0</v>
      </c>
      <c r="AA191" s="48" t="n">
        <f aca="false">V191+U191+O191+N191+K191+F191+E191+P191</f>
        <v>5</v>
      </c>
      <c r="AB191" s="49" t="n">
        <f aca="false">X191+W191+T191+R191+Q191+L191+H191+G191</f>
        <v>10</v>
      </c>
      <c r="AC191" s="49" t="n">
        <f aca="false">Z191+Y191+T191+S191+M191+J191+I191</f>
        <v>0</v>
      </c>
    </row>
    <row r="192" customFormat="false" ht="23.25" hidden="false" customHeight="true" outlineLevel="0" collapsed="false">
      <c r="A192" s="31" t="n">
        <f aca="false">Data!AE191</f>
        <v>549</v>
      </c>
      <c r="B192" s="31" t="str">
        <f aca="false">Data!AD191</f>
        <v>بندري تبوك</v>
      </c>
      <c r="C192" s="31" t="n">
        <f aca="false">Data!AH191</f>
        <v>507202641</v>
      </c>
      <c r="D192" s="31" t="str">
        <f aca="false">Data!AF191</f>
        <v>تبوك</v>
      </c>
      <c r="E192" s="42" t="n">
        <f aca="false">SUMIFS(Data!$L$2:$L$781,Data!$H$2:$H$781,B192)</f>
        <v>0</v>
      </c>
      <c r="F192" s="43" t="n">
        <f aca="false">SUMIFS(Data!$K$2:$K$781,Data!$H$2:$H$781,B192)</f>
        <v>0</v>
      </c>
      <c r="G192" s="42" t="n">
        <f aca="false">SUMIFS(Data!$L$782:$L$2370,Data!$H$782:$H$2370,B192)</f>
        <v>0</v>
      </c>
      <c r="H192" s="43" t="n">
        <f aca="false">SUMIFS(Data!$K$782:$K$2370,Data!$H$782:$H$2370,B192)</f>
        <v>11</v>
      </c>
      <c r="I192" s="42" t="n">
        <f aca="false">SUMIFS(Data!$L$2371:$L$3999,Data!$H$2371:$H$3999,B192)</f>
        <v>0</v>
      </c>
      <c r="J192" s="43" t="n">
        <f aca="false">SUMIFS(Data!$K$2371:$K$3999,Data!$H$2371:$H$3999,B192)</f>
        <v>0</v>
      </c>
      <c r="K192" s="44" t="n">
        <f aca="false">SUMIFS(Data!$M$2:$M$781,Data!$H$2:$H$781,B192)</f>
        <v>2</v>
      </c>
      <c r="L192" s="42" t="n">
        <f aca="false">SUMIFS(Data!$M$782:$M$2370,Data!$H$782:$H$2370,B192)</f>
        <v>10</v>
      </c>
      <c r="M192" s="42" t="n">
        <f aca="false">SUMIFS(Data!$M$2371:$M$3999,Data!$H$2371:$H$3999,B192)</f>
        <v>0</v>
      </c>
      <c r="N192" s="45" t="n">
        <f aca="false">SUMIFS(Data!$O$2:$O$781,Data!$H$2:$H$781,B192)</f>
        <v>1</v>
      </c>
      <c r="O192" s="43" t="n">
        <f aca="false">SUMIFS(Data!$N$2:$N$781,Data!$H$2:$H$781,B192)</f>
        <v>0</v>
      </c>
      <c r="P192" s="42" t="n">
        <f aca="false">SUMIFS(Data!$P$2:$P$781,Data!$H$2:$H$781,B192)</f>
        <v>0</v>
      </c>
      <c r="Q192" s="43" t="n">
        <f aca="false">SUMIFS(Data!$O$782:$O$2370,Data!$H$782:$H$2370,B192)</f>
        <v>4</v>
      </c>
      <c r="R192" s="43" t="n">
        <f aca="false">SUMIFS(Data!$N$782:$N$2370,Data!$H$782:$H$2370,B192)</f>
        <v>2</v>
      </c>
      <c r="S192" s="43" t="n">
        <f aca="false">SUMIFS(Data!$O$2371:$O$3999,Data!$H$2371:$H$3999,B192)</f>
        <v>0</v>
      </c>
      <c r="T192" s="43" t="n">
        <f aca="false">SUMIFS(Data!$N$2371:$N$3999,Data!$H$2371:$H$3999,B192)</f>
        <v>0</v>
      </c>
      <c r="U192" s="46" t="n">
        <f aca="false">SUMIFS(Data!$R$2:$R$781,Data!$H$2:$H$781,B192)</f>
        <v>4</v>
      </c>
      <c r="V192" s="47" t="n">
        <f aca="false">SUMIFS(Data!$Q$2:$Q$781,Data!$H$2:$H$781,B192)</f>
        <v>1</v>
      </c>
      <c r="W192" s="42" t="n">
        <f aca="false">SUMIFS(Data!$R$782:$R$2370,Data!$H$782:$H$2370,B192)</f>
        <v>8</v>
      </c>
      <c r="X192" s="43" t="n">
        <f aca="false">SUMIFS(Data!$Q$782:$Q$2370,Data!$H$782:$H$2370,B192)</f>
        <v>3</v>
      </c>
      <c r="Y192" s="42" t="n">
        <f aca="false">SUMIFS(Data!$R$2371:$R$3999,Data!$H$2371:$H$3999,B192)</f>
        <v>0</v>
      </c>
      <c r="Z192" s="43" t="n">
        <f aca="false">SUMIFS(Data!$Q$2371:$Q$3999,Data!$H$2371:$H$3999,B192)</f>
        <v>0</v>
      </c>
      <c r="AA192" s="48" t="n">
        <f aca="false">V192+U192+O192+N192+K192+F192+E192+P192</f>
        <v>8</v>
      </c>
      <c r="AB192" s="49" t="n">
        <f aca="false">X192+W192+T192+R192+Q192+L192+H192+G192</f>
        <v>38</v>
      </c>
      <c r="AC192" s="49" t="n">
        <f aca="false">Z192+Y192+T192+S192+M192+J192+I192</f>
        <v>0</v>
      </c>
    </row>
    <row r="193" customFormat="false" ht="23.25" hidden="false" customHeight="true" outlineLevel="0" collapsed="false">
      <c r="A193" s="31" t="n">
        <f aca="false">Data!AE192</f>
        <v>1008263</v>
      </c>
      <c r="B193" s="31" t="str">
        <f aca="false">Data!AD192</f>
        <v>متعب الحربي</v>
      </c>
      <c r="C193" s="31" t="n">
        <f aca="false">Data!AH192</f>
        <v>0</v>
      </c>
      <c r="D193" s="31" t="str">
        <f aca="false">Data!AF192</f>
        <v>تبوك</v>
      </c>
      <c r="E193" s="42" t="n">
        <f aca="false">SUMIFS(Data!$L$2:$L$781,Data!$H$2:$H$781,B193)</f>
        <v>0</v>
      </c>
      <c r="F193" s="43" t="n">
        <f aca="false">SUMIFS(Data!$K$2:$K$781,Data!$H$2:$H$781,B193)</f>
        <v>0</v>
      </c>
      <c r="G193" s="42" t="n">
        <f aca="false">SUMIFS(Data!$L$782:$L$2370,Data!$H$782:$H$2370,B193)</f>
        <v>0</v>
      </c>
      <c r="H193" s="43" t="n">
        <f aca="false">SUMIFS(Data!$K$782:$K$2370,Data!$H$782:$H$2370,B193)</f>
        <v>0</v>
      </c>
      <c r="I193" s="42" t="n">
        <f aca="false">SUMIFS(Data!$L$2371:$L$3999,Data!$H$2371:$H$3999,B193)</f>
        <v>0</v>
      </c>
      <c r="J193" s="43" t="n">
        <f aca="false">SUMIFS(Data!$K$2371:$K$3999,Data!$H$2371:$H$3999,B193)</f>
        <v>0</v>
      </c>
      <c r="K193" s="44" t="n">
        <f aca="false">SUMIFS(Data!$M$2:$M$781,Data!$H$2:$H$781,B193)</f>
        <v>0</v>
      </c>
      <c r="L193" s="42" t="n">
        <f aca="false">SUMIFS(Data!$M$782:$M$2370,Data!$H$782:$H$2370,B193)</f>
        <v>0</v>
      </c>
      <c r="M193" s="42" t="n">
        <f aca="false">SUMIFS(Data!$M$2371:$M$3999,Data!$H$2371:$H$3999,B193)</f>
        <v>0</v>
      </c>
      <c r="N193" s="45" t="n">
        <f aca="false">SUMIFS(Data!$O$2:$O$781,Data!$H$2:$H$781,B193)</f>
        <v>0</v>
      </c>
      <c r="O193" s="43" t="n">
        <f aca="false">SUMIFS(Data!$N$2:$N$781,Data!$H$2:$H$781,B193)</f>
        <v>0</v>
      </c>
      <c r="P193" s="42" t="n">
        <f aca="false">SUMIFS(Data!$P$2:$P$781,Data!$H$2:$H$781,B193)</f>
        <v>0</v>
      </c>
      <c r="Q193" s="43" t="n">
        <f aca="false">SUMIFS(Data!$O$782:$O$2370,Data!$H$782:$H$2370,B193)</f>
        <v>0</v>
      </c>
      <c r="R193" s="43" t="n">
        <f aca="false">SUMIFS(Data!$N$782:$N$2370,Data!$H$782:$H$2370,B193)</f>
        <v>0</v>
      </c>
      <c r="S193" s="43" t="n">
        <f aca="false">SUMIFS(Data!$O$2371:$O$3999,Data!$H$2371:$H$3999,B193)</f>
        <v>0</v>
      </c>
      <c r="T193" s="43" t="n">
        <f aca="false">SUMIFS(Data!$N$2371:$N$3999,Data!$H$2371:$H$3999,B193)</f>
        <v>0</v>
      </c>
      <c r="U193" s="46" t="n">
        <f aca="false">SUMIFS(Data!$R$2:$R$781,Data!$H$2:$H$781,B193)</f>
        <v>0</v>
      </c>
      <c r="V193" s="47" t="n">
        <f aca="false">SUMIFS(Data!$Q$2:$Q$781,Data!$H$2:$H$781,B193)</f>
        <v>5</v>
      </c>
      <c r="W193" s="42" t="n">
        <f aca="false">SUMIFS(Data!$R$782:$R$2370,Data!$H$782:$H$2370,B193)</f>
        <v>0</v>
      </c>
      <c r="X193" s="43" t="n">
        <f aca="false">SUMIFS(Data!$Q$782:$Q$2370,Data!$H$782:$H$2370,B193)</f>
        <v>0</v>
      </c>
      <c r="Y193" s="42" t="n">
        <f aca="false">SUMIFS(Data!$R$2371:$R$3999,Data!$H$2371:$H$3999,B193)</f>
        <v>0</v>
      </c>
      <c r="Z193" s="43" t="n">
        <f aca="false">SUMIFS(Data!$Q$2371:$Q$3999,Data!$H$2371:$H$3999,B193)</f>
        <v>0</v>
      </c>
      <c r="AA193" s="48" t="n">
        <f aca="false">V193+U193+O193+N193+K193+F193+E193+P193</f>
        <v>5</v>
      </c>
      <c r="AB193" s="49" t="n">
        <f aca="false">X193+W193+T193+R193+Q193+L193+H193+G193</f>
        <v>0</v>
      </c>
      <c r="AC193" s="49" t="n">
        <f aca="false">Z193+Y193+T193+S193+M193+J193+I193</f>
        <v>0</v>
      </c>
    </row>
    <row r="194" customFormat="false" ht="23.25" hidden="false" customHeight="true" outlineLevel="0" collapsed="false">
      <c r="A194" s="31" t="n">
        <f aca="false">Data!AE193</f>
        <v>1008055</v>
      </c>
      <c r="B194" s="31" t="str">
        <f aca="false">Data!AD193</f>
        <v>نجم الشمال </v>
      </c>
      <c r="C194" s="31" t="n">
        <f aca="false">Data!AH193</f>
        <v>0</v>
      </c>
      <c r="D194" s="31" t="str">
        <f aca="false">Data!AF193</f>
        <v>تبوك</v>
      </c>
      <c r="E194" s="42" t="n">
        <f aca="false">SUMIFS(Data!$L$2:$L$781,Data!$H$2:$H$781,B194)</f>
        <v>2</v>
      </c>
      <c r="F194" s="43" t="n">
        <f aca="false">SUMIFS(Data!$K$2:$K$781,Data!$H$2:$H$781,B194)</f>
        <v>1</v>
      </c>
      <c r="G194" s="42" t="n">
        <f aca="false">SUMIFS(Data!$L$782:$L$2370,Data!$H$782:$H$2370,B194)</f>
        <v>0</v>
      </c>
      <c r="H194" s="43" t="n">
        <f aca="false">SUMIFS(Data!$K$782:$K$2370,Data!$H$782:$H$2370,B194)</f>
        <v>0</v>
      </c>
      <c r="I194" s="42" t="n">
        <f aca="false">SUMIFS(Data!$L$2371:$L$3999,Data!$H$2371:$H$3999,B194)</f>
        <v>0</v>
      </c>
      <c r="J194" s="43" t="n">
        <f aca="false">SUMIFS(Data!$K$2371:$K$3999,Data!$H$2371:$H$3999,B194)</f>
        <v>0</v>
      </c>
      <c r="K194" s="44" t="n">
        <f aca="false">SUMIFS(Data!$M$2:$M$781,Data!$H$2:$H$781,B194)</f>
        <v>0</v>
      </c>
      <c r="L194" s="42" t="n">
        <f aca="false">SUMIFS(Data!$M$782:$M$2370,Data!$H$782:$H$2370,B194)</f>
        <v>0</v>
      </c>
      <c r="M194" s="42" t="n">
        <f aca="false">SUMIFS(Data!$M$2371:$M$3999,Data!$H$2371:$H$3999,B194)</f>
        <v>0</v>
      </c>
      <c r="N194" s="45" t="n">
        <f aca="false">SUMIFS(Data!$O$2:$O$781,Data!$H$2:$H$781,B194)</f>
        <v>0</v>
      </c>
      <c r="O194" s="43" t="n">
        <f aca="false">SUMIFS(Data!$N$2:$N$781,Data!$H$2:$H$781,B194)</f>
        <v>0</v>
      </c>
      <c r="P194" s="42" t="n">
        <f aca="false">SUMIFS(Data!$P$2:$P$781,Data!$H$2:$H$781,B194)</f>
        <v>0</v>
      </c>
      <c r="Q194" s="43" t="n">
        <f aca="false">SUMIFS(Data!$O$782:$O$2370,Data!$H$782:$H$2370,B194)</f>
        <v>0</v>
      </c>
      <c r="R194" s="43" t="n">
        <f aca="false">SUMIFS(Data!$N$782:$N$2370,Data!$H$782:$H$2370,B194)</f>
        <v>0</v>
      </c>
      <c r="S194" s="43" t="n">
        <f aca="false">SUMIFS(Data!$O$2371:$O$3999,Data!$H$2371:$H$3999,B194)</f>
        <v>0</v>
      </c>
      <c r="T194" s="43" t="n">
        <f aca="false">SUMIFS(Data!$N$2371:$N$3999,Data!$H$2371:$H$3999,B194)</f>
        <v>0</v>
      </c>
      <c r="U194" s="46" t="n">
        <f aca="false">SUMIFS(Data!$R$2:$R$781,Data!$H$2:$H$781,B194)</f>
        <v>0</v>
      </c>
      <c r="V194" s="47" t="n">
        <f aca="false">SUMIFS(Data!$Q$2:$Q$781,Data!$H$2:$H$781,B194)</f>
        <v>0</v>
      </c>
      <c r="W194" s="42" t="n">
        <f aca="false">SUMIFS(Data!$R$782:$R$2370,Data!$H$782:$H$2370,B194)</f>
        <v>0</v>
      </c>
      <c r="X194" s="43" t="n">
        <f aca="false">SUMIFS(Data!$Q$782:$Q$2370,Data!$H$782:$H$2370,B194)</f>
        <v>0</v>
      </c>
      <c r="Y194" s="42" t="n">
        <f aca="false">SUMIFS(Data!$R$2371:$R$3999,Data!$H$2371:$H$3999,B194)</f>
        <v>0</v>
      </c>
      <c r="Z194" s="43" t="n">
        <f aca="false">SUMIFS(Data!$Q$2371:$Q$3999,Data!$H$2371:$H$3999,B194)</f>
        <v>0</v>
      </c>
      <c r="AA194" s="48" t="n">
        <f aca="false">V194+U194+O194+N194+K194+F194+E194+P194</f>
        <v>3</v>
      </c>
      <c r="AB194" s="49" t="n">
        <f aca="false">X194+W194+T194+R194+Q194+L194+H194+G194</f>
        <v>0</v>
      </c>
      <c r="AC194" s="49" t="n">
        <f aca="false">Z194+Y194+T194+S194+M194+J194+I194</f>
        <v>0</v>
      </c>
    </row>
    <row r="195" customFormat="false" ht="23.25" hidden="false" customHeight="true" outlineLevel="0" collapsed="false">
      <c r="A195" s="31" t="n">
        <f aca="false">Data!AE194</f>
        <v>1008056</v>
      </c>
      <c r="B195" s="31" t="str">
        <f aca="false">Data!AD194</f>
        <v>بتلاء العنزي</v>
      </c>
      <c r="C195" s="31" t="n">
        <f aca="false">Data!AH194</f>
        <v>0</v>
      </c>
      <c r="D195" s="31" t="str">
        <f aca="false">Data!AF194</f>
        <v>تبوك</v>
      </c>
      <c r="E195" s="42" t="n">
        <f aca="false">SUMIFS(Data!$L$2:$L$781,Data!$H$2:$H$781,B195)</f>
        <v>0</v>
      </c>
      <c r="F195" s="43" t="n">
        <f aca="false">SUMIFS(Data!$K$2:$K$781,Data!$H$2:$H$781,B195)</f>
        <v>1</v>
      </c>
      <c r="G195" s="42" t="n">
        <f aca="false">SUMIFS(Data!$L$782:$L$2370,Data!$H$782:$H$2370,B195)</f>
        <v>0</v>
      </c>
      <c r="H195" s="43" t="n">
        <f aca="false">SUMIFS(Data!$K$782:$K$2370,Data!$H$782:$H$2370,B195)</f>
        <v>10</v>
      </c>
      <c r="I195" s="42" t="n">
        <f aca="false">SUMIFS(Data!$L$2371:$L$3999,Data!$H$2371:$H$3999,B195)</f>
        <v>0</v>
      </c>
      <c r="J195" s="43" t="n">
        <f aca="false">SUMIFS(Data!$K$2371:$K$3999,Data!$H$2371:$H$3999,B195)</f>
        <v>0</v>
      </c>
      <c r="K195" s="44" t="n">
        <f aca="false">SUMIFS(Data!$M$2:$M$781,Data!$H$2:$H$781,B195)</f>
        <v>0</v>
      </c>
      <c r="L195" s="42" t="n">
        <f aca="false">SUMIFS(Data!$M$782:$M$2370,Data!$H$782:$H$2370,B195)</f>
        <v>0</v>
      </c>
      <c r="M195" s="42" t="n">
        <f aca="false">SUMIFS(Data!$M$2371:$M$3999,Data!$H$2371:$H$3999,B195)</f>
        <v>0</v>
      </c>
      <c r="N195" s="45" t="n">
        <f aca="false">SUMIFS(Data!$O$2:$O$781,Data!$H$2:$H$781,B195)</f>
        <v>0</v>
      </c>
      <c r="O195" s="43" t="n">
        <f aca="false">SUMIFS(Data!$N$2:$N$781,Data!$H$2:$H$781,B195)</f>
        <v>0</v>
      </c>
      <c r="P195" s="42" t="n">
        <f aca="false">SUMIFS(Data!$P$2:$P$781,Data!$H$2:$H$781,B195)</f>
        <v>0</v>
      </c>
      <c r="Q195" s="43" t="n">
        <f aca="false">SUMIFS(Data!$O$782:$O$2370,Data!$H$782:$H$2370,B195)</f>
        <v>0</v>
      </c>
      <c r="R195" s="43" t="n">
        <f aca="false">SUMIFS(Data!$N$782:$N$2370,Data!$H$782:$H$2370,B195)</f>
        <v>0</v>
      </c>
      <c r="S195" s="43" t="n">
        <f aca="false">SUMIFS(Data!$O$2371:$O$3999,Data!$H$2371:$H$3999,B195)</f>
        <v>0</v>
      </c>
      <c r="T195" s="43" t="n">
        <f aca="false">SUMIFS(Data!$N$2371:$N$3999,Data!$H$2371:$H$3999,B195)</f>
        <v>0</v>
      </c>
      <c r="U195" s="46" t="n">
        <f aca="false">SUMIFS(Data!$R$2:$R$781,Data!$H$2:$H$781,B195)</f>
        <v>0</v>
      </c>
      <c r="V195" s="47" t="n">
        <f aca="false">SUMIFS(Data!$Q$2:$Q$781,Data!$H$2:$H$781,B195)</f>
        <v>0</v>
      </c>
      <c r="W195" s="42" t="n">
        <f aca="false">SUMIFS(Data!$R$782:$R$2370,Data!$H$782:$H$2370,B195)</f>
        <v>3</v>
      </c>
      <c r="X195" s="43" t="n">
        <f aca="false">SUMIFS(Data!$Q$782:$Q$2370,Data!$H$782:$H$2370,B195)</f>
        <v>2</v>
      </c>
      <c r="Y195" s="42" t="n">
        <f aca="false">SUMIFS(Data!$R$2371:$R$3999,Data!$H$2371:$H$3999,B195)</f>
        <v>0</v>
      </c>
      <c r="Z195" s="43" t="n">
        <f aca="false">SUMIFS(Data!$Q$2371:$Q$3999,Data!$H$2371:$H$3999,B195)</f>
        <v>0</v>
      </c>
      <c r="AA195" s="48" t="n">
        <f aca="false">V195+U195+O195+N195+K195+F195+E195+P195</f>
        <v>1</v>
      </c>
      <c r="AB195" s="49" t="n">
        <f aca="false">X195+W195+T195+R195+Q195+L195+H195+G195</f>
        <v>15</v>
      </c>
      <c r="AC195" s="49" t="n">
        <f aca="false">Z195+Y195+T195+S195+M195+J195+I195</f>
        <v>0</v>
      </c>
    </row>
    <row r="196" customFormat="false" ht="23.25" hidden="false" customHeight="true" outlineLevel="0" collapsed="false">
      <c r="A196" s="31" t="n">
        <f aca="false">Data!AE195</f>
        <v>1008057</v>
      </c>
      <c r="B196" s="31" t="str">
        <f aca="false">Data!AD195</f>
        <v>سميه مسلم</v>
      </c>
      <c r="C196" s="31" t="n">
        <f aca="false">Data!AH195</f>
        <v>554524132</v>
      </c>
      <c r="D196" s="31" t="str">
        <f aca="false">Data!AF195</f>
        <v>تبوك</v>
      </c>
      <c r="E196" s="42" t="n">
        <f aca="false">SUMIFS(Data!$L$2:$L$781,Data!$H$2:$H$781,B196)</f>
        <v>1</v>
      </c>
      <c r="F196" s="43" t="n">
        <f aca="false">SUMIFS(Data!$K$2:$K$781,Data!$H$2:$H$781,B196)</f>
        <v>8</v>
      </c>
      <c r="G196" s="42" t="n">
        <f aca="false">SUMIFS(Data!$L$782:$L$2370,Data!$H$782:$H$2370,B196)</f>
        <v>0</v>
      </c>
      <c r="H196" s="43" t="n">
        <f aca="false">SUMIFS(Data!$K$782:$K$2370,Data!$H$782:$H$2370,B196)</f>
        <v>7</v>
      </c>
      <c r="I196" s="42" t="n">
        <f aca="false">SUMIFS(Data!$L$2371:$L$3999,Data!$H$2371:$H$3999,B196)</f>
        <v>0</v>
      </c>
      <c r="J196" s="43" t="n">
        <f aca="false">SUMIFS(Data!$K$2371:$K$3999,Data!$H$2371:$H$3999,B196)</f>
        <v>0</v>
      </c>
      <c r="K196" s="44" t="n">
        <f aca="false">SUMIFS(Data!$M$2:$M$781,Data!$H$2:$H$781,B196)</f>
        <v>2</v>
      </c>
      <c r="L196" s="42" t="n">
        <f aca="false">SUMIFS(Data!$M$782:$M$2370,Data!$H$782:$H$2370,B196)</f>
        <v>2</v>
      </c>
      <c r="M196" s="42" t="n">
        <f aca="false">SUMIFS(Data!$M$2371:$M$3999,Data!$H$2371:$H$3999,B196)</f>
        <v>0</v>
      </c>
      <c r="N196" s="45" t="n">
        <f aca="false">SUMIFS(Data!$O$2:$O$781,Data!$H$2:$H$781,B196)</f>
        <v>0</v>
      </c>
      <c r="O196" s="43" t="n">
        <f aca="false">SUMIFS(Data!$N$2:$N$781,Data!$H$2:$H$781,B196)</f>
        <v>0</v>
      </c>
      <c r="P196" s="42" t="n">
        <f aca="false">SUMIFS(Data!$P$2:$P$781,Data!$H$2:$H$781,B196)</f>
        <v>0</v>
      </c>
      <c r="Q196" s="43" t="n">
        <f aca="false">SUMIFS(Data!$O$782:$O$2370,Data!$H$782:$H$2370,B196)</f>
        <v>0</v>
      </c>
      <c r="R196" s="43" t="n">
        <f aca="false">SUMIFS(Data!$N$782:$N$2370,Data!$H$782:$H$2370,B196)</f>
        <v>0</v>
      </c>
      <c r="S196" s="43" t="n">
        <f aca="false">SUMIFS(Data!$O$2371:$O$3999,Data!$H$2371:$H$3999,B196)</f>
        <v>0</v>
      </c>
      <c r="T196" s="43" t="n">
        <f aca="false">SUMIFS(Data!$N$2371:$N$3999,Data!$H$2371:$H$3999,B196)</f>
        <v>0</v>
      </c>
      <c r="U196" s="46" t="n">
        <f aca="false">SUMIFS(Data!$R$2:$R$781,Data!$H$2:$H$781,B196)</f>
        <v>1</v>
      </c>
      <c r="V196" s="47" t="n">
        <f aca="false">SUMIFS(Data!$Q$2:$Q$781,Data!$H$2:$H$781,B196)</f>
        <v>1</v>
      </c>
      <c r="W196" s="42" t="n">
        <f aca="false">SUMIFS(Data!$R$782:$R$2370,Data!$H$782:$H$2370,B196)</f>
        <v>0</v>
      </c>
      <c r="X196" s="43" t="n">
        <f aca="false">SUMIFS(Data!$Q$782:$Q$2370,Data!$H$782:$H$2370,B196)</f>
        <v>4</v>
      </c>
      <c r="Y196" s="42" t="n">
        <f aca="false">SUMIFS(Data!$R$2371:$R$3999,Data!$H$2371:$H$3999,B196)</f>
        <v>0</v>
      </c>
      <c r="Z196" s="43" t="n">
        <f aca="false">SUMIFS(Data!$Q$2371:$Q$3999,Data!$H$2371:$H$3999,B196)</f>
        <v>0</v>
      </c>
      <c r="AA196" s="48" t="n">
        <f aca="false">V196+U196+O196+N196+K196+F196+E196+P196</f>
        <v>13</v>
      </c>
      <c r="AB196" s="49" t="n">
        <f aca="false">X196+W196+T196+R196+Q196+L196+H196+G196</f>
        <v>13</v>
      </c>
      <c r="AC196" s="49" t="n">
        <f aca="false">Z196+Y196+T196+S196+M196+J196+I196</f>
        <v>0</v>
      </c>
    </row>
    <row r="197" customFormat="false" ht="23.25" hidden="false" customHeight="true" outlineLevel="0" collapsed="false">
      <c r="A197" s="31" t="n">
        <f aca="false">Data!AE196</f>
        <v>1002934</v>
      </c>
      <c r="B197" s="31" t="str">
        <f aca="false">Data!AD196</f>
        <v>المدى المتحده</v>
      </c>
      <c r="C197" s="31" t="n">
        <f aca="false">Data!AH196</f>
        <v>0</v>
      </c>
      <c r="D197" s="31" t="str">
        <f aca="false">Data!AF196</f>
        <v>تبوك</v>
      </c>
      <c r="E197" s="42" t="n">
        <f aca="false">SUMIFS(Data!$L$2:$L$781,Data!$H$2:$H$781,B197)</f>
        <v>0</v>
      </c>
      <c r="F197" s="43" t="n">
        <f aca="false">SUMIFS(Data!$K$2:$K$781,Data!$H$2:$H$781,B197)</f>
        <v>0</v>
      </c>
      <c r="G197" s="42" t="n">
        <f aca="false">SUMIFS(Data!$L$782:$L$2370,Data!$H$782:$H$2370,B197)</f>
        <v>0</v>
      </c>
      <c r="H197" s="43" t="n">
        <f aca="false">SUMIFS(Data!$K$782:$K$2370,Data!$H$782:$H$2370,B197)</f>
        <v>0</v>
      </c>
      <c r="I197" s="42" t="n">
        <f aca="false">SUMIFS(Data!$L$2371:$L$3999,Data!$H$2371:$H$3999,B197)</f>
        <v>0</v>
      </c>
      <c r="J197" s="43" t="n">
        <f aca="false">SUMIFS(Data!$K$2371:$K$3999,Data!$H$2371:$H$3999,B197)</f>
        <v>0</v>
      </c>
      <c r="K197" s="44" t="n">
        <f aca="false">SUMIFS(Data!$M$2:$M$781,Data!$H$2:$H$781,B197)</f>
        <v>0</v>
      </c>
      <c r="L197" s="42" t="n">
        <f aca="false">SUMIFS(Data!$M$782:$M$2370,Data!$H$782:$H$2370,B197)</f>
        <v>10</v>
      </c>
      <c r="M197" s="42" t="n">
        <f aca="false">SUMIFS(Data!$M$2371:$M$3999,Data!$H$2371:$H$3999,B197)</f>
        <v>7</v>
      </c>
      <c r="N197" s="45" t="n">
        <f aca="false">SUMIFS(Data!$O$2:$O$781,Data!$H$2:$H$781,B197)</f>
        <v>0</v>
      </c>
      <c r="O197" s="43" t="n">
        <f aca="false">SUMIFS(Data!$N$2:$N$781,Data!$H$2:$H$781,B197)</f>
        <v>0</v>
      </c>
      <c r="P197" s="42" t="n">
        <f aca="false">SUMIFS(Data!$P$2:$P$781,Data!$H$2:$H$781,B197)</f>
        <v>0</v>
      </c>
      <c r="Q197" s="43" t="n">
        <f aca="false">SUMIFS(Data!$O$782:$O$2370,Data!$H$782:$H$2370,B197)</f>
        <v>0</v>
      </c>
      <c r="R197" s="43" t="n">
        <f aca="false">SUMIFS(Data!$N$782:$N$2370,Data!$H$782:$H$2370,B197)</f>
        <v>0</v>
      </c>
      <c r="S197" s="43" t="n">
        <f aca="false">SUMIFS(Data!$O$2371:$O$3999,Data!$H$2371:$H$3999,B197)</f>
        <v>0</v>
      </c>
      <c r="T197" s="43" t="n">
        <f aca="false">SUMIFS(Data!$N$2371:$N$3999,Data!$H$2371:$H$3999,B197)</f>
        <v>0</v>
      </c>
      <c r="U197" s="46" t="n">
        <f aca="false">SUMIFS(Data!$R$2:$R$781,Data!$H$2:$H$781,B197)</f>
        <v>0</v>
      </c>
      <c r="V197" s="47" t="n">
        <f aca="false">SUMIFS(Data!$Q$2:$Q$781,Data!$H$2:$H$781,B197)</f>
        <v>0</v>
      </c>
      <c r="W197" s="42" t="n">
        <f aca="false">SUMIFS(Data!$R$782:$R$2370,Data!$H$782:$H$2370,B197)</f>
        <v>0</v>
      </c>
      <c r="X197" s="43" t="n">
        <f aca="false">SUMIFS(Data!$Q$782:$Q$2370,Data!$H$782:$H$2370,B197)</f>
        <v>0</v>
      </c>
      <c r="Y197" s="42" t="n">
        <f aca="false">SUMIFS(Data!$R$2371:$R$3999,Data!$H$2371:$H$3999,B197)</f>
        <v>0</v>
      </c>
      <c r="Z197" s="43" t="n">
        <f aca="false">SUMIFS(Data!$Q$2371:$Q$3999,Data!$H$2371:$H$3999,B197)</f>
        <v>0</v>
      </c>
      <c r="AA197" s="48" t="n">
        <f aca="false">V197+U197+O197+N197+K197+F197+E197+P197</f>
        <v>0</v>
      </c>
      <c r="AB197" s="49" t="n">
        <f aca="false">X197+W197+T197+R197+Q197+L197+H197+G197</f>
        <v>10</v>
      </c>
      <c r="AC197" s="49" t="n">
        <f aca="false">Z197+Y197+T197+S197+M197+J197+I197</f>
        <v>7</v>
      </c>
    </row>
    <row r="198" customFormat="false" ht="23.25" hidden="false" customHeight="true" outlineLevel="0" collapsed="false">
      <c r="A198" s="31" t="n">
        <f aca="false">Data!AE197</f>
        <v>1076</v>
      </c>
      <c r="B198" s="31" t="str">
        <f aca="false">Data!AD197</f>
        <v>معيار الزيت</v>
      </c>
      <c r="C198" s="31" t="n">
        <f aca="false">Data!AH197</f>
        <v>559974498</v>
      </c>
      <c r="D198" s="31" t="str">
        <f aca="false">Data!AF197</f>
        <v>تبوك</v>
      </c>
      <c r="E198" s="42" t="n">
        <f aca="false">SUMIFS(Data!$L$2:$L$781,Data!$H$2:$H$781,B198)</f>
        <v>0</v>
      </c>
      <c r="F198" s="43" t="n">
        <f aca="false">SUMIFS(Data!$K$2:$K$781,Data!$H$2:$H$781,B198)</f>
        <v>1</v>
      </c>
      <c r="G198" s="42" t="n">
        <f aca="false">SUMIFS(Data!$L$782:$L$2370,Data!$H$782:$H$2370,B198)</f>
        <v>0</v>
      </c>
      <c r="H198" s="43" t="n">
        <f aca="false">SUMIFS(Data!$K$782:$K$2370,Data!$H$782:$H$2370,B198)</f>
        <v>20</v>
      </c>
      <c r="I198" s="42" t="n">
        <f aca="false">SUMIFS(Data!$L$2371:$L$3999,Data!$H$2371:$H$3999,B198)</f>
        <v>0</v>
      </c>
      <c r="J198" s="43" t="n">
        <f aca="false">SUMIFS(Data!$K$2371:$K$3999,Data!$H$2371:$H$3999,B198)</f>
        <v>0</v>
      </c>
      <c r="K198" s="44" t="n">
        <f aca="false">SUMIFS(Data!$M$2:$M$781,Data!$H$2:$H$781,B198)</f>
        <v>5</v>
      </c>
      <c r="L198" s="42" t="n">
        <f aca="false">SUMIFS(Data!$M$782:$M$2370,Data!$H$782:$H$2370,B198)</f>
        <v>36</v>
      </c>
      <c r="M198" s="42" t="n">
        <f aca="false">SUMIFS(Data!$M$2371:$M$3999,Data!$H$2371:$H$3999,B198)</f>
        <v>0</v>
      </c>
      <c r="N198" s="45" t="n">
        <f aca="false">SUMIFS(Data!$O$2:$O$781,Data!$H$2:$H$781,B198)</f>
        <v>0</v>
      </c>
      <c r="O198" s="43" t="n">
        <f aca="false">SUMIFS(Data!$N$2:$N$781,Data!$H$2:$H$781,B198)</f>
        <v>0</v>
      </c>
      <c r="P198" s="42" t="n">
        <f aca="false">SUMIFS(Data!$P$2:$P$781,Data!$H$2:$H$781,B198)</f>
        <v>0</v>
      </c>
      <c r="Q198" s="43" t="n">
        <f aca="false">SUMIFS(Data!$O$782:$O$2370,Data!$H$782:$H$2370,B198)</f>
        <v>3</v>
      </c>
      <c r="R198" s="43" t="n">
        <f aca="false">SUMIFS(Data!$N$782:$N$2370,Data!$H$782:$H$2370,B198)</f>
        <v>0</v>
      </c>
      <c r="S198" s="43" t="n">
        <f aca="false">SUMIFS(Data!$O$2371:$O$3999,Data!$H$2371:$H$3999,B198)</f>
        <v>0</v>
      </c>
      <c r="T198" s="43" t="n">
        <f aca="false">SUMIFS(Data!$N$2371:$N$3999,Data!$H$2371:$H$3999,B198)</f>
        <v>0</v>
      </c>
      <c r="U198" s="46" t="n">
        <f aca="false">SUMIFS(Data!$R$2:$R$781,Data!$H$2:$H$781,B198)</f>
        <v>7</v>
      </c>
      <c r="V198" s="47" t="n">
        <f aca="false">SUMIFS(Data!$Q$2:$Q$781,Data!$H$2:$H$781,B198)</f>
        <v>0</v>
      </c>
      <c r="W198" s="42" t="n">
        <f aca="false">SUMIFS(Data!$R$782:$R$2370,Data!$H$782:$H$2370,B198)</f>
        <v>22</v>
      </c>
      <c r="X198" s="43" t="n">
        <f aca="false">SUMIFS(Data!$Q$782:$Q$2370,Data!$H$782:$H$2370,B198)</f>
        <v>5</v>
      </c>
      <c r="Y198" s="42" t="n">
        <f aca="false">SUMIFS(Data!$R$2371:$R$3999,Data!$H$2371:$H$3999,B198)</f>
        <v>0</v>
      </c>
      <c r="Z198" s="43" t="n">
        <f aca="false">SUMIFS(Data!$Q$2371:$Q$3999,Data!$H$2371:$H$3999,B198)</f>
        <v>0</v>
      </c>
      <c r="AA198" s="48" t="n">
        <f aca="false">V198+U198+O198+N198+K198+F198+E198+P198</f>
        <v>13</v>
      </c>
      <c r="AB198" s="49" t="n">
        <f aca="false">X198+W198+T198+R198+Q198+L198+H198+G198</f>
        <v>86</v>
      </c>
      <c r="AC198" s="49" t="n">
        <f aca="false">Z198+Y198+T198+S198+M198+J198+I198</f>
        <v>0</v>
      </c>
    </row>
    <row r="199" customFormat="false" ht="23.25" hidden="false" customHeight="true" outlineLevel="0" collapsed="false">
      <c r="A199" s="31" t="n">
        <f aca="false">Data!AE198</f>
        <v>1002918</v>
      </c>
      <c r="B199" s="31" t="str">
        <f aca="false">Data!AD198</f>
        <v>المؤيه 1</v>
      </c>
      <c r="C199" s="31" t="n">
        <f aca="false">Data!AH198</f>
        <v>0</v>
      </c>
      <c r="D199" s="31" t="str">
        <f aca="false">Data!AF198</f>
        <v>تبوك</v>
      </c>
      <c r="E199" s="42" t="n">
        <f aca="false">SUMIFS(Data!$L$2:$L$781,Data!$H$2:$H$781,B199)</f>
        <v>0</v>
      </c>
      <c r="F199" s="43" t="n">
        <f aca="false">SUMIFS(Data!$K$2:$K$781,Data!$H$2:$H$781,B199)</f>
        <v>0</v>
      </c>
      <c r="G199" s="42" t="n">
        <f aca="false">SUMIFS(Data!$L$782:$L$2370,Data!$H$782:$H$2370,B199)</f>
        <v>0</v>
      </c>
      <c r="H199" s="43" t="n">
        <f aca="false">SUMIFS(Data!$K$782:$K$2370,Data!$H$782:$H$2370,B199)</f>
        <v>0</v>
      </c>
      <c r="I199" s="42" t="n">
        <f aca="false">SUMIFS(Data!$L$2371:$L$3999,Data!$H$2371:$H$3999,B199)</f>
        <v>0</v>
      </c>
      <c r="J199" s="43" t="n">
        <f aca="false">SUMIFS(Data!$K$2371:$K$3999,Data!$H$2371:$H$3999,B199)</f>
        <v>0</v>
      </c>
      <c r="K199" s="44" t="n">
        <f aca="false">SUMIFS(Data!$M$2:$M$781,Data!$H$2:$H$781,B199)</f>
        <v>0</v>
      </c>
      <c r="L199" s="42" t="n">
        <f aca="false">SUMIFS(Data!$M$782:$M$2370,Data!$H$782:$H$2370,B199)</f>
        <v>0</v>
      </c>
      <c r="M199" s="42" t="n">
        <f aca="false">SUMIFS(Data!$M$2371:$M$3999,Data!$H$2371:$H$3999,B199)</f>
        <v>0</v>
      </c>
      <c r="N199" s="45" t="n">
        <f aca="false">SUMIFS(Data!$O$2:$O$781,Data!$H$2:$H$781,B199)</f>
        <v>0</v>
      </c>
      <c r="O199" s="43" t="n">
        <f aca="false">SUMIFS(Data!$N$2:$N$781,Data!$H$2:$H$781,B199)</f>
        <v>0</v>
      </c>
      <c r="P199" s="42" t="n">
        <f aca="false">SUMIFS(Data!$P$2:$P$781,Data!$H$2:$H$781,B199)</f>
        <v>0</v>
      </c>
      <c r="Q199" s="43" t="n">
        <f aca="false">SUMIFS(Data!$O$782:$O$2370,Data!$H$782:$H$2370,B199)</f>
        <v>0</v>
      </c>
      <c r="R199" s="43" t="n">
        <f aca="false">SUMIFS(Data!$N$782:$N$2370,Data!$H$782:$H$2370,B199)</f>
        <v>0</v>
      </c>
      <c r="S199" s="43" t="n">
        <f aca="false">SUMIFS(Data!$O$2371:$O$3999,Data!$H$2371:$H$3999,B199)</f>
        <v>0</v>
      </c>
      <c r="T199" s="43" t="n">
        <f aca="false">SUMIFS(Data!$N$2371:$N$3999,Data!$H$2371:$H$3999,B199)</f>
        <v>0</v>
      </c>
      <c r="U199" s="46" t="n">
        <f aca="false">SUMIFS(Data!$R$2:$R$781,Data!$H$2:$H$781,B199)</f>
        <v>0</v>
      </c>
      <c r="V199" s="47" t="n">
        <f aca="false">SUMIFS(Data!$Q$2:$Q$781,Data!$H$2:$H$781,B199)</f>
        <v>0</v>
      </c>
      <c r="W199" s="42" t="n">
        <f aca="false">SUMIFS(Data!$R$782:$R$2370,Data!$H$782:$H$2370,B199)</f>
        <v>0</v>
      </c>
      <c r="X199" s="43" t="n">
        <f aca="false">SUMIFS(Data!$Q$782:$Q$2370,Data!$H$782:$H$2370,B199)</f>
        <v>0</v>
      </c>
      <c r="Y199" s="42" t="n">
        <f aca="false">SUMIFS(Data!$R$2371:$R$3999,Data!$H$2371:$H$3999,B199)</f>
        <v>0</v>
      </c>
      <c r="Z199" s="43" t="n">
        <f aca="false">SUMIFS(Data!$Q$2371:$Q$3999,Data!$H$2371:$H$3999,B199)</f>
        <v>0</v>
      </c>
      <c r="AA199" s="48" t="n">
        <f aca="false">V199+U199+O199+N199+K199+F199+E199+P199</f>
        <v>0</v>
      </c>
      <c r="AB199" s="49" t="n">
        <f aca="false">X199+W199+T199+R199+Q199+L199+H199+G199</f>
        <v>0</v>
      </c>
      <c r="AC199" s="49" t="n">
        <f aca="false">Z199+Y199+T199+S199+M199+J199+I199</f>
        <v>0</v>
      </c>
    </row>
    <row r="200" customFormat="false" ht="23.25" hidden="false" customHeight="true" outlineLevel="0" collapsed="false">
      <c r="A200" s="31" t="n">
        <f aca="false">Data!AE199</f>
        <v>629</v>
      </c>
      <c r="B200" s="31" t="str">
        <f aca="false">Data!AD199</f>
        <v>مقياس زيت</v>
      </c>
      <c r="C200" s="31" t="n">
        <f aca="false">Data!AH199</f>
        <v>552538381</v>
      </c>
      <c r="D200" s="31" t="str">
        <f aca="false">Data!AF199</f>
        <v>تبوك</v>
      </c>
      <c r="E200" s="42" t="n">
        <f aca="false">SUMIFS(Data!$L$2:$L$781,Data!$H$2:$H$781,B200)</f>
        <v>0</v>
      </c>
      <c r="F200" s="43" t="n">
        <f aca="false">SUMIFS(Data!$K$2:$K$781,Data!$H$2:$H$781,B200)</f>
        <v>0</v>
      </c>
      <c r="G200" s="42" t="n">
        <f aca="false">SUMIFS(Data!$L$782:$L$2370,Data!$H$782:$H$2370,B200)</f>
        <v>0</v>
      </c>
      <c r="H200" s="43" t="n">
        <f aca="false">SUMIFS(Data!$K$782:$K$2370,Data!$H$782:$H$2370,B200)</f>
        <v>4</v>
      </c>
      <c r="I200" s="42" t="n">
        <f aca="false">SUMIFS(Data!$L$2371:$L$3999,Data!$H$2371:$H$3999,B200)</f>
        <v>0</v>
      </c>
      <c r="J200" s="43" t="n">
        <f aca="false">SUMIFS(Data!$K$2371:$K$3999,Data!$H$2371:$H$3999,B200)</f>
        <v>0</v>
      </c>
      <c r="K200" s="44" t="n">
        <f aca="false">SUMIFS(Data!$M$2:$M$781,Data!$H$2:$H$781,B200)</f>
        <v>0</v>
      </c>
      <c r="L200" s="42" t="n">
        <f aca="false">SUMIFS(Data!$M$782:$M$2370,Data!$H$782:$H$2370,B200)</f>
        <v>5</v>
      </c>
      <c r="M200" s="42" t="n">
        <f aca="false">SUMIFS(Data!$M$2371:$M$3999,Data!$H$2371:$H$3999,B200)</f>
        <v>0</v>
      </c>
      <c r="N200" s="45" t="n">
        <f aca="false">SUMIFS(Data!$O$2:$O$781,Data!$H$2:$H$781,B200)</f>
        <v>0</v>
      </c>
      <c r="O200" s="43" t="n">
        <f aca="false">SUMIFS(Data!$N$2:$N$781,Data!$H$2:$H$781,B200)</f>
        <v>0</v>
      </c>
      <c r="P200" s="42" t="n">
        <f aca="false">SUMIFS(Data!$P$2:$P$781,Data!$H$2:$H$781,B200)</f>
        <v>0</v>
      </c>
      <c r="Q200" s="43" t="n">
        <f aca="false">SUMIFS(Data!$O$782:$O$2370,Data!$H$782:$H$2370,B200)</f>
        <v>0</v>
      </c>
      <c r="R200" s="43" t="n">
        <f aca="false">SUMIFS(Data!$N$782:$N$2370,Data!$H$782:$H$2370,B200)</f>
        <v>0</v>
      </c>
      <c r="S200" s="43" t="n">
        <f aca="false">SUMIFS(Data!$O$2371:$O$3999,Data!$H$2371:$H$3999,B200)</f>
        <v>0</v>
      </c>
      <c r="T200" s="43" t="n">
        <f aca="false">SUMIFS(Data!$N$2371:$N$3999,Data!$H$2371:$H$3999,B200)</f>
        <v>0</v>
      </c>
      <c r="U200" s="46" t="n">
        <f aca="false">SUMIFS(Data!$R$2:$R$781,Data!$H$2:$H$781,B200)</f>
        <v>0</v>
      </c>
      <c r="V200" s="47" t="n">
        <f aca="false">SUMIFS(Data!$Q$2:$Q$781,Data!$H$2:$H$781,B200)</f>
        <v>0</v>
      </c>
      <c r="W200" s="42" t="n">
        <f aca="false">SUMIFS(Data!$R$782:$R$2370,Data!$H$782:$H$2370,B200)</f>
        <v>3</v>
      </c>
      <c r="X200" s="43" t="n">
        <f aca="false">SUMIFS(Data!$Q$782:$Q$2370,Data!$H$782:$H$2370,B200)</f>
        <v>0</v>
      </c>
      <c r="Y200" s="42" t="n">
        <f aca="false">SUMIFS(Data!$R$2371:$R$3999,Data!$H$2371:$H$3999,B200)</f>
        <v>0</v>
      </c>
      <c r="Z200" s="43" t="n">
        <f aca="false">SUMIFS(Data!$Q$2371:$Q$3999,Data!$H$2371:$H$3999,B200)</f>
        <v>0</v>
      </c>
      <c r="AA200" s="48" t="n">
        <f aca="false">V200+U200+O200+N200+K200+F200+E200+P200</f>
        <v>0</v>
      </c>
      <c r="AB200" s="49" t="n">
        <f aca="false">X200+W200+T200+R200+Q200+L200+H200+G200</f>
        <v>12</v>
      </c>
      <c r="AC200" s="49" t="n">
        <f aca="false">Z200+Y200+T200+S200+M200+J200+I200</f>
        <v>0</v>
      </c>
    </row>
    <row r="201" customFormat="false" ht="23.25" hidden="false" customHeight="true" outlineLevel="0" collapsed="false">
      <c r="A201" s="31" t="n">
        <f aca="false">Data!AE200</f>
        <v>1002890</v>
      </c>
      <c r="B201" s="31" t="str">
        <f aca="false">Data!AD200</f>
        <v>درة النهضه</v>
      </c>
      <c r="C201" s="31" t="n">
        <f aca="false">Data!AH200</f>
        <v>0</v>
      </c>
      <c r="D201" s="31" t="str">
        <f aca="false">Data!AF200</f>
        <v>تبوك</v>
      </c>
      <c r="E201" s="42" t="n">
        <f aca="false">SUMIFS(Data!$L$2:$L$781,Data!$H$2:$H$781,B201)</f>
        <v>0</v>
      </c>
      <c r="F201" s="43" t="n">
        <f aca="false">SUMIFS(Data!$K$2:$K$781,Data!$H$2:$H$781,B201)</f>
        <v>0</v>
      </c>
      <c r="G201" s="42" t="n">
        <f aca="false">SUMIFS(Data!$L$782:$L$2370,Data!$H$782:$H$2370,B201)</f>
        <v>1</v>
      </c>
      <c r="H201" s="43" t="n">
        <f aca="false">SUMIFS(Data!$K$782:$K$2370,Data!$H$782:$H$2370,B201)</f>
        <v>3</v>
      </c>
      <c r="I201" s="42" t="n">
        <f aca="false">SUMIFS(Data!$L$2371:$L$3999,Data!$H$2371:$H$3999,B201)</f>
        <v>0</v>
      </c>
      <c r="J201" s="43" t="n">
        <f aca="false">SUMIFS(Data!$K$2371:$K$3999,Data!$H$2371:$H$3999,B201)</f>
        <v>0</v>
      </c>
      <c r="K201" s="44" t="n">
        <f aca="false">SUMIFS(Data!$M$2:$M$781,Data!$H$2:$H$781,B201)</f>
        <v>0</v>
      </c>
      <c r="L201" s="42" t="n">
        <f aca="false">SUMIFS(Data!$M$782:$M$2370,Data!$H$782:$H$2370,B201)</f>
        <v>5</v>
      </c>
      <c r="M201" s="42" t="n">
        <f aca="false">SUMIFS(Data!$M$2371:$M$3999,Data!$H$2371:$H$3999,B201)</f>
        <v>0</v>
      </c>
      <c r="N201" s="45" t="n">
        <f aca="false">SUMIFS(Data!$O$2:$O$781,Data!$H$2:$H$781,B201)</f>
        <v>0</v>
      </c>
      <c r="O201" s="43" t="n">
        <f aca="false">SUMIFS(Data!$N$2:$N$781,Data!$H$2:$H$781,B201)</f>
        <v>0</v>
      </c>
      <c r="P201" s="42" t="n">
        <f aca="false">SUMIFS(Data!$P$2:$P$781,Data!$H$2:$H$781,B201)</f>
        <v>0</v>
      </c>
      <c r="Q201" s="43" t="n">
        <f aca="false">SUMIFS(Data!$O$782:$O$2370,Data!$H$782:$H$2370,B201)</f>
        <v>0</v>
      </c>
      <c r="R201" s="43" t="n">
        <f aca="false">SUMIFS(Data!$N$782:$N$2370,Data!$H$782:$H$2370,B201)</f>
        <v>0</v>
      </c>
      <c r="S201" s="43" t="n">
        <f aca="false">SUMIFS(Data!$O$2371:$O$3999,Data!$H$2371:$H$3999,B201)</f>
        <v>0</v>
      </c>
      <c r="T201" s="43" t="n">
        <f aca="false">SUMIFS(Data!$N$2371:$N$3999,Data!$H$2371:$H$3999,B201)</f>
        <v>0</v>
      </c>
      <c r="U201" s="46" t="n">
        <f aca="false">SUMIFS(Data!$R$2:$R$781,Data!$H$2:$H$781,B201)</f>
        <v>0</v>
      </c>
      <c r="V201" s="47" t="n">
        <f aca="false">SUMIFS(Data!$Q$2:$Q$781,Data!$H$2:$H$781,B201)</f>
        <v>0</v>
      </c>
      <c r="W201" s="42" t="n">
        <f aca="false">SUMIFS(Data!$R$782:$R$2370,Data!$H$782:$H$2370,B201)</f>
        <v>0</v>
      </c>
      <c r="X201" s="43" t="n">
        <f aca="false">SUMIFS(Data!$Q$782:$Q$2370,Data!$H$782:$H$2370,B201)</f>
        <v>0</v>
      </c>
      <c r="Y201" s="42" t="n">
        <f aca="false">SUMIFS(Data!$R$2371:$R$3999,Data!$H$2371:$H$3999,B201)</f>
        <v>0</v>
      </c>
      <c r="Z201" s="43" t="n">
        <f aca="false">SUMIFS(Data!$Q$2371:$Q$3999,Data!$H$2371:$H$3999,B201)</f>
        <v>0</v>
      </c>
      <c r="AA201" s="48" t="n">
        <f aca="false">V201+U201+O201+N201+K201+F201+E201+P201</f>
        <v>0</v>
      </c>
      <c r="AB201" s="49" t="n">
        <f aca="false">X201+W201+T201+R201+Q201+L201+H201+G201</f>
        <v>9</v>
      </c>
      <c r="AC201" s="49" t="n">
        <f aca="false">Z201+Y201+T201+S201+M201+J201+I201</f>
        <v>0</v>
      </c>
    </row>
    <row r="202" customFormat="false" ht="23.25" hidden="false" customHeight="true" outlineLevel="0" collapsed="false">
      <c r="A202" s="31" t="n">
        <f aca="false">Data!AE201</f>
        <v>1002931</v>
      </c>
      <c r="B202" s="31" t="str">
        <f aca="false">Data!AD201</f>
        <v>نجمي الحياه</v>
      </c>
      <c r="C202" s="31" t="n">
        <f aca="false">Data!AH201</f>
        <v>535225725</v>
      </c>
      <c r="D202" s="31" t="str">
        <f aca="false">Data!AF201</f>
        <v>تبوك</v>
      </c>
      <c r="E202" s="42" t="n">
        <f aca="false">SUMIFS(Data!$L$2:$L$781,Data!$H$2:$H$781,B202)</f>
        <v>0</v>
      </c>
      <c r="F202" s="43" t="n">
        <f aca="false">SUMIFS(Data!$K$2:$K$781,Data!$H$2:$H$781,B202)</f>
        <v>0</v>
      </c>
      <c r="G202" s="42" t="n">
        <f aca="false">SUMIFS(Data!$L$782:$L$2370,Data!$H$782:$H$2370,B202)</f>
        <v>0</v>
      </c>
      <c r="H202" s="43" t="n">
        <f aca="false">SUMIFS(Data!$K$782:$K$2370,Data!$H$782:$H$2370,B202)</f>
        <v>3</v>
      </c>
      <c r="I202" s="42" t="n">
        <f aca="false">SUMIFS(Data!$L$2371:$L$3999,Data!$H$2371:$H$3999,B202)</f>
        <v>0</v>
      </c>
      <c r="J202" s="43" t="n">
        <f aca="false">SUMIFS(Data!$K$2371:$K$3999,Data!$H$2371:$H$3999,B202)</f>
        <v>0</v>
      </c>
      <c r="K202" s="44" t="n">
        <f aca="false">SUMIFS(Data!$M$2:$M$781,Data!$H$2:$H$781,B202)</f>
        <v>0</v>
      </c>
      <c r="L202" s="42" t="n">
        <f aca="false">SUMIFS(Data!$M$782:$M$2370,Data!$H$782:$H$2370,B202)</f>
        <v>2</v>
      </c>
      <c r="M202" s="42" t="n">
        <f aca="false">SUMIFS(Data!$M$2371:$M$3999,Data!$H$2371:$H$3999,B202)</f>
        <v>0</v>
      </c>
      <c r="N202" s="45" t="n">
        <f aca="false">SUMIFS(Data!$O$2:$O$781,Data!$H$2:$H$781,B202)</f>
        <v>0</v>
      </c>
      <c r="O202" s="43" t="n">
        <f aca="false">SUMIFS(Data!$N$2:$N$781,Data!$H$2:$H$781,B202)</f>
        <v>0</v>
      </c>
      <c r="P202" s="42" t="n">
        <f aca="false">SUMIFS(Data!$P$2:$P$781,Data!$H$2:$H$781,B202)</f>
        <v>0</v>
      </c>
      <c r="Q202" s="43" t="n">
        <f aca="false">SUMIFS(Data!$O$782:$O$2370,Data!$H$782:$H$2370,B202)</f>
        <v>0</v>
      </c>
      <c r="R202" s="43" t="n">
        <f aca="false">SUMIFS(Data!$N$782:$N$2370,Data!$H$782:$H$2370,B202)</f>
        <v>0</v>
      </c>
      <c r="S202" s="43" t="n">
        <f aca="false">SUMIFS(Data!$O$2371:$O$3999,Data!$H$2371:$H$3999,B202)</f>
        <v>0</v>
      </c>
      <c r="T202" s="43" t="n">
        <f aca="false">SUMIFS(Data!$N$2371:$N$3999,Data!$H$2371:$H$3999,B202)</f>
        <v>0</v>
      </c>
      <c r="U202" s="46" t="n">
        <f aca="false">SUMIFS(Data!$R$2:$R$781,Data!$H$2:$H$781,B202)</f>
        <v>0</v>
      </c>
      <c r="V202" s="47" t="n">
        <f aca="false">SUMIFS(Data!$Q$2:$Q$781,Data!$H$2:$H$781,B202)</f>
        <v>0</v>
      </c>
      <c r="W202" s="42" t="n">
        <f aca="false">SUMIFS(Data!$R$782:$R$2370,Data!$H$782:$H$2370,B202)</f>
        <v>11</v>
      </c>
      <c r="X202" s="43" t="n">
        <f aca="false">SUMIFS(Data!$Q$782:$Q$2370,Data!$H$782:$H$2370,B202)</f>
        <v>0</v>
      </c>
      <c r="Y202" s="42" t="n">
        <f aca="false">SUMIFS(Data!$R$2371:$R$3999,Data!$H$2371:$H$3999,B202)</f>
        <v>0</v>
      </c>
      <c r="Z202" s="43" t="n">
        <f aca="false">SUMIFS(Data!$Q$2371:$Q$3999,Data!$H$2371:$H$3999,B202)</f>
        <v>0</v>
      </c>
      <c r="AA202" s="48" t="n">
        <f aca="false">V202+U202+O202+N202+K202+F202+E202+P202</f>
        <v>0</v>
      </c>
      <c r="AB202" s="49" t="n">
        <f aca="false">X202+W202+T202+R202+Q202+L202+H202+G202</f>
        <v>16</v>
      </c>
      <c r="AC202" s="49" t="n">
        <f aca="false">Z202+Y202+T202+S202+M202+J202+I202</f>
        <v>0</v>
      </c>
    </row>
    <row r="203" customFormat="false" ht="23.25" hidden="false" customHeight="true" outlineLevel="0" collapsed="false">
      <c r="A203" s="31" t="n">
        <f aca="false">Data!AE202</f>
        <v>0</v>
      </c>
      <c r="B203" s="31" t="str">
        <f aca="false">Data!AD202</f>
        <v>المحرك الذهبي</v>
      </c>
      <c r="C203" s="31" t="n">
        <f aca="false">Data!AH202</f>
        <v>535225726</v>
      </c>
      <c r="D203" s="31" t="str">
        <f aca="false">Data!AF202</f>
        <v>تبوك</v>
      </c>
      <c r="E203" s="42" t="n">
        <f aca="false">SUMIFS(Data!$L$2:$L$781,Data!$H$2:$H$781,B203)</f>
        <v>0</v>
      </c>
      <c r="F203" s="43" t="n">
        <f aca="false">SUMIFS(Data!$K$2:$K$781,Data!$H$2:$H$781,B203)</f>
        <v>0</v>
      </c>
      <c r="G203" s="42" t="n">
        <f aca="false">SUMIFS(Data!$L$782:$L$2370,Data!$H$782:$H$2370,B203)</f>
        <v>0</v>
      </c>
      <c r="H203" s="43" t="n">
        <f aca="false">SUMIFS(Data!$K$782:$K$2370,Data!$H$782:$H$2370,B203)</f>
        <v>0</v>
      </c>
      <c r="I203" s="42" t="n">
        <f aca="false">SUMIFS(Data!$L$2371:$L$3999,Data!$H$2371:$H$3999,B203)</f>
        <v>0</v>
      </c>
      <c r="J203" s="43" t="n">
        <f aca="false">SUMIFS(Data!$K$2371:$K$3999,Data!$H$2371:$H$3999,B203)</f>
        <v>0</v>
      </c>
      <c r="K203" s="44" t="n">
        <f aca="false">SUMIFS(Data!$M$2:$M$781,Data!$H$2:$H$781,B203)</f>
        <v>0</v>
      </c>
      <c r="L203" s="42" t="n">
        <f aca="false">SUMIFS(Data!$M$782:$M$2370,Data!$H$782:$H$2370,B203)</f>
        <v>0</v>
      </c>
      <c r="M203" s="42" t="n">
        <f aca="false">SUMIFS(Data!$M$2371:$M$3999,Data!$H$2371:$H$3999,B203)</f>
        <v>0</v>
      </c>
      <c r="N203" s="45" t="n">
        <f aca="false">SUMIFS(Data!$O$2:$O$781,Data!$H$2:$H$781,B203)</f>
        <v>0</v>
      </c>
      <c r="O203" s="43" t="n">
        <f aca="false">SUMIFS(Data!$N$2:$N$781,Data!$H$2:$H$781,B203)</f>
        <v>0</v>
      </c>
      <c r="P203" s="42" t="n">
        <f aca="false">SUMIFS(Data!$P$2:$P$781,Data!$H$2:$H$781,B203)</f>
        <v>0</v>
      </c>
      <c r="Q203" s="43" t="n">
        <f aca="false">SUMIFS(Data!$O$782:$O$2370,Data!$H$782:$H$2370,B203)</f>
        <v>0</v>
      </c>
      <c r="R203" s="43" t="n">
        <f aca="false">SUMIFS(Data!$N$782:$N$2370,Data!$H$782:$H$2370,B203)</f>
        <v>0</v>
      </c>
      <c r="S203" s="43" t="n">
        <f aca="false">SUMIFS(Data!$O$2371:$O$3999,Data!$H$2371:$H$3999,B203)</f>
        <v>0</v>
      </c>
      <c r="T203" s="43" t="n">
        <f aca="false">SUMIFS(Data!$N$2371:$N$3999,Data!$H$2371:$H$3999,B203)</f>
        <v>0</v>
      </c>
      <c r="U203" s="46" t="n">
        <f aca="false">SUMIFS(Data!$R$2:$R$781,Data!$H$2:$H$781,B203)</f>
        <v>0</v>
      </c>
      <c r="V203" s="47" t="n">
        <f aca="false">SUMIFS(Data!$Q$2:$Q$781,Data!$H$2:$H$781,B203)</f>
        <v>0</v>
      </c>
      <c r="W203" s="42" t="n">
        <f aca="false">SUMIFS(Data!$R$782:$R$2370,Data!$H$782:$H$2370,B203)</f>
        <v>0</v>
      </c>
      <c r="X203" s="43" t="n">
        <f aca="false">SUMIFS(Data!$Q$782:$Q$2370,Data!$H$782:$H$2370,B203)</f>
        <v>0</v>
      </c>
      <c r="Y203" s="42" t="n">
        <f aca="false">SUMIFS(Data!$R$2371:$R$3999,Data!$H$2371:$H$3999,B203)</f>
        <v>0</v>
      </c>
      <c r="Z203" s="43" t="n">
        <f aca="false">SUMIFS(Data!$Q$2371:$Q$3999,Data!$H$2371:$H$3999,B203)</f>
        <v>0</v>
      </c>
      <c r="AA203" s="48" t="n">
        <f aca="false">V203+U203+O203+N203+K203+F203+E203+P203</f>
        <v>0</v>
      </c>
      <c r="AB203" s="49" t="n">
        <f aca="false">X203+W203+T203+R203+Q203+L203+H203+G203</f>
        <v>0</v>
      </c>
      <c r="AC203" s="49" t="n">
        <f aca="false">Z203+Y203+T203+S203+M203+J203+I203</f>
        <v>0</v>
      </c>
    </row>
    <row r="204" customFormat="false" ht="23.25" hidden="false" customHeight="true" outlineLevel="0" collapsed="false">
      <c r="A204" s="31" t="n">
        <f aca="false">Data!AE203</f>
        <v>0</v>
      </c>
      <c r="B204" s="31" t="str">
        <f aca="false">Data!AD203</f>
        <v>درة الراقي2</v>
      </c>
      <c r="C204" s="31" t="n">
        <f aca="false">Data!AH203</f>
        <v>535225727</v>
      </c>
      <c r="D204" s="31" t="str">
        <f aca="false">Data!AF203</f>
        <v>تبوك</v>
      </c>
      <c r="E204" s="42" t="n">
        <f aca="false">SUMIFS(Data!$L$2:$L$781,Data!$H$2:$H$781,B204)</f>
        <v>0</v>
      </c>
      <c r="F204" s="43" t="n">
        <f aca="false">SUMIFS(Data!$K$2:$K$781,Data!$H$2:$H$781,B204)</f>
        <v>0</v>
      </c>
      <c r="G204" s="42" t="n">
        <f aca="false">SUMIFS(Data!$L$782:$L$2370,Data!$H$782:$H$2370,B204)</f>
        <v>0</v>
      </c>
      <c r="H204" s="43" t="n">
        <f aca="false">SUMIFS(Data!$K$782:$K$2370,Data!$H$782:$H$2370,B204)</f>
        <v>0</v>
      </c>
      <c r="I204" s="42" t="n">
        <f aca="false">SUMIFS(Data!$L$2371:$L$3999,Data!$H$2371:$H$3999,B204)</f>
        <v>0</v>
      </c>
      <c r="J204" s="43" t="n">
        <f aca="false">SUMIFS(Data!$K$2371:$K$3999,Data!$H$2371:$H$3999,B204)</f>
        <v>0</v>
      </c>
      <c r="K204" s="44" t="n">
        <f aca="false">SUMIFS(Data!$M$2:$M$781,Data!$H$2:$H$781,B204)</f>
        <v>0</v>
      </c>
      <c r="L204" s="42" t="n">
        <f aca="false">SUMIFS(Data!$M$782:$M$2370,Data!$H$782:$H$2370,B204)</f>
        <v>0</v>
      </c>
      <c r="M204" s="42" t="n">
        <f aca="false">SUMIFS(Data!$M$2371:$M$3999,Data!$H$2371:$H$3999,B204)</f>
        <v>0</v>
      </c>
      <c r="N204" s="45" t="n">
        <f aca="false">SUMIFS(Data!$O$2:$O$781,Data!$H$2:$H$781,B204)</f>
        <v>0</v>
      </c>
      <c r="O204" s="43" t="n">
        <f aca="false">SUMIFS(Data!$N$2:$N$781,Data!$H$2:$H$781,B204)</f>
        <v>0</v>
      </c>
      <c r="P204" s="42" t="n">
        <f aca="false">SUMIFS(Data!$P$2:$P$781,Data!$H$2:$H$781,B204)</f>
        <v>0</v>
      </c>
      <c r="Q204" s="43" t="n">
        <f aca="false">SUMIFS(Data!$O$782:$O$2370,Data!$H$782:$H$2370,B204)</f>
        <v>0</v>
      </c>
      <c r="R204" s="43" t="n">
        <f aca="false">SUMIFS(Data!$N$782:$N$2370,Data!$H$782:$H$2370,B204)</f>
        <v>0</v>
      </c>
      <c r="S204" s="43" t="n">
        <f aca="false">SUMIFS(Data!$O$2371:$O$3999,Data!$H$2371:$H$3999,B204)</f>
        <v>0</v>
      </c>
      <c r="T204" s="43" t="n">
        <f aca="false">SUMIFS(Data!$N$2371:$N$3999,Data!$H$2371:$H$3999,B204)</f>
        <v>0</v>
      </c>
      <c r="U204" s="46" t="n">
        <f aca="false">SUMIFS(Data!$R$2:$R$781,Data!$H$2:$H$781,B204)</f>
        <v>0</v>
      </c>
      <c r="V204" s="47" t="n">
        <f aca="false">SUMIFS(Data!$Q$2:$Q$781,Data!$H$2:$H$781,B204)</f>
        <v>0</v>
      </c>
      <c r="W204" s="42" t="n">
        <f aca="false">SUMIFS(Data!$R$782:$R$2370,Data!$H$782:$H$2370,B204)</f>
        <v>0</v>
      </c>
      <c r="X204" s="43" t="n">
        <f aca="false">SUMIFS(Data!$Q$782:$Q$2370,Data!$H$782:$H$2370,B204)</f>
        <v>0</v>
      </c>
      <c r="Y204" s="42" t="n">
        <f aca="false">SUMIFS(Data!$R$2371:$R$3999,Data!$H$2371:$H$3999,B204)</f>
        <v>0</v>
      </c>
      <c r="Z204" s="43" t="n">
        <f aca="false">SUMIFS(Data!$Q$2371:$Q$3999,Data!$H$2371:$H$3999,B204)</f>
        <v>0</v>
      </c>
      <c r="AA204" s="48" t="n">
        <f aca="false">V204+U204+O204+N204+K204+F204+E204+P204</f>
        <v>0</v>
      </c>
      <c r="AB204" s="49" t="n">
        <f aca="false">X204+W204+T204+R204+Q204+L204+H204+G204</f>
        <v>0</v>
      </c>
      <c r="AC204" s="49" t="n">
        <f aca="false">Z204+Y204+T204+S204+M204+J204+I204</f>
        <v>0</v>
      </c>
    </row>
    <row r="205" customFormat="false" ht="23.25" hidden="false" customHeight="true" outlineLevel="0" collapsed="false">
      <c r="A205" s="31" t="n">
        <f aca="false">Data!AE204</f>
        <v>1002920</v>
      </c>
      <c r="B205" s="31" t="str">
        <f aca="false">Data!AD204</f>
        <v>لطيفه البكيلي</v>
      </c>
      <c r="C205" s="31" t="n">
        <f aca="false">Data!AH204</f>
        <v>0</v>
      </c>
      <c r="D205" s="31" t="str">
        <f aca="false">Data!AF204</f>
        <v>تبوك</v>
      </c>
      <c r="E205" s="42" t="n">
        <f aca="false">SUMIFS(Data!$L$2:$L$781,Data!$H$2:$H$781,B205)</f>
        <v>0</v>
      </c>
      <c r="F205" s="43" t="n">
        <f aca="false">SUMIFS(Data!$K$2:$K$781,Data!$H$2:$H$781,B205)</f>
        <v>2</v>
      </c>
      <c r="G205" s="42" t="n">
        <f aca="false">SUMIFS(Data!$L$782:$L$2370,Data!$H$782:$H$2370,B205)</f>
        <v>0</v>
      </c>
      <c r="H205" s="43" t="n">
        <f aca="false">SUMIFS(Data!$K$782:$K$2370,Data!$H$782:$H$2370,B205)</f>
        <v>0</v>
      </c>
      <c r="I205" s="42" t="n">
        <f aca="false">SUMIFS(Data!$L$2371:$L$3999,Data!$H$2371:$H$3999,B205)</f>
        <v>0</v>
      </c>
      <c r="J205" s="43" t="n">
        <f aca="false">SUMIFS(Data!$K$2371:$K$3999,Data!$H$2371:$H$3999,B205)</f>
        <v>0</v>
      </c>
      <c r="K205" s="44" t="n">
        <f aca="false">SUMIFS(Data!$M$2:$M$781,Data!$H$2:$H$781,B205)</f>
        <v>0</v>
      </c>
      <c r="L205" s="42" t="n">
        <f aca="false">SUMIFS(Data!$M$782:$M$2370,Data!$H$782:$H$2370,B205)</f>
        <v>0</v>
      </c>
      <c r="M205" s="42" t="n">
        <f aca="false">SUMIFS(Data!$M$2371:$M$3999,Data!$H$2371:$H$3999,B205)</f>
        <v>0</v>
      </c>
      <c r="N205" s="45" t="n">
        <f aca="false">SUMIFS(Data!$O$2:$O$781,Data!$H$2:$H$781,B205)</f>
        <v>0</v>
      </c>
      <c r="O205" s="43" t="n">
        <f aca="false">SUMIFS(Data!$N$2:$N$781,Data!$H$2:$H$781,B205)</f>
        <v>0</v>
      </c>
      <c r="P205" s="42" t="n">
        <f aca="false">SUMIFS(Data!$P$2:$P$781,Data!$H$2:$H$781,B205)</f>
        <v>0</v>
      </c>
      <c r="Q205" s="43" t="n">
        <f aca="false">SUMIFS(Data!$O$782:$O$2370,Data!$H$782:$H$2370,B205)</f>
        <v>0</v>
      </c>
      <c r="R205" s="43" t="n">
        <f aca="false">SUMIFS(Data!$N$782:$N$2370,Data!$H$782:$H$2370,B205)</f>
        <v>0</v>
      </c>
      <c r="S205" s="43" t="n">
        <f aca="false">SUMIFS(Data!$O$2371:$O$3999,Data!$H$2371:$H$3999,B205)</f>
        <v>0</v>
      </c>
      <c r="T205" s="43" t="n">
        <f aca="false">SUMIFS(Data!$N$2371:$N$3999,Data!$H$2371:$H$3999,B205)</f>
        <v>0</v>
      </c>
      <c r="U205" s="46" t="n">
        <f aca="false">SUMIFS(Data!$R$2:$R$781,Data!$H$2:$H$781,B205)</f>
        <v>0</v>
      </c>
      <c r="V205" s="47" t="n">
        <f aca="false">SUMIFS(Data!$Q$2:$Q$781,Data!$H$2:$H$781,B205)</f>
        <v>1</v>
      </c>
      <c r="W205" s="42" t="n">
        <f aca="false">SUMIFS(Data!$R$782:$R$2370,Data!$H$782:$H$2370,B205)</f>
        <v>0</v>
      </c>
      <c r="X205" s="43" t="n">
        <f aca="false">SUMIFS(Data!$Q$782:$Q$2370,Data!$H$782:$H$2370,B205)</f>
        <v>0</v>
      </c>
      <c r="Y205" s="42" t="n">
        <f aca="false">SUMIFS(Data!$R$2371:$R$3999,Data!$H$2371:$H$3999,B205)</f>
        <v>0</v>
      </c>
      <c r="Z205" s="43" t="n">
        <f aca="false">SUMIFS(Data!$Q$2371:$Q$3999,Data!$H$2371:$H$3999,B205)</f>
        <v>0</v>
      </c>
      <c r="AA205" s="48" t="n">
        <f aca="false">V205+U205+O205+N205+K205+F205+E205+P205</f>
        <v>3</v>
      </c>
      <c r="AB205" s="49" t="n">
        <f aca="false">X205+W205+T205+R205+Q205+L205+H205+G205</f>
        <v>0</v>
      </c>
      <c r="AC205" s="49" t="n">
        <f aca="false">Z205+Y205+T205+S205+M205+J205+I205</f>
        <v>0</v>
      </c>
    </row>
    <row r="206" customFormat="false" ht="23.25" hidden="false" customHeight="true" outlineLevel="0" collapsed="false">
      <c r="A206" s="31" t="n">
        <f aca="false">Data!AE205</f>
        <v>630</v>
      </c>
      <c r="B206" s="31" t="str">
        <f aca="false">Data!AD205</f>
        <v>عبيد الجهني</v>
      </c>
      <c r="C206" s="31" t="n">
        <f aca="false">Data!AH205</f>
        <v>0</v>
      </c>
      <c r="D206" s="31" t="str">
        <f aca="false">Data!AF205</f>
        <v>تبوك</v>
      </c>
      <c r="E206" s="42" t="n">
        <f aca="false">SUMIFS(Data!$L$2:$L$781,Data!$H$2:$H$781,B206)</f>
        <v>0</v>
      </c>
      <c r="F206" s="43" t="n">
        <f aca="false">SUMIFS(Data!$K$2:$K$781,Data!$H$2:$H$781,B206)</f>
        <v>0</v>
      </c>
      <c r="G206" s="42" t="n">
        <f aca="false">SUMIFS(Data!$L$782:$L$2370,Data!$H$782:$H$2370,B206)</f>
        <v>0</v>
      </c>
      <c r="H206" s="43" t="n">
        <f aca="false">SUMIFS(Data!$K$782:$K$2370,Data!$H$782:$H$2370,B206)</f>
        <v>0</v>
      </c>
      <c r="I206" s="42" t="n">
        <f aca="false">SUMIFS(Data!$L$2371:$L$3999,Data!$H$2371:$H$3999,B206)</f>
        <v>0</v>
      </c>
      <c r="J206" s="43" t="n">
        <f aca="false">SUMIFS(Data!$K$2371:$K$3999,Data!$H$2371:$H$3999,B206)</f>
        <v>0</v>
      </c>
      <c r="K206" s="44" t="n">
        <f aca="false">SUMIFS(Data!$M$2:$M$781,Data!$H$2:$H$781,B206)</f>
        <v>0</v>
      </c>
      <c r="L206" s="42" t="n">
        <f aca="false">SUMIFS(Data!$M$782:$M$2370,Data!$H$782:$H$2370,B206)</f>
        <v>0</v>
      </c>
      <c r="M206" s="42" t="n">
        <f aca="false">SUMIFS(Data!$M$2371:$M$3999,Data!$H$2371:$H$3999,B206)</f>
        <v>0</v>
      </c>
      <c r="N206" s="45" t="n">
        <f aca="false">SUMIFS(Data!$O$2:$O$781,Data!$H$2:$H$781,B206)</f>
        <v>0</v>
      </c>
      <c r="O206" s="43" t="n">
        <f aca="false">SUMIFS(Data!$N$2:$N$781,Data!$H$2:$H$781,B206)</f>
        <v>0</v>
      </c>
      <c r="P206" s="42" t="n">
        <f aca="false">SUMIFS(Data!$P$2:$P$781,Data!$H$2:$H$781,B206)</f>
        <v>0</v>
      </c>
      <c r="Q206" s="43" t="n">
        <f aca="false">SUMIFS(Data!$O$782:$O$2370,Data!$H$782:$H$2370,B206)</f>
        <v>0</v>
      </c>
      <c r="R206" s="43" t="n">
        <f aca="false">SUMIFS(Data!$N$782:$N$2370,Data!$H$782:$H$2370,B206)</f>
        <v>0</v>
      </c>
      <c r="S206" s="43" t="n">
        <f aca="false">SUMIFS(Data!$O$2371:$O$3999,Data!$H$2371:$H$3999,B206)</f>
        <v>0</v>
      </c>
      <c r="T206" s="43" t="n">
        <f aca="false">SUMIFS(Data!$N$2371:$N$3999,Data!$H$2371:$H$3999,B206)</f>
        <v>0</v>
      </c>
      <c r="U206" s="46" t="n">
        <f aca="false">SUMIFS(Data!$R$2:$R$781,Data!$H$2:$H$781,B206)</f>
        <v>1</v>
      </c>
      <c r="V206" s="47" t="n">
        <f aca="false">SUMIFS(Data!$Q$2:$Q$781,Data!$H$2:$H$781,B206)</f>
        <v>1</v>
      </c>
      <c r="W206" s="42" t="n">
        <f aca="false">SUMIFS(Data!$R$782:$R$2370,Data!$H$782:$H$2370,B206)</f>
        <v>0</v>
      </c>
      <c r="X206" s="43" t="n">
        <f aca="false">SUMIFS(Data!$Q$782:$Q$2370,Data!$H$782:$H$2370,B206)</f>
        <v>2</v>
      </c>
      <c r="Y206" s="42" t="n">
        <f aca="false">SUMIFS(Data!$R$2371:$R$3999,Data!$H$2371:$H$3999,B206)</f>
        <v>0</v>
      </c>
      <c r="Z206" s="43" t="n">
        <f aca="false">SUMIFS(Data!$Q$2371:$Q$3999,Data!$H$2371:$H$3999,B206)</f>
        <v>0</v>
      </c>
      <c r="AA206" s="48" t="n">
        <f aca="false">V206+U206+O206+N206+K206+F206+E206+P206</f>
        <v>2</v>
      </c>
      <c r="AB206" s="49" t="n">
        <f aca="false">X206+W206+T206+R206+Q206+L206+H206+G206</f>
        <v>2</v>
      </c>
      <c r="AC206" s="49" t="n">
        <f aca="false">Z206+Y206+T206+S206+M206+J206+I206</f>
        <v>0</v>
      </c>
    </row>
    <row r="207" customFormat="false" ht="23.25" hidden="false" customHeight="true" outlineLevel="0" collapsed="false">
      <c r="A207" s="31" t="n">
        <f aca="false">Data!AE206</f>
        <v>556</v>
      </c>
      <c r="B207" s="31" t="str">
        <f aca="false">Data!AD206</f>
        <v>مركز المئويه</v>
      </c>
      <c r="C207" s="31" t="n">
        <f aca="false">Data!AH206</f>
        <v>0</v>
      </c>
      <c r="D207" s="31" t="str">
        <f aca="false">Data!AF206</f>
        <v>تبوك</v>
      </c>
      <c r="E207" s="42" t="n">
        <f aca="false">SUMIFS(Data!$L$2:$L$781,Data!$H$2:$H$781,B207)</f>
        <v>0</v>
      </c>
      <c r="F207" s="43" t="n">
        <f aca="false">SUMIFS(Data!$K$2:$K$781,Data!$H$2:$H$781,B207)</f>
        <v>0</v>
      </c>
      <c r="G207" s="42" t="n">
        <f aca="false">SUMIFS(Data!$L$782:$L$2370,Data!$H$782:$H$2370,B207)</f>
        <v>0</v>
      </c>
      <c r="H207" s="43" t="n">
        <f aca="false">SUMIFS(Data!$K$782:$K$2370,Data!$H$782:$H$2370,B207)</f>
        <v>0</v>
      </c>
      <c r="I207" s="42" t="n">
        <f aca="false">SUMIFS(Data!$L$2371:$L$3999,Data!$H$2371:$H$3999,B207)</f>
        <v>0</v>
      </c>
      <c r="J207" s="43" t="n">
        <f aca="false">SUMIFS(Data!$K$2371:$K$3999,Data!$H$2371:$H$3999,B207)</f>
        <v>0</v>
      </c>
      <c r="K207" s="44" t="n">
        <f aca="false">SUMIFS(Data!$M$2:$M$781,Data!$H$2:$H$781,B207)</f>
        <v>2</v>
      </c>
      <c r="L207" s="42" t="n">
        <f aca="false">SUMIFS(Data!$M$782:$M$2370,Data!$H$782:$H$2370,B207)</f>
        <v>0</v>
      </c>
      <c r="M207" s="42" t="n">
        <f aca="false">SUMIFS(Data!$M$2371:$M$3999,Data!$H$2371:$H$3999,B207)</f>
        <v>0</v>
      </c>
      <c r="N207" s="45" t="n">
        <f aca="false">SUMIFS(Data!$O$2:$O$781,Data!$H$2:$H$781,B207)</f>
        <v>0</v>
      </c>
      <c r="O207" s="43" t="n">
        <f aca="false">SUMIFS(Data!$N$2:$N$781,Data!$H$2:$H$781,B207)</f>
        <v>0</v>
      </c>
      <c r="P207" s="42" t="n">
        <f aca="false">SUMIFS(Data!$P$2:$P$781,Data!$H$2:$H$781,B207)</f>
        <v>0</v>
      </c>
      <c r="Q207" s="43" t="n">
        <f aca="false">SUMIFS(Data!$O$782:$O$2370,Data!$H$782:$H$2370,B207)</f>
        <v>0</v>
      </c>
      <c r="R207" s="43" t="n">
        <f aca="false">SUMIFS(Data!$N$782:$N$2370,Data!$H$782:$H$2370,B207)</f>
        <v>0</v>
      </c>
      <c r="S207" s="43" t="n">
        <f aca="false">SUMIFS(Data!$O$2371:$O$3999,Data!$H$2371:$H$3999,B207)</f>
        <v>0</v>
      </c>
      <c r="T207" s="43" t="n">
        <f aca="false">SUMIFS(Data!$N$2371:$N$3999,Data!$H$2371:$H$3999,B207)</f>
        <v>0</v>
      </c>
      <c r="U207" s="46" t="n">
        <f aca="false">SUMIFS(Data!$R$2:$R$781,Data!$H$2:$H$781,B207)</f>
        <v>1</v>
      </c>
      <c r="V207" s="47" t="n">
        <f aca="false">SUMIFS(Data!$Q$2:$Q$781,Data!$H$2:$H$781,B207)</f>
        <v>0</v>
      </c>
      <c r="W207" s="42" t="n">
        <f aca="false">SUMIFS(Data!$R$782:$R$2370,Data!$H$782:$H$2370,B207)</f>
        <v>0</v>
      </c>
      <c r="X207" s="43" t="n">
        <f aca="false">SUMIFS(Data!$Q$782:$Q$2370,Data!$H$782:$H$2370,B207)</f>
        <v>0</v>
      </c>
      <c r="Y207" s="42" t="n">
        <f aca="false">SUMIFS(Data!$R$2371:$R$3999,Data!$H$2371:$H$3999,B207)</f>
        <v>0</v>
      </c>
      <c r="Z207" s="43" t="n">
        <f aca="false">SUMIFS(Data!$Q$2371:$Q$3999,Data!$H$2371:$H$3999,B207)</f>
        <v>0</v>
      </c>
      <c r="AA207" s="48" t="n">
        <f aca="false">V207+U207+O207+N207+K207+F207+E207+P207</f>
        <v>3</v>
      </c>
      <c r="AB207" s="49" t="n">
        <f aca="false">X207+W207+T207+R207+Q207+L207+H207+G207</f>
        <v>0</v>
      </c>
      <c r="AC207" s="49" t="n">
        <f aca="false">Z207+Y207+T207+S207+M207+J207+I207</f>
        <v>0</v>
      </c>
    </row>
    <row r="208" customFormat="false" ht="23.25" hidden="false" customHeight="true" outlineLevel="0" collapsed="false">
      <c r="A208" s="31" t="n">
        <f aca="false">Data!AE207</f>
        <v>1008053</v>
      </c>
      <c r="B208" s="31" t="str">
        <f aca="false">Data!AD207</f>
        <v>عائشه العمري</v>
      </c>
      <c r="C208" s="31" t="n">
        <f aca="false">Data!AH207</f>
        <v>0</v>
      </c>
      <c r="D208" s="31" t="str">
        <f aca="false">Data!AF207</f>
        <v>تبوك</v>
      </c>
      <c r="E208" s="42" t="n">
        <f aca="false">SUMIFS(Data!$L$2:$L$781,Data!$H$2:$H$781,B208)</f>
        <v>0</v>
      </c>
      <c r="F208" s="43" t="n">
        <f aca="false">SUMIFS(Data!$K$2:$K$781,Data!$H$2:$H$781,B208)</f>
        <v>0</v>
      </c>
      <c r="G208" s="42" t="n">
        <f aca="false">SUMIFS(Data!$L$782:$L$2370,Data!$H$782:$H$2370,B208)</f>
        <v>0</v>
      </c>
      <c r="H208" s="43" t="n">
        <f aca="false">SUMIFS(Data!$K$782:$K$2370,Data!$H$782:$H$2370,B208)</f>
        <v>0</v>
      </c>
      <c r="I208" s="42" t="n">
        <f aca="false">SUMIFS(Data!$L$2371:$L$3999,Data!$H$2371:$H$3999,B208)</f>
        <v>0</v>
      </c>
      <c r="J208" s="43" t="n">
        <f aca="false">SUMIFS(Data!$K$2371:$K$3999,Data!$H$2371:$H$3999,B208)</f>
        <v>0</v>
      </c>
      <c r="K208" s="44" t="n">
        <f aca="false">SUMIFS(Data!$M$2:$M$781,Data!$H$2:$H$781,B208)</f>
        <v>0</v>
      </c>
      <c r="L208" s="42" t="n">
        <f aca="false">SUMIFS(Data!$M$782:$M$2370,Data!$H$782:$H$2370,B208)</f>
        <v>0</v>
      </c>
      <c r="M208" s="42" t="n">
        <f aca="false">SUMIFS(Data!$M$2371:$M$3999,Data!$H$2371:$H$3999,B208)</f>
        <v>0</v>
      </c>
      <c r="N208" s="45" t="n">
        <f aca="false">SUMIFS(Data!$O$2:$O$781,Data!$H$2:$H$781,B208)</f>
        <v>0</v>
      </c>
      <c r="O208" s="43" t="n">
        <f aca="false">SUMIFS(Data!$N$2:$N$781,Data!$H$2:$H$781,B208)</f>
        <v>0</v>
      </c>
      <c r="P208" s="42" t="n">
        <f aca="false">SUMIFS(Data!$P$2:$P$781,Data!$H$2:$H$781,B208)</f>
        <v>0</v>
      </c>
      <c r="Q208" s="43" t="n">
        <f aca="false">SUMIFS(Data!$O$782:$O$2370,Data!$H$782:$H$2370,B208)</f>
        <v>0</v>
      </c>
      <c r="R208" s="43" t="n">
        <f aca="false">SUMIFS(Data!$N$782:$N$2370,Data!$H$782:$H$2370,B208)</f>
        <v>0</v>
      </c>
      <c r="S208" s="43" t="n">
        <f aca="false">SUMIFS(Data!$O$2371:$O$3999,Data!$H$2371:$H$3999,B208)</f>
        <v>0</v>
      </c>
      <c r="T208" s="43" t="n">
        <f aca="false">SUMIFS(Data!$N$2371:$N$3999,Data!$H$2371:$H$3999,B208)</f>
        <v>0</v>
      </c>
      <c r="U208" s="46" t="n">
        <f aca="false">SUMIFS(Data!$R$2:$R$781,Data!$H$2:$H$781,B208)</f>
        <v>5</v>
      </c>
      <c r="V208" s="47" t="n">
        <f aca="false">SUMIFS(Data!$Q$2:$Q$781,Data!$H$2:$H$781,B208)</f>
        <v>7</v>
      </c>
      <c r="W208" s="42" t="n">
        <f aca="false">SUMIFS(Data!$R$782:$R$2370,Data!$H$782:$H$2370,B208)</f>
        <v>0</v>
      </c>
      <c r="X208" s="43" t="n">
        <f aca="false">SUMIFS(Data!$Q$782:$Q$2370,Data!$H$782:$H$2370,B208)</f>
        <v>0</v>
      </c>
      <c r="Y208" s="42" t="n">
        <f aca="false">SUMIFS(Data!$R$2371:$R$3999,Data!$H$2371:$H$3999,B208)</f>
        <v>0</v>
      </c>
      <c r="Z208" s="43" t="n">
        <f aca="false">SUMIFS(Data!$Q$2371:$Q$3999,Data!$H$2371:$H$3999,B208)</f>
        <v>0</v>
      </c>
      <c r="AA208" s="48" t="n">
        <f aca="false">V208+U208+O208+N208+K208+F208+E208+P208</f>
        <v>12</v>
      </c>
      <c r="AB208" s="49" t="n">
        <f aca="false">X208+W208+T208+R208+Q208+L208+H208+G208</f>
        <v>0</v>
      </c>
      <c r="AC208" s="49" t="n">
        <f aca="false">Z208+Y208+T208+S208+M208+J208+I208</f>
        <v>0</v>
      </c>
    </row>
    <row r="209" customFormat="false" ht="23.25" hidden="false" customHeight="true" outlineLevel="0" collapsed="false">
      <c r="A209" s="31" t="n">
        <f aca="false">Data!AE208</f>
        <v>1008271</v>
      </c>
      <c r="B209" s="31" t="str">
        <f aca="false">Data!AD208</f>
        <v>ناصر العمري</v>
      </c>
      <c r="C209" s="31" t="n">
        <f aca="false">Data!AH208</f>
        <v>0</v>
      </c>
      <c r="D209" s="31" t="str">
        <f aca="false">Data!AF208</f>
        <v>تبوك</v>
      </c>
      <c r="E209" s="42" t="n">
        <f aca="false">SUMIFS(Data!$L$2:$L$781,Data!$H$2:$H$781,B209)</f>
        <v>0</v>
      </c>
      <c r="F209" s="43" t="n">
        <f aca="false">SUMIFS(Data!$K$2:$K$781,Data!$H$2:$H$781,B209)</f>
        <v>0</v>
      </c>
      <c r="G209" s="42" t="n">
        <f aca="false">SUMIFS(Data!$L$782:$L$2370,Data!$H$782:$H$2370,B209)</f>
        <v>0</v>
      </c>
      <c r="H209" s="43" t="n">
        <f aca="false">SUMIFS(Data!$K$782:$K$2370,Data!$H$782:$H$2370,B209)</f>
        <v>0</v>
      </c>
      <c r="I209" s="42" t="n">
        <f aca="false">SUMIFS(Data!$L$2371:$L$3999,Data!$H$2371:$H$3999,B209)</f>
        <v>0</v>
      </c>
      <c r="J209" s="43" t="n">
        <f aca="false">SUMIFS(Data!$K$2371:$K$3999,Data!$H$2371:$H$3999,B209)</f>
        <v>0</v>
      </c>
      <c r="K209" s="44" t="n">
        <f aca="false">SUMIFS(Data!$M$2:$M$781,Data!$H$2:$H$781,B209)</f>
        <v>0</v>
      </c>
      <c r="L209" s="42" t="n">
        <f aca="false">SUMIFS(Data!$M$782:$M$2370,Data!$H$782:$H$2370,B209)</f>
        <v>0</v>
      </c>
      <c r="M209" s="42" t="n">
        <f aca="false">SUMIFS(Data!$M$2371:$M$3999,Data!$H$2371:$H$3999,B209)</f>
        <v>0</v>
      </c>
      <c r="N209" s="45" t="n">
        <f aca="false">SUMIFS(Data!$O$2:$O$781,Data!$H$2:$H$781,B209)</f>
        <v>0</v>
      </c>
      <c r="O209" s="43" t="n">
        <f aca="false">SUMIFS(Data!$N$2:$N$781,Data!$H$2:$H$781,B209)</f>
        <v>0</v>
      </c>
      <c r="P209" s="42" t="n">
        <f aca="false">SUMIFS(Data!$P$2:$P$781,Data!$H$2:$H$781,B209)</f>
        <v>0</v>
      </c>
      <c r="Q209" s="43" t="n">
        <f aca="false">SUMIFS(Data!$O$782:$O$2370,Data!$H$782:$H$2370,B209)</f>
        <v>0</v>
      </c>
      <c r="R209" s="43" t="n">
        <f aca="false">SUMIFS(Data!$N$782:$N$2370,Data!$H$782:$H$2370,B209)</f>
        <v>0</v>
      </c>
      <c r="S209" s="43" t="n">
        <f aca="false">SUMIFS(Data!$O$2371:$O$3999,Data!$H$2371:$H$3999,B209)</f>
        <v>0</v>
      </c>
      <c r="T209" s="43" t="n">
        <f aca="false">SUMIFS(Data!$N$2371:$N$3999,Data!$H$2371:$H$3999,B209)</f>
        <v>0</v>
      </c>
      <c r="U209" s="46" t="n">
        <f aca="false">SUMIFS(Data!$R$2:$R$781,Data!$H$2:$H$781,B209)</f>
        <v>1</v>
      </c>
      <c r="V209" s="47" t="n">
        <f aca="false">SUMIFS(Data!$Q$2:$Q$781,Data!$H$2:$H$781,B209)</f>
        <v>1</v>
      </c>
      <c r="W209" s="42" t="n">
        <f aca="false">SUMIFS(Data!$R$782:$R$2370,Data!$H$782:$H$2370,B209)</f>
        <v>0</v>
      </c>
      <c r="X209" s="43" t="n">
        <f aca="false">SUMIFS(Data!$Q$782:$Q$2370,Data!$H$782:$H$2370,B209)</f>
        <v>0</v>
      </c>
      <c r="Y209" s="42" t="n">
        <f aca="false">SUMIFS(Data!$R$2371:$R$3999,Data!$H$2371:$H$3999,B209)</f>
        <v>0</v>
      </c>
      <c r="Z209" s="43" t="n">
        <f aca="false">SUMIFS(Data!$Q$2371:$Q$3999,Data!$H$2371:$H$3999,B209)</f>
        <v>0</v>
      </c>
      <c r="AA209" s="48" t="n">
        <f aca="false">V209+U209+O209+N209+K209+F209+E209+P209</f>
        <v>2</v>
      </c>
      <c r="AB209" s="49" t="n">
        <f aca="false">X209+W209+T209+R209+Q209+L209+H209+G209</f>
        <v>0</v>
      </c>
      <c r="AC209" s="49" t="n">
        <f aca="false">Z209+Y209+T209+S209+M209+J209+I209</f>
        <v>0</v>
      </c>
    </row>
    <row r="210" customFormat="false" ht="23.25" hidden="false" customHeight="true" outlineLevel="0" collapsed="false">
      <c r="A210" s="31" t="n">
        <f aca="false">Data!AE209</f>
        <v>580</v>
      </c>
      <c r="B210" s="31" t="str">
        <f aca="false">Data!AD209</f>
        <v>حرفة الفني</v>
      </c>
      <c r="C210" s="31" t="n">
        <f aca="false">Data!AH209</f>
        <v>0</v>
      </c>
      <c r="D210" s="31" t="str">
        <f aca="false">Data!AF209</f>
        <v>تبوك</v>
      </c>
      <c r="E210" s="42" t="n">
        <f aca="false">SUMIFS(Data!$L$2:$L$781,Data!$H$2:$H$781,B210)</f>
        <v>0</v>
      </c>
      <c r="F210" s="43" t="n">
        <f aca="false">SUMIFS(Data!$K$2:$K$781,Data!$H$2:$H$781,B210)</f>
        <v>0</v>
      </c>
      <c r="G210" s="42" t="n">
        <f aca="false">SUMIFS(Data!$L$782:$L$2370,Data!$H$782:$H$2370,B210)</f>
        <v>0</v>
      </c>
      <c r="H210" s="43" t="n">
        <f aca="false">SUMIFS(Data!$K$782:$K$2370,Data!$H$782:$H$2370,B210)</f>
        <v>0</v>
      </c>
      <c r="I210" s="42" t="n">
        <f aca="false">SUMIFS(Data!$L$2371:$L$3999,Data!$H$2371:$H$3999,B210)</f>
        <v>0</v>
      </c>
      <c r="J210" s="43" t="n">
        <f aca="false">SUMIFS(Data!$K$2371:$K$3999,Data!$H$2371:$H$3999,B210)</f>
        <v>0</v>
      </c>
      <c r="K210" s="44" t="n">
        <f aca="false">SUMIFS(Data!$M$2:$M$781,Data!$H$2:$H$781,B210)</f>
        <v>0</v>
      </c>
      <c r="L210" s="42" t="n">
        <f aca="false">SUMIFS(Data!$M$782:$M$2370,Data!$H$782:$H$2370,B210)</f>
        <v>0</v>
      </c>
      <c r="M210" s="42" t="n">
        <f aca="false">SUMIFS(Data!$M$2371:$M$3999,Data!$H$2371:$H$3999,B210)</f>
        <v>0</v>
      </c>
      <c r="N210" s="45" t="n">
        <f aca="false">SUMIFS(Data!$O$2:$O$781,Data!$H$2:$H$781,B210)</f>
        <v>0</v>
      </c>
      <c r="O210" s="43" t="n">
        <f aca="false">SUMIFS(Data!$N$2:$N$781,Data!$H$2:$H$781,B210)</f>
        <v>0</v>
      </c>
      <c r="P210" s="42" t="n">
        <f aca="false">SUMIFS(Data!$P$2:$P$781,Data!$H$2:$H$781,B210)</f>
        <v>0</v>
      </c>
      <c r="Q210" s="43" t="n">
        <f aca="false">SUMIFS(Data!$O$782:$O$2370,Data!$H$782:$H$2370,B210)</f>
        <v>0</v>
      </c>
      <c r="R210" s="43" t="n">
        <f aca="false">SUMIFS(Data!$N$782:$N$2370,Data!$H$782:$H$2370,B210)</f>
        <v>0</v>
      </c>
      <c r="S210" s="43" t="n">
        <f aca="false">SUMIFS(Data!$O$2371:$O$3999,Data!$H$2371:$H$3999,B210)</f>
        <v>0</v>
      </c>
      <c r="T210" s="43" t="n">
        <f aca="false">SUMIFS(Data!$N$2371:$N$3999,Data!$H$2371:$H$3999,B210)</f>
        <v>0</v>
      </c>
      <c r="U210" s="46" t="n">
        <f aca="false">SUMIFS(Data!$R$2:$R$781,Data!$H$2:$H$781,B210)</f>
        <v>0</v>
      </c>
      <c r="V210" s="47" t="n">
        <f aca="false">SUMIFS(Data!$Q$2:$Q$781,Data!$H$2:$H$781,B210)</f>
        <v>5</v>
      </c>
      <c r="W210" s="42" t="n">
        <f aca="false">SUMIFS(Data!$R$782:$R$2370,Data!$H$782:$H$2370,B210)</f>
        <v>0</v>
      </c>
      <c r="X210" s="43" t="n">
        <f aca="false">SUMIFS(Data!$Q$782:$Q$2370,Data!$H$782:$H$2370,B210)</f>
        <v>0</v>
      </c>
      <c r="Y210" s="42" t="n">
        <f aca="false">SUMIFS(Data!$R$2371:$R$3999,Data!$H$2371:$H$3999,B210)</f>
        <v>0</v>
      </c>
      <c r="Z210" s="43" t="n">
        <f aca="false">SUMIFS(Data!$Q$2371:$Q$3999,Data!$H$2371:$H$3999,B210)</f>
        <v>0</v>
      </c>
      <c r="AA210" s="48" t="n">
        <f aca="false">V210+U210+O210+N210+K210+F210+E210+P210</f>
        <v>5</v>
      </c>
      <c r="AB210" s="49" t="n">
        <f aca="false">X210+W210+T210+R210+Q210+L210+H210+G210</f>
        <v>0</v>
      </c>
      <c r="AC210" s="49" t="n">
        <f aca="false">Z210+Y210+T210+S210+M210+J210+I210</f>
        <v>0</v>
      </c>
    </row>
    <row r="211" customFormat="false" ht="23.25" hidden="false" customHeight="true" outlineLevel="0" collapsed="false">
      <c r="A211" s="31" t="n">
        <f aca="false">Data!AE210</f>
        <v>1002926</v>
      </c>
      <c r="B211" s="31" t="str">
        <f aca="false">Data!AD210</f>
        <v>الفين الفيصليه</v>
      </c>
      <c r="C211" s="31" t="n">
        <f aca="false">Data!AH210</f>
        <v>0</v>
      </c>
      <c r="D211" s="31" t="str">
        <f aca="false">Data!AF210</f>
        <v>تبوك</v>
      </c>
      <c r="E211" s="42" t="n">
        <f aca="false">SUMIFS(Data!$L$2:$L$781,Data!$H$2:$H$781,B211)</f>
        <v>0</v>
      </c>
      <c r="F211" s="43" t="n">
        <f aca="false">SUMIFS(Data!$K$2:$K$781,Data!$H$2:$H$781,B211)</f>
        <v>0</v>
      </c>
      <c r="G211" s="42" t="n">
        <f aca="false">SUMIFS(Data!$L$782:$L$2370,Data!$H$782:$H$2370,B211)</f>
        <v>0</v>
      </c>
      <c r="H211" s="43" t="n">
        <f aca="false">SUMIFS(Data!$K$782:$K$2370,Data!$H$782:$H$2370,B211)</f>
        <v>3</v>
      </c>
      <c r="I211" s="42" t="n">
        <f aca="false">SUMIFS(Data!$L$2371:$L$3999,Data!$H$2371:$H$3999,B211)</f>
        <v>0</v>
      </c>
      <c r="J211" s="43" t="n">
        <f aca="false">SUMIFS(Data!$K$2371:$K$3999,Data!$H$2371:$H$3999,B211)</f>
        <v>0</v>
      </c>
      <c r="K211" s="44" t="n">
        <f aca="false">SUMIFS(Data!$M$2:$M$781,Data!$H$2:$H$781,B211)</f>
        <v>0</v>
      </c>
      <c r="L211" s="42" t="n">
        <f aca="false">SUMIFS(Data!$M$782:$M$2370,Data!$H$782:$H$2370,B211)</f>
        <v>0</v>
      </c>
      <c r="M211" s="42" t="n">
        <f aca="false">SUMIFS(Data!$M$2371:$M$3999,Data!$H$2371:$H$3999,B211)</f>
        <v>0</v>
      </c>
      <c r="N211" s="45" t="n">
        <f aca="false">SUMIFS(Data!$O$2:$O$781,Data!$H$2:$H$781,B211)</f>
        <v>0</v>
      </c>
      <c r="O211" s="43" t="n">
        <f aca="false">SUMIFS(Data!$N$2:$N$781,Data!$H$2:$H$781,B211)</f>
        <v>0</v>
      </c>
      <c r="P211" s="42" t="n">
        <f aca="false">SUMIFS(Data!$P$2:$P$781,Data!$H$2:$H$781,B211)</f>
        <v>0</v>
      </c>
      <c r="Q211" s="43" t="n">
        <f aca="false">SUMIFS(Data!$O$782:$O$2370,Data!$H$782:$H$2370,B211)</f>
        <v>0</v>
      </c>
      <c r="R211" s="43" t="n">
        <f aca="false">SUMIFS(Data!$N$782:$N$2370,Data!$H$782:$H$2370,B211)</f>
        <v>0</v>
      </c>
      <c r="S211" s="43" t="n">
        <f aca="false">SUMIFS(Data!$O$2371:$O$3999,Data!$H$2371:$H$3999,B211)</f>
        <v>0</v>
      </c>
      <c r="T211" s="43" t="n">
        <f aca="false">SUMIFS(Data!$N$2371:$N$3999,Data!$H$2371:$H$3999,B211)</f>
        <v>0</v>
      </c>
      <c r="U211" s="46" t="n">
        <f aca="false">SUMIFS(Data!$R$2:$R$781,Data!$H$2:$H$781,B211)</f>
        <v>0</v>
      </c>
      <c r="V211" s="47" t="n">
        <f aca="false">SUMIFS(Data!$Q$2:$Q$781,Data!$H$2:$H$781,B211)</f>
        <v>0</v>
      </c>
      <c r="W211" s="42" t="n">
        <f aca="false">SUMIFS(Data!$R$782:$R$2370,Data!$H$782:$H$2370,B211)</f>
        <v>0</v>
      </c>
      <c r="X211" s="43" t="n">
        <f aca="false">SUMIFS(Data!$Q$782:$Q$2370,Data!$H$782:$H$2370,B211)</f>
        <v>0</v>
      </c>
      <c r="Y211" s="42" t="n">
        <f aca="false">SUMIFS(Data!$R$2371:$R$3999,Data!$H$2371:$H$3999,B211)</f>
        <v>0</v>
      </c>
      <c r="Z211" s="43" t="n">
        <f aca="false">SUMIFS(Data!$Q$2371:$Q$3999,Data!$H$2371:$H$3999,B211)</f>
        <v>0</v>
      </c>
      <c r="AA211" s="48" t="n">
        <f aca="false">V211+U211+O211+N211+K211+F211+E211+P211</f>
        <v>0</v>
      </c>
      <c r="AB211" s="49" t="n">
        <f aca="false">X211+W211+T211+R211+Q211+L211+H211+G211</f>
        <v>3</v>
      </c>
      <c r="AC211" s="49" t="n">
        <f aca="false">Z211+Y211+T211+S211+M211+J211+I211</f>
        <v>0</v>
      </c>
    </row>
    <row r="212" customFormat="false" ht="23.25" hidden="false" customHeight="true" outlineLevel="0" collapsed="false">
      <c r="A212" s="31" t="n">
        <f aca="false">Data!AE211</f>
        <v>1002915</v>
      </c>
      <c r="B212" s="31" t="str">
        <f aca="false">Data!AD211</f>
        <v>انوار المروج</v>
      </c>
      <c r="C212" s="31" t="n">
        <f aca="false">Data!AH211</f>
        <v>507645341</v>
      </c>
      <c r="D212" s="31" t="str">
        <f aca="false">Data!AF211</f>
        <v>تبوك</v>
      </c>
      <c r="E212" s="42" t="n">
        <f aca="false">SUMIFS(Data!$L$2:$L$781,Data!$H$2:$H$781,B212)</f>
        <v>0</v>
      </c>
      <c r="F212" s="43" t="n">
        <f aca="false">SUMIFS(Data!$K$2:$K$781,Data!$H$2:$H$781,B212)</f>
        <v>0</v>
      </c>
      <c r="G212" s="42" t="n">
        <f aca="false">SUMIFS(Data!$L$782:$L$2370,Data!$H$782:$H$2370,B212)</f>
        <v>0</v>
      </c>
      <c r="H212" s="43" t="n">
        <f aca="false">SUMIFS(Data!$K$782:$K$2370,Data!$H$782:$H$2370,B212)</f>
        <v>3</v>
      </c>
      <c r="I212" s="42" t="n">
        <f aca="false">SUMIFS(Data!$L$2371:$L$3999,Data!$H$2371:$H$3999,B212)</f>
        <v>0</v>
      </c>
      <c r="J212" s="43" t="n">
        <f aca="false">SUMIFS(Data!$K$2371:$K$3999,Data!$H$2371:$H$3999,B212)</f>
        <v>7</v>
      </c>
      <c r="K212" s="44" t="n">
        <f aca="false">SUMIFS(Data!$M$2:$M$781,Data!$H$2:$H$781,B212)</f>
        <v>0</v>
      </c>
      <c r="L212" s="42" t="n">
        <f aca="false">SUMIFS(Data!$M$782:$M$2370,Data!$H$782:$H$2370,B212)</f>
        <v>7</v>
      </c>
      <c r="M212" s="42" t="n">
        <f aca="false">SUMIFS(Data!$M$2371:$M$3999,Data!$H$2371:$H$3999,B212)</f>
        <v>0</v>
      </c>
      <c r="N212" s="45" t="n">
        <f aca="false">SUMIFS(Data!$O$2:$O$781,Data!$H$2:$H$781,B212)</f>
        <v>0</v>
      </c>
      <c r="O212" s="43" t="n">
        <f aca="false">SUMIFS(Data!$N$2:$N$781,Data!$H$2:$H$781,B212)</f>
        <v>0</v>
      </c>
      <c r="P212" s="42" t="n">
        <f aca="false">SUMIFS(Data!$P$2:$P$781,Data!$H$2:$H$781,B212)</f>
        <v>0</v>
      </c>
      <c r="Q212" s="43" t="n">
        <f aca="false">SUMIFS(Data!$O$782:$O$2370,Data!$H$782:$H$2370,B212)</f>
        <v>0</v>
      </c>
      <c r="R212" s="43" t="n">
        <f aca="false">SUMIFS(Data!$N$782:$N$2370,Data!$H$782:$H$2370,B212)</f>
        <v>0</v>
      </c>
      <c r="S212" s="43" t="n">
        <f aca="false">SUMIFS(Data!$O$2371:$O$3999,Data!$H$2371:$H$3999,B212)</f>
        <v>0</v>
      </c>
      <c r="T212" s="43" t="n">
        <f aca="false">SUMIFS(Data!$N$2371:$N$3999,Data!$H$2371:$H$3999,B212)</f>
        <v>0</v>
      </c>
      <c r="U212" s="46" t="n">
        <f aca="false">SUMIFS(Data!$R$2:$R$781,Data!$H$2:$H$781,B212)</f>
        <v>0</v>
      </c>
      <c r="V212" s="47" t="n">
        <f aca="false">SUMIFS(Data!$Q$2:$Q$781,Data!$H$2:$H$781,B212)</f>
        <v>0</v>
      </c>
      <c r="W212" s="42" t="n">
        <f aca="false">SUMIFS(Data!$R$782:$R$2370,Data!$H$782:$H$2370,B212)</f>
        <v>0</v>
      </c>
      <c r="X212" s="43" t="n">
        <f aca="false">SUMIFS(Data!$Q$782:$Q$2370,Data!$H$782:$H$2370,B212)</f>
        <v>0</v>
      </c>
      <c r="Y212" s="42" t="n">
        <f aca="false">SUMIFS(Data!$R$2371:$R$3999,Data!$H$2371:$H$3999,B212)</f>
        <v>0</v>
      </c>
      <c r="Z212" s="43" t="n">
        <f aca="false">SUMIFS(Data!$Q$2371:$Q$3999,Data!$H$2371:$H$3999,B212)</f>
        <v>0</v>
      </c>
      <c r="AA212" s="48" t="n">
        <f aca="false">V212+U212+O212+N212+K212+F212+E212+P212</f>
        <v>0</v>
      </c>
      <c r="AB212" s="49" t="n">
        <f aca="false">X212+W212+T212+R212+Q212+L212+H212+G212</f>
        <v>10</v>
      </c>
      <c r="AC212" s="49" t="n">
        <f aca="false">Z212+Y212+T212+S212+M212+J212+I212</f>
        <v>7</v>
      </c>
    </row>
    <row r="213" customFormat="false" ht="23.25" hidden="false" customHeight="true" outlineLevel="0" collapsed="false">
      <c r="A213" s="31" t="n">
        <f aca="false">Data!AE212</f>
        <v>943</v>
      </c>
      <c r="B213" s="31" t="str">
        <f aca="false">Data!AD212</f>
        <v>الهوليدي</v>
      </c>
      <c r="C213" s="31" t="n">
        <f aca="false">Data!AH212</f>
        <v>558451931</v>
      </c>
      <c r="D213" s="31" t="str">
        <f aca="false">Data!AF212</f>
        <v>تبوك</v>
      </c>
      <c r="E213" s="42" t="n">
        <f aca="false">SUMIFS(Data!$L$2:$L$781,Data!$H$2:$H$781,B213)</f>
        <v>0</v>
      </c>
      <c r="F213" s="43" t="n">
        <f aca="false">SUMIFS(Data!$K$2:$K$781,Data!$H$2:$H$781,B213)</f>
        <v>1</v>
      </c>
      <c r="G213" s="42" t="n">
        <f aca="false">SUMIFS(Data!$L$782:$L$2370,Data!$H$782:$H$2370,B213)</f>
        <v>0</v>
      </c>
      <c r="H213" s="43" t="n">
        <f aca="false">SUMIFS(Data!$K$782:$K$2370,Data!$H$782:$H$2370,B213)</f>
        <v>39</v>
      </c>
      <c r="I213" s="42" t="n">
        <f aca="false">SUMIFS(Data!$L$2371:$L$3999,Data!$H$2371:$H$3999,B213)</f>
        <v>0</v>
      </c>
      <c r="J213" s="43" t="n">
        <f aca="false">SUMIFS(Data!$K$2371:$K$3999,Data!$H$2371:$H$3999,B213)</f>
        <v>0</v>
      </c>
      <c r="K213" s="44" t="n">
        <f aca="false">SUMIFS(Data!$M$2:$M$781,Data!$H$2:$H$781,B213)</f>
        <v>3</v>
      </c>
      <c r="L213" s="42" t="n">
        <f aca="false">SUMIFS(Data!$M$782:$M$2370,Data!$H$782:$H$2370,B213)</f>
        <v>15</v>
      </c>
      <c r="M213" s="42" t="n">
        <f aca="false">SUMIFS(Data!$M$2371:$M$3999,Data!$H$2371:$H$3999,B213)</f>
        <v>0</v>
      </c>
      <c r="N213" s="45" t="n">
        <f aca="false">SUMIFS(Data!$O$2:$O$781,Data!$H$2:$H$781,B213)</f>
        <v>0</v>
      </c>
      <c r="O213" s="43" t="n">
        <f aca="false">SUMIFS(Data!$N$2:$N$781,Data!$H$2:$H$781,B213)</f>
        <v>0</v>
      </c>
      <c r="P213" s="42" t="n">
        <f aca="false">SUMIFS(Data!$P$2:$P$781,Data!$H$2:$H$781,B213)</f>
        <v>0</v>
      </c>
      <c r="Q213" s="43" t="n">
        <f aca="false">SUMIFS(Data!$O$782:$O$2370,Data!$H$782:$H$2370,B213)</f>
        <v>0</v>
      </c>
      <c r="R213" s="43" t="n">
        <f aca="false">SUMIFS(Data!$N$782:$N$2370,Data!$H$782:$H$2370,B213)</f>
        <v>0</v>
      </c>
      <c r="S213" s="43" t="n">
        <f aca="false">SUMIFS(Data!$O$2371:$O$3999,Data!$H$2371:$H$3999,B213)</f>
        <v>0</v>
      </c>
      <c r="T213" s="43" t="n">
        <f aca="false">SUMIFS(Data!$N$2371:$N$3999,Data!$H$2371:$H$3999,B213)</f>
        <v>0</v>
      </c>
      <c r="U213" s="46" t="n">
        <f aca="false">SUMIFS(Data!$R$2:$R$781,Data!$H$2:$H$781,B213)</f>
        <v>1</v>
      </c>
      <c r="V213" s="47" t="n">
        <f aca="false">SUMIFS(Data!$Q$2:$Q$781,Data!$H$2:$H$781,B213)</f>
        <v>1</v>
      </c>
      <c r="W213" s="42" t="n">
        <f aca="false">SUMIFS(Data!$R$782:$R$2370,Data!$H$782:$H$2370,B213)</f>
        <v>1</v>
      </c>
      <c r="X213" s="43" t="n">
        <f aca="false">SUMIFS(Data!$Q$782:$Q$2370,Data!$H$782:$H$2370,B213)</f>
        <v>8</v>
      </c>
      <c r="Y213" s="42" t="n">
        <f aca="false">SUMIFS(Data!$R$2371:$R$3999,Data!$H$2371:$H$3999,B213)</f>
        <v>0</v>
      </c>
      <c r="Z213" s="43" t="n">
        <f aca="false">SUMIFS(Data!$Q$2371:$Q$3999,Data!$H$2371:$H$3999,B213)</f>
        <v>0</v>
      </c>
      <c r="AA213" s="48" t="n">
        <f aca="false">V213+U213+O213+N213+K213+F213+E213+P213</f>
        <v>6</v>
      </c>
      <c r="AB213" s="49" t="n">
        <f aca="false">X213+W213+T213+R213+Q213+L213+H213+G213</f>
        <v>63</v>
      </c>
      <c r="AC213" s="49" t="n">
        <f aca="false">Z213+Y213+T213+S213+M213+J213+I213</f>
        <v>0</v>
      </c>
    </row>
    <row r="214" customFormat="false" ht="23.25" hidden="false" customHeight="true" outlineLevel="0" collapsed="false">
      <c r="A214" s="31" t="n">
        <f aca="false">Data!AE213</f>
        <v>555</v>
      </c>
      <c r="B214" s="31" t="str">
        <f aca="false">Data!AD213</f>
        <v>الفاحص الذهبي</v>
      </c>
      <c r="C214" s="31" t="n">
        <f aca="false">Data!AH213</f>
        <v>509892634</v>
      </c>
      <c r="D214" s="31" t="str">
        <f aca="false">Data!AF213</f>
        <v>تبوك</v>
      </c>
      <c r="E214" s="42" t="n">
        <f aca="false">SUMIFS(Data!$L$2:$L$781,Data!$H$2:$H$781,B214)</f>
        <v>0</v>
      </c>
      <c r="F214" s="43" t="n">
        <f aca="false">SUMIFS(Data!$K$2:$K$781,Data!$H$2:$H$781,B214)</f>
        <v>0</v>
      </c>
      <c r="G214" s="42" t="n">
        <f aca="false">SUMIFS(Data!$L$782:$L$2370,Data!$H$782:$H$2370,B214)</f>
        <v>2</v>
      </c>
      <c r="H214" s="43" t="n">
        <f aca="false">SUMIFS(Data!$K$782:$K$2370,Data!$H$782:$H$2370,B214)</f>
        <v>18</v>
      </c>
      <c r="I214" s="42" t="n">
        <f aca="false">SUMIFS(Data!$L$2371:$L$3999,Data!$H$2371:$H$3999,B214)</f>
        <v>0</v>
      </c>
      <c r="J214" s="43" t="n">
        <f aca="false">SUMIFS(Data!$K$2371:$K$3999,Data!$H$2371:$H$3999,B214)</f>
        <v>0</v>
      </c>
      <c r="K214" s="44" t="n">
        <f aca="false">SUMIFS(Data!$M$2:$M$781,Data!$H$2:$H$781,B214)</f>
        <v>0</v>
      </c>
      <c r="L214" s="42" t="n">
        <f aca="false">SUMIFS(Data!$M$782:$M$2370,Data!$H$782:$H$2370,B214)</f>
        <v>3</v>
      </c>
      <c r="M214" s="42" t="n">
        <f aca="false">SUMIFS(Data!$M$2371:$M$3999,Data!$H$2371:$H$3999,B214)</f>
        <v>0</v>
      </c>
      <c r="N214" s="45" t="n">
        <f aca="false">SUMIFS(Data!$O$2:$O$781,Data!$H$2:$H$781,B214)</f>
        <v>0</v>
      </c>
      <c r="O214" s="43" t="n">
        <f aca="false">SUMIFS(Data!$N$2:$N$781,Data!$H$2:$H$781,B214)</f>
        <v>0</v>
      </c>
      <c r="P214" s="42" t="n">
        <f aca="false">SUMIFS(Data!$P$2:$P$781,Data!$H$2:$H$781,B214)</f>
        <v>0</v>
      </c>
      <c r="Q214" s="43" t="n">
        <f aca="false">SUMIFS(Data!$O$782:$O$2370,Data!$H$782:$H$2370,B214)</f>
        <v>0</v>
      </c>
      <c r="R214" s="43" t="n">
        <f aca="false">SUMIFS(Data!$N$782:$N$2370,Data!$H$782:$H$2370,B214)</f>
        <v>2</v>
      </c>
      <c r="S214" s="43" t="n">
        <f aca="false">SUMIFS(Data!$O$2371:$O$3999,Data!$H$2371:$H$3999,B214)</f>
        <v>0</v>
      </c>
      <c r="T214" s="43" t="n">
        <f aca="false">SUMIFS(Data!$N$2371:$N$3999,Data!$H$2371:$H$3999,B214)</f>
        <v>0</v>
      </c>
      <c r="U214" s="46" t="n">
        <f aca="false">SUMIFS(Data!$R$2:$R$781,Data!$H$2:$H$781,B214)</f>
        <v>0</v>
      </c>
      <c r="V214" s="47" t="n">
        <f aca="false">SUMIFS(Data!$Q$2:$Q$781,Data!$H$2:$H$781,B214)</f>
        <v>0</v>
      </c>
      <c r="W214" s="42" t="n">
        <f aca="false">SUMIFS(Data!$R$782:$R$2370,Data!$H$782:$H$2370,B214)</f>
        <v>0</v>
      </c>
      <c r="X214" s="43" t="n">
        <f aca="false">SUMIFS(Data!$Q$782:$Q$2370,Data!$H$782:$H$2370,B214)</f>
        <v>2</v>
      </c>
      <c r="Y214" s="42" t="n">
        <f aca="false">SUMIFS(Data!$R$2371:$R$3999,Data!$H$2371:$H$3999,B214)</f>
        <v>0</v>
      </c>
      <c r="Z214" s="43" t="n">
        <f aca="false">SUMIFS(Data!$Q$2371:$Q$3999,Data!$H$2371:$H$3999,B214)</f>
        <v>0</v>
      </c>
      <c r="AA214" s="48" t="n">
        <f aca="false">V214+U214+O214+N214+K214+F214+E214+P214</f>
        <v>0</v>
      </c>
      <c r="AB214" s="49" t="n">
        <f aca="false">X214+W214+T214+R214+Q214+L214+H214+G214</f>
        <v>27</v>
      </c>
      <c r="AC214" s="49" t="n">
        <f aca="false">Z214+Y214+T214+S214+M214+J214+I214</f>
        <v>0</v>
      </c>
    </row>
    <row r="215" customFormat="false" ht="23.25" hidden="false" customHeight="true" outlineLevel="0" collapsed="false">
      <c r="A215" s="31" t="n">
        <f aca="false">Data!AE214</f>
        <v>545</v>
      </c>
      <c r="B215" s="31" t="str">
        <f aca="false">Data!AD214</f>
        <v>قلب دمج</v>
      </c>
      <c r="C215" s="31" t="n">
        <f aca="false">Data!AH214</f>
        <v>0</v>
      </c>
      <c r="D215" s="31" t="str">
        <f aca="false">Data!AF214</f>
        <v>تبوك</v>
      </c>
      <c r="E215" s="42" t="n">
        <f aca="false">SUMIFS(Data!$L$2:$L$781,Data!$H$2:$H$781,B215)</f>
        <v>2</v>
      </c>
      <c r="F215" s="43" t="n">
        <f aca="false">SUMIFS(Data!$K$2:$K$781,Data!$H$2:$H$781,B215)</f>
        <v>0</v>
      </c>
      <c r="G215" s="42" t="n">
        <f aca="false">SUMIFS(Data!$L$782:$L$2370,Data!$H$782:$H$2370,B215)</f>
        <v>0</v>
      </c>
      <c r="H215" s="43" t="n">
        <f aca="false">SUMIFS(Data!$K$782:$K$2370,Data!$H$782:$H$2370,B215)</f>
        <v>0</v>
      </c>
      <c r="I215" s="42" t="n">
        <f aca="false">SUMIFS(Data!$L$2371:$L$3999,Data!$H$2371:$H$3999,B215)</f>
        <v>0</v>
      </c>
      <c r="J215" s="43" t="n">
        <f aca="false">SUMIFS(Data!$K$2371:$K$3999,Data!$H$2371:$H$3999,B215)</f>
        <v>0</v>
      </c>
      <c r="K215" s="44" t="n">
        <f aca="false">SUMIFS(Data!$M$2:$M$781,Data!$H$2:$H$781,B215)</f>
        <v>1</v>
      </c>
      <c r="L215" s="42" t="n">
        <f aca="false">SUMIFS(Data!$M$782:$M$2370,Data!$H$782:$H$2370,B215)</f>
        <v>0</v>
      </c>
      <c r="M215" s="42" t="n">
        <f aca="false">SUMIFS(Data!$M$2371:$M$3999,Data!$H$2371:$H$3999,B215)</f>
        <v>0</v>
      </c>
      <c r="N215" s="45" t="n">
        <f aca="false">SUMIFS(Data!$O$2:$O$781,Data!$H$2:$H$781,B215)</f>
        <v>0</v>
      </c>
      <c r="O215" s="43" t="n">
        <f aca="false">SUMIFS(Data!$N$2:$N$781,Data!$H$2:$H$781,B215)</f>
        <v>1</v>
      </c>
      <c r="P215" s="42" t="n">
        <f aca="false">SUMIFS(Data!$P$2:$P$781,Data!$H$2:$H$781,B215)</f>
        <v>0</v>
      </c>
      <c r="Q215" s="43" t="n">
        <f aca="false">SUMIFS(Data!$O$782:$O$2370,Data!$H$782:$H$2370,B215)</f>
        <v>0</v>
      </c>
      <c r="R215" s="43" t="n">
        <f aca="false">SUMIFS(Data!$N$782:$N$2370,Data!$H$782:$H$2370,B215)</f>
        <v>0</v>
      </c>
      <c r="S215" s="43" t="n">
        <f aca="false">SUMIFS(Data!$O$2371:$O$3999,Data!$H$2371:$H$3999,B215)</f>
        <v>0</v>
      </c>
      <c r="T215" s="43" t="n">
        <f aca="false">SUMIFS(Data!$N$2371:$N$3999,Data!$H$2371:$H$3999,B215)</f>
        <v>0</v>
      </c>
      <c r="U215" s="46" t="n">
        <f aca="false">SUMIFS(Data!$R$2:$R$781,Data!$H$2:$H$781,B215)</f>
        <v>0</v>
      </c>
      <c r="V215" s="47" t="n">
        <f aca="false">SUMIFS(Data!$Q$2:$Q$781,Data!$H$2:$H$781,B215)</f>
        <v>0</v>
      </c>
      <c r="W215" s="42" t="n">
        <f aca="false">SUMIFS(Data!$R$782:$R$2370,Data!$H$782:$H$2370,B215)</f>
        <v>0</v>
      </c>
      <c r="X215" s="43" t="n">
        <f aca="false">SUMIFS(Data!$Q$782:$Q$2370,Data!$H$782:$H$2370,B215)</f>
        <v>0</v>
      </c>
      <c r="Y215" s="42" t="n">
        <f aca="false">SUMIFS(Data!$R$2371:$R$3999,Data!$H$2371:$H$3999,B215)</f>
        <v>0</v>
      </c>
      <c r="Z215" s="43" t="n">
        <f aca="false">SUMIFS(Data!$Q$2371:$Q$3999,Data!$H$2371:$H$3999,B215)</f>
        <v>0</v>
      </c>
      <c r="AA215" s="48" t="n">
        <f aca="false">V215+U215+O215+N215+K215+F215+E215+P215</f>
        <v>4</v>
      </c>
      <c r="AB215" s="49" t="n">
        <f aca="false">X215+W215+T215+R215+Q215+L215+H215+G215</f>
        <v>0</v>
      </c>
      <c r="AC215" s="49" t="n">
        <f aca="false">Z215+Y215+T215+S215+M215+J215+I215</f>
        <v>0</v>
      </c>
    </row>
    <row r="216" customFormat="false" ht="23.25" hidden="false" customHeight="true" outlineLevel="0" collapsed="false">
      <c r="A216" s="31" t="n">
        <f aca="false">Data!AE215</f>
        <v>546</v>
      </c>
      <c r="B216" s="31" t="str">
        <f aca="false">Data!AD215</f>
        <v>نفوذ الشمال</v>
      </c>
      <c r="C216" s="31" t="n">
        <f aca="false">Data!AH215</f>
        <v>0</v>
      </c>
      <c r="D216" s="31" t="str">
        <f aca="false">Data!AF215</f>
        <v>تبوك</v>
      </c>
      <c r="E216" s="42" t="n">
        <f aca="false">SUMIFS(Data!$L$2:$L$781,Data!$H$2:$H$781,B216)</f>
        <v>1</v>
      </c>
      <c r="F216" s="43" t="n">
        <f aca="false">SUMIFS(Data!$K$2:$K$781,Data!$H$2:$H$781,B216)</f>
        <v>4</v>
      </c>
      <c r="G216" s="42" t="n">
        <f aca="false">SUMIFS(Data!$L$782:$L$2370,Data!$H$782:$H$2370,B216)</f>
        <v>0</v>
      </c>
      <c r="H216" s="43" t="n">
        <f aca="false">SUMIFS(Data!$K$782:$K$2370,Data!$H$782:$H$2370,B216)</f>
        <v>0</v>
      </c>
      <c r="I216" s="42" t="n">
        <f aca="false">SUMIFS(Data!$L$2371:$L$3999,Data!$H$2371:$H$3999,B216)</f>
        <v>0</v>
      </c>
      <c r="J216" s="43" t="n">
        <f aca="false">SUMIFS(Data!$K$2371:$K$3999,Data!$H$2371:$H$3999,B216)</f>
        <v>0</v>
      </c>
      <c r="K216" s="44" t="n">
        <f aca="false">SUMIFS(Data!$M$2:$M$781,Data!$H$2:$H$781,B216)</f>
        <v>0</v>
      </c>
      <c r="L216" s="42" t="n">
        <f aca="false">SUMIFS(Data!$M$782:$M$2370,Data!$H$782:$H$2370,B216)</f>
        <v>0</v>
      </c>
      <c r="M216" s="42" t="n">
        <f aca="false">SUMIFS(Data!$M$2371:$M$3999,Data!$H$2371:$H$3999,B216)</f>
        <v>0</v>
      </c>
      <c r="N216" s="45" t="n">
        <f aca="false">SUMIFS(Data!$O$2:$O$781,Data!$H$2:$H$781,B216)</f>
        <v>0</v>
      </c>
      <c r="O216" s="43" t="n">
        <f aca="false">SUMIFS(Data!$N$2:$N$781,Data!$H$2:$H$781,B216)</f>
        <v>0</v>
      </c>
      <c r="P216" s="42" t="n">
        <f aca="false">SUMIFS(Data!$P$2:$P$781,Data!$H$2:$H$781,B216)</f>
        <v>0</v>
      </c>
      <c r="Q216" s="43" t="n">
        <f aca="false">SUMIFS(Data!$O$782:$O$2370,Data!$H$782:$H$2370,B216)</f>
        <v>0</v>
      </c>
      <c r="R216" s="43" t="n">
        <f aca="false">SUMIFS(Data!$N$782:$N$2370,Data!$H$782:$H$2370,B216)</f>
        <v>0</v>
      </c>
      <c r="S216" s="43" t="n">
        <f aca="false">SUMIFS(Data!$O$2371:$O$3999,Data!$H$2371:$H$3999,B216)</f>
        <v>0</v>
      </c>
      <c r="T216" s="43" t="n">
        <f aca="false">SUMIFS(Data!$N$2371:$N$3999,Data!$H$2371:$H$3999,B216)</f>
        <v>0</v>
      </c>
      <c r="U216" s="46" t="n">
        <f aca="false">SUMIFS(Data!$R$2:$R$781,Data!$H$2:$H$781,B216)</f>
        <v>0</v>
      </c>
      <c r="V216" s="47" t="n">
        <f aca="false">SUMIFS(Data!$Q$2:$Q$781,Data!$H$2:$H$781,B216)</f>
        <v>0</v>
      </c>
      <c r="W216" s="42" t="n">
        <f aca="false">SUMIFS(Data!$R$782:$R$2370,Data!$H$782:$H$2370,B216)</f>
        <v>0</v>
      </c>
      <c r="X216" s="43" t="n">
        <f aca="false">SUMIFS(Data!$Q$782:$Q$2370,Data!$H$782:$H$2370,B216)</f>
        <v>0</v>
      </c>
      <c r="Y216" s="42" t="n">
        <f aca="false">SUMIFS(Data!$R$2371:$R$3999,Data!$H$2371:$H$3999,B216)</f>
        <v>0</v>
      </c>
      <c r="Z216" s="43" t="n">
        <f aca="false">SUMIFS(Data!$Q$2371:$Q$3999,Data!$H$2371:$H$3999,B216)</f>
        <v>0</v>
      </c>
      <c r="AA216" s="48" t="n">
        <f aca="false">V216+U216+O216+N216+K216+F216+E216+P216</f>
        <v>5</v>
      </c>
      <c r="AB216" s="49" t="n">
        <f aca="false">X216+W216+T216+R216+Q216+L216+H216+G216</f>
        <v>0</v>
      </c>
      <c r="AC216" s="49" t="n">
        <f aca="false">Z216+Y216+T216+S216+M216+J216+I216</f>
        <v>0</v>
      </c>
    </row>
    <row r="217" customFormat="false" ht="23.25" hidden="false" customHeight="true" outlineLevel="0" collapsed="false">
      <c r="A217" s="31" t="n">
        <f aca="false">Data!AE216</f>
        <v>652</v>
      </c>
      <c r="B217" s="31" t="str">
        <f aca="false">Data!AD216</f>
        <v>التوازن الذهبي</v>
      </c>
      <c r="C217" s="31" t="n">
        <f aca="false">Data!AH216</f>
        <v>0</v>
      </c>
      <c r="D217" s="31" t="str">
        <f aca="false">Data!AF216</f>
        <v>تبوك</v>
      </c>
      <c r="E217" s="42" t="n">
        <f aca="false">SUMIFS(Data!$L$2:$L$781,Data!$H$2:$H$781,B217)</f>
        <v>0</v>
      </c>
      <c r="F217" s="43" t="n">
        <f aca="false">SUMIFS(Data!$K$2:$K$781,Data!$H$2:$H$781,B217)</f>
        <v>0</v>
      </c>
      <c r="G217" s="42" t="n">
        <f aca="false">SUMIFS(Data!$L$782:$L$2370,Data!$H$782:$H$2370,B217)</f>
        <v>0</v>
      </c>
      <c r="H217" s="43" t="n">
        <f aca="false">SUMIFS(Data!$K$782:$K$2370,Data!$H$782:$H$2370,B217)</f>
        <v>21</v>
      </c>
      <c r="I217" s="42" t="n">
        <f aca="false">SUMIFS(Data!$L$2371:$L$3999,Data!$H$2371:$H$3999,B217)</f>
        <v>0</v>
      </c>
      <c r="J217" s="43" t="n">
        <f aca="false">SUMIFS(Data!$K$2371:$K$3999,Data!$H$2371:$H$3999,B217)</f>
        <v>0</v>
      </c>
      <c r="K217" s="44" t="n">
        <f aca="false">SUMIFS(Data!$M$2:$M$781,Data!$H$2:$H$781,B217)</f>
        <v>0</v>
      </c>
      <c r="L217" s="42" t="n">
        <f aca="false">SUMIFS(Data!$M$782:$M$2370,Data!$H$782:$H$2370,B217)</f>
        <v>0</v>
      </c>
      <c r="M217" s="42" t="n">
        <f aca="false">SUMIFS(Data!$M$2371:$M$3999,Data!$H$2371:$H$3999,B217)</f>
        <v>0</v>
      </c>
      <c r="N217" s="45" t="n">
        <f aca="false">SUMIFS(Data!$O$2:$O$781,Data!$H$2:$H$781,B217)</f>
        <v>0</v>
      </c>
      <c r="O217" s="43" t="n">
        <f aca="false">SUMIFS(Data!$N$2:$N$781,Data!$H$2:$H$781,B217)</f>
        <v>0</v>
      </c>
      <c r="P217" s="42" t="n">
        <f aca="false">SUMIFS(Data!$P$2:$P$781,Data!$H$2:$H$781,B217)</f>
        <v>0</v>
      </c>
      <c r="Q217" s="43" t="n">
        <f aca="false">SUMIFS(Data!$O$782:$O$2370,Data!$H$782:$H$2370,B217)</f>
        <v>0</v>
      </c>
      <c r="R217" s="43" t="n">
        <f aca="false">SUMIFS(Data!$N$782:$N$2370,Data!$H$782:$H$2370,B217)</f>
        <v>0</v>
      </c>
      <c r="S217" s="43" t="n">
        <f aca="false">SUMIFS(Data!$O$2371:$O$3999,Data!$H$2371:$H$3999,B217)</f>
        <v>0</v>
      </c>
      <c r="T217" s="43" t="n">
        <f aca="false">SUMIFS(Data!$N$2371:$N$3999,Data!$H$2371:$H$3999,B217)</f>
        <v>0</v>
      </c>
      <c r="U217" s="46" t="n">
        <f aca="false">SUMIFS(Data!$R$2:$R$781,Data!$H$2:$H$781,B217)</f>
        <v>1</v>
      </c>
      <c r="V217" s="47" t="n">
        <f aca="false">SUMIFS(Data!$Q$2:$Q$781,Data!$H$2:$H$781,B217)</f>
        <v>0</v>
      </c>
      <c r="W217" s="42" t="n">
        <f aca="false">SUMIFS(Data!$R$782:$R$2370,Data!$H$782:$H$2370,B217)</f>
        <v>14</v>
      </c>
      <c r="X217" s="43" t="n">
        <f aca="false">SUMIFS(Data!$Q$782:$Q$2370,Data!$H$782:$H$2370,B217)</f>
        <v>0</v>
      </c>
      <c r="Y217" s="42" t="n">
        <f aca="false">SUMIFS(Data!$R$2371:$R$3999,Data!$H$2371:$H$3999,B217)</f>
        <v>0</v>
      </c>
      <c r="Z217" s="43" t="n">
        <f aca="false">SUMIFS(Data!$Q$2371:$Q$3999,Data!$H$2371:$H$3999,B217)</f>
        <v>0</v>
      </c>
      <c r="AA217" s="48" t="n">
        <f aca="false">V217+U217+O217+N217+K217+F217+E217+P217</f>
        <v>1</v>
      </c>
      <c r="AB217" s="49" t="n">
        <f aca="false">X217+W217+T217+R217+Q217+L217+H217+G217</f>
        <v>35</v>
      </c>
      <c r="AC217" s="49" t="n">
        <f aca="false">Z217+Y217+T217+S217+M217+J217+I217</f>
        <v>0</v>
      </c>
    </row>
    <row r="218" customFormat="false" ht="23.25" hidden="false" customHeight="true" outlineLevel="0" collapsed="false">
      <c r="A218" s="31" t="n">
        <f aca="false">Data!AE217</f>
        <v>653</v>
      </c>
      <c r="B218" s="31" t="str">
        <f aca="false">Data!AD217</f>
        <v>الوسام</v>
      </c>
      <c r="C218" s="31" t="n">
        <f aca="false">Data!AH217</f>
        <v>534606106</v>
      </c>
      <c r="D218" s="31" t="str">
        <f aca="false">Data!AF217</f>
        <v>تبوك</v>
      </c>
      <c r="E218" s="42" t="n">
        <f aca="false">SUMIFS(Data!$L$2:$L$781,Data!$H$2:$H$781,B218)</f>
        <v>0</v>
      </c>
      <c r="F218" s="43" t="n">
        <f aca="false">SUMIFS(Data!$K$2:$K$781,Data!$H$2:$H$781,B218)</f>
        <v>0</v>
      </c>
      <c r="G218" s="42" t="n">
        <f aca="false">SUMIFS(Data!$L$782:$L$2370,Data!$H$782:$H$2370,B218)</f>
        <v>0</v>
      </c>
      <c r="H218" s="43" t="n">
        <f aca="false">SUMIFS(Data!$K$782:$K$2370,Data!$H$782:$H$2370,B218)</f>
        <v>42</v>
      </c>
      <c r="I218" s="42" t="n">
        <f aca="false">SUMIFS(Data!$L$2371:$L$3999,Data!$H$2371:$H$3999,B218)</f>
        <v>0</v>
      </c>
      <c r="J218" s="43" t="n">
        <f aca="false">SUMIFS(Data!$K$2371:$K$3999,Data!$H$2371:$H$3999,B218)</f>
        <v>0</v>
      </c>
      <c r="K218" s="44" t="n">
        <f aca="false">SUMIFS(Data!$M$2:$M$781,Data!$H$2:$H$781,B218)</f>
        <v>0</v>
      </c>
      <c r="L218" s="42" t="n">
        <f aca="false">SUMIFS(Data!$M$782:$M$2370,Data!$H$782:$H$2370,B218)</f>
        <v>4</v>
      </c>
      <c r="M218" s="42" t="n">
        <f aca="false">SUMIFS(Data!$M$2371:$M$3999,Data!$H$2371:$H$3999,B218)</f>
        <v>0</v>
      </c>
      <c r="N218" s="45" t="n">
        <f aca="false">SUMIFS(Data!$O$2:$O$781,Data!$H$2:$H$781,B218)</f>
        <v>0</v>
      </c>
      <c r="O218" s="43" t="n">
        <f aca="false">SUMIFS(Data!$N$2:$N$781,Data!$H$2:$H$781,B218)</f>
        <v>0</v>
      </c>
      <c r="P218" s="42" t="n">
        <f aca="false">SUMIFS(Data!$P$2:$P$781,Data!$H$2:$H$781,B218)</f>
        <v>0</v>
      </c>
      <c r="Q218" s="43" t="n">
        <f aca="false">SUMIFS(Data!$O$782:$O$2370,Data!$H$782:$H$2370,B218)</f>
        <v>0</v>
      </c>
      <c r="R218" s="43" t="n">
        <f aca="false">SUMIFS(Data!$N$782:$N$2370,Data!$H$782:$H$2370,B218)</f>
        <v>0</v>
      </c>
      <c r="S218" s="43" t="n">
        <f aca="false">SUMIFS(Data!$O$2371:$O$3999,Data!$H$2371:$H$3999,B218)</f>
        <v>0</v>
      </c>
      <c r="T218" s="43" t="n">
        <f aca="false">SUMIFS(Data!$N$2371:$N$3999,Data!$H$2371:$H$3999,B218)</f>
        <v>0</v>
      </c>
      <c r="U218" s="46" t="n">
        <f aca="false">SUMIFS(Data!$R$2:$R$781,Data!$H$2:$H$781,B218)</f>
        <v>0</v>
      </c>
      <c r="V218" s="47" t="n">
        <f aca="false">SUMIFS(Data!$Q$2:$Q$781,Data!$H$2:$H$781,B218)</f>
        <v>0</v>
      </c>
      <c r="W218" s="42" t="n">
        <f aca="false">SUMIFS(Data!$R$782:$R$2370,Data!$H$782:$H$2370,B218)</f>
        <v>31</v>
      </c>
      <c r="X218" s="43" t="n">
        <f aca="false">SUMIFS(Data!$Q$782:$Q$2370,Data!$H$782:$H$2370,B218)</f>
        <v>3</v>
      </c>
      <c r="Y218" s="42" t="n">
        <f aca="false">SUMIFS(Data!$R$2371:$R$3999,Data!$H$2371:$H$3999,B218)</f>
        <v>0</v>
      </c>
      <c r="Z218" s="43" t="n">
        <f aca="false">SUMIFS(Data!$Q$2371:$Q$3999,Data!$H$2371:$H$3999,B218)</f>
        <v>0</v>
      </c>
      <c r="AA218" s="48" t="n">
        <f aca="false">V218+U218+O218+N218+K218+F218+E218+P218</f>
        <v>0</v>
      </c>
      <c r="AB218" s="49" t="n">
        <f aca="false">X218+W218+T218+R218+Q218+L218+H218+G218</f>
        <v>80</v>
      </c>
      <c r="AC218" s="49" t="n">
        <f aca="false">Z218+Y218+T218+S218+M218+J218+I218</f>
        <v>0</v>
      </c>
    </row>
    <row r="219" customFormat="false" ht="23.25" hidden="false" customHeight="true" outlineLevel="0" collapsed="false">
      <c r="A219" s="31" t="n">
        <f aca="false">Data!AE218</f>
        <v>659</v>
      </c>
      <c r="B219" s="31" t="str">
        <f aca="false">Data!AD218</f>
        <v>سعيد العمري</v>
      </c>
      <c r="C219" s="31" t="n">
        <f aca="false">Data!AH218</f>
        <v>0</v>
      </c>
      <c r="D219" s="31" t="str">
        <f aca="false">Data!AF218</f>
        <v>تبوك</v>
      </c>
      <c r="E219" s="42" t="n">
        <f aca="false">SUMIFS(Data!$L$2:$L$781,Data!$H$2:$H$781,B219)</f>
        <v>0</v>
      </c>
      <c r="F219" s="43" t="n">
        <f aca="false">SUMIFS(Data!$K$2:$K$781,Data!$H$2:$H$781,B219)</f>
        <v>1</v>
      </c>
      <c r="G219" s="42" t="n">
        <f aca="false">SUMIFS(Data!$L$782:$L$2370,Data!$H$782:$H$2370,B219)</f>
        <v>0</v>
      </c>
      <c r="H219" s="43" t="n">
        <f aca="false">SUMIFS(Data!$K$782:$K$2370,Data!$H$782:$H$2370,B219)</f>
        <v>0</v>
      </c>
      <c r="I219" s="42" t="n">
        <f aca="false">SUMIFS(Data!$L$2371:$L$3999,Data!$H$2371:$H$3999,B219)</f>
        <v>0</v>
      </c>
      <c r="J219" s="43" t="n">
        <f aca="false">SUMIFS(Data!$K$2371:$K$3999,Data!$H$2371:$H$3999,B219)</f>
        <v>0</v>
      </c>
      <c r="K219" s="44" t="n">
        <f aca="false">SUMIFS(Data!$M$2:$M$781,Data!$H$2:$H$781,B219)</f>
        <v>1</v>
      </c>
      <c r="L219" s="42" t="n">
        <f aca="false">SUMIFS(Data!$M$782:$M$2370,Data!$H$782:$H$2370,B219)</f>
        <v>0</v>
      </c>
      <c r="M219" s="42" t="n">
        <f aca="false">SUMIFS(Data!$M$2371:$M$3999,Data!$H$2371:$H$3999,B219)</f>
        <v>0</v>
      </c>
      <c r="N219" s="45" t="n">
        <f aca="false">SUMIFS(Data!$O$2:$O$781,Data!$H$2:$H$781,B219)</f>
        <v>0</v>
      </c>
      <c r="O219" s="43" t="n">
        <f aca="false">SUMIFS(Data!$N$2:$N$781,Data!$H$2:$H$781,B219)</f>
        <v>0</v>
      </c>
      <c r="P219" s="42" t="n">
        <f aca="false">SUMIFS(Data!$P$2:$P$781,Data!$H$2:$H$781,B219)</f>
        <v>0</v>
      </c>
      <c r="Q219" s="43" t="n">
        <f aca="false">SUMIFS(Data!$O$782:$O$2370,Data!$H$782:$H$2370,B219)</f>
        <v>0</v>
      </c>
      <c r="R219" s="43" t="n">
        <f aca="false">SUMIFS(Data!$N$782:$N$2370,Data!$H$782:$H$2370,B219)</f>
        <v>0</v>
      </c>
      <c r="S219" s="43" t="n">
        <f aca="false">SUMIFS(Data!$O$2371:$O$3999,Data!$H$2371:$H$3999,B219)</f>
        <v>0</v>
      </c>
      <c r="T219" s="43" t="n">
        <f aca="false">SUMIFS(Data!$N$2371:$N$3999,Data!$H$2371:$H$3999,B219)</f>
        <v>0</v>
      </c>
      <c r="U219" s="46" t="n">
        <f aca="false">SUMIFS(Data!$R$2:$R$781,Data!$H$2:$H$781,B219)</f>
        <v>0</v>
      </c>
      <c r="V219" s="47" t="n">
        <f aca="false">SUMIFS(Data!$Q$2:$Q$781,Data!$H$2:$H$781,B219)</f>
        <v>0</v>
      </c>
      <c r="W219" s="42" t="n">
        <f aca="false">SUMIFS(Data!$R$782:$R$2370,Data!$H$782:$H$2370,B219)</f>
        <v>0</v>
      </c>
      <c r="X219" s="43" t="n">
        <f aca="false">SUMIFS(Data!$Q$782:$Q$2370,Data!$H$782:$H$2370,B219)</f>
        <v>0</v>
      </c>
      <c r="Y219" s="42" t="n">
        <f aca="false">SUMIFS(Data!$R$2371:$R$3999,Data!$H$2371:$H$3999,B219)</f>
        <v>0</v>
      </c>
      <c r="Z219" s="43" t="n">
        <f aca="false">SUMIFS(Data!$Q$2371:$Q$3999,Data!$H$2371:$H$3999,B219)</f>
        <v>0</v>
      </c>
      <c r="AA219" s="48" t="n">
        <f aca="false">V219+U219+O219+N219+K219+F219+E219+P219</f>
        <v>2</v>
      </c>
      <c r="AB219" s="49" t="n">
        <f aca="false">X219+W219+T219+R219+Q219+L219+H219+G219</f>
        <v>0</v>
      </c>
      <c r="AC219" s="49" t="n">
        <f aca="false">Z219+Y219+T219+S219+M219+J219+I219</f>
        <v>0</v>
      </c>
    </row>
    <row r="220" customFormat="false" ht="23.25" hidden="false" customHeight="true" outlineLevel="0" collapsed="false">
      <c r="A220" s="31" t="n">
        <f aca="false">Data!AE219</f>
        <v>654</v>
      </c>
      <c r="B220" s="31" t="str">
        <f aca="false">Data!AD219</f>
        <v>بحر المصيف</v>
      </c>
      <c r="C220" s="31" t="n">
        <f aca="false">Data!AH219</f>
        <v>0</v>
      </c>
      <c r="D220" s="31" t="str">
        <f aca="false">Data!AF219</f>
        <v>تبوك</v>
      </c>
      <c r="E220" s="42" t="n">
        <f aca="false">SUMIFS(Data!$L$2:$L$781,Data!$H$2:$H$781,B220)</f>
        <v>0</v>
      </c>
      <c r="F220" s="43" t="n">
        <f aca="false">SUMIFS(Data!$K$2:$K$781,Data!$H$2:$H$781,B220)</f>
        <v>0</v>
      </c>
      <c r="G220" s="42" t="n">
        <f aca="false">SUMIFS(Data!$L$782:$L$2370,Data!$H$782:$H$2370,B220)</f>
        <v>0</v>
      </c>
      <c r="H220" s="43" t="n">
        <f aca="false">SUMIFS(Data!$K$782:$K$2370,Data!$H$782:$H$2370,B220)</f>
        <v>5</v>
      </c>
      <c r="I220" s="42" t="n">
        <f aca="false">SUMIFS(Data!$L$2371:$L$3999,Data!$H$2371:$H$3999,B220)</f>
        <v>0</v>
      </c>
      <c r="J220" s="43" t="n">
        <f aca="false">SUMIFS(Data!$K$2371:$K$3999,Data!$H$2371:$H$3999,B220)</f>
        <v>0</v>
      </c>
      <c r="K220" s="44" t="n">
        <f aca="false">SUMIFS(Data!$M$2:$M$781,Data!$H$2:$H$781,B220)</f>
        <v>2</v>
      </c>
      <c r="L220" s="42" t="n">
        <f aca="false">SUMIFS(Data!$M$782:$M$2370,Data!$H$782:$H$2370,B220)</f>
        <v>0</v>
      </c>
      <c r="M220" s="42" t="n">
        <f aca="false">SUMIFS(Data!$M$2371:$M$3999,Data!$H$2371:$H$3999,B220)</f>
        <v>0</v>
      </c>
      <c r="N220" s="45" t="n">
        <f aca="false">SUMIFS(Data!$O$2:$O$781,Data!$H$2:$H$781,B220)</f>
        <v>3</v>
      </c>
      <c r="O220" s="43" t="n">
        <f aca="false">SUMIFS(Data!$N$2:$N$781,Data!$H$2:$H$781,B220)</f>
        <v>0</v>
      </c>
      <c r="P220" s="42" t="n">
        <f aca="false">SUMIFS(Data!$P$2:$P$781,Data!$H$2:$H$781,B220)</f>
        <v>0</v>
      </c>
      <c r="Q220" s="43" t="n">
        <f aca="false">SUMIFS(Data!$O$782:$O$2370,Data!$H$782:$H$2370,B220)</f>
        <v>0</v>
      </c>
      <c r="R220" s="43" t="n">
        <f aca="false">SUMIFS(Data!$N$782:$N$2370,Data!$H$782:$H$2370,B220)</f>
        <v>2</v>
      </c>
      <c r="S220" s="43" t="n">
        <f aca="false">SUMIFS(Data!$O$2371:$O$3999,Data!$H$2371:$H$3999,B220)</f>
        <v>0</v>
      </c>
      <c r="T220" s="43" t="n">
        <f aca="false">SUMIFS(Data!$N$2371:$N$3999,Data!$H$2371:$H$3999,B220)</f>
        <v>0</v>
      </c>
      <c r="U220" s="46" t="n">
        <f aca="false">SUMIFS(Data!$R$2:$R$781,Data!$H$2:$H$781,B220)</f>
        <v>0</v>
      </c>
      <c r="V220" s="47" t="n">
        <f aca="false">SUMIFS(Data!$Q$2:$Q$781,Data!$H$2:$H$781,B220)</f>
        <v>0</v>
      </c>
      <c r="W220" s="42" t="n">
        <f aca="false">SUMIFS(Data!$R$782:$R$2370,Data!$H$782:$H$2370,B220)</f>
        <v>1</v>
      </c>
      <c r="X220" s="43" t="n">
        <f aca="false">SUMIFS(Data!$Q$782:$Q$2370,Data!$H$782:$H$2370,B220)</f>
        <v>0</v>
      </c>
      <c r="Y220" s="42" t="n">
        <f aca="false">SUMIFS(Data!$R$2371:$R$3999,Data!$H$2371:$H$3999,B220)</f>
        <v>0</v>
      </c>
      <c r="Z220" s="43" t="n">
        <f aca="false">SUMIFS(Data!$Q$2371:$Q$3999,Data!$H$2371:$H$3999,B220)</f>
        <v>0</v>
      </c>
      <c r="AA220" s="48" t="n">
        <f aca="false">V220+U220+O220+N220+K220+F220+E220+P220</f>
        <v>5</v>
      </c>
      <c r="AB220" s="49" t="n">
        <f aca="false">X220+W220+T220+R220+Q220+L220+H220+G220</f>
        <v>8</v>
      </c>
      <c r="AC220" s="49" t="n">
        <f aca="false">Z220+Y220+T220+S220+M220+J220+I220</f>
        <v>0</v>
      </c>
    </row>
    <row r="221" customFormat="false" ht="23.25" hidden="false" customHeight="true" outlineLevel="0" collapsed="false">
      <c r="A221" s="31" t="n">
        <f aca="false">Data!AE220</f>
        <v>668</v>
      </c>
      <c r="B221" s="31" t="str">
        <f aca="false">Data!AD220</f>
        <v>معادن الكبرى</v>
      </c>
      <c r="C221" s="31" t="n">
        <f aca="false">Data!AH220</f>
        <v>0</v>
      </c>
      <c r="D221" s="31" t="str">
        <f aca="false">Data!AF220</f>
        <v>تبوك</v>
      </c>
      <c r="E221" s="42" t="n">
        <f aca="false">SUMIFS(Data!$L$2:$L$781,Data!$H$2:$H$781,B221)</f>
        <v>0</v>
      </c>
      <c r="F221" s="43" t="n">
        <f aca="false">SUMIFS(Data!$K$2:$K$781,Data!$H$2:$H$781,B221)</f>
        <v>0</v>
      </c>
      <c r="G221" s="42" t="n">
        <f aca="false">SUMIFS(Data!$L$782:$L$2370,Data!$H$782:$H$2370,B221)</f>
        <v>0</v>
      </c>
      <c r="H221" s="43" t="n">
        <f aca="false">SUMIFS(Data!$K$782:$K$2370,Data!$H$782:$H$2370,B221)</f>
        <v>4</v>
      </c>
      <c r="I221" s="42" t="n">
        <f aca="false">SUMIFS(Data!$L$2371:$L$3999,Data!$H$2371:$H$3999,B221)</f>
        <v>0</v>
      </c>
      <c r="J221" s="43" t="n">
        <f aca="false">SUMIFS(Data!$K$2371:$K$3999,Data!$H$2371:$H$3999,B221)</f>
        <v>0</v>
      </c>
      <c r="K221" s="44" t="n">
        <f aca="false">SUMIFS(Data!$M$2:$M$781,Data!$H$2:$H$781,B221)</f>
        <v>0</v>
      </c>
      <c r="L221" s="42" t="n">
        <f aca="false">SUMIFS(Data!$M$782:$M$2370,Data!$H$782:$H$2370,B221)</f>
        <v>0</v>
      </c>
      <c r="M221" s="42" t="n">
        <f aca="false">SUMIFS(Data!$M$2371:$M$3999,Data!$H$2371:$H$3999,B221)</f>
        <v>0</v>
      </c>
      <c r="N221" s="45" t="n">
        <f aca="false">SUMIFS(Data!$O$2:$O$781,Data!$H$2:$H$781,B221)</f>
        <v>0</v>
      </c>
      <c r="O221" s="43" t="n">
        <f aca="false">SUMIFS(Data!$N$2:$N$781,Data!$H$2:$H$781,B221)</f>
        <v>0</v>
      </c>
      <c r="P221" s="42" t="n">
        <f aca="false">SUMIFS(Data!$P$2:$P$781,Data!$H$2:$H$781,B221)</f>
        <v>0</v>
      </c>
      <c r="Q221" s="43" t="n">
        <f aca="false">SUMIFS(Data!$O$782:$O$2370,Data!$H$782:$H$2370,B221)</f>
        <v>0</v>
      </c>
      <c r="R221" s="43" t="n">
        <f aca="false">SUMIFS(Data!$N$782:$N$2370,Data!$H$782:$H$2370,B221)</f>
        <v>0</v>
      </c>
      <c r="S221" s="43" t="n">
        <f aca="false">SUMIFS(Data!$O$2371:$O$3999,Data!$H$2371:$H$3999,B221)</f>
        <v>0</v>
      </c>
      <c r="T221" s="43" t="n">
        <f aca="false">SUMIFS(Data!$N$2371:$N$3999,Data!$H$2371:$H$3999,B221)</f>
        <v>0</v>
      </c>
      <c r="U221" s="46" t="n">
        <f aca="false">SUMIFS(Data!$R$2:$R$781,Data!$H$2:$H$781,B221)</f>
        <v>0</v>
      </c>
      <c r="V221" s="47" t="n">
        <f aca="false">SUMIFS(Data!$Q$2:$Q$781,Data!$H$2:$H$781,B221)</f>
        <v>0</v>
      </c>
      <c r="W221" s="42" t="n">
        <f aca="false">SUMIFS(Data!$R$782:$R$2370,Data!$H$782:$H$2370,B221)</f>
        <v>1</v>
      </c>
      <c r="X221" s="43" t="n">
        <f aca="false">SUMIFS(Data!$Q$782:$Q$2370,Data!$H$782:$H$2370,B221)</f>
        <v>1</v>
      </c>
      <c r="Y221" s="42" t="n">
        <f aca="false">SUMIFS(Data!$R$2371:$R$3999,Data!$H$2371:$H$3999,B221)</f>
        <v>0</v>
      </c>
      <c r="Z221" s="43" t="n">
        <f aca="false">SUMIFS(Data!$Q$2371:$Q$3999,Data!$H$2371:$H$3999,B221)</f>
        <v>0</v>
      </c>
      <c r="AA221" s="48" t="n">
        <f aca="false">V221+U221+O221+N221+K221+F221+E221+P221</f>
        <v>0</v>
      </c>
      <c r="AB221" s="49" t="n">
        <f aca="false">X221+W221+T221+R221+Q221+L221+H221+G221</f>
        <v>6</v>
      </c>
      <c r="AC221" s="49" t="n">
        <f aca="false">Z221+Y221+T221+S221+M221+J221+I221</f>
        <v>0</v>
      </c>
    </row>
    <row r="222" customFormat="false" ht="23.25" hidden="false" customHeight="true" outlineLevel="0" collapsed="false">
      <c r="A222" s="31" t="n">
        <f aca="false">Data!AE221</f>
        <v>681</v>
      </c>
      <c r="B222" s="31" t="str">
        <f aca="false">Data!AD221</f>
        <v>موتر كارز</v>
      </c>
      <c r="C222" s="31" t="n">
        <f aca="false">Data!AH221</f>
        <v>557499306</v>
      </c>
      <c r="D222" s="31" t="str">
        <f aca="false">Data!AF221</f>
        <v>تبوك</v>
      </c>
      <c r="E222" s="42" t="n">
        <f aca="false">SUMIFS(Data!$L$2:$L$781,Data!$H$2:$H$781,B222)</f>
        <v>0</v>
      </c>
      <c r="F222" s="43" t="n">
        <f aca="false">SUMIFS(Data!$K$2:$K$781,Data!$H$2:$H$781,B222)</f>
        <v>0</v>
      </c>
      <c r="G222" s="42" t="n">
        <f aca="false">SUMIFS(Data!$L$782:$L$2370,Data!$H$782:$H$2370,B222)</f>
        <v>0</v>
      </c>
      <c r="H222" s="43" t="n">
        <f aca="false">SUMIFS(Data!$K$782:$K$2370,Data!$H$782:$H$2370,B222)</f>
        <v>12</v>
      </c>
      <c r="I222" s="42" t="n">
        <f aca="false">SUMIFS(Data!$L$2371:$L$3999,Data!$H$2371:$H$3999,B222)</f>
        <v>0</v>
      </c>
      <c r="J222" s="43" t="n">
        <f aca="false">SUMIFS(Data!$K$2371:$K$3999,Data!$H$2371:$H$3999,B222)</f>
        <v>0</v>
      </c>
      <c r="K222" s="44" t="n">
        <f aca="false">SUMIFS(Data!$M$2:$M$781,Data!$H$2:$H$781,B222)</f>
        <v>0</v>
      </c>
      <c r="L222" s="42" t="n">
        <f aca="false">SUMIFS(Data!$M$782:$M$2370,Data!$H$782:$H$2370,B222)</f>
        <v>2</v>
      </c>
      <c r="M222" s="42" t="n">
        <f aca="false">SUMIFS(Data!$M$2371:$M$3999,Data!$H$2371:$H$3999,B222)</f>
        <v>0</v>
      </c>
      <c r="N222" s="45" t="n">
        <f aca="false">SUMIFS(Data!$O$2:$O$781,Data!$H$2:$H$781,B222)</f>
        <v>0</v>
      </c>
      <c r="O222" s="43" t="n">
        <f aca="false">SUMIFS(Data!$N$2:$N$781,Data!$H$2:$H$781,B222)</f>
        <v>0</v>
      </c>
      <c r="P222" s="42" t="n">
        <f aca="false">SUMIFS(Data!$P$2:$P$781,Data!$H$2:$H$781,B222)</f>
        <v>0</v>
      </c>
      <c r="Q222" s="43" t="n">
        <f aca="false">SUMIFS(Data!$O$782:$O$2370,Data!$H$782:$H$2370,B222)</f>
        <v>0</v>
      </c>
      <c r="R222" s="43" t="n">
        <f aca="false">SUMIFS(Data!$N$782:$N$2370,Data!$H$782:$H$2370,B222)</f>
        <v>0</v>
      </c>
      <c r="S222" s="43" t="n">
        <f aca="false">SUMIFS(Data!$O$2371:$O$3999,Data!$H$2371:$H$3999,B222)</f>
        <v>0</v>
      </c>
      <c r="T222" s="43" t="n">
        <f aca="false">SUMIFS(Data!$N$2371:$N$3999,Data!$H$2371:$H$3999,B222)</f>
        <v>0</v>
      </c>
      <c r="U222" s="46" t="n">
        <f aca="false">SUMIFS(Data!$R$2:$R$781,Data!$H$2:$H$781,B222)</f>
        <v>0</v>
      </c>
      <c r="V222" s="47" t="n">
        <f aca="false">SUMIFS(Data!$Q$2:$Q$781,Data!$H$2:$H$781,B222)</f>
        <v>0</v>
      </c>
      <c r="W222" s="42" t="n">
        <f aca="false">SUMIFS(Data!$R$782:$R$2370,Data!$H$782:$H$2370,B222)</f>
        <v>4</v>
      </c>
      <c r="X222" s="43" t="n">
        <f aca="false">SUMIFS(Data!$Q$782:$Q$2370,Data!$H$782:$H$2370,B222)</f>
        <v>2</v>
      </c>
      <c r="Y222" s="42" t="n">
        <f aca="false">SUMIFS(Data!$R$2371:$R$3999,Data!$H$2371:$H$3999,B222)</f>
        <v>0</v>
      </c>
      <c r="Z222" s="43" t="n">
        <f aca="false">SUMIFS(Data!$Q$2371:$Q$3999,Data!$H$2371:$H$3999,B222)</f>
        <v>0</v>
      </c>
      <c r="AA222" s="48" t="n">
        <f aca="false">V222+U222+O222+N222+K222+F222+E222+P222</f>
        <v>0</v>
      </c>
      <c r="AB222" s="49" t="n">
        <f aca="false">X222+W222+T222+R222+Q222+L222+H222+G222</f>
        <v>20</v>
      </c>
      <c r="AC222" s="49" t="n">
        <f aca="false">Z222+Y222+T222+S222+M222+J222+I222</f>
        <v>0</v>
      </c>
    </row>
    <row r="223" customFormat="false" ht="23.25" hidden="false" customHeight="true" outlineLevel="0" collapsed="false">
      <c r="A223" s="31" t="n">
        <f aca="false">Data!AE222</f>
        <v>0</v>
      </c>
      <c r="B223" s="31" t="n">
        <f aca="false">Data!AD222</f>
        <v>0</v>
      </c>
      <c r="C223" s="31" t="n">
        <f aca="false">Data!AH222</f>
        <v>0</v>
      </c>
      <c r="D223" s="31" t="n">
        <f aca="false">Data!AF222</f>
        <v>0</v>
      </c>
      <c r="E223" s="42" t="n">
        <f aca="false">SUMIFS(Data!$L$2:$L$781,Data!$H$2:$H$781,B223)</f>
        <v>0</v>
      </c>
      <c r="F223" s="43" t="n">
        <f aca="false">SUMIFS(Data!$K$2:$K$781,Data!$H$2:$H$781,B223)</f>
        <v>0</v>
      </c>
      <c r="G223" s="42" t="n">
        <f aca="false">SUMIFS(Data!$L$782:$L$2370,Data!$H$782:$H$2370,B223)</f>
        <v>0</v>
      </c>
      <c r="H223" s="43" t="n">
        <f aca="false">SUMIFS(Data!$K$782:$K$2370,Data!$H$782:$H$2370,B223)</f>
        <v>0</v>
      </c>
      <c r="I223" s="42" t="n">
        <f aca="false">SUMIFS(Data!$L$2371:$L$3999,Data!$H$2371:$H$3999,B223)</f>
        <v>0</v>
      </c>
      <c r="J223" s="43" t="n">
        <f aca="false">SUMIFS(Data!$K$2371:$K$3999,Data!$H$2371:$H$3999,B223)</f>
        <v>0</v>
      </c>
      <c r="K223" s="44" t="n">
        <f aca="false">SUMIFS(Data!$M$2:$M$781,Data!$H$2:$H$781,B223)</f>
        <v>0</v>
      </c>
      <c r="L223" s="42" t="n">
        <f aca="false">SUMIFS(Data!$M$782:$M$2370,Data!$H$782:$H$2370,B223)</f>
        <v>0</v>
      </c>
      <c r="M223" s="42" t="n">
        <f aca="false">SUMIFS(Data!$M$2371:$M$3999,Data!$H$2371:$H$3999,B223)</f>
        <v>0</v>
      </c>
      <c r="N223" s="45" t="n">
        <f aca="false">SUMIFS(Data!$O$2:$O$781,Data!$H$2:$H$781,B223)</f>
        <v>0</v>
      </c>
      <c r="O223" s="43" t="n">
        <f aca="false">SUMIFS(Data!$N$2:$N$781,Data!$H$2:$H$781,B223)</f>
        <v>0</v>
      </c>
      <c r="P223" s="42" t="n">
        <f aca="false">SUMIFS(Data!$P$2:$P$781,Data!$H$2:$H$781,B223)</f>
        <v>0</v>
      </c>
      <c r="Q223" s="43" t="n">
        <f aca="false">SUMIFS(Data!$O$782:$O$2370,Data!$H$782:$H$2370,B223)</f>
        <v>0</v>
      </c>
      <c r="R223" s="43" t="n">
        <f aca="false">SUMIFS(Data!$N$782:$N$2370,Data!$H$782:$H$2370,B223)</f>
        <v>0</v>
      </c>
      <c r="S223" s="43" t="n">
        <f aca="false">SUMIFS(Data!$O$2371:$O$3999,Data!$H$2371:$H$3999,B223)</f>
        <v>0</v>
      </c>
      <c r="T223" s="43" t="n">
        <f aca="false">SUMIFS(Data!$N$2371:$N$3999,Data!$H$2371:$H$3999,B223)</f>
        <v>0</v>
      </c>
      <c r="U223" s="46" t="n">
        <f aca="false">SUMIFS(Data!$R$2:$R$781,Data!$H$2:$H$781,B223)</f>
        <v>0</v>
      </c>
      <c r="V223" s="47" t="n">
        <f aca="false">SUMIFS(Data!$Q$2:$Q$781,Data!$H$2:$H$781,B223)</f>
        <v>0</v>
      </c>
      <c r="W223" s="42" t="n">
        <f aca="false">SUMIFS(Data!$R$782:$R$2370,Data!$H$782:$H$2370,B223)</f>
        <v>0</v>
      </c>
      <c r="X223" s="43" t="n">
        <f aca="false">SUMIFS(Data!$Q$782:$Q$2370,Data!$H$782:$H$2370,B223)</f>
        <v>0</v>
      </c>
      <c r="Y223" s="42" t="n">
        <f aca="false">SUMIFS(Data!$R$2371:$R$3999,Data!$H$2371:$H$3999,B223)</f>
        <v>0</v>
      </c>
      <c r="Z223" s="43" t="n">
        <f aca="false">SUMIFS(Data!$Q$2371:$Q$3999,Data!$H$2371:$H$3999,B223)</f>
        <v>0</v>
      </c>
      <c r="AA223" s="48" t="n">
        <f aca="false">V223+U223+O223+N223+K223+F223+E223+P223</f>
        <v>0</v>
      </c>
      <c r="AB223" s="49" t="n">
        <f aca="false">X223+W223+T223+R223+Q223+L223+H223+G223</f>
        <v>0</v>
      </c>
      <c r="AC223" s="49" t="n">
        <f aca="false">Z223+Y223+T223+S223+M223+J223+I223</f>
        <v>0</v>
      </c>
    </row>
    <row r="224" customFormat="false" ht="23.25" hidden="false" customHeight="true" outlineLevel="0" collapsed="false">
      <c r="A224" s="31" t="n">
        <f aca="false">Data!AE223</f>
        <v>0</v>
      </c>
      <c r="B224" s="31" t="n">
        <f aca="false">Data!AD223</f>
        <v>0</v>
      </c>
      <c r="C224" s="31" t="n">
        <f aca="false">Data!AH223</f>
        <v>0</v>
      </c>
      <c r="D224" s="31" t="n">
        <f aca="false">Data!AF223</f>
        <v>0</v>
      </c>
      <c r="E224" s="42" t="n">
        <f aca="false">SUMIFS(Data!$L$2:$L$781,Data!$H$2:$H$781,B224)</f>
        <v>0</v>
      </c>
      <c r="F224" s="43" t="n">
        <f aca="false">SUMIFS(Data!$K$2:$K$781,Data!$H$2:$H$781,B224)</f>
        <v>0</v>
      </c>
      <c r="G224" s="42" t="n">
        <f aca="false">SUMIFS(Data!$L$782:$L$2370,Data!$H$782:$H$2370,B224)</f>
        <v>0</v>
      </c>
      <c r="H224" s="43" t="n">
        <f aca="false">SUMIFS(Data!$K$782:$K$2370,Data!$H$782:$H$2370,B224)</f>
        <v>0</v>
      </c>
      <c r="I224" s="42" t="n">
        <f aca="false">SUMIFS(Data!$L$2371:$L$3999,Data!$H$2371:$H$3999,B224)</f>
        <v>0</v>
      </c>
      <c r="J224" s="43" t="n">
        <f aca="false">SUMIFS(Data!$K$2371:$K$3999,Data!$H$2371:$H$3999,B224)</f>
        <v>0</v>
      </c>
      <c r="K224" s="44" t="n">
        <f aca="false">SUMIFS(Data!$M$2:$M$781,Data!$H$2:$H$781,B224)</f>
        <v>0</v>
      </c>
      <c r="L224" s="42" t="n">
        <f aca="false">SUMIFS(Data!$M$782:$M$2370,Data!$H$782:$H$2370,B224)</f>
        <v>0</v>
      </c>
      <c r="M224" s="42" t="n">
        <f aca="false">SUMIFS(Data!$M$2371:$M$3999,Data!$H$2371:$H$3999,B224)</f>
        <v>0</v>
      </c>
      <c r="N224" s="45" t="n">
        <f aca="false">SUMIFS(Data!$O$2:$O$781,Data!$H$2:$H$781,B224)</f>
        <v>0</v>
      </c>
      <c r="O224" s="43" t="n">
        <f aca="false">SUMIFS(Data!$N$2:$N$781,Data!$H$2:$H$781,B224)</f>
        <v>0</v>
      </c>
      <c r="P224" s="42" t="n">
        <f aca="false">SUMIFS(Data!$P$2:$P$781,Data!$H$2:$H$781,B224)</f>
        <v>0</v>
      </c>
      <c r="Q224" s="43" t="n">
        <f aca="false">SUMIFS(Data!$O$782:$O$2370,Data!$H$782:$H$2370,B224)</f>
        <v>0</v>
      </c>
      <c r="R224" s="43" t="n">
        <f aca="false">SUMIFS(Data!$N$782:$N$2370,Data!$H$782:$H$2370,B224)</f>
        <v>0</v>
      </c>
      <c r="S224" s="43" t="n">
        <f aca="false">SUMIFS(Data!$O$2371:$O$3999,Data!$H$2371:$H$3999,B224)</f>
        <v>0</v>
      </c>
      <c r="T224" s="43" t="n">
        <f aca="false">SUMIFS(Data!$N$2371:$N$3999,Data!$H$2371:$H$3999,B224)</f>
        <v>0</v>
      </c>
      <c r="U224" s="46" t="n">
        <f aca="false">SUMIFS(Data!$R$2:$R$781,Data!$H$2:$H$781,B224)</f>
        <v>0</v>
      </c>
      <c r="V224" s="47" t="n">
        <f aca="false">SUMIFS(Data!$Q$2:$Q$781,Data!$H$2:$H$781,B224)</f>
        <v>0</v>
      </c>
      <c r="W224" s="42" t="n">
        <f aca="false">SUMIFS(Data!$R$782:$R$2370,Data!$H$782:$H$2370,B224)</f>
        <v>0</v>
      </c>
      <c r="X224" s="43" t="n">
        <f aca="false">SUMIFS(Data!$Q$782:$Q$2370,Data!$H$782:$H$2370,B224)</f>
        <v>0</v>
      </c>
      <c r="Y224" s="42" t="n">
        <f aca="false">SUMIFS(Data!$R$2371:$R$3999,Data!$H$2371:$H$3999,B224)</f>
        <v>0</v>
      </c>
      <c r="Z224" s="43" t="n">
        <f aca="false">SUMIFS(Data!$Q$2371:$Q$3999,Data!$H$2371:$H$3999,B224)</f>
        <v>0</v>
      </c>
      <c r="AA224" s="48" t="n">
        <f aca="false">V224+U224+O224+N224+K224+F224+E224+P224</f>
        <v>0</v>
      </c>
      <c r="AB224" s="49" t="n">
        <f aca="false">X224+W224+T224+R224+Q224+L224+H224+G224</f>
        <v>0</v>
      </c>
      <c r="AC224" s="49" t="n">
        <f aca="false">Z224+Y224+T224+S224+M224+J224+I224</f>
        <v>0</v>
      </c>
    </row>
    <row r="225" customFormat="false" ht="23.25" hidden="false" customHeight="true" outlineLevel="0" collapsed="false">
      <c r="A225" s="31" t="n">
        <f aca="false">Data!AE224</f>
        <v>0</v>
      </c>
      <c r="B225" s="31" t="n">
        <f aca="false">Data!AD224</f>
        <v>0</v>
      </c>
      <c r="C225" s="31" t="n">
        <f aca="false">Data!AH224</f>
        <v>0</v>
      </c>
      <c r="D225" s="31" t="n">
        <f aca="false">Data!AF224</f>
        <v>0</v>
      </c>
      <c r="E225" s="42" t="n">
        <f aca="false">SUMIFS(Data!$L$2:$L$781,Data!$H$2:$H$781,B225)</f>
        <v>0</v>
      </c>
      <c r="F225" s="43" t="n">
        <f aca="false">SUMIFS(Data!$K$2:$K$781,Data!$H$2:$H$781,B225)</f>
        <v>0</v>
      </c>
      <c r="G225" s="42" t="n">
        <f aca="false">SUMIFS(Data!$L$782:$L$2370,Data!$H$782:$H$2370,B225)</f>
        <v>0</v>
      </c>
      <c r="H225" s="43" t="n">
        <f aca="false">SUMIFS(Data!$K$782:$K$2370,Data!$H$782:$H$2370,B225)</f>
        <v>0</v>
      </c>
      <c r="I225" s="42" t="n">
        <f aca="false">SUMIFS(Data!$L$2371:$L$3999,Data!$H$2371:$H$3999,B225)</f>
        <v>0</v>
      </c>
      <c r="J225" s="43" t="n">
        <f aca="false">SUMIFS(Data!$K$2371:$K$3999,Data!$H$2371:$H$3999,B225)</f>
        <v>0</v>
      </c>
      <c r="K225" s="44" t="n">
        <f aca="false">SUMIFS(Data!$M$2:$M$781,Data!$H$2:$H$781,B225)</f>
        <v>0</v>
      </c>
      <c r="L225" s="42" t="n">
        <f aca="false">SUMIFS(Data!$M$782:$M$2370,Data!$H$782:$H$2370,B225)</f>
        <v>0</v>
      </c>
      <c r="M225" s="42" t="n">
        <f aca="false">SUMIFS(Data!$M$2371:$M$3999,Data!$H$2371:$H$3999,B225)</f>
        <v>0</v>
      </c>
      <c r="N225" s="45" t="n">
        <f aca="false">SUMIFS(Data!$O$2:$O$781,Data!$H$2:$H$781,B225)</f>
        <v>0</v>
      </c>
      <c r="O225" s="43" t="n">
        <f aca="false">SUMIFS(Data!$N$2:$N$781,Data!$H$2:$H$781,B225)</f>
        <v>0</v>
      </c>
      <c r="P225" s="42" t="n">
        <f aca="false">SUMIFS(Data!$P$2:$P$781,Data!$H$2:$H$781,B225)</f>
        <v>0</v>
      </c>
      <c r="Q225" s="43" t="n">
        <f aca="false">SUMIFS(Data!$O$782:$O$2370,Data!$H$782:$H$2370,B225)</f>
        <v>0</v>
      </c>
      <c r="R225" s="43" t="n">
        <f aca="false">SUMIFS(Data!$N$782:$N$2370,Data!$H$782:$H$2370,B225)</f>
        <v>0</v>
      </c>
      <c r="S225" s="43" t="n">
        <f aca="false">SUMIFS(Data!$O$2371:$O$3999,Data!$H$2371:$H$3999,B225)</f>
        <v>0</v>
      </c>
      <c r="T225" s="43" t="n">
        <f aca="false">SUMIFS(Data!$N$2371:$N$3999,Data!$H$2371:$H$3999,B225)</f>
        <v>0</v>
      </c>
      <c r="U225" s="46" t="n">
        <f aca="false">SUMIFS(Data!$R$2:$R$781,Data!$H$2:$H$781,B225)</f>
        <v>0</v>
      </c>
      <c r="V225" s="47" t="n">
        <f aca="false">SUMIFS(Data!$Q$2:$Q$781,Data!$H$2:$H$781,B225)</f>
        <v>0</v>
      </c>
      <c r="W225" s="42" t="n">
        <f aca="false">SUMIFS(Data!$R$782:$R$2370,Data!$H$782:$H$2370,B225)</f>
        <v>0</v>
      </c>
      <c r="X225" s="43" t="n">
        <f aca="false">SUMIFS(Data!$Q$782:$Q$2370,Data!$H$782:$H$2370,B225)</f>
        <v>0</v>
      </c>
      <c r="Y225" s="42" t="n">
        <f aca="false">SUMIFS(Data!$R$2371:$R$3999,Data!$H$2371:$H$3999,B225)</f>
        <v>0</v>
      </c>
      <c r="Z225" s="43" t="n">
        <f aca="false">SUMIFS(Data!$Q$2371:$Q$3999,Data!$H$2371:$H$3999,B225)</f>
        <v>0</v>
      </c>
      <c r="AA225" s="48" t="n">
        <f aca="false">V225+U225+O225+N225+K225+F225+E225+P225</f>
        <v>0</v>
      </c>
      <c r="AB225" s="49" t="n">
        <f aca="false">X225+W225+T225+R225+Q225+L225+H225+G225</f>
        <v>0</v>
      </c>
      <c r="AC225" s="49" t="n">
        <f aca="false">Z225+Y225+T225+S225+M225+J225+I225</f>
        <v>0</v>
      </c>
    </row>
    <row r="226" customFormat="false" ht="23.25" hidden="false" customHeight="true" outlineLevel="0" collapsed="false">
      <c r="A226" s="31" t="n">
        <f aca="false">Data!AE225</f>
        <v>0</v>
      </c>
      <c r="B226" s="31" t="n">
        <f aca="false">Data!AD225</f>
        <v>0</v>
      </c>
      <c r="C226" s="31" t="n">
        <f aca="false">Data!AH225</f>
        <v>0</v>
      </c>
      <c r="D226" s="31" t="n">
        <f aca="false">Data!AF225</f>
        <v>0</v>
      </c>
      <c r="E226" s="42" t="n">
        <f aca="false">SUMIFS(Data!$L$2:$L$781,Data!$H$2:$H$781,B226)</f>
        <v>0</v>
      </c>
      <c r="F226" s="43" t="n">
        <f aca="false">SUMIFS(Data!$K$2:$K$781,Data!$H$2:$H$781,B226)</f>
        <v>0</v>
      </c>
      <c r="G226" s="42" t="n">
        <f aca="false">SUMIFS(Data!$L$782:$L$2370,Data!$H$782:$H$2370,B226)</f>
        <v>0</v>
      </c>
      <c r="H226" s="43" t="n">
        <f aca="false">SUMIFS(Data!$K$782:$K$2370,Data!$H$782:$H$2370,B226)</f>
        <v>0</v>
      </c>
      <c r="I226" s="42" t="n">
        <f aca="false">SUMIFS(Data!$L$2371:$L$3999,Data!$H$2371:$H$3999,B226)</f>
        <v>0</v>
      </c>
      <c r="J226" s="43" t="n">
        <f aca="false">SUMIFS(Data!$K$2371:$K$3999,Data!$H$2371:$H$3999,B226)</f>
        <v>0</v>
      </c>
      <c r="K226" s="44" t="n">
        <f aca="false">SUMIFS(Data!$M$2:$M$781,Data!$H$2:$H$781,B226)</f>
        <v>0</v>
      </c>
      <c r="L226" s="42" t="n">
        <f aca="false">SUMIFS(Data!$M$782:$M$2370,Data!$H$782:$H$2370,B226)</f>
        <v>0</v>
      </c>
      <c r="M226" s="42" t="n">
        <f aca="false">SUMIFS(Data!$M$2371:$M$3999,Data!$H$2371:$H$3999,B226)</f>
        <v>0</v>
      </c>
      <c r="N226" s="45" t="n">
        <f aca="false">SUMIFS(Data!$O$2:$O$781,Data!$H$2:$H$781,B226)</f>
        <v>0</v>
      </c>
      <c r="O226" s="43" t="n">
        <f aca="false">SUMIFS(Data!$N$2:$N$781,Data!$H$2:$H$781,B226)</f>
        <v>0</v>
      </c>
      <c r="P226" s="42" t="n">
        <f aca="false">SUMIFS(Data!$P$2:$P$781,Data!$H$2:$H$781,B226)</f>
        <v>0</v>
      </c>
      <c r="Q226" s="43" t="n">
        <f aca="false">SUMIFS(Data!$O$782:$O$2370,Data!$H$782:$H$2370,B226)</f>
        <v>0</v>
      </c>
      <c r="R226" s="43" t="n">
        <f aca="false">SUMIFS(Data!$N$782:$N$2370,Data!$H$782:$H$2370,B226)</f>
        <v>0</v>
      </c>
      <c r="S226" s="43" t="n">
        <f aca="false">SUMIFS(Data!$O$2371:$O$3999,Data!$H$2371:$H$3999,B226)</f>
        <v>0</v>
      </c>
      <c r="T226" s="43" t="n">
        <f aca="false">SUMIFS(Data!$N$2371:$N$3999,Data!$H$2371:$H$3999,B226)</f>
        <v>0</v>
      </c>
      <c r="U226" s="46" t="n">
        <f aca="false">SUMIFS(Data!$R$2:$R$781,Data!$H$2:$H$781,B226)</f>
        <v>0</v>
      </c>
      <c r="V226" s="47" t="n">
        <f aca="false">SUMIFS(Data!$Q$2:$Q$781,Data!$H$2:$H$781,B226)</f>
        <v>0</v>
      </c>
      <c r="W226" s="42" t="n">
        <f aca="false">SUMIFS(Data!$R$782:$R$2370,Data!$H$782:$H$2370,B226)</f>
        <v>0</v>
      </c>
      <c r="X226" s="43" t="n">
        <f aca="false">SUMIFS(Data!$Q$782:$Q$2370,Data!$H$782:$H$2370,B226)</f>
        <v>0</v>
      </c>
      <c r="Y226" s="42" t="n">
        <f aca="false">SUMIFS(Data!$R$2371:$R$3999,Data!$H$2371:$H$3999,B226)</f>
        <v>0</v>
      </c>
      <c r="Z226" s="43" t="n">
        <f aca="false">SUMIFS(Data!$Q$2371:$Q$3999,Data!$H$2371:$H$3999,B226)</f>
        <v>0</v>
      </c>
      <c r="AA226" s="48" t="n">
        <f aca="false">V226+U226+O226+N226+K226+F226+E226+P226</f>
        <v>0</v>
      </c>
      <c r="AB226" s="49" t="n">
        <f aca="false">X226+W226+T226+R226+Q226+L226+H226+G226</f>
        <v>0</v>
      </c>
      <c r="AC226" s="49" t="n">
        <f aca="false">Z226+Y226+T226+S226+M226+J226+I226</f>
        <v>0</v>
      </c>
    </row>
    <row r="227" customFormat="false" ht="23.25" hidden="false" customHeight="true" outlineLevel="0" collapsed="false">
      <c r="A227" s="31" t="n">
        <f aca="false">Data!AE226</f>
        <v>0</v>
      </c>
      <c r="B227" s="31" t="n">
        <f aca="false">Data!AD226</f>
        <v>0</v>
      </c>
      <c r="C227" s="31" t="n">
        <f aca="false">Data!AH226</f>
        <v>0</v>
      </c>
      <c r="D227" s="31" t="n">
        <f aca="false">Data!AF226</f>
        <v>0</v>
      </c>
      <c r="E227" s="42" t="n">
        <f aca="false">SUMIFS(Data!$L$2:$L$781,Data!$H$2:$H$781,B227)</f>
        <v>0</v>
      </c>
      <c r="F227" s="43" t="n">
        <f aca="false">SUMIFS(Data!$K$2:$K$781,Data!$H$2:$H$781,B227)</f>
        <v>0</v>
      </c>
      <c r="G227" s="42" t="n">
        <f aca="false">SUMIFS(Data!$L$782:$L$2370,Data!$H$782:$H$2370,B227)</f>
        <v>0</v>
      </c>
      <c r="H227" s="43" t="n">
        <f aca="false">SUMIFS(Data!$K$782:$K$2370,Data!$H$782:$H$2370,B227)</f>
        <v>0</v>
      </c>
      <c r="I227" s="42" t="n">
        <f aca="false">SUMIFS(Data!$L$2371:$L$3999,Data!$H$2371:$H$3999,B227)</f>
        <v>0</v>
      </c>
      <c r="J227" s="43" t="n">
        <f aca="false">SUMIFS(Data!$K$2371:$K$3999,Data!$H$2371:$H$3999,B227)</f>
        <v>0</v>
      </c>
      <c r="K227" s="44" t="n">
        <f aca="false">SUMIFS(Data!$M$2:$M$781,Data!$H$2:$H$781,B227)</f>
        <v>0</v>
      </c>
      <c r="L227" s="42" t="n">
        <f aca="false">SUMIFS(Data!$M$782:$M$2370,Data!$H$782:$H$2370,B227)</f>
        <v>0</v>
      </c>
      <c r="M227" s="42" t="n">
        <f aca="false">SUMIFS(Data!$M$2371:$M$3999,Data!$H$2371:$H$3999,B227)</f>
        <v>0</v>
      </c>
      <c r="N227" s="45" t="n">
        <f aca="false">SUMIFS(Data!$O$2:$O$781,Data!$H$2:$H$781,B227)</f>
        <v>0</v>
      </c>
      <c r="O227" s="43" t="n">
        <f aca="false">SUMIFS(Data!$N$2:$N$781,Data!$H$2:$H$781,B227)</f>
        <v>0</v>
      </c>
      <c r="P227" s="42" t="n">
        <f aca="false">SUMIFS(Data!$P$2:$P$781,Data!$H$2:$H$781,B227)</f>
        <v>0</v>
      </c>
      <c r="Q227" s="43" t="n">
        <f aca="false">SUMIFS(Data!$O$782:$O$2370,Data!$H$782:$H$2370,B227)</f>
        <v>0</v>
      </c>
      <c r="R227" s="43" t="n">
        <f aca="false">SUMIFS(Data!$N$782:$N$2370,Data!$H$782:$H$2370,B227)</f>
        <v>0</v>
      </c>
      <c r="S227" s="43" t="n">
        <f aca="false">SUMIFS(Data!$O$2371:$O$3999,Data!$H$2371:$H$3999,B227)</f>
        <v>0</v>
      </c>
      <c r="T227" s="43" t="n">
        <f aca="false">SUMIFS(Data!$N$2371:$N$3999,Data!$H$2371:$H$3999,B227)</f>
        <v>0</v>
      </c>
      <c r="U227" s="46" t="n">
        <f aca="false">SUMIFS(Data!$R$2:$R$781,Data!$H$2:$H$781,B227)</f>
        <v>0</v>
      </c>
      <c r="V227" s="47" t="n">
        <f aca="false">SUMIFS(Data!$Q$2:$Q$781,Data!$H$2:$H$781,B227)</f>
        <v>0</v>
      </c>
      <c r="W227" s="42" t="n">
        <f aca="false">SUMIFS(Data!$R$782:$R$2370,Data!$H$782:$H$2370,B227)</f>
        <v>0</v>
      </c>
      <c r="X227" s="43" t="n">
        <f aca="false">SUMIFS(Data!$Q$782:$Q$2370,Data!$H$782:$H$2370,B227)</f>
        <v>0</v>
      </c>
      <c r="Y227" s="42" t="n">
        <f aca="false">SUMIFS(Data!$R$2371:$R$3999,Data!$H$2371:$H$3999,B227)</f>
        <v>0</v>
      </c>
      <c r="Z227" s="43" t="n">
        <f aca="false">SUMIFS(Data!$Q$2371:$Q$3999,Data!$H$2371:$H$3999,B227)</f>
        <v>0</v>
      </c>
      <c r="AA227" s="48" t="n">
        <f aca="false">V227+U227+O227+N227+K227+F227+E227+P227</f>
        <v>0</v>
      </c>
      <c r="AB227" s="49" t="n">
        <f aca="false">X227+W227+T227+R227+Q227+L227+H227+G227</f>
        <v>0</v>
      </c>
      <c r="AC227" s="49" t="n">
        <f aca="false">Z227+Y227+T227+S227+M227+J227+I227</f>
        <v>0</v>
      </c>
    </row>
    <row r="228" customFormat="false" ht="23.25" hidden="false" customHeight="true" outlineLevel="0" collapsed="false">
      <c r="A228" s="31" t="n">
        <f aca="false">Data!AE227</f>
        <v>0</v>
      </c>
      <c r="B228" s="31" t="n">
        <f aca="false">Data!AD227</f>
        <v>0</v>
      </c>
      <c r="C228" s="31" t="n">
        <f aca="false">Data!AH227</f>
        <v>0</v>
      </c>
      <c r="D228" s="31" t="n">
        <f aca="false">Data!AF227</f>
        <v>0</v>
      </c>
      <c r="E228" s="42" t="n">
        <f aca="false">SUMIFS(Data!$L$2:$L$781,Data!$H$2:$H$781,B228)</f>
        <v>0</v>
      </c>
      <c r="F228" s="43" t="n">
        <f aca="false">SUMIFS(Data!$K$2:$K$781,Data!$H$2:$H$781,B228)</f>
        <v>0</v>
      </c>
      <c r="G228" s="42" t="n">
        <f aca="false">SUMIFS(Data!$L$782:$L$2370,Data!$H$782:$H$2370,B228)</f>
        <v>0</v>
      </c>
      <c r="H228" s="43" t="n">
        <f aca="false">SUMIFS(Data!$K$782:$K$2370,Data!$H$782:$H$2370,B228)</f>
        <v>0</v>
      </c>
      <c r="I228" s="42" t="n">
        <f aca="false">SUMIFS(Data!$L$2371:$L$3999,Data!$H$2371:$H$3999,B228)</f>
        <v>0</v>
      </c>
      <c r="J228" s="43" t="n">
        <f aca="false">SUMIFS(Data!$K$2371:$K$3999,Data!$H$2371:$H$3999,B228)</f>
        <v>0</v>
      </c>
      <c r="K228" s="44" t="n">
        <f aca="false">SUMIFS(Data!$M$2:$M$781,Data!$H$2:$H$781,B228)</f>
        <v>0</v>
      </c>
      <c r="L228" s="42" t="n">
        <f aca="false">SUMIFS(Data!$M$782:$M$2370,Data!$H$782:$H$2370,B228)</f>
        <v>0</v>
      </c>
      <c r="M228" s="42" t="n">
        <f aca="false">SUMIFS(Data!$M$2371:$M$3999,Data!$H$2371:$H$3999,B228)</f>
        <v>0</v>
      </c>
      <c r="N228" s="45" t="n">
        <f aca="false">SUMIFS(Data!$O$2:$O$781,Data!$H$2:$H$781,B228)</f>
        <v>0</v>
      </c>
      <c r="O228" s="43" t="n">
        <f aca="false">SUMIFS(Data!$N$2:$N$781,Data!$H$2:$H$781,B228)</f>
        <v>0</v>
      </c>
      <c r="P228" s="42" t="n">
        <f aca="false">SUMIFS(Data!$P$2:$P$781,Data!$H$2:$H$781,B228)</f>
        <v>0</v>
      </c>
      <c r="Q228" s="43" t="n">
        <f aca="false">SUMIFS(Data!$O$782:$O$2370,Data!$H$782:$H$2370,B228)</f>
        <v>0</v>
      </c>
      <c r="R228" s="43" t="n">
        <f aca="false">SUMIFS(Data!$N$782:$N$2370,Data!$H$782:$H$2370,B228)</f>
        <v>0</v>
      </c>
      <c r="S228" s="43" t="n">
        <f aca="false">SUMIFS(Data!$O$2371:$O$3999,Data!$H$2371:$H$3999,B228)</f>
        <v>0</v>
      </c>
      <c r="T228" s="43" t="n">
        <f aca="false">SUMIFS(Data!$N$2371:$N$3999,Data!$H$2371:$H$3999,B228)</f>
        <v>0</v>
      </c>
      <c r="U228" s="46" t="n">
        <f aca="false">SUMIFS(Data!$R$2:$R$781,Data!$H$2:$H$781,B228)</f>
        <v>0</v>
      </c>
      <c r="V228" s="47" t="n">
        <f aca="false">SUMIFS(Data!$Q$2:$Q$781,Data!$H$2:$H$781,B228)</f>
        <v>0</v>
      </c>
      <c r="W228" s="42" t="n">
        <f aca="false">SUMIFS(Data!$R$782:$R$2370,Data!$H$782:$H$2370,B228)</f>
        <v>0</v>
      </c>
      <c r="X228" s="43" t="n">
        <f aca="false">SUMIFS(Data!$Q$782:$Q$2370,Data!$H$782:$H$2370,B228)</f>
        <v>0</v>
      </c>
      <c r="Y228" s="42" t="n">
        <f aca="false">SUMIFS(Data!$R$2371:$R$3999,Data!$H$2371:$H$3999,B228)</f>
        <v>0</v>
      </c>
      <c r="Z228" s="43" t="n">
        <f aca="false">SUMIFS(Data!$Q$2371:$Q$3999,Data!$H$2371:$H$3999,B228)</f>
        <v>0</v>
      </c>
      <c r="AA228" s="48" t="n">
        <f aca="false">V228+U228+O228+N228+K228+F228+E228+P228</f>
        <v>0</v>
      </c>
      <c r="AB228" s="49" t="n">
        <f aca="false">X228+W228+T228+R228+Q228+L228+H228+G228</f>
        <v>0</v>
      </c>
      <c r="AC228" s="49" t="n">
        <f aca="false">Z228+Y228+T228+S228+M228+J228+I228</f>
        <v>0</v>
      </c>
    </row>
    <row r="229" s="74" customFormat="true" ht="23.25" hidden="false" customHeight="true" outlineLevel="0" collapsed="false">
      <c r="A229" s="31" t="n">
        <f aca="false">Data!AE228</f>
        <v>0</v>
      </c>
      <c r="B229" s="31" t="n">
        <f aca="false">Data!AD228</f>
        <v>0</v>
      </c>
      <c r="C229" s="31" t="n">
        <f aca="false">Data!AH228</f>
        <v>0</v>
      </c>
      <c r="D229" s="31" t="n">
        <f aca="false">Data!AF228</f>
        <v>0</v>
      </c>
      <c r="E229" s="51" t="n">
        <f aca="false">SUMIFS(Data!$L$2:$L$781,Data!$H$2:$H$781,B229)</f>
        <v>0</v>
      </c>
      <c r="F229" s="52" t="n">
        <f aca="false">SUMIFS(Data!$K$2:$K$781,Data!$H$2:$H$781,B229)</f>
        <v>0</v>
      </c>
      <c r="G229" s="51" t="n">
        <f aca="false">SUMIFS(Data!$L$782:$L$2370,Data!$H$782:$H$2370,B229)</f>
        <v>0</v>
      </c>
      <c r="H229" s="52" t="n">
        <f aca="false">SUMIFS(Data!$K$782:$K$2370,Data!$H$782:$H$2370,B229)</f>
        <v>0</v>
      </c>
      <c r="I229" s="51" t="n">
        <f aca="false">SUMIFS(Data!$L$2371:$L$3999,Data!$H$2371:$H$3999,B229)</f>
        <v>0</v>
      </c>
      <c r="J229" s="52" t="n">
        <f aca="false">SUMIFS(Data!$K$2371:$K$3999,Data!$H$2371:$H$3999,B229)</f>
        <v>0</v>
      </c>
      <c r="K229" s="53" t="n">
        <f aca="false">SUMIFS(Data!$M$2:$M$781,Data!$H$2:$H$781,B229)</f>
        <v>0</v>
      </c>
      <c r="L229" s="51" t="n">
        <f aca="false">SUMIFS(Data!$M$782:$M$2370,Data!$H$782:$H$2370,B229)</f>
        <v>0</v>
      </c>
      <c r="M229" s="51" t="n">
        <f aca="false">SUMIFS(Data!$M$2371:$M$3999,Data!$H$2371:$H$3999,B229)</f>
        <v>0</v>
      </c>
      <c r="N229" s="54" t="n">
        <f aca="false">SUMIFS(Data!$O$2:$O$781,Data!$H$2:$H$781,B229)</f>
        <v>0</v>
      </c>
      <c r="O229" s="52" t="n">
        <f aca="false">SUMIFS(Data!$N$2:$N$781,Data!$H$2:$H$781,B229)</f>
        <v>0</v>
      </c>
      <c r="P229" s="51" t="n">
        <f aca="false">SUMIFS(Data!$P$2:$P$781,Data!$H$2:$H$781,B229)</f>
        <v>0</v>
      </c>
      <c r="Q229" s="52" t="n">
        <f aca="false">SUMIFS(Data!$O$782:$O$2370,Data!$H$782:$H$2370,B229)</f>
        <v>0</v>
      </c>
      <c r="R229" s="52" t="n">
        <f aca="false">SUMIFS(Data!$N$782:$N$2370,Data!$H$782:$H$2370,B229)</f>
        <v>0</v>
      </c>
      <c r="S229" s="52" t="n">
        <f aca="false">SUMIFS(Data!$O$2371:$O$3999,Data!$H$2371:$H$3999,B229)</f>
        <v>0</v>
      </c>
      <c r="T229" s="52" t="n">
        <f aca="false">SUMIFS(Data!$N$2371:$N$3999,Data!$H$2371:$H$3999,B229)</f>
        <v>0</v>
      </c>
      <c r="U229" s="55" t="n">
        <f aca="false">SUMIFS(Data!$R$2:$R$781,Data!$H$2:$H$781,B229)</f>
        <v>0</v>
      </c>
      <c r="V229" s="56" t="n">
        <f aca="false">SUMIFS(Data!$Q$2:$Q$781,Data!$H$2:$H$781,B229)</f>
        <v>0</v>
      </c>
      <c r="W229" s="51" t="n">
        <f aca="false">SUMIFS(Data!$R$782:$R$2370,Data!$H$782:$H$2370,B229)</f>
        <v>0</v>
      </c>
      <c r="X229" s="52" t="n">
        <f aca="false">SUMIFS(Data!$Q$782:$Q$2370,Data!$H$782:$H$2370,B229)</f>
        <v>0</v>
      </c>
      <c r="Y229" s="51" t="n">
        <f aca="false">SUMIFS(Data!$R$2371:$R$3999,Data!$H$2371:$H$3999,B229)</f>
        <v>0</v>
      </c>
      <c r="Z229" s="52" t="n">
        <f aca="false">SUMIFS(Data!$Q$2371:$Q$3999,Data!$H$2371:$H$3999,B229)</f>
        <v>0</v>
      </c>
      <c r="AA229" s="57" t="n">
        <f aca="false">V229+U229+O229+N229+K229+F229+E229+P229</f>
        <v>0</v>
      </c>
      <c r="AB229" s="58" t="n">
        <f aca="false">X229+W229+T229+R229+Q229+L229+H229+G229</f>
        <v>0</v>
      </c>
      <c r="AC229" s="58" t="n">
        <f aca="false">Z229+Y229+T229+S229+M229+J229+I229</f>
        <v>0</v>
      </c>
    </row>
    <row r="230" customFormat="false" ht="23.25" hidden="false" customHeight="true" outlineLevel="0" collapsed="false">
      <c r="A230" s="31" t="n">
        <f aca="false">Data!AE229</f>
        <v>1002892</v>
      </c>
      <c r="B230" s="31" t="str">
        <f aca="false">Data!AD229</f>
        <v>فجر الاصيل</v>
      </c>
      <c r="C230" s="31" t="n">
        <f aca="false">Data!AH229</f>
        <v>506201893</v>
      </c>
      <c r="D230" s="31" t="str">
        <f aca="false">Data!AF229</f>
        <v>تبوك</v>
      </c>
      <c r="E230" s="60" t="n">
        <f aca="false">SUMIFS(Data!$L$2:$L$781,Data!$H$2:$H$781,B230)</f>
        <v>0</v>
      </c>
      <c r="F230" s="61" t="n">
        <f aca="false">SUMIFS(Data!$K$2:$K$781,Data!$H$2:$H$781,B230)</f>
        <v>0</v>
      </c>
      <c r="G230" s="60" t="n">
        <f aca="false">SUMIFS(Data!$L$782:$L$2370,Data!$H$782:$H$2370,B230)</f>
        <v>0</v>
      </c>
      <c r="H230" s="61" t="n">
        <f aca="false">SUMIFS(Data!$K$782:$K$2370,Data!$H$782:$H$2370,B230)</f>
        <v>3</v>
      </c>
      <c r="I230" s="60" t="n">
        <f aca="false">SUMIFS(Data!$L$2371:$L$3999,Data!$H$2371:$H$3999,B230)</f>
        <v>0</v>
      </c>
      <c r="J230" s="61" t="n">
        <f aca="false">SUMIFS(Data!$K$2371:$K$3999,Data!$H$2371:$H$3999,B230)</f>
        <v>0</v>
      </c>
      <c r="K230" s="62" t="n">
        <f aca="false">SUMIFS(Data!$M$2:$M$781,Data!$H$2:$H$781,B230)</f>
        <v>0</v>
      </c>
      <c r="L230" s="60" t="n">
        <f aca="false">SUMIFS(Data!$M$782:$M$2370,Data!$H$782:$H$2370,B230)</f>
        <v>0</v>
      </c>
      <c r="M230" s="60" t="n">
        <f aca="false">SUMIFS(Data!$M$2371:$M$3999,Data!$H$2371:$H$3999,B230)</f>
        <v>0</v>
      </c>
      <c r="N230" s="63" t="n">
        <f aca="false">SUMIFS(Data!$O$2:$O$781,Data!$H$2:$H$781,B230)</f>
        <v>0</v>
      </c>
      <c r="O230" s="61" t="n">
        <f aca="false">SUMIFS(Data!$N$2:$N$781,Data!$H$2:$H$781,B230)</f>
        <v>0</v>
      </c>
      <c r="P230" s="60" t="n">
        <f aca="false">SUMIFS(Data!$P$2:$P$781,Data!$H$2:$H$781,B230)</f>
        <v>0</v>
      </c>
      <c r="Q230" s="61" t="n">
        <f aca="false">SUMIFS(Data!$O$782:$O$2370,Data!$H$782:$H$2370,B230)</f>
        <v>0</v>
      </c>
      <c r="R230" s="61" t="n">
        <f aca="false">SUMIFS(Data!$N$782:$N$2370,Data!$H$782:$H$2370,B230)</f>
        <v>0</v>
      </c>
      <c r="S230" s="61" t="n">
        <f aca="false">SUMIFS(Data!$O$2371:$O$3999,Data!$H$2371:$H$3999,B230)</f>
        <v>1</v>
      </c>
      <c r="T230" s="61" t="n">
        <f aca="false">SUMIFS(Data!$N$2371:$N$3999,Data!$H$2371:$H$3999,B230)</f>
        <v>0</v>
      </c>
      <c r="U230" s="64" t="n">
        <f aca="false">SUMIFS(Data!$R$2:$R$781,Data!$H$2:$H$781,B230)</f>
        <v>0</v>
      </c>
      <c r="V230" s="65" t="n">
        <f aca="false">SUMIFS(Data!$Q$2:$Q$781,Data!$H$2:$H$781,B230)</f>
        <v>0</v>
      </c>
      <c r="W230" s="60" t="n">
        <f aca="false">SUMIFS(Data!$R$782:$R$2370,Data!$H$782:$H$2370,B230)</f>
        <v>0</v>
      </c>
      <c r="X230" s="61" t="n">
        <f aca="false">SUMIFS(Data!$Q$782:$Q$2370,Data!$H$782:$H$2370,B230)</f>
        <v>0</v>
      </c>
      <c r="Y230" s="60" t="n">
        <f aca="false">SUMIFS(Data!$R$2371:$R$3999,Data!$H$2371:$H$3999,B230)</f>
        <v>0</v>
      </c>
      <c r="Z230" s="61" t="n">
        <f aca="false">SUMIFS(Data!$Q$2371:$Q$3999,Data!$H$2371:$H$3999,B230)</f>
        <v>0</v>
      </c>
      <c r="AA230" s="66" t="n">
        <f aca="false">V230+U230+O230+N230+K230+F230+E230+P230</f>
        <v>0</v>
      </c>
      <c r="AB230" s="67" t="n">
        <f aca="false">X230+W230+T230+R230+Q230+L230+H230+G230</f>
        <v>3</v>
      </c>
      <c r="AC230" s="67" t="n">
        <f aca="false">Z230+Y230+T230+S230+M230+J230+I230</f>
        <v>1</v>
      </c>
    </row>
    <row r="231" customFormat="false" ht="23.25" hidden="false" customHeight="true" outlineLevel="0" collapsed="false">
      <c r="A231" s="31" t="n">
        <f aca="false">Data!AE230</f>
        <v>1002886</v>
      </c>
      <c r="B231" s="31" t="str">
        <f aca="false">Data!AD230</f>
        <v>مدار الزيوت</v>
      </c>
      <c r="C231" s="31" t="n">
        <f aca="false">Data!AH230</f>
        <v>0</v>
      </c>
      <c r="D231" s="31" t="str">
        <f aca="false">Data!AF230</f>
        <v>تبوك</v>
      </c>
      <c r="E231" s="42" t="n">
        <f aca="false">SUMIFS(Data!$L$2:$L$781,Data!$H$2:$H$781,B231)</f>
        <v>0</v>
      </c>
      <c r="F231" s="43" t="n">
        <f aca="false">SUMIFS(Data!$K$2:$K$781,Data!$H$2:$H$781,B231)</f>
        <v>0</v>
      </c>
      <c r="G231" s="42" t="n">
        <f aca="false">SUMIFS(Data!$L$782:$L$2370,Data!$H$782:$H$2370,B231)</f>
        <v>0</v>
      </c>
      <c r="H231" s="43" t="n">
        <f aca="false">SUMIFS(Data!$K$782:$K$2370,Data!$H$782:$H$2370,B231)</f>
        <v>3</v>
      </c>
      <c r="I231" s="42" t="n">
        <f aca="false">SUMIFS(Data!$L$2371:$L$3999,Data!$H$2371:$H$3999,B231)</f>
        <v>0</v>
      </c>
      <c r="J231" s="43" t="n">
        <f aca="false">SUMIFS(Data!$K$2371:$K$3999,Data!$H$2371:$H$3999,B231)</f>
        <v>0</v>
      </c>
      <c r="K231" s="44" t="n">
        <f aca="false">SUMIFS(Data!$M$2:$M$781,Data!$H$2:$H$781,B231)</f>
        <v>0</v>
      </c>
      <c r="L231" s="42" t="n">
        <f aca="false">SUMIFS(Data!$M$782:$M$2370,Data!$H$782:$H$2370,B231)</f>
        <v>0</v>
      </c>
      <c r="M231" s="42" t="n">
        <f aca="false">SUMIFS(Data!$M$2371:$M$3999,Data!$H$2371:$H$3999,B231)</f>
        <v>0</v>
      </c>
      <c r="N231" s="45" t="n">
        <f aca="false">SUMIFS(Data!$O$2:$O$781,Data!$H$2:$H$781,B231)</f>
        <v>0</v>
      </c>
      <c r="O231" s="43" t="n">
        <f aca="false">SUMIFS(Data!$N$2:$N$781,Data!$H$2:$H$781,B231)</f>
        <v>0</v>
      </c>
      <c r="P231" s="42" t="n">
        <f aca="false">SUMIFS(Data!$P$2:$P$781,Data!$H$2:$H$781,B231)</f>
        <v>0</v>
      </c>
      <c r="Q231" s="43" t="n">
        <f aca="false">SUMIFS(Data!$O$782:$O$2370,Data!$H$782:$H$2370,B231)</f>
        <v>0</v>
      </c>
      <c r="R231" s="43" t="n">
        <f aca="false">SUMIFS(Data!$N$782:$N$2370,Data!$H$782:$H$2370,B231)</f>
        <v>0</v>
      </c>
      <c r="S231" s="43" t="n">
        <f aca="false">SUMIFS(Data!$O$2371:$O$3999,Data!$H$2371:$H$3999,B231)</f>
        <v>0</v>
      </c>
      <c r="T231" s="43" t="n">
        <f aca="false">SUMIFS(Data!$N$2371:$N$3999,Data!$H$2371:$H$3999,B231)</f>
        <v>0</v>
      </c>
      <c r="U231" s="46" t="n">
        <f aca="false">SUMIFS(Data!$R$2:$R$781,Data!$H$2:$H$781,B231)</f>
        <v>0</v>
      </c>
      <c r="V231" s="47" t="n">
        <f aca="false">SUMIFS(Data!$Q$2:$Q$781,Data!$H$2:$H$781,B231)</f>
        <v>0</v>
      </c>
      <c r="W231" s="42" t="n">
        <f aca="false">SUMIFS(Data!$R$782:$R$2370,Data!$H$782:$H$2370,B231)</f>
        <v>0</v>
      </c>
      <c r="X231" s="43" t="n">
        <f aca="false">SUMIFS(Data!$Q$782:$Q$2370,Data!$H$782:$H$2370,B231)</f>
        <v>0</v>
      </c>
      <c r="Y231" s="42" t="n">
        <f aca="false">SUMIFS(Data!$R$2371:$R$3999,Data!$H$2371:$H$3999,B231)</f>
        <v>0</v>
      </c>
      <c r="Z231" s="43" t="n">
        <f aca="false">SUMIFS(Data!$Q$2371:$Q$3999,Data!$H$2371:$H$3999,B231)</f>
        <v>0</v>
      </c>
      <c r="AA231" s="48" t="n">
        <f aca="false">V231+U231+O231+N231+K231+F231+E231+P231</f>
        <v>0</v>
      </c>
      <c r="AB231" s="49" t="n">
        <f aca="false">X231+W231+T231+R231+Q231+L231+H231+G231</f>
        <v>3</v>
      </c>
      <c r="AC231" s="49" t="n">
        <f aca="false">Z231+Y231+T231+S231+M231+J231+I231</f>
        <v>0</v>
      </c>
    </row>
    <row r="232" customFormat="false" ht="23.25" hidden="false" customHeight="true" outlineLevel="0" collapsed="false">
      <c r="A232" s="31" t="n">
        <f aca="false">Data!AE231</f>
        <v>1006467</v>
      </c>
      <c r="B232" s="31" t="str">
        <f aca="false">Data!AD231</f>
        <v>بروج القادسيه</v>
      </c>
      <c r="C232" s="31" t="n">
        <f aca="false">Data!AH231</f>
        <v>0</v>
      </c>
      <c r="D232" s="31" t="str">
        <f aca="false">Data!AF231</f>
        <v>تبوك</v>
      </c>
      <c r="E232" s="42" t="n">
        <f aca="false">SUMIFS(Data!$L$2:$L$781,Data!$H$2:$H$781,B232)</f>
        <v>0</v>
      </c>
      <c r="F232" s="43" t="n">
        <f aca="false">SUMIFS(Data!$K$2:$K$781,Data!$H$2:$H$781,B232)</f>
        <v>0</v>
      </c>
      <c r="G232" s="42" t="n">
        <f aca="false">SUMIFS(Data!$L$782:$L$2370,Data!$H$782:$H$2370,B232)</f>
        <v>0</v>
      </c>
      <c r="H232" s="43" t="n">
        <f aca="false">SUMIFS(Data!$K$782:$K$2370,Data!$H$782:$H$2370,B232)</f>
        <v>6</v>
      </c>
      <c r="I232" s="42" t="n">
        <f aca="false">SUMIFS(Data!$L$2371:$L$3999,Data!$H$2371:$H$3999,B232)</f>
        <v>0</v>
      </c>
      <c r="J232" s="43" t="n">
        <f aca="false">SUMIFS(Data!$K$2371:$K$3999,Data!$H$2371:$H$3999,B232)</f>
        <v>0</v>
      </c>
      <c r="K232" s="44" t="n">
        <f aca="false">SUMIFS(Data!$M$2:$M$781,Data!$H$2:$H$781,B232)</f>
        <v>0</v>
      </c>
      <c r="L232" s="42" t="n">
        <f aca="false">SUMIFS(Data!$M$782:$M$2370,Data!$H$782:$H$2370,B232)</f>
        <v>0</v>
      </c>
      <c r="M232" s="42" t="n">
        <f aca="false">SUMIFS(Data!$M$2371:$M$3999,Data!$H$2371:$H$3999,B232)</f>
        <v>0</v>
      </c>
      <c r="N232" s="45" t="n">
        <f aca="false">SUMIFS(Data!$O$2:$O$781,Data!$H$2:$H$781,B232)</f>
        <v>0</v>
      </c>
      <c r="O232" s="43" t="n">
        <f aca="false">SUMIFS(Data!$N$2:$N$781,Data!$H$2:$H$781,B232)</f>
        <v>0</v>
      </c>
      <c r="P232" s="42" t="n">
        <f aca="false">SUMIFS(Data!$P$2:$P$781,Data!$H$2:$H$781,B232)</f>
        <v>0</v>
      </c>
      <c r="Q232" s="43" t="n">
        <f aca="false">SUMIFS(Data!$O$782:$O$2370,Data!$H$782:$H$2370,B232)</f>
        <v>0</v>
      </c>
      <c r="R232" s="43" t="n">
        <f aca="false">SUMIFS(Data!$N$782:$N$2370,Data!$H$782:$H$2370,B232)</f>
        <v>0</v>
      </c>
      <c r="S232" s="43" t="n">
        <f aca="false">SUMIFS(Data!$O$2371:$O$3999,Data!$H$2371:$H$3999,B232)</f>
        <v>0</v>
      </c>
      <c r="T232" s="43" t="n">
        <f aca="false">SUMIFS(Data!$N$2371:$N$3999,Data!$H$2371:$H$3999,B232)</f>
        <v>0</v>
      </c>
      <c r="U232" s="46" t="n">
        <f aca="false">SUMIFS(Data!$R$2:$R$781,Data!$H$2:$H$781,B232)</f>
        <v>0</v>
      </c>
      <c r="V232" s="47" t="n">
        <f aca="false">SUMIFS(Data!$Q$2:$Q$781,Data!$H$2:$H$781,B232)</f>
        <v>0</v>
      </c>
      <c r="W232" s="42" t="n">
        <f aca="false">SUMIFS(Data!$R$782:$R$2370,Data!$H$782:$H$2370,B232)</f>
        <v>0</v>
      </c>
      <c r="X232" s="43" t="n">
        <f aca="false">SUMIFS(Data!$Q$782:$Q$2370,Data!$H$782:$H$2370,B232)</f>
        <v>0</v>
      </c>
      <c r="Y232" s="42" t="n">
        <f aca="false">SUMIFS(Data!$R$2371:$R$3999,Data!$H$2371:$H$3999,B232)</f>
        <v>0</v>
      </c>
      <c r="Z232" s="43" t="n">
        <f aca="false">SUMIFS(Data!$Q$2371:$Q$3999,Data!$H$2371:$H$3999,B232)</f>
        <v>0</v>
      </c>
      <c r="AA232" s="48" t="n">
        <f aca="false">V232+U232+O232+N232+K232+F232+E232+P232</f>
        <v>0</v>
      </c>
      <c r="AB232" s="49" t="n">
        <f aca="false">X232+W232+T232+R232+Q232+L232+H232+G232</f>
        <v>6</v>
      </c>
      <c r="AC232" s="49" t="n">
        <f aca="false">Z232+Y232+T232+S232+M232+J232+I232</f>
        <v>0</v>
      </c>
    </row>
    <row r="233" customFormat="false" ht="23.25" hidden="false" customHeight="true" outlineLevel="0" collapsed="false">
      <c r="A233" s="31" t="n">
        <f aca="false">Data!AE232</f>
        <v>1006531</v>
      </c>
      <c r="B233" s="31" t="str">
        <f aca="false">Data!AD232</f>
        <v>اتجاهات السفر</v>
      </c>
      <c r="C233" s="31" t="n">
        <f aca="false">Data!AH232</f>
        <v>550943018</v>
      </c>
      <c r="D233" s="31" t="str">
        <f aca="false">Data!AF232</f>
        <v>تبوك</v>
      </c>
      <c r="E233" s="42" t="n">
        <f aca="false">SUMIFS(Data!$L$2:$L$781,Data!$H$2:$H$781,B233)</f>
        <v>0</v>
      </c>
      <c r="F233" s="43" t="n">
        <f aca="false">SUMIFS(Data!$K$2:$K$781,Data!$H$2:$H$781,B233)</f>
        <v>0</v>
      </c>
      <c r="G233" s="42" t="n">
        <f aca="false">SUMIFS(Data!$L$782:$L$2370,Data!$H$782:$H$2370,B233)</f>
        <v>1</v>
      </c>
      <c r="H233" s="43" t="n">
        <f aca="false">SUMIFS(Data!$K$782:$K$2370,Data!$H$782:$H$2370,B233)</f>
        <v>0</v>
      </c>
      <c r="I233" s="42" t="n">
        <f aca="false">SUMIFS(Data!$L$2371:$L$3999,Data!$H$2371:$H$3999,B233)</f>
        <v>0</v>
      </c>
      <c r="J233" s="43" t="n">
        <f aca="false">SUMIFS(Data!$K$2371:$K$3999,Data!$H$2371:$H$3999,B233)</f>
        <v>0</v>
      </c>
      <c r="K233" s="44" t="n">
        <f aca="false">SUMIFS(Data!$M$2:$M$781,Data!$H$2:$H$781,B233)</f>
        <v>0</v>
      </c>
      <c r="L233" s="42" t="n">
        <f aca="false">SUMIFS(Data!$M$782:$M$2370,Data!$H$782:$H$2370,B233)</f>
        <v>2</v>
      </c>
      <c r="M233" s="42" t="n">
        <f aca="false">SUMIFS(Data!$M$2371:$M$3999,Data!$H$2371:$H$3999,B233)</f>
        <v>0</v>
      </c>
      <c r="N233" s="45" t="n">
        <f aca="false">SUMIFS(Data!$O$2:$O$781,Data!$H$2:$H$781,B233)</f>
        <v>0</v>
      </c>
      <c r="O233" s="43" t="n">
        <f aca="false">SUMIFS(Data!$N$2:$N$781,Data!$H$2:$H$781,B233)</f>
        <v>0</v>
      </c>
      <c r="P233" s="42" t="n">
        <f aca="false">SUMIFS(Data!$P$2:$P$781,Data!$H$2:$H$781,B233)</f>
        <v>0</v>
      </c>
      <c r="Q233" s="43" t="n">
        <f aca="false">SUMIFS(Data!$O$782:$O$2370,Data!$H$782:$H$2370,B233)</f>
        <v>1</v>
      </c>
      <c r="R233" s="43" t="n">
        <f aca="false">SUMIFS(Data!$N$782:$N$2370,Data!$H$782:$H$2370,B233)</f>
        <v>0</v>
      </c>
      <c r="S233" s="43" t="n">
        <f aca="false">SUMIFS(Data!$O$2371:$O$3999,Data!$H$2371:$H$3999,B233)</f>
        <v>0</v>
      </c>
      <c r="T233" s="43" t="n">
        <f aca="false">SUMIFS(Data!$N$2371:$N$3999,Data!$H$2371:$H$3999,B233)</f>
        <v>0</v>
      </c>
      <c r="U233" s="46" t="n">
        <f aca="false">SUMIFS(Data!$R$2:$R$781,Data!$H$2:$H$781,B233)</f>
        <v>0</v>
      </c>
      <c r="V233" s="47" t="n">
        <f aca="false">SUMIFS(Data!$Q$2:$Q$781,Data!$H$2:$H$781,B233)</f>
        <v>0</v>
      </c>
      <c r="W233" s="42" t="n">
        <f aca="false">SUMIFS(Data!$R$782:$R$2370,Data!$H$782:$H$2370,B233)</f>
        <v>0</v>
      </c>
      <c r="X233" s="43" t="n">
        <f aca="false">SUMIFS(Data!$Q$782:$Q$2370,Data!$H$782:$H$2370,B233)</f>
        <v>0</v>
      </c>
      <c r="Y233" s="42" t="n">
        <f aca="false">SUMIFS(Data!$R$2371:$R$3999,Data!$H$2371:$H$3999,B233)</f>
        <v>0</v>
      </c>
      <c r="Z233" s="43" t="n">
        <f aca="false">SUMIFS(Data!$Q$2371:$Q$3999,Data!$H$2371:$H$3999,B233)</f>
        <v>0</v>
      </c>
      <c r="AA233" s="48" t="n">
        <f aca="false">V233+U233+O233+N233+K233+F233+E233+P233</f>
        <v>0</v>
      </c>
      <c r="AB233" s="49" t="n">
        <f aca="false">X233+W233+T233+R233+Q233+L233+H233+G233</f>
        <v>4</v>
      </c>
      <c r="AC233" s="49" t="n">
        <f aca="false">Z233+Y233+T233+S233+M233+J233+I233</f>
        <v>0</v>
      </c>
    </row>
    <row r="234" customFormat="false" ht="23.25" hidden="false" customHeight="true" outlineLevel="0" collapsed="false">
      <c r="A234" s="31" t="n">
        <f aca="false">Data!AE233</f>
        <v>1002948</v>
      </c>
      <c r="B234" s="31" t="str">
        <f aca="false">Data!AD233</f>
        <v>المستوى السريع</v>
      </c>
      <c r="C234" s="31" t="n">
        <f aca="false">Data!AH233</f>
        <v>535225725</v>
      </c>
      <c r="D234" s="31" t="str">
        <f aca="false">Data!AF233</f>
        <v>تبوك</v>
      </c>
      <c r="E234" s="42" t="n">
        <f aca="false">SUMIFS(Data!$L$2:$L$781,Data!$H$2:$H$781,B234)</f>
        <v>0</v>
      </c>
      <c r="F234" s="43" t="n">
        <f aca="false">SUMIFS(Data!$K$2:$K$781,Data!$H$2:$H$781,B234)</f>
        <v>0</v>
      </c>
      <c r="G234" s="42" t="n">
        <f aca="false">SUMIFS(Data!$L$782:$L$2370,Data!$H$782:$H$2370,B234)</f>
        <v>0</v>
      </c>
      <c r="H234" s="43" t="n">
        <f aca="false">SUMIFS(Data!$K$782:$K$2370,Data!$H$782:$H$2370,B234)</f>
        <v>3</v>
      </c>
      <c r="I234" s="42" t="n">
        <f aca="false">SUMIFS(Data!$L$2371:$L$3999,Data!$H$2371:$H$3999,B234)</f>
        <v>0</v>
      </c>
      <c r="J234" s="43" t="n">
        <f aca="false">SUMIFS(Data!$K$2371:$K$3999,Data!$H$2371:$H$3999,B234)</f>
        <v>0</v>
      </c>
      <c r="K234" s="44" t="n">
        <f aca="false">SUMIFS(Data!$M$2:$M$781,Data!$H$2:$H$781,B234)</f>
        <v>0</v>
      </c>
      <c r="L234" s="42" t="n">
        <f aca="false">SUMIFS(Data!$M$782:$M$2370,Data!$H$782:$H$2370,B234)</f>
        <v>0</v>
      </c>
      <c r="M234" s="42" t="n">
        <f aca="false">SUMIFS(Data!$M$2371:$M$3999,Data!$H$2371:$H$3999,B234)</f>
        <v>0</v>
      </c>
      <c r="N234" s="45" t="n">
        <f aca="false">SUMIFS(Data!$O$2:$O$781,Data!$H$2:$H$781,B234)</f>
        <v>0</v>
      </c>
      <c r="O234" s="43" t="n">
        <f aca="false">SUMIFS(Data!$N$2:$N$781,Data!$H$2:$H$781,B234)</f>
        <v>0</v>
      </c>
      <c r="P234" s="42" t="n">
        <f aca="false">SUMIFS(Data!$P$2:$P$781,Data!$H$2:$H$781,B234)</f>
        <v>0</v>
      </c>
      <c r="Q234" s="43" t="n">
        <f aca="false">SUMIFS(Data!$O$782:$O$2370,Data!$H$782:$H$2370,B234)</f>
        <v>0</v>
      </c>
      <c r="R234" s="43" t="n">
        <f aca="false">SUMIFS(Data!$N$782:$N$2370,Data!$H$782:$H$2370,B234)</f>
        <v>0</v>
      </c>
      <c r="S234" s="43" t="n">
        <f aca="false">SUMIFS(Data!$O$2371:$O$3999,Data!$H$2371:$H$3999,B234)</f>
        <v>0</v>
      </c>
      <c r="T234" s="43" t="n">
        <f aca="false">SUMIFS(Data!$N$2371:$N$3999,Data!$H$2371:$H$3999,B234)</f>
        <v>0</v>
      </c>
      <c r="U234" s="46" t="n">
        <f aca="false">SUMIFS(Data!$R$2:$R$781,Data!$H$2:$H$781,B234)</f>
        <v>0</v>
      </c>
      <c r="V234" s="47" t="n">
        <f aca="false">SUMIFS(Data!$Q$2:$Q$781,Data!$H$2:$H$781,B234)</f>
        <v>0</v>
      </c>
      <c r="W234" s="42" t="n">
        <f aca="false">SUMIFS(Data!$R$782:$R$2370,Data!$H$782:$H$2370,B234)</f>
        <v>0</v>
      </c>
      <c r="X234" s="43" t="n">
        <f aca="false">SUMIFS(Data!$Q$782:$Q$2370,Data!$H$782:$H$2370,B234)</f>
        <v>0</v>
      </c>
      <c r="Y234" s="42" t="n">
        <f aca="false">SUMIFS(Data!$R$2371:$R$3999,Data!$H$2371:$H$3999,B234)</f>
        <v>0</v>
      </c>
      <c r="Z234" s="43" t="n">
        <f aca="false">SUMIFS(Data!$Q$2371:$Q$3999,Data!$H$2371:$H$3999,B234)</f>
        <v>0</v>
      </c>
      <c r="AA234" s="48" t="n">
        <f aca="false">V234+U234+O234+N234+K234+F234+E234+P234</f>
        <v>0</v>
      </c>
      <c r="AB234" s="49" t="n">
        <f aca="false">X234+W234+T234+R234+Q234+L234+H234+G234</f>
        <v>3</v>
      </c>
      <c r="AC234" s="49" t="n">
        <f aca="false">Z234+Y234+T234+S234+M234+J234+I234</f>
        <v>0</v>
      </c>
    </row>
    <row r="235" customFormat="false" ht="23.25" hidden="false" customHeight="true" outlineLevel="0" collapsed="false">
      <c r="A235" s="31" t="n">
        <f aca="false">Data!AE234</f>
        <v>1006525</v>
      </c>
      <c r="B235" s="31" t="str">
        <f aca="false">Data!AD234</f>
        <v>معرض الجنوب</v>
      </c>
      <c r="C235" s="31" t="n">
        <f aca="false">Data!AH234</f>
        <v>0</v>
      </c>
      <c r="D235" s="31" t="str">
        <f aca="false">Data!AF234</f>
        <v>تبوك</v>
      </c>
      <c r="E235" s="42" t="n">
        <f aca="false">SUMIFS(Data!$L$2:$L$781,Data!$H$2:$H$781,B235)</f>
        <v>0</v>
      </c>
      <c r="F235" s="43" t="n">
        <f aca="false">SUMIFS(Data!$K$2:$K$781,Data!$H$2:$H$781,B235)</f>
        <v>0</v>
      </c>
      <c r="G235" s="42" t="n">
        <f aca="false">SUMIFS(Data!$L$782:$L$2370,Data!$H$782:$H$2370,B235)</f>
        <v>0</v>
      </c>
      <c r="H235" s="43" t="n">
        <f aca="false">SUMIFS(Data!$K$782:$K$2370,Data!$H$782:$H$2370,B235)</f>
        <v>0</v>
      </c>
      <c r="I235" s="42" t="n">
        <f aca="false">SUMIFS(Data!$L$2371:$L$3999,Data!$H$2371:$H$3999,B235)</f>
        <v>0</v>
      </c>
      <c r="J235" s="43" t="n">
        <f aca="false">SUMIFS(Data!$K$2371:$K$3999,Data!$H$2371:$H$3999,B235)</f>
        <v>0</v>
      </c>
      <c r="K235" s="44" t="n">
        <f aca="false">SUMIFS(Data!$M$2:$M$781,Data!$H$2:$H$781,B235)</f>
        <v>0</v>
      </c>
      <c r="L235" s="42" t="n">
        <f aca="false">SUMIFS(Data!$M$782:$M$2370,Data!$H$782:$H$2370,B235)</f>
        <v>2</v>
      </c>
      <c r="M235" s="42" t="n">
        <f aca="false">SUMIFS(Data!$M$2371:$M$3999,Data!$H$2371:$H$3999,B235)</f>
        <v>0</v>
      </c>
      <c r="N235" s="45" t="n">
        <f aca="false">SUMIFS(Data!$O$2:$O$781,Data!$H$2:$H$781,B235)</f>
        <v>0</v>
      </c>
      <c r="O235" s="43" t="n">
        <f aca="false">SUMIFS(Data!$N$2:$N$781,Data!$H$2:$H$781,B235)</f>
        <v>0</v>
      </c>
      <c r="P235" s="42" t="n">
        <f aca="false">SUMIFS(Data!$P$2:$P$781,Data!$H$2:$H$781,B235)</f>
        <v>0</v>
      </c>
      <c r="Q235" s="43" t="n">
        <f aca="false">SUMIFS(Data!$O$782:$O$2370,Data!$H$782:$H$2370,B235)</f>
        <v>0</v>
      </c>
      <c r="R235" s="43" t="n">
        <f aca="false">SUMIFS(Data!$N$782:$N$2370,Data!$H$782:$H$2370,B235)</f>
        <v>0</v>
      </c>
      <c r="S235" s="43" t="n">
        <f aca="false">SUMIFS(Data!$O$2371:$O$3999,Data!$H$2371:$H$3999,B235)</f>
        <v>0</v>
      </c>
      <c r="T235" s="43" t="n">
        <f aca="false">SUMIFS(Data!$N$2371:$N$3999,Data!$H$2371:$H$3999,B235)</f>
        <v>0</v>
      </c>
      <c r="U235" s="46" t="n">
        <f aca="false">SUMIFS(Data!$R$2:$R$781,Data!$H$2:$H$781,B235)</f>
        <v>0</v>
      </c>
      <c r="V235" s="47" t="n">
        <f aca="false">SUMIFS(Data!$Q$2:$Q$781,Data!$H$2:$H$781,B235)</f>
        <v>0</v>
      </c>
      <c r="W235" s="42" t="n">
        <f aca="false">SUMIFS(Data!$R$782:$R$2370,Data!$H$782:$H$2370,B235)</f>
        <v>0</v>
      </c>
      <c r="X235" s="43" t="n">
        <f aca="false">SUMIFS(Data!$Q$782:$Q$2370,Data!$H$782:$H$2370,B235)</f>
        <v>1</v>
      </c>
      <c r="Y235" s="42" t="n">
        <f aca="false">SUMIFS(Data!$R$2371:$R$3999,Data!$H$2371:$H$3999,B235)</f>
        <v>0</v>
      </c>
      <c r="Z235" s="43" t="n">
        <f aca="false">SUMIFS(Data!$Q$2371:$Q$3999,Data!$H$2371:$H$3999,B235)</f>
        <v>0</v>
      </c>
      <c r="AA235" s="48" t="n">
        <f aca="false">V235+U235+O235+N235+K235+F235+E235+P235</f>
        <v>0</v>
      </c>
      <c r="AB235" s="49" t="n">
        <f aca="false">X235+W235+T235+R235+Q235+L235+H235+G235</f>
        <v>3</v>
      </c>
      <c r="AC235" s="49" t="n">
        <f aca="false">Z235+Y235+T235+S235+M235+J235+I235</f>
        <v>0</v>
      </c>
    </row>
    <row r="236" customFormat="false" ht="23.25" hidden="false" customHeight="true" outlineLevel="0" collapsed="false">
      <c r="A236" s="31" t="n">
        <f aca="false">Data!AE235</f>
        <v>1002861</v>
      </c>
      <c r="B236" s="31" t="str">
        <f aca="false">Data!AD235</f>
        <v>قمة السليمانيه</v>
      </c>
      <c r="C236" s="31" t="n">
        <f aca="false">Data!AH235</f>
        <v>530237392</v>
      </c>
      <c r="D236" s="31" t="str">
        <f aca="false">Data!AF235</f>
        <v>تبوك</v>
      </c>
      <c r="E236" s="42" t="n">
        <f aca="false">SUMIFS(Data!$L$2:$L$781,Data!$H$2:$H$781,B236)</f>
        <v>0</v>
      </c>
      <c r="F236" s="43" t="n">
        <f aca="false">SUMIFS(Data!$K$2:$K$781,Data!$H$2:$H$781,B236)</f>
        <v>0</v>
      </c>
      <c r="G236" s="42" t="n">
        <f aca="false">SUMIFS(Data!$L$782:$L$2370,Data!$H$782:$H$2370,B236)</f>
        <v>2</v>
      </c>
      <c r="H236" s="43" t="n">
        <f aca="false">SUMIFS(Data!$K$782:$K$2370,Data!$H$782:$H$2370,B236)</f>
        <v>23</v>
      </c>
      <c r="I236" s="42" t="n">
        <f aca="false">SUMIFS(Data!$L$2371:$L$3999,Data!$H$2371:$H$3999,B236)</f>
        <v>0</v>
      </c>
      <c r="J236" s="43" t="n">
        <f aca="false">SUMIFS(Data!$K$2371:$K$3999,Data!$H$2371:$H$3999,B236)</f>
        <v>0</v>
      </c>
      <c r="K236" s="44" t="n">
        <f aca="false">SUMIFS(Data!$M$2:$M$781,Data!$H$2:$H$781,B236)</f>
        <v>0</v>
      </c>
      <c r="L236" s="42" t="n">
        <f aca="false">SUMIFS(Data!$M$782:$M$2370,Data!$H$782:$H$2370,B236)</f>
        <v>19</v>
      </c>
      <c r="M236" s="42" t="n">
        <f aca="false">SUMIFS(Data!$M$2371:$M$3999,Data!$H$2371:$H$3999,B236)</f>
        <v>0</v>
      </c>
      <c r="N236" s="45" t="n">
        <f aca="false">SUMIFS(Data!$O$2:$O$781,Data!$H$2:$H$781,B236)</f>
        <v>0</v>
      </c>
      <c r="O236" s="43" t="n">
        <f aca="false">SUMIFS(Data!$N$2:$N$781,Data!$H$2:$H$781,B236)</f>
        <v>0</v>
      </c>
      <c r="P236" s="42" t="n">
        <f aca="false">SUMIFS(Data!$P$2:$P$781,Data!$H$2:$H$781,B236)</f>
        <v>0</v>
      </c>
      <c r="Q236" s="43" t="n">
        <f aca="false">SUMIFS(Data!$O$782:$O$2370,Data!$H$782:$H$2370,B236)</f>
        <v>4</v>
      </c>
      <c r="R236" s="43" t="n">
        <f aca="false">SUMIFS(Data!$N$782:$N$2370,Data!$H$782:$H$2370,B236)</f>
        <v>1</v>
      </c>
      <c r="S236" s="43" t="n">
        <f aca="false">SUMIFS(Data!$O$2371:$O$3999,Data!$H$2371:$H$3999,B236)</f>
        <v>0</v>
      </c>
      <c r="T236" s="43" t="n">
        <f aca="false">SUMIFS(Data!$N$2371:$N$3999,Data!$H$2371:$H$3999,B236)</f>
        <v>0</v>
      </c>
      <c r="U236" s="46" t="n">
        <f aca="false">SUMIFS(Data!$R$2:$R$781,Data!$H$2:$H$781,B236)</f>
        <v>0</v>
      </c>
      <c r="V236" s="47" t="n">
        <f aca="false">SUMIFS(Data!$Q$2:$Q$781,Data!$H$2:$H$781,B236)</f>
        <v>0</v>
      </c>
      <c r="W236" s="42" t="n">
        <f aca="false">SUMIFS(Data!$R$782:$R$2370,Data!$H$782:$H$2370,B236)</f>
        <v>6</v>
      </c>
      <c r="X236" s="43" t="n">
        <f aca="false">SUMIFS(Data!$Q$782:$Q$2370,Data!$H$782:$H$2370,B236)</f>
        <v>7</v>
      </c>
      <c r="Y236" s="42" t="n">
        <f aca="false">SUMIFS(Data!$R$2371:$R$3999,Data!$H$2371:$H$3999,B236)</f>
        <v>0</v>
      </c>
      <c r="Z236" s="43" t="n">
        <f aca="false">SUMIFS(Data!$Q$2371:$Q$3999,Data!$H$2371:$H$3999,B236)</f>
        <v>0</v>
      </c>
      <c r="AA236" s="48" t="n">
        <f aca="false">V236+U236+O236+N236+K236+F236+E236+P236</f>
        <v>0</v>
      </c>
      <c r="AB236" s="49" t="n">
        <f aca="false">X236+W236+T236+R236+Q236+L236+H236+G236</f>
        <v>62</v>
      </c>
      <c r="AC236" s="49" t="n">
        <f aca="false">Z236+Y236+T236+S236+M236+J236+I236</f>
        <v>0</v>
      </c>
    </row>
    <row r="237" customFormat="false" ht="23.25" hidden="false" customHeight="true" outlineLevel="0" collapsed="false">
      <c r="A237" s="31" t="n">
        <f aca="false">Data!AE236</f>
        <v>1006470</v>
      </c>
      <c r="B237" s="31" t="str">
        <f aca="false">Data!AD236</f>
        <v>الصلحي</v>
      </c>
      <c r="C237" s="31" t="n">
        <f aca="false">Data!AH236</f>
        <v>0</v>
      </c>
      <c r="D237" s="31" t="str">
        <f aca="false">Data!AF236</f>
        <v>تبوك</v>
      </c>
      <c r="E237" s="42" t="n">
        <f aca="false">SUMIFS(Data!$L$2:$L$781,Data!$H$2:$H$781,B237)</f>
        <v>0</v>
      </c>
      <c r="F237" s="43" t="n">
        <f aca="false">SUMIFS(Data!$K$2:$K$781,Data!$H$2:$H$781,B237)</f>
        <v>0</v>
      </c>
      <c r="G237" s="42" t="n">
        <f aca="false">SUMIFS(Data!$L$782:$L$2370,Data!$H$782:$H$2370,B237)</f>
        <v>0</v>
      </c>
      <c r="H237" s="43" t="n">
        <f aca="false">SUMIFS(Data!$K$782:$K$2370,Data!$H$782:$H$2370,B237)</f>
        <v>0</v>
      </c>
      <c r="I237" s="42" t="n">
        <f aca="false">SUMIFS(Data!$L$2371:$L$3999,Data!$H$2371:$H$3999,B237)</f>
        <v>0</v>
      </c>
      <c r="J237" s="43" t="n">
        <f aca="false">SUMIFS(Data!$K$2371:$K$3999,Data!$H$2371:$H$3999,B237)</f>
        <v>0</v>
      </c>
      <c r="K237" s="44" t="n">
        <f aca="false">SUMIFS(Data!$M$2:$M$781,Data!$H$2:$H$781,B237)</f>
        <v>0</v>
      </c>
      <c r="L237" s="42" t="n">
        <f aca="false">SUMIFS(Data!$M$782:$M$2370,Data!$H$782:$H$2370,B237)</f>
        <v>0</v>
      </c>
      <c r="M237" s="42" t="n">
        <f aca="false">SUMIFS(Data!$M$2371:$M$3999,Data!$H$2371:$H$3999,B237)</f>
        <v>0</v>
      </c>
      <c r="N237" s="45" t="n">
        <f aca="false">SUMIFS(Data!$O$2:$O$781,Data!$H$2:$H$781,B237)</f>
        <v>0</v>
      </c>
      <c r="O237" s="43" t="n">
        <f aca="false">SUMIFS(Data!$N$2:$N$781,Data!$H$2:$H$781,B237)</f>
        <v>0</v>
      </c>
      <c r="P237" s="42" t="n">
        <f aca="false">SUMIFS(Data!$P$2:$P$781,Data!$H$2:$H$781,B237)</f>
        <v>0</v>
      </c>
      <c r="Q237" s="43" t="n">
        <f aca="false">SUMIFS(Data!$O$782:$O$2370,Data!$H$782:$H$2370,B237)</f>
        <v>0</v>
      </c>
      <c r="R237" s="43" t="n">
        <f aca="false">SUMIFS(Data!$N$782:$N$2370,Data!$H$782:$H$2370,B237)</f>
        <v>0</v>
      </c>
      <c r="S237" s="43" t="n">
        <f aca="false">SUMIFS(Data!$O$2371:$O$3999,Data!$H$2371:$H$3999,B237)</f>
        <v>0</v>
      </c>
      <c r="T237" s="43" t="n">
        <f aca="false">SUMIFS(Data!$N$2371:$N$3999,Data!$H$2371:$H$3999,B237)</f>
        <v>0</v>
      </c>
      <c r="U237" s="46" t="n">
        <f aca="false">SUMIFS(Data!$R$2:$R$781,Data!$H$2:$H$781,B237)</f>
        <v>0</v>
      </c>
      <c r="V237" s="47" t="n">
        <f aca="false">SUMIFS(Data!$Q$2:$Q$781,Data!$H$2:$H$781,B237)</f>
        <v>0</v>
      </c>
      <c r="W237" s="42" t="n">
        <f aca="false">SUMIFS(Data!$R$782:$R$2370,Data!$H$782:$H$2370,B237)</f>
        <v>15</v>
      </c>
      <c r="X237" s="43" t="n">
        <f aca="false">SUMIFS(Data!$Q$782:$Q$2370,Data!$H$782:$H$2370,B237)</f>
        <v>15</v>
      </c>
      <c r="Y237" s="42" t="n">
        <f aca="false">SUMIFS(Data!$R$2371:$R$3999,Data!$H$2371:$H$3999,B237)</f>
        <v>0</v>
      </c>
      <c r="Z237" s="43" t="n">
        <f aca="false">SUMIFS(Data!$Q$2371:$Q$3999,Data!$H$2371:$H$3999,B237)</f>
        <v>0</v>
      </c>
      <c r="AA237" s="48" t="n">
        <f aca="false">V237+U237+O237+N237+K237+F237+E237+P237</f>
        <v>0</v>
      </c>
      <c r="AB237" s="49" t="n">
        <f aca="false">X237+W237+T237+R237+Q237+L237+H237+G237</f>
        <v>30</v>
      </c>
      <c r="AC237" s="49" t="n">
        <f aca="false">Z237+Y237+T237+S237+M237+J237+I237</f>
        <v>0</v>
      </c>
    </row>
    <row r="238" customFormat="false" ht="23.25" hidden="false" customHeight="true" outlineLevel="0" collapsed="false">
      <c r="A238" s="31" t="n">
        <f aca="false">Data!AE237</f>
        <v>1003</v>
      </c>
      <c r="B238" s="31" t="str">
        <f aca="false">Data!AD237</f>
        <v>الترس الذهبي</v>
      </c>
      <c r="C238" s="31" t="n">
        <f aca="false">Data!AH237</f>
        <v>581182282</v>
      </c>
      <c r="D238" s="31" t="str">
        <f aca="false">Data!AF237</f>
        <v>تبوك</v>
      </c>
      <c r="E238" s="42" t="n">
        <f aca="false">SUMIFS(Data!$L$2:$L$781,Data!$H$2:$H$781,B238)</f>
        <v>0</v>
      </c>
      <c r="F238" s="43" t="n">
        <f aca="false">SUMIFS(Data!$K$2:$K$781,Data!$H$2:$H$781,B238)</f>
        <v>0</v>
      </c>
      <c r="G238" s="42" t="n">
        <f aca="false">SUMIFS(Data!$L$782:$L$2370,Data!$H$782:$H$2370,B238)</f>
        <v>0</v>
      </c>
      <c r="H238" s="43" t="n">
        <f aca="false">SUMIFS(Data!$K$782:$K$2370,Data!$H$782:$H$2370,B238)</f>
        <v>3</v>
      </c>
      <c r="I238" s="42" t="n">
        <f aca="false">SUMIFS(Data!$L$2371:$L$3999,Data!$H$2371:$H$3999,B238)</f>
        <v>0</v>
      </c>
      <c r="J238" s="43" t="n">
        <f aca="false">SUMIFS(Data!$K$2371:$K$3999,Data!$H$2371:$H$3999,B238)</f>
        <v>0</v>
      </c>
      <c r="K238" s="44" t="n">
        <f aca="false">SUMIFS(Data!$M$2:$M$781,Data!$H$2:$H$781,B238)</f>
        <v>0</v>
      </c>
      <c r="L238" s="42" t="n">
        <f aca="false">SUMIFS(Data!$M$782:$M$2370,Data!$H$782:$H$2370,B238)</f>
        <v>9</v>
      </c>
      <c r="M238" s="42" t="n">
        <f aca="false">SUMIFS(Data!$M$2371:$M$3999,Data!$H$2371:$H$3999,B238)</f>
        <v>0</v>
      </c>
      <c r="N238" s="45" t="n">
        <f aca="false">SUMIFS(Data!$O$2:$O$781,Data!$H$2:$H$781,B238)</f>
        <v>0</v>
      </c>
      <c r="O238" s="43" t="n">
        <f aca="false">SUMIFS(Data!$N$2:$N$781,Data!$H$2:$H$781,B238)</f>
        <v>0</v>
      </c>
      <c r="P238" s="42" t="n">
        <f aca="false">SUMIFS(Data!$P$2:$P$781,Data!$H$2:$H$781,B238)</f>
        <v>0</v>
      </c>
      <c r="Q238" s="43" t="n">
        <f aca="false">SUMIFS(Data!$O$782:$O$2370,Data!$H$782:$H$2370,B238)</f>
        <v>0</v>
      </c>
      <c r="R238" s="43" t="n">
        <f aca="false">SUMIFS(Data!$N$782:$N$2370,Data!$H$782:$H$2370,B238)</f>
        <v>0</v>
      </c>
      <c r="S238" s="43" t="n">
        <f aca="false">SUMIFS(Data!$O$2371:$O$3999,Data!$H$2371:$H$3999,B238)</f>
        <v>0</v>
      </c>
      <c r="T238" s="43" t="n">
        <f aca="false">SUMIFS(Data!$N$2371:$N$3999,Data!$H$2371:$H$3999,B238)</f>
        <v>0</v>
      </c>
      <c r="U238" s="46" t="n">
        <f aca="false">SUMIFS(Data!$R$2:$R$781,Data!$H$2:$H$781,B238)</f>
        <v>0</v>
      </c>
      <c r="V238" s="47" t="n">
        <f aca="false">SUMIFS(Data!$Q$2:$Q$781,Data!$H$2:$H$781,B238)</f>
        <v>0</v>
      </c>
      <c r="W238" s="42" t="n">
        <f aca="false">SUMIFS(Data!$R$782:$R$2370,Data!$H$782:$H$2370,B238)</f>
        <v>1</v>
      </c>
      <c r="X238" s="43" t="n">
        <f aca="false">SUMIFS(Data!$Q$782:$Q$2370,Data!$H$782:$H$2370,B238)</f>
        <v>6</v>
      </c>
      <c r="Y238" s="42" t="n">
        <f aca="false">SUMIFS(Data!$R$2371:$R$3999,Data!$H$2371:$H$3999,B238)</f>
        <v>0</v>
      </c>
      <c r="Z238" s="43" t="n">
        <f aca="false">SUMIFS(Data!$Q$2371:$Q$3999,Data!$H$2371:$H$3999,B238)</f>
        <v>0</v>
      </c>
      <c r="AA238" s="48" t="n">
        <f aca="false">V238+U238+O238+N238+K238+F238+E238+P238</f>
        <v>0</v>
      </c>
      <c r="AB238" s="49" t="n">
        <f aca="false">X238+W238+T238+R238+Q238+L238+H238+G238</f>
        <v>19</v>
      </c>
      <c r="AC238" s="49" t="n">
        <f aca="false">Z238+Y238+T238+S238+M238+J238+I238</f>
        <v>0</v>
      </c>
    </row>
    <row r="239" customFormat="false" ht="23.25" hidden="false" customHeight="true" outlineLevel="0" collapsed="false">
      <c r="A239" s="31" t="n">
        <f aca="false">Data!AE238</f>
        <v>1006</v>
      </c>
      <c r="B239" s="31" t="str">
        <f aca="false">Data!AD238</f>
        <v>مفتاح التشغيل</v>
      </c>
      <c r="C239" s="31" t="n">
        <f aca="false">Data!AH238</f>
        <v>535308632</v>
      </c>
      <c r="D239" s="31" t="str">
        <f aca="false">Data!AF238</f>
        <v>تبوك</v>
      </c>
      <c r="E239" s="42" t="n">
        <f aca="false">SUMIFS(Data!$L$2:$L$781,Data!$H$2:$H$781,B239)</f>
        <v>0</v>
      </c>
      <c r="F239" s="43" t="n">
        <f aca="false">SUMIFS(Data!$K$2:$K$781,Data!$H$2:$H$781,B239)</f>
        <v>0</v>
      </c>
      <c r="G239" s="42" t="n">
        <f aca="false">SUMIFS(Data!$L$782:$L$2370,Data!$H$782:$H$2370,B239)</f>
        <v>0</v>
      </c>
      <c r="H239" s="43" t="n">
        <f aca="false">SUMIFS(Data!$K$782:$K$2370,Data!$H$782:$H$2370,B239)</f>
        <v>6</v>
      </c>
      <c r="I239" s="42" t="n">
        <f aca="false">SUMIFS(Data!$L$2371:$L$3999,Data!$H$2371:$H$3999,B239)</f>
        <v>0</v>
      </c>
      <c r="J239" s="43" t="n">
        <f aca="false">SUMIFS(Data!$K$2371:$K$3999,Data!$H$2371:$H$3999,B239)</f>
        <v>0</v>
      </c>
      <c r="K239" s="44" t="n">
        <f aca="false">SUMIFS(Data!$M$2:$M$781,Data!$H$2:$H$781,B239)</f>
        <v>0</v>
      </c>
      <c r="L239" s="42" t="n">
        <f aca="false">SUMIFS(Data!$M$782:$M$2370,Data!$H$782:$H$2370,B239)</f>
        <v>7</v>
      </c>
      <c r="M239" s="42" t="n">
        <f aca="false">SUMIFS(Data!$M$2371:$M$3999,Data!$H$2371:$H$3999,B239)</f>
        <v>0</v>
      </c>
      <c r="N239" s="45" t="n">
        <f aca="false">SUMIFS(Data!$O$2:$O$781,Data!$H$2:$H$781,B239)</f>
        <v>0</v>
      </c>
      <c r="O239" s="43" t="n">
        <f aca="false">SUMIFS(Data!$N$2:$N$781,Data!$H$2:$H$781,B239)</f>
        <v>0</v>
      </c>
      <c r="P239" s="42" t="n">
        <f aca="false">SUMIFS(Data!$P$2:$P$781,Data!$H$2:$H$781,B239)</f>
        <v>0</v>
      </c>
      <c r="Q239" s="43" t="n">
        <f aca="false">SUMIFS(Data!$O$782:$O$2370,Data!$H$782:$H$2370,B239)</f>
        <v>0</v>
      </c>
      <c r="R239" s="43" t="n">
        <f aca="false">SUMIFS(Data!$N$782:$N$2370,Data!$H$782:$H$2370,B239)</f>
        <v>0</v>
      </c>
      <c r="S239" s="43" t="n">
        <f aca="false">SUMIFS(Data!$O$2371:$O$3999,Data!$H$2371:$H$3999,B239)</f>
        <v>0</v>
      </c>
      <c r="T239" s="43" t="n">
        <f aca="false">SUMIFS(Data!$N$2371:$N$3999,Data!$H$2371:$H$3999,B239)</f>
        <v>0</v>
      </c>
      <c r="U239" s="46" t="n">
        <f aca="false">SUMIFS(Data!$R$2:$R$781,Data!$H$2:$H$781,B239)</f>
        <v>0</v>
      </c>
      <c r="V239" s="47" t="n">
        <f aca="false">SUMIFS(Data!$Q$2:$Q$781,Data!$H$2:$H$781,B239)</f>
        <v>0</v>
      </c>
      <c r="W239" s="42" t="n">
        <f aca="false">SUMIFS(Data!$R$782:$R$2370,Data!$H$782:$H$2370,B239)</f>
        <v>3</v>
      </c>
      <c r="X239" s="43" t="n">
        <f aca="false">SUMIFS(Data!$Q$782:$Q$2370,Data!$H$782:$H$2370,B239)</f>
        <v>0</v>
      </c>
      <c r="Y239" s="42" t="n">
        <f aca="false">SUMIFS(Data!$R$2371:$R$3999,Data!$H$2371:$H$3999,B239)</f>
        <v>0</v>
      </c>
      <c r="Z239" s="43" t="n">
        <f aca="false">SUMIFS(Data!$Q$2371:$Q$3999,Data!$H$2371:$H$3999,B239)</f>
        <v>0</v>
      </c>
      <c r="AA239" s="48" t="n">
        <f aca="false">V239+U239+O239+N239+K239+F239+E239+P239</f>
        <v>0</v>
      </c>
      <c r="AB239" s="49" t="n">
        <f aca="false">X239+W239+T239+R239+Q239+L239+H239+G239</f>
        <v>16</v>
      </c>
      <c r="AC239" s="49" t="n">
        <f aca="false">Z239+Y239+T239+S239+M239+J239+I239</f>
        <v>0</v>
      </c>
    </row>
    <row r="240" customFormat="false" ht="23.25" hidden="false" customHeight="true" outlineLevel="0" collapsed="false">
      <c r="A240" s="31" t="n">
        <f aca="false">Data!AE239</f>
        <v>1048</v>
      </c>
      <c r="B240" s="31" t="str">
        <f aca="false">Data!AD239</f>
        <v>الاصدار المميز</v>
      </c>
      <c r="C240" s="31" t="n">
        <f aca="false">Data!AH239</f>
        <v>570466969</v>
      </c>
      <c r="D240" s="31" t="str">
        <f aca="false">Data!AF239</f>
        <v>تبوك</v>
      </c>
      <c r="E240" s="42" t="n">
        <f aca="false">SUMIFS(Data!$L$2:$L$781,Data!$H$2:$H$781,B240)</f>
        <v>0</v>
      </c>
      <c r="F240" s="43" t="n">
        <f aca="false">SUMIFS(Data!$K$2:$K$781,Data!$H$2:$H$781,B240)</f>
        <v>0</v>
      </c>
      <c r="G240" s="42" t="n">
        <f aca="false">SUMIFS(Data!$L$782:$L$2370,Data!$H$782:$H$2370,B240)</f>
        <v>0</v>
      </c>
      <c r="H240" s="43" t="n">
        <f aca="false">SUMIFS(Data!$K$782:$K$2370,Data!$H$782:$H$2370,B240)</f>
        <v>0</v>
      </c>
      <c r="I240" s="42" t="n">
        <f aca="false">SUMIFS(Data!$L$2371:$L$3999,Data!$H$2371:$H$3999,B240)</f>
        <v>0</v>
      </c>
      <c r="J240" s="43" t="n">
        <f aca="false">SUMIFS(Data!$K$2371:$K$3999,Data!$H$2371:$H$3999,B240)</f>
        <v>0</v>
      </c>
      <c r="K240" s="44" t="n">
        <f aca="false">SUMIFS(Data!$M$2:$M$781,Data!$H$2:$H$781,B240)</f>
        <v>0</v>
      </c>
      <c r="L240" s="42" t="n">
        <f aca="false">SUMIFS(Data!$M$782:$M$2370,Data!$H$782:$H$2370,B240)</f>
        <v>14</v>
      </c>
      <c r="M240" s="42" t="n">
        <f aca="false">SUMIFS(Data!$M$2371:$M$3999,Data!$H$2371:$H$3999,B240)</f>
        <v>0</v>
      </c>
      <c r="N240" s="45" t="n">
        <f aca="false">SUMIFS(Data!$O$2:$O$781,Data!$H$2:$H$781,B240)</f>
        <v>0</v>
      </c>
      <c r="O240" s="43" t="n">
        <f aca="false">SUMIFS(Data!$N$2:$N$781,Data!$H$2:$H$781,B240)</f>
        <v>0</v>
      </c>
      <c r="P240" s="42" t="n">
        <f aca="false">SUMIFS(Data!$P$2:$P$781,Data!$H$2:$H$781,B240)</f>
        <v>0</v>
      </c>
      <c r="Q240" s="43" t="n">
        <f aca="false">SUMIFS(Data!$O$782:$O$2370,Data!$H$782:$H$2370,B240)</f>
        <v>0</v>
      </c>
      <c r="R240" s="43" t="n">
        <f aca="false">SUMIFS(Data!$N$782:$N$2370,Data!$H$782:$H$2370,B240)</f>
        <v>0</v>
      </c>
      <c r="S240" s="43" t="n">
        <f aca="false">SUMIFS(Data!$O$2371:$O$3999,Data!$H$2371:$H$3999,B240)</f>
        <v>0</v>
      </c>
      <c r="T240" s="43" t="n">
        <f aca="false">SUMIFS(Data!$N$2371:$N$3999,Data!$H$2371:$H$3999,B240)</f>
        <v>0</v>
      </c>
      <c r="U240" s="46" t="n">
        <f aca="false">SUMIFS(Data!$R$2:$R$781,Data!$H$2:$H$781,B240)</f>
        <v>0</v>
      </c>
      <c r="V240" s="47" t="n">
        <f aca="false">SUMIFS(Data!$Q$2:$Q$781,Data!$H$2:$H$781,B240)</f>
        <v>0</v>
      </c>
      <c r="W240" s="42" t="n">
        <f aca="false">SUMIFS(Data!$R$782:$R$2370,Data!$H$782:$H$2370,B240)</f>
        <v>3</v>
      </c>
      <c r="X240" s="43" t="n">
        <f aca="false">SUMIFS(Data!$Q$782:$Q$2370,Data!$H$782:$H$2370,B240)</f>
        <v>9</v>
      </c>
      <c r="Y240" s="42" t="n">
        <f aca="false">SUMIFS(Data!$R$2371:$R$3999,Data!$H$2371:$H$3999,B240)</f>
        <v>0</v>
      </c>
      <c r="Z240" s="43" t="n">
        <f aca="false">SUMIFS(Data!$Q$2371:$Q$3999,Data!$H$2371:$H$3999,B240)</f>
        <v>0</v>
      </c>
      <c r="AA240" s="48" t="n">
        <f aca="false">V240+U240+O240+N240+K240+F240+E240+P240</f>
        <v>0</v>
      </c>
      <c r="AB240" s="49" t="n">
        <f aca="false">X240+W240+T240+R240+Q240+L240+H240+G240</f>
        <v>26</v>
      </c>
      <c r="AC240" s="49" t="n">
        <f aca="false">Z240+Y240+T240+S240+M240+J240+I240</f>
        <v>0</v>
      </c>
    </row>
    <row r="241" customFormat="false" ht="23.25" hidden="false" customHeight="true" outlineLevel="0" collapsed="false">
      <c r="A241" s="31" t="n">
        <f aca="false">Data!AE240</f>
        <v>993</v>
      </c>
      <c r="B241" s="31" t="str">
        <f aca="false">Data!AD240</f>
        <v>عالم الزيوت والاطارات</v>
      </c>
      <c r="C241" s="31" t="n">
        <f aca="false">Data!AH240</f>
        <v>0</v>
      </c>
      <c r="D241" s="31" t="str">
        <f aca="false">Data!AF240</f>
        <v>تبوك</v>
      </c>
      <c r="E241" s="42" t="n">
        <f aca="false">SUMIFS(Data!$L$2:$L$781,Data!$H$2:$H$781,B241)</f>
        <v>0</v>
      </c>
      <c r="F241" s="43" t="n">
        <f aca="false">SUMIFS(Data!$K$2:$K$781,Data!$H$2:$H$781,B241)</f>
        <v>0</v>
      </c>
      <c r="G241" s="42" t="n">
        <f aca="false">SUMIFS(Data!$L$782:$L$2370,Data!$H$782:$H$2370,B241)</f>
        <v>0</v>
      </c>
      <c r="H241" s="43" t="n">
        <f aca="false">SUMIFS(Data!$K$782:$K$2370,Data!$H$782:$H$2370,B241)</f>
        <v>0</v>
      </c>
      <c r="I241" s="42" t="n">
        <f aca="false">SUMIFS(Data!$L$2371:$L$3999,Data!$H$2371:$H$3999,B241)</f>
        <v>0</v>
      </c>
      <c r="J241" s="43" t="n">
        <f aca="false">SUMIFS(Data!$K$2371:$K$3999,Data!$H$2371:$H$3999,B241)</f>
        <v>0</v>
      </c>
      <c r="K241" s="44" t="n">
        <f aca="false">SUMIFS(Data!$M$2:$M$781,Data!$H$2:$H$781,B241)</f>
        <v>0</v>
      </c>
      <c r="L241" s="42" t="n">
        <f aca="false">SUMIFS(Data!$M$782:$M$2370,Data!$H$782:$H$2370,B241)</f>
        <v>1</v>
      </c>
      <c r="M241" s="42" t="n">
        <f aca="false">SUMIFS(Data!$M$2371:$M$3999,Data!$H$2371:$H$3999,B241)</f>
        <v>0</v>
      </c>
      <c r="N241" s="45" t="n">
        <f aca="false">SUMIFS(Data!$O$2:$O$781,Data!$H$2:$H$781,B241)</f>
        <v>0</v>
      </c>
      <c r="O241" s="43" t="n">
        <f aca="false">SUMIFS(Data!$N$2:$N$781,Data!$H$2:$H$781,B241)</f>
        <v>0</v>
      </c>
      <c r="P241" s="42" t="n">
        <f aca="false">SUMIFS(Data!$P$2:$P$781,Data!$H$2:$H$781,B241)</f>
        <v>0</v>
      </c>
      <c r="Q241" s="43" t="n">
        <f aca="false">SUMIFS(Data!$O$782:$O$2370,Data!$H$782:$H$2370,B241)</f>
        <v>0</v>
      </c>
      <c r="R241" s="43" t="n">
        <f aca="false">SUMIFS(Data!$N$782:$N$2370,Data!$H$782:$H$2370,B241)</f>
        <v>0</v>
      </c>
      <c r="S241" s="43" t="n">
        <f aca="false">SUMIFS(Data!$O$2371:$O$3999,Data!$H$2371:$H$3999,B241)</f>
        <v>0</v>
      </c>
      <c r="T241" s="43" t="n">
        <f aca="false">SUMIFS(Data!$N$2371:$N$3999,Data!$H$2371:$H$3999,B241)</f>
        <v>0</v>
      </c>
      <c r="U241" s="46" t="n">
        <f aca="false">SUMIFS(Data!$R$2:$R$781,Data!$H$2:$H$781,B241)</f>
        <v>0</v>
      </c>
      <c r="V241" s="47" t="n">
        <f aca="false">SUMIFS(Data!$Q$2:$Q$781,Data!$H$2:$H$781,B241)</f>
        <v>0</v>
      </c>
      <c r="W241" s="42" t="n">
        <f aca="false">SUMIFS(Data!$R$782:$R$2370,Data!$H$782:$H$2370,B241)</f>
        <v>0</v>
      </c>
      <c r="X241" s="43" t="n">
        <f aca="false">SUMIFS(Data!$Q$782:$Q$2370,Data!$H$782:$H$2370,B241)</f>
        <v>0</v>
      </c>
      <c r="Y241" s="42" t="n">
        <f aca="false">SUMIFS(Data!$R$2371:$R$3999,Data!$H$2371:$H$3999,B241)</f>
        <v>0</v>
      </c>
      <c r="Z241" s="43" t="n">
        <f aca="false">SUMIFS(Data!$Q$2371:$Q$3999,Data!$H$2371:$H$3999,B241)</f>
        <v>0</v>
      </c>
      <c r="AA241" s="48" t="n">
        <f aca="false">V241+U241+O241+N241+K241+F241+E241+P241</f>
        <v>0</v>
      </c>
      <c r="AB241" s="49" t="n">
        <f aca="false">X241+W241+T241+R241+Q241+L241+H241+G241</f>
        <v>1</v>
      </c>
      <c r="AC241" s="49" t="n">
        <f aca="false">Z241+Y241+T241+S241+M241+J241+I241</f>
        <v>0</v>
      </c>
    </row>
    <row r="242" customFormat="false" ht="23.25" hidden="false" customHeight="true" outlineLevel="0" collapsed="false">
      <c r="A242" s="31" t="n">
        <f aca="false">Data!AE241</f>
        <v>1002921</v>
      </c>
      <c r="B242" s="31" t="str">
        <f aca="false">Data!AD241</f>
        <v>نجمة تبوك</v>
      </c>
      <c r="C242" s="31" t="n">
        <f aca="false">Data!AH241</f>
        <v>0</v>
      </c>
      <c r="D242" s="31" t="str">
        <f aca="false">Data!AF241</f>
        <v>تبوك</v>
      </c>
      <c r="E242" s="42" t="n">
        <f aca="false">SUMIFS(Data!$L$2:$L$781,Data!$H$2:$H$781,B242)</f>
        <v>0</v>
      </c>
      <c r="F242" s="43" t="n">
        <f aca="false">SUMIFS(Data!$K$2:$K$781,Data!$H$2:$H$781,B242)</f>
        <v>0</v>
      </c>
      <c r="G242" s="42" t="n">
        <f aca="false">SUMIFS(Data!$L$782:$L$2370,Data!$H$782:$H$2370,B242)</f>
        <v>0</v>
      </c>
      <c r="H242" s="43" t="n">
        <f aca="false">SUMIFS(Data!$K$782:$K$2370,Data!$H$782:$H$2370,B242)</f>
        <v>3</v>
      </c>
      <c r="I242" s="42" t="n">
        <f aca="false">SUMIFS(Data!$L$2371:$L$3999,Data!$H$2371:$H$3999,B242)</f>
        <v>0</v>
      </c>
      <c r="J242" s="43" t="n">
        <f aca="false">SUMIFS(Data!$K$2371:$K$3999,Data!$H$2371:$H$3999,B242)</f>
        <v>0</v>
      </c>
      <c r="K242" s="44" t="n">
        <f aca="false">SUMIFS(Data!$M$2:$M$781,Data!$H$2:$H$781,B242)</f>
        <v>0</v>
      </c>
      <c r="L242" s="42" t="n">
        <f aca="false">SUMIFS(Data!$M$782:$M$2370,Data!$H$782:$H$2370,B242)</f>
        <v>1</v>
      </c>
      <c r="M242" s="42" t="n">
        <f aca="false">SUMIFS(Data!$M$2371:$M$3999,Data!$H$2371:$H$3999,B242)</f>
        <v>0</v>
      </c>
      <c r="N242" s="45" t="n">
        <f aca="false">SUMIFS(Data!$O$2:$O$781,Data!$H$2:$H$781,B242)</f>
        <v>0</v>
      </c>
      <c r="O242" s="43" t="n">
        <f aca="false">SUMIFS(Data!$N$2:$N$781,Data!$H$2:$H$781,B242)</f>
        <v>0</v>
      </c>
      <c r="P242" s="42" t="n">
        <f aca="false">SUMIFS(Data!$P$2:$P$781,Data!$H$2:$H$781,B242)</f>
        <v>0</v>
      </c>
      <c r="Q242" s="43" t="n">
        <f aca="false">SUMIFS(Data!$O$782:$O$2370,Data!$H$782:$H$2370,B242)</f>
        <v>0</v>
      </c>
      <c r="R242" s="43" t="n">
        <f aca="false">SUMIFS(Data!$N$782:$N$2370,Data!$H$782:$H$2370,B242)</f>
        <v>0</v>
      </c>
      <c r="S242" s="43" t="n">
        <f aca="false">SUMIFS(Data!$O$2371:$O$3999,Data!$H$2371:$H$3999,B242)</f>
        <v>0</v>
      </c>
      <c r="T242" s="43" t="n">
        <f aca="false">SUMIFS(Data!$N$2371:$N$3999,Data!$H$2371:$H$3999,B242)</f>
        <v>0</v>
      </c>
      <c r="U242" s="46" t="n">
        <f aca="false">SUMIFS(Data!$R$2:$R$781,Data!$H$2:$H$781,B242)</f>
        <v>0</v>
      </c>
      <c r="V242" s="47" t="n">
        <f aca="false">SUMIFS(Data!$Q$2:$Q$781,Data!$H$2:$H$781,B242)</f>
        <v>0</v>
      </c>
      <c r="W242" s="42" t="n">
        <f aca="false">SUMIFS(Data!$R$782:$R$2370,Data!$H$782:$H$2370,B242)</f>
        <v>0</v>
      </c>
      <c r="X242" s="43" t="n">
        <f aca="false">SUMIFS(Data!$Q$782:$Q$2370,Data!$H$782:$H$2370,B242)</f>
        <v>1</v>
      </c>
      <c r="Y242" s="42" t="n">
        <f aca="false">SUMIFS(Data!$R$2371:$R$3999,Data!$H$2371:$H$3999,B242)</f>
        <v>0</v>
      </c>
      <c r="Z242" s="43" t="n">
        <f aca="false">SUMIFS(Data!$Q$2371:$Q$3999,Data!$H$2371:$H$3999,B242)</f>
        <v>0</v>
      </c>
      <c r="AA242" s="48" t="n">
        <f aca="false">V242+U242+O242+N242+K242+F242+E242+P242</f>
        <v>0</v>
      </c>
      <c r="AB242" s="49" t="n">
        <f aca="false">X242+W242+T242+R242+Q242+L242+H242+G242</f>
        <v>5</v>
      </c>
      <c r="AC242" s="49" t="n">
        <f aca="false">Z242+Y242+T242+S242+M242+J242+I242</f>
        <v>0</v>
      </c>
    </row>
    <row r="243" customFormat="false" ht="23.25" hidden="false" customHeight="true" outlineLevel="0" collapsed="false">
      <c r="A243" s="31" t="n">
        <f aca="false">Data!AE242</f>
        <v>1006469</v>
      </c>
      <c r="B243" s="31" t="str">
        <f aca="false">Data!AD242</f>
        <v>خالد الجوهي</v>
      </c>
      <c r="C243" s="31" t="n">
        <f aca="false">Data!AH242</f>
        <v>0</v>
      </c>
      <c r="D243" s="31" t="str">
        <f aca="false">Data!AF242</f>
        <v>تبوك</v>
      </c>
      <c r="E243" s="42" t="n">
        <f aca="false">SUMIFS(Data!$L$2:$L$781,Data!$H$2:$H$781,B243)</f>
        <v>0</v>
      </c>
      <c r="F243" s="43" t="n">
        <f aca="false">SUMIFS(Data!$K$2:$K$781,Data!$H$2:$H$781,B243)</f>
        <v>0</v>
      </c>
      <c r="G243" s="42" t="n">
        <f aca="false">SUMIFS(Data!$L$782:$L$2370,Data!$H$782:$H$2370,B243)</f>
        <v>0</v>
      </c>
      <c r="H243" s="43" t="n">
        <f aca="false">SUMIFS(Data!$K$782:$K$2370,Data!$H$782:$H$2370,B243)</f>
        <v>0</v>
      </c>
      <c r="I243" s="42" t="n">
        <f aca="false">SUMIFS(Data!$L$2371:$L$3999,Data!$H$2371:$H$3999,B243)</f>
        <v>0</v>
      </c>
      <c r="J243" s="43" t="n">
        <f aca="false">SUMIFS(Data!$K$2371:$K$3999,Data!$H$2371:$H$3999,B243)</f>
        <v>0</v>
      </c>
      <c r="K243" s="44" t="n">
        <f aca="false">SUMIFS(Data!$M$2:$M$781,Data!$H$2:$H$781,B243)</f>
        <v>0</v>
      </c>
      <c r="L243" s="42" t="n">
        <f aca="false">SUMIFS(Data!$M$782:$M$2370,Data!$H$782:$H$2370,B243)</f>
        <v>0</v>
      </c>
      <c r="M243" s="42" t="n">
        <f aca="false">SUMIFS(Data!$M$2371:$M$3999,Data!$H$2371:$H$3999,B243)</f>
        <v>0</v>
      </c>
      <c r="N243" s="45" t="n">
        <f aca="false">SUMIFS(Data!$O$2:$O$781,Data!$H$2:$H$781,B243)</f>
        <v>0</v>
      </c>
      <c r="O243" s="43" t="n">
        <f aca="false">SUMIFS(Data!$N$2:$N$781,Data!$H$2:$H$781,B243)</f>
        <v>20</v>
      </c>
      <c r="P243" s="42" t="n">
        <f aca="false">SUMIFS(Data!$P$2:$P$781,Data!$H$2:$H$781,B243)</f>
        <v>0</v>
      </c>
      <c r="Q243" s="43" t="n">
        <f aca="false">SUMIFS(Data!$O$782:$O$2370,Data!$H$782:$H$2370,B243)</f>
        <v>0</v>
      </c>
      <c r="R243" s="43" t="n">
        <f aca="false">SUMIFS(Data!$N$782:$N$2370,Data!$H$782:$H$2370,B243)</f>
        <v>21</v>
      </c>
      <c r="S243" s="43" t="n">
        <f aca="false">SUMIFS(Data!$O$2371:$O$3999,Data!$H$2371:$H$3999,B243)</f>
        <v>0</v>
      </c>
      <c r="T243" s="43" t="n">
        <f aca="false">SUMIFS(Data!$N$2371:$N$3999,Data!$H$2371:$H$3999,B243)</f>
        <v>0</v>
      </c>
      <c r="U243" s="46" t="n">
        <f aca="false">SUMIFS(Data!$R$2:$R$781,Data!$H$2:$H$781,B243)</f>
        <v>0</v>
      </c>
      <c r="V243" s="47" t="n">
        <f aca="false">SUMIFS(Data!$Q$2:$Q$781,Data!$H$2:$H$781,B243)</f>
        <v>0</v>
      </c>
      <c r="W243" s="42" t="n">
        <f aca="false">SUMIFS(Data!$R$782:$R$2370,Data!$H$782:$H$2370,B243)</f>
        <v>0</v>
      </c>
      <c r="X243" s="43" t="n">
        <f aca="false">SUMIFS(Data!$Q$782:$Q$2370,Data!$H$782:$H$2370,B243)</f>
        <v>0</v>
      </c>
      <c r="Y243" s="42" t="n">
        <f aca="false">SUMIFS(Data!$R$2371:$R$3999,Data!$H$2371:$H$3999,B243)</f>
        <v>0</v>
      </c>
      <c r="Z243" s="43" t="n">
        <f aca="false">SUMIFS(Data!$Q$2371:$Q$3999,Data!$H$2371:$H$3999,B243)</f>
        <v>0</v>
      </c>
      <c r="AA243" s="48" t="n">
        <f aca="false">V243+U243+O243+N243+K243+F243+E243+P243</f>
        <v>20</v>
      </c>
      <c r="AB243" s="49" t="n">
        <f aca="false">X243+W243+T243+R243+Q243+L243+H243+G243</f>
        <v>21</v>
      </c>
      <c r="AC243" s="49" t="n">
        <f aca="false">Z243+Y243+T243+S243+M243+J243+I243</f>
        <v>0</v>
      </c>
    </row>
    <row r="244" customFormat="false" ht="23.25" hidden="false" customHeight="true" outlineLevel="0" collapsed="false">
      <c r="A244" s="31" t="n">
        <f aca="false">Data!AE243</f>
        <v>1002856</v>
      </c>
      <c r="B244" s="31" t="str">
        <f aca="false">Data!AD243</f>
        <v>عبيد البلوي</v>
      </c>
      <c r="C244" s="31" t="n">
        <f aca="false">Data!AH243</f>
        <v>0</v>
      </c>
      <c r="D244" s="31" t="str">
        <f aca="false">Data!AF243</f>
        <v>تبوك</v>
      </c>
      <c r="E244" s="42" t="n">
        <f aca="false">SUMIFS(Data!$L$2:$L$781,Data!$H$2:$H$781,B244)</f>
        <v>0</v>
      </c>
      <c r="F244" s="43" t="n">
        <f aca="false">SUMIFS(Data!$K$2:$K$781,Data!$H$2:$H$781,B244)</f>
        <v>0</v>
      </c>
      <c r="G244" s="42" t="n">
        <f aca="false">SUMIFS(Data!$L$782:$L$2370,Data!$H$782:$H$2370,B244)</f>
        <v>0</v>
      </c>
      <c r="H244" s="43" t="n">
        <f aca="false">SUMIFS(Data!$K$782:$K$2370,Data!$H$782:$H$2370,B244)</f>
        <v>0</v>
      </c>
      <c r="I244" s="42" t="n">
        <f aca="false">SUMIFS(Data!$L$2371:$L$3999,Data!$H$2371:$H$3999,B244)</f>
        <v>0</v>
      </c>
      <c r="J244" s="43" t="n">
        <f aca="false">SUMIFS(Data!$K$2371:$K$3999,Data!$H$2371:$H$3999,B244)</f>
        <v>0</v>
      </c>
      <c r="K244" s="44" t="n">
        <f aca="false">SUMIFS(Data!$M$2:$M$781,Data!$H$2:$H$781,B244)</f>
        <v>0</v>
      </c>
      <c r="L244" s="42" t="n">
        <f aca="false">SUMIFS(Data!$M$782:$M$2370,Data!$H$782:$H$2370,B244)</f>
        <v>2</v>
      </c>
      <c r="M244" s="42" t="n">
        <f aca="false">SUMIFS(Data!$M$2371:$M$3999,Data!$H$2371:$H$3999,B244)</f>
        <v>0</v>
      </c>
      <c r="N244" s="45" t="n">
        <f aca="false">SUMIFS(Data!$O$2:$O$781,Data!$H$2:$H$781,B244)</f>
        <v>0</v>
      </c>
      <c r="O244" s="43" t="n">
        <f aca="false">SUMIFS(Data!$N$2:$N$781,Data!$H$2:$H$781,B244)</f>
        <v>0</v>
      </c>
      <c r="P244" s="42" t="n">
        <f aca="false">SUMIFS(Data!$P$2:$P$781,Data!$H$2:$H$781,B244)</f>
        <v>0</v>
      </c>
      <c r="Q244" s="43" t="n">
        <f aca="false">SUMIFS(Data!$O$782:$O$2370,Data!$H$782:$H$2370,B244)</f>
        <v>0</v>
      </c>
      <c r="R244" s="43" t="n">
        <f aca="false">SUMIFS(Data!$N$782:$N$2370,Data!$H$782:$H$2370,B244)</f>
        <v>0</v>
      </c>
      <c r="S244" s="43" t="n">
        <f aca="false">SUMIFS(Data!$O$2371:$O$3999,Data!$H$2371:$H$3999,B244)</f>
        <v>0</v>
      </c>
      <c r="T244" s="43" t="n">
        <f aca="false">SUMIFS(Data!$N$2371:$N$3999,Data!$H$2371:$H$3999,B244)</f>
        <v>0</v>
      </c>
      <c r="U244" s="46" t="n">
        <f aca="false">SUMIFS(Data!$R$2:$R$781,Data!$H$2:$H$781,B244)</f>
        <v>0</v>
      </c>
      <c r="V244" s="47" t="n">
        <f aca="false">SUMIFS(Data!$Q$2:$Q$781,Data!$H$2:$H$781,B244)</f>
        <v>0</v>
      </c>
      <c r="W244" s="42" t="n">
        <f aca="false">SUMIFS(Data!$R$782:$R$2370,Data!$H$782:$H$2370,B244)</f>
        <v>0</v>
      </c>
      <c r="X244" s="43" t="n">
        <f aca="false">SUMIFS(Data!$Q$782:$Q$2370,Data!$H$782:$H$2370,B244)</f>
        <v>1</v>
      </c>
      <c r="Y244" s="42" t="n">
        <f aca="false">SUMIFS(Data!$R$2371:$R$3999,Data!$H$2371:$H$3999,B244)</f>
        <v>0</v>
      </c>
      <c r="Z244" s="43" t="n">
        <f aca="false">SUMIFS(Data!$Q$2371:$Q$3999,Data!$H$2371:$H$3999,B244)</f>
        <v>0</v>
      </c>
      <c r="AA244" s="48" t="n">
        <f aca="false">V244+U244+O244+N244+K244+F244+E244+P244</f>
        <v>0</v>
      </c>
      <c r="AB244" s="49" t="n">
        <f aca="false">X244+W244+T244+R244+Q244+L244+H244+G244</f>
        <v>3</v>
      </c>
      <c r="AC244" s="49" t="n">
        <f aca="false">Z244+Y244+T244+S244+M244+J244+I244</f>
        <v>0</v>
      </c>
    </row>
    <row r="245" customFormat="false" ht="23.25" hidden="false" customHeight="true" outlineLevel="0" collapsed="false">
      <c r="A245" s="31" t="n">
        <f aca="false">Data!AE244</f>
        <v>860</v>
      </c>
      <c r="B245" s="31" t="str">
        <f aca="false">Data!AD244</f>
        <v>الدره الشماليه</v>
      </c>
      <c r="C245" s="31" t="n">
        <f aca="false">Data!AH244</f>
        <v>0</v>
      </c>
      <c r="D245" s="31" t="str">
        <f aca="false">Data!AF244</f>
        <v>تبوك</v>
      </c>
      <c r="E245" s="42" t="n">
        <f aca="false">SUMIFS(Data!$L$2:$L$781,Data!$H$2:$H$781,B245)</f>
        <v>0</v>
      </c>
      <c r="F245" s="43" t="n">
        <f aca="false">SUMIFS(Data!$K$2:$K$781,Data!$H$2:$H$781,B245)</f>
        <v>0</v>
      </c>
      <c r="G245" s="42" t="n">
        <f aca="false">SUMIFS(Data!$L$782:$L$2370,Data!$H$782:$H$2370,B245)</f>
        <v>0</v>
      </c>
      <c r="H245" s="43" t="n">
        <f aca="false">SUMIFS(Data!$K$782:$K$2370,Data!$H$782:$H$2370,B245)</f>
        <v>6</v>
      </c>
      <c r="I245" s="42" t="n">
        <f aca="false">SUMIFS(Data!$L$2371:$L$3999,Data!$H$2371:$H$3999,B245)</f>
        <v>0</v>
      </c>
      <c r="J245" s="43" t="n">
        <f aca="false">SUMIFS(Data!$K$2371:$K$3999,Data!$H$2371:$H$3999,B245)</f>
        <v>0</v>
      </c>
      <c r="K245" s="44" t="n">
        <f aca="false">SUMIFS(Data!$M$2:$M$781,Data!$H$2:$H$781,B245)</f>
        <v>0</v>
      </c>
      <c r="L245" s="42" t="n">
        <f aca="false">SUMIFS(Data!$M$782:$M$2370,Data!$H$782:$H$2370,B245)</f>
        <v>0</v>
      </c>
      <c r="M245" s="42" t="n">
        <f aca="false">SUMIFS(Data!$M$2371:$M$3999,Data!$H$2371:$H$3999,B245)</f>
        <v>0</v>
      </c>
      <c r="N245" s="45" t="n">
        <f aca="false">SUMIFS(Data!$O$2:$O$781,Data!$H$2:$H$781,B245)</f>
        <v>0</v>
      </c>
      <c r="O245" s="43" t="n">
        <f aca="false">SUMIFS(Data!$N$2:$N$781,Data!$H$2:$H$781,B245)</f>
        <v>0</v>
      </c>
      <c r="P245" s="42" t="n">
        <f aca="false">SUMIFS(Data!$P$2:$P$781,Data!$H$2:$H$781,B245)</f>
        <v>0</v>
      </c>
      <c r="Q245" s="43" t="n">
        <f aca="false">SUMIFS(Data!$O$782:$O$2370,Data!$H$782:$H$2370,B245)</f>
        <v>0</v>
      </c>
      <c r="R245" s="43" t="n">
        <f aca="false">SUMIFS(Data!$N$782:$N$2370,Data!$H$782:$H$2370,B245)</f>
        <v>6</v>
      </c>
      <c r="S245" s="43" t="n">
        <f aca="false">SUMIFS(Data!$O$2371:$O$3999,Data!$H$2371:$H$3999,B245)</f>
        <v>0</v>
      </c>
      <c r="T245" s="43" t="n">
        <f aca="false">SUMIFS(Data!$N$2371:$N$3999,Data!$H$2371:$H$3999,B245)</f>
        <v>0</v>
      </c>
      <c r="U245" s="46" t="n">
        <f aca="false">SUMIFS(Data!$R$2:$R$781,Data!$H$2:$H$781,B245)</f>
        <v>0</v>
      </c>
      <c r="V245" s="47" t="n">
        <f aca="false">SUMIFS(Data!$Q$2:$Q$781,Data!$H$2:$H$781,B245)</f>
        <v>0</v>
      </c>
      <c r="W245" s="42" t="n">
        <f aca="false">SUMIFS(Data!$R$782:$R$2370,Data!$H$782:$H$2370,B245)</f>
        <v>0</v>
      </c>
      <c r="X245" s="43" t="n">
        <f aca="false">SUMIFS(Data!$Q$782:$Q$2370,Data!$H$782:$H$2370,B245)</f>
        <v>0</v>
      </c>
      <c r="Y245" s="42" t="n">
        <f aca="false">SUMIFS(Data!$R$2371:$R$3999,Data!$H$2371:$H$3999,B245)</f>
        <v>0</v>
      </c>
      <c r="Z245" s="43" t="n">
        <f aca="false">SUMIFS(Data!$Q$2371:$Q$3999,Data!$H$2371:$H$3999,B245)</f>
        <v>0</v>
      </c>
      <c r="AA245" s="48" t="n">
        <f aca="false">V245+U245+O245+N245+K245+F245+E245+P245</f>
        <v>0</v>
      </c>
      <c r="AB245" s="49" t="n">
        <f aca="false">X245+W245+T245+R245+Q245+L245+H245+G245</f>
        <v>12</v>
      </c>
      <c r="AC245" s="49" t="n">
        <f aca="false">Z245+Y245+T245+S245+M245+J245+I245</f>
        <v>0</v>
      </c>
    </row>
    <row r="246" customFormat="false" ht="23.25" hidden="false" customHeight="true" outlineLevel="0" collapsed="false">
      <c r="A246" s="31" t="n">
        <f aca="false">Data!AE245</f>
        <v>1007961</v>
      </c>
      <c r="B246" s="31" t="str">
        <f aca="false">Data!AD245</f>
        <v>التفوق</v>
      </c>
      <c r="C246" s="31" t="n">
        <f aca="false">Data!AH245</f>
        <v>0</v>
      </c>
      <c r="D246" s="31" t="str">
        <f aca="false">Data!AF245</f>
        <v>البير</v>
      </c>
      <c r="E246" s="42" t="n">
        <f aca="false">SUMIFS(Data!$L$2:$L$781,Data!$H$2:$H$781,B246)</f>
        <v>0</v>
      </c>
      <c r="F246" s="43" t="n">
        <f aca="false">SUMIFS(Data!$K$2:$K$781,Data!$H$2:$H$781,B246)</f>
        <v>0</v>
      </c>
      <c r="G246" s="42" t="n">
        <f aca="false">SUMIFS(Data!$L$782:$L$2370,Data!$H$782:$H$2370,B246)</f>
        <v>0</v>
      </c>
      <c r="H246" s="43" t="n">
        <f aca="false">SUMIFS(Data!$K$782:$K$2370,Data!$H$782:$H$2370,B246)</f>
        <v>0</v>
      </c>
      <c r="I246" s="42" t="n">
        <f aca="false">SUMIFS(Data!$L$2371:$L$3999,Data!$H$2371:$H$3999,B246)</f>
        <v>0</v>
      </c>
      <c r="J246" s="43" t="n">
        <f aca="false">SUMIFS(Data!$K$2371:$K$3999,Data!$H$2371:$H$3999,B246)</f>
        <v>0</v>
      </c>
      <c r="K246" s="44" t="n">
        <f aca="false">SUMIFS(Data!$M$2:$M$781,Data!$H$2:$H$781,B246)</f>
        <v>0</v>
      </c>
      <c r="L246" s="42" t="n">
        <f aca="false">SUMIFS(Data!$M$782:$M$2370,Data!$H$782:$H$2370,B246)</f>
        <v>1</v>
      </c>
      <c r="M246" s="42" t="n">
        <f aca="false">SUMIFS(Data!$M$2371:$M$3999,Data!$H$2371:$H$3999,B246)</f>
        <v>0</v>
      </c>
      <c r="N246" s="45" t="n">
        <f aca="false">SUMIFS(Data!$O$2:$O$781,Data!$H$2:$H$781,B246)</f>
        <v>0</v>
      </c>
      <c r="O246" s="43" t="n">
        <f aca="false">SUMIFS(Data!$N$2:$N$781,Data!$H$2:$H$781,B246)</f>
        <v>0</v>
      </c>
      <c r="P246" s="42" t="n">
        <f aca="false">SUMIFS(Data!$P$2:$P$781,Data!$H$2:$H$781,B246)</f>
        <v>0</v>
      </c>
      <c r="Q246" s="43" t="n">
        <f aca="false">SUMIFS(Data!$O$782:$O$2370,Data!$H$782:$H$2370,B246)</f>
        <v>0</v>
      </c>
      <c r="R246" s="43" t="n">
        <f aca="false">SUMIFS(Data!$N$782:$N$2370,Data!$H$782:$H$2370,B246)</f>
        <v>0</v>
      </c>
      <c r="S246" s="43" t="n">
        <f aca="false">SUMIFS(Data!$O$2371:$O$3999,Data!$H$2371:$H$3999,B246)</f>
        <v>0</v>
      </c>
      <c r="T246" s="43" t="n">
        <f aca="false">SUMIFS(Data!$N$2371:$N$3999,Data!$H$2371:$H$3999,B246)</f>
        <v>0</v>
      </c>
      <c r="U246" s="46" t="n">
        <f aca="false">SUMIFS(Data!$R$2:$R$781,Data!$H$2:$H$781,B246)</f>
        <v>0</v>
      </c>
      <c r="V246" s="47" t="n">
        <f aca="false">SUMIFS(Data!$Q$2:$Q$781,Data!$H$2:$H$781,B246)</f>
        <v>1</v>
      </c>
      <c r="W246" s="42" t="n">
        <f aca="false">SUMIFS(Data!$R$782:$R$2370,Data!$H$782:$H$2370,B246)</f>
        <v>1</v>
      </c>
      <c r="X246" s="43" t="n">
        <f aca="false">SUMIFS(Data!$Q$782:$Q$2370,Data!$H$782:$H$2370,B246)</f>
        <v>1</v>
      </c>
      <c r="Y246" s="42" t="n">
        <f aca="false">SUMIFS(Data!$R$2371:$R$3999,Data!$H$2371:$H$3999,B246)</f>
        <v>0</v>
      </c>
      <c r="Z246" s="43" t="n">
        <f aca="false">SUMIFS(Data!$Q$2371:$Q$3999,Data!$H$2371:$H$3999,B246)</f>
        <v>0</v>
      </c>
      <c r="AA246" s="48" t="n">
        <f aca="false">V246+U246+O246+N246+K246+F246+E246+P246</f>
        <v>1</v>
      </c>
      <c r="AB246" s="49" t="n">
        <f aca="false">X246+W246+T246+R246+Q246+L246+H246+G246</f>
        <v>3</v>
      </c>
      <c r="AC246" s="49" t="n">
        <f aca="false">Z246+Y246+T246+S246+M246+J246+I246</f>
        <v>0</v>
      </c>
    </row>
    <row r="247" customFormat="false" ht="23.25" hidden="false" customHeight="true" outlineLevel="0" collapsed="false">
      <c r="A247" s="31" t="n">
        <f aca="false">Data!AE246</f>
        <v>1007962</v>
      </c>
      <c r="B247" s="31" t="str">
        <f aca="false">Data!AD246</f>
        <v>سرعة نجد</v>
      </c>
      <c r="C247" s="31" t="n">
        <f aca="false">Data!AH246</f>
        <v>0</v>
      </c>
      <c r="D247" s="31" t="str">
        <f aca="false">Data!AF246</f>
        <v>البير</v>
      </c>
      <c r="E247" s="42" t="n">
        <f aca="false">SUMIFS(Data!$L$2:$L$781,Data!$H$2:$H$781,B247)</f>
        <v>0</v>
      </c>
      <c r="F247" s="43" t="n">
        <f aca="false">SUMIFS(Data!$K$2:$K$781,Data!$H$2:$H$781,B247)</f>
        <v>0</v>
      </c>
      <c r="G247" s="42" t="n">
        <f aca="false">SUMIFS(Data!$L$782:$L$2370,Data!$H$782:$H$2370,B247)</f>
        <v>0</v>
      </c>
      <c r="H247" s="43" t="n">
        <f aca="false">SUMIFS(Data!$K$782:$K$2370,Data!$H$782:$H$2370,B247)</f>
        <v>2</v>
      </c>
      <c r="I247" s="42" t="n">
        <f aca="false">SUMIFS(Data!$L$2371:$L$3999,Data!$H$2371:$H$3999,B247)</f>
        <v>0</v>
      </c>
      <c r="J247" s="43" t="n">
        <f aca="false">SUMIFS(Data!$K$2371:$K$3999,Data!$H$2371:$H$3999,B247)</f>
        <v>0</v>
      </c>
      <c r="K247" s="44" t="n">
        <f aca="false">SUMIFS(Data!$M$2:$M$781,Data!$H$2:$H$781,B247)</f>
        <v>0</v>
      </c>
      <c r="L247" s="42" t="n">
        <f aca="false">SUMIFS(Data!$M$782:$M$2370,Data!$H$782:$H$2370,B247)</f>
        <v>0</v>
      </c>
      <c r="M247" s="42" t="n">
        <f aca="false">SUMIFS(Data!$M$2371:$M$3999,Data!$H$2371:$H$3999,B247)</f>
        <v>0</v>
      </c>
      <c r="N247" s="45" t="n">
        <f aca="false">SUMIFS(Data!$O$2:$O$781,Data!$H$2:$H$781,B247)</f>
        <v>0</v>
      </c>
      <c r="O247" s="43" t="n">
        <f aca="false">SUMIFS(Data!$N$2:$N$781,Data!$H$2:$H$781,B247)</f>
        <v>0</v>
      </c>
      <c r="P247" s="42" t="n">
        <f aca="false">SUMIFS(Data!$P$2:$P$781,Data!$H$2:$H$781,B247)</f>
        <v>0</v>
      </c>
      <c r="Q247" s="43" t="n">
        <f aca="false">SUMIFS(Data!$O$782:$O$2370,Data!$H$782:$H$2370,B247)</f>
        <v>0</v>
      </c>
      <c r="R247" s="43" t="n">
        <f aca="false">SUMIFS(Data!$N$782:$N$2370,Data!$H$782:$H$2370,B247)</f>
        <v>0</v>
      </c>
      <c r="S247" s="43" t="n">
        <f aca="false">SUMIFS(Data!$O$2371:$O$3999,Data!$H$2371:$H$3999,B247)</f>
        <v>0</v>
      </c>
      <c r="T247" s="43" t="n">
        <f aca="false">SUMIFS(Data!$N$2371:$N$3999,Data!$H$2371:$H$3999,B247)</f>
        <v>0</v>
      </c>
      <c r="U247" s="46" t="n">
        <f aca="false">SUMIFS(Data!$R$2:$R$781,Data!$H$2:$H$781,B247)</f>
        <v>0</v>
      </c>
      <c r="V247" s="47" t="n">
        <f aca="false">SUMIFS(Data!$Q$2:$Q$781,Data!$H$2:$H$781,B247)</f>
        <v>0</v>
      </c>
      <c r="W247" s="42" t="n">
        <f aca="false">SUMIFS(Data!$R$782:$R$2370,Data!$H$782:$H$2370,B247)</f>
        <v>0</v>
      </c>
      <c r="X247" s="43" t="n">
        <f aca="false">SUMIFS(Data!$Q$782:$Q$2370,Data!$H$782:$H$2370,B247)</f>
        <v>0</v>
      </c>
      <c r="Y247" s="42" t="n">
        <f aca="false">SUMIFS(Data!$R$2371:$R$3999,Data!$H$2371:$H$3999,B247)</f>
        <v>0</v>
      </c>
      <c r="Z247" s="43" t="n">
        <f aca="false">SUMIFS(Data!$Q$2371:$Q$3999,Data!$H$2371:$H$3999,B247)</f>
        <v>0</v>
      </c>
      <c r="AA247" s="48" t="n">
        <f aca="false">V247+U247+O247+N247+K247+F247+E247+P247</f>
        <v>0</v>
      </c>
      <c r="AB247" s="49" t="n">
        <f aca="false">X247+W247+T247+R247+Q247+L247+H247+G247</f>
        <v>2</v>
      </c>
      <c r="AC247" s="49" t="n">
        <f aca="false">Z247+Y247+T247+S247+M247+J247+I247</f>
        <v>0</v>
      </c>
    </row>
    <row r="248" customFormat="false" ht="23.25" hidden="false" customHeight="true" outlineLevel="0" collapsed="false">
      <c r="A248" s="31" t="n">
        <f aca="false">Data!AE247</f>
        <v>1007963</v>
      </c>
      <c r="B248" s="31" t="str">
        <f aca="false">Data!AD247</f>
        <v>حنان</v>
      </c>
      <c r="C248" s="31" t="n">
        <f aca="false">Data!AH247</f>
        <v>0</v>
      </c>
      <c r="D248" s="31" t="str">
        <f aca="false">Data!AF247</f>
        <v>البير</v>
      </c>
      <c r="E248" s="42" t="n">
        <f aca="false">SUMIFS(Data!$L$2:$L$781,Data!$H$2:$H$781,B248)</f>
        <v>0</v>
      </c>
      <c r="F248" s="43" t="n">
        <f aca="false">SUMIFS(Data!$K$2:$K$781,Data!$H$2:$H$781,B248)</f>
        <v>0</v>
      </c>
      <c r="G248" s="42" t="n">
        <f aca="false">SUMIFS(Data!$L$782:$L$2370,Data!$H$782:$H$2370,B248)</f>
        <v>0</v>
      </c>
      <c r="H248" s="43" t="n">
        <f aca="false">SUMIFS(Data!$K$782:$K$2370,Data!$H$782:$H$2370,B248)</f>
        <v>0</v>
      </c>
      <c r="I248" s="42" t="n">
        <f aca="false">SUMIFS(Data!$L$2371:$L$3999,Data!$H$2371:$H$3999,B248)</f>
        <v>0</v>
      </c>
      <c r="J248" s="43" t="n">
        <f aca="false">SUMIFS(Data!$K$2371:$K$3999,Data!$H$2371:$H$3999,B248)</f>
        <v>0</v>
      </c>
      <c r="K248" s="44" t="n">
        <f aca="false">SUMIFS(Data!$M$2:$M$781,Data!$H$2:$H$781,B248)</f>
        <v>0</v>
      </c>
      <c r="L248" s="42" t="n">
        <f aca="false">SUMIFS(Data!$M$782:$M$2370,Data!$H$782:$H$2370,B248)</f>
        <v>0</v>
      </c>
      <c r="M248" s="42" t="n">
        <f aca="false">SUMIFS(Data!$M$2371:$M$3999,Data!$H$2371:$H$3999,B248)</f>
        <v>0</v>
      </c>
      <c r="N248" s="45" t="n">
        <f aca="false">SUMIFS(Data!$O$2:$O$781,Data!$H$2:$H$781,B248)</f>
        <v>0</v>
      </c>
      <c r="O248" s="43" t="n">
        <f aca="false">SUMIFS(Data!$N$2:$N$781,Data!$H$2:$H$781,B248)</f>
        <v>0</v>
      </c>
      <c r="P248" s="42" t="n">
        <f aca="false">SUMIFS(Data!$P$2:$P$781,Data!$H$2:$H$781,B248)</f>
        <v>0</v>
      </c>
      <c r="Q248" s="43" t="n">
        <f aca="false">SUMIFS(Data!$O$782:$O$2370,Data!$H$782:$H$2370,B248)</f>
        <v>0</v>
      </c>
      <c r="R248" s="43" t="n">
        <f aca="false">SUMIFS(Data!$N$782:$N$2370,Data!$H$782:$H$2370,B248)</f>
        <v>0</v>
      </c>
      <c r="S248" s="43" t="n">
        <f aca="false">SUMIFS(Data!$O$2371:$O$3999,Data!$H$2371:$H$3999,B248)</f>
        <v>0</v>
      </c>
      <c r="T248" s="43" t="n">
        <f aca="false">SUMIFS(Data!$N$2371:$N$3999,Data!$H$2371:$H$3999,B248)</f>
        <v>0</v>
      </c>
      <c r="U248" s="46" t="n">
        <f aca="false">SUMIFS(Data!$R$2:$R$781,Data!$H$2:$H$781,B248)</f>
        <v>0</v>
      </c>
      <c r="V248" s="47" t="n">
        <f aca="false">SUMIFS(Data!$Q$2:$Q$781,Data!$H$2:$H$781,B248)</f>
        <v>0</v>
      </c>
      <c r="W248" s="42" t="n">
        <f aca="false">SUMIFS(Data!$R$782:$R$2370,Data!$H$782:$H$2370,B248)</f>
        <v>0</v>
      </c>
      <c r="X248" s="43" t="n">
        <f aca="false">SUMIFS(Data!$Q$782:$Q$2370,Data!$H$782:$H$2370,B248)</f>
        <v>0</v>
      </c>
      <c r="Y248" s="42" t="n">
        <f aca="false">SUMIFS(Data!$R$2371:$R$3999,Data!$H$2371:$H$3999,B248)</f>
        <v>0</v>
      </c>
      <c r="Z248" s="43" t="n">
        <f aca="false">SUMIFS(Data!$Q$2371:$Q$3999,Data!$H$2371:$H$3999,B248)</f>
        <v>0</v>
      </c>
      <c r="AA248" s="48" t="n">
        <f aca="false">V248+U248+O248+N248+K248+F248+E248+P248</f>
        <v>0</v>
      </c>
      <c r="AB248" s="49" t="n">
        <f aca="false">X248+W248+T248+R248+Q248+L248+H248+G248</f>
        <v>0</v>
      </c>
      <c r="AC248" s="49" t="n">
        <f aca="false">Z248+Y248+T248+S248+M248+J248+I248</f>
        <v>0</v>
      </c>
    </row>
    <row r="249" customFormat="false" ht="23.25" hidden="false" customHeight="true" outlineLevel="0" collapsed="false">
      <c r="A249" s="31" t="n">
        <f aca="false">Data!AE248</f>
        <v>1007964</v>
      </c>
      <c r="B249" s="31" t="str">
        <f aca="false">Data!AD248</f>
        <v>مدالله سليمان</v>
      </c>
      <c r="C249" s="31" t="n">
        <f aca="false">Data!AH248</f>
        <v>0</v>
      </c>
      <c r="D249" s="31" t="str">
        <f aca="false">Data!AF248</f>
        <v>البير</v>
      </c>
      <c r="E249" s="42" t="n">
        <f aca="false">SUMIFS(Data!$L$2:$L$781,Data!$H$2:$H$781,B249)</f>
        <v>0</v>
      </c>
      <c r="F249" s="43" t="n">
        <f aca="false">SUMIFS(Data!$K$2:$K$781,Data!$H$2:$H$781,B249)</f>
        <v>2</v>
      </c>
      <c r="G249" s="42" t="n">
        <f aca="false">SUMIFS(Data!$L$782:$L$2370,Data!$H$782:$H$2370,B249)</f>
        <v>0</v>
      </c>
      <c r="H249" s="43" t="n">
        <f aca="false">SUMIFS(Data!$K$782:$K$2370,Data!$H$782:$H$2370,B249)</f>
        <v>8</v>
      </c>
      <c r="I249" s="42" t="n">
        <f aca="false">SUMIFS(Data!$L$2371:$L$3999,Data!$H$2371:$H$3999,B249)</f>
        <v>0</v>
      </c>
      <c r="J249" s="43" t="n">
        <f aca="false">SUMIFS(Data!$K$2371:$K$3999,Data!$H$2371:$H$3999,B249)</f>
        <v>0</v>
      </c>
      <c r="K249" s="44" t="n">
        <f aca="false">SUMIFS(Data!$M$2:$M$781,Data!$H$2:$H$781,B249)</f>
        <v>0</v>
      </c>
      <c r="L249" s="42" t="n">
        <f aca="false">SUMIFS(Data!$M$782:$M$2370,Data!$H$782:$H$2370,B249)</f>
        <v>0</v>
      </c>
      <c r="M249" s="42" t="n">
        <f aca="false">SUMIFS(Data!$M$2371:$M$3999,Data!$H$2371:$H$3999,B249)</f>
        <v>0</v>
      </c>
      <c r="N249" s="45" t="n">
        <f aca="false">SUMIFS(Data!$O$2:$O$781,Data!$H$2:$H$781,B249)</f>
        <v>0</v>
      </c>
      <c r="O249" s="43" t="n">
        <f aca="false">SUMIFS(Data!$N$2:$N$781,Data!$H$2:$H$781,B249)</f>
        <v>0</v>
      </c>
      <c r="P249" s="42" t="n">
        <f aca="false">SUMIFS(Data!$P$2:$P$781,Data!$H$2:$H$781,B249)</f>
        <v>0</v>
      </c>
      <c r="Q249" s="43" t="n">
        <f aca="false">SUMIFS(Data!$O$782:$O$2370,Data!$H$782:$H$2370,B249)</f>
        <v>1</v>
      </c>
      <c r="R249" s="43" t="n">
        <f aca="false">SUMIFS(Data!$N$782:$N$2370,Data!$H$782:$H$2370,B249)</f>
        <v>0</v>
      </c>
      <c r="S249" s="43" t="n">
        <f aca="false">SUMIFS(Data!$O$2371:$O$3999,Data!$H$2371:$H$3999,B249)</f>
        <v>0</v>
      </c>
      <c r="T249" s="43" t="n">
        <f aca="false">SUMIFS(Data!$N$2371:$N$3999,Data!$H$2371:$H$3999,B249)</f>
        <v>0</v>
      </c>
      <c r="U249" s="46" t="n">
        <f aca="false">SUMIFS(Data!$R$2:$R$781,Data!$H$2:$H$781,B249)</f>
        <v>2</v>
      </c>
      <c r="V249" s="47" t="n">
        <f aca="false">SUMIFS(Data!$Q$2:$Q$781,Data!$H$2:$H$781,B249)</f>
        <v>3</v>
      </c>
      <c r="W249" s="42" t="n">
        <f aca="false">SUMIFS(Data!$R$782:$R$2370,Data!$H$782:$H$2370,B249)</f>
        <v>0</v>
      </c>
      <c r="X249" s="43" t="n">
        <f aca="false">SUMIFS(Data!$Q$782:$Q$2370,Data!$H$782:$H$2370,B249)</f>
        <v>3</v>
      </c>
      <c r="Y249" s="42" t="n">
        <f aca="false">SUMIFS(Data!$R$2371:$R$3999,Data!$H$2371:$H$3999,B249)</f>
        <v>0</v>
      </c>
      <c r="Z249" s="43" t="n">
        <f aca="false">SUMIFS(Data!$Q$2371:$Q$3999,Data!$H$2371:$H$3999,B249)</f>
        <v>0</v>
      </c>
      <c r="AA249" s="48" t="n">
        <f aca="false">V249+U249+O249+N249+K249+F249+E249+P249</f>
        <v>7</v>
      </c>
      <c r="AB249" s="49" t="n">
        <f aca="false">X249+W249+T249+R249+Q249+L249+H249+G249</f>
        <v>12</v>
      </c>
      <c r="AC249" s="49" t="n">
        <f aca="false">Z249+Y249+T249+S249+M249+J249+I249</f>
        <v>0</v>
      </c>
    </row>
    <row r="250" customFormat="false" ht="23.25" hidden="false" customHeight="true" outlineLevel="0" collapsed="false">
      <c r="A250" s="31" t="n">
        <f aca="false">Data!AE249</f>
        <v>1007965</v>
      </c>
      <c r="B250" s="31" t="str">
        <f aca="false">Data!AD249</f>
        <v>فاطمه العمراني</v>
      </c>
      <c r="C250" s="31" t="n">
        <f aca="false">Data!AH249</f>
        <v>534527749</v>
      </c>
      <c r="D250" s="31" t="str">
        <f aca="false">Data!AF249</f>
        <v>البير</v>
      </c>
      <c r="E250" s="42" t="n">
        <f aca="false">SUMIFS(Data!$L$2:$L$781,Data!$H$2:$H$781,B250)</f>
        <v>0</v>
      </c>
      <c r="F250" s="43" t="n">
        <f aca="false">SUMIFS(Data!$K$2:$K$781,Data!$H$2:$H$781,B250)</f>
        <v>14</v>
      </c>
      <c r="G250" s="42" t="n">
        <f aca="false">SUMIFS(Data!$L$782:$L$2370,Data!$H$782:$H$2370,B250)</f>
        <v>0</v>
      </c>
      <c r="H250" s="43" t="n">
        <f aca="false">SUMIFS(Data!$K$782:$K$2370,Data!$H$782:$H$2370,B250)</f>
        <v>59</v>
      </c>
      <c r="I250" s="42" t="n">
        <f aca="false">SUMIFS(Data!$L$2371:$L$3999,Data!$H$2371:$H$3999,B250)</f>
        <v>0</v>
      </c>
      <c r="J250" s="43" t="n">
        <f aca="false">SUMIFS(Data!$K$2371:$K$3999,Data!$H$2371:$H$3999,B250)</f>
        <v>7</v>
      </c>
      <c r="K250" s="44" t="n">
        <f aca="false">SUMIFS(Data!$M$2:$M$781,Data!$H$2:$H$781,B250)</f>
        <v>0</v>
      </c>
      <c r="L250" s="42" t="n">
        <f aca="false">SUMIFS(Data!$M$782:$M$2370,Data!$H$782:$H$2370,B250)</f>
        <v>1</v>
      </c>
      <c r="M250" s="42" t="n">
        <f aca="false">SUMIFS(Data!$M$2371:$M$3999,Data!$H$2371:$H$3999,B250)</f>
        <v>0</v>
      </c>
      <c r="N250" s="45" t="n">
        <f aca="false">SUMIFS(Data!$O$2:$O$781,Data!$H$2:$H$781,B250)</f>
        <v>6</v>
      </c>
      <c r="O250" s="43" t="n">
        <f aca="false">SUMIFS(Data!$N$2:$N$781,Data!$H$2:$H$781,B250)</f>
        <v>1</v>
      </c>
      <c r="P250" s="42" t="n">
        <f aca="false">SUMIFS(Data!$P$2:$P$781,Data!$H$2:$H$781,B250)</f>
        <v>0</v>
      </c>
      <c r="Q250" s="43" t="n">
        <f aca="false">SUMIFS(Data!$O$782:$O$2370,Data!$H$782:$H$2370,B250)</f>
        <v>0</v>
      </c>
      <c r="R250" s="43" t="n">
        <f aca="false">SUMIFS(Data!$N$782:$N$2370,Data!$H$782:$H$2370,B250)</f>
        <v>1</v>
      </c>
      <c r="S250" s="43" t="n">
        <f aca="false">SUMIFS(Data!$O$2371:$O$3999,Data!$H$2371:$H$3999,B250)</f>
        <v>0</v>
      </c>
      <c r="T250" s="43" t="n">
        <f aca="false">SUMIFS(Data!$N$2371:$N$3999,Data!$H$2371:$H$3999,B250)</f>
        <v>0</v>
      </c>
      <c r="U250" s="46" t="n">
        <f aca="false">SUMIFS(Data!$R$2:$R$781,Data!$H$2:$H$781,B250)</f>
        <v>0</v>
      </c>
      <c r="V250" s="47" t="n">
        <f aca="false">SUMIFS(Data!$Q$2:$Q$781,Data!$H$2:$H$781,B250)</f>
        <v>0</v>
      </c>
      <c r="W250" s="42" t="n">
        <f aca="false">SUMIFS(Data!$R$782:$R$2370,Data!$H$782:$H$2370,B250)</f>
        <v>0</v>
      </c>
      <c r="X250" s="43" t="n">
        <f aca="false">SUMIFS(Data!$Q$782:$Q$2370,Data!$H$782:$H$2370,B250)</f>
        <v>3</v>
      </c>
      <c r="Y250" s="42" t="n">
        <f aca="false">SUMIFS(Data!$R$2371:$R$3999,Data!$H$2371:$H$3999,B250)</f>
        <v>0</v>
      </c>
      <c r="Z250" s="43" t="n">
        <f aca="false">SUMIFS(Data!$Q$2371:$Q$3999,Data!$H$2371:$H$3999,B250)</f>
        <v>0</v>
      </c>
      <c r="AA250" s="48" t="n">
        <f aca="false">V250+U250+O250+N250+K250+F250+E250+P250</f>
        <v>21</v>
      </c>
      <c r="AB250" s="49" t="n">
        <f aca="false">X250+W250+T250+R250+Q250+L250+H250+G250</f>
        <v>64</v>
      </c>
      <c r="AC250" s="49" t="n">
        <f aca="false">Z250+Y250+T250+S250+M250+J250+I250</f>
        <v>7</v>
      </c>
    </row>
    <row r="251" customFormat="false" ht="23.25" hidden="false" customHeight="true" outlineLevel="0" collapsed="false">
      <c r="A251" s="31" t="n">
        <f aca="false">Data!AE250</f>
        <v>1007966</v>
      </c>
      <c r="B251" s="31" t="str">
        <f aca="false">Data!AD250</f>
        <v>خيال الكحيله</v>
      </c>
      <c r="C251" s="31" t="n">
        <f aca="false">Data!AH250</f>
        <v>0</v>
      </c>
      <c r="D251" s="31" t="str">
        <f aca="false">Data!AF250</f>
        <v>البير</v>
      </c>
      <c r="E251" s="42" t="n">
        <f aca="false">SUMIFS(Data!$L$2:$L$781,Data!$H$2:$H$781,B251)</f>
        <v>0</v>
      </c>
      <c r="F251" s="43" t="n">
        <f aca="false">SUMIFS(Data!$K$2:$K$781,Data!$H$2:$H$781,B251)</f>
        <v>0</v>
      </c>
      <c r="G251" s="42" t="n">
        <f aca="false">SUMIFS(Data!$L$782:$L$2370,Data!$H$782:$H$2370,B251)</f>
        <v>0</v>
      </c>
      <c r="H251" s="43" t="n">
        <f aca="false">SUMIFS(Data!$K$782:$K$2370,Data!$H$782:$H$2370,B251)</f>
        <v>2</v>
      </c>
      <c r="I251" s="42" t="n">
        <f aca="false">SUMIFS(Data!$L$2371:$L$3999,Data!$H$2371:$H$3999,B251)</f>
        <v>0</v>
      </c>
      <c r="J251" s="43" t="n">
        <f aca="false">SUMIFS(Data!$K$2371:$K$3999,Data!$H$2371:$H$3999,B251)</f>
        <v>0</v>
      </c>
      <c r="K251" s="44" t="n">
        <f aca="false">SUMIFS(Data!$M$2:$M$781,Data!$H$2:$H$781,B251)</f>
        <v>0</v>
      </c>
      <c r="L251" s="42" t="n">
        <f aca="false">SUMIFS(Data!$M$782:$M$2370,Data!$H$782:$H$2370,B251)</f>
        <v>1</v>
      </c>
      <c r="M251" s="42" t="n">
        <f aca="false">SUMIFS(Data!$M$2371:$M$3999,Data!$H$2371:$H$3999,B251)</f>
        <v>0</v>
      </c>
      <c r="N251" s="45" t="n">
        <f aca="false">SUMIFS(Data!$O$2:$O$781,Data!$H$2:$H$781,B251)</f>
        <v>0</v>
      </c>
      <c r="O251" s="43" t="n">
        <f aca="false">SUMIFS(Data!$N$2:$N$781,Data!$H$2:$H$781,B251)</f>
        <v>0</v>
      </c>
      <c r="P251" s="42" t="n">
        <f aca="false">SUMIFS(Data!$P$2:$P$781,Data!$H$2:$H$781,B251)</f>
        <v>0</v>
      </c>
      <c r="Q251" s="43" t="n">
        <f aca="false">SUMIFS(Data!$O$782:$O$2370,Data!$H$782:$H$2370,B251)</f>
        <v>0</v>
      </c>
      <c r="R251" s="43" t="n">
        <f aca="false">SUMIFS(Data!$N$782:$N$2370,Data!$H$782:$H$2370,B251)</f>
        <v>0</v>
      </c>
      <c r="S251" s="43" t="n">
        <f aca="false">SUMIFS(Data!$O$2371:$O$3999,Data!$H$2371:$H$3999,B251)</f>
        <v>0</v>
      </c>
      <c r="T251" s="43" t="n">
        <f aca="false">SUMIFS(Data!$N$2371:$N$3999,Data!$H$2371:$H$3999,B251)</f>
        <v>0</v>
      </c>
      <c r="U251" s="46" t="n">
        <f aca="false">SUMIFS(Data!$R$2:$R$781,Data!$H$2:$H$781,B251)</f>
        <v>0</v>
      </c>
      <c r="V251" s="47" t="n">
        <f aca="false">SUMIFS(Data!$Q$2:$Q$781,Data!$H$2:$H$781,B251)</f>
        <v>4</v>
      </c>
      <c r="W251" s="42" t="n">
        <f aca="false">SUMIFS(Data!$R$782:$R$2370,Data!$H$782:$H$2370,B251)</f>
        <v>1</v>
      </c>
      <c r="X251" s="43" t="n">
        <f aca="false">SUMIFS(Data!$Q$782:$Q$2370,Data!$H$782:$H$2370,B251)</f>
        <v>4</v>
      </c>
      <c r="Y251" s="42" t="n">
        <f aca="false">SUMIFS(Data!$R$2371:$R$3999,Data!$H$2371:$H$3999,B251)</f>
        <v>0</v>
      </c>
      <c r="Z251" s="43" t="n">
        <f aca="false">SUMIFS(Data!$Q$2371:$Q$3999,Data!$H$2371:$H$3999,B251)</f>
        <v>0</v>
      </c>
      <c r="AA251" s="48" t="n">
        <f aca="false">V251+U251+O251+N251+K251+F251+E251+P251</f>
        <v>4</v>
      </c>
      <c r="AB251" s="49" t="n">
        <f aca="false">X251+W251+T251+R251+Q251+L251+H251+G251</f>
        <v>8</v>
      </c>
      <c r="AC251" s="49" t="n">
        <f aca="false">Z251+Y251+T251+S251+M251+J251+I251</f>
        <v>0</v>
      </c>
    </row>
    <row r="252" customFormat="false" ht="23.25" hidden="false" customHeight="true" outlineLevel="0" collapsed="false">
      <c r="A252" s="31" t="n">
        <f aca="false">Data!AE251</f>
        <v>1008040</v>
      </c>
      <c r="B252" s="31" t="str">
        <f aca="false">Data!AD251</f>
        <v>مركز الزيته</v>
      </c>
      <c r="C252" s="31" t="n">
        <f aca="false">Data!AH251</f>
        <v>0</v>
      </c>
      <c r="D252" s="31" t="str">
        <f aca="false">Data!AF251</f>
        <v>البير</v>
      </c>
      <c r="E252" s="42" t="n">
        <f aca="false">SUMIFS(Data!$L$2:$L$781,Data!$H$2:$H$781,B252)</f>
        <v>1</v>
      </c>
      <c r="F252" s="43" t="n">
        <f aca="false">SUMIFS(Data!$K$2:$K$781,Data!$H$2:$H$781,B252)</f>
        <v>8</v>
      </c>
      <c r="G252" s="42" t="n">
        <f aca="false">SUMIFS(Data!$L$782:$L$2370,Data!$H$782:$H$2370,B252)</f>
        <v>1</v>
      </c>
      <c r="H252" s="43" t="n">
        <f aca="false">SUMIFS(Data!$K$782:$K$2370,Data!$H$782:$H$2370,B252)</f>
        <v>11</v>
      </c>
      <c r="I252" s="42" t="n">
        <f aca="false">SUMIFS(Data!$L$2371:$L$3999,Data!$H$2371:$H$3999,B252)</f>
        <v>0</v>
      </c>
      <c r="J252" s="43" t="n">
        <f aca="false">SUMIFS(Data!$K$2371:$K$3999,Data!$H$2371:$H$3999,B252)</f>
        <v>0</v>
      </c>
      <c r="K252" s="44" t="n">
        <f aca="false">SUMIFS(Data!$M$2:$M$781,Data!$H$2:$H$781,B252)</f>
        <v>0</v>
      </c>
      <c r="L252" s="42" t="n">
        <f aca="false">SUMIFS(Data!$M$782:$M$2370,Data!$H$782:$H$2370,B252)</f>
        <v>0</v>
      </c>
      <c r="M252" s="42" t="n">
        <f aca="false">SUMIFS(Data!$M$2371:$M$3999,Data!$H$2371:$H$3999,B252)</f>
        <v>0</v>
      </c>
      <c r="N252" s="45" t="n">
        <f aca="false">SUMIFS(Data!$O$2:$O$781,Data!$H$2:$H$781,B252)</f>
        <v>4</v>
      </c>
      <c r="O252" s="43" t="n">
        <f aca="false">SUMIFS(Data!$N$2:$N$781,Data!$H$2:$H$781,B252)</f>
        <v>1</v>
      </c>
      <c r="P252" s="42" t="n">
        <f aca="false">SUMIFS(Data!$P$2:$P$781,Data!$H$2:$H$781,B252)</f>
        <v>4</v>
      </c>
      <c r="Q252" s="43" t="n">
        <f aca="false">SUMIFS(Data!$O$782:$O$2370,Data!$H$782:$H$2370,B252)</f>
        <v>0</v>
      </c>
      <c r="R252" s="43" t="n">
        <f aca="false">SUMIFS(Data!$N$782:$N$2370,Data!$H$782:$H$2370,B252)</f>
        <v>0</v>
      </c>
      <c r="S252" s="43" t="n">
        <f aca="false">SUMIFS(Data!$O$2371:$O$3999,Data!$H$2371:$H$3999,B252)</f>
        <v>0</v>
      </c>
      <c r="T252" s="43" t="n">
        <f aca="false">SUMIFS(Data!$N$2371:$N$3999,Data!$H$2371:$H$3999,B252)</f>
        <v>0</v>
      </c>
      <c r="U252" s="46" t="n">
        <f aca="false">SUMIFS(Data!$R$2:$R$781,Data!$H$2:$H$781,B252)</f>
        <v>0</v>
      </c>
      <c r="V252" s="47" t="n">
        <f aca="false">SUMIFS(Data!$Q$2:$Q$781,Data!$H$2:$H$781,B252)</f>
        <v>0</v>
      </c>
      <c r="W252" s="42" t="n">
        <f aca="false">SUMIFS(Data!$R$782:$R$2370,Data!$H$782:$H$2370,B252)</f>
        <v>0</v>
      </c>
      <c r="X252" s="43" t="n">
        <f aca="false">SUMIFS(Data!$Q$782:$Q$2370,Data!$H$782:$H$2370,B252)</f>
        <v>0</v>
      </c>
      <c r="Y252" s="42" t="n">
        <f aca="false">SUMIFS(Data!$R$2371:$R$3999,Data!$H$2371:$H$3999,B252)</f>
        <v>0</v>
      </c>
      <c r="Z252" s="43" t="n">
        <f aca="false">SUMIFS(Data!$Q$2371:$Q$3999,Data!$H$2371:$H$3999,B252)</f>
        <v>0</v>
      </c>
      <c r="AA252" s="48" t="n">
        <f aca="false">V252+U252+O252+N252+K252+F252+E252+P252</f>
        <v>18</v>
      </c>
      <c r="AB252" s="49" t="n">
        <f aca="false">X252+W252+T252+R252+Q252+L252+H252+G252</f>
        <v>12</v>
      </c>
      <c r="AC252" s="49" t="n">
        <f aca="false">Z252+Y252+T252+S252+M252+J252+I252</f>
        <v>0</v>
      </c>
    </row>
    <row r="253" customFormat="false" ht="23.25" hidden="false" customHeight="true" outlineLevel="0" collapsed="false">
      <c r="A253" s="31" t="n">
        <f aca="false">Data!AE252</f>
        <v>1008020</v>
      </c>
      <c r="B253" s="31" t="str">
        <f aca="false">Data!AD252</f>
        <v>خالد سليمان</v>
      </c>
      <c r="C253" s="31" t="n">
        <f aca="false">Data!AH252</f>
        <v>0</v>
      </c>
      <c r="D253" s="31" t="str">
        <f aca="false">Data!AF252</f>
        <v>البير</v>
      </c>
      <c r="E253" s="42" t="n">
        <f aca="false">SUMIFS(Data!$L$2:$L$781,Data!$H$2:$H$781,B253)</f>
        <v>1</v>
      </c>
      <c r="F253" s="43" t="n">
        <f aca="false">SUMIFS(Data!$K$2:$K$781,Data!$H$2:$H$781,B253)</f>
        <v>13</v>
      </c>
      <c r="G253" s="42" t="n">
        <f aca="false">SUMIFS(Data!$L$782:$L$2370,Data!$H$782:$H$2370,B253)</f>
        <v>0</v>
      </c>
      <c r="H253" s="43" t="n">
        <f aca="false">SUMIFS(Data!$K$782:$K$2370,Data!$H$782:$H$2370,B253)</f>
        <v>21</v>
      </c>
      <c r="I253" s="42" t="n">
        <f aca="false">SUMIFS(Data!$L$2371:$L$3999,Data!$H$2371:$H$3999,B253)</f>
        <v>0</v>
      </c>
      <c r="J253" s="43" t="n">
        <f aca="false">SUMIFS(Data!$K$2371:$K$3999,Data!$H$2371:$H$3999,B253)</f>
        <v>0</v>
      </c>
      <c r="K253" s="44" t="n">
        <f aca="false">SUMIFS(Data!$M$2:$M$781,Data!$H$2:$H$781,B253)</f>
        <v>0</v>
      </c>
      <c r="L253" s="42" t="n">
        <f aca="false">SUMIFS(Data!$M$782:$M$2370,Data!$H$782:$H$2370,B253)</f>
        <v>0</v>
      </c>
      <c r="M253" s="42" t="n">
        <f aca="false">SUMIFS(Data!$M$2371:$M$3999,Data!$H$2371:$H$3999,B253)</f>
        <v>0</v>
      </c>
      <c r="N253" s="45" t="n">
        <f aca="false">SUMIFS(Data!$O$2:$O$781,Data!$H$2:$H$781,B253)</f>
        <v>0</v>
      </c>
      <c r="O253" s="43" t="n">
        <f aca="false">SUMIFS(Data!$N$2:$N$781,Data!$H$2:$H$781,B253)</f>
        <v>0</v>
      </c>
      <c r="P253" s="42" t="n">
        <f aca="false">SUMIFS(Data!$P$2:$P$781,Data!$H$2:$H$781,B253)</f>
        <v>0</v>
      </c>
      <c r="Q253" s="43" t="n">
        <f aca="false">SUMIFS(Data!$O$782:$O$2370,Data!$H$782:$H$2370,B253)</f>
        <v>6</v>
      </c>
      <c r="R253" s="43" t="n">
        <f aca="false">SUMIFS(Data!$N$782:$N$2370,Data!$H$782:$H$2370,B253)</f>
        <v>0</v>
      </c>
      <c r="S253" s="43" t="n">
        <f aca="false">SUMIFS(Data!$O$2371:$O$3999,Data!$H$2371:$H$3999,B253)</f>
        <v>0</v>
      </c>
      <c r="T253" s="43" t="n">
        <f aca="false">SUMIFS(Data!$N$2371:$N$3999,Data!$H$2371:$H$3999,B253)</f>
        <v>0</v>
      </c>
      <c r="U253" s="46" t="n">
        <f aca="false">SUMIFS(Data!$R$2:$R$781,Data!$H$2:$H$781,B253)</f>
        <v>0</v>
      </c>
      <c r="V253" s="47" t="n">
        <f aca="false">SUMIFS(Data!$Q$2:$Q$781,Data!$H$2:$H$781,B253)</f>
        <v>0</v>
      </c>
      <c r="W253" s="42" t="n">
        <f aca="false">SUMIFS(Data!$R$782:$R$2370,Data!$H$782:$H$2370,B253)</f>
        <v>2</v>
      </c>
      <c r="X253" s="43" t="n">
        <f aca="false">SUMIFS(Data!$Q$782:$Q$2370,Data!$H$782:$H$2370,B253)</f>
        <v>1</v>
      </c>
      <c r="Y253" s="42" t="n">
        <f aca="false">SUMIFS(Data!$R$2371:$R$3999,Data!$H$2371:$H$3999,B253)</f>
        <v>0</v>
      </c>
      <c r="Z253" s="43" t="n">
        <f aca="false">SUMIFS(Data!$Q$2371:$Q$3999,Data!$H$2371:$H$3999,B253)</f>
        <v>0</v>
      </c>
      <c r="AA253" s="48" t="n">
        <f aca="false">V253+U253+O253+N253+K253+F253+E253+P253</f>
        <v>14</v>
      </c>
      <c r="AB253" s="49" t="n">
        <f aca="false">X253+W253+T253+R253+Q253+L253+H253+G253</f>
        <v>30</v>
      </c>
      <c r="AC253" s="49" t="n">
        <f aca="false">Z253+Y253+T253+S253+M253+J253+I253</f>
        <v>0</v>
      </c>
    </row>
    <row r="254" customFormat="false" ht="23.25" hidden="false" customHeight="true" outlineLevel="0" collapsed="false">
      <c r="A254" s="31" t="n">
        <f aca="false">Data!AE253</f>
        <v>1008021</v>
      </c>
      <c r="B254" s="31" t="str">
        <f aca="false">Data!AD253</f>
        <v>مركز الربوه</v>
      </c>
      <c r="C254" s="31" t="n">
        <f aca="false">Data!AH253</f>
        <v>0</v>
      </c>
      <c r="D254" s="31" t="str">
        <f aca="false">Data!AF253</f>
        <v>البير</v>
      </c>
      <c r="E254" s="42" t="n">
        <f aca="false">SUMIFS(Data!$L$2:$L$781,Data!$H$2:$H$781,B254)</f>
        <v>0</v>
      </c>
      <c r="F254" s="43" t="n">
        <f aca="false">SUMIFS(Data!$K$2:$K$781,Data!$H$2:$H$781,B254)</f>
        <v>3</v>
      </c>
      <c r="G254" s="42" t="n">
        <f aca="false">SUMIFS(Data!$L$782:$L$2370,Data!$H$782:$H$2370,B254)</f>
        <v>0</v>
      </c>
      <c r="H254" s="43" t="n">
        <f aca="false">SUMIFS(Data!$K$782:$K$2370,Data!$H$782:$H$2370,B254)</f>
        <v>13</v>
      </c>
      <c r="I254" s="42" t="n">
        <f aca="false">SUMIFS(Data!$L$2371:$L$3999,Data!$H$2371:$H$3999,B254)</f>
        <v>0</v>
      </c>
      <c r="J254" s="43" t="n">
        <f aca="false">SUMIFS(Data!$K$2371:$K$3999,Data!$H$2371:$H$3999,B254)</f>
        <v>0</v>
      </c>
      <c r="K254" s="44" t="n">
        <f aca="false">SUMIFS(Data!$M$2:$M$781,Data!$H$2:$H$781,B254)</f>
        <v>0</v>
      </c>
      <c r="L254" s="42" t="n">
        <f aca="false">SUMIFS(Data!$M$782:$M$2370,Data!$H$782:$H$2370,B254)</f>
        <v>0</v>
      </c>
      <c r="M254" s="42" t="n">
        <f aca="false">SUMIFS(Data!$M$2371:$M$3999,Data!$H$2371:$H$3999,B254)</f>
        <v>0</v>
      </c>
      <c r="N254" s="45" t="n">
        <f aca="false">SUMIFS(Data!$O$2:$O$781,Data!$H$2:$H$781,B254)</f>
        <v>0</v>
      </c>
      <c r="O254" s="43" t="n">
        <f aca="false">SUMIFS(Data!$N$2:$N$781,Data!$H$2:$H$781,B254)</f>
        <v>0</v>
      </c>
      <c r="P254" s="42" t="n">
        <f aca="false">SUMIFS(Data!$P$2:$P$781,Data!$H$2:$H$781,B254)</f>
        <v>0</v>
      </c>
      <c r="Q254" s="43" t="n">
        <f aca="false">SUMIFS(Data!$O$782:$O$2370,Data!$H$782:$H$2370,B254)</f>
        <v>0</v>
      </c>
      <c r="R254" s="43" t="n">
        <f aca="false">SUMIFS(Data!$N$782:$N$2370,Data!$H$782:$H$2370,B254)</f>
        <v>0</v>
      </c>
      <c r="S254" s="43" t="n">
        <f aca="false">SUMIFS(Data!$O$2371:$O$3999,Data!$H$2371:$H$3999,B254)</f>
        <v>0</v>
      </c>
      <c r="T254" s="43" t="n">
        <f aca="false">SUMIFS(Data!$N$2371:$N$3999,Data!$H$2371:$H$3999,B254)</f>
        <v>0</v>
      </c>
      <c r="U254" s="46" t="n">
        <f aca="false">SUMIFS(Data!$R$2:$R$781,Data!$H$2:$H$781,B254)</f>
        <v>0</v>
      </c>
      <c r="V254" s="47" t="n">
        <f aca="false">SUMIFS(Data!$Q$2:$Q$781,Data!$H$2:$H$781,B254)</f>
        <v>1</v>
      </c>
      <c r="W254" s="42" t="n">
        <f aca="false">SUMIFS(Data!$R$782:$R$2370,Data!$H$782:$H$2370,B254)</f>
        <v>0</v>
      </c>
      <c r="X254" s="43" t="n">
        <f aca="false">SUMIFS(Data!$Q$782:$Q$2370,Data!$H$782:$H$2370,B254)</f>
        <v>2</v>
      </c>
      <c r="Y254" s="42" t="n">
        <f aca="false">SUMIFS(Data!$R$2371:$R$3999,Data!$H$2371:$H$3999,B254)</f>
        <v>0</v>
      </c>
      <c r="Z254" s="43" t="n">
        <f aca="false">SUMIFS(Data!$Q$2371:$Q$3999,Data!$H$2371:$H$3999,B254)</f>
        <v>0</v>
      </c>
      <c r="AA254" s="48" t="n">
        <f aca="false">V254+U254+O254+N254+K254+F254+E254+P254</f>
        <v>4</v>
      </c>
      <c r="AB254" s="49" t="n">
        <f aca="false">X254+W254+T254+R254+Q254+L254+H254+G254</f>
        <v>15</v>
      </c>
      <c r="AC254" s="49" t="n">
        <f aca="false">Z254+Y254+T254+S254+M254+J254+I254</f>
        <v>0</v>
      </c>
    </row>
    <row r="255" customFormat="false" ht="23.25" hidden="false" customHeight="true" outlineLevel="0" collapsed="false">
      <c r="A255" s="31" t="n">
        <f aca="false">Data!AE254</f>
        <v>1007996</v>
      </c>
      <c r="B255" s="31" t="str">
        <f aca="false">Data!AD254</f>
        <v>مشاعل العطوي</v>
      </c>
      <c r="C255" s="31" t="n">
        <f aca="false">Data!AH254</f>
        <v>508022515</v>
      </c>
      <c r="D255" s="31" t="str">
        <f aca="false">Data!AF254</f>
        <v>البير</v>
      </c>
      <c r="E255" s="42" t="n">
        <f aca="false">SUMIFS(Data!$L$2:$L$781,Data!$H$2:$H$781,B255)</f>
        <v>1</v>
      </c>
      <c r="F255" s="43" t="n">
        <f aca="false">SUMIFS(Data!$K$2:$K$781,Data!$H$2:$H$781,B255)</f>
        <v>13</v>
      </c>
      <c r="G255" s="42" t="n">
        <f aca="false">SUMIFS(Data!$L$782:$L$2370,Data!$H$782:$H$2370,B255)</f>
        <v>2</v>
      </c>
      <c r="H255" s="43" t="n">
        <f aca="false">SUMIFS(Data!$K$782:$K$2370,Data!$H$782:$H$2370,B255)</f>
        <v>15</v>
      </c>
      <c r="I255" s="42" t="n">
        <f aca="false">SUMIFS(Data!$L$2371:$L$3999,Data!$H$2371:$H$3999,B255)</f>
        <v>0</v>
      </c>
      <c r="J255" s="43" t="n">
        <f aca="false">SUMIFS(Data!$K$2371:$K$3999,Data!$H$2371:$H$3999,B255)</f>
        <v>0</v>
      </c>
      <c r="K255" s="44" t="n">
        <f aca="false">SUMIFS(Data!$M$2:$M$781,Data!$H$2:$H$781,B255)</f>
        <v>3</v>
      </c>
      <c r="L255" s="42" t="n">
        <f aca="false">SUMIFS(Data!$M$782:$M$2370,Data!$H$782:$H$2370,B255)</f>
        <v>4</v>
      </c>
      <c r="M255" s="42" t="n">
        <f aca="false">SUMIFS(Data!$M$2371:$M$3999,Data!$H$2371:$H$3999,B255)</f>
        <v>0</v>
      </c>
      <c r="N255" s="45" t="n">
        <f aca="false">SUMIFS(Data!$O$2:$O$781,Data!$H$2:$H$781,B255)</f>
        <v>12</v>
      </c>
      <c r="O255" s="43" t="n">
        <f aca="false">SUMIFS(Data!$N$2:$N$781,Data!$H$2:$H$781,B255)</f>
        <v>8</v>
      </c>
      <c r="P255" s="42" t="n">
        <f aca="false">SUMIFS(Data!$P$2:$P$781,Data!$H$2:$H$781,B255)</f>
        <v>0</v>
      </c>
      <c r="Q255" s="43" t="n">
        <f aca="false">SUMIFS(Data!$O$782:$O$2370,Data!$H$782:$H$2370,B255)</f>
        <v>37</v>
      </c>
      <c r="R255" s="43" t="n">
        <f aca="false">SUMIFS(Data!$N$782:$N$2370,Data!$H$782:$H$2370,B255)</f>
        <v>28</v>
      </c>
      <c r="S255" s="43" t="n">
        <f aca="false">SUMIFS(Data!$O$2371:$O$3999,Data!$H$2371:$H$3999,B255)</f>
        <v>0</v>
      </c>
      <c r="T255" s="43" t="n">
        <f aca="false">SUMIFS(Data!$N$2371:$N$3999,Data!$H$2371:$H$3999,B255)</f>
        <v>0</v>
      </c>
      <c r="U255" s="46" t="n">
        <f aca="false">SUMIFS(Data!$R$2:$R$781,Data!$H$2:$H$781,B255)</f>
        <v>0</v>
      </c>
      <c r="V255" s="47" t="n">
        <f aca="false">SUMIFS(Data!$Q$2:$Q$781,Data!$H$2:$H$781,B255)</f>
        <v>6</v>
      </c>
      <c r="W255" s="42" t="n">
        <f aca="false">SUMIFS(Data!$R$782:$R$2370,Data!$H$782:$H$2370,B255)</f>
        <v>0</v>
      </c>
      <c r="X255" s="43" t="n">
        <f aca="false">SUMIFS(Data!$Q$782:$Q$2370,Data!$H$782:$H$2370,B255)</f>
        <v>24</v>
      </c>
      <c r="Y255" s="42" t="n">
        <f aca="false">SUMIFS(Data!$R$2371:$R$3999,Data!$H$2371:$H$3999,B255)</f>
        <v>0</v>
      </c>
      <c r="Z255" s="43" t="n">
        <f aca="false">SUMIFS(Data!$Q$2371:$Q$3999,Data!$H$2371:$H$3999,B255)</f>
        <v>2</v>
      </c>
      <c r="AA255" s="48" t="n">
        <f aca="false">V255+U255+O255+N255+K255+F255+E255+P255</f>
        <v>43</v>
      </c>
      <c r="AB255" s="49" t="n">
        <f aca="false">X255+W255+T255+R255+Q255+L255+H255+G255</f>
        <v>110</v>
      </c>
      <c r="AC255" s="49" t="n">
        <f aca="false">Z255+Y255+T255+S255+M255+J255+I255</f>
        <v>2</v>
      </c>
    </row>
    <row r="256" customFormat="false" ht="23.25" hidden="false" customHeight="true" outlineLevel="0" collapsed="false">
      <c r="A256" s="31" t="n">
        <f aca="false">Data!AE255</f>
        <v>1007997</v>
      </c>
      <c r="B256" s="31" t="str">
        <f aca="false">Data!AD255</f>
        <v>تميز الخبرات</v>
      </c>
      <c r="C256" s="31" t="n">
        <f aca="false">Data!AH255</f>
        <v>0</v>
      </c>
      <c r="D256" s="31" t="str">
        <f aca="false">Data!AF255</f>
        <v>البير</v>
      </c>
      <c r="E256" s="42" t="n">
        <f aca="false">SUMIFS(Data!$L$2:$L$781,Data!$H$2:$H$781,B256)</f>
        <v>1</v>
      </c>
      <c r="F256" s="43" t="n">
        <f aca="false">SUMIFS(Data!$K$2:$K$781,Data!$H$2:$H$781,B256)</f>
        <v>4</v>
      </c>
      <c r="G256" s="42" t="n">
        <f aca="false">SUMIFS(Data!$L$782:$L$2370,Data!$H$782:$H$2370,B256)</f>
        <v>0</v>
      </c>
      <c r="H256" s="43" t="n">
        <f aca="false">SUMIFS(Data!$K$782:$K$2370,Data!$H$782:$H$2370,B256)</f>
        <v>0</v>
      </c>
      <c r="I256" s="42" t="n">
        <f aca="false">SUMIFS(Data!$L$2371:$L$3999,Data!$H$2371:$H$3999,B256)</f>
        <v>0</v>
      </c>
      <c r="J256" s="43" t="n">
        <f aca="false">SUMIFS(Data!$K$2371:$K$3999,Data!$H$2371:$H$3999,B256)</f>
        <v>0</v>
      </c>
      <c r="K256" s="44" t="n">
        <f aca="false">SUMIFS(Data!$M$2:$M$781,Data!$H$2:$H$781,B256)</f>
        <v>0</v>
      </c>
      <c r="L256" s="42" t="n">
        <f aca="false">SUMIFS(Data!$M$782:$M$2370,Data!$H$782:$H$2370,B256)</f>
        <v>0</v>
      </c>
      <c r="M256" s="42" t="n">
        <f aca="false">SUMIFS(Data!$M$2371:$M$3999,Data!$H$2371:$H$3999,B256)</f>
        <v>0</v>
      </c>
      <c r="N256" s="45" t="n">
        <f aca="false">SUMIFS(Data!$O$2:$O$781,Data!$H$2:$H$781,B256)</f>
        <v>1</v>
      </c>
      <c r="O256" s="43" t="n">
        <f aca="false">SUMIFS(Data!$N$2:$N$781,Data!$H$2:$H$781,B256)</f>
        <v>1</v>
      </c>
      <c r="P256" s="42" t="n">
        <f aca="false">SUMIFS(Data!$P$2:$P$781,Data!$H$2:$H$781,B256)</f>
        <v>0</v>
      </c>
      <c r="Q256" s="43" t="n">
        <f aca="false">SUMIFS(Data!$O$782:$O$2370,Data!$H$782:$H$2370,B256)</f>
        <v>0</v>
      </c>
      <c r="R256" s="43" t="n">
        <f aca="false">SUMIFS(Data!$N$782:$N$2370,Data!$H$782:$H$2370,B256)</f>
        <v>0</v>
      </c>
      <c r="S256" s="43" t="n">
        <f aca="false">SUMIFS(Data!$O$2371:$O$3999,Data!$H$2371:$H$3999,B256)</f>
        <v>0</v>
      </c>
      <c r="T256" s="43" t="n">
        <f aca="false">SUMIFS(Data!$N$2371:$N$3999,Data!$H$2371:$H$3999,B256)</f>
        <v>0</v>
      </c>
      <c r="U256" s="46" t="n">
        <f aca="false">SUMIFS(Data!$R$2:$R$781,Data!$H$2:$H$781,B256)</f>
        <v>0</v>
      </c>
      <c r="V256" s="47" t="n">
        <f aca="false">SUMIFS(Data!$Q$2:$Q$781,Data!$H$2:$H$781,B256)</f>
        <v>111</v>
      </c>
      <c r="W256" s="42" t="n">
        <f aca="false">SUMIFS(Data!$R$782:$R$2370,Data!$H$782:$H$2370,B256)</f>
        <v>15</v>
      </c>
      <c r="X256" s="43" t="n">
        <f aca="false">SUMIFS(Data!$Q$782:$Q$2370,Data!$H$782:$H$2370,B256)</f>
        <v>46</v>
      </c>
      <c r="Y256" s="42" t="n">
        <f aca="false">SUMIFS(Data!$R$2371:$R$3999,Data!$H$2371:$H$3999,B256)</f>
        <v>0</v>
      </c>
      <c r="Z256" s="43" t="n">
        <f aca="false">SUMIFS(Data!$Q$2371:$Q$3999,Data!$H$2371:$H$3999,B256)</f>
        <v>0</v>
      </c>
      <c r="AA256" s="48" t="n">
        <f aca="false">V256+U256+O256+N256+K256+F256+E256+P256</f>
        <v>118</v>
      </c>
      <c r="AB256" s="49" t="n">
        <f aca="false">X256+W256+T256+R256+Q256+L256+H256+G256</f>
        <v>61</v>
      </c>
      <c r="AC256" s="49" t="n">
        <f aca="false">Z256+Y256+T256+S256+M256+J256+I256</f>
        <v>0</v>
      </c>
    </row>
    <row r="257" customFormat="false" ht="23.25" hidden="false" customHeight="true" outlineLevel="0" collapsed="false">
      <c r="A257" s="31" t="n">
        <f aca="false">Data!AE256</f>
        <v>1008029</v>
      </c>
      <c r="B257" s="31" t="str">
        <f aca="false">Data!AD256</f>
        <v>مركزالوفاء</v>
      </c>
      <c r="C257" s="31" t="n">
        <f aca="false">Data!AH256</f>
        <v>0</v>
      </c>
      <c r="D257" s="31" t="str">
        <f aca="false">Data!AF256</f>
        <v>البير</v>
      </c>
      <c r="E257" s="42" t="n">
        <f aca="false">SUMIFS(Data!$L$2:$L$781,Data!$H$2:$H$781,B257)</f>
        <v>0</v>
      </c>
      <c r="F257" s="43" t="n">
        <f aca="false">SUMIFS(Data!$K$2:$K$781,Data!$H$2:$H$781,B257)</f>
        <v>1</v>
      </c>
      <c r="G257" s="42" t="n">
        <f aca="false">SUMIFS(Data!$L$782:$L$2370,Data!$H$782:$H$2370,B257)</f>
        <v>0</v>
      </c>
      <c r="H257" s="43" t="n">
        <f aca="false">SUMIFS(Data!$K$782:$K$2370,Data!$H$782:$H$2370,B257)</f>
        <v>0</v>
      </c>
      <c r="I257" s="42" t="n">
        <f aca="false">SUMIFS(Data!$L$2371:$L$3999,Data!$H$2371:$H$3999,B257)</f>
        <v>0</v>
      </c>
      <c r="J257" s="43" t="n">
        <f aca="false">SUMIFS(Data!$K$2371:$K$3999,Data!$H$2371:$H$3999,B257)</f>
        <v>0</v>
      </c>
      <c r="K257" s="44" t="n">
        <f aca="false">SUMIFS(Data!$M$2:$M$781,Data!$H$2:$H$781,B257)</f>
        <v>0</v>
      </c>
      <c r="L257" s="42" t="n">
        <f aca="false">SUMIFS(Data!$M$782:$M$2370,Data!$H$782:$H$2370,B257)</f>
        <v>0</v>
      </c>
      <c r="M257" s="42" t="n">
        <f aca="false">SUMIFS(Data!$M$2371:$M$3999,Data!$H$2371:$H$3999,B257)</f>
        <v>0</v>
      </c>
      <c r="N257" s="45" t="n">
        <f aca="false">SUMIFS(Data!$O$2:$O$781,Data!$H$2:$H$781,B257)</f>
        <v>0</v>
      </c>
      <c r="O257" s="43" t="n">
        <f aca="false">SUMIFS(Data!$N$2:$N$781,Data!$H$2:$H$781,B257)</f>
        <v>0</v>
      </c>
      <c r="P257" s="42" t="n">
        <f aca="false">SUMIFS(Data!$P$2:$P$781,Data!$H$2:$H$781,B257)</f>
        <v>0</v>
      </c>
      <c r="Q257" s="43" t="n">
        <f aca="false">SUMIFS(Data!$O$782:$O$2370,Data!$H$782:$H$2370,B257)</f>
        <v>0</v>
      </c>
      <c r="R257" s="43" t="n">
        <f aca="false">SUMIFS(Data!$N$782:$N$2370,Data!$H$782:$H$2370,B257)</f>
        <v>0</v>
      </c>
      <c r="S257" s="43" t="n">
        <f aca="false">SUMIFS(Data!$O$2371:$O$3999,Data!$H$2371:$H$3999,B257)</f>
        <v>0</v>
      </c>
      <c r="T257" s="43" t="n">
        <f aca="false">SUMIFS(Data!$N$2371:$N$3999,Data!$H$2371:$H$3999,B257)</f>
        <v>0</v>
      </c>
      <c r="U257" s="46" t="n">
        <f aca="false">SUMIFS(Data!$R$2:$R$781,Data!$H$2:$H$781,B257)</f>
        <v>0</v>
      </c>
      <c r="V257" s="47" t="n">
        <f aca="false">SUMIFS(Data!$Q$2:$Q$781,Data!$H$2:$H$781,B257)</f>
        <v>0</v>
      </c>
      <c r="W257" s="42" t="n">
        <f aca="false">SUMIFS(Data!$R$782:$R$2370,Data!$H$782:$H$2370,B257)</f>
        <v>0</v>
      </c>
      <c r="X257" s="43" t="n">
        <f aca="false">SUMIFS(Data!$Q$782:$Q$2370,Data!$H$782:$H$2370,B257)</f>
        <v>0</v>
      </c>
      <c r="Y257" s="42" t="n">
        <f aca="false">SUMIFS(Data!$R$2371:$R$3999,Data!$H$2371:$H$3999,B257)</f>
        <v>0</v>
      </c>
      <c r="Z257" s="43" t="n">
        <f aca="false">SUMIFS(Data!$Q$2371:$Q$3999,Data!$H$2371:$H$3999,B257)</f>
        <v>0</v>
      </c>
      <c r="AA257" s="48" t="n">
        <f aca="false">V257+U257+O257+N257+K257+F257+E257+P257</f>
        <v>1</v>
      </c>
      <c r="AB257" s="49" t="n">
        <f aca="false">X257+W257+T257+R257+Q257+L257+H257+G257</f>
        <v>0</v>
      </c>
      <c r="AC257" s="49" t="n">
        <f aca="false">Z257+Y257+T257+S257+M257+J257+I257</f>
        <v>0</v>
      </c>
    </row>
    <row r="258" customFormat="false" ht="23.25" hidden="false" customHeight="true" outlineLevel="0" collapsed="false">
      <c r="A258" s="31" t="n">
        <f aca="false">Data!AE257</f>
        <v>1008030</v>
      </c>
      <c r="B258" s="31" t="str">
        <f aca="false">Data!AD257</f>
        <v>بنشر المرام</v>
      </c>
      <c r="C258" s="31" t="n">
        <f aca="false">Data!AH257</f>
        <v>557468684</v>
      </c>
      <c r="D258" s="31" t="str">
        <f aca="false">Data!AF257</f>
        <v>البير</v>
      </c>
      <c r="E258" s="42" t="n">
        <f aca="false">SUMIFS(Data!$L$2:$L$781,Data!$H$2:$H$781,B258)</f>
        <v>4</v>
      </c>
      <c r="F258" s="43" t="n">
        <f aca="false">SUMIFS(Data!$K$2:$K$781,Data!$H$2:$H$781,B258)</f>
        <v>12</v>
      </c>
      <c r="G258" s="42" t="n">
        <f aca="false">SUMIFS(Data!$L$782:$L$2370,Data!$H$782:$H$2370,B258)</f>
        <v>0</v>
      </c>
      <c r="H258" s="43" t="n">
        <f aca="false">SUMIFS(Data!$K$782:$K$2370,Data!$H$782:$H$2370,B258)</f>
        <v>51</v>
      </c>
      <c r="I258" s="42" t="n">
        <f aca="false">SUMIFS(Data!$L$2371:$L$3999,Data!$H$2371:$H$3999,B258)</f>
        <v>0</v>
      </c>
      <c r="J258" s="43" t="n">
        <f aca="false">SUMIFS(Data!$K$2371:$K$3999,Data!$H$2371:$H$3999,B258)</f>
        <v>0</v>
      </c>
      <c r="K258" s="44" t="n">
        <f aca="false">SUMIFS(Data!$M$2:$M$781,Data!$H$2:$H$781,B258)</f>
        <v>5</v>
      </c>
      <c r="L258" s="42" t="n">
        <f aca="false">SUMIFS(Data!$M$782:$M$2370,Data!$H$782:$H$2370,B258)</f>
        <v>33</v>
      </c>
      <c r="M258" s="42" t="n">
        <f aca="false">SUMIFS(Data!$M$2371:$M$3999,Data!$H$2371:$H$3999,B258)</f>
        <v>2</v>
      </c>
      <c r="N258" s="45" t="n">
        <f aca="false">SUMIFS(Data!$O$2:$O$781,Data!$H$2:$H$781,B258)</f>
        <v>6</v>
      </c>
      <c r="O258" s="43" t="n">
        <f aca="false">SUMIFS(Data!$N$2:$N$781,Data!$H$2:$H$781,B258)</f>
        <v>11</v>
      </c>
      <c r="P258" s="42" t="n">
        <f aca="false">SUMIFS(Data!$P$2:$P$781,Data!$H$2:$H$781,B258)</f>
        <v>0</v>
      </c>
      <c r="Q258" s="43" t="n">
        <f aca="false">SUMIFS(Data!$O$782:$O$2370,Data!$H$782:$H$2370,B258)</f>
        <v>1</v>
      </c>
      <c r="R258" s="43" t="n">
        <f aca="false">SUMIFS(Data!$N$782:$N$2370,Data!$H$782:$H$2370,B258)</f>
        <v>24</v>
      </c>
      <c r="S258" s="43" t="n">
        <f aca="false">SUMIFS(Data!$O$2371:$O$3999,Data!$H$2371:$H$3999,B258)</f>
        <v>0</v>
      </c>
      <c r="T258" s="43" t="n">
        <f aca="false">SUMIFS(Data!$N$2371:$N$3999,Data!$H$2371:$H$3999,B258)</f>
        <v>0</v>
      </c>
      <c r="U258" s="46" t="n">
        <f aca="false">SUMIFS(Data!$R$2:$R$781,Data!$H$2:$H$781,B258)</f>
        <v>0</v>
      </c>
      <c r="V258" s="47" t="n">
        <f aca="false">SUMIFS(Data!$Q$2:$Q$781,Data!$H$2:$H$781,B258)</f>
        <v>0</v>
      </c>
      <c r="W258" s="42" t="n">
        <f aca="false">SUMIFS(Data!$R$782:$R$2370,Data!$H$782:$H$2370,B258)</f>
        <v>9</v>
      </c>
      <c r="X258" s="43" t="n">
        <f aca="false">SUMIFS(Data!$Q$782:$Q$2370,Data!$H$782:$H$2370,B258)</f>
        <v>11</v>
      </c>
      <c r="Y258" s="42" t="n">
        <f aca="false">SUMIFS(Data!$R$2371:$R$3999,Data!$H$2371:$H$3999,B258)</f>
        <v>0</v>
      </c>
      <c r="Z258" s="43" t="n">
        <f aca="false">SUMIFS(Data!$Q$2371:$Q$3999,Data!$H$2371:$H$3999,B258)</f>
        <v>2</v>
      </c>
      <c r="AA258" s="48" t="n">
        <f aca="false">V258+U258+O258+N258+K258+F258+E258+P258</f>
        <v>38</v>
      </c>
      <c r="AB258" s="49" t="n">
        <f aca="false">X258+W258+T258+R258+Q258+L258+H258+G258</f>
        <v>129</v>
      </c>
      <c r="AC258" s="49" t="n">
        <f aca="false">Z258+Y258+T258+S258+M258+J258+I258</f>
        <v>4</v>
      </c>
    </row>
    <row r="259" customFormat="false" ht="23.25" hidden="false" customHeight="true" outlineLevel="0" collapsed="false">
      <c r="A259" s="31" t="n">
        <f aca="false">Data!AE258</f>
        <v>1008031</v>
      </c>
      <c r="B259" s="31" t="str">
        <f aca="false">Data!AD258</f>
        <v>شريف معطيه</v>
      </c>
      <c r="C259" s="31" t="n">
        <f aca="false">Data!AH258</f>
        <v>504633341</v>
      </c>
      <c r="D259" s="31" t="str">
        <f aca="false">Data!AF258</f>
        <v>البير</v>
      </c>
      <c r="E259" s="42" t="n">
        <f aca="false">SUMIFS(Data!$L$2:$L$781,Data!$H$2:$H$781,B259)</f>
        <v>0</v>
      </c>
      <c r="F259" s="43" t="n">
        <f aca="false">SUMIFS(Data!$K$2:$K$781,Data!$H$2:$H$781,B259)</f>
        <v>0</v>
      </c>
      <c r="G259" s="42" t="n">
        <f aca="false">SUMIFS(Data!$L$782:$L$2370,Data!$H$782:$H$2370,B259)</f>
        <v>0</v>
      </c>
      <c r="H259" s="43" t="n">
        <f aca="false">SUMIFS(Data!$K$782:$K$2370,Data!$H$782:$H$2370,B259)</f>
        <v>7</v>
      </c>
      <c r="I259" s="42" t="n">
        <f aca="false">SUMIFS(Data!$L$2371:$L$3999,Data!$H$2371:$H$3999,B259)</f>
        <v>0</v>
      </c>
      <c r="J259" s="43" t="n">
        <f aca="false">SUMIFS(Data!$K$2371:$K$3999,Data!$H$2371:$H$3999,B259)</f>
        <v>0</v>
      </c>
      <c r="K259" s="44" t="n">
        <f aca="false">SUMIFS(Data!$M$2:$M$781,Data!$H$2:$H$781,B259)</f>
        <v>0</v>
      </c>
      <c r="L259" s="42" t="n">
        <f aca="false">SUMIFS(Data!$M$782:$M$2370,Data!$H$782:$H$2370,B259)</f>
        <v>2</v>
      </c>
      <c r="M259" s="42" t="n">
        <f aca="false">SUMIFS(Data!$M$2371:$M$3999,Data!$H$2371:$H$3999,B259)</f>
        <v>0</v>
      </c>
      <c r="N259" s="45" t="n">
        <f aca="false">SUMIFS(Data!$O$2:$O$781,Data!$H$2:$H$781,B259)</f>
        <v>0</v>
      </c>
      <c r="O259" s="43" t="n">
        <f aca="false">SUMIFS(Data!$N$2:$N$781,Data!$H$2:$H$781,B259)</f>
        <v>0</v>
      </c>
      <c r="P259" s="42" t="n">
        <f aca="false">SUMIFS(Data!$P$2:$P$781,Data!$H$2:$H$781,B259)</f>
        <v>1</v>
      </c>
      <c r="Q259" s="43" t="n">
        <f aca="false">SUMIFS(Data!$O$782:$O$2370,Data!$H$782:$H$2370,B259)</f>
        <v>1</v>
      </c>
      <c r="R259" s="43" t="n">
        <f aca="false">SUMIFS(Data!$N$782:$N$2370,Data!$H$782:$H$2370,B259)</f>
        <v>0</v>
      </c>
      <c r="S259" s="43" t="n">
        <f aca="false">SUMIFS(Data!$O$2371:$O$3999,Data!$H$2371:$H$3999,B259)</f>
        <v>0</v>
      </c>
      <c r="T259" s="43" t="n">
        <f aca="false">SUMIFS(Data!$N$2371:$N$3999,Data!$H$2371:$H$3999,B259)</f>
        <v>0</v>
      </c>
      <c r="U259" s="46" t="n">
        <f aca="false">SUMIFS(Data!$R$2:$R$781,Data!$H$2:$H$781,B259)</f>
        <v>0</v>
      </c>
      <c r="V259" s="47" t="n">
        <f aca="false">SUMIFS(Data!$Q$2:$Q$781,Data!$H$2:$H$781,B259)</f>
        <v>1</v>
      </c>
      <c r="W259" s="42" t="n">
        <f aca="false">SUMIFS(Data!$R$782:$R$2370,Data!$H$782:$H$2370,B259)</f>
        <v>0</v>
      </c>
      <c r="X259" s="43" t="n">
        <f aca="false">SUMIFS(Data!$Q$782:$Q$2370,Data!$H$782:$H$2370,B259)</f>
        <v>0</v>
      </c>
      <c r="Y259" s="42" t="n">
        <f aca="false">SUMIFS(Data!$R$2371:$R$3999,Data!$H$2371:$H$3999,B259)</f>
        <v>0</v>
      </c>
      <c r="Z259" s="43" t="n">
        <f aca="false">SUMIFS(Data!$Q$2371:$Q$3999,Data!$H$2371:$H$3999,B259)</f>
        <v>0</v>
      </c>
      <c r="AA259" s="48" t="n">
        <f aca="false">V259+U259+O259+N259+K259+F259+E259+P259</f>
        <v>2</v>
      </c>
      <c r="AB259" s="49" t="n">
        <f aca="false">X259+W259+T259+R259+Q259+L259+H259+G259</f>
        <v>10</v>
      </c>
      <c r="AC259" s="49" t="n">
        <f aca="false">Z259+Y259+T259+S259+M259+J259+I259</f>
        <v>0</v>
      </c>
    </row>
    <row r="260" customFormat="false" ht="23.25" hidden="false" customHeight="true" outlineLevel="0" collapsed="false">
      <c r="A260" s="31" t="n">
        <f aca="false">Data!AE259</f>
        <v>1008005</v>
      </c>
      <c r="B260" s="31" t="str">
        <f aca="false">Data!AD259</f>
        <v>الاندلسيه</v>
      </c>
      <c r="C260" s="31" t="n">
        <f aca="false">Data!AH259</f>
        <v>0</v>
      </c>
      <c r="D260" s="31" t="str">
        <f aca="false">Data!AF259</f>
        <v>حقل</v>
      </c>
      <c r="E260" s="42" t="n">
        <f aca="false">SUMIFS(Data!$L$2:$L$781,Data!$H$2:$H$781,B260)</f>
        <v>0</v>
      </c>
      <c r="F260" s="43" t="n">
        <f aca="false">SUMIFS(Data!$K$2:$K$781,Data!$H$2:$H$781,B260)</f>
        <v>1</v>
      </c>
      <c r="G260" s="42" t="n">
        <f aca="false">SUMIFS(Data!$L$782:$L$2370,Data!$H$782:$H$2370,B260)</f>
        <v>0</v>
      </c>
      <c r="H260" s="43" t="n">
        <f aca="false">SUMIFS(Data!$K$782:$K$2370,Data!$H$782:$H$2370,B260)</f>
        <v>2</v>
      </c>
      <c r="I260" s="42" t="n">
        <f aca="false">SUMIFS(Data!$L$2371:$L$3999,Data!$H$2371:$H$3999,B260)</f>
        <v>0</v>
      </c>
      <c r="J260" s="43" t="n">
        <f aca="false">SUMIFS(Data!$K$2371:$K$3999,Data!$H$2371:$H$3999,B260)</f>
        <v>0</v>
      </c>
      <c r="K260" s="44" t="n">
        <f aca="false">SUMIFS(Data!$M$2:$M$781,Data!$H$2:$H$781,B260)</f>
        <v>1</v>
      </c>
      <c r="L260" s="42" t="n">
        <f aca="false">SUMIFS(Data!$M$782:$M$2370,Data!$H$782:$H$2370,B260)</f>
        <v>0</v>
      </c>
      <c r="M260" s="42" t="n">
        <f aca="false">SUMIFS(Data!$M$2371:$M$3999,Data!$H$2371:$H$3999,B260)</f>
        <v>0</v>
      </c>
      <c r="N260" s="45" t="n">
        <f aca="false">SUMIFS(Data!$O$2:$O$781,Data!$H$2:$H$781,B260)</f>
        <v>0</v>
      </c>
      <c r="O260" s="43" t="n">
        <f aca="false">SUMIFS(Data!$N$2:$N$781,Data!$H$2:$H$781,B260)</f>
        <v>0</v>
      </c>
      <c r="P260" s="42" t="n">
        <f aca="false">SUMIFS(Data!$P$2:$P$781,Data!$H$2:$H$781,B260)</f>
        <v>0</v>
      </c>
      <c r="Q260" s="43" t="n">
        <f aca="false">SUMIFS(Data!$O$782:$O$2370,Data!$H$782:$H$2370,B260)</f>
        <v>0</v>
      </c>
      <c r="R260" s="43" t="n">
        <f aca="false">SUMIFS(Data!$N$782:$N$2370,Data!$H$782:$H$2370,B260)</f>
        <v>0</v>
      </c>
      <c r="S260" s="43" t="n">
        <f aca="false">SUMIFS(Data!$O$2371:$O$3999,Data!$H$2371:$H$3999,B260)</f>
        <v>0</v>
      </c>
      <c r="T260" s="43" t="n">
        <f aca="false">SUMIFS(Data!$N$2371:$N$3999,Data!$H$2371:$H$3999,B260)</f>
        <v>0</v>
      </c>
      <c r="U260" s="46" t="n">
        <f aca="false">SUMIFS(Data!$R$2:$R$781,Data!$H$2:$H$781,B260)</f>
        <v>0</v>
      </c>
      <c r="V260" s="47" t="n">
        <f aca="false">SUMIFS(Data!$Q$2:$Q$781,Data!$H$2:$H$781,B260)</f>
        <v>0</v>
      </c>
      <c r="W260" s="42" t="n">
        <f aca="false">SUMIFS(Data!$R$782:$R$2370,Data!$H$782:$H$2370,B260)</f>
        <v>1</v>
      </c>
      <c r="X260" s="43" t="n">
        <f aca="false">SUMIFS(Data!$Q$782:$Q$2370,Data!$H$782:$H$2370,B260)</f>
        <v>2</v>
      </c>
      <c r="Y260" s="42" t="n">
        <f aca="false">SUMIFS(Data!$R$2371:$R$3999,Data!$H$2371:$H$3999,B260)</f>
        <v>0</v>
      </c>
      <c r="Z260" s="43" t="n">
        <f aca="false">SUMIFS(Data!$Q$2371:$Q$3999,Data!$H$2371:$H$3999,B260)</f>
        <v>0</v>
      </c>
      <c r="AA260" s="48" t="n">
        <f aca="false">V260+U260+O260+N260+K260+F260+E260+P260</f>
        <v>2</v>
      </c>
      <c r="AB260" s="49" t="n">
        <f aca="false">X260+W260+T260+R260+Q260+L260+H260+G260</f>
        <v>5</v>
      </c>
      <c r="AC260" s="49" t="n">
        <f aca="false">Z260+Y260+T260+S260+M260+J260+I260</f>
        <v>0</v>
      </c>
    </row>
    <row r="261" customFormat="false" ht="23.25" hidden="false" customHeight="true" outlineLevel="0" collapsed="false">
      <c r="A261" s="31" t="n">
        <f aca="false">Data!AE260</f>
        <v>1008006</v>
      </c>
      <c r="B261" s="31" t="str">
        <f aca="false">Data!AD260</f>
        <v>غرناطه</v>
      </c>
      <c r="C261" s="31" t="n">
        <f aca="false">Data!AH260</f>
        <v>546557989</v>
      </c>
      <c r="D261" s="31" t="str">
        <f aca="false">Data!AF260</f>
        <v>حقل</v>
      </c>
      <c r="E261" s="42" t="n">
        <f aca="false">SUMIFS(Data!$L$2:$L$781,Data!$H$2:$H$781,B261)</f>
        <v>1</v>
      </c>
      <c r="F261" s="43" t="n">
        <f aca="false">SUMIFS(Data!$K$2:$K$781,Data!$H$2:$H$781,B261)</f>
        <v>1</v>
      </c>
      <c r="G261" s="42" t="n">
        <f aca="false">SUMIFS(Data!$L$782:$L$2370,Data!$H$782:$H$2370,B261)</f>
        <v>1</v>
      </c>
      <c r="H261" s="43" t="n">
        <f aca="false">SUMIFS(Data!$K$782:$K$2370,Data!$H$782:$H$2370,B261)</f>
        <v>9</v>
      </c>
      <c r="I261" s="42" t="n">
        <f aca="false">SUMIFS(Data!$L$2371:$L$3999,Data!$H$2371:$H$3999,B261)</f>
        <v>0</v>
      </c>
      <c r="J261" s="43" t="n">
        <f aca="false">SUMIFS(Data!$K$2371:$K$3999,Data!$H$2371:$H$3999,B261)</f>
        <v>0</v>
      </c>
      <c r="K261" s="44" t="n">
        <f aca="false">SUMIFS(Data!$M$2:$M$781,Data!$H$2:$H$781,B261)</f>
        <v>1</v>
      </c>
      <c r="L261" s="42" t="n">
        <f aca="false">SUMIFS(Data!$M$782:$M$2370,Data!$H$782:$H$2370,B261)</f>
        <v>0</v>
      </c>
      <c r="M261" s="42" t="n">
        <f aca="false">SUMIFS(Data!$M$2371:$M$3999,Data!$H$2371:$H$3999,B261)</f>
        <v>0</v>
      </c>
      <c r="N261" s="45" t="n">
        <f aca="false">SUMIFS(Data!$O$2:$O$781,Data!$H$2:$H$781,B261)</f>
        <v>0</v>
      </c>
      <c r="O261" s="43" t="n">
        <f aca="false">SUMIFS(Data!$N$2:$N$781,Data!$H$2:$H$781,B261)</f>
        <v>0</v>
      </c>
      <c r="P261" s="42" t="n">
        <f aca="false">SUMIFS(Data!$P$2:$P$781,Data!$H$2:$H$781,B261)</f>
        <v>0</v>
      </c>
      <c r="Q261" s="43" t="n">
        <f aca="false">SUMIFS(Data!$O$782:$O$2370,Data!$H$782:$H$2370,B261)</f>
        <v>1</v>
      </c>
      <c r="R261" s="43" t="n">
        <f aca="false">SUMIFS(Data!$N$782:$N$2370,Data!$H$782:$H$2370,B261)</f>
        <v>0</v>
      </c>
      <c r="S261" s="43" t="n">
        <f aca="false">SUMIFS(Data!$O$2371:$O$3999,Data!$H$2371:$H$3999,B261)</f>
        <v>0</v>
      </c>
      <c r="T261" s="43" t="n">
        <f aca="false">SUMIFS(Data!$N$2371:$N$3999,Data!$H$2371:$H$3999,B261)</f>
        <v>0</v>
      </c>
      <c r="U261" s="46" t="n">
        <f aca="false">SUMIFS(Data!$R$2:$R$781,Data!$H$2:$H$781,B261)</f>
        <v>1</v>
      </c>
      <c r="V261" s="47" t="n">
        <f aca="false">SUMIFS(Data!$Q$2:$Q$781,Data!$H$2:$H$781,B261)</f>
        <v>1</v>
      </c>
      <c r="W261" s="42" t="n">
        <f aca="false">SUMIFS(Data!$R$782:$R$2370,Data!$H$782:$H$2370,B261)</f>
        <v>2</v>
      </c>
      <c r="X261" s="43" t="n">
        <f aca="false">SUMIFS(Data!$Q$782:$Q$2370,Data!$H$782:$H$2370,B261)</f>
        <v>1</v>
      </c>
      <c r="Y261" s="42" t="n">
        <f aca="false">SUMIFS(Data!$R$2371:$R$3999,Data!$H$2371:$H$3999,B261)</f>
        <v>0</v>
      </c>
      <c r="Z261" s="43" t="n">
        <f aca="false">SUMIFS(Data!$Q$2371:$Q$3999,Data!$H$2371:$H$3999,B261)</f>
        <v>0</v>
      </c>
      <c r="AA261" s="48" t="n">
        <f aca="false">V261+U261+O261+N261+K261+F261+E261+P261</f>
        <v>5</v>
      </c>
      <c r="AB261" s="49" t="n">
        <f aca="false">X261+W261+T261+R261+Q261+L261+H261+G261</f>
        <v>14</v>
      </c>
      <c r="AC261" s="49" t="n">
        <f aca="false">Z261+Y261+T261+S261+M261+J261+I261</f>
        <v>0</v>
      </c>
    </row>
    <row r="262" customFormat="false" ht="23.25" hidden="false" customHeight="true" outlineLevel="0" collapsed="false">
      <c r="A262" s="31" t="n">
        <f aca="false">Data!AE261</f>
        <v>1008007</v>
      </c>
      <c r="B262" s="31" t="str">
        <f aca="false">Data!AD261</f>
        <v>بلال حسن الجابر</v>
      </c>
      <c r="C262" s="31" t="n">
        <f aca="false">Data!AH261</f>
        <v>0</v>
      </c>
      <c r="D262" s="31" t="str">
        <f aca="false">Data!AF261</f>
        <v>حقل</v>
      </c>
      <c r="E262" s="42" t="n">
        <f aca="false">SUMIFS(Data!$L$2:$L$781,Data!$H$2:$H$781,B262)</f>
        <v>0</v>
      </c>
      <c r="F262" s="43" t="n">
        <f aca="false">SUMIFS(Data!$K$2:$K$781,Data!$H$2:$H$781,B262)</f>
        <v>2</v>
      </c>
      <c r="G262" s="42" t="n">
        <f aca="false">SUMIFS(Data!$L$782:$L$2370,Data!$H$782:$H$2370,B262)</f>
        <v>0</v>
      </c>
      <c r="H262" s="43" t="n">
        <f aca="false">SUMIFS(Data!$K$782:$K$2370,Data!$H$782:$H$2370,B262)</f>
        <v>9</v>
      </c>
      <c r="I262" s="42" t="n">
        <f aca="false">SUMIFS(Data!$L$2371:$L$3999,Data!$H$2371:$H$3999,B262)</f>
        <v>0</v>
      </c>
      <c r="J262" s="43" t="n">
        <f aca="false">SUMIFS(Data!$K$2371:$K$3999,Data!$H$2371:$H$3999,B262)</f>
        <v>0</v>
      </c>
      <c r="K262" s="44" t="n">
        <f aca="false">SUMIFS(Data!$M$2:$M$781,Data!$H$2:$H$781,B262)</f>
        <v>0</v>
      </c>
      <c r="L262" s="42" t="n">
        <f aca="false">SUMIFS(Data!$M$782:$M$2370,Data!$H$782:$H$2370,B262)</f>
        <v>0</v>
      </c>
      <c r="M262" s="42" t="n">
        <f aca="false">SUMIFS(Data!$M$2371:$M$3999,Data!$H$2371:$H$3999,B262)</f>
        <v>0</v>
      </c>
      <c r="N262" s="45" t="n">
        <f aca="false">SUMIFS(Data!$O$2:$O$781,Data!$H$2:$H$781,B262)</f>
        <v>0</v>
      </c>
      <c r="O262" s="43" t="n">
        <f aca="false">SUMIFS(Data!$N$2:$N$781,Data!$H$2:$H$781,B262)</f>
        <v>0</v>
      </c>
      <c r="P262" s="42" t="n">
        <f aca="false">SUMIFS(Data!$P$2:$P$781,Data!$H$2:$H$781,B262)</f>
        <v>0</v>
      </c>
      <c r="Q262" s="43" t="n">
        <f aca="false">SUMIFS(Data!$O$782:$O$2370,Data!$H$782:$H$2370,B262)</f>
        <v>2</v>
      </c>
      <c r="R262" s="43" t="n">
        <f aca="false">SUMIFS(Data!$N$782:$N$2370,Data!$H$782:$H$2370,B262)</f>
        <v>0</v>
      </c>
      <c r="S262" s="43" t="n">
        <f aca="false">SUMIFS(Data!$O$2371:$O$3999,Data!$H$2371:$H$3999,B262)</f>
        <v>0</v>
      </c>
      <c r="T262" s="43" t="n">
        <f aca="false">SUMIFS(Data!$N$2371:$N$3999,Data!$H$2371:$H$3999,B262)</f>
        <v>0</v>
      </c>
      <c r="U262" s="46" t="n">
        <f aca="false">SUMIFS(Data!$R$2:$R$781,Data!$H$2:$H$781,B262)</f>
        <v>0</v>
      </c>
      <c r="V262" s="47" t="n">
        <f aca="false">SUMIFS(Data!$Q$2:$Q$781,Data!$H$2:$H$781,B262)</f>
        <v>0</v>
      </c>
      <c r="W262" s="42" t="n">
        <f aca="false">SUMIFS(Data!$R$782:$R$2370,Data!$H$782:$H$2370,B262)</f>
        <v>0</v>
      </c>
      <c r="X262" s="43" t="n">
        <f aca="false">SUMIFS(Data!$Q$782:$Q$2370,Data!$H$782:$H$2370,B262)</f>
        <v>0</v>
      </c>
      <c r="Y262" s="42" t="n">
        <f aca="false">SUMIFS(Data!$R$2371:$R$3999,Data!$H$2371:$H$3999,B262)</f>
        <v>0</v>
      </c>
      <c r="Z262" s="43" t="n">
        <f aca="false">SUMIFS(Data!$Q$2371:$Q$3999,Data!$H$2371:$H$3999,B262)</f>
        <v>0</v>
      </c>
      <c r="AA262" s="48" t="n">
        <f aca="false">V262+U262+O262+N262+K262+F262+E262+P262</f>
        <v>2</v>
      </c>
      <c r="AB262" s="49" t="n">
        <f aca="false">X262+W262+T262+R262+Q262+L262+H262+G262</f>
        <v>11</v>
      </c>
      <c r="AC262" s="49" t="n">
        <f aca="false">Z262+Y262+T262+S262+M262+J262+I262</f>
        <v>0</v>
      </c>
    </row>
    <row r="263" customFormat="false" ht="23.25" hidden="false" customHeight="true" outlineLevel="0" collapsed="false">
      <c r="A263" s="31" t="n">
        <f aca="false">Data!AE262</f>
        <v>1008008</v>
      </c>
      <c r="B263" s="31" t="str">
        <f aca="false">Data!AD262</f>
        <v>السنيجي</v>
      </c>
      <c r="C263" s="31" t="n">
        <f aca="false">Data!AH262</f>
        <v>0</v>
      </c>
      <c r="D263" s="31" t="str">
        <f aca="false">Data!AF262</f>
        <v>حقل</v>
      </c>
      <c r="E263" s="42" t="n">
        <f aca="false">SUMIFS(Data!$L$2:$L$781,Data!$H$2:$H$781,B263)</f>
        <v>0</v>
      </c>
      <c r="F263" s="43" t="n">
        <f aca="false">SUMIFS(Data!$K$2:$K$781,Data!$H$2:$H$781,B263)</f>
        <v>0</v>
      </c>
      <c r="G263" s="42" t="n">
        <f aca="false">SUMIFS(Data!$L$782:$L$2370,Data!$H$782:$H$2370,B263)</f>
        <v>0</v>
      </c>
      <c r="H263" s="43" t="n">
        <f aca="false">SUMIFS(Data!$K$782:$K$2370,Data!$H$782:$H$2370,B263)</f>
        <v>0</v>
      </c>
      <c r="I263" s="42" t="n">
        <f aca="false">SUMIFS(Data!$L$2371:$L$3999,Data!$H$2371:$H$3999,B263)</f>
        <v>0</v>
      </c>
      <c r="J263" s="43" t="n">
        <f aca="false">SUMIFS(Data!$K$2371:$K$3999,Data!$H$2371:$H$3999,B263)</f>
        <v>0</v>
      </c>
      <c r="K263" s="44" t="n">
        <f aca="false">SUMIFS(Data!$M$2:$M$781,Data!$H$2:$H$781,B263)</f>
        <v>0</v>
      </c>
      <c r="L263" s="42" t="n">
        <f aca="false">SUMIFS(Data!$M$782:$M$2370,Data!$H$782:$H$2370,B263)</f>
        <v>0</v>
      </c>
      <c r="M263" s="42" t="n">
        <f aca="false">SUMIFS(Data!$M$2371:$M$3999,Data!$H$2371:$H$3999,B263)</f>
        <v>0</v>
      </c>
      <c r="N263" s="45" t="n">
        <f aca="false">SUMIFS(Data!$O$2:$O$781,Data!$H$2:$H$781,B263)</f>
        <v>0</v>
      </c>
      <c r="O263" s="43" t="n">
        <f aca="false">SUMIFS(Data!$N$2:$N$781,Data!$H$2:$H$781,B263)</f>
        <v>0</v>
      </c>
      <c r="P263" s="42" t="n">
        <f aca="false">SUMIFS(Data!$P$2:$P$781,Data!$H$2:$H$781,B263)</f>
        <v>0</v>
      </c>
      <c r="Q263" s="43" t="n">
        <f aca="false">SUMIFS(Data!$O$782:$O$2370,Data!$H$782:$H$2370,B263)</f>
        <v>0</v>
      </c>
      <c r="R263" s="43" t="n">
        <f aca="false">SUMIFS(Data!$N$782:$N$2370,Data!$H$782:$H$2370,B263)</f>
        <v>0</v>
      </c>
      <c r="S263" s="43" t="n">
        <f aca="false">SUMIFS(Data!$O$2371:$O$3999,Data!$H$2371:$H$3999,B263)</f>
        <v>0</v>
      </c>
      <c r="T263" s="43" t="n">
        <f aca="false">SUMIFS(Data!$N$2371:$N$3999,Data!$H$2371:$H$3999,B263)</f>
        <v>0</v>
      </c>
      <c r="U263" s="46" t="n">
        <f aca="false">SUMIFS(Data!$R$2:$R$781,Data!$H$2:$H$781,B263)</f>
        <v>0</v>
      </c>
      <c r="V263" s="47" t="n">
        <f aca="false">SUMIFS(Data!$Q$2:$Q$781,Data!$H$2:$H$781,B263)</f>
        <v>0</v>
      </c>
      <c r="W263" s="42" t="n">
        <f aca="false">SUMIFS(Data!$R$782:$R$2370,Data!$H$782:$H$2370,B263)</f>
        <v>0</v>
      </c>
      <c r="X263" s="43" t="n">
        <f aca="false">SUMIFS(Data!$Q$782:$Q$2370,Data!$H$782:$H$2370,B263)</f>
        <v>0</v>
      </c>
      <c r="Y263" s="42" t="n">
        <f aca="false">SUMIFS(Data!$R$2371:$R$3999,Data!$H$2371:$H$3999,B263)</f>
        <v>0</v>
      </c>
      <c r="Z263" s="43" t="n">
        <f aca="false">SUMIFS(Data!$Q$2371:$Q$3999,Data!$H$2371:$H$3999,B263)</f>
        <v>0</v>
      </c>
      <c r="AA263" s="48" t="n">
        <f aca="false">V263+U263+O263+N263+K263+F263+E263+P263</f>
        <v>0</v>
      </c>
      <c r="AB263" s="49" t="n">
        <f aca="false">X263+W263+T263+R263+Q263+L263+H263+G263</f>
        <v>0</v>
      </c>
      <c r="AC263" s="49" t="n">
        <f aca="false">Z263+Y263+T263+S263+M263+J263+I263</f>
        <v>0</v>
      </c>
    </row>
    <row r="264" customFormat="false" ht="23.25" hidden="false" customHeight="true" outlineLevel="0" collapsed="false">
      <c r="A264" s="31" t="n">
        <f aca="false">Data!AE263</f>
        <v>1008009</v>
      </c>
      <c r="B264" s="31" t="str">
        <f aca="false">Data!AD263</f>
        <v>القوافل</v>
      </c>
      <c r="C264" s="31" t="n">
        <f aca="false">Data!AH263</f>
        <v>0</v>
      </c>
      <c r="D264" s="31" t="str">
        <f aca="false">Data!AF263</f>
        <v>حقل</v>
      </c>
      <c r="E264" s="42" t="n">
        <f aca="false">SUMIFS(Data!$L$2:$L$781,Data!$H$2:$H$781,B264)</f>
        <v>0</v>
      </c>
      <c r="F264" s="43" t="n">
        <f aca="false">SUMIFS(Data!$K$2:$K$781,Data!$H$2:$H$781,B264)</f>
        <v>1</v>
      </c>
      <c r="G264" s="42" t="n">
        <f aca="false">SUMIFS(Data!$L$782:$L$2370,Data!$H$782:$H$2370,B264)</f>
        <v>1</v>
      </c>
      <c r="H264" s="43" t="n">
        <f aca="false">SUMIFS(Data!$K$782:$K$2370,Data!$H$782:$H$2370,B264)</f>
        <v>6</v>
      </c>
      <c r="I264" s="42" t="n">
        <f aca="false">SUMIFS(Data!$L$2371:$L$3999,Data!$H$2371:$H$3999,B264)</f>
        <v>0</v>
      </c>
      <c r="J264" s="43" t="n">
        <f aca="false">SUMIFS(Data!$K$2371:$K$3999,Data!$H$2371:$H$3999,B264)</f>
        <v>0</v>
      </c>
      <c r="K264" s="44" t="n">
        <f aca="false">SUMIFS(Data!$M$2:$M$781,Data!$H$2:$H$781,B264)</f>
        <v>0</v>
      </c>
      <c r="L264" s="42" t="n">
        <f aca="false">SUMIFS(Data!$M$782:$M$2370,Data!$H$782:$H$2370,B264)</f>
        <v>0</v>
      </c>
      <c r="M264" s="42" t="n">
        <f aca="false">SUMIFS(Data!$M$2371:$M$3999,Data!$H$2371:$H$3999,B264)</f>
        <v>0</v>
      </c>
      <c r="N264" s="45" t="n">
        <f aca="false">SUMIFS(Data!$O$2:$O$781,Data!$H$2:$H$781,B264)</f>
        <v>4</v>
      </c>
      <c r="O264" s="43" t="n">
        <f aca="false">SUMIFS(Data!$N$2:$N$781,Data!$H$2:$H$781,B264)</f>
        <v>0</v>
      </c>
      <c r="P264" s="42" t="n">
        <f aca="false">SUMIFS(Data!$P$2:$P$781,Data!$H$2:$H$781,B264)</f>
        <v>0</v>
      </c>
      <c r="Q264" s="43" t="n">
        <f aca="false">SUMIFS(Data!$O$782:$O$2370,Data!$H$782:$H$2370,B264)</f>
        <v>1</v>
      </c>
      <c r="R264" s="43" t="n">
        <f aca="false">SUMIFS(Data!$N$782:$N$2370,Data!$H$782:$H$2370,B264)</f>
        <v>0</v>
      </c>
      <c r="S264" s="43" t="n">
        <f aca="false">SUMIFS(Data!$O$2371:$O$3999,Data!$H$2371:$H$3999,B264)</f>
        <v>0</v>
      </c>
      <c r="T264" s="43" t="n">
        <f aca="false">SUMIFS(Data!$N$2371:$N$3999,Data!$H$2371:$H$3999,B264)</f>
        <v>0</v>
      </c>
      <c r="U264" s="46" t="n">
        <f aca="false">SUMIFS(Data!$R$2:$R$781,Data!$H$2:$H$781,B264)</f>
        <v>3</v>
      </c>
      <c r="V264" s="47" t="n">
        <f aca="false">SUMIFS(Data!$Q$2:$Q$781,Data!$H$2:$H$781,B264)</f>
        <v>2</v>
      </c>
      <c r="W264" s="42" t="n">
        <f aca="false">SUMIFS(Data!$R$782:$R$2370,Data!$H$782:$H$2370,B264)</f>
        <v>1</v>
      </c>
      <c r="X264" s="43" t="n">
        <f aca="false">SUMIFS(Data!$Q$782:$Q$2370,Data!$H$782:$H$2370,B264)</f>
        <v>0</v>
      </c>
      <c r="Y264" s="42" t="n">
        <f aca="false">SUMIFS(Data!$R$2371:$R$3999,Data!$H$2371:$H$3999,B264)</f>
        <v>0</v>
      </c>
      <c r="Z264" s="43" t="n">
        <f aca="false">SUMIFS(Data!$Q$2371:$Q$3999,Data!$H$2371:$H$3999,B264)</f>
        <v>0</v>
      </c>
      <c r="AA264" s="48" t="n">
        <f aca="false">V264+U264+O264+N264+K264+F264+E264+P264</f>
        <v>10</v>
      </c>
      <c r="AB264" s="49" t="n">
        <f aca="false">X264+W264+T264+R264+Q264+L264+H264+G264</f>
        <v>9</v>
      </c>
      <c r="AC264" s="49" t="n">
        <f aca="false">Z264+Y264+T264+S264+M264+J264+I264</f>
        <v>0</v>
      </c>
    </row>
    <row r="265" customFormat="false" ht="23.25" hidden="false" customHeight="true" outlineLevel="0" collapsed="false">
      <c r="A265" s="31" t="n">
        <f aca="false">Data!AE264</f>
        <v>1008035</v>
      </c>
      <c r="B265" s="31" t="str">
        <f aca="false">Data!AD264</f>
        <v>لوازم سيارتك</v>
      </c>
      <c r="C265" s="31" t="n">
        <f aca="false">Data!AH264</f>
        <v>0</v>
      </c>
      <c r="D265" s="31" t="str">
        <f aca="false">Data!AF264</f>
        <v>حقل</v>
      </c>
      <c r="E265" s="42" t="n">
        <f aca="false">SUMIFS(Data!$L$2:$L$781,Data!$H$2:$H$781,B265)</f>
        <v>0</v>
      </c>
      <c r="F265" s="43" t="n">
        <f aca="false">SUMIFS(Data!$K$2:$K$781,Data!$H$2:$H$781,B265)</f>
        <v>0</v>
      </c>
      <c r="G265" s="42" t="n">
        <f aca="false">SUMIFS(Data!$L$782:$L$2370,Data!$H$782:$H$2370,B265)</f>
        <v>0</v>
      </c>
      <c r="H265" s="43" t="n">
        <f aca="false">SUMIFS(Data!$K$782:$K$2370,Data!$H$782:$H$2370,B265)</f>
        <v>0</v>
      </c>
      <c r="I265" s="42" t="n">
        <f aca="false">SUMIFS(Data!$L$2371:$L$3999,Data!$H$2371:$H$3999,B265)</f>
        <v>0</v>
      </c>
      <c r="J265" s="43" t="n">
        <f aca="false">SUMIFS(Data!$K$2371:$K$3999,Data!$H$2371:$H$3999,B265)</f>
        <v>0</v>
      </c>
      <c r="K265" s="44" t="n">
        <f aca="false">SUMIFS(Data!$M$2:$M$781,Data!$H$2:$H$781,B265)</f>
        <v>0</v>
      </c>
      <c r="L265" s="42" t="n">
        <f aca="false">SUMIFS(Data!$M$782:$M$2370,Data!$H$782:$H$2370,B265)</f>
        <v>0</v>
      </c>
      <c r="M265" s="42" t="n">
        <f aca="false">SUMIFS(Data!$M$2371:$M$3999,Data!$H$2371:$H$3999,B265)</f>
        <v>0</v>
      </c>
      <c r="N265" s="45" t="n">
        <f aca="false">SUMIFS(Data!$O$2:$O$781,Data!$H$2:$H$781,B265)</f>
        <v>0</v>
      </c>
      <c r="O265" s="43" t="n">
        <f aca="false">SUMIFS(Data!$N$2:$N$781,Data!$H$2:$H$781,B265)</f>
        <v>0</v>
      </c>
      <c r="P265" s="42" t="n">
        <f aca="false">SUMIFS(Data!$P$2:$P$781,Data!$H$2:$H$781,B265)</f>
        <v>0</v>
      </c>
      <c r="Q265" s="43" t="n">
        <f aca="false">SUMIFS(Data!$O$782:$O$2370,Data!$H$782:$H$2370,B265)</f>
        <v>0</v>
      </c>
      <c r="R265" s="43" t="n">
        <f aca="false">SUMIFS(Data!$N$782:$N$2370,Data!$H$782:$H$2370,B265)</f>
        <v>0</v>
      </c>
      <c r="S265" s="43" t="n">
        <f aca="false">SUMIFS(Data!$O$2371:$O$3999,Data!$H$2371:$H$3999,B265)</f>
        <v>0</v>
      </c>
      <c r="T265" s="43" t="n">
        <f aca="false">SUMIFS(Data!$N$2371:$N$3999,Data!$H$2371:$H$3999,B265)</f>
        <v>0</v>
      </c>
      <c r="U265" s="46" t="n">
        <f aca="false">SUMIFS(Data!$R$2:$R$781,Data!$H$2:$H$781,B265)</f>
        <v>0</v>
      </c>
      <c r="V265" s="47" t="n">
        <f aca="false">SUMIFS(Data!$Q$2:$Q$781,Data!$H$2:$H$781,B265)</f>
        <v>1</v>
      </c>
      <c r="W265" s="42" t="n">
        <f aca="false">SUMIFS(Data!$R$782:$R$2370,Data!$H$782:$H$2370,B265)</f>
        <v>0</v>
      </c>
      <c r="X265" s="43" t="n">
        <f aca="false">SUMIFS(Data!$Q$782:$Q$2370,Data!$H$782:$H$2370,B265)</f>
        <v>0</v>
      </c>
      <c r="Y265" s="42" t="n">
        <f aca="false">SUMIFS(Data!$R$2371:$R$3999,Data!$H$2371:$H$3999,B265)</f>
        <v>0</v>
      </c>
      <c r="Z265" s="43" t="n">
        <f aca="false">SUMIFS(Data!$Q$2371:$Q$3999,Data!$H$2371:$H$3999,B265)</f>
        <v>0</v>
      </c>
      <c r="AA265" s="48" t="n">
        <f aca="false">V265+U265+O265+N265+K265+F265+E265+P265</f>
        <v>1</v>
      </c>
      <c r="AB265" s="49" t="n">
        <f aca="false">X265+W265+T265+R265+Q265+L265+H265+G265</f>
        <v>0</v>
      </c>
      <c r="AC265" s="49" t="n">
        <f aca="false">Z265+Y265+T265+S265+M265+J265+I265</f>
        <v>0</v>
      </c>
    </row>
    <row r="266" customFormat="false" ht="23.25" hidden="false" customHeight="true" outlineLevel="0" collapsed="false">
      <c r="A266" s="31" t="n">
        <f aca="false">Data!AE265</f>
        <v>1007967</v>
      </c>
      <c r="B266" s="31" t="str">
        <f aca="false">Data!AD265</f>
        <v>قاسم مطلق</v>
      </c>
      <c r="C266" s="31" t="n">
        <f aca="false">Data!AH265</f>
        <v>0</v>
      </c>
      <c r="D266" s="31" t="str">
        <f aca="false">Data!AF265</f>
        <v>حقل</v>
      </c>
      <c r="E266" s="42" t="n">
        <f aca="false">SUMIFS(Data!$L$2:$L$781,Data!$H$2:$H$781,B266)</f>
        <v>0</v>
      </c>
      <c r="F266" s="43" t="n">
        <f aca="false">SUMIFS(Data!$K$2:$K$781,Data!$H$2:$H$781,B266)</f>
        <v>0</v>
      </c>
      <c r="G266" s="42" t="n">
        <f aca="false">SUMIFS(Data!$L$782:$L$2370,Data!$H$782:$H$2370,B266)</f>
        <v>0</v>
      </c>
      <c r="H266" s="43" t="n">
        <f aca="false">SUMIFS(Data!$K$782:$K$2370,Data!$H$782:$H$2370,B266)</f>
        <v>1</v>
      </c>
      <c r="I266" s="42" t="n">
        <f aca="false">SUMIFS(Data!$L$2371:$L$3999,Data!$H$2371:$H$3999,B266)</f>
        <v>0</v>
      </c>
      <c r="J266" s="43" t="n">
        <f aca="false">SUMIFS(Data!$K$2371:$K$3999,Data!$H$2371:$H$3999,B266)</f>
        <v>0</v>
      </c>
      <c r="K266" s="44" t="n">
        <f aca="false">SUMIFS(Data!$M$2:$M$781,Data!$H$2:$H$781,B266)</f>
        <v>0</v>
      </c>
      <c r="L266" s="42" t="n">
        <f aca="false">SUMIFS(Data!$M$782:$M$2370,Data!$H$782:$H$2370,B266)</f>
        <v>0</v>
      </c>
      <c r="M266" s="42" t="n">
        <f aca="false">SUMIFS(Data!$M$2371:$M$3999,Data!$H$2371:$H$3999,B266)</f>
        <v>0</v>
      </c>
      <c r="N266" s="45" t="n">
        <f aca="false">SUMIFS(Data!$O$2:$O$781,Data!$H$2:$H$781,B266)</f>
        <v>0</v>
      </c>
      <c r="O266" s="43" t="n">
        <f aca="false">SUMIFS(Data!$N$2:$N$781,Data!$H$2:$H$781,B266)</f>
        <v>0</v>
      </c>
      <c r="P266" s="42" t="n">
        <f aca="false">SUMIFS(Data!$P$2:$P$781,Data!$H$2:$H$781,B266)</f>
        <v>0</v>
      </c>
      <c r="Q266" s="43" t="n">
        <f aca="false">SUMIFS(Data!$O$782:$O$2370,Data!$H$782:$H$2370,B266)</f>
        <v>0</v>
      </c>
      <c r="R266" s="43" t="n">
        <f aca="false">SUMIFS(Data!$N$782:$N$2370,Data!$H$782:$H$2370,B266)</f>
        <v>0</v>
      </c>
      <c r="S266" s="43" t="n">
        <f aca="false">SUMIFS(Data!$O$2371:$O$3999,Data!$H$2371:$H$3999,B266)</f>
        <v>0</v>
      </c>
      <c r="T266" s="43" t="n">
        <f aca="false">SUMIFS(Data!$N$2371:$N$3999,Data!$H$2371:$H$3999,B266)</f>
        <v>0</v>
      </c>
      <c r="U266" s="46" t="n">
        <f aca="false">SUMIFS(Data!$R$2:$R$781,Data!$H$2:$H$781,B266)</f>
        <v>0</v>
      </c>
      <c r="V266" s="47" t="n">
        <f aca="false">SUMIFS(Data!$Q$2:$Q$781,Data!$H$2:$H$781,B266)</f>
        <v>3</v>
      </c>
      <c r="W266" s="42" t="n">
        <f aca="false">SUMIFS(Data!$R$782:$R$2370,Data!$H$782:$H$2370,B266)</f>
        <v>0</v>
      </c>
      <c r="X266" s="43" t="n">
        <f aca="false">SUMIFS(Data!$Q$782:$Q$2370,Data!$H$782:$H$2370,B266)</f>
        <v>0</v>
      </c>
      <c r="Y266" s="42" t="n">
        <f aca="false">SUMIFS(Data!$R$2371:$R$3999,Data!$H$2371:$H$3999,B266)</f>
        <v>0</v>
      </c>
      <c r="Z266" s="43" t="n">
        <f aca="false">SUMIFS(Data!$Q$2371:$Q$3999,Data!$H$2371:$H$3999,B266)</f>
        <v>0</v>
      </c>
      <c r="AA266" s="48" t="n">
        <f aca="false">V266+U266+O266+N266+K266+F266+E266+P266</f>
        <v>3</v>
      </c>
      <c r="AB266" s="49" t="n">
        <f aca="false">X266+W266+T266+R266+Q266+L266+H266+G266</f>
        <v>1</v>
      </c>
      <c r="AC266" s="49" t="n">
        <f aca="false">Z266+Y266+T266+S266+M266+J266+I266</f>
        <v>0</v>
      </c>
    </row>
    <row r="267" customFormat="false" ht="23.25" hidden="false" customHeight="true" outlineLevel="0" collapsed="false">
      <c r="A267" s="31" t="n">
        <f aca="false">Data!AE266</f>
        <v>1007968</v>
      </c>
      <c r="B267" s="31" t="str">
        <f aca="false">Data!AD266</f>
        <v>فرحان الدبور</v>
      </c>
      <c r="C267" s="31" t="n">
        <f aca="false">Data!AH266</f>
        <v>0</v>
      </c>
      <c r="D267" s="31" t="str">
        <f aca="false">Data!AF266</f>
        <v>حقل</v>
      </c>
      <c r="E267" s="42" t="n">
        <f aca="false">SUMIFS(Data!$L$2:$L$781,Data!$H$2:$H$781,B267)</f>
        <v>0</v>
      </c>
      <c r="F267" s="43" t="n">
        <f aca="false">SUMIFS(Data!$K$2:$K$781,Data!$H$2:$H$781,B267)</f>
        <v>0</v>
      </c>
      <c r="G267" s="42" t="n">
        <f aca="false">SUMIFS(Data!$L$782:$L$2370,Data!$H$782:$H$2370,B267)</f>
        <v>0</v>
      </c>
      <c r="H267" s="43" t="n">
        <f aca="false">SUMIFS(Data!$K$782:$K$2370,Data!$H$782:$H$2370,B267)</f>
        <v>3</v>
      </c>
      <c r="I267" s="42" t="n">
        <f aca="false">SUMIFS(Data!$L$2371:$L$3999,Data!$H$2371:$H$3999,B267)</f>
        <v>0</v>
      </c>
      <c r="J267" s="43" t="n">
        <f aca="false">SUMIFS(Data!$K$2371:$K$3999,Data!$H$2371:$H$3999,B267)</f>
        <v>0</v>
      </c>
      <c r="K267" s="44" t="n">
        <f aca="false">SUMIFS(Data!$M$2:$M$781,Data!$H$2:$H$781,B267)</f>
        <v>0</v>
      </c>
      <c r="L267" s="42" t="n">
        <f aca="false">SUMIFS(Data!$M$782:$M$2370,Data!$H$782:$H$2370,B267)</f>
        <v>0</v>
      </c>
      <c r="M267" s="42" t="n">
        <f aca="false">SUMIFS(Data!$M$2371:$M$3999,Data!$H$2371:$H$3999,B267)</f>
        <v>0</v>
      </c>
      <c r="N267" s="45" t="n">
        <f aca="false">SUMIFS(Data!$O$2:$O$781,Data!$H$2:$H$781,B267)</f>
        <v>0</v>
      </c>
      <c r="O267" s="43" t="n">
        <f aca="false">SUMIFS(Data!$N$2:$N$781,Data!$H$2:$H$781,B267)</f>
        <v>0</v>
      </c>
      <c r="P267" s="42" t="n">
        <f aca="false">SUMIFS(Data!$P$2:$P$781,Data!$H$2:$H$781,B267)</f>
        <v>0</v>
      </c>
      <c r="Q267" s="43" t="n">
        <f aca="false">SUMIFS(Data!$O$782:$O$2370,Data!$H$782:$H$2370,B267)</f>
        <v>0</v>
      </c>
      <c r="R267" s="43" t="n">
        <f aca="false">SUMIFS(Data!$N$782:$N$2370,Data!$H$782:$H$2370,B267)</f>
        <v>0</v>
      </c>
      <c r="S267" s="43" t="n">
        <f aca="false">SUMIFS(Data!$O$2371:$O$3999,Data!$H$2371:$H$3999,B267)</f>
        <v>0</v>
      </c>
      <c r="T267" s="43" t="n">
        <f aca="false">SUMIFS(Data!$N$2371:$N$3999,Data!$H$2371:$H$3999,B267)</f>
        <v>0</v>
      </c>
      <c r="U267" s="46" t="n">
        <f aca="false">SUMIFS(Data!$R$2:$R$781,Data!$H$2:$H$781,B267)</f>
        <v>0</v>
      </c>
      <c r="V267" s="47" t="n">
        <f aca="false">SUMIFS(Data!$Q$2:$Q$781,Data!$H$2:$H$781,B267)</f>
        <v>0</v>
      </c>
      <c r="W267" s="42" t="n">
        <f aca="false">SUMIFS(Data!$R$782:$R$2370,Data!$H$782:$H$2370,B267)</f>
        <v>0</v>
      </c>
      <c r="X267" s="43" t="n">
        <f aca="false">SUMIFS(Data!$Q$782:$Q$2370,Data!$H$782:$H$2370,B267)</f>
        <v>0</v>
      </c>
      <c r="Y267" s="42" t="n">
        <f aca="false">SUMIFS(Data!$R$2371:$R$3999,Data!$H$2371:$H$3999,B267)</f>
        <v>0</v>
      </c>
      <c r="Z267" s="43" t="n">
        <f aca="false">SUMIFS(Data!$Q$2371:$Q$3999,Data!$H$2371:$H$3999,B267)</f>
        <v>0</v>
      </c>
      <c r="AA267" s="48" t="n">
        <f aca="false">V267+U267+O267+N267+K267+F267+E267+P267</f>
        <v>0</v>
      </c>
      <c r="AB267" s="49" t="n">
        <f aca="false">X267+W267+T267+R267+Q267+L267+H267+G267</f>
        <v>3</v>
      </c>
      <c r="AC267" s="49" t="n">
        <f aca="false">Z267+Y267+T267+S267+M267+J267+I267</f>
        <v>0</v>
      </c>
    </row>
    <row r="268" customFormat="false" ht="23.25" hidden="false" customHeight="true" outlineLevel="0" collapsed="false">
      <c r="A268" s="31" t="n">
        <f aca="false">Data!AE267</f>
        <v>1007969</v>
      </c>
      <c r="B268" s="31" t="str">
        <f aca="false">Data!AD267</f>
        <v>حقل لقطع</v>
      </c>
      <c r="C268" s="31" t="n">
        <f aca="false">Data!AH267</f>
        <v>0</v>
      </c>
      <c r="D268" s="31" t="str">
        <f aca="false">Data!AF267</f>
        <v>حقل</v>
      </c>
      <c r="E268" s="42" t="n">
        <f aca="false">SUMIFS(Data!$L$2:$L$781,Data!$H$2:$H$781,B268)</f>
        <v>0</v>
      </c>
      <c r="F268" s="43" t="n">
        <f aca="false">SUMIFS(Data!$K$2:$K$781,Data!$H$2:$H$781,B268)</f>
        <v>0</v>
      </c>
      <c r="G268" s="42" t="n">
        <f aca="false">SUMIFS(Data!$L$782:$L$2370,Data!$H$782:$H$2370,B268)</f>
        <v>0</v>
      </c>
      <c r="H268" s="43" t="n">
        <f aca="false">SUMIFS(Data!$K$782:$K$2370,Data!$H$782:$H$2370,B268)</f>
        <v>6</v>
      </c>
      <c r="I268" s="42" t="n">
        <f aca="false">SUMIFS(Data!$L$2371:$L$3999,Data!$H$2371:$H$3999,B268)</f>
        <v>0</v>
      </c>
      <c r="J268" s="43" t="n">
        <f aca="false">SUMIFS(Data!$K$2371:$K$3999,Data!$H$2371:$H$3999,B268)</f>
        <v>0</v>
      </c>
      <c r="K268" s="44" t="n">
        <f aca="false">SUMIFS(Data!$M$2:$M$781,Data!$H$2:$H$781,B268)</f>
        <v>0</v>
      </c>
      <c r="L268" s="42" t="n">
        <f aca="false">SUMIFS(Data!$M$782:$M$2370,Data!$H$782:$H$2370,B268)</f>
        <v>1</v>
      </c>
      <c r="M268" s="42" t="n">
        <f aca="false">SUMIFS(Data!$M$2371:$M$3999,Data!$H$2371:$H$3999,B268)</f>
        <v>0</v>
      </c>
      <c r="N268" s="45" t="n">
        <f aca="false">SUMIFS(Data!$O$2:$O$781,Data!$H$2:$H$781,B268)</f>
        <v>0</v>
      </c>
      <c r="O268" s="43" t="n">
        <f aca="false">SUMIFS(Data!$N$2:$N$781,Data!$H$2:$H$781,B268)</f>
        <v>0</v>
      </c>
      <c r="P268" s="42" t="n">
        <f aca="false">SUMIFS(Data!$P$2:$P$781,Data!$H$2:$H$781,B268)</f>
        <v>0</v>
      </c>
      <c r="Q268" s="43" t="n">
        <f aca="false">SUMIFS(Data!$O$782:$O$2370,Data!$H$782:$H$2370,B268)</f>
        <v>1</v>
      </c>
      <c r="R268" s="43" t="n">
        <f aca="false">SUMIFS(Data!$N$782:$N$2370,Data!$H$782:$H$2370,B268)</f>
        <v>0</v>
      </c>
      <c r="S268" s="43" t="n">
        <f aca="false">SUMIFS(Data!$O$2371:$O$3999,Data!$H$2371:$H$3999,B268)</f>
        <v>0</v>
      </c>
      <c r="T268" s="43" t="n">
        <f aca="false">SUMIFS(Data!$N$2371:$N$3999,Data!$H$2371:$H$3999,B268)</f>
        <v>0</v>
      </c>
      <c r="U268" s="46" t="n">
        <f aca="false">SUMIFS(Data!$R$2:$R$781,Data!$H$2:$H$781,B268)</f>
        <v>4</v>
      </c>
      <c r="V268" s="47" t="n">
        <f aca="false">SUMIFS(Data!$Q$2:$Q$781,Data!$H$2:$H$781,B268)</f>
        <v>4</v>
      </c>
      <c r="W268" s="42" t="n">
        <f aca="false">SUMIFS(Data!$R$782:$R$2370,Data!$H$782:$H$2370,B268)</f>
        <v>4</v>
      </c>
      <c r="X268" s="43" t="n">
        <f aca="false">SUMIFS(Data!$Q$782:$Q$2370,Data!$H$782:$H$2370,B268)</f>
        <v>9</v>
      </c>
      <c r="Y268" s="42" t="n">
        <f aca="false">SUMIFS(Data!$R$2371:$R$3999,Data!$H$2371:$H$3999,B268)</f>
        <v>0</v>
      </c>
      <c r="Z268" s="43" t="n">
        <f aca="false">SUMIFS(Data!$Q$2371:$Q$3999,Data!$H$2371:$H$3999,B268)</f>
        <v>0</v>
      </c>
      <c r="AA268" s="48" t="n">
        <f aca="false">V268+U268+O268+N268+K268+F268+E268+P268</f>
        <v>8</v>
      </c>
      <c r="AB268" s="49" t="n">
        <f aca="false">X268+W268+T268+R268+Q268+L268+H268+G268</f>
        <v>21</v>
      </c>
      <c r="AC268" s="49" t="n">
        <f aca="false">Z268+Y268+T268+S268+M268+J268+I268</f>
        <v>0</v>
      </c>
    </row>
    <row r="269" customFormat="false" ht="23.25" hidden="false" customHeight="true" outlineLevel="0" collapsed="false">
      <c r="A269" s="31" t="n">
        <f aca="false">Data!AE268</f>
        <v>1007970</v>
      </c>
      <c r="B269" s="31" t="str">
        <f aca="false">Data!AD268</f>
        <v>عبدالعزيز الغرير</v>
      </c>
      <c r="C269" s="31" t="n">
        <f aca="false">Data!AH268</f>
        <v>508386802</v>
      </c>
      <c r="D269" s="31" t="str">
        <f aca="false">Data!AF268</f>
        <v>حقل</v>
      </c>
      <c r="E269" s="42" t="n">
        <f aca="false">SUMIFS(Data!$L$2:$L$781,Data!$H$2:$H$781,B269)</f>
        <v>1</v>
      </c>
      <c r="F269" s="43" t="n">
        <f aca="false">SUMIFS(Data!$K$2:$K$781,Data!$H$2:$H$781,B269)</f>
        <v>4</v>
      </c>
      <c r="G269" s="42" t="n">
        <f aca="false">SUMIFS(Data!$L$782:$L$2370,Data!$H$782:$H$2370,B269)</f>
        <v>0</v>
      </c>
      <c r="H269" s="43" t="n">
        <f aca="false">SUMIFS(Data!$K$782:$K$2370,Data!$H$782:$H$2370,B269)</f>
        <v>37</v>
      </c>
      <c r="I269" s="42" t="n">
        <f aca="false">SUMIFS(Data!$L$2371:$L$3999,Data!$H$2371:$H$3999,B269)</f>
        <v>0</v>
      </c>
      <c r="J269" s="43" t="n">
        <f aca="false">SUMIFS(Data!$K$2371:$K$3999,Data!$H$2371:$H$3999,B269)</f>
        <v>0</v>
      </c>
      <c r="K269" s="44" t="n">
        <f aca="false">SUMIFS(Data!$M$2:$M$781,Data!$H$2:$H$781,B269)</f>
        <v>2</v>
      </c>
      <c r="L269" s="42" t="n">
        <f aca="false">SUMIFS(Data!$M$782:$M$2370,Data!$H$782:$H$2370,B269)</f>
        <v>42</v>
      </c>
      <c r="M269" s="42" t="n">
        <f aca="false">SUMIFS(Data!$M$2371:$M$3999,Data!$H$2371:$H$3999,B269)</f>
        <v>0</v>
      </c>
      <c r="N269" s="45" t="n">
        <f aca="false">SUMIFS(Data!$O$2:$O$781,Data!$H$2:$H$781,B269)</f>
        <v>4</v>
      </c>
      <c r="O269" s="43" t="n">
        <f aca="false">SUMIFS(Data!$N$2:$N$781,Data!$H$2:$H$781,B269)</f>
        <v>3</v>
      </c>
      <c r="P269" s="42" t="n">
        <f aca="false">SUMIFS(Data!$P$2:$P$781,Data!$H$2:$H$781,B269)</f>
        <v>0</v>
      </c>
      <c r="Q269" s="43" t="n">
        <f aca="false">SUMIFS(Data!$O$782:$O$2370,Data!$H$782:$H$2370,B269)</f>
        <v>5</v>
      </c>
      <c r="R269" s="43" t="n">
        <f aca="false">SUMIFS(Data!$N$782:$N$2370,Data!$H$782:$H$2370,B269)</f>
        <v>8</v>
      </c>
      <c r="S269" s="43" t="n">
        <f aca="false">SUMIFS(Data!$O$2371:$O$3999,Data!$H$2371:$H$3999,B269)</f>
        <v>0</v>
      </c>
      <c r="T269" s="43" t="n">
        <f aca="false">SUMIFS(Data!$N$2371:$N$3999,Data!$H$2371:$H$3999,B269)</f>
        <v>0</v>
      </c>
      <c r="U269" s="46" t="n">
        <f aca="false">SUMIFS(Data!$R$2:$R$781,Data!$H$2:$H$781,B269)</f>
        <v>0</v>
      </c>
      <c r="V269" s="47" t="n">
        <f aca="false">SUMIFS(Data!$Q$2:$Q$781,Data!$H$2:$H$781,B269)</f>
        <v>2</v>
      </c>
      <c r="W269" s="42" t="n">
        <f aca="false">SUMIFS(Data!$R$782:$R$2370,Data!$H$782:$H$2370,B269)</f>
        <v>6</v>
      </c>
      <c r="X269" s="43" t="n">
        <f aca="false">SUMIFS(Data!$Q$782:$Q$2370,Data!$H$782:$H$2370,B269)</f>
        <v>126</v>
      </c>
      <c r="Y269" s="42" t="n">
        <f aca="false">SUMIFS(Data!$R$2371:$R$3999,Data!$H$2371:$H$3999,B269)</f>
        <v>0</v>
      </c>
      <c r="Z269" s="43" t="n">
        <f aca="false">SUMIFS(Data!$Q$2371:$Q$3999,Data!$H$2371:$H$3999,B269)</f>
        <v>0</v>
      </c>
      <c r="AA269" s="48" t="n">
        <f aca="false">V269+U269+O269+N269+K269+F269+E269+P269</f>
        <v>16</v>
      </c>
      <c r="AB269" s="49" t="n">
        <f aca="false">X269+W269+T269+R269+Q269+L269+H269+G269</f>
        <v>224</v>
      </c>
      <c r="AC269" s="49" t="n">
        <f aca="false">Z269+Y269+T269+S269+M269+J269+I269</f>
        <v>0</v>
      </c>
    </row>
    <row r="270" customFormat="false" ht="23.25" hidden="false" customHeight="true" outlineLevel="0" collapsed="false">
      <c r="A270" s="31" t="n">
        <f aca="false">Data!AE269</f>
        <v>1007998</v>
      </c>
      <c r="B270" s="31" t="str">
        <f aca="false">Data!AD269</f>
        <v>عبدالعزيز العمراني</v>
      </c>
      <c r="C270" s="31" t="n">
        <f aca="false">Data!AH269</f>
        <v>0</v>
      </c>
      <c r="D270" s="31" t="str">
        <f aca="false">Data!AF269</f>
        <v>حقل</v>
      </c>
      <c r="E270" s="42" t="n">
        <f aca="false">SUMIFS(Data!$L$2:$L$781,Data!$H$2:$H$781,B270)</f>
        <v>0</v>
      </c>
      <c r="F270" s="43" t="n">
        <f aca="false">SUMIFS(Data!$K$2:$K$781,Data!$H$2:$H$781,B270)</f>
        <v>2</v>
      </c>
      <c r="G270" s="42" t="n">
        <f aca="false">SUMIFS(Data!$L$782:$L$2370,Data!$H$782:$H$2370,B270)</f>
        <v>0</v>
      </c>
      <c r="H270" s="43" t="n">
        <f aca="false">SUMIFS(Data!$K$782:$K$2370,Data!$H$782:$H$2370,B270)</f>
        <v>0</v>
      </c>
      <c r="I270" s="42" t="n">
        <f aca="false">SUMIFS(Data!$L$2371:$L$3999,Data!$H$2371:$H$3999,B270)</f>
        <v>0</v>
      </c>
      <c r="J270" s="43" t="n">
        <f aca="false">SUMIFS(Data!$K$2371:$K$3999,Data!$H$2371:$H$3999,B270)</f>
        <v>0</v>
      </c>
      <c r="K270" s="44" t="n">
        <f aca="false">SUMIFS(Data!$M$2:$M$781,Data!$H$2:$H$781,B270)</f>
        <v>1</v>
      </c>
      <c r="L270" s="42" t="n">
        <f aca="false">SUMIFS(Data!$M$782:$M$2370,Data!$H$782:$H$2370,B270)</f>
        <v>0</v>
      </c>
      <c r="M270" s="42" t="n">
        <f aca="false">SUMIFS(Data!$M$2371:$M$3999,Data!$H$2371:$H$3999,B270)</f>
        <v>0</v>
      </c>
      <c r="N270" s="45" t="n">
        <f aca="false">SUMIFS(Data!$O$2:$O$781,Data!$H$2:$H$781,B270)</f>
        <v>0</v>
      </c>
      <c r="O270" s="43" t="n">
        <f aca="false">SUMIFS(Data!$N$2:$N$781,Data!$H$2:$H$781,B270)</f>
        <v>0</v>
      </c>
      <c r="P270" s="42" t="n">
        <f aca="false">SUMIFS(Data!$P$2:$P$781,Data!$H$2:$H$781,B270)</f>
        <v>0</v>
      </c>
      <c r="Q270" s="43" t="n">
        <f aca="false">SUMIFS(Data!$O$782:$O$2370,Data!$H$782:$H$2370,B270)</f>
        <v>0</v>
      </c>
      <c r="R270" s="43" t="n">
        <f aca="false">SUMIFS(Data!$N$782:$N$2370,Data!$H$782:$H$2370,B270)</f>
        <v>0</v>
      </c>
      <c r="S270" s="43" t="n">
        <f aca="false">SUMIFS(Data!$O$2371:$O$3999,Data!$H$2371:$H$3999,B270)</f>
        <v>0</v>
      </c>
      <c r="T270" s="43" t="n">
        <f aca="false">SUMIFS(Data!$N$2371:$N$3999,Data!$H$2371:$H$3999,B270)</f>
        <v>0</v>
      </c>
      <c r="U270" s="46" t="n">
        <f aca="false">SUMIFS(Data!$R$2:$R$781,Data!$H$2:$H$781,B270)</f>
        <v>2</v>
      </c>
      <c r="V270" s="47" t="n">
        <f aca="false">SUMIFS(Data!$Q$2:$Q$781,Data!$H$2:$H$781,B270)</f>
        <v>0</v>
      </c>
      <c r="W270" s="42" t="n">
        <f aca="false">SUMIFS(Data!$R$782:$R$2370,Data!$H$782:$H$2370,B270)</f>
        <v>0</v>
      </c>
      <c r="X270" s="43" t="n">
        <f aca="false">SUMIFS(Data!$Q$782:$Q$2370,Data!$H$782:$H$2370,B270)</f>
        <v>0</v>
      </c>
      <c r="Y270" s="42" t="n">
        <f aca="false">SUMIFS(Data!$R$2371:$R$3999,Data!$H$2371:$H$3999,B270)</f>
        <v>0</v>
      </c>
      <c r="Z270" s="43" t="n">
        <f aca="false">SUMIFS(Data!$Q$2371:$Q$3999,Data!$H$2371:$H$3999,B270)</f>
        <v>0</v>
      </c>
      <c r="AA270" s="48" t="n">
        <f aca="false">V270+U270+O270+N270+K270+F270+E270+P270</f>
        <v>5</v>
      </c>
      <c r="AB270" s="49" t="n">
        <f aca="false">X270+W270+T270+R270+Q270+L270+H270+G270</f>
        <v>0</v>
      </c>
      <c r="AC270" s="49" t="n">
        <f aca="false">Z270+Y270+T270+S270+M270+J270+I270</f>
        <v>0</v>
      </c>
    </row>
    <row r="271" customFormat="false" ht="23.25" hidden="false" customHeight="true" outlineLevel="0" collapsed="false">
      <c r="A271" s="31" t="n">
        <f aca="false">Data!AE270</f>
        <v>1007999</v>
      </c>
      <c r="B271" s="31" t="str">
        <f aca="false">Data!AD270</f>
        <v>رحلة الطريق</v>
      </c>
      <c r="C271" s="31" t="n">
        <f aca="false">Data!AH270</f>
        <v>508573324</v>
      </c>
      <c r="D271" s="31" t="str">
        <f aca="false">Data!AF270</f>
        <v>حقل</v>
      </c>
      <c r="E271" s="42" t="n">
        <f aca="false">SUMIFS(Data!$L$2:$L$781,Data!$H$2:$H$781,B271)</f>
        <v>2</v>
      </c>
      <c r="F271" s="43" t="n">
        <f aca="false">SUMIFS(Data!$K$2:$K$781,Data!$H$2:$H$781,B271)</f>
        <v>16</v>
      </c>
      <c r="G271" s="42" t="n">
        <f aca="false">SUMIFS(Data!$L$782:$L$2370,Data!$H$782:$H$2370,B271)</f>
        <v>0</v>
      </c>
      <c r="H271" s="43" t="n">
        <f aca="false">SUMIFS(Data!$K$782:$K$2370,Data!$H$782:$H$2370,B271)</f>
        <v>11</v>
      </c>
      <c r="I271" s="42" t="n">
        <f aca="false">SUMIFS(Data!$L$2371:$L$3999,Data!$H$2371:$H$3999,B271)</f>
        <v>0</v>
      </c>
      <c r="J271" s="43" t="n">
        <f aca="false">SUMIFS(Data!$K$2371:$K$3999,Data!$H$2371:$H$3999,B271)</f>
        <v>0</v>
      </c>
      <c r="K271" s="44" t="n">
        <f aca="false">SUMIFS(Data!$M$2:$M$781,Data!$H$2:$H$781,B271)</f>
        <v>3</v>
      </c>
      <c r="L271" s="42" t="n">
        <f aca="false">SUMIFS(Data!$M$782:$M$2370,Data!$H$782:$H$2370,B271)</f>
        <v>1</v>
      </c>
      <c r="M271" s="42" t="n">
        <f aca="false">SUMIFS(Data!$M$2371:$M$3999,Data!$H$2371:$H$3999,B271)</f>
        <v>0</v>
      </c>
      <c r="N271" s="45" t="n">
        <f aca="false">SUMIFS(Data!$O$2:$O$781,Data!$H$2:$H$781,B271)</f>
        <v>0</v>
      </c>
      <c r="O271" s="43" t="n">
        <f aca="false">SUMIFS(Data!$N$2:$N$781,Data!$H$2:$H$781,B271)</f>
        <v>0</v>
      </c>
      <c r="P271" s="42" t="n">
        <f aca="false">SUMIFS(Data!$P$2:$P$781,Data!$H$2:$H$781,B271)</f>
        <v>0</v>
      </c>
      <c r="Q271" s="43" t="n">
        <f aca="false">SUMIFS(Data!$O$782:$O$2370,Data!$H$782:$H$2370,B271)</f>
        <v>0</v>
      </c>
      <c r="R271" s="43" t="n">
        <f aca="false">SUMIFS(Data!$N$782:$N$2370,Data!$H$782:$H$2370,B271)</f>
        <v>0</v>
      </c>
      <c r="S271" s="43" t="n">
        <f aca="false">SUMIFS(Data!$O$2371:$O$3999,Data!$H$2371:$H$3999,B271)</f>
        <v>0</v>
      </c>
      <c r="T271" s="43" t="n">
        <f aca="false">SUMIFS(Data!$N$2371:$N$3999,Data!$H$2371:$H$3999,B271)</f>
        <v>0</v>
      </c>
      <c r="U271" s="46" t="n">
        <f aca="false">SUMIFS(Data!$R$2:$R$781,Data!$H$2:$H$781,B271)</f>
        <v>0</v>
      </c>
      <c r="V271" s="47" t="n">
        <f aca="false">SUMIFS(Data!$Q$2:$Q$781,Data!$H$2:$H$781,B271)</f>
        <v>9</v>
      </c>
      <c r="W271" s="42" t="n">
        <f aca="false">SUMIFS(Data!$R$782:$R$2370,Data!$H$782:$H$2370,B271)</f>
        <v>6</v>
      </c>
      <c r="X271" s="43" t="n">
        <f aca="false">SUMIFS(Data!$Q$782:$Q$2370,Data!$H$782:$H$2370,B271)</f>
        <v>1</v>
      </c>
      <c r="Y271" s="42" t="n">
        <f aca="false">SUMIFS(Data!$R$2371:$R$3999,Data!$H$2371:$H$3999,B271)</f>
        <v>0</v>
      </c>
      <c r="Z271" s="43" t="n">
        <f aca="false">SUMIFS(Data!$Q$2371:$Q$3999,Data!$H$2371:$H$3999,B271)</f>
        <v>0</v>
      </c>
      <c r="AA271" s="48" t="n">
        <f aca="false">V271+U271+O271+N271+K271+F271+E271+P271</f>
        <v>30</v>
      </c>
      <c r="AB271" s="49" t="n">
        <f aca="false">X271+W271+T271+R271+Q271+L271+H271+G271</f>
        <v>19</v>
      </c>
      <c r="AC271" s="49" t="n">
        <f aca="false">Z271+Y271+T271+S271+M271+J271+I271</f>
        <v>0</v>
      </c>
    </row>
    <row r="272" customFormat="false" ht="23.25" hidden="false" customHeight="true" outlineLevel="0" collapsed="false">
      <c r="A272" s="31" t="n">
        <f aca="false">Data!AE271</f>
        <v>1008000</v>
      </c>
      <c r="B272" s="31" t="str">
        <f aca="false">Data!AD271</f>
        <v>عوده سالم الدبور</v>
      </c>
      <c r="C272" s="31" t="n">
        <f aca="false">Data!AH271</f>
        <v>0</v>
      </c>
      <c r="D272" s="31" t="str">
        <f aca="false">Data!AF271</f>
        <v>حقل</v>
      </c>
      <c r="E272" s="42" t="n">
        <f aca="false">SUMIFS(Data!$L$2:$L$781,Data!$H$2:$H$781,B272)</f>
        <v>0</v>
      </c>
      <c r="F272" s="43" t="n">
        <f aca="false">SUMIFS(Data!$K$2:$K$781,Data!$H$2:$H$781,B272)</f>
        <v>0</v>
      </c>
      <c r="G272" s="42" t="n">
        <f aca="false">SUMIFS(Data!$L$782:$L$2370,Data!$H$782:$H$2370,B272)</f>
        <v>0</v>
      </c>
      <c r="H272" s="43" t="n">
        <f aca="false">SUMIFS(Data!$K$782:$K$2370,Data!$H$782:$H$2370,B272)</f>
        <v>0</v>
      </c>
      <c r="I272" s="42" t="n">
        <f aca="false">SUMIFS(Data!$L$2371:$L$3999,Data!$H$2371:$H$3999,B272)</f>
        <v>0</v>
      </c>
      <c r="J272" s="43" t="n">
        <f aca="false">SUMIFS(Data!$K$2371:$K$3999,Data!$H$2371:$H$3999,B272)</f>
        <v>0</v>
      </c>
      <c r="K272" s="44" t="n">
        <f aca="false">SUMIFS(Data!$M$2:$M$781,Data!$H$2:$H$781,B272)</f>
        <v>0</v>
      </c>
      <c r="L272" s="42" t="n">
        <f aca="false">SUMIFS(Data!$M$782:$M$2370,Data!$H$782:$H$2370,B272)</f>
        <v>0</v>
      </c>
      <c r="M272" s="42" t="n">
        <f aca="false">SUMIFS(Data!$M$2371:$M$3999,Data!$H$2371:$H$3999,B272)</f>
        <v>0</v>
      </c>
      <c r="N272" s="45" t="n">
        <f aca="false">SUMIFS(Data!$O$2:$O$781,Data!$H$2:$H$781,B272)</f>
        <v>0</v>
      </c>
      <c r="O272" s="43" t="n">
        <f aca="false">SUMIFS(Data!$N$2:$N$781,Data!$H$2:$H$781,B272)</f>
        <v>0</v>
      </c>
      <c r="P272" s="42" t="n">
        <f aca="false">SUMIFS(Data!$P$2:$P$781,Data!$H$2:$H$781,B272)</f>
        <v>0</v>
      </c>
      <c r="Q272" s="43" t="n">
        <f aca="false">SUMIFS(Data!$O$782:$O$2370,Data!$H$782:$H$2370,B272)</f>
        <v>0</v>
      </c>
      <c r="R272" s="43" t="n">
        <f aca="false">SUMIFS(Data!$N$782:$N$2370,Data!$H$782:$H$2370,B272)</f>
        <v>0</v>
      </c>
      <c r="S272" s="43" t="n">
        <f aca="false">SUMIFS(Data!$O$2371:$O$3999,Data!$H$2371:$H$3999,B272)</f>
        <v>0</v>
      </c>
      <c r="T272" s="43" t="n">
        <f aca="false">SUMIFS(Data!$N$2371:$N$3999,Data!$H$2371:$H$3999,B272)</f>
        <v>0</v>
      </c>
      <c r="U272" s="46" t="n">
        <f aca="false">SUMIFS(Data!$R$2:$R$781,Data!$H$2:$H$781,B272)</f>
        <v>0</v>
      </c>
      <c r="V272" s="47" t="n">
        <f aca="false">SUMIFS(Data!$Q$2:$Q$781,Data!$H$2:$H$781,B272)</f>
        <v>0</v>
      </c>
      <c r="W272" s="42" t="n">
        <f aca="false">SUMIFS(Data!$R$782:$R$2370,Data!$H$782:$H$2370,B272)</f>
        <v>0</v>
      </c>
      <c r="X272" s="43" t="n">
        <f aca="false">SUMIFS(Data!$Q$782:$Q$2370,Data!$H$782:$H$2370,B272)</f>
        <v>0</v>
      </c>
      <c r="Y272" s="42" t="n">
        <f aca="false">SUMIFS(Data!$R$2371:$R$3999,Data!$H$2371:$H$3999,B272)</f>
        <v>0</v>
      </c>
      <c r="Z272" s="43" t="n">
        <f aca="false">SUMIFS(Data!$Q$2371:$Q$3999,Data!$H$2371:$H$3999,B272)</f>
        <v>0</v>
      </c>
      <c r="AA272" s="48" t="n">
        <f aca="false">V272+U272+O272+N272+K272+F272+E272+P272</f>
        <v>0</v>
      </c>
      <c r="AB272" s="49" t="n">
        <f aca="false">X272+W272+T272+R272+Q272+L272+H272+G272</f>
        <v>0</v>
      </c>
      <c r="AC272" s="49" t="n">
        <f aca="false">Z272+Y272+T272+S272+M272+J272+I272</f>
        <v>0</v>
      </c>
    </row>
    <row r="273" customFormat="false" ht="23.25" hidden="false" customHeight="true" outlineLevel="0" collapsed="false">
      <c r="A273" s="31" t="n">
        <f aca="false">Data!AE272</f>
        <v>1008001</v>
      </c>
      <c r="B273" s="31" t="str">
        <f aca="false">Data!AD272</f>
        <v>ورشة الغرير</v>
      </c>
      <c r="C273" s="31" t="n">
        <f aca="false">Data!AH272</f>
        <v>0</v>
      </c>
      <c r="D273" s="31" t="str">
        <f aca="false">Data!AF272</f>
        <v>حقل</v>
      </c>
      <c r="E273" s="42" t="n">
        <f aca="false">SUMIFS(Data!$L$2:$L$781,Data!$H$2:$H$781,B273)</f>
        <v>0</v>
      </c>
      <c r="F273" s="43" t="n">
        <f aca="false">SUMIFS(Data!$K$2:$K$781,Data!$H$2:$H$781,B273)</f>
        <v>1</v>
      </c>
      <c r="G273" s="42" t="n">
        <f aca="false">SUMIFS(Data!$L$782:$L$2370,Data!$H$782:$H$2370,B273)</f>
        <v>0</v>
      </c>
      <c r="H273" s="43" t="n">
        <f aca="false">SUMIFS(Data!$K$782:$K$2370,Data!$H$782:$H$2370,B273)</f>
        <v>0</v>
      </c>
      <c r="I273" s="42" t="n">
        <f aca="false">SUMIFS(Data!$L$2371:$L$3999,Data!$H$2371:$H$3999,B273)</f>
        <v>0</v>
      </c>
      <c r="J273" s="43" t="n">
        <f aca="false">SUMIFS(Data!$K$2371:$K$3999,Data!$H$2371:$H$3999,B273)</f>
        <v>0</v>
      </c>
      <c r="K273" s="44" t="n">
        <f aca="false">SUMIFS(Data!$M$2:$M$781,Data!$H$2:$H$781,B273)</f>
        <v>0</v>
      </c>
      <c r="L273" s="42" t="n">
        <f aca="false">SUMIFS(Data!$M$782:$M$2370,Data!$H$782:$H$2370,B273)</f>
        <v>2</v>
      </c>
      <c r="M273" s="42" t="n">
        <f aca="false">SUMIFS(Data!$M$2371:$M$3999,Data!$H$2371:$H$3999,B273)</f>
        <v>0</v>
      </c>
      <c r="N273" s="45" t="n">
        <f aca="false">SUMIFS(Data!$O$2:$O$781,Data!$H$2:$H$781,B273)</f>
        <v>0</v>
      </c>
      <c r="O273" s="43" t="n">
        <f aca="false">SUMIFS(Data!$N$2:$N$781,Data!$H$2:$H$781,B273)</f>
        <v>0</v>
      </c>
      <c r="P273" s="42" t="n">
        <f aca="false">SUMIFS(Data!$P$2:$P$781,Data!$H$2:$H$781,B273)</f>
        <v>0</v>
      </c>
      <c r="Q273" s="43" t="n">
        <f aca="false">SUMIFS(Data!$O$782:$O$2370,Data!$H$782:$H$2370,B273)</f>
        <v>0</v>
      </c>
      <c r="R273" s="43" t="n">
        <f aca="false">SUMIFS(Data!$N$782:$N$2370,Data!$H$782:$H$2370,B273)</f>
        <v>0</v>
      </c>
      <c r="S273" s="43" t="n">
        <f aca="false">SUMIFS(Data!$O$2371:$O$3999,Data!$H$2371:$H$3999,B273)</f>
        <v>0</v>
      </c>
      <c r="T273" s="43" t="n">
        <f aca="false">SUMIFS(Data!$N$2371:$N$3999,Data!$H$2371:$H$3999,B273)</f>
        <v>0</v>
      </c>
      <c r="U273" s="46" t="n">
        <f aca="false">SUMIFS(Data!$R$2:$R$781,Data!$H$2:$H$781,B273)</f>
        <v>1</v>
      </c>
      <c r="V273" s="47" t="n">
        <f aca="false">SUMIFS(Data!$Q$2:$Q$781,Data!$H$2:$H$781,B273)</f>
        <v>1</v>
      </c>
      <c r="W273" s="42" t="n">
        <f aca="false">SUMIFS(Data!$R$782:$R$2370,Data!$H$782:$H$2370,B273)</f>
        <v>0</v>
      </c>
      <c r="X273" s="43" t="n">
        <f aca="false">SUMIFS(Data!$Q$782:$Q$2370,Data!$H$782:$H$2370,B273)</f>
        <v>0</v>
      </c>
      <c r="Y273" s="42" t="n">
        <f aca="false">SUMIFS(Data!$R$2371:$R$3999,Data!$H$2371:$H$3999,B273)</f>
        <v>0</v>
      </c>
      <c r="Z273" s="43" t="n">
        <f aca="false">SUMIFS(Data!$Q$2371:$Q$3999,Data!$H$2371:$H$3999,B273)</f>
        <v>0</v>
      </c>
      <c r="AA273" s="48" t="n">
        <f aca="false">V273+U273+O273+N273+K273+F273+E273+P273</f>
        <v>3</v>
      </c>
      <c r="AB273" s="49" t="n">
        <f aca="false">X273+W273+T273+R273+Q273+L273+H273+G273</f>
        <v>2</v>
      </c>
      <c r="AC273" s="49" t="n">
        <f aca="false">Z273+Y273+T273+S273+M273+J273+I273</f>
        <v>0</v>
      </c>
    </row>
    <row r="274" customFormat="false" ht="23.25" hidden="false" customHeight="true" outlineLevel="0" collapsed="false">
      <c r="A274" s="31" t="n">
        <f aca="false">Data!AE273</f>
        <v>1008003</v>
      </c>
      <c r="B274" s="31" t="str">
        <f aca="false">Data!AD273</f>
        <v>فيصل الغرير</v>
      </c>
      <c r="C274" s="31" t="n">
        <f aca="false">Data!AH273</f>
        <v>0</v>
      </c>
      <c r="D274" s="31" t="str">
        <f aca="false">Data!AF273</f>
        <v>حقل</v>
      </c>
      <c r="E274" s="42" t="n">
        <f aca="false">SUMIFS(Data!$L$2:$L$781,Data!$H$2:$H$781,B274)</f>
        <v>0</v>
      </c>
      <c r="F274" s="43" t="n">
        <f aca="false">SUMIFS(Data!$K$2:$K$781,Data!$H$2:$H$781,B274)</f>
        <v>2</v>
      </c>
      <c r="G274" s="42" t="n">
        <f aca="false">SUMIFS(Data!$L$782:$L$2370,Data!$H$782:$H$2370,B274)</f>
        <v>0</v>
      </c>
      <c r="H274" s="43" t="n">
        <f aca="false">SUMIFS(Data!$K$782:$K$2370,Data!$H$782:$H$2370,B274)</f>
        <v>21</v>
      </c>
      <c r="I274" s="42" t="n">
        <f aca="false">SUMIFS(Data!$L$2371:$L$3999,Data!$H$2371:$H$3999,B274)</f>
        <v>0</v>
      </c>
      <c r="J274" s="43" t="n">
        <f aca="false">SUMIFS(Data!$K$2371:$K$3999,Data!$H$2371:$H$3999,B274)</f>
        <v>0</v>
      </c>
      <c r="K274" s="44" t="n">
        <f aca="false">SUMIFS(Data!$M$2:$M$781,Data!$H$2:$H$781,B274)</f>
        <v>0</v>
      </c>
      <c r="L274" s="42" t="n">
        <f aca="false">SUMIFS(Data!$M$782:$M$2370,Data!$H$782:$H$2370,B274)</f>
        <v>0</v>
      </c>
      <c r="M274" s="42" t="n">
        <f aca="false">SUMIFS(Data!$M$2371:$M$3999,Data!$H$2371:$H$3999,B274)</f>
        <v>0</v>
      </c>
      <c r="N274" s="45" t="n">
        <f aca="false">SUMIFS(Data!$O$2:$O$781,Data!$H$2:$H$781,B274)</f>
        <v>0</v>
      </c>
      <c r="O274" s="43" t="n">
        <f aca="false">SUMIFS(Data!$N$2:$N$781,Data!$H$2:$H$781,B274)</f>
        <v>0</v>
      </c>
      <c r="P274" s="42" t="n">
        <f aca="false">SUMIFS(Data!$P$2:$P$781,Data!$H$2:$H$781,B274)</f>
        <v>0</v>
      </c>
      <c r="Q274" s="43" t="n">
        <f aca="false">SUMIFS(Data!$O$782:$O$2370,Data!$H$782:$H$2370,B274)</f>
        <v>0</v>
      </c>
      <c r="R274" s="43" t="n">
        <f aca="false">SUMIFS(Data!$N$782:$N$2370,Data!$H$782:$H$2370,B274)</f>
        <v>0</v>
      </c>
      <c r="S274" s="43" t="n">
        <f aca="false">SUMIFS(Data!$O$2371:$O$3999,Data!$H$2371:$H$3999,B274)</f>
        <v>0</v>
      </c>
      <c r="T274" s="43" t="n">
        <f aca="false">SUMIFS(Data!$N$2371:$N$3999,Data!$H$2371:$H$3999,B274)</f>
        <v>0</v>
      </c>
      <c r="U274" s="46" t="n">
        <f aca="false">SUMIFS(Data!$R$2:$R$781,Data!$H$2:$H$781,B274)</f>
        <v>0</v>
      </c>
      <c r="V274" s="47" t="n">
        <f aca="false">SUMIFS(Data!$Q$2:$Q$781,Data!$H$2:$H$781,B274)</f>
        <v>0</v>
      </c>
      <c r="W274" s="42" t="n">
        <f aca="false">SUMIFS(Data!$R$782:$R$2370,Data!$H$782:$H$2370,B274)</f>
        <v>0</v>
      </c>
      <c r="X274" s="43" t="n">
        <f aca="false">SUMIFS(Data!$Q$782:$Q$2370,Data!$H$782:$H$2370,B274)</f>
        <v>0</v>
      </c>
      <c r="Y274" s="42" t="n">
        <f aca="false">SUMIFS(Data!$R$2371:$R$3999,Data!$H$2371:$H$3999,B274)</f>
        <v>0</v>
      </c>
      <c r="Z274" s="43" t="n">
        <f aca="false">SUMIFS(Data!$Q$2371:$Q$3999,Data!$H$2371:$H$3999,B274)</f>
        <v>0</v>
      </c>
      <c r="AA274" s="48" t="n">
        <f aca="false">V274+U274+O274+N274+K274+F274+E274+P274</f>
        <v>2</v>
      </c>
      <c r="AB274" s="49" t="n">
        <f aca="false">X274+W274+T274+R274+Q274+L274+H274+G274</f>
        <v>21</v>
      </c>
      <c r="AC274" s="49" t="n">
        <f aca="false">Z274+Y274+T274+S274+M274+J274+I274</f>
        <v>0</v>
      </c>
    </row>
    <row r="275" customFormat="false" ht="23.25" hidden="false" customHeight="true" outlineLevel="0" collapsed="false">
      <c r="A275" s="31" t="n">
        <f aca="false">Data!AE274</f>
        <v>1008004</v>
      </c>
      <c r="B275" s="31" t="str">
        <f aca="false">Data!AD274</f>
        <v>ميسون مرعي</v>
      </c>
      <c r="C275" s="31" t="n">
        <f aca="false">Data!AH274</f>
        <v>507680578</v>
      </c>
      <c r="D275" s="31" t="str">
        <f aca="false">Data!AF274</f>
        <v>حقل</v>
      </c>
      <c r="E275" s="42" t="n">
        <f aca="false">SUMIFS(Data!$L$2:$L$781,Data!$H$2:$H$781,B275)</f>
        <v>10</v>
      </c>
      <c r="F275" s="43" t="n">
        <f aca="false">SUMIFS(Data!$K$2:$K$781,Data!$H$2:$H$781,B275)</f>
        <v>12</v>
      </c>
      <c r="G275" s="42" t="n">
        <f aca="false">SUMIFS(Data!$L$782:$L$2370,Data!$H$782:$H$2370,B275)</f>
        <v>0</v>
      </c>
      <c r="H275" s="43" t="n">
        <f aca="false">SUMIFS(Data!$K$782:$K$2370,Data!$H$782:$H$2370,B275)</f>
        <v>17</v>
      </c>
      <c r="I275" s="42" t="n">
        <f aca="false">SUMIFS(Data!$L$2371:$L$3999,Data!$H$2371:$H$3999,B275)</f>
        <v>0</v>
      </c>
      <c r="J275" s="43" t="n">
        <f aca="false">SUMIFS(Data!$K$2371:$K$3999,Data!$H$2371:$H$3999,B275)</f>
        <v>0</v>
      </c>
      <c r="K275" s="44" t="n">
        <f aca="false">SUMIFS(Data!$M$2:$M$781,Data!$H$2:$H$781,B275)</f>
        <v>16</v>
      </c>
      <c r="L275" s="42" t="n">
        <f aca="false">SUMIFS(Data!$M$782:$M$2370,Data!$H$782:$H$2370,B275)</f>
        <v>3</v>
      </c>
      <c r="M275" s="42" t="n">
        <f aca="false">SUMIFS(Data!$M$2371:$M$3999,Data!$H$2371:$H$3999,B275)</f>
        <v>0</v>
      </c>
      <c r="N275" s="45" t="n">
        <f aca="false">SUMIFS(Data!$O$2:$O$781,Data!$H$2:$H$781,B275)</f>
        <v>4</v>
      </c>
      <c r="O275" s="43" t="n">
        <f aca="false">SUMIFS(Data!$N$2:$N$781,Data!$H$2:$H$781,B275)</f>
        <v>2</v>
      </c>
      <c r="P275" s="42" t="n">
        <f aca="false">SUMIFS(Data!$P$2:$P$781,Data!$H$2:$H$781,B275)</f>
        <v>2</v>
      </c>
      <c r="Q275" s="43" t="n">
        <f aca="false">SUMIFS(Data!$O$782:$O$2370,Data!$H$782:$H$2370,B275)</f>
        <v>2</v>
      </c>
      <c r="R275" s="43" t="n">
        <f aca="false">SUMIFS(Data!$N$782:$N$2370,Data!$H$782:$H$2370,B275)</f>
        <v>0</v>
      </c>
      <c r="S275" s="43" t="n">
        <f aca="false">SUMIFS(Data!$O$2371:$O$3999,Data!$H$2371:$H$3999,B275)</f>
        <v>0</v>
      </c>
      <c r="T275" s="43" t="n">
        <f aca="false">SUMIFS(Data!$N$2371:$N$3999,Data!$H$2371:$H$3999,B275)</f>
        <v>0</v>
      </c>
      <c r="U275" s="46" t="n">
        <f aca="false">SUMIFS(Data!$R$2:$R$781,Data!$H$2:$H$781,B275)</f>
        <v>3</v>
      </c>
      <c r="V275" s="47" t="n">
        <f aca="false">SUMIFS(Data!$Q$2:$Q$781,Data!$H$2:$H$781,B275)</f>
        <v>8</v>
      </c>
      <c r="W275" s="42" t="n">
        <f aca="false">SUMIFS(Data!$R$782:$R$2370,Data!$H$782:$H$2370,B275)</f>
        <v>5</v>
      </c>
      <c r="X275" s="43" t="n">
        <f aca="false">SUMIFS(Data!$Q$782:$Q$2370,Data!$H$782:$H$2370,B275)</f>
        <v>21</v>
      </c>
      <c r="Y275" s="42" t="n">
        <f aca="false">SUMIFS(Data!$R$2371:$R$3999,Data!$H$2371:$H$3999,B275)</f>
        <v>0</v>
      </c>
      <c r="Z275" s="43" t="n">
        <f aca="false">SUMIFS(Data!$Q$2371:$Q$3999,Data!$H$2371:$H$3999,B275)</f>
        <v>0</v>
      </c>
      <c r="AA275" s="48" t="n">
        <f aca="false">V275+U275+O275+N275+K275+F275+E275+P275</f>
        <v>57</v>
      </c>
      <c r="AB275" s="49" t="n">
        <f aca="false">X275+W275+T275+R275+Q275+L275+H275+G275</f>
        <v>48</v>
      </c>
      <c r="AC275" s="49" t="n">
        <f aca="false">Z275+Y275+T275+S275+M275+J275+I275</f>
        <v>0</v>
      </c>
    </row>
    <row r="276" customFormat="false" ht="23.25" hidden="false" customHeight="true" outlineLevel="0" collapsed="false">
      <c r="A276" s="31" t="n">
        <f aca="false">Data!AE275</f>
        <v>0</v>
      </c>
      <c r="B276" s="31" t="n">
        <f aca="false">Data!AD275</f>
        <v>0</v>
      </c>
      <c r="C276" s="31" t="n">
        <f aca="false">Data!AH275</f>
        <v>0</v>
      </c>
      <c r="D276" s="31" t="n">
        <f aca="false">Data!AF275</f>
        <v>0</v>
      </c>
      <c r="E276" s="42" t="n">
        <f aca="false">SUMIFS(Data!$L$2:$L$781,Data!$H$2:$H$781,B276)</f>
        <v>0</v>
      </c>
      <c r="F276" s="43" t="n">
        <f aca="false">SUMIFS(Data!$K$2:$K$781,Data!$H$2:$H$781,B276)</f>
        <v>0</v>
      </c>
      <c r="G276" s="42" t="n">
        <f aca="false">SUMIFS(Data!$L$782:$L$2370,Data!$H$782:$H$2370,B276)</f>
        <v>0</v>
      </c>
      <c r="H276" s="43" t="n">
        <f aca="false">SUMIFS(Data!$K$782:$K$2370,Data!$H$782:$H$2370,B276)</f>
        <v>0</v>
      </c>
      <c r="I276" s="42" t="n">
        <f aca="false">SUMIFS(Data!$L$2371:$L$3999,Data!$H$2371:$H$3999,B276)</f>
        <v>0</v>
      </c>
      <c r="J276" s="43" t="n">
        <f aca="false">SUMIFS(Data!$K$2371:$K$3999,Data!$H$2371:$H$3999,B276)</f>
        <v>0</v>
      </c>
      <c r="K276" s="44" t="n">
        <f aca="false">SUMIFS(Data!$M$2:$M$781,Data!$H$2:$H$781,B276)</f>
        <v>0</v>
      </c>
      <c r="L276" s="42" t="n">
        <f aca="false">SUMIFS(Data!$M$782:$M$2370,Data!$H$782:$H$2370,B276)</f>
        <v>0</v>
      </c>
      <c r="M276" s="42" t="n">
        <f aca="false">SUMIFS(Data!$M$2371:$M$3999,Data!$H$2371:$H$3999,B276)</f>
        <v>0</v>
      </c>
      <c r="N276" s="45" t="n">
        <f aca="false">SUMIFS(Data!$O$2:$O$781,Data!$H$2:$H$781,B276)</f>
        <v>0</v>
      </c>
      <c r="O276" s="43" t="n">
        <f aca="false">SUMIFS(Data!$N$2:$N$781,Data!$H$2:$H$781,B276)</f>
        <v>0</v>
      </c>
      <c r="P276" s="42" t="n">
        <f aca="false">SUMIFS(Data!$P$2:$P$781,Data!$H$2:$H$781,B276)</f>
        <v>0</v>
      </c>
      <c r="Q276" s="43" t="n">
        <f aca="false">SUMIFS(Data!$O$782:$O$2370,Data!$H$782:$H$2370,B276)</f>
        <v>0</v>
      </c>
      <c r="R276" s="43" t="n">
        <f aca="false">SUMIFS(Data!$N$782:$N$2370,Data!$H$782:$H$2370,B276)</f>
        <v>0</v>
      </c>
      <c r="S276" s="43" t="n">
        <f aca="false">SUMIFS(Data!$O$2371:$O$3999,Data!$H$2371:$H$3999,B276)</f>
        <v>0</v>
      </c>
      <c r="T276" s="43" t="n">
        <f aca="false">SUMIFS(Data!$N$2371:$N$3999,Data!$H$2371:$H$3999,B276)</f>
        <v>0</v>
      </c>
      <c r="U276" s="46" t="n">
        <f aca="false">SUMIFS(Data!$R$2:$R$781,Data!$H$2:$H$781,B276)</f>
        <v>0</v>
      </c>
      <c r="V276" s="47" t="n">
        <f aca="false">SUMIFS(Data!$Q$2:$Q$781,Data!$H$2:$H$781,B276)</f>
        <v>0</v>
      </c>
      <c r="W276" s="42" t="n">
        <f aca="false">SUMIFS(Data!$R$782:$R$2370,Data!$H$782:$H$2370,B276)</f>
        <v>0</v>
      </c>
      <c r="X276" s="43" t="n">
        <f aca="false">SUMIFS(Data!$Q$782:$Q$2370,Data!$H$782:$H$2370,B276)</f>
        <v>0</v>
      </c>
      <c r="Y276" s="42" t="n">
        <f aca="false">SUMIFS(Data!$R$2371:$R$3999,Data!$H$2371:$H$3999,B276)</f>
        <v>0</v>
      </c>
      <c r="Z276" s="43" t="n">
        <f aca="false">SUMIFS(Data!$Q$2371:$Q$3999,Data!$H$2371:$H$3999,B276)</f>
        <v>0</v>
      </c>
      <c r="AA276" s="48" t="n">
        <f aca="false">V276+U276+O276+N276+K276+F276+E276+P276</f>
        <v>0</v>
      </c>
      <c r="AB276" s="49" t="n">
        <f aca="false">X276+W276+T276+R276+Q276+L276+H276+G276</f>
        <v>0</v>
      </c>
      <c r="AC276" s="49" t="n">
        <f aca="false">Z276+Y276+T276+S276+M276+J276+I276</f>
        <v>0</v>
      </c>
    </row>
    <row r="277" customFormat="false" ht="23.25" hidden="false" customHeight="true" outlineLevel="0" collapsed="false">
      <c r="A277" s="31" t="n">
        <f aca="false">Data!AE276</f>
        <v>1006522</v>
      </c>
      <c r="B277" s="31" t="str">
        <f aca="false">Data!AD276</f>
        <v>الوان الجزيره</v>
      </c>
      <c r="C277" s="31" t="n">
        <f aca="false">Data!AH276</f>
        <v>501804825</v>
      </c>
      <c r="D277" s="31" t="str">
        <f aca="false">Data!AF276</f>
        <v>البدع</v>
      </c>
      <c r="E277" s="42" t="n">
        <f aca="false">SUMIFS(Data!$L$2:$L$781,Data!$H$2:$H$781,B277)</f>
        <v>18</v>
      </c>
      <c r="F277" s="43" t="n">
        <f aca="false">SUMIFS(Data!$K$2:$K$781,Data!$H$2:$H$781,B277)</f>
        <v>22</v>
      </c>
      <c r="G277" s="42" t="n">
        <f aca="false">SUMIFS(Data!$L$782:$L$2370,Data!$H$782:$H$2370,B277)</f>
        <v>0</v>
      </c>
      <c r="H277" s="43" t="n">
        <f aca="false">SUMIFS(Data!$K$782:$K$2370,Data!$H$782:$H$2370,B277)</f>
        <v>6</v>
      </c>
      <c r="I277" s="42" t="n">
        <f aca="false">SUMIFS(Data!$L$2371:$L$3999,Data!$H$2371:$H$3999,B277)</f>
        <v>0</v>
      </c>
      <c r="J277" s="43" t="n">
        <f aca="false">SUMIFS(Data!$K$2371:$K$3999,Data!$H$2371:$H$3999,B277)</f>
        <v>0</v>
      </c>
      <c r="K277" s="44" t="n">
        <f aca="false">SUMIFS(Data!$M$2:$M$781,Data!$H$2:$H$781,B277)</f>
        <v>5</v>
      </c>
      <c r="L277" s="42" t="n">
        <f aca="false">SUMIFS(Data!$M$782:$M$2370,Data!$H$782:$H$2370,B277)</f>
        <v>6</v>
      </c>
      <c r="M277" s="42" t="n">
        <f aca="false">SUMIFS(Data!$M$2371:$M$3999,Data!$H$2371:$H$3999,B277)</f>
        <v>0</v>
      </c>
      <c r="N277" s="45" t="n">
        <f aca="false">SUMIFS(Data!$O$2:$O$781,Data!$H$2:$H$781,B277)</f>
        <v>2</v>
      </c>
      <c r="O277" s="43" t="n">
        <f aca="false">SUMIFS(Data!$N$2:$N$781,Data!$H$2:$H$781,B277)</f>
        <v>2</v>
      </c>
      <c r="P277" s="42" t="n">
        <f aca="false">SUMIFS(Data!$P$2:$P$781,Data!$H$2:$H$781,B277)</f>
        <v>0</v>
      </c>
      <c r="Q277" s="43" t="n">
        <f aca="false">SUMIFS(Data!$O$782:$O$2370,Data!$H$782:$H$2370,B277)</f>
        <v>1</v>
      </c>
      <c r="R277" s="43" t="n">
        <f aca="false">SUMIFS(Data!$N$782:$N$2370,Data!$H$782:$H$2370,B277)</f>
        <v>0</v>
      </c>
      <c r="S277" s="43" t="n">
        <f aca="false">SUMIFS(Data!$O$2371:$O$3999,Data!$H$2371:$H$3999,B277)</f>
        <v>0</v>
      </c>
      <c r="T277" s="43" t="n">
        <f aca="false">SUMIFS(Data!$N$2371:$N$3999,Data!$H$2371:$H$3999,B277)</f>
        <v>0</v>
      </c>
      <c r="U277" s="46" t="n">
        <f aca="false">SUMIFS(Data!$R$2:$R$781,Data!$H$2:$H$781,B277)</f>
        <v>0</v>
      </c>
      <c r="V277" s="47" t="n">
        <f aca="false">SUMIFS(Data!$Q$2:$Q$781,Data!$H$2:$H$781,B277)</f>
        <v>0</v>
      </c>
      <c r="W277" s="42" t="n">
        <f aca="false">SUMIFS(Data!$R$782:$R$2370,Data!$H$782:$H$2370,B277)</f>
        <v>0</v>
      </c>
      <c r="X277" s="43" t="n">
        <f aca="false">SUMIFS(Data!$Q$782:$Q$2370,Data!$H$782:$H$2370,B277)</f>
        <v>5</v>
      </c>
      <c r="Y277" s="42" t="n">
        <f aca="false">SUMIFS(Data!$R$2371:$R$3999,Data!$H$2371:$H$3999,B277)</f>
        <v>0</v>
      </c>
      <c r="Z277" s="43" t="n">
        <f aca="false">SUMIFS(Data!$Q$2371:$Q$3999,Data!$H$2371:$H$3999,B277)</f>
        <v>0</v>
      </c>
      <c r="AA277" s="48" t="n">
        <f aca="false">V277+U277+O277+N277+K277+F277+E277+P277</f>
        <v>49</v>
      </c>
      <c r="AB277" s="49" t="n">
        <f aca="false">X277+W277+T277+R277+Q277+L277+H277+G277</f>
        <v>18</v>
      </c>
      <c r="AC277" s="49" t="n">
        <f aca="false">Z277+Y277+T277+S277+M277+J277+I277</f>
        <v>0</v>
      </c>
    </row>
    <row r="278" customFormat="false" ht="23.25" hidden="false" customHeight="true" outlineLevel="0" collapsed="false">
      <c r="A278" s="31" t="n">
        <f aca="false">Data!AE277</f>
        <v>1008010</v>
      </c>
      <c r="B278" s="31" t="str">
        <f aca="false">Data!AD277</f>
        <v>محطة الشمال</v>
      </c>
      <c r="C278" s="31" t="n">
        <f aca="false">Data!AH277</f>
        <v>0</v>
      </c>
      <c r="D278" s="31" t="str">
        <f aca="false">Data!AF277</f>
        <v>البدع</v>
      </c>
      <c r="E278" s="42" t="n">
        <f aca="false">SUMIFS(Data!$L$2:$L$781,Data!$H$2:$H$781,B278)</f>
        <v>0</v>
      </c>
      <c r="F278" s="43" t="n">
        <f aca="false">SUMIFS(Data!$K$2:$K$781,Data!$H$2:$H$781,B278)</f>
        <v>3</v>
      </c>
      <c r="G278" s="42" t="n">
        <f aca="false">SUMIFS(Data!$L$782:$L$2370,Data!$H$782:$H$2370,B278)</f>
        <v>0</v>
      </c>
      <c r="H278" s="43" t="n">
        <f aca="false">SUMIFS(Data!$K$782:$K$2370,Data!$H$782:$H$2370,B278)</f>
        <v>0</v>
      </c>
      <c r="I278" s="42" t="n">
        <f aca="false">SUMIFS(Data!$L$2371:$L$3999,Data!$H$2371:$H$3999,B278)</f>
        <v>0</v>
      </c>
      <c r="J278" s="43" t="n">
        <f aca="false">SUMIFS(Data!$K$2371:$K$3999,Data!$H$2371:$H$3999,B278)</f>
        <v>0</v>
      </c>
      <c r="K278" s="44" t="n">
        <f aca="false">SUMIFS(Data!$M$2:$M$781,Data!$H$2:$H$781,B278)</f>
        <v>0</v>
      </c>
      <c r="L278" s="42" t="n">
        <f aca="false">SUMIFS(Data!$M$782:$M$2370,Data!$H$782:$H$2370,B278)</f>
        <v>0</v>
      </c>
      <c r="M278" s="42" t="n">
        <f aca="false">SUMIFS(Data!$M$2371:$M$3999,Data!$H$2371:$H$3999,B278)</f>
        <v>0</v>
      </c>
      <c r="N278" s="45" t="n">
        <f aca="false">SUMIFS(Data!$O$2:$O$781,Data!$H$2:$H$781,B278)</f>
        <v>1</v>
      </c>
      <c r="O278" s="43" t="n">
        <f aca="false">SUMIFS(Data!$N$2:$N$781,Data!$H$2:$H$781,B278)</f>
        <v>2</v>
      </c>
      <c r="P278" s="42" t="n">
        <f aca="false">SUMIFS(Data!$P$2:$P$781,Data!$H$2:$H$781,B278)</f>
        <v>0</v>
      </c>
      <c r="Q278" s="43" t="n">
        <f aca="false">SUMIFS(Data!$O$782:$O$2370,Data!$H$782:$H$2370,B278)</f>
        <v>0</v>
      </c>
      <c r="R278" s="43" t="n">
        <f aca="false">SUMIFS(Data!$N$782:$N$2370,Data!$H$782:$H$2370,B278)</f>
        <v>0</v>
      </c>
      <c r="S278" s="43" t="n">
        <f aca="false">SUMIFS(Data!$O$2371:$O$3999,Data!$H$2371:$H$3999,B278)</f>
        <v>0</v>
      </c>
      <c r="T278" s="43" t="n">
        <f aca="false">SUMIFS(Data!$N$2371:$N$3999,Data!$H$2371:$H$3999,B278)</f>
        <v>0</v>
      </c>
      <c r="U278" s="46" t="n">
        <f aca="false">SUMIFS(Data!$R$2:$R$781,Data!$H$2:$H$781,B278)</f>
        <v>2</v>
      </c>
      <c r="V278" s="47" t="n">
        <f aca="false">SUMIFS(Data!$Q$2:$Q$781,Data!$H$2:$H$781,B278)</f>
        <v>0</v>
      </c>
      <c r="W278" s="42" t="n">
        <f aca="false">SUMIFS(Data!$R$782:$R$2370,Data!$H$782:$H$2370,B278)</f>
        <v>0</v>
      </c>
      <c r="X278" s="43" t="n">
        <f aca="false">SUMIFS(Data!$Q$782:$Q$2370,Data!$H$782:$H$2370,B278)</f>
        <v>0</v>
      </c>
      <c r="Y278" s="42" t="n">
        <f aca="false">SUMIFS(Data!$R$2371:$R$3999,Data!$H$2371:$H$3999,B278)</f>
        <v>0</v>
      </c>
      <c r="Z278" s="43" t="n">
        <f aca="false">SUMIFS(Data!$Q$2371:$Q$3999,Data!$H$2371:$H$3999,B278)</f>
        <v>0</v>
      </c>
      <c r="AA278" s="48" t="n">
        <f aca="false">V278+U278+O278+N278+K278+F278+E278+P278</f>
        <v>8</v>
      </c>
      <c r="AB278" s="49" t="n">
        <f aca="false">X278+W278+T278+R278+Q278+L278+H278+G278</f>
        <v>0</v>
      </c>
      <c r="AC278" s="49" t="n">
        <f aca="false">Z278+Y278+T278+S278+M278+J278+I278</f>
        <v>0</v>
      </c>
    </row>
    <row r="279" customFormat="false" ht="23.25" hidden="false" customHeight="true" outlineLevel="0" collapsed="false">
      <c r="A279" s="31" t="n">
        <f aca="false">Data!AE278</f>
        <v>786</v>
      </c>
      <c r="B279" s="31" t="str">
        <f aca="false">Data!AD278</f>
        <v>حلم الدوليه</v>
      </c>
      <c r="C279" s="31" t="n">
        <f aca="false">Data!AH278</f>
        <v>533480357</v>
      </c>
      <c r="D279" s="31" t="str">
        <f aca="false">Data!AF278</f>
        <v>البدع</v>
      </c>
      <c r="E279" s="42" t="n">
        <f aca="false">SUMIFS(Data!$L$2:$L$781,Data!$H$2:$H$781,B279)</f>
        <v>0</v>
      </c>
      <c r="F279" s="43" t="n">
        <f aca="false">SUMIFS(Data!$K$2:$K$781,Data!$H$2:$H$781,B279)</f>
        <v>1</v>
      </c>
      <c r="G279" s="42" t="n">
        <f aca="false">SUMIFS(Data!$L$782:$L$2370,Data!$H$782:$H$2370,B279)</f>
        <v>0</v>
      </c>
      <c r="H279" s="43" t="n">
        <f aca="false">SUMIFS(Data!$K$782:$K$2370,Data!$H$782:$H$2370,B279)</f>
        <v>32</v>
      </c>
      <c r="I279" s="42" t="n">
        <f aca="false">SUMIFS(Data!$L$2371:$L$3999,Data!$H$2371:$H$3999,B279)</f>
        <v>0</v>
      </c>
      <c r="J279" s="43" t="n">
        <f aca="false">SUMIFS(Data!$K$2371:$K$3999,Data!$H$2371:$H$3999,B279)</f>
        <v>0</v>
      </c>
      <c r="K279" s="44" t="n">
        <f aca="false">SUMIFS(Data!$M$2:$M$781,Data!$H$2:$H$781,B279)</f>
        <v>0</v>
      </c>
      <c r="L279" s="42" t="n">
        <f aca="false">SUMIFS(Data!$M$782:$M$2370,Data!$H$782:$H$2370,B279)</f>
        <v>0</v>
      </c>
      <c r="M279" s="42" t="n">
        <f aca="false">SUMIFS(Data!$M$2371:$M$3999,Data!$H$2371:$H$3999,B279)</f>
        <v>0</v>
      </c>
      <c r="N279" s="45" t="n">
        <f aca="false">SUMIFS(Data!$O$2:$O$781,Data!$H$2:$H$781,B279)</f>
        <v>7</v>
      </c>
      <c r="O279" s="43" t="n">
        <f aca="false">SUMIFS(Data!$N$2:$N$781,Data!$H$2:$H$781,B279)</f>
        <v>8</v>
      </c>
      <c r="P279" s="42" t="n">
        <f aca="false">SUMIFS(Data!$P$2:$P$781,Data!$H$2:$H$781,B279)</f>
        <v>0</v>
      </c>
      <c r="Q279" s="43" t="n">
        <f aca="false">SUMIFS(Data!$O$782:$O$2370,Data!$H$782:$H$2370,B279)</f>
        <v>10</v>
      </c>
      <c r="R279" s="43" t="n">
        <f aca="false">SUMIFS(Data!$N$782:$N$2370,Data!$H$782:$H$2370,B279)</f>
        <v>4</v>
      </c>
      <c r="S279" s="43" t="n">
        <f aca="false">SUMIFS(Data!$O$2371:$O$3999,Data!$H$2371:$H$3999,B279)</f>
        <v>0</v>
      </c>
      <c r="T279" s="43" t="n">
        <f aca="false">SUMIFS(Data!$N$2371:$N$3999,Data!$H$2371:$H$3999,B279)</f>
        <v>0</v>
      </c>
      <c r="U279" s="46" t="n">
        <f aca="false">SUMIFS(Data!$R$2:$R$781,Data!$H$2:$H$781,B279)</f>
        <v>0</v>
      </c>
      <c r="V279" s="47" t="n">
        <f aca="false">SUMIFS(Data!$Q$2:$Q$781,Data!$H$2:$H$781,B279)</f>
        <v>0</v>
      </c>
      <c r="W279" s="42" t="n">
        <f aca="false">SUMIFS(Data!$R$782:$R$2370,Data!$H$782:$H$2370,B279)</f>
        <v>1</v>
      </c>
      <c r="X279" s="43" t="n">
        <f aca="false">SUMIFS(Data!$Q$782:$Q$2370,Data!$H$782:$H$2370,B279)</f>
        <v>0</v>
      </c>
      <c r="Y279" s="42" t="n">
        <f aca="false">SUMIFS(Data!$R$2371:$R$3999,Data!$H$2371:$H$3999,B279)</f>
        <v>0</v>
      </c>
      <c r="Z279" s="43" t="n">
        <f aca="false">SUMIFS(Data!$Q$2371:$Q$3999,Data!$H$2371:$H$3999,B279)</f>
        <v>0</v>
      </c>
      <c r="AA279" s="48" t="n">
        <f aca="false">V279+U279+O279+N279+K279+F279+E279+P279</f>
        <v>16</v>
      </c>
      <c r="AB279" s="49" t="n">
        <f aca="false">X279+W279+T279+R279+Q279+L279+H279+G279</f>
        <v>47</v>
      </c>
      <c r="AC279" s="49" t="n">
        <f aca="false">Z279+Y279+T279+S279+M279+J279+I279</f>
        <v>0</v>
      </c>
    </row>
    <row r="280" customFormat="false" ht="23.25" hidden="false" customHeight="true" outlineLevel="0" collapsed="false">
      <c r="A280" s="31" t="n">
        <f aca="false">Data!AE279</f>
        <v>1008012</v>
      </c>
      <c r="B280" s="31" t="str">
        <f aca="false">Data!AD279</f>
        <v>صالح الطويل</v>
      </c>
      <c r="C280" s="31" t="n">
        <f aca="false">Data!AH279</f>
        <v>0</v>
      </c>
      <c r="D280" s="31" t="str">
        <f aca="false">Data!AF279</f>
        <v>البدع</v>
      </c>
      <c r="E280" s="42" t="n">
        <f aca="false">SUMIFS(Data!$L$2:$L$781,Data!$H$2:$H$781,B280)</f>
        <v>1</v>
      </c>
      <c r="F280" s="43" t="n">
        <f aca="false">SUMIFS(Data!$K$2:$K$781,Data!$H$2:$H$781,B280)</f>
        <v>10</v>
      </c>
      <c r="G280" s="42" t="n">
        <f aca="false">SUMIFS(Data!$L$782:$L$2370,Data!$H$782:$H$2370,B280)</f>
        <v>0</v>
      </c>
      <c r="H280" s="43" t="n">
        <f aca="false">SUMIFS(Data!$K$782:$K$2370,Data!$H$782:$H$2370,B280)</f>
        <v>0</v>
      </c>
      <c r="I280" s="42" t="n">
        <f aca="false">SUMIFS(Data!$L$2371:$L$3999,Data!$H$2371:$H$3999,B280)</f>
        <v>0</v>
      </c>
      <c r="J280" s="43" t="n">
        <f aca="false">SUMIFS(Data!$K$2371:$K$3999,Data!$H$2371:$H$3999,B280)</f>
        <v>0</v>
      </c>
      <c r="K280" s="44" t="n">
        <f aca="false">SUMIFS(Data!$M$2:$M$781,Data!$H$2:$H$781,B280)</f>
        <v>0</v>
      </c>
      <c r="L280" s="42" t="n">
        <f aca="false">SUMIFS(Data!$M$782:$M$2370,Data!$H$782:$H$2370,B280)</f>
        <v>0</v>
      </c>
      <c r="M280" s="42" t="n">
        <f aca="false">SUMIFS(Data!$M$2371:$M$3999,Data!$H$2371:$H$3999,B280)</f>
        <v>0</v>
      </c>
      <c r="N280" s="45" t="n">
        <f aca="false">SUMIFS(Data!$O$2:$O$781,Data!$H$2:$H$781,B280)</f>
        <v>0</v>
      </c>
      <c r="O280" s="43" t="n">
        <f aca="false">SUMIFS(Data!$N$2:$N$781,Data!$H$2:$H$781,B280)</f>
        <v>0</v>
      </c>
      <c r="P280" s="42" t="n">
        <f aca="false">SUMIFS(Data!$P$2:$P$781,Data!$H$2:$H$781,B280)</f>
        <v>0</v>
      </c>
      <c r="Q280" s="43" t="n">
        <f aca="false">SUMIFS(Data!$O$782:$O$2370,Data!$H$782:$H$2370,B280)</f>
        <v>0</v>
      </c>
      <c r="R280" s="43" t="n">
        <f aca="false">SUMIFS(Data!$N$782:$N$2370,Data!$H$782:$H$2370,B280)</f>
        <v>0</v>
      </c>
      <c r="S280" s="43" t="n">
        <f aca="false">SUMIFS(Data!$O$2371:$O$3999,Data!$H$2371:$H$3999,B280)</f>
        <v>0</v>
      </c>
      <c r="T280" s="43" t="n">
        <f aca="false">SUMIFS(Data!$N$2371:$N$3999,Data!$H$2371:$H$3999,B280)</f>
        <v>0</v>
      </c>
      <c r="U280" s="46" t="n">
        <f aca="false">SUMIFS(Data!$R$2:$R$781,Data!$H$2:$H$781,B280)</f>
        <v>0</v>
      </c>
      <c r="V280" s="47" t="n">
        <f aca="false">SUMIFS(Data!$Q$2:$Q$781,Data!$H$2:$H$781,B280)</f>
        <v>0</v>
      </c>
      <c r="W280" s="42" t="n">
        <f aca="false">SUMIFS(Data!$R$782:$R$2370,Data!$H$782:$H$2370,B280)</f>
        <v>0</v>
      </c>
      <c r="X280" s="43" t="n">
        <f aca="false">SUMIFS(Data!$Q$782:$Q$2370,Data!$H$782:$H$2370,B280)</f>
        <v>0</v>
      </c>
      <c r="Y280" s="42" t="n">
        <f aca="false">SUMIFS(Data!$R$2371:$R$3999,Data!$H$2371:$H$3999,B280)</f>
        <v>0</v>
      </c>
      <c r="Z280" s="43" t="n">
        <f aca="false">SUMIFS(Data!$Q$2371:$Q$3999,Data!$H$2371:$H$3999,B280)</f>
        <v>0</v>
      </c>
      <c r="AA280" s="48" t="n">
        <f aca="false">V280+U280+O280+N280+K280+F280+E280+P280</f>
        <v>11</v>
      </c>
      <c r="AB280" s="49" t="n">
        <f aca="false">X280+W280+T280+R280+Q280+L280+H280+G280</f>
        <v>0</v>
      </c>
      <c r="AC280" s="49" t="n">
        <f aca="false">Z280+Y280+T280+S280+M280+J280+I280</f>
        <v>0</v>
      </c>
    </row>
    <row r="281" customFormat="false" ht="23.25" hidden="false" customHeight="true" outlineLevel="0" collapsed="false">
      <c r="A281" s="31" t="n">
        <f aca="false">Data!AE280</f>
        <v>1008013</v>
      </c>
      <c r="B281" s="31" t="str">
        <f aca="false">Data!AD280</f>
        <v>فالح سليمان</v>
      </c>
      <c r="C281" s="31" t="n">
        <f aca="false">Data!AH280</f>
        <v>0</v>
      </c>
      <c r="D281" s="31" t="str">
        <f aca="false">Data!AF280</f>
        <v>البدع</v>
      </c>
      <c r="E281" s="42" t="n">
        <f aca="false">SUMIFS(Data!$L$2:$L$781,Data!$H$2:$H$781,B281)</f>
        <v>0</v>
      </c>
      <c r="F281" s="43" t="n">
        <f aca="false">SUMIFS(Data!$K$2:$K$781,Data!$H$2:$H$781,B281)</f>
        <v>0</v>
      </c>
      <c r="G281" s="42" t="n">
        <f aca="false">SUMIFS(Data!$L$782:$L$2370,Data!$H$782:$H$2370,B281)</f>
        <v>0</v>
      </c>
      <c r="H281" s="43" t="n">
        <f aca="false">SUMIFS(Data!$K$782:$K$2370,Data!$H$782:$H$2370,B281)</f>
        <v>0</v>
      </c>
      <c r="I281" s="42" t="n">
        <f aca="false">SUMIFS(Data!$L$2371:$L$3999,Data!$H$2371:$H$3999,B281)</f>
        <v>0</v>
      </c>
      <c r="J281" s="43" t="n">
        <f aca="false">SUMIFS(Data!$K$2371:$K$3999,Data!$H$2371:$H$3999,B281)</f>
        <v>0</v>
      </c>
      <c r="K281" s="44" t="n">
        <f aca="false">SUMIFS(Data!$M$2:$M$781,Data!$H$2:$H$781,B281)</f>
        <v>0</v>
      </c>
      <c r="L281" s="42" t="n">
        <f aca="false">SUMIFS(Data!$M$782:$M$2370,Data!$H$782:$H$2370,B281)</f>
        <v>0</v>
      </c>
      <c r="M281" s="42" t="n">
        <f aca="false">SUMIFS(Data!$M$2371:$M$3999,Data!$H$2371:$H$3999,B281)</f>
        <v>0</v>
      </c>
      <c r="N281" s="45" t="n">
        <f aca="false">SUMIFS(Data!$O$2:$O$781,Data!$H$2:$H$781,B281)</f>
        <v>0</v>
      </c>
      <c r="O281" s="43" t="n">
        <f aca="false">SUMIFS(Data!$N$2:$N$781,Data!$H$2:$H$781,B281)</f>
        <v>0</v>
      </c>
      <c r="P281" s="42" t="n">
        <f aca="false">SUMIFS(Data!$P$2:$P$781,Data!$H$2:$H$781,B281)</f>
        <v>0</v>
      </c>
      <c r="Q281" s="43" t="n">
        <f aca="false">SUMIFS(Data!$O$782:$O$2370,Data!$H$782:$H$2370,B281)</f>
        <v>0</v>
      </c>
      <c r="R281" s="43" t="n">
        <f aca="false">SUMIFS(Data!$N$782:$N$2370,Data!$H$782:$H$2370,B281)</f>
        <v>0</v>
      </c>
      <c r="S281" s="43" t="n">
        <f aca="false">SUMIFS(Data!$O$2371:$O$3999,Data!$H$2371:$H$3999,B281)</f>
        <v>0</v>
      </c>
      <c r="T281" s="43" t="n">
        <f aca="false">SUMIFS(Data!$N$2371:$N$3999,Data!$H$2371:$H$3999,B281)</f>
        <v>0</v>
      </c>
      <c r="U281" s="46" t="n">
        <f aca="false">SUMIFS(Data!$R$2:$R$781,Data!$H$2:$H$781,B281)</f>
        <v>0</v>
      </c>
      <c r="V281" s="47" t="n">
        <f aca="false">SUMIFS(Data!$Q$2:$Q$781,Data!$H$2:$H$781,B281)</f>
        <v>0</v>
      </c>
      <c r="W281" s="42" t="n">
        <f aca="false">SUMIFS(Data!$R$782:$R$2370,Data!$H$782:$H$2370,B281)</f>
        <v>0</v>
      </c>
      <c r="X281" s="43" t="n">
        <f aca="false">SUMIFS(Data!$Q$782:$Q$2370,Data!$H$782:$H$2370,B281)</f>
        <v>0</v>
      </c>
      <c r="Y281" s="42" t="n">
        <f aca="false">SUMIFS(Data!$R$2371:$R$3999,Data!$H$2371:$H$3999,B281)</f>
        <v>0</v>
      </c>
      <c r="Z281" s="43" t="n">
        <f aca="false">SUMIFS(Data!$Q$2371:$Q$3999,Data!$H$2371:$H$3999,B281)</f>
        <v>0</v>
      </c>
      <c r="AA281" s="48" t="n">
        <f aca="false">V281+U281+O281+N281+K281+F281+E281+P281</f>
        <v>0</v>
      </c>
      <c r="AB281" s="49" t="n">
        <f aca="false">X281+W281+T281+R281+Q281+L281+H281+G281</f>
        <v>0</v>
      </c>
      <c r="AC281" s="49" t="n">
        <f aca="false">Z281+Y281+T281+S281+M281+J281+I281</f>
        <v>0</v>
      </c>
    </row>
    <row r="282" customFormat="false" ht="23.25" hidden="false" customHeight="true" outlineLevel="0" collapsed="false">
      <c r="A282" s="31" t="n">
        <f aca="false">Data!AE281</f>
        <v>1008014</v>
      </c>
      <c r="B282" s="31" t="str">
        <f aca="false">Data!AD281</f>
        <v>ايمن سلامه</v>
      </c>
      <c r="C282" s="31" t="n">
        <f aca="false">Data!AH281</f>
        <v>535499043</v>
      </c>
      <c r="D282" s="31" t="str">
        <f aca="false">Data!AF281</f>
        <v>البدع</v>
      </c>
      <c r="E282" s="42" t="n">
        <f aca="false">SUMIFS(Data!$L$2:$L$781,Data!$H$2:$H$781,B282)</f>
        <v>1</v>
      </c>
      <c r="F282" s="43" t="n">
        <f aca="false">SUMIFS(Data!$K$2:$K$781,Data!$H$2:$H$781,B282)</f>
        <v>24</v>
      </c>
      <c r="G282" s="42" t="n">
        <f aca="false">SUMIFS(Data!$L$782:$L$2370,Data!$H$782:$H$2370,B282)</f>
        <v>0</v>
      </c>
      <c r="H282" s="43" t="n">
        <f aca="false">SUMIFS(Data!$K$782:$K$2370,Data!$H$782:$H$2370,B282)</f>
        <v>12</v>
      </c>
      <c r="I282" s="42" t="n">
        <f aca="false">SUMIFS(Data!$L$2371:$L$3999,Data!$H$2371:$H$3999,B282)</f>
        <v>0</v>
      </c>
      <c r="J282" s="43" t="n">
        <f aca="false">SUMIFS(Data!$K$2371:$K$3999,Data!$H$2371:$H$3999,B282)</f>
        <v>0</v>
      </c>
      <c r="K282" s="44" t="n">
        <f aca="false">SUMIFS(Data!$M$2:$M$781,Data!$H$2:$H$781,B282)</f>
        <v>5</v>
      </c>
      <c r="L282" s="42" t="n">
        <f aca="false">SUMIFS(Data!$M$782:$M$2370,Data!$H$782:$H$2370,B282)</f>
        <v>18</v>
      </c>
      <c r="M282" s="42" t="n">
        <f aca="false">SUMIFS(Data!$M$2371:$M$3999,Data!$H$2371:$H$3999,B282)</f>
        <v>0</v>
      </c>
      <c r="N282" s="45" t="n">
        <f aca="false">SUMIFS(Data!$O$2:$O$781,Data!$H$2:$H$781,B282)</f>
        <v>13</v>
      </c>
      <c r="O282" s="43" t="n">
        <f aca="false">SUMIFS(Data!$N$2:$N$781,Data!$H$2:$H$781,B282)</f>
        <v>13</v>
      </c>
      <c r="P282" s="42" t="n">
        <f aca="false">SUMIFS(Data!$P$2:$P$781,Data!$H$2:$H$781,B282)</f>
        <v>0</v>
      </c>
      <c r="Q282" s="43" t="n">
        <f aca="false">SUMIFS(Data!$O$782:$O$2370,Data!$H$782:$H$2370,B282)</f>
        <v>2</v>
      </c>
      <c r="R282" s="43" t="n">
        <f aca="false">SUMIFS(Data!$N$782:$N$2370,Data!$H$782:$H$2370,B282)</f>
        <v>0</v>
      </c>
      <c r="S282" s="43" t="n">
        <f aca="false">SUMIFS(Data!$O$2371:$O$3999,Data!$H$2371:$H$3999,B282)</f>
        <v>0</v>
      </c>
      <c r="T282" s="43" t="n">
        <f aca="false">SUMIFS(Data!$N$2371:$N$3999,Data!$H$2371:$H$3999,B282)</f>
        <v>0</v>
      </c>
      <c r="U282" s="46" t="n">
        <f aca="false">SUMIFS(Data!$R$2:$R$781,Data!$H$2:$H$781,B282)</f>
        <v>0</v>
      </c>
      <c r="V282" s="47" t="n">
        <f aca="false">SUMIFS(Data!$Q$2:$Q$781,Data!$H$2:$H$781,B282)</f>
        <v>2</v>
      </c>
      <c r="W282" s="42" t="n">
        <f aca="false">SUMIFS(Data!$R$782:$R$2370,Data!$H$782:$H$2370,B282)</f>
        <v>40</v>
      </c>
      <c r="X282" s="43" t="n">
        <f aca="false">SUMIFS(Data!$Q$782:$Q$2370,Data!$H$782:$H$2370,B282)</f>
        <v>0</v>
      </c>
      <c r="Y282" s="42" t="n">
        <f aca="false">SUMIFS(Data!$R$2371:$R$3999,Data!$H$2371:$H$3999,B282)</f>
        <v>0</v>
      </c>
      <c r="Z282" s="43" t="n">
        <f aca="false">SUMIFS(Data!$Q$2371:$Q$3999,Data!$H$2371:$H$3999,B282)</f>
        <v>0</v>
      </c>
      <c r="AA282" s="48" t="n">
        <f aca="false">V282+U282+O282+N282+K282+F282+E282+P282</f>
        <v>58</v>
      </c>
      <c r="AB282" s="49" t="n">
        <f aca="false">X282+W282+T282+R282+Q282+L282+H282+G282</f>
        <v>72</v>
      </c>
      <c r="AC282" s="49" t="n">
        <f aca="false">Z282+Y282+T282+S282+M282+J282+I282</f>
        <v>0</v>
      </c>
    </row>
    <row r="283" customFormat="false" ht="23.25" hidden="false" customHeight="true" outlineLevel="0" collapsed="false">
      <c r="A283" s="31" t="n">
        <f aca="false">Data!AE282</f>
        <v>1008015</v>
      </c>
      <c r="B283" s="31" t="str">
        <f aca="false">Data!AD282</f>
        <v>منى سلامه</v>
      </c>
      <c r="C283" s="31" t="n">
        <f aca="false">Data!AH282</f>
        <v>0</v>
      </c>
      <c r="D283" s="31" t="str">
        <f aca="false">Data!AF282</f>
        <v>البدع</v>
      </c>
      <c r="E283" s="42" t="n">
        <f aca="false">SUMIFS(Data!$L$2:$L$781,Data!$H$2:$H$781,B283)</f>
        <v>0</v>
      </c>
      <c r="F283" s="43" t="n">
        <f aca="false">SUMIFS(Data!$K$2:$K$781,Data!$H$2:$H$781,B283)</f>
        <v>0</v>
      </c>
      <c r="G283" s="42" t="n">
        <f aca="false">SUMIFS(Data!$L$782:$L$2370,Data!$H$782:$H$2370,B283)</f>
        <v>0</v>
      </c>
      <c r="H283" s="43" t="n">
        <f aca="false">SUMIFS(Data!$K$782:$K$2370,Data!$H$782:$H$2370,B283)</f>
        <v>0</v>
      </c>
      <c r="I283" s="42" t="n">
        <f aca="false">SUMIFS(Data!$L$2371:$L$3999,Data!$H$2371:$H$3999,B283)</f>
        <v>0</v>
      </c>
      <c r="J283" s="43" t="n">
        <f aca="false">SUMIFS(Data!$K$2371:$K$3999,Data!$H$2371:$H$3999,B283)</f>
        <v>0</v>
      </c>
      <c r="K283" s="44" t="n">
        <f aca="false">SUMIFS(Data!$M$2:$M$781,Data!$H$2:$H$781,B283)</f>
        <v>0</v>
      </c>
      <c r="L283" s="42" t="n">
        <f aca="false">SUMIFS(Data!$M$782:$M$2370,Data!$H$782:$H$2370,B283)</f>
        <v>0</v>
      </c>
      <c r="M283" s="42" t="n">
        <f aca="false">SUMIFS(Data!$M$2371:$M$3999,Data!$H$2371:$H$3999,B283)</f>
        <v>0</v>
      </c>
      <c r="N283" s="45" t="n">
        <f aca="false">SUMIFS(Data!$O$2:$O$781,Data!$H$2:$H$781,B283)</f>
        <v>0</v>
      </c>
      <c r="O283" s="43" t="n">
        <f aca="false">SUMIFS(Data!$N$2:$N$781,Data!$H$2:$H$781,B283)</f>
        <v>0</v>
      </c>
      <c r="P283" s="42" t="n">
        <f aca="false">SUMIFS(Data!$P$2:$P$781,Data!$H$2:$H$781,B283)</f>
        <v>0</v>
      </c>
      <c r="Q283" s="43" t="n">
        <f aca="false">SUMIFS(Data!$O$782:$O$2370,Data!$H$782:$H$2370,B283)</f>
        <v>0</v>
      </c>
      <c r="R283" s="43" t="n">
        <f aca="false">SUMIFS(Data!$N$782:$N$2370,Data!$H$782:$H$2370,B283)</f>
        <v>0</v>
      </c>
      <c r="S283" s="43" t="n">
        <f aca="false">SUMIFS(Data!$O$2371:$O$3999,Data!$H$2371:$H$3999,B283)</f>
        <v>0</v>
      </c>
      <c r="T283" s="43" t="n">
        <f aca="false">SUMIFS(Data!$N$2371:$N$3999,Data!$H$2371:$H$3999,B283)</f>
        <v>0</v>
      </c>
      <c r="U283" s="46" t="n">
        <f aca="false">SUMIFS(Data!$R$2:$R$781,Data!$H$2:$H$781,B283)</f>
        <v>0</v>
      </c>
      <c r="V283" s="47" t="n">
        <f aca="false">SUMIFS(Data!$Q$2:$Q$781,Data!$H$2:$H$781,B283)</f>
        <v>0</v>
      </c>
      <c r="W283" s="42" t="n">
        <f aca="false">SUMIFS(Data!$R$782:$R$2370,Data!$H$782:$H$2370,B283)</f>
        <v>0</v>
      </c>
      <c r="X283" s="43" t="n">
        <f aca="false">SUMIFS(Data!$Q$782:$Q$2370,Data!$H$782:$H$2370,B283)</f>
        <v>0</v>
      </c>
      <c r="Y283" s="42" t="n">
        <f aca="false">SUMIFS(Data!$R$2371:$R$3999,Data!$H$2371:$H$3999,B283)</f>
        <v>0</v>
      </c>
      <c r="Z283" s="43" t="n">
        <f aca="false">SUMIFS(Data!$Q$2371:$Q$3999,Data!$H$2371:$H$3999,B283)</f>
        <v>0</v>
      </c>
      <c r="AA283" s="48" t="n">
        <f aca="false">V283+U283+O283+N283+K283+F283+E283+P283</f>
        <v>0</v>
      </c>
      <c r="AB283" s="49" t="n">
        <f aca="false">X283+W283+T283+R283+Q283+L283+H283+G283</f>
        <v>0</v>
      </c>
      <c r="AC283" s="49" t="n">
        <f aca="false">Z283+Y283+T283+S283+M283+J283+I283</f>
        <v>0</v>
      </c>
    </row>
    <row r="284" customFormat="false" ht="23.25" hidden="false" customHeight="true" outlineLevel="0" collapsed="false">
      <c r="A284" s="31" t="n">
        <f aca="false">Data!AE283</f>
        <v>1008016</v>
      </c>
      <c r="B284" s="31" t="str">
        <f aca="false">Data!AD283</f>
        <v>ورشة مدين</v>
      </c>
      <c r="C284" s="31" t="n">
        <f aca="false">Data!AH283</f>
        <v>0</v>
      </c>
      <c r="D284" s="31" t="str">
        <f aca="false">Data!AF283</f>
        <v>البدع</v>
      </c>
      <c r="E284" s="42" t="n">
        <f aca="false">SUMIFS(Data!$L$2:$L$781,Data!$H$2:$H$781,B284)</f>
        <v>0</v>
      </c>
      <c r="F284" s="43" t="n">
        <f aca="false">SUMIFS(Data!$K$2:$K$781,Data!$H$2:$H$781,B284)</f>
        <v>0</v>
      </c>
      <c r="G284" s="42" t="n">
        <f aca="false">SUMIFS(Data!$L$782:$L$2370,Data!$H$782:$H$2370,B284)</f>
        <v>0</v>
      </c>
      <c r="H284" s="43" t="n">
        <f aca="false">SUMIFS(Data!$K$782:$K$2370,Data!$H$782:$H$2370,B284)</f>
        <v>0</v>
      </c>
      <c r="I284" s="42" t="n">
        <f aca="false">SUMIFS(Data!$L$2371:$L$3999,Data!$H$2371:$H$3999,B284)</f>
        <v>0</v>
      </c>
      <c r="J284" s="43" t="n">
        <f aca="false">SUMIFS(Data!$K$2371:$K$3999,Data!$H$2371:$H$3999,B284)</f>
        <v>0</v>
      </c>
      <c r="K284" s="44" t="n">
        <f aca="false">SUMIFS(Data!$M$2:$M$781,Data!$H$2:$H$781,B284)</f>
        <v>0</v>
      </c>
      <c r="L284" s="42" t="n">
        <f aca="false">SUMIFS(Data!$M$782:$M$2370,Data!$H$782:$H$2370,B284)</f>
        <v>0</v>
      </c>
      <c r="M284" s="42" t="n">
        <f aca="false">SUMIFS(Data!$M$2371:$M$3999,Data!$H$2371:$H$3999,B284)</f>
        <v>0</v>
      </c>
      <c r="N284" s="45" t="n">
        <f aca="false">SUMIFS(Data!$O$2:$O$781,Data!$H$2:$H$781,B284)</f>
        <v>0</v>
      </c>
      <c r="O284" s="43" t="n">
        <f aca="false">SUMIFS(Data!$N$2:$N$781,Data!$H$2:$H$781,B284)</f>
        <v>0</v>
      </c>
      <c r="P284" s="42" t="n">
        <f aca="false">SUMIFS(Data!$P$2:$P$781,Data!$H$2:$H$781,B284)</f>
        <v>0</v>
      </c>
      <c r="Q284" s="43" t="n">
        <f aca="false">SUMIFS(Data!$O$782:$O$2370,Data!$H$782:$H$2370,B284)</f>
        <v>0</v>
      </c>
      <c r="R284" s="43" t="n">
        <f aca="false">SUMIFS(Data!$N$782:$N$2370,Data!$H$782:$H$2370,B284)</f>
        <v>0</v>
      </c>
      <c r="S284" s="43" t="n">
        <f aca="false">SUMIFS(Data!$O$2371:$O$3999,Data!$H$2371:$H$3999,B284)</f>
        <v>0</v>
      </c>
      <c r="T284" s="43" t="n">
        <f aca="false">SUMIFS(Data!$N$2371:$N$3999,Data!$H$2371:$H$3999,B284)</f>
        <v>0</v>
      </c>
      <c r="U284" s="46" t="n">
        <f aca="false">SUMIFS(Data!$R$2:$R$781,Data!$H$2:$H$781,B284)</f>
        <v>0</v>
      </c>
      <c r="V284" s="47" t="n">
        <f aca="false">SUMIFS(Data!$Q$2:$Q$781,Data!$H$2:$H$781,B284)</f>
        <v>0</v>
      </c>
      <c r="W284" s="42" t="n">
        <f aca="false">SUMIFS(Data!$R$782:$R$2370,Data!$H$782:$H$2370,B284)</f>
        <v>0</v>
      </c>
      <c r="X284" s="43" t="n">
        <f aca="false">SUMIFS(Data!$Q$782:$Q$2370,Data!$H$782:$H$2370,B284)</f>
        <v>0</v>
      </c>
      <c r="Y284" s="42" t="n">
        <f aca="false">SUMIFS(Data!$R$2371:$R$3999,Data!$H$2371:$H$3999,B284)</f>
        <v>0</v>
      </c>
      <c r="Z284" s="43" t="n">
        <f aca="false">SUMIFS(Data!$Q$2371:$Q$3999,Data!$H$2371:$H$3999,B284)</f>
        <v>0</v>
      </c>
      <c r="AA284" s="48" t="n">
        <f aca="false">V284+U284+O284+N284+K284+F284+E284+P284</f>
        <v>0</v>
      </c>
      <c r="AB284" s="49" t="n">
        <f aca="false">X284+W284+T284+R284+Q284+L284+H284+G284</f>
        <v>0</v>
      </c>
      <c r="AC284" s="49" t="n">
        <f aca="false">Z284+Y284+T284+S284+M284+J284+I284</f>
        <v>0</v>
      </c>
    </row>
    <row r="285" customFormat="false" ht="23.25" hidden="false" customHeight="true" outlineLevel="0" collapsed="false">
      <c r="A285" s="31" t="n">
        <f aca="false">Data!AE284</f>
        <v>1008017</v>
      </c>
      <c r="B285" s="31" t="str">
        <f aca="false">Data!AD284</f>
        <v>ناصر المسعودي</v>
      </c>
      <c r="C285" s="31" t="n">
        <f aca="false">Data!AH284</f>
        <v>538928582</v>
      </c>
      <c r="D285" s="31" t="str">
        <f aca="false">Data!AF284</f>
        <v>البدع</v>
      </c>
      <c r="E285" s="42" t="n">
        <f aca="false">SUMIFS(Data!$L$2:$L$781,Data!$H$2:$H$781,B285)</f>
        <v>1</v>
      </c>
      <c r="F285" s="43" t="n">
        <f aca="false">SUMIFS(Data!$K$2:$K$781,Data!$H$2:$H$781,B285)</f>
        <v>4</v>
      </c>
      <c r="G285" s="42" t="n">
        <f aca="false">SUMIFS(Data!$L$782:$L$2370,Data!$H$782:$H$2370,B285)</f>
        <v>1</v>
      </c>
      <c r="H285" s="43" t="n">
        <f aca="false">SUMIFS(Data!$K$782:$K$2370,Data!$H$782:$H$2370,B285)</f>
        <v>20</v>
      </c>
      <c r="I285" s="42" t="n">
        <f aca="false">SUMIFS(Data!$L$2371:$L$3999,Data!$H$2371:$H$3999,B285)</f>
        <v>0</v>
      </c>
      <c r="J285" s="43" t="n">
        <f aca="false">SUMIFS(Data!$K$2371:$K$3999,Data!$H$2371:$H$3999,B285)</f>
        <v>0</v>
      </c>
      <c r="K285" s="44" t="n">
        <f aca="false">SUMIFS(Data!$M$2:$M$781,Data!$H$2:$H$781,B285)</f>
        <v>0</v>
      </c>
      <c r="L285" s="42" t="n">
        <f aca="false">SUMIFS(Data!$M$782:$M$2370,Data!$H$782:$H$2370,B285)</f>
        <v>18</v>
      </c>
      <c r="M285" s="42" t="n">
        <f aca="false">SUMIFS(Data!$M$2371:$M$3999,Data!$H$2371:$H$3999,B285)</f>
        <v>0</v>
      </c>
      <c r="N285" s="45" t="n">
        <f aca="false">SUMIFS(Data!$O$2:$O$781,Data!$H$2:$H$781,B285)</f>
        <v>13</v>
      </c>
      <c r="O285" s="43" t="n">
        <f aca="false">SUMIFS(Data!$N$2:$N$781,Data!$H$2:$H$781,B285)</f>
        <v>0</v>
      </c>
      <c r="P285" s="42" t="n">
        <f aca="false">SUMIFS(Data!$P$2:$P$781,Data!$H$2:$H$781,B285)</f>
        <v>0</v>
      </c>
      <c r="Q285" s="43" t="n">
        <f aca="false">SUMIFS(Data!$O$782:$O$2370,Data!$H$782:$H$2370,B285)</f>
        <v>0</v>
      </c>
      <c r="R285" s="43" t="n">
        <f aca="false">SUMIFS(Data!$N$782:$N$2370,Data!$H$782:$H$2370,B285)</f>
        <v>0</v>
      </c>
      <c r="S285" s="43" t="n">
        <f aca="false">SUMIFS(Data!$O$2371:$O$3999,Data!$H$2371:$H$3999,B285)</f>
        <v>0</v>
      </c>
      <c r="T285" s="43" t="n">
        <f aca="false">SUMIFS(Data!$N$2371:$N$3999,Data!$H$2371:$H$3999,B285)</f>
        <v>0</v>
      </c>
      <c r="U285" s="46" t="n">
        <f aca="false">SUMIFS(Data!$R$2:$R$781,Data!$H$2:$H$781,B285)</f>
        <v>0</v>
      </c>
      <c r="V285" s="47" t="n">
        <f aca="false">SUMIFS(Data!$Q$2:$Q$781,Data!$H$2:$H$781,B285)</f>
        <v>0</v>
      </c>
      <c r="W285" s="42" t="n">
        <f aca="false">SUMIFS(Data!$R$782:$R$2370,Data!$H$782:$H$2370,B285)</f>
        <v>2</v>
      </c>
      <c r="X285" s="43" t="n">
        <f aca="false">SUMIFS(Data!$Q$782:$Q$2370,Data!$H$782:$H$2370,B285)</f>
        <v>5</v>
      </c>
      <c r="Y285" s="42" t="n">
        <f aca="false">SUMIFS(Data!$R$2371:$R$3999,Data!$H$2371:$H$3999,B285)</f>
        <v>0</v>
      </c>
      <c r="Z285" s="43" t="n">
        <f aca="false">SUMIFS(Data!$Q$2371:$Q$3999,Data!$H$2371:$H$3999,B285)</f>
        <v>0</v>
      </c>
      <c r="AA285" s="48" t="n">
        <f aca="false">V285+U285+O285+N285+K285+F285+E285+P285</f>
        <v>18</v>
      </c>
      <c r="AB285" s="49" t="n">
        <f aca="false">X285+W285+T285+R285+Q285+L285+H285+G285</f>
        <v>46</v>
      </c>
      <c r="AC285" s="49" t="n">
        <f aca="false">Z285+Y285+T285+S285+M285+J285+I285</f>
        <v>0</v>
      </c>
    </row>
    <row r="286" customFormat="false" ht="23.25" hidden="false" customHeight="true" outlineLevel="0" collapsed="false">
      <c r="A286" s="31" t="n">
        <f aca="false">Data!AE285</f>
        <v>1008018</v>
      </c>
      <c r="B286" s="31" t="str">
        <f aca="false">Data!AD285</f>
        <v>ورشة السلام</v>
      </c>
      <c r="C286" s="31" t="n">
        <f aca="false">Data!AH285</f>
        <v>0</v>
      </c>
      <c r="D286" s="31" t="str">
        <f aca="false">Data!AF285</f>
        <v>البدع</v>
      </c>
      <c r="E286" s="42" t="n">
        <f aca="false">SUMIFS(Data!$L$2:$L$781,Data!$H$2:$H$781,B286)</f>
        <v>0</v>
      </c>
      <c r="F286" s="43" t="n">
        <f aca="false">SUMIFS(Data!$K$2:$K$781,Data!$H$2:$H$781,B286)</f>
        <v>0</v>
      </c>
      <c r="G286" s="42" t="n">
        <f aca="false">SUMIFS(Data!$L$782:$L$2370,Data!$H$782:$H$2370,B286)</f>
        <v>0</v>
      </c>
      <c r="H286" s="43" t="n">
        <f aca="false">SUMIFS(Data!$K$782:$K$2370,Data!$H$782:$H$2370,B286)</f>
        <v>0</v>
      </c>
      <c r="I286" s="42" t="n">
        <f aca="false">SUMIFS(Data!$L$2371:$L$3999,Data!$H$2371:$H$3999,B286)</f>
        <v>0</v>
      </c>
      <c r="J286" s="43" t="n">
        <f aca="false">SUMIFS(Data!$K$2371:$K$3999,Data!$H$2371:$H$3999,B286)</f>
        <v>0</v>
      </c>
      <c r="K286" s="44" t="n">
        <f aca="false">SUMIFS(Data!$M$2:$M$781,Data!$H$2:$H$781,B286)</f>
        <v>0</v>
      </c>
      <c r="L286" s="42" t="n">
        <f aca="false">SUMIFS(Data!$M$782:$M$2370,Data!$H$782:$H$2370,B286)</f>
        <v>0</v>
      </c>
      <c r="M286" s="42" t="n">
        <f aca="false">SUMIFS(Data!$M$2371:$M$3999,Data!$H$2371:$H$3999,B286)</f>
        <v>0</v>
      </c>
      <c r="N286" s="45" t="n">
        <f aca="false">SUMIFS(Data!$O$2:$O$781,Data!$H$2:$H$781,B286)</f>
        <v>0</v>
      </c>
      <c r="O286" s="43" t="n">
        <f aca="false">SUMIFS(Data!$N$2:$N$781,Data!$H$2:$H$781,B286)</f>
        <v>0</v>
      </c>
      <c r="P286" s="42" t="n">
        <f aca="false">SUMIFS(Data!$P$2:$P$781,Data!$H$2:$H$781,B286)</f>
        <v>0</v>
      </c>
      <c r="Q286" s="43" t="n">
        <f aca="false">SUMIFS(Data!$O$782:$O$2370,Data!$H$782:$H$2370,B286)</f>
        <v>0</v>
      </c>
      <c r="R286" s="43" t="n">
        <f aca="false">SUMIFS(Data!$N$782:$N$2370,Data!$H$782:$H$2370,B286)</f>
        <v>0</v>
      </c>
      <c r="S286" s="43" t="n">
        <f aca="false">SUMIFS(Data!$O$2371:$O$3999,Data!$H$2371:$H$3999,B286)</f>
        <v>0</v>
      </c>
      <c r="T286" s="43" t="n">
        <f aca="false">SUMIFS(Data!$N$2371:$N$3999,Data!$H$2371:$H$3999,B286)</f>
        <v>0</v>
      </c>
      <c r="U286" s="46" t="n">
        <f aca="false">SUMIFS(Data!$R$2:$R$781,Data!$H$2:$H$781,B286)</f>
        <v>0</v>
      </c>
      <c r="V286" s="47" t="n">
        <f aca="false">SUMIFS(Data!$Q$2:$Q$781,Data!$H$2:$H$781,B286)</f>
        <v>0</v>
      </c>
      <c r="W286" s="42" t="n">
        <f aca="false">SUMIFS(Data!$R$782:$R$2370,Data!$H$782:$H$2370,B286)</f>
        <v>0</v>
      </c>
      <c r="X286" s="43" t="n">
        <f aca="false">SUMIFS(Data!$Q$782:$Q$2370,Data!$H$782:$H$2370,B286)</f>
        <v>0</v>
      </c>
      <c r="Y286" s="42" t="n">
        <f aca="false">SUMIFS(Data!$R$2371:$R$3999,Data!$H$2371:$H$3999,B286)</f>
        <v>0</v>
      </c>
      <c r="Z286" s="43" t="n">
        <f aca="false">SUMIFS(Data!$Q$2371:$Q$3999,Data!$H$2371:$H$3999,B286)</f>
        <v>0</v>
      </c>
      <c r="AA286" s="48" t="n">
        <f aca="false">V286+U286+O286+N286+K286+F286+E286+P286</f>
        <v>0</v>
      </c>
      <c r="AB286" s="49" t="n">
        <f aca="false">X286+W286+T286+R286+Q286+L286+H286+G286</f>
        <v>0</v>
      </c>
      <c r="AC286" s="49" t="n">
        <f aca="false">Z286+Y286+T286+S286+M286+J286+I286</f>
        <v>0</v>
      </c>
    </row>
    <row r="287" customFormat="false" ht="23.25" hidden="false" customHeight="true" outlineLevel="0" collapsed="false">
      <c r="A287" s="31" t="n">
        <f aca="false">Data!AE286</f>
        <v>1008019</v>
      </c>
      <c r="B287" s="31" t="str">
        <f aca="false">Data!AD286</f>
        <v>عليا المسعودي</v>
      </c>
      <c r="C287" s="31" t="n">
        <f aca="false">Data!AH286</f>
        <v>533989546</v>
      </c>
      <c r="D287" s="31" t="str">
        <f aca="false">Data!AF286</f>
        <v>البدع</v>
      </c>
      <c r="E287" s="42" t="n">
        <f aca="false">SUMIFS(Data!$L$2:$L$781,Data!$H$2:$H$781,B287)</f>
        <v>0</v>
      </c>
      <c r="F287" s="43" t="n">
        <f aca="false">SUMIFS(Data!$K$2:$K$781,Data!$H$2:$H$781,B287)</f>
        <v>2</v>
      </c>
      <c r="G287" s="42" t="n">
        <f aca="false">SUMIFS(Data!$L$782:$L$2370,Data!$H$782:$H$2370,B287)</f>
        <v>0</v>
      </c>
      <c r="H287" s="43" t="n">
        <f aca="false">SUMIFS(Data!$K$782:$K$2370,Data!$H$782:$H$2370,B287)</f>
        <v>0</v>
      </c>
      <c r="I287" s="42" t="n">
        <f aca="false">SUMIFS(Data!$L$2371:$L$3999,Data!$H$2371:$H$3999,B287)</f>
        <v>0</v>
      </c>
      <c r="J287" s="43" t="n">
        <f aca="false">SUMIFS(Data!$K$2371:$K$3999,Data!$H$2371:$H$3999,B287)</f>
        <v>0</v>
      </c>
      <c r="K287" s="44" t="n">
        <f aca="false">SUMIFS(Data!$M$2:$M$781,Data!$H$2:$H$781,B287)</f>
        <v>2</v>
      </c>
      <c r="L287" s="42" t="n">
        <f aca="false">SUMIFS(Data!$M$782:$M$2370,Data!$H$782:$H$2370,B287)</f>
        <v>3</v>
      </c>
      <c r="M287" s="42" t="n">
        <f aca="false">SUMIFS(Data!$M$2371:$M$3999,Data!$H$2371:$H$3999,B287)</f>
        <v>0</v>
      </c>
      <c r="N287" s="45" t="n">
        <f aca="false">SUMIFS(Data!$O$2:$O$781,Data!$H$2:$H$781,B287)</f>
        <v>2</v>
      </c>
      <c r="O287" s="43" t="n">
        <f aca="false">SUMIFS(Data!$N$2:$N$781,Data!$H$2:$H$781,B287)</f>
        <v>1</v>
      </c>
      <c r="P287" s="42" t="n">
        <f aca="false">SUMIFS(Data!$P$2:$P$781,Data!$H$2:$H$781,B287)</f>
        <v>0</v>
      </c>
      <c r="Q287" s="43" t="n">
        <f aca="false">SUMIFS(Data!$O$782:$O$2370,Data!$H$782:$H$2370,B287)</f>
        <v>28</v>
      </c>
      <c r="R287" s="43" t="n">
        <f aca="false">SUMIFS(Data!$N$782:$N$2370,Data!$H$782:$H$2370,B287)</f>
        <v>3</v>
      </c>
      <c r="S287" s="43" t="n">
        <f aca="false">SUMIFS(Data!$O$2371:$O$3999,Data!$H$2371:$H$3999,B287)</f>
        <v>0</v>
      </c>
      <c r="T287" s="43" t="n">
        <f aca="false">SUMIFS(Data!$N$2371:$N$3999,Data!$H$2371:$H$3999,B287)</f>
        <v>0</v>
      </c>
      <c r="U287" s="46" t="n">
        <f aca="false">SUMIFS(Data!$R$2:$R$781,Data!$H$2:$H$781,B287)</f>
        <v>1</v>
      </c>
      <c r="V287" s="47" t="n">
        <f aca="false">SUMIFS(Data!$Q$2:$Q$781,Data!$H$2:$H$781,B287)</f>
        <v>1</v>
      </c>
      <c r="W287" s="42" t="n">
        <f aca="false">SUMIFS(Data!$R$782:$R$2370,Data!$H$782:$H$2370,B287)</f>
        <v>0</v>
      </c>
      <c r="X287" s="43" t="n">
        <f aca="false">SUMIFS(Data!$Q$782:$Q$2370,Data!$H$782:$H$2370,B287)</f>
        <v>0</v>
      </c>
      <c r="Y287" s="42" t="n">
        <f aca="false">SUMIFS(Data!$R$2371:$R$3999,Data!$H$2371:$H$3999,B287)</f>
        <v>0</v>
      </c>
      <c r="Z287" s="43" t="n">
        <f aca="false">SUMIFS(Data!$Q$2371:$Q$3999,Data!$H$2371:$H$3999,B287)</f>
        <v>0</v>
      </c>
      <c r="AA287" s="48" t="n">
        <f aca="false">V287+U287+O287+N287+K287+F287+E287+P287</f>
        <v>9</v>
      </c>
      <c r="AB287" s="49" t="n">
        <f aca="false">X287+W287+T287+R287+Q287+L287+H287+G287</f>
        <v>34</v>
      </c>
      <c r="AC287" s="49" t="n">
        <f aca="false">Z287+Y287+T287+S287+M287+J287+I287</f>
        <v>0</v>
      </c>
    </row>
    <row r="288" customFormat="false" ht="23.25" hidden="false" customHeight="true" outlineLevel="0" collapsed="false">
      <c r="A288" s="31" t="n">
        <f aca="false">Data!AE287</f>
        <v>1008041</v>
      </c>
      <c r="B288" s="31" t="str">
        <f aca="false">Data!AD287</f>
        <v>واقيه المسعودي</v>
      </c>
      <c r="C288" s="31" t="n">
        <f aca="false">Data!AH287</f>
        <v>0</v>
      </c>
      <c r="D288" s="31" t="str">
        <f aca="false">Data!AF287</f>
        <v>البدع</v>
      </c>
      <c r="E288" s="42" t="n">
        <f aca="false">SUMIFS(Data!$L$2:$L$781,Data!$H$2:$H$781,B288)</f>
        <v>0</v>
      </c>
      <c r="F288" s="43" t="n">
        <f aca="false">SUMIFS(Data!$K$2:$K$781,Data!$H$2:$H$781,B288)</f>
        <v>0</v>
      </c>
      <c r="G288" s="42" t="n">
        <f aca="false">SUMIFS(Data!$L$782:$L$2370,Data!$H$782:$H$2370,B288)</f>
        <v>0</v>
      </c>
      <c r="H288" s="43" t="n">
        <f aca="false">SUMIFS(Data!$K$782:$K$2370,Data!$H$782:$H$2370,B288)</f>
        <v>0</v>
      </c>
      <c r="I288" s="42" t="n">
        <f aca="false">SUMIFS(Data!$L$2371:$L$3999,Data!$H$2371:$H$3999,B288)</f>
        <v>0</v>
      </c>
      <c r="J288" s="43" t="n">
        <f aca="false">SUMIFS(Data!$K$2371:$K$3999,Data!$H$2371:$H$3999,B288)</f>
        <v>0</v>
      </c>
      <c r="K288" s="44" t="n">
        <f aca="false">SUMIFS(Data!$M$2:$M$781,Data!$H$2:$H$781,B288)</f>
        <v>0</v>
      </c>
      <c r="L288" s="42" t="n">
        <f aca="false">SUMIFS(Data!$M$782:$M$2370,Data!$H$782:$H$2370,B288)</f>
        <v>0</v>
      </c>
      <c r="M288" s="42" t="n">
        <f aca="false">SUMIFS(Data!$M$2371:$M$3999,Data!$H$2371:$H$3999,B288)</f>
        <v>0</v>
      </c>
      <c r="N288" s="45" t="n">
        <f aca="false">SUMIFS(Data!$O$2:$O$781,Data!$H$2:$H$781,B288)</f>
        <v>0</v>
      </c>
      <c r="O288" s="43" t="n">
        <f aca="false">SUMIFS(Data!$N$2:$N$781,Data!$H$2:$H$781,B288)</f>
        <v>0</v>
      </c>
      <c r="P288" s="42" t="n">
        <f aca="false">SUMIFS(Data!$P$2:$P$781,Data!$H$2:$H$781,B288)</f>
        <v>0</v>
      </c>
      <c r="Q288" s="43" t="n">
        <f aca="false">SUMIFS(Data!$O$782:$O$2370,Data!$H$782:$H$2370,B288)</f>
        <v>0</v>
      </c>
      <c r="R288" s="43" t="n">
        <f aca="false">SUMIFS(Data!$N$782:$N$2370,Data!$H$782:$H$2370,B288)</f>
        <v>0</v>
      </c>
      <c r="S288" s="43" t="n">
        <f aca="false">SUMIFS(Data!$O$2371:$O$3999,Data!$H$2371:$H$3999,B288)</f>
        <v>0</v>
      </c>
      <c r="T288" s="43" t="n">
        <f aca="false">SUMIFS(Data!$N$2371:$N$3999,Data!$H$2371:$H$3999,B288)</f>
        <v>0</v>
      </c>
      <c r="U288" s="46" t="n">
        <f aca="false">SUMIFS(Data!$R$2:$R$781,Data!$H$2:$H$781,B288)</f>
        <v>0</v>
      </c>
      <c r="V288" s="47" t="n">
        <f aca="false">SUMIFS(Data!$Q$2:$Q$781,Data!$H$2:$H$781,B288)</f>
        <v>0</v>
      </c>
      <c r="W288" s="42" t="n">
        <f aca="false">SUMIFS(Data!$R$782:$R$2370,Data!$H$782:$H$2370,B288)</f>
        <v>0</v>
      </c>
      <c r="X288" s="43" t="n">
        <f aca="false">SUMIFS(Data!$Q$782:$Q$2370,Data!$H$782:$H$2370,B288)</f>
        <v>0</v>
      </c>
      <c r="Y288" s="42" t="n">
        <f aca="false">SUMIFS(Data!$R$2371:$R$3999,Data!$H$2371:$H$3999,B288)</f>
        <v>0</v>
      </c>
      <c r="Z288" s="43" t="n">
        <f aca="false">SUMIFS(Data!$Q$2371:$Q$3999,Data!$H$2371:$H$3999,B288)</f>
        <v>0</v>
      </c>
      <c r="AA288" s="48" t="n">
        <f aca="false">V288+U288+O288+N288+K288+F288+E288+P288</f>
        <v>0</v>
      </c>
      <c r="AB288" s="49" t="n">
        <f aca="false">X288+W288+T288+R288+Q288+L288+H288+G288</f>
        <v>0</v>
      </c>
      <c r="AC288" s="49" t="n">
        <f aca="false">Z288+Y288+T288+S288+M288+J288+I288</f>
        <v>0</v>
      </c>
    </row>
    <row r="289" customFormat="false" ht="23.25" hidden="false" customHeight="true" outlineLevel="0" collapsed="false">
      <c r="A289" s="31" t="n">
        <f aca="false">Data!AE288</f>
        <v>1008042</v>
      </c>
      <c r="B289" s="31" t="str">
        <f aca="false">Data!AD288</f>
        <v>مركز رسام</v>
      </c>
      <c r="C289" s="31" t="n">
        <f aca="false">Data!AH288</f>
        <v>0</v>
      </c>
      <c r="D289" s="31" t="str">
        <f aca="false">Data!AF288</f>
        <v>البدع</v>
      </c>
      <c r="E289" s="42" t="n">
        <f aca="false">SUMIFS(Data!$L$2:$L$781,Data!$H$2:$H$781,B289)</f>
        <v>0</v>
      </c>
      <c r="F289" s="43" t="n">
        <f aca="false">SUMIFS(Data!$K$2:$K$781,Data!$H$2:$H$781,B289)</f>
        <v>0</v>
      </c>
      <c r="G289" s="42" t="n">
        <f aca="false">SUMIFS(Data!$L$782:$L$2370,Data!$H$782:$H$2370,B289)</f>
        <v>0</v>
      </c>
      <c r="H289" s="43" t="n">
        <f aca="false">SUMIFS(Data!$K$782:$K$2370,Data!$H$782:$H$2370,B289)</f>
        <v>0</v>
      </c>
      <c r="I289" s="42" t="n">
        <f aca="false">SUMIFS(Data!$L$2371:$L$3999,Data!$H$2371:$H$3999,B289)</f>
        <v>0</v>
      </c>
      <c r="J289" s="43" t="n">
        <f aca="false">SUMIFS(Data!$K$2371:$K$3999,Data!$H$2371:$H$3999,B289)</f>
        <v>0</v>
      </c>
      <c r="K289" s="44" t="n">
        <f aca="false">SUMIFS(Data!$M$2:$M$781,Data!$H$2:$H$781,B289)</f>
        <v>0</v>
      </c>
      <c r="L289" s="42" t="n">
        <f aca="false">SUMIFS(Data!$M$782:$M$2370,Data!$H$782:$H$2370,B289)</f>
        <v>0</v>
      </c>
      <c r="M289" s="42" t="n">
        <f aca="false">SUMIFS(Data!$M$2371:$M$3999,Data!$H$2371:$H$3999,B289)</f>
        <v>0</v>
      </c>
      <c r="N289" s="45" t="n">
        <f aca="false">SUMIFS(Data!$O$2:$O$781,Data!$H$2:$H$781,B289)</f>
        <v>0</v>
      </c>
      <c r="O289" s="43" t="n">
        <f aca="false">SUMIFS(Data!$N$2:$N$781,Data!$H$2:$H$781,B289)</f>
        <v>3</v>
      </c>
      <c r="P289" s="42" t="n">
        <f aca="false">SUMIFS(Data!$P$2:$P$781,Data!$H$2:$H$781,B289)</f>
        <v>0</v>
      </c>
      <c r="Q289" s="43" t="n">
        <f aca="false">SUMIFS(Data!$O$782:$O$2370,Data!$H$782:$H$2370,B289)</f>
        <v>2</v>
      </c>
      <c r="R289" s="43" t="n">
        <f aca="false">SUMIFS(Data!$N$782:$N$2370,Data!$H$782:$H$2370,B289)</f>
        <v>1</v>
      </c>
      <c r="S289" s="43" t="n">
        <f aca="false">SUMIFS(Data!$O$2371:$O$3999,Data!$H$2371:$H$3999,B289)</f>
        <v>0</v>
      </c>
      <c r="T289" s="43" t="n">
        <f aca="false">SUMIFS(Data!$N$2371:$N$3999,Data!$H$2371:$H$3999,B289)</f>
        <v>0</v>
      </c>
      <c r="U289" s="46" t="n">
        <f aca="false">SUMIFS(Data!$R$2:$R$781,Data!$H$2:$H$781,B289)</f>
        <v>1</v>
      </c>
      <c r="V289" s="47" t="n">
        <f aca="false">SUMIFS(Data!$Q$2:$Q$781,Data!$H$2:$H$781,B289)</f>
        <v>4</v>
      </c>
      <c r="W289" s="42" t="n">
        <f aca="false">SUMIFS(Data!$R$782:$R$2370,Data!$H$782:$H$2370,B289)</f>
        <v>0</v>
      </c>
      <c r="X289" s="43" t="n">
        <f aca="false">SUMIFS(Data!$Q$782:$Q$2370,Data!$H$782:$H$2370,B289)</f>
        <v>5</v>
      </c>
      <c r="Y289" s="42" t="n">
        <f aca="false">SUMIFS(Data!$R$2371:$R$3999,Data!$H$2371:$H$3999,B289)</f>
        <v>0</v>
      </c>
      <c r="Z289" s="43" t="n">
        <f aca="false">SUMIFS(Data!$Q$2371:$Q$3999,Data!$H$2371:$H$3999,B289)</f>
        <v>0</v>
      </c>
      <c r="AA289" s="48" t="n">
        <f aca="false">V289+U289+O289+N289+K289+F289+E289+P289</f>
        <v>8</v>
      </c>
      <c r="AB289" s="49" t="n">
        <f aca="false">X289+W289+T289+R289+Q289+L289+H289+G289</f>
        <v>8</v>
      </c>
      <c r="AC289" s="49" t="n">
        <f aca="false">Z289+Y289+T289+S289+M289+J289+I289</f>
        <v>0</v>
      </c>
    </row>
    <row r="290" customFormat="false" ht="23.25" hidden="false" customHeight="true" outlineLevel="0" collapsed="false">
      <c r="A290" s="31" t="n">
        <f aca="false">Data!AE289</f>
        <v>0</v>
      </c>
      <c r="B290" s="31" t="n">
        <f aca="false">Data!AD289</f>
        <v>0</v>
      </c>
      <c r="C290" s="31" t="n">
        <f aca="false">Data!AH289</f>
        <v>0</v>
      </c>
      <c r="D290" s="31" t="n">
        <f aca="false">Data!AF289</f>
        <v>0</v>
      </c>
      <c r="E290" s="42" t="n">
        <f aca="false">SUMIFS(Data!$L$2:$L$781,Data!$H$2:$H$781,B290)</f>
        <v>0</v>
      </c>
      <c r="F290" s="43" t="n">
        <f aca="false">SUMIFS(Data!$K$2:$K$781,Data!$H$2:$H$781,B290)</f>
        <v>0</v>
      </c>
      <c r="G290" s="42" t="n">
        <f aca="false">SUMIFS(Data!$L$782:$L$2370,Data!$H$782:$H$2370,B290)</f>
        <v>0</v>
      </c>
      <c r="H290" s="43" t="n">
        <f aca="false">SUMIFS(Data!$K$782:$K$2370,Data!$H$782:$H$2370,B290)</f>
        <v>0</v>
      </c>
      <c r="I290" s="42" t="n">
        <f aca="false">SUMIFS(Data!$L$2371:$L$3999,Data!$H$2371:$H$3999,B290)</f>
        <v>0</v>
      </c>
      <c r="J290" s="43" t="n">
        <f aca="false">SUMIFS(Data!$K$2371:$K$3999,Data!$H$2371:$H$3999,B290)</f>
        <v>0</v>
      </c>
      <c r="K290" s="44" t="n">
        <f aca="false">SUMIFS(Data!$M$2:$M$781,Data!$H$2:$H$781,B290)</f>
        <v>0</v>
      </c>
      <c r="L290" s="42" t="n">
        <f aca="false">SUMIFS(Data!$M$782:$M$2370,Data!$H$782:$H$2370,B290)</f>
        <v>0</v>
      </c>
      <c r="M290" s="42" t="n">
        <f aca="false">SUMIFS(Data!$M$2371:$M$3999,Data!$H$2371:$H$3999,B290)</f>
        <v>0</v>
      </c>
      <c r="N290" s="45" t="n">
        <f aca="false">SUMIFS(Data!$O$2:$O$781,Data!$H$2:$H$781,B290)</f>
        <v>0</v>
      </c>
      <c r="O290" s="43" t="n">
        <f aca="false">SUMIFS(Data!$N$2:$N$781,Data!$H$2:$H$781,B290)</f>
        <v>0</v>
      </c>
      <c r="P290" s="42" t="n">
        <f aca="false">SUMIFS(Data!$P$2:$P$781,Data!$H$2:$H$781,B290)</f>
        <v>0</v>
      </c>
      <c r="Q290" s="43" t="n">
        <f aca="false">SUMIFS(Data!$O$782:$O$2370,Data!$H$782:$H$2370,B290)</f>
        <v>0</v>
      </c>
      <c r="R290" s="43" t="n">
        <f aca="false">SUMIFS(Data!$N$782:$N$2370,Data!$H$782:$H$2370,B290)</f>
        <v>0</v>
      </c>
      <c r="S290" s="43" t="n">
        <f aca="false">SUMIFS(Data!$O$2371:$O$3999,Data!$H$2371:$H$3999,B290)</f>
        <v>0</v>
      </c>
      <c r="T290" s="43" t="n">
        <f aca="false">SUMIFS(Data!$N$2371:$N$3999,Data!$H$2371:$H$3999,B290)</f>
        <v>0</v>
      </c>
      <c r="U290" s="46" t="n">
        <f aca="false">SUMIFS(Data!$R$2:$R$781,Data!$H$2:$H$781,B290)</f>
        <v>0</v>
      </c>
      <c r="V290" s="47" t="n">
        <f aca="false">SUMIFS(Data!$Q$2:$Q$781,Data!$H$2:$H$781,B290)</f>
        <v>0</v>
      </c>
      <c r="W290" s="42" t="n">
        <f aca="false">SUMIFS(Data!$R$782:$R$2370,Data!$H$782:$H$2370,B290)</f>
        <v>0</v>
      </c>
      <c r="X290" s="43" t="n">
        <f aca="false">SUMIFS(Data!$Q$782:$Q$2370,Data!$H$782:$H$2370,B290)</f>
        <v>0</v>
      </c>
      <c r="Y290" s="42" t="n">
        <f aca="false">SUMIFS(Data!$R$2371:$R$3999,Data!$H$2371:$H$3999,B290)</f>
        <v>0</v>
      </c>
      <c r="Z290" s="43" t="n">
        <f aca="false">SUMIFS(Data!$Q$2371:$Q$3999,Data!$H$2371:$H$3999,B290)</f>
        <v>0</v>
      </c>
      <c r="AA290" s="48" t="n">
        <f aca="false">V290+U290+O290+N290+K290+F290+E290+P290</f>
        <v>0</v>
      </c>
      <c r="AB290" s="49" t="n">
        <f aca="false">X290+W290+T290+R290+Q290+L290+H290+G290</f>
        <v>0</v>
      </c>
      <c r="AC290" s="49" t="n">
        <f aca="false">Z290+Y290+T290+S290+M290+J290+I290</f>
        <v>0</v>
      </c>
    </row>
    <row r="291" customFormat="false" ht="23.25" hidden="false" customHeight="true" outlineLevel="0" collapsed="false">
      <c r="A291" s="31" t="n">
        <f aca="false">Data!AE290</f>
        <v>0</v>
      </c>
      <c r="B291" s="31" t="n">
        <f aca="false">Data!AD290</f>
        <v>0</v>
      </c>
      <c r="C291" s="31" t="n">
        <f aca="false">Data!AH290</f>
        <v>0</v>
      </c>
      <c r="D291" s="31" t="n">
        <f aca="false">Data!AF290</f>
        <v>0</v>
      </c>
      <c r="E291" s="42" t="n">
        <f aca="false">SUMIFS(Data!$L$2:$L$781,Data!$H$2:$H$781,B291)</f>
        <v>0</v>
      </c>
      <c r="F291" s="43" t="n">
        <f aca="false">SUMIFS(Data!$K$2:$K$781,Data!$H$2:$H$781,B291)</f>
        <v>0</v>
      </c>
      <c r="G291" s="42" t="n">
        <f aca="false">SUMIFS(Data!$L$782:$L$2370,Data!$H$782:$H$2370,B291)</f>
        <v>0</v>
      </c>
      <c r="H291" s="43" t="n">
        <f aca="false">SUMIFS(Data!$K$782:$K$2370,Data!$H$782:$H$2370,B291)</f>
        <v>0</v>
      </c>
      <c r="I291" s="42" t="n">
        <f aca="false">SUMIFS(Data!$L$2371:$L$3999,Data!$H$2371:$H$3999,B291)</f>
        <v>0</v>
      </c>
      <c r="J291" s="43" t="n">
        <f aca="false">SUMIFS(Data!$K$2371:$K$3999,Data!$H$2371:$H$3999,B291)</f>
        <v>0</v>
      </c>
      <c r="K291" s="44" t="n">
        <f aca="false">SUMIFS(Data!$M$2:$M$781,Data!$H$2:$H$781,B291)</f>
        <v>0</v>
      </c>
      <c r="L291" s="42" t="n">
        <f aca="false">SUMIFS(Data!$M$782:$M$2370,Data!$H$782:$H$2370,B291)</f>
        <v>0</v>
      </c>
      <c r="M291" s="42" t="n">
        <f aca="false">SUMIFS(Data!$M$2371:$M$3999,Data!$H$2371:$H$3999,B291)</f>
        <v>0</v>
      </c>
      <c r="N291" s="45" t="n">
        <f aca="false">SUMIFS(Data!$O$2:$O$781,Data!$H$2:$H$781,B291)</f>
        <v>0</v>
      </c>
      <c r="O291" s="43" t="n">
        <f aca="false">SUMIFS(Data!$N$2:$N$781,Data!$H$2:$H$781,B291)</f>
        <v>0</v>
      </c>
      <c r="P291" s="42" t="n">
        <f aca="false">SUMIFS(Data!$P$2:$P$781,Data!$H$2:$H$781,B291)</f>
        <v>0</v>
      </c>
      <c r="Q291" s="43" t="n">
        <f aca="false">SUMIFS(Data!$O$782:$O$2370,Data!$H$782:$H$2370,B291)</f>
        <v>0</v>
      </c>
      <c r="R291" s="43" t="n">
        <f aca="false">SUMIFS(Data!$N$782:$N$2370,Data!$H$782:$H$2370,B291)</f>
        <v>0</v>
      </c>
      <c r="S291" s="43" t="n">
        <f aca="false">SUMIFS(Data!$O$2371:$O$3999,Data!$H$2371:$H$3999,B291)</f>
        <v>0</v>
      </c>
      <c r="T291" s="43" t="n">
        <f aca="false">SUMIFS(Data!$N$2371:$N$3999,Data!$H$2371:$H$3999,B291)</f>
        <v>0</v>
      </c>
      <c r="U291" s="46" t="n">
        <f aca="false">SUMIFS(Data!$R$2:$R$781,Data!$H$2:$H$781,B291)</f>
        <v>0</v>
      </c>
      <c r="V291" s="47" t="n">
        <f aca="false">SUMIFS(Data!$Q$2:$Q$781,Data!$H$2:$H$781,B291)</f>
        <v>0</v>
      </c>
      <c r="W291" s="42" t="n">
        <f aca="false">SUMIFS(Data!$R$782:$R$2370,Data!$H$782:$H$2370,B291)</f>
        <v>0</v>
      </c>
      <c r="X291" s="43" t="n">
        <f aca="false">SUMIFS(Data!$Q$782:$Q$2370,Data!$H$782:$H$2370,B291)</f>
        <v>0</v>
      </c>
      <c r="Y291" s="42" t="n">
        <f aca="false">SUMIFS(Data!$R$2371:$R$3999,Data!$H$2371:$H$3999,B291)</f>
        <v>0</v>
      </c>
      <c r="Z291" s="43" t="n">
        <f aca="false">SUMIFS(Data!$Q$2371:$Q$3999,Data!$H$2371:$H$3999,B291)</f>
        <v>0</v>
      </c>
      <c r="AA291" s="48" t="n">
        <f aca="false">V291+U291+O291+N291+K291+F291+E291+P291</f>
        <v>0</v>
      </c>
      <c r="AB291" s="49" t="n">
        <f aca="false">X291+W291+T291+R291+Q291+L291+H291+G291</f>
        <v>0</v>
      </c>
      <c r="AC291" s="49" t="n">
        <f aca="false">Z291+Y291+T291+S291+M291+J291+I291</f>
        <v>0</v>
      </c>
    </row>
    <row r="292" customFormat="false" ht="23.25" hidden="false" customHeight="true" outlineLevel="0" collapsed="false">
      <c r="A292" s="75" t="n">
        <f aca="false">Data!AE291</f>
        <v>0</v>
      </c>
      <c r="B292" s="31" t="n">
        <f aca="false">Data!AD291</f>
        <v>0</v>
      </c>
      <c r="C292" s="31" t="n">
        <f aca="false">Data!AH291</f>
        <v>0</v>
      </c>
      <c r="D292" s="31" t="n">
        <f aca="false">Data!AF291</f>
        <v>18</v>
      </c>
      <c r="E292" s="42" t="n">
        <f aca="false">SUMIFS(Data!$L$2:$L$781,Data!$H$2:$H$781,B292)</f>
        <v>0</v>
      </c>
      <c r="F292" s="43" t="n">
        <f aca="false">SUMIFS(Data!$K$2:$K$781,Data!$H$2:$H$781,B292)</f>
        <v>0</v>
      </c>
      <c r="G292" s="42" t="n">
        <f aca="false">SUMIFS(Data!$L$782:$L$2370,Data!$H$782:$H$2370,B292)</f>
        <v>0</v>
      </c>
      <c r="H292" s="43" t="n">
        <f aca="false">SUMIFS(Data!$K$782:$K$2370,Data!$H$782:$H$2370,B292)</f>
        <v>0</v>
      </c>
      <c r="I292" s="42" t="n">
        <f aca="false">SUMIFS(Data!$L$2371:$L$3999,Data!$H$2371:$H$3999,B292)</f>
        <v>0</v>
      </c>
      <c r="J292" s="43" t="n">
        <f aca="false">SUMIFS(Data!$K$2371:$K$3999,Data!$H$2371:$H$3999,B292)</f>
        <v>0</v>
      </c>
      <c r="K292" s="44" t="n">
        <f aca="false">SUMIFS(Data!$M$2:$M$781,Data!$H$2:$H$781,B292)</f>
        <v>0</v>
      </c>
      <c r="L292" s="42" t="n">
        <f aca="false">SUMIFS(Data!$M$782:$M$2370,Data!$H$782:$H$2370,B292)</f>
        <v>0</v>
      </c>
      <c r="M292" s="42" t="n">
        <f aca="false">SUMIFS(Data!$M$2371:$M$3999,Data!$H$2371:$H$3999,B292)</f>
        <v>0</v>
      </c>
      <c r="N292" s="45" t="n">
        <f aca="false">SUMIFS(Data!$O$2:$O$781,Data!$H$2:$H$781,B292)</f>
        <v>0</v>
      </c>
      <c r="O292" s="43" t="n">
        <f aca="false">SUMIFS(Data!$N$2:$N$781,Data!$H$2:$H$781,B292)</f>
        <v>0</v>
      </c>
      <c r="P292" s="42" t="n">
        <f aca="false">SUMIFS(Data!$P$2:$P$781,Data!$H$2:$H$781,B292)</f>
        <v>0</v>
      </c>
      <c r="Q292" s="43" t="n">
        <f aca="false">SUMIFS(Data!$O$782:$O$2370,Data!$H$782:$H$2370,B292)</f>
        <v>0</v>
      </c>
      <c r="R292" s="43" t="n">
        <f aca="false">SUMIFS(Data!$N$782:$N$2370,Data!$H$782:$H$2370,B292)</f>
        <v>0</v>
      </c>
      <c r="S292" s="43" t="n">
        <f aca="false">SUMIFS(Data!$O$2371:$O$3999,Data!$H$2371:$H$3999,B292)</f>
        <v>0</v>
      </c>
      <c r="T292" s="43" t="n">
        <f aca="false">SUMIFS(Data!$N$2371:$N$3999,Data!$H$2371:$H$3999,B292)</f>
        <v>0</v>
      </c>
      <c r="U292" s="46" t="n">
        <f aca="false">SUMIFS(Data!$R$2:$R$781,Data!$H$2:$H$781,B292)</f>
        <v>0</v>
      </c>
      <c r="V292" s="47" t="n">
        <f aca="false">SUMIFS(Data!$Q$2:$Q$781,Data!$H$2:$H$781,B292)</f>
        <v>0</v>
      </c>
      <c r="W292" s="42" t="n">
        <f aca="false">SUMIFS(Data!$R$782:$R$2370,Data!$H$782:$H$2370,B292)</f>
        <v>0</v>
      </c>
      <c r="X292" s="43" t="n">
        <f aca="false">SUMIFS(Data!$Q$782:$Q$2370,Data!$H$782:$H$2370,B292)</f>
        <v>0</v>
      </c>
      <c r="Y292" s="42" t="n">
        <f aca="false">SUMIFS(Data!$R$2371:$R$3999,Data!$H$2371:$H$3999,B292)</f>
        <v>0</v>
      </c>
      <c r="Z292" s="43" t="n">
        <f aca="false">SUMIFS(Data!$Q$2371:$Q$3999,Data!$H$2371:$H$3999,B292)</f>
        <v>0</v>
      </c>
      <c r="AA292" s="48" t="n">
        <f aca="false">V292+U292+O292+N292+K292+F292+E292+P292</f>
        <v>0</v>
      </c>
      <c r="AB292" s="49" t="n">
        <f aca="false">X292+W292+T292+R292+Q292+L292+H292+G292</f>
        <v>0</v>
      </c>
      <c r="AC292" s="49" t="n">
        <f aca="false">Z292+Y292+T292+S292+M292+J292+I292</f>
        <v>0</v>
      </c>
    </row>
  </sheetData>
  <printOptions headings="false" gridLines="false" gridLinesSet="true" horizontalCentered="false" verticalCentered="false"/>
  <pageMargins left="0.7" right="0.7" top="0.763888888888889" bottom="0.75" header="0.3" footer="0.511811023622047"/>
  <pageSetup paperSize="9" scale="32" fitToWidth="1" fitToHeight="1" pageOrder="downThenOver" orientation="portrait" blackAndWhite="false" draft="false" cellComments="none" horizontalDpi="300" verticalDpi="300" copies="1"/>
  <headerFooter differentFirst="false" differentOddEven="false">
    <oddHeader>&amp;L&amp;1 &amp;K317100 Classification: Tasnee - Public Information#</oddHeader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B1" activeCellId="0" sqref="B1"/>
    </sheetView>
  </sheetViews>
  <sheetFormatPr defaultColWidth="8.61328125" defaultRowHeight="23.25" zeroHeight="false" outlineLevelRow="0" outlineLevelCol="0"/>
  <cols>
    <col collapsed="false" customWidth="true" hidden="false" outlineLevel="0" max="1" min="1" style="76" width="8.47"/>
    <col collapsed="false" customWidth="true" hidden="false" outlineLevel="0" max="2" min="2" style="76" width="6.19"/>
    <col collapsed="false" customWidth="true" hidden="false" outlineLevel="0" max="7" min="3" style="76" width="7.94"/>
    <col collapsed="false" customWidth="true" hidden="false" outlineLevel="0" max="8" min="8" style="77" width="7.94"/>
    <col collapsed="false" customWidth="true" hidden="false" outlineLevel="0" max="9" min="9" style="76" width="7.94"/>
    <col collapsed="false" customWidth="true" hidden="false" outlineLevel="0" max="10" min="10" style="76" width="6.19"/>
    <col collapsed="false" customWidth="true" hidden="false" outlineLevel="0" max="11" min="11" style="76" width="8.47"/>
    <col collapsed="false" customWidth="true" hidden="false" outlineLevel="0" max="12" min="12" style="76" width="6.19"/>
    <col collapsed="false" customWidth="true" hidden="false" outlineLevel="0" max="13" min="13" style="76" width="7.8"/>
    <col collapsed="false" customWidth="true" hidden="false" outlineLevel="0" max="14" min="14" style="78" width="7.4"/>
    <col collapsed="false" customWidth="true" hidden="false" outlineLevel="0" max="15" min="15" style="76" width="6.19"/>
    <col collapsed="false" customWidth="true" hidden="false" outlineLevel="0" max="16" min="16" style="79" width="7.8"/>
    <col collapsed="false" customWidth="true" hidden="false" outlineLevel="0" max="17" min="17" style="76" width="10.24"/>
    <col collapsed="false" customWidth="true" hidden="false" outlineLevel="0" max="18" min="18" style="79" width="7.8"/>
    <col collapsed="false" customWidth="true" hidden="false" outlineLevel="0" max="19" min="19" style="76" width="10.09"/>
    <col collapsed="false" customWidth="true" hidden="false" outlineLevel="0" max="20" min="20" style="78" width="8.21"/>
    <col collapsed="false" customWidth="false" hidden="false" outlineLevel="0" max="21" min="21" style="76" width="8.61"/>
    <col collapsed="false" customWidth="true" hidden="false" outlineLevel="0" max="22" min="22" style="76" width="5.65"/>
    <col collapsed="false" customWidth="true" hidden="false" outlineLevel="0" max="23" min="23" style="76" width="10.24"/>
    <col collapsed="false" customWidth="true" hidden="false" outlineLevel="0" max="24" min="24" style="76" width="10.09"/>
    <col collapsed="false" customWidth="true" hidden="false" outlineLevel="0" max="25" min="25" style="76" width="8.21"/>
    <col collapsed="false" customWidth="true" hidden="false" outlineLevel="0" max="26" min="26" style="76" width="5.65"/>
    <col collapsed="false" customWidth="true" hidden="false" outlineLevel="0" max="27" min="27" style="76" width="11.97"/>
    <col collapsed="false" customWidth="true" hidden="false" outlineLevel="0" max="28" min="28" style="76" width="12.65"/>
    <col collapsed="false" customWidth="true" hidden="false" outlineLevel="0" max="29" min="29" style="76" width="9.14"/>
    <col collapsed="false" customWidth="true" hidden="false" outlineLevel="0" max="30" min="30" style="76" width="5.38"/>
    <col collapsed="false" customWidth="true" hidden="false" outlineLevel="0" max="31" min="31" style="76" width="6.19"/>
    <col collapsed="false" customWidth="true" hidden="false" outlineLevel="0" max="32" min="32" style="76" width="7.94"/>
    <col collapsed="false" customWidth="true" hidden="false" outlineLevel="0" max="33" min="33" style="76" width="9.14"/>
    <col collapsed="false" customWidth="true" hidden="false" outlineLevel="0" max="34" min="34" style="76" width="13.18"/>
  </cols>
  <sheetData>
    <row r="1" customFormat="false" ht="23.25" hidden="false" customHeight="true" outlineLevel="0" collapsed="false">
      <c r="C1" s="80" t="s">
        <v>32</v>
      </c>
      <c r="D1" s="80"/>
      <c r="E1" s="80"/>
      <c r="F1" s="80"/>
      <c r="G1" s="80"/>
      <c r="H1" s="80"/>
      <c r="I1" s="81" t="s">
        <v>33</v>
      </c>
      <c r="J1" s="81"/>
      <c r="K1" s="81"/>
      <c r="L1" s="81"/>
      <c r="M1" s="81"/>
      <c r="N1" s="81"/>
      <c r="O1" s="80" t="s">
        <v>34</v>
      </c>
      <c r="P1" s="80"/>
      <c r="Q1" s="80"/>
      <c r="R1" s="80"/>
      <c r="S1" s="80"/>
      <c r="T1" s="80"/>
    </row>
    <row r="2" s="88" customFormat="true" ht="23.25" hidden="false" customHeight="true" outlineLevel="0" collapsed="false">
      <c r="A2" s="82" t="s">
        <v>35</v>
      </c>
      <c r="B2" s="83"/>
      <c r="C2" s="84" t="s">
        <v>36</v>
      </c>
      <c r="D2" s="84" t="s">
        <v>37</v>
      </c>
      <c r="E2" s="84" t="s">
        <v>38</v>
      </c>
      <c r="F2" s="84" t="s">
        <v>39</v>
      </c>
      <c r="G2" s="85" t="s">
        <v>40</v>
      </c>
      <c r="H2" s="85" t="s">
        <v>41</v>
      </c>
      <c r="I2" s="84" t="s">
        <v>36</v>
      </c>
      <c r="J2" s="84" t="s">
        <v>37</v>
      </c>
      <c r="K2" s="84" t="s">
        <v>38</v>
      </c>
      <c r="L2" s="84" t="s">
        <v>39</v>
      </c>
      <c r="M2" s="85" t="s">
        <v>40</v>
      </c>
      <c r="N2" s="86" t="s">
        <v>41</v>
      </c>
      <c r="O2" s="84" t="s">
        <v>36</v>
      </c>
      <c r="P2" s="84" t="s">
        <v>37</v>
      </c>
      <c r="Q2" s="84" t="s">
        <v>38</v>
      </c>
      <c r="R2" s="84" t="s">
        <v>39</v>
      </c>
      <c r="S2" s="85" t="s">
        <v>40</v>
      </c>
      <c r="T2" s="86" t="s">
        <v>41</v>
      </c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</row>
    <row r="3" customFormat="false" ht="23.25" hidden="false" customHeight="true" outlineLevel="0" collapsed="false">
      <c r="A3" s="89" t="s">
        <v>42</v>
      </c>
      <c r="B3" s="90" t="s">
        <v>43</v>
      </c>
      <c r="C3" s="91" t="n">
        <v>0.95</v>
      </c>
      <c r="D3" s="91" t="n">
        <v>0.31</v>
      </c>
      <c r="E3" s="91" t="n">
        <v>4.7</v>
      </c>
      <c r="F3" s="91" t="n">
        <v>1.4</v>
      </c>
      <c r="G3" s="92" t="n">
        <f aca="false">C3+D3+E3+F3</f>
        <v>7.36</v>
      </c>
      <c r="H3" s="93"/>
      <c r="I3" s="91" t="n">
        <v>1.2</v>
      </c>
      <c r="J3" s="91" t="n">
        <v>0.5</v>
      </c>
      <c r="K3" s="91" t="n">
        <v>4.2</v>
      </c>
      <c r="L3" s="91" t="n">
        <v>1.46</v>
      </c>
      <c r="M3" s="91" t="n">
        <f aca="false">I3+J3+K3+L3</f>
        <v>7.36</v>
      </c>
      <c r="N3" s="94"/>
      <c r="O3" s="95" t="n">
        <v>3.12</v>
      </c>
      <c r="P3" s="95" t="n">
        <v>0.8</v>
      </c>
      <c r="Q3" s="95" t="n">
        <v>1.72</v>
      </c>
      <c r="R3" s="95" t="n">
        <v>1.08</v>
      </c>
      <c r="S3" s="91" t="n">
        <f aca="false">R3+Q3+P3+O3</f>
        <v>6.72</v>
      </c>
      <c r="T3" s="94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</row>
    <row r="4" customFormat="false" ht="23.25" hidden="false" customHeight="true" outlineLevel="0" collapsed="false">
      <c r="A4" s="89"/>
      <c r="B4" s="97" t="s">
        <v>44</v>
      </c>
      <c r="C4" s="98"/>
      <c r="D4" s="98"/>
      <c r="E4" s="98"/>
      <c r="F4" s="98"/>
      <c r="G4" s="99"/>
      <c r="H4" s="100"/>
      <c r="I4" s="99" t="n">
        <v>3.36</v>
      </c>
      <c r="J4" s="99" t="n">
        <v>0.73</v>
      </c>
      <c r="K4" s="99" t="n">
        <v>1.16</v>
      </c>
      <c r="L4" s="99" t="n">
        <v>1.45</v>
      </c>
      <c r="M4" s="99" t="n">
        <f aca="false">I4+J4+K4+L4</f>
        <v>6.7</v>
      </c>
      <c r="N4" s="101" t="n">
        <f aca="false">M4/M3</f>
        <v>0.910326086956522</v>
      </c>
      <c r="O4" s="99" t="n">
        <f aca="false">Data!U397</f>
        <v>3.59219979473144</v>
      </c>
      <c r="P4" s="99" t="n">
        <f aca="false">Data!V397</f>
        <v>1.33219470538002</v>
      </c>
      <c r="Q4" s="99" t="n">
        <f aca="false">Data!X397</f>
        <v>1.60351648351648</v>
      </c>
      <c r="R4" s="99" t="n">
        <f aca="false">Data!Z397</f>
        <v>0.996849040389573</v>
      </c>
      <c r="S4" s="99" t="n">
        <f aca="false">R4+Q4+P4+O4</f>
        <v>7.52476002401751</v>
      </c>
      <c r="T4" s="101" t="n">
        <f aca="false">S4/S3</f>
        <v>1.11975595595499</v>
      </c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</row>
    <row r="5" customFormat="false" ht="23.25" hidden="false" customHeight="true" outlineLevel="0" collapsed="false">
      <c r="A5" s="89" t="s">
        <v>45</v>
      </c>
      <c r="B5" s="90" t="s">
        <v>43</v>
      </c>
      <c r="C5" s="91" t="n">
        <v>0.95</v>
      </c>
      <c r="D5" s="91" t="n">
        <v>0.31</v>
      </c>
      <c r="E5" s="91" t="n">
        <v>4.7</v>
      </c>
      <c r="F5" s="91" t="n">
        <v>1.4</v>
      </c>
      <c r="G5" s="92" t="n">
        <f aca="false">C5+D5+E5+F5</f>
        <v>7.36</v>
      </c>
      <c r="H5" s="93"/>
      <c r="I5" s="95" t="n">
        <v>1.2</v>
      </c>
      <c r="J5" s="95" t="n">
        <v>0.5</v>
      </c>
      <c r="K5" s="95" t="n">
        <v>4.7</v>
      </c>
      <c r="L5" s="95" t="n">
        <v>1.4</v>
      </c>
      <c r="M5" s="91" t="n">
        <f aca="false">I5+J5+K5+L5</f>
        <v>7.8</v>
      </c>
      <c r="N5" s="94"/>
      <c r="O5" s="95" t="n">
        <v>2.86</v>
      </c>
      <c r="P5" s="95" t="n">
        <v>0.73</v>
      </c>
      <c r="Q5" s="95" t="n">
        <v>1.58</v>
      </c>
      <c r="R5" s="95" t="n">
        <v>0.99</v>
      </c>
      <c r="S5" s="91" t="n">
        <f aca="false">R5+Q5+P5+O5</f>
        <v>6.16</v>
      </c>
      <c r="T5" s="94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</row>
    <row r="6" customFormat="false" ht="23.25" hidden="false" customHeight="true" outlineLevel="0" collapsed="false">
      <c r="A6" s="89"/>
      <c r="B6" s="97" t="s">
        <v>44</v>
      </c>
      <c r="C6" s="98"/>
      <c r="D6" s="98"/>
      <c r="E6" s="98"/>
      <c r="F6" s="98"/>
      <c r="G6" s="99"/>
      <c r="H6" s="100"/>
      <c r="I6" s="99" t="n">
        <v>1.92</v>
      </c>
      <c r="J6" s="99" t="n">
        <v>0.69</v>
      </c>
      <c r="K6" s="99" t="n">
        <v>0.93</v>
      </c>
      <c r="L6" s="99" t="n">
        <v>0.73</v>
      </c>
      <c r="M6" s="99" t="n">
        <f aca="false">I6+J6+K6+L6</f>
        <v>4.27</v>
      </c>
      <c r="N6" s="101" t="n">
        <f aca="false">M6/M5</f>
        <v>0.547435897435897</v>
      </c>
      <c r="O6" s="99" t="n">
        <f aca="false">Data!U402</f>
        <v>3.52035579883681</v>
      </c>
      <c r="P6" s="99" t="n">
        <f aca="false">Data!V402</f>
        <v>1.08625106746371</v>
      </c>
      <c r="Q6" s="99" t="n">
        <f aca="false">Data!X402</f>
        <v>0.594690265486726</v>
      </c>
      <c r="R6" s="99" t="n">
        <f aca="false">Data!Z402</f>
        <v>0.790604411343455</v>
      </c>
      <c r="S6" s="99" t="n">
        <f aca="false">R6+Q6+P6+O6</f>
        <v>5.9919015431307</v>
      </c>
      <c r="T6" s="101" t="n">
        <f aca="false">S6/S5</f>
        <v>0.972711289469269</v>
      </c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</row>
    <row r="7" customFormat="false" ht="23.25" hidden="false" customHeight="true" outlineLevel="0" collapsed="false">
      <c r="A7" s="89" t="s">
        <v>46</v>
      </c>
      <c r="B7" s="90" t="s">
        <v>43</v>
      </c>
      <c r="C7" s="91" t="n">
        <v>0.73</v>
      </c>
      <c r="D7" s="91" t="n">
        <v>0.27</v>
      </c>
      <c r="E7" s="91" t="n">
        <v>3.66</v>
      </c>
      <c r="F7" s="91" t="n">
        <v>1.46</v>
      </c>
      <c r="G7" s="92" t="n">
        <f aca="false">C7+D7+E7+F7</f>
        <v>6.12</v>
      </c>
      <c r="H7" s="93"/>
      <c r="I7" s="91" t="n">
        <v>1.2</v>
      </c>
      <c r="J7" s="91" t="n">
        <v>0.35</v>
      </c>
      <c r="K7" s="91" t="n">
        <v>4</v>
      </c>
      <c r="L7" s="91" t="n">
        <v>1.46</v>
      </c>
      <c r="M7" s="91" t="n">
        <f aca="false">I7+J7+K7+L7</f>
        <v>7.01</v>
      </c>
      <c r="N7" s="94"/>
      <c r="O7" s="95" t="n">
        <v>2.73</v>
      </c>
      <c r="P7" s="95" t="n">
        <v>0.7</v>
      </c>
      <c r="Q7" s="95" t="n">
        <v>1.51</v>
      </c>
      <c r="R7" s="95" t="n">
        <v>0.95</v>
      </c>
      <c r="S7" s="91" t="n">
        <f aca="false">R7+Q7+P7+O7</f>
        <v>5.89</v>
      </c>
      <c r="T7" s="94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</row>
    <row r="8" customFormat="false" ht="23.25" hidden="false" customHeight="true" outlineLevel="0" collapsed="false">
      <c r="A8" s="89"/>
      <c r="B8" s="97" t="s">
        <v>44</v>
      </c>
      <c r="C8" s="98"/>
      <c r="D8" s="98"/>
      <c r="E8" s="98"/>
      <c r="F8" s="98"/>
      <c r="G8" s="99"/>
      <c r="H8" s="100"/>
      <c r="I8" s="99" t="n">
        <v>3.92</v>
      </c>
      <c r="J8" s="99" t="n">
        <v>0.86</v>
      </c>
      <c r="K8" s="99" t="n">
        <v>0.99</v>
      </c>
      <c r="L8" s="99" t="n">
        <v>1.3</v>
      </c>
      <c r="M8" s="99" t="n">
        <f aca="false">I8+J8+K8+L8</f>
        <v>7.07</v>
      </c>
      <c r="N8" s="101" t="n">
        <f aca="false">M8/M7</f>
        <v>1.00855920114123</v>
      </c>
      <c r="O8" s="99" t="n">
        <f aca="false">Data!U407</f>
        <v>5.53198768388642</v>
      </c>
      <c r="P8" s="99" t="n">
        <f aca="false">Data!V407</f>
        <v>1.53714773697694</v>
      </c>
      <c r="Q8" s="99" t="n">
        <f aca="false">Data!X407</f>
        <v>1.44</v>
      </c>
      <c r="R8" s="99" t="n">
        <f aca="false">Data!Z407</f>
        <v>0.618733887138356</v>
      </c>
      <c r="S8" s="99" t="n">
        <f aca="false">R8+Q8+P8+O8</f>
        <v>9.12786930800172</v>
      </c>
      <c r="T8" s="101" t="n">
        <f aca="false">S8/S7</f>
        <v>1.54972314227533</v>
      </c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  <c r="AH8" s="96"/>
    </row>
    <row r="9" customFormat="false" ht="23.25" hidden="false" customHeight="true" outlineLevel="0" collapsed="false">
      <c r="A9" s="89" t="s">
        <v>47</v>
      </c>
      <c r="B9" s="90" t="s">
        <v>43</v>
      </c>
      <c r="C9" s="91" t="n">
        <v>0.95</v>
      </c>
      <c r="D9" s="91" t="n">
        <v>0.3</v>
      </c>
      <c r="E9" s="91" t="n">
        <v>4.7</v>
      </c>
      <c r="F9" s="91" t="n">
        <v>1.4</v>
      </c>
      <c r="G9" s="92" t="n">
        <f aca="false">C9+D9+E9+F9</f>
        <v>7.35</v>
      </c>
      <c r="H9" s="93"/>
      <c r="I9" s="91" t="n">
        <v>1.2</v>
      </c>
      <c r="J9" s="91" t="n">
        <v>0.3</v>
      </c>
      <c r="K9" s="91" t="n">
        <v>4.2</v>
      </c>
      <c r="L9" s="91" t="n">
        <v>1.4</v>
      </c>
      <c r="M9" s="91" t="n">
        <f aca="false">I9+J9+K9+L9</f>
        <v>7.1</v>
      </c>
      <c r="N9" s="94"/>
      <c r="O9" s="95" t="n">
        <v>3.38</v>
      </c>
      <c r="P9" s="95" t="n">
        <v>0.87</v>
      </c>
      <c r="Q9" s="95" t="n">
        <v>1.86</v>
      </c>
      <c r="R9" s="95" t="n">
        <v>1.17</v>
      </c>
      <c r="S9" s="91" t="n">
        <f aca="false">R9+Q9+P9+O9</f>
        <v>7.28</v>
      </c>
      <c r="T9" s="94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</row>
    <row r="10" customFormat="false" ht="23.25" hidden="false" customHeight="true" outlineLevel="0" collapsed="false">
      <c r="A10" s="89"/>
      <c r="B10" s="97" t="s">
        <v>44</v>
      </c>
      <c r="C10" s="98"/>
      <c r="D10" s="98"/>
      <c r="E10" s="98"/>
      <c r="F10" s="98"/>
      <c r="G10" s="99"/>
      <c r="H10" s="100"/>
      <c r="I10" s="99" t="n">
        <v>2.71071428571429</v>
      </c>
      <c r="J10" s="99" t="n">
        <v>0.91</v>
      </c>
      <c r="K10" s="99" t="n">
        <v>0.95</v>
      </c>
      <c r="L10" s="99" t="n">
        <v>1.94</v>
      </c>
      <c r="M10" s="99" t="n">
        <f aca="false">I10+J10+K10+L10</f>
        <v>6.51071428571429</v>
      </c>
      <c r="N10" s="101" t="n">
        <f aca="false">M10/M9</f>
        <v>0.917002012072435</v>
      </c>
      <c r="O10" s="99" t="n">
        <f aca="false">Data!U412</f>
        <v>0</v>
      </c>
      <c r="P10" s="99" t="n">
        <f aca="false">Data!V412</f>
        <v>0</v>
      </c>
      <c r="Q10" s="99" t="n">
        <f aca="false">Data!X412</f>
        <v>0</v>
      </c>
      <c r="R10" s="99" t="n">
        <f aca="false">Data!Z412</f>
        <v>0</v>
      </c>
      <c r="S10" s="99" t="n">
        <f aca="false">R10+Q10+P10+O10</f>
        <v>0</v>
      </c>
      <c r="T10" s="101" t="n">
        <f aca="false">S10/S9</f>
        <v>0</v>
      </c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</row>
    <row r="11" customFormat="false" ht="23.25" hidden="false" customHeight="true" outlineLevel="0" collapsed="false">
      <c r="A11" s="89" t="s">
        <v>48</v>
      </c>
      <c r="B11" s="90" t="s">
        <v>43</v>
      </c>
      <c r="C11" s="91" t="n">
        <v>1</v>
      </c>
      <c r="D11" s="91" t="n">
        <v>0.3</v>
      </c>
      <c r="E11" s="91" t="n">
        <v>5</v>
      </c>
      <c r="F11" s="91" t="n">
        <v>1.5</v>
      </c>
      <c r="G11" s="92" t="n">
        <f aca="false">C11+D11+E11+F11</f>
        <v>7.8</v>
      </c>
      <c r="H11" s="93"/>
      <c r="I11" s="91" t="n">
        <v>1.2</v>
      </c>
      <c r="J11" s="91" t="n">
        <v>0.5</v>
      </c>
      <c r="K11" s="91" t="n">
        <v>4.5</v>
      </c>
      <c r="L11" s="91" t="n">
        <v>1.5</v>
      </c>
      <c r="M11" s="91" t="n">
        <f aca="false">I11+J11+K11+L11</f>
        <v>7.7</v>
      </c>
      <c r="N11" s="94"/>
      <c r="O11" s="95" t="n">
        <v>2.99</v>
      </c>
      <c r="P11" s="95" t="n">
        <v>0.77</v>
      </c>
      <c r="Q11" s="95" t="n">
        <v>1.65</v>
      </c>
      <c r="R11" s="95" t="n">
        <v>1.04</v>
      </c>
      <c r="S11" s="91" t="n">
        <f aca="false">R11+Q11+P11+O11</f>
        <v>6.45</v>
      </c>
      <c r="T11" s="94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</row>
    <row r="12" customFormat="false" ht="23.25" hidden="false" customHeight="true" outlineLevel="0" collapsed="false">
      <c r="A12" s="89"/>
      <c r="B12" s="97" t="s">
        <v>44</v>
      </c>
      <c r="C12" s="99" t="n">
        <v>0.520353982300885</v>
      </c>
      <c r="D12" s="99" t="n">
        <v>0.103004291845494</v>
      </c>
      <c r="E12" s="99" t="n">
        <v>0.24206008583691</v>
      </c>
      <c r="F12" s="99" t="n">
        <v>0.255555555555556</v>
      </c>
      <c r="G12" s="99" t="n">
        <f aca="false">C12+D12+E12+F12</f>
        <v>1.12097391553885</v>
      </c>
      <c r="H12" s="100" t="n">
        <f aca="false">G12/G11</f>
        <v>0.143714604556262</v>
      </c>
      <c r="I12" s="99" t="n">
        <v>4.88571428571429</v>
      </c>
      <c r="J12" s="99" t="n">
        <v>0.503571428571429</v>
      </c>
      <c r="K12" s="99" t="n">
        <v>1.31785714285714</v>
      </c>
      <c r="L12" s="99" t="n">
        <v>1.97142857142857</v>
      </c>
      <c r="M12" s="99" t="n">
        <f aca="false">I12+J12+K12+L12</f>
        <v>8.67857142857143</v>
      </c>
      <c r="N12" s="101" t="n">
        <f aca="false">M12/M11</f>
        <v>1.12708719851577</v>
      </c>
      <c r="O12" s="99" t="n">
        <f aca="false">Data!U417</f>
        <v>0.953846153846154</v>
      </c>
      <c r="P12" s="99" t="n">
        <f aca="false">Data!V417</f>
        <v>0.358974358974359</v>
      </c>
      <c r="Q12" s="99" t="n">
        <f aca="false">Data!X417</f>
        <v>0.297345132743363</v>
      </c>
      <c r="R12" s="99" t="n">
        <f aca="false">Data!Z417</f>
        <v>0.522352941176471</v>
      </c>
      <c r="S12" s="99" t="n">
        <f aca="false">R12+Q12+P12+O12</f>
        <v>2.13251858674035</v>
      </c>
      <c r="T12" s="101" t="n">
        <f aca="false">S12/S11</f>
        <v>0.33062303670393</v>
      </c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/>
      <c r="AF12" s="96"/>
      <c r="AG12" s="96"/>
      <c r="AH12" s="96"/>
    </row>
    <row r="13" customFormat="false" ht="23.25" hidden="false" customHeight="true" outlineLevel="0" collapsed="false">
      <c r="A13" s="89" t="s">
        <v>49</v>
      </c>
      <c r="B13" s="90" t="s">
        <v>43</v>
      </c>
      <c r="C13" s="91" t="n">
        <v>0.95</v>
      </c>
      <c r="D13" s="91" t="n">
        <v>0.3</v>
      </c>
      <c r="E13" s="91" t="n">
        <v>4.7</v>
      </c>
      <c r="F13" s="91" t="n">
        <v>1.4</v>
      </c>
      <c r="G13" s="92" t="n">
        <f aca="false">C13+D13+E13+F13</f>
        <v>7.35</v>
      </c>
      <c r="H13" s="93"/>
      <c r="I13" s="91" t="n">
        <v>1.2</v>
      </c>
      <c r="J13" s="91" t="n">
        <v>0.3</v>
      </c>
      <c r="K13" s="91" t="n">
        <v>4</v>
      </c>
      <c r="L13" s="91" t="n">
        <v>1.5</v>
      </c>
      <c r="M13" s="91" t="n">
        <f aca="false">I13+J13+K13+L13</f>
        <v>7</v>
      </c>
      <c r="N13" s="94"/>
      <c r="O13" s="95" t="n">
        <v>3.51</v>
      </c>
      <c r="P13" s="95" t="n">
        <v>0.9</v>
      </c>
      <c r="Q13" s="95" t="n">
        <v>1.94</v>
      </c>
      <c r="R13" s="95" t="n">
        <v>1.22</v>
      </c>
      <c r="S13" s="91" t="n">
        <f aca="false">R13+Q13+P13+O13</f>
        <v>7.57</v>
      </c>
      <c r="T13" s="94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6"/>
      <c r="AF13" s="96"/>
      <c r="AG13" s="96"/>
      <c r="AH13" s="96"/>
    </row>
    <row r="14" customFormat="false" ht="23.25" hidden="false" customHeight="true" outlineLevel="0" collapsed="false">
      <c r="A14" s="89"/>
      <c r="B14" s="97" t="s">
        <v>44</v>
      </c>
      <c r="C14" s="99" t="n">
        <v>0.700429184549356</v>
      </c>
      <c r="D14" s="99" t="n">
        <v>0.339914163090129</v>
      </c>
      <c r="E14" s="99" t="n">
        <v>2.56995708154506</v>
      </c>
      <c r="F14" s="99" t="n">
        <v>0.377777777777778</v>
      </c>
      <c r="G14" s="99" t="n">
        <f aca="false">C14+D14+E14+F14+0.08</f>
        <v>4.06807820696232</v>
      </c>
      <c r="H14" s="100" t="n">
        <f aca="false">G14/G13</f>
        <v>0.553480028158139</v>
      </c>
      <c r="I14" s="99" t="n">
        <v>3.79285714285714</v>
      </c>
      <c r="J14" s="99" t="n">
        <v>0.482142857142857</v>
      </c>
      <c r="K14" s="99" t="n">
        <v>1.2</v>
      </c>
      <c r="L14" s="99" t="n">
        <v>1.55357142857143</v>
      </c>
      <c r="M14" s="99" t="n">
        <f aca="false">I14+J14+K14+L14</f>
        <v>7.02857142857143</v>
      </c>
      <c r="N14" s="101" t="n">
        <f aca="false">M14/M13</f>
        <v>1.00408163265306</v>
      </c>
      <c r="O14" s="99" t="n">
        <f aca="false">Data!U422</f>
        <v>4.83407458091002</v>
      </c>
      <c r="P14" s="99" t="n">
        <f aca="false">Data!V422</f>
        <v>1.51665243381725</v>
      </c>
      <c r="Q14" s="99" t="n">
        <f aca="false">Data!X422</f>
        <v>0.606593406593407</v>
      </c>
      <c r="R14" s="99" t="n">
        <f aca="false">Data!Z422</f>
        <v>1.50100257805786</v>
      </c>
      <c r="S14" s="99" t="n">
        <f aca="false">R14+Q14+P14+O14</f>
        <v>8.45832299937854</v>
      </c>
      <c r="T14" s="101" t="n">
        <f aca="false">S14/S13</f>
        <v>1.11734782026137</v>
      </c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</row>
    <row r="15" customFormat="false" ht="16.5" hidden="false" customHeight="true" outlineLevel="0" collapsed="false">
      <c r="A15" s="89" t="s">
        <v>50</v>
      </c>
      <c r="B15" s="90" t="s">
        <v>43</v>
      </c>
      <c r="C15" s="91" t="n">
        <v>1.05</v>
      </c>
      <c r="D15" s="91" t="n">
        <v>0.32</v>
      </c>
      <c r="E15" s="91" t="n">
        <v>5.25</v>
      </c>
      <c r="F15" s="91" t="n">
        <v>1.58</v>
      </c>
      <c r="G15" s="92" t="n">
        <f aca="false">C15+D15+E15+F15</f>
        <v>8.2</v>
      </c>
      <c r="H15" s="93"/>
      <c r="I15" s="91" t="n">
        <v>1.2</v>
      </c>
      <c r="J15" s="91" t="n">
        <v>0.5</v>
      </c>
      <c r="K15" s="91" t="n">
        <v>4</v>
      </c>
      <c r="L15" s="91" t="n">
        <v>1.58</v>
      </c>
      <c r="M15" s="91" t="n">
        <f aca="false">I15+J15+K15+L15</f>
        <v>7.28</v>
      </c>
      <c r="N15" s="94"/>
      <c r="O15" s="95" t="n">
        <v>3.51</v>
      </c>
      <c r="P15" s="95" t="n">
        <v>0.9</v>
      </c>
      <c r="Q15" s="95" t="n">
        <v>1.94</v>
      </c>
      <c r="R15" s="95" t="n">
        <v>1.22</v>
      </c>
      <c r="S15" s="91" t="n">
        <f aca="false">R15+Q15+P15+O15</f>
        <v>7.57</v>
      </c>
      <c r="T15" s="94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</row>
    <row r="16" customFormat="false" ht="16.5" hidden="false" customHeight="true" outlineLevel="0" collapsed="false">
      <c r="A16" s="89"/>
      <c r="B16" s="97" t="s">
        <v>44</v>
      </c>
      <c r="C16" s="99" t="n">
        <v>1.35965665236052</v>
      </c>
      <c r="D16" s="99" t="n">
        <v>0.185407725321888</v>
      </c>
      <c r="E16" s="99" t="n">
        <v>1.1381974248927</v>
      </c>
      <c r="F16" s="99" t="n">
        <v>1.02222222222222</v>
      </c>
      <c r="G16" s="99" t="n">
        <f aca="false">C16+D16+E16+F16</f>
        <v>3.70548402479733</v>
      </c>
      <c r="H16" s="100" t="n">
        <f aca="false">G16/G15</f>
        <v>0.451888295706991</v>
      </c>
      <c r="I16" s="99" t="s">
        <v>51</v>
      </c>
      <c r="J16" s="99"/>
      <c r="K16" s="99"/>
      <c r="L16" s="99"/>
      <c r="M16" s="99"/>
      <c r="N16" s="101" t="n">
        <f aca="false">M16/M15</f>
        <v>0</v>
      </c>
      <c r="O16" s="99" t="n">
        <f aca="false">Data!U427</f>
        <v>3.32762752482027</v>
      </c>
      <c r="P16" s="99" t="n">
        <f aca="false">Data!V427</f>
        <v>1.34244235695986</v>
      </c>
      <c r="Q16" s="99" t="n">
        <f aca="false">Data!X427</f>
        <v>0.9739405106607</v>
      </c>
      <c r="R16" s="99" t="n">
        <f aca="false">Data!Z427</f>
        <v>1.1297440423654</v>
      </c>
      <c r="S16" s="99" t="n">
        <f aca="false">R16+Q16+P16+O16</f>
        <v>6.77375443480623</v>
      </c>
      <c r="T16" s="101" t="n">
        <f aca="false">S16/S15</f>
        <v>0.894815645284839</v>
      </c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</row>
    <row r="17" customFormat="false" ht="23.25" hidden="false" customHeight="true" outlineLevel="0" collapsed="false">
      <c r="A17" s="89" t="s">
        <v>52</v>
      </c>
      <c r="B17" s="90" t="s">
        <v>43</v>
      </c>
      <c r="C17" s="91" t="n">
        <v>1</v>
      </c>
      <c r="D17" s="91" t="n">
        <v>0.3</v>
      </c>
      <c r="E17" s="91" t="n">
        <v>5</v>
      </c>
      <c r="F17" s="91" t="n">
        <v>1.5</v>
      </c>
      <c r="G17" s="92" t="n">
        <f aca="false">C17+D17+E17+F17</f>
        <v>7.8</v>
      </c>
      <c r="H17" s="93"/>
      <c r="I17" s="91" t="n">
        <v>1.2</v>
      </c>
      <c r="J17" s="91" t="n">
        <v>0.5</v>
      </c>
      <c r="K17" s="91" t="n">
        <v>4</v>
      </c>
      <c r="L17" s="91" t="n">
        <v>1.5</v>
      </c>
      <c r="M17" s="91" t="n">
        <f aca="false">I17+J17+K17+L17</f>
        <v>7.2</v>
      </c>
      <c r="N17" s="94"/>
      <c r="O17" s="95" t="n">
        <v>3.51</v>
      </c>
      <c r="P17" s="95" t="n">
        <v>0.9</v>
      </c>
      <c r="Q17" s="95" t="n">
        <v>1.94</v>
      </c>
      <c r="R17" s="95" t="n">
        <v>1.22</v>
      </c>
      <c r="S17" s="91" t="n">
        <f aca="false">R17+Q17+P17+O17</f>
        <v>7.57</v>
      </c>
      <c r="T17" s="94"/>
    </row>
    <row r="18" customFormat="false" ht="23.25" hidden="false" customHeight="true" outlineLevel="0" collapsed="false">
      <c r="A18" s="89"/>
      <c r="B18" s="97" t="s">
        <v>44</v>
      </c>
      <c r="C18" s="99" t="n">
        <v>1.34935622317597</v>
      </c>
      <c r="D18" s="99" t="n">
        <v>0.339914163090129</v>
      </c>
      <c r="E18" s="99" t="n">
        <v>0.545922746781116</v>
      </c>
      <c r="F18" s="99" t="n">
        <v>0.811111111111111</v>
      </c>
      <c r="G18" s="99" t="n">
        <f aca="false">C18+D18+E18+F18</f>
        <v>3.04630424415833</v>
      </c>
      <c r="H18" s="100" t="n">
        <f aca="false">G18/G17</f>
        <v>0.390551826174144</v>
      </c>
      <c r="I18" s="99" t="n">
        <v>3.72857142857143</v>
      </c>
      <c r="J18" s="99" t="n">
        <v>0.610714285714286</v>
      </c>
      <c r="K18" s="99" t="n">
        <v>1.10357142857143</v>
      </c>
      <c r="L18" s="99" t="n">
        <v>1.85357142857143</v>
      </c>
      <c r="M18" s="99" t="n">
        <f aca="false">I18+J18+K18+L18</f>
        <v>7.29642857142858</v>
      </c>
      <c r="N18" s="101" t="n">
        <f aca="false">M18/M17</f>
        <v>1.01339285714286</v>
      </c>
      <c r="O18" s="99" t="n">
        <f aca="false">Data!U432</f>
        <v>3.9849366655255</v>
      </c>
      <c r="P18" s="99" t="n">
        <f aca="false">Data!V432</f>
        <v>1.41417591801879</v>
      </c>
      <c r="Q18" s="99" t="n">
        <f aca="false">Data!X432</f>
        <v>1.66886022637536</v>
      </c>
      <c r="R18" s="99" t="n">
        <f aca="false">Data!Z432</f>
        <v>1.08267137393351</v>
      </c>
      <c r="S18" s="99" t="n">
        <f aca="false">R18+Q18+P18+O18</f>
        <v>8.15064418385316</v>
      </c>
      <c r="T18" s="101" t="n">
        <f aca="false">S18/S17</f>
        <v>1.07670332679698</v>
      </c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</row>
    <row r="19" customFormat="false" ht="23.25" hidden="false" customHeight="true" outlineLevel="0" collapsed="false">
      <c r="A19" s="89" t="s">
        <v>53</v>
      </c>
      <c r="B19" s="90" t="s">
        <v>43</v>
      </c>
      <c r="C19" s="91" t="n">
        <v>1.05</v>
      </c>
      <c r="D19" s="91" t="n">
        <v>0.32</v>
      </c>
      <c r="E19" s="91" t="n">
        <v>5.25</v>
      </c>
      <c r="F19" s="91" t="n">
        <v>1.58</v>
      </c>
      <c r="G19" s="92" t="n">
        <f aca="false">C19+D19+E19+F19</f>
        <v>8.2</v>
      </c>
      <c r="H19" s="93"/>
      <c r="I19" s="91" t="n">
        <v>1.2</v>
      </c>
      <c r="J19" s="91" t="n">
        <v>0.5</v>
      </c>
      <c r="K19" s="91" t="n">
        <v>4.5</v>
      </c>
      <c r="L19" s="91" t="n">
        <v>1.58</v>
      </c>
      <c r="M19" s="91" t="n">
        <f aca="false">I19+J19+K19+L19</f>
        <v>7.78</v>
      </c>
      <c r="N19" s="94"/>
      <c r="O19" s="95" t="n">
        <v>3.51</v>
      </c>
      <c r="P19" s="95" t="n">
        <v>0.9</v>
      </c>
      <c r="Q19" s="95" t="n">
        <v>1.94</v>
      </c>
      <c r="R19" s="95" t="n">
        <v>1.22</v>
      </c>
      <c r="S19" s="91" t="n">
        <f aca="false">R19+Q19+P19+O19</f>
        <v>7.57</v>
      </c>
      <c r="T19" s="94"/>
      <c r="U19" s="96"/>
      <c r="V19" s="96"/>
      <c r="W19" s="96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</row>
    <row r="20" customFormat="false" ht="23.25" hidden="false" customHeight="true" outlineLevel="0" collapsed="false">
      <c r="A20" s="89"/>
      <c r="B20" s="97" t="s">
        <v>44</v>
      </c>
      <c r="C20" s="99" t="n">
        <v>3.50214592274678</v>
      </c>
      <c r="D20" s="99" t="n">
        <v>0.442918454935622</v>
      </c>
      <c r="E20" s="99" t="n">
        <v>0.427467811158798</v>
      </c>
      <c r="F20" s="99" t="n">
        <v>0.511111111111111</v>
      </c>
      <c r="G20" s="99" t="n">
        <f aca="false">C20+D20+E20+F20</f>
        <v>4.88364329995231</v>
      </c>
      <c r="H20" s="100" t="n">
        <f aca="false">G20/G19</f>
        <v>0.595566256091745</v>
      </c>
      <c r="I20" s="99" t="n">
        <v>3.37699115044248</v>
      </c>
      <c r="J20" s="99" t="n">
        <v>0.849557522123894</v>
      </c>
      <c r="K20" s="99" t="n">
        <v>0.91858407079646</v>
      </c>
      <c r="L20" s="99" t="n">
        <v>1.50796460176991</v>
      </c>
      <c r="M20" s="99" t="n">
        <f aca="false">I20+J20+K20+L20</f>
        <v>6.65309734513274</v>
      </c>
      <c r="N20" s="101" t="n">
        <f aca="false">M20/M19</f>
        <v>0.855153900402666</v>
      </c>
      <c r="O20" s="99" t="n">
        <f aca="false">Data!U437</f>
        <v>3.94385484423143</v>
      </c>
      <c r="P20" s="99" t="n">
        <f aca="false">Data!V437</f>
        <v>1.39368061485909</v>
      </c>
      <c r="Q20" s="99" t="n">
        <f aca="false">Data!X437</f>
        <v>0.673861542511187</v>
      </c>
      <c r="R20" s="99" t="n">
        <f aca="false">Data!Z437</f>
        <v>1.044</v>
      </c>
      <c r="S20" s="99" t="n">
        <f aca="false">R20+Q20+P20+O20</f>
        <v>7.05539700160171</v>
      </c>
      <c r="T20" s="101" t="n">
        <f aca="false">S20/S19</f>
        <v>0.932020739973806</v>
      </c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</row>
    <row r="21" customFormat="false" ht="23.25" hidden="false" customHeight="true" outlineLevel="0" collapsed="false">
      <c r="A21" s="89" t="s">
        <v>54</v>
      </c>
      <c r="B21" s="90" t="s">
        <v>43</v>
      </c>
      <c r="C21" s="91" t="n">
        <v>1</v>
      </c>
      <c r="D21" s="91" t="n">
        <v>0.3</v>
      </c>
      <c r="E21" s="91" t="n">
        <v>5</v>
      </c>
      <c r="F21" s="91" t="n">
        <v>1.5</v>
      </c>
      <c r="G21" s="92" t="n">
        <f aca="false">C21+D21+E21+F21</f>
        <v>7.8</v>
      </c>
      <c r="H21" s="93"/>
      <c r="I21" s="91" t="n">
        <v>1.2</v>
      </c>
      <c r="J21" s="91" t="n">
        <v>0.5</v>
      </c>
      <c r="K21" s="91" t="n">
        <v>4.5</v>
      </c>
      <c r="L21" s="91" t="n">
        <v>1.5</v>
      </c>
      <c r="M21" s="91" t="n">
        <f aca="false">I21+J21+K21+L21</f>
        <v>7.7</v>
      </c>
      <c r="N21" s="94"/>
      <c r="O21" s="95" t="n">
        <v>3.51</v>
      </c>
      <c r="P21" s="95" t="n">
        <v>0.9</v>
      </c>
      <c r="Q21" s="95" t="n">
        <v>1.94</v>
      </c>
      <c r="R21" s="95" t="n">
        <v>1.22</v>
      </c>
      <c r="S21" s="91" t="n">
        <f aca="false">R21+Q21+P21+O21</f>
        <v>7.57</v>
      </c>
      <c r="T21" s="94"/>
      <c r="U21" s="96"/>
      <c r="V21" s="96"/>
      <c r="W21" s="96"/>
      <c r="X21" s="96"/>
      <c r="Y21" s="96"/>
      <c r="Z21" s="96"/>
      <c r="AA21" s="96"/>
      <c r="AB21" s="96"/>
      <c r="AC21" s="96"/>
      <c r="AD21" s="96"/>
      <c r="AE21" s="96"/>
      <c r="AF21" s="96"/>
      <c r="AG21" s="96"/>
      <c r="AH21" s="96"/>
    </row>
    <row r="22" customFormat="false" ht="23.25" hidden="false" customHeight="true" outlineLevel="0" collapsed="false">
      <c r="A22" s="89"/>
      <c r="B22" s="97" t="s">
        <v>44</v>
      </c>
      <c r="C22" s="99" t="n">
        <v>3.55</v>
      </c>
      <c r="D22" s="99" t="n">
        <v>0.43</v>
      </c>
      <c r="E22" s="99" t="n">
        <v>1.16</v>
      </c>
      <c r="F22" s="99" t="n">
        <v>0.69</v>
      </c>
      <c r="G22" s="99" t="n">
        <f aca="false">C22+D22+E22+F22</f>
        <v>5.83</v>
      </c>
      <c r="H22" s="100" t="n">
        <f aca="false">G22/G21</f>
        <v>0.747435897435897</v>
      </c>
      <c r="I22" s="99" t="n">
        <v>3.56814159292035</v>
      </c>
      <c r="J22" s="99" t="n">
        <v>0.658407079646018</v>
      </c>
      <c r="K22" s="99" t="n">
        <v>1.11504424778761</v>
      </c>
      <c r="L22" s="99" t="n">
        <v>1.30619469026549</v>
      </c>
      <c r="M22" s="99" t="n">
        <f aca="false">I22+J22+K22+L22</f>
        <v>6.64778761061947</v>
      </c>
      <c r="N22" s="101" t="n">
        <f aca="false">M22/M21</f>
        <v>0.863349040340191</v>
      </c>
      <c r="O22" s="99" t="n">
        <f aca="false">Data!U442</f>
        <v>1.84868195823348</v>
      </c>
      <c r="P22" s="99" t="n">
        <f aca="false">Data!V442</f>
        <v>0</v>
      </c>
      <c r="Q22" s="99" t="n">
        <f aca="false">Data!X442</f>
        <v>0.200052645433009</v>
      </c>
      <c r="R22" s="99" t="n">
        <f aca="false">Data!Z442</f>
        <v>0.188290673727567</v>
      </c>
      <c r="S22" s="99" t="n">
        <f aca="false">R22+Q22+P22+O22</f>
        <v>2.23702527739406</v>
      </c>
      <c r="T22" s="101" t="n">
        <f aca="false">S22/S21</f>
        <v>0.295511925679532</v>
      </c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</row>
    <row r="23" customFormat="false" ht="23.25" hidden="false" customHeight="true" outlineLevel="0" collapsed="false">
      <c r="A23" s="89" t="s">
        <v>55</v>
      </c>
      <c r="B23" s="90" t="s">
        <v>43</v>
      </c>
      <c r="C23" s="91" t="n">
        <v>1.05</v>
      </c>
      <c r="D23" s="91" t="n">
        <v>0.32</v>
      </c>
      <c r="E23" s="91" t="n">
        <v>5.25</v>
      </c>
      <c r="F23" s="91" t="n">
        <v>1.58</v>
      </c>
      <c r="G23" s="92" t="n">
        <f aca="false">C23+D23+E23+F23</f>
        <v>8.2</v>
      </c>
      <c r="H23" s="93"/>
      <c r="I23" s="91" t="n">
        <v>1.2</v>
      </c>
      <c r="J23" s="91" t="n">
        <v>0.5</v>
      </c>
      <c r="K23" s="91" t="n">
        <v>4.5</v>
      </c>
      <c r="L23" s="91" t="n">
        <v>1.58</v>
      </c>
      <c r="M23" s="91" t="n">
        <f aca="false">I23+J23+K23+L23</f>
        <v>7.78</v>
      </c>
      <c r="N23" s="94"/>
      <c r="O23" s="95" t="n">
        <v>3.25</v>
      </c>
      <c r="P23" s="95" t="n">
        <v>0.83</v>
      </c>
      <c r="Q23" s="95" t="n">
        <v>1.79</v>
      </c>
      <c r="R23" s="95" t="n">
        <v>1.13</v>
      </c>
      <c r="S23" s="91" t="n">
        <f aca="false">R23+Q23+P23+O23</f>
        <v>7</v>
      </c>
      <c r="T23" s="94"/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</row>
    <row r="24" customFormat="false" ht="23.25" hidden="false" customHeight="true" outlineLevel="0" collapsed="false">
      <c r="A24" s="89"/>
      <c r="B24" s="97" t="s">
        <v>44</v>
      </c>
      <c r="C24" s="99" t="n">
        <v>1.93648068669528</v>
      </c>
      <c r="D24" s="99" t="n">
        <v>0.515021459227468</v>
      </c>
      <c r="E24" s="99" t="n">
        <v>0.705579399141631</v>
      </c>
      <c r="F24" s="99" t="n">
        <v>1.44444444444444</v>
      </c>
      <c r="G24" s="99" t="n">
        <f aca="false">C24+D24+E24+F24</f>
        <v>4.60152598950882</v>
      </c>
      <c r="H24" s="100" t="n">
        <f aca="false">G24/G23</f>
        <v>0.561161706037661</v>
      </c>
      <c r="I24" s="99" t="n">
        <f aca="false">Data!U387</f>
        <v>4.12035398230089</v>
      </c>
      <c r="J24" s="99" t="n">
        <f aca="false">Data!V387</f>
        <v>1.07256637168142</v>
      </c>
      <c r="K24" s="99" t="n">
        <f aca="false">Data!X387</f>
        <v>1.20530973451327</v>
      </c>
      <c r="L24" s="99" t="n">
        <f aca="false">Data!Z387</f>
        <v>1.44424778761062</v>
      </c>
      <c r="M24" s="99" t="n">
        <f aca="false">I24+J24+K24+L24</f>
        <v>7.84247787610619</v>
      </c>
      <c r="N24" s="101" t="n">
        <f aca="false">M24/M23</f>
        <v>1.00803057533499</v>
      </c>
      <c r="O24" s="99" t="n">
        <f aca="false">Data!U447</f>
        <v>0</v>
      </c>
      <c r="P24" s="99" t="n">
        <f aca="false">Data!V447</f>
        <v>0</v>
      </c>
      <c r="Q24" s="99" t="n">
        <f aca="false">Data!X447</f>
        <v>0</v>
      </c>
      <c r="R24" s="99" t="n">
        <f aca="false">Data!Z447</f>
        <v>0</v>
      </c>
      <c r="S24" s="99" t="n">
        <f aca="false">R24+Q24+P24+O24</f>
        <v>0</v>
      </c>
      <c r="T24" s="101" t="n">
        <f aca="false">S24/S23</f>
        <v>0</v>
      </c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</row>
    <row r="25" customFormat="false" ht="23.25" hidden="false" customHeight="true" outlineLevel="0" collapsed="false">
      <c r="A25" s="89" t="s">
        <v>56</v>
      </c>
      <c r="B25" s="90" t="s">
        <v>43</v>
      </c>
      <c r="C25" s="91" t="n">
        <v>1</v>
      </c>
      <c r="D25" s="91" t="n">
        <v>0.3</v>
      </c>
      <c r="E25" s="91" t="n">
        <v>5</v>
      </c>
      <c r="F25" s="91" t="n">
        <v>1.5</v>
      </c>
      <c r="G25" s="92" t="n">
        <f aca="false">C25+D25+E25+F25</f>
        <v>7.8</v>
      </c>
      <c r="H25" s="93"/>
      <c r="I25" s="91" t="n">
        <v>1.2</v>
      </c>
      <c r="J25" s="91" t="n">
        <v>0.5</v>
      </c>
      <c r="K25" s="91" t="n">
        <v>4.5</v>
      </c>
      <c r="L25" s="91" t="n">
        <v>1.5</v>
      </c>
      <c r="M25" s="91" t="n">
        <f aca="false">I25+J25+K25+L25</f>
        <v>7.7</v>
      </c>
      <c r="N25" s="94"/>
      <c r="O25" s="95" t="n">
        <v>3.12</v>
      </c>
      <c r="P25" s="95" t="n">
        <v>0.8</v>
      </c>
      <c r="Q25" s="95" t="n">
        <v>1.72</v>
      </c>
      <c r="R25" s="95" t="n">
        <v>1.08</v>
      </c>
      <c r="S25" s="91" t="n">
        <f aca="false">R25+Q25+P25+O25</f>
        <v>6.72</v>
      </c>
      <c r="T25" s="94"/>
      <c r="U25" s="96"/>
      <c r="V25" s="96"/>
      <c r="W25" s="96"/>
      <c r="X25" s="96"/>
      <c r="Y25" s="96"/>
      <c r="Z25" s="96"/>
      <c r="AA25" s="96"/>
      <c r="AB25" s="96"/>
      <c r="AC25" s="96"/>
      <c r="AD25" s="96"/>
      <c r="AE25" s="96"/>
      <c r="AF25" s="96"/>
      <c r="AG25" s="96"/>
      <c r="AH25" s="96"/>
    </row>
    <row r="26" customFormat="false" ht="23.25" hidden="false" customHeight="true" outlineLevel="0" collapsed="false">
      <c r="A26" s="89"/>
      <c r="B26" s="102" t="s">
        <v>44</v>
      </c>
      <c r="C26" s="99" t="n">
        <v>2.21459227467811</v>
      </c>
      <c r="D26" s="99" t="n">
        <v>0.48412017167382</v>
      </c>
      <c r="E26" s="99" t="n">
        <v>0.659227467811159</v>
      </c>
      <c r="F26" s="99" t="n">
        <v>1.37777777777778</v>
      </c>
      <c r="G26" s="99" t="n">
        <f aca="false">C26+D26+E26+F26</f>
        <v>4.73571769194087</v>
      </c>
      <c r="H26" s="100" t="n">
        <f aca="false">G26/G25</f>
        <v>0.607143293838573</v>
      </c>
      <c r="I26" s="99" t="n">
        <f aca="false">Data!U392</f>
        <v>3.9716814159292</v>
      </c>
      <c r="J26" s="99" t="n">
        <f aca="false">Data!V392</f>
        <v>1.60353982300885</v>
      </c>
      <c r="K26" s="99" t="n">
        <f aca="false">Data!X392</f>
        <v>0.775221238938053</v>
      </c>
      <c r="L26" s="99" t="n">
        <f aca="false">Data!Z392</f>
        <v>1.64601769911504</v>
      </c>
      <c r="M26" s="99" t="n">
        <f aca="false">I26+J26+K26+L26</f>
        <v>7.99646017699115</v>
      </c>
      <c r="N26" s="101" t="n">
        <f aca="false">M26/M25</f>
        <v>1.03850132168716</v>
      </c>
      <c r="O26" s="99" t="n">
        <f aca="false">Data!U452</f>
        <v>0</v>
      </c>
      <c r="P26" s="99" t="n">
        <f aca="false">Data!V452</f>
        <v>0</v>
      </c>
      <c r="Q26" s="99" t="n">
        <f aca="false">Data!X452</f>
        <v>0</v>
      </c>
      <c r="R26" s="99" t="n">
        <f aca="false">Data!Z452</f>
        <v>0</v>
      </c>
      <c r="S26" s="99" t="n">
        <f aca="false">R26+Q26+P26+O26</f>
        <v>0</v>
      </c>
      <c r="T26" s="101" t="n">
        <f aca="false">S26/S25</f>
        <v>0</v>
      </c>
      <c r="U26" s="96"/>
      <c r="V26" s="96"/>
      <c r="W26" s="96"/>
      <c r="X26" s="96"/>
      <c r="Y26" s="96"/>
      <c r="Z26" s="96"/>
      <c r="AA26" s="96"/>
      <c r="AB26" s="96"/>
      <c r="AC26" s="96"/>
      <c r="AD26" s="96"/>
      <c r="AE26" s="96"/>
      <c r="AF26" s="96"/>
      <c r="AG26" s="96"/>
      <c r="AH26" s="96"/>
    </row>
    <row r="27" customFormat="false" ht="23.25" hidden="false" customHeight="true" outlineLevel="0" collapsed="false">
      <c r="A27" s="103" t="s">
        <v>57</v>
      </c>
      <c r="B27" s="90" t="s">
        <v>43</v>
      </c>
      <c r="C27" s="104" t="n">
        <f aca="false">C25+C23+C21+C19+C17+C15+C13+C11+C9+C7+C5+C3</f>
        <v>11.68</v>
      </c>
      <c r="D27" s="104" t="n">
        <f aca="false">D25+D23+D21+D19+D17+D15+D13+D11+D9+D7+D5+D3</f>
        <v>3.65</v>
      </c>
      <c r="E27" s="104" t="n">
        <f aca="false">E25+E23+E21+E19+E17+E15+E13+E11+E9+E7+E5+E3</f>
        <v>58.21</v>
      </c>
      <c r="F27" s="104" t="n">
        <f aca="false">F25+F23+F21+F19+F17+F15+F13+F11+F9+F7+F5+F3</f>
        <v>17.8</v>
      </c>
      <c r="G27" s="104" t="n">
        <f aca="false">C27+D27+E27+F27</f>
        <v>91.34</v>
      </c>
      <c r="H27" s="105"/>
      <c r="I27" s="104" t="n">
        <f aca="false">I25+I23+I21+I19+I17+I15+I13+I11+I9+I7+I5+I3</f>
        <v>14.4</v>
      </c>
      <c r="J27" s="104" t="n">
        <f aca="false">J25+J23+J21+J19+J17+J15+J13+J11+J9+J7+J5+J3</f>
        <v>5.45</v>
      </c>
      <c r="K27" s="104" t="n">
        <f aca="false">K25+K23+K21+K19+K17+K15+K13+K11+K9+K7+K5+K3</f>
        <v>51.6</v>
      </c>
      <c r="L27" s="104" t="n">
        <f aca="false">L25+L23+L21+L19+L17+L15+L13+L11+L9+L7+L5+L3</f>
        <v>17.96</v>
      </c>
      <c r="M27" s="104" t="n">
        <f aca="false">M25+M23+M21+M19+M17+M15+M13+M11+M9+M7+M5+M3</f>
        <v>89.41</v>
      </c>
      <c r="N27" s="106"/>
      <c r="O27" s="107" t="n">
        <f aca="false">O25+O23+O21+O19+O17+O15+O13+O11+O7+O5+O3</f>
        <v>35.62</v>
      </c>
      <c r="P27" s="107" t="n">
        <f aca="false">P25+P23+P21+P19+P17+P15+P13+P11+P7+P5+P3</f>
        <v>9.13</v>
      </c>
      <c r="Q27" s="107" t="n">
        <f aca="false">Q25+Q23+Q21+Q19+Q17+Q15+Q13+Q11+Q7+Q5+Q3</f>
        <v>19.67</v>
      </c>
      <c r="R27" s="107" t="n">
        <f aca="false">R25+R23+R21+R19+R17+R15+R13+R11+R7+R5+R3</f>
        <v>12.37</v>
      </c>
      <c r="S27" s="91" t="n">
        <f aca="false">R27+Q27+P27+O27</f>
        <v>76.79</v>
      </c>
      <c r="T27" s="94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</row>
    <row r="28" customFormat="false" ht="23.25" hidden="false" customHeight="true" outlineLevel="0" collapsed="false">
      <c r="A28" s="103"/>
      <c r="B28" s="97" t="s">
        <v>44</v>
      </c>
      <c r="C28" s="99" t="n">
        <f aca="false">C26+C24+C22+C20+C18+C16+C14+C12</f>
        <v>15.1330149265069</v>
      </c>
      <c r="D28" s="99" t="n">
        <f aca="false">D26+D24+D22+D20+D18+D16+D14+D12</f>
        <v>2.84030042918455</v>
      </c>
      <c r="E28" s="99" t="n">
        <f aca="false">E26+E24+E22+E20+E18+E16+E14+E12</f>
        <v>7.44841201716737</v>
      </c>
      <c r="F28" s="99" t="n">
        <f aca="false">F26+F24+F22+F20+F18+F16+F14+F12</f>
        <v>6.49</v>
      </c>
      <c r="G28" s="99" t="n">
        <f aca="false">C28+D28+E28+F28</f>
        <v>31.9117273728588</v>
      </c>
      <c r="H28" s="100" t="n">
        <f aca="false">G28/G27</f>
        <v>0.349372973208439</v>
      </c>
      <c r="I28" s="99" t="n">
        <f aca="false">I26+I24+I22+I20+I18+I14+I12+I10+I8+I4+I6</f>
        <v>39.3550252844501</v>
      </c>
      <c r="J28" s="99" t="n">
        <f aca="false">J26+J24+J22+J20+J18+J16+J14+J12+J10+J8+J6+J4</f>
        <v>8.97049936788875</v>
      </c>
      <c r="K28" s="99" t="n">
        <f aca="false">K26+K24+K22+K20+K18+K16+K14+K12+K10+K8+K6+K4</f>
        <v>11.665587863464</v>
      </c>
      <c r="L28" s="99" t="n">
        <f aca="false">L26+L24+L22+L20+L18+L16+L14+L12+L10+L8+L6+L4</f>
        <v>16.7029962073325</v>
      </c>
      <c r="M28" s="99" t="n">
        <f aca="false">M26+M24+M22+M20+M18+M16+M14+M12+M10+M8+M6+M4</f>
        <v>76.6941087231353</v>
      </c>
      <c r="N28" s="101" t="n">
        <f aca="false">M28/M27</f>
        <v>0.857779987955881</v>
      </c>
      <c r="O28" s="99" t="n">
        <f aca="false">O26+O24+O22+O20+O18+O16+O14+O12+O10+O8+O6+O4</f>
        <v>31.5375650050215</v>
      </c>
      <c r="P28" s="99" t="n">
        <f aca="false">P26+P24+P22+P20+P18+P16+P14+P12+P10+P8+P6+P4</f>
        <v>9.98151919245002</v>
      </c>
      <c r="Q28" s="99" t="n">
        <f aca="false">Q26+Q24+Q22+Q20+Q18+Q16+Q14+Q12+Q10+Q8+Q6+Q4</f>
        <v>8.05886021332024</v>
      </c>
      <c r="R28" s="99" t="n">
        <f aca="false">R26+R24+R22+R20+R18+R16+R14+R12+R10+R8+R6+R4</f>
        <v>7.8742489481322</v>
      </c>
      <c r="S28" s="99" t="n">
        <f aca="false">R28+Q28+P28+O28</f>
        <v>57.452193358924</v>
      </c>
      <c r="T28" s="101" t="n">
        <f aca="false">S28/S27</f>
        <v>0.748172852701185</v>
      </c>
    </row>
    <row r="29" customFormat="false" ht="23.25" hidden="false" customHeight="true" outlineLevel="0" collapsed="false">
      <c r="A29" s="108" t="s">
        <v>58</v>
      </c>
      <c r="B29" s="109" t="s">
        <v>58</v>
      </c>
      <c r="I29" s="110" t="n">
        <f aca="false">I28/I27</f>
        <v>2.7329878669757</v>
      </c>
      <c r="J29" s="110" t="n">
        <f aca="false">J28/J27</f>
        <v>1.64596318676858</v>
      </c>
      <c r="K29" s="110" t="n">
        <f aca="false">K28/K27</f>
        <v>0.226077284175658</v>
      </c>
      <c r="L29" s="110" t="n">
        <f aca="false">L28/L27</f>
        <v>0.930010924684437</v>
      </c>
      <c r="M29" s="110"/>
      <c r="N29" s="110"/>
      <c r="O29" s="110" t="n">
        <f aca="false">O28/O27</f>
        <v>0.885389247754675</v>
      </c>
      <c r="P29" s="110" t="n">
        <f aca="false">P28/P27</f>
        <v>1.09326606708105</v>
      </c>
      <c r="Q29" s="110" t="n">
        <f aca="false">Q28/Q27</f>
        <v>0.409703112014247</v>
      </c>
      <c r="R29" s="110" t="n">
        <f aca="false">R28/R27</f>
        <v>0.636560141320307</v>
      </c>
      <c r="S29" s="110" t="n">
        <f aca="false">S28/S27</f>
        <v>0.748172852701185</v>
      </c>
      <c r="T29" s="110"/>
    </row>
    <row r="30" customFormat="false" ht="23.25" hidden="false" customHeight="true" outlineLevel="0" collapsed="false">
      <c r="C30" s="111" t="s">
        <v>59</v>
      </c>
      <c r="D30" s="111"/>
      <c r="E30" s="111"/>
      <c r="F30" s="111"/>
      <c r="G30" s="111"/>
      <c r="H30" s="111"/>
      <c r="J30" s="111" t="s">
        <v>60</v>
      </c>
      <c r="K30" s="111"/>
      <c r="L30" s="111"/>
      <c r="M30" s="111"/>
      <c r="O30" s="112"/>
      <c r="P30" s="111" t="s">
        <v>61</v>
      </c>
      <c r="Q30" s="111"/>
      <c r="R30" s="111"/>
      <c r="S30" s="111"/>
    </row>
    <row r="31" customFormat="false" ht="23.25" hidden="false" customHeight="true" outlineLevel="0" collapsed="false">
      <c r="A31" s="77"/>
      <c r="C31" s="113" t="s">
        <v>62</v>
      </c>
      <c r="D31" s="84" t="s">
        <v>36</v>
      </c>
      <c r="E31" s="84" t="s">
        <v>37</v>
      </c>
      <c r="F31" s="84" t="s">
        <v>38</v>
      </c>
      <c r="G31" s="84" t="s">
        <v>39</v>
      </c>
      <c r="H31" s="85" t="s">
        <v>40</v>
      </c>
      <c r="I31" s="113" t="s">
        <v>62</v>
      </c>
      <c r="J31" s="84" t="s">
        <v>36</v>
      </c>
      <c r="K31" s="84" t="s">
        <v>37</v>
      </c>
      <c r="L31" s="84" t="s">
        <v>38</v>
      </c>
      <c r="M31" s="84" t="s">
        <v>39</v>
      </c>
      <c r="N31" s="85" t="s">
        <v>40</v>
      </c>
      <c r="O31" s="113" t="s">
        <v>62</v>
      </c>
      <c r="P31" s="84" t="s">
        <v>36</v>
      </c>
      <c r="Q31" s="84" t="s">
        <v>37</v>
      </c>
      <c r="R31" s="84" t="s">
        <v>38</v>
      </c>
      <c r="S31" s="84" t="s">
        <v>39</v>
      </c>
      <c r="T31" s="85" t="s">
        <v>40</v>
      </c>
    </row>
    <row r="32" customFormat="false" ht="23.25" hidden="false" customHeight="true" outlineLevel="0" collapsed="false">
      <c r="C32" s="114" t="s">
        <v>43</v>
      </c>
      <c r="D32" s="115" t="n">
        <v>0</v>
      </c>
      <c r="E32" s="115" t="n">
        <v>0</v>
      </c>
      <c r="F32" s="115" t="n">
        <v>0</v>
      </c>
      <c r="G32" s="115" t="n">
        <v>0</v>
      </c>
      <c r="H32" s="115" t="n">
        <f aca="false">G32+D32+E32+F32</f>
        <v>0</v>
      </c>
      <c r="I32" s="114" t="s">
        <v>43</v>
      </c>
      <c r="J32" s="115" t="n">
        <f aca="false">I3+I5+I7</f>
        <v>3.6</v>
      </c>
      <c r="K32" s="115" t="n">
        <f aca="false">J3+J5+J7</f>
        <v>1.35</v>
      </c>
      <c r="L32" s="115" t="n">
        <f aca="false">K3+K5+K7</f>
        <v>12.9</v>
      </c>
      <c r="M32" s="115" t="n">
        <f aca="false">L3+L5+L7</f>
        <v>4.32</v>
      </c>
      <c r="N32" s="115" t="n">
        <f aca="false">J32+K32+L32+M32</f>
        <v>22.17</v>
      </c>
      <c r="O32" s="114" t="s">
        <v>43</v>
      </c>
      <c r="P32" s="115" t="n">
        <f aca="false">O3+O5+O7</f>
        <v>8.71</v>
      </c>
      <c r="Q32" s="115" t="n">
        <f aca="false">P3+P5+P7</f>
        <v>2.23</v>
      </c>
      <c r="R32" s="115" t="n">
        <f aca="false">Q3+Q5+Q7</f>
        <v>4.81</v>
      </c>
      <c r="S32" s="115" t="n">
        <f aca="false">R3+R5+R7</f>
        <v>3.02</v>
      </c>
      <c r="T32" s="115" t="n">
        <f aca="false">P32+Q32+R32+S32</f>
        <v>18.77</v>
      </c>
    </row>
    <row r="33" customFormat="false" ht="23.25" hidden="false" customHeight="true" outlineLevel="0" collapsed="false">
      <c r="A33" s="77"/>
      <c r="C33" s="114" t="s">
        <v>44</v>
      </c>
      <c r="D33" s="116" t="n">
        <f aca="false">C4+C6+C8</f>
        <v>0</v>
      </c>
      <c r="E33" s="116" t="n">
        <f aca="false">D4+D6+D8</f>
        <v>0</v>
      </c>
      <c r="F33" s="116" t="n">
        <f aca="false">E4+E6+E8</f>
        <v>0</v>
      </c>
      <c r="G33" s="116" t="n">
        <f aca="false">F4+F6+F8</f>
        <v>0</v>
      </c>
      <c r="H33" s="116" t="n">
        <f aca="false">D33+E33+F33+G33</f>
        <v>0</v>
      </c>
      <c r="I33" s="114" t="s">
        <v>44</v>
      </c>
      <c r="J33" s="116" t="n">
        <f aca="false">I4+I6+I8</f>
        <v>9.2</v>
      </c>
      <c r="K33" s="116" t="n">
        <f aca="false">J4+J6+J8</f>
        <v>2.28</v>
      </c>
      <c r="L33" s="116" t="n">
        <f aca="false">K4+K6+K8</f>
        <v>3.08</v>
      </c>
      <c r="M33" s="116" t="n">
        <f aca="false">L4+L6+L8</f>
        <v>3.48</v>
      </c>
      <c r="N33" s="116" t="n">
        <f aca="false">J33+K33+L33+M33</f>
        <v>18.04</v>
      </c>
      <c r="O33" s="114" t="s">
        <v>44</v>
      </c>
      <c r="P33" s="116" t="n">
        <f aca="false">O4+O6+O8</f>
        <v>12.6445432774547</v>
      </c>
      <c r="Q33" s="116" t="n">
        <f aca="false">P4+P6+P8</f>
        <v>3.95559350982067</v>
      </c>
      <c r="R33" s="116" t="n">
        <f aca="false">Q4+Q6+Q8</f>
        <v>3.63820674900321</v>
      </c>
      <c r="S33" s="116" t="n">
        <f aca="false">R4+R6+R8</f>
        <v>2.40618733887138</v>
      </c>
      <c r="T33" s="116" t="n">
        <f aca="false">P33+Q33+R33+S33</f>
        <v>22.6445308751499</v>
      </c>
    </row>
    <row r="34" customFormat="false" ht="23.25" hidden="false" customHeight="true" outlineLevel="0" collapsed="false">
      <c r="A34" s="77"/>
      <c r="C34" s="117" t="s">
        <v>41</v>
      </c>
      <c r="D34" s="110" t="n">
        <v>0</v>
      </c>
      <c r="E34" s="110" t="n">
        <v>0</v>
      </c>
      <c r="F34" s="110" t="n">
        <v>0</v>
      </c>
      <c r="G34" s="110" t="n">
        <v>0</v>
      </c>
      <c r="H34" s="110" t="n">
        <v>0</v>
      </c>
      <c r="I34" s="117" t="s">
        <v>41</v>
      </c>
      <c r="J34" s="110" t="n">
        <f aca="false">J33/J32</f>
        <v>2.55555555555556</v>
      </c>
      <c r="K34" s="110" t="n">
        <f aca="false">K33/K32</f>
        <v>1.68888888888889</v>
      </c>
      <c r="L34" s="110" t="n">
        <f aca="false">L33/L32</f>
        <v>0.238759689922481</v>
      </c>
      <c r="M34" s="110" t="n">
        <f aca="false">M33/M32</f>
        <v>0.805555555555555</v>
      </c>
      <c r="N34" s="110" t="n">
        <f aca="false">N33/N32</f>
        <v>0.813712223725756</v>
      </c>
      <c r="O34" s="117" t="s">
        <v>41</v>
      </c>
      <c r="P34" s="110" t="n">
        <f aca="false">P33/P32</f>
        <v>1.45172712714749</v>
      </c>
      <c r="Q34" s="110" t="n">
        <f aca="false">Q33/Q32</f>
        <v>1.77380874879851</v>
      </c>
      <c r="R34" s="110" t="n">
        <f aca="false">R33/R32</f>
        <v>0.756383939501707</v>
      </c>
      <c r="S34" s="110" t="n">
        <f aca="false">S33/S32</f>
        <v>0.796750774460723</v>
      </c>
      <c r="T34" s="110" t="n">
        <f aca="false">T33/T32</f>
        <v>1.20642146377996</v>
      </c>
    </row>
    <row r="35" customFormat="false" ht="23.25" hidden="false" customHeight="true" outlineLevel="0" collapsed="false">
      <c r="A35" s="77"/>
      <c r="C35" s="118" t="s">
        <v>63</v>
      </c>
      <c r="D35" s="84" t="s">
        <v>36</v>
      </c>
      <c r="E35" s="84" t="s">
        <v>37</v>
      </c>
      <c r="F35" s="84" t="s">
        <v>38</v>
      </c>
      <c r="G35" s="84" t="s">
        <v>39</v>
      </c>
      <c r="H35" s="85" t="s">
        <v>40</v>
      </c>
      <c r="I35" s="118" t="s">
        <v>63</v>
      </c>
      <c r="J35" s="84" t="s">
        <v>36</v>
      </c>
      <c r="K35" s="84" t="s">
        <v>37</v>
      </c>
      <c r="L35" s="84" t="s">
        <v>38</v>
      </c>
      <c r="M35" s="84" t="s">
        <v>39</v>
      </c>
      <c r="N35" s="85" t="s">
        <v>40</v>
      </c>
      <c r="O35" s="118" t="s">
        <v>63</v>
      </c>
      <c r="P35" s="84" t="s">
        <v>36</v>
      </c>
      <c r="Q35" s="84" t="s">
        <v>37</v>
      </c>
      <c r="R35" s="84" t="s">
        <v>38</v>
      </c>
      <c r="S35" s="84" t="s">
        <v>39</v>
      </c>
      <c r="T35" s="85" t="s">
        <v>40</v>
      </c>
    </row>
    <row r="36" customFormat="false" ht="23.25" hidden="false" customHeight="true" outlineLevel="0" collapsed="false">
      <c r="C36" s="114" t="s">
        <v>43</v>
      </c>
      <c r="D36" s="115" t="n">
        <f aca="false">C13+C11</f>
        <v>1.95</v>
      </c>
      <c r="E36" s="115" t="n">
        <f aca="false">D13+D11</f>
        <v>0.6</v>
      </c>
      <c r="F36" s="115" t="n">
        <f aca="false">E13+E11</f>
        <v>9.7</v>
      </c>
      <c r="G36" s="115" t="n">
        <f aca="false">F13+F11</f>
        <v>2.9</v>
      </c>
      <c r="H36" s="115" t="n">
        <f aca="false">G36+D36+E36+F36</f>
        <v>15.15</v>
      </c>
      <c r="I36" s="114" t="s">
        <v>43</v>
      </c>
      <c r="J36" s="115" t="n">
        <f aca="false">I13+I9+I11</f>
        <v>3.6</v>
      </c>
      <c r="K36" s="115" t="n">
        <f aca="false">J13+J9+J11</f>
        <v>1.1</v>
      </c>
      <c r="L36" s="115" t="n">
        <f aca="false">K13+K9+K11</f>
        <v>12.7</v>
      </c>
      <c r="M36" s="115" t="n">
        <f aca="false">L13+L9+L11</f>
        <v>4.4</v>
      </c>
      <c r="N36" s="115" t="n">
        <f aca="false">J36+K36+L36+M36</f>
        <v>21.8</v>
      </c>
      <c r="O36" s="114" t="s">
        <v>43</v>
      </c>
      <c r="P36" s="115" t="n">
        <f aca="false">O13+O11</f>
        <v>6.5</v>
      </c>
      <c r="Q36" s="115" t="n">
        <f aca="false">P13+P11</f>
        <v>1.67</v>
      </c>
      <c r="R36" s="115" t="n">
        <f aca="false">Q13+Q11</f>
        <v>3.59</v>
      </c>
      <c r="S36" s="115" t="n">
        <f aca="false">R13+R11</f>
        <v>2.26</v>
      </c>
      <c r="T36" s="115" t="n">
        <f aca="false">P36+Q36+R36+S36</f>
        <v>14.02</v>
      </c>
    </row>
    <row r="37" customFormat="false" ht="23.25" hidden="false" customHeight="true" outlineLevel="0" collapsed="false">
      <c r="A37" s="77"/>
      <c r="C37" s="114" t="s">
        <v>44</v>
      </c>
      <c r="D37" s="116" t="n">
        <f aca="false">C14+C10+C12</f>
        <v>1.22078316685024</v>
      </c>
      <c r="E37" s="116" t="n">
        <f aca="false">D14+D10+D12</f>
        <v>0.442918454935623</v>
      </c>
      <c r="F37" s="116" t="n">
        <f aca="false">E14+E10+E12</f>
        <v>2.81201716738197</v>
      </c>
      <c r="G37" s="116" t="n">
        <f aca="false">F14+F10+F12</f>
        <v>0.633333333333334</v>
      </c>
      <c r="H37" s="116" t="n">
        <f aca="false">G37+D37+E37+F37</f>
        <v>5.10905212250117</v>
      </c>
      <c r="I37" s="114" t="s">
        <v>44</v>
      </c>
      <c r="J37" s="116" t="n">
        <f aca="false">I14+I10+I12</f>
        <v>11.3892857142857</v>
      </c>
      <c r="K37" s="116" t="n">
        <f aca="false">J14+J10+J12</f>
        <v>1.89571428571429</v>
      </c>
      <c r="L37" s="116" t="n">
        <f aca="false">K14+K10+K12</f>
        <v>3.46785714285714</v>
      </c>
      <c r="M37" s="116" t="n">
        <f aca="false">L14+L10+L12</f>
        <v>5.465</v>
      </c>
      <c r="N37" s="116" t="n">
        <f aca="false">J37+K37+L37+M37</f>
        <v>22.2178571428571</v>
      </c>
      <c r="O37" s="114" t="s">
        <v>44</v>
      </c>
      <c r="P37" s="116" t="n">
        <f aca="false">O14+O10+O12</f>
        <v>5.78792073475618</v>
      </c>
      <c r="Q37" s="116" t="n">
        <f aca="false">P14+P10+P12</f>
        <v>1.87562679279161</v>
      </c>
      <c r="R37" s="116" t="n">
        <f aca="false">Q14+Q10+Q12</f>
        <v>0.903938539336769</v>
      </c>
      <c r="S37" s="116" t="n">
        <f aca="false">R14+R10+R12</f>
        <v>2.02335551923433</v>
      </c>
      <c r="T37" s="116" t="n">
        <f aca="false">P37+Q37+R37+S37</f>
        <v>10.5908415861189</v>
      </c>
    </row>
    <row r="38" customFormat="false" ht="23.25" hidden="false" customHeight="true" outlineLevel="0" collapsed="false">
      <c r="A38" s="77"/>
      <c r="C38" s="117" t="s">
        <v>41</v>
      </c>
      <c r="D38" s="110" t="n">
        <f aca="false">D37/D36</f>
        <v>0.62604264966679</v>
      </c>
      <c r="E38" s="110" t="n">
        <f aca="false">D37/D36</f>
        <v>0.62604264966679</v>
      </c>
      <c r="F38" s="110" t="n">
        <f aca="false">E37/E36</f>
        <v>0.738197424892705</v>
      </c>
      <c r="G38" s="110" t="n">
        <f aca="false">F37/F36</f>
        <v>0.289898677049688</v>
      </c>
      <c r="H38" s="110" t="n">
        <f aca="false">H37/H36</f>
        <v>0.337231163201397</v>
      </c>
      <c r="I38" s="117" t="s">
        <v>41</v>
      </c>
      <c r="J38" s="110" t="n">
        <f aca="false">J37/J36</f>
        <v>3.16369047619048</v>
      </c>
      <c r="K38" s="110" t="n">
        <f aca="false">K37/K36</f>
        <v>1.72337662337662</v>
      </c>
      <c r="L38" s="110" t="n">
        <f aca="false">L37/L36</f>
        <v>0.273059617547806</v>
      </c>
      <c r="M38" s="110" t="n">
        <f aca="false">M37/M36</f>
        <v>1.24204545454545</v>
      </c>
      <c r="N38" s="110" t="n">
        <f aca="false">N37/N36</f>
        <v>1.01916775884666</v>
      </c>
      <c r="O38" s="117" t="s">
        <v>41</v>
      </c>
      <c r="P38" s="110" t="n">
        <f aca="false">P37/P36</f>
        <v>0.890449343808643</v>
      </c>
      <c r="Q38" s="110" t="n">
        <f aca="false">Q37/Q36</f>
        <v>1.12312981604288</v>
      </c>
      <c r="R38" s="110" t="n">
        <f aca="false">R37/R36</f>
        <v>0.251793464996315</v>
      </c>
      <c r="S38" s="110" t="n">
        <f aca="false">S37/S36</f>
        <v>0.895290052758555</v>
      </c>
      <c r="T38" s="110" t="n">
        <f aca="false">T37/T36</f>
        <v>0.755409528253844</v>
      </c>
    </row>
    <row r="39" customFormat="false" ht="23.25" hidden="false" customHeight="true" outlineLevel="0" collapsed="false">
      <c r="A39" s="77"/>
      <c r="C39" s="118" t="s">
        <v>64</v>
      </c>
      <c r="D39" s="84" t="s">
        <v>36</v>
      </c>
      <c r="E39" s="84" t="s">
        <v>37</v>
      </c>
      <c r="F39" s="84" t="s">
        <v>38</v>
      </c>
      <c r="G39" s="84" t="s">
        <v>39</v>
      </c>
      <c r="H39" s="85" t="s">
        <v>40</v>
      </c>
      <c r="I39" s="118" t="s">
        <v>64</v>
      </c>
      <c r="J39" s="84" t="s">
        <v>36</v>
      </c>
      <c r="K39" s="84" t="s">
        <v>37</v>
      </c>
      <c r="L39" s="84" t="s">
        <v>38</v>
      </c>
      <c r="M39" s="84" t="s">
        <v>39</v>
      </c>
      <c r="N39" s="85" t="s">
        <v>40</v>
      </c>
      <c r="O39" s="118" t="s">
        <v>64</v>
      </c>
      <c r="P39" s="84" t="s">
        <v>36</v>
      </c>
      <c r="Q39" s="84" t="s">
        <v>37</v>
      </c>
      <c r="R39" s="84" t="s">
        <v>38</v>
      </c>
      <c r="S39" s="84" t="s">
        <v>39</v>
      </c>
      <c r="T39" s="85" t="s">
        <v>40</v>
      </c>
    </row>
    <row r="40" customFormat="false" ht="23.25" hidden="false" customHeight="true" outlineLevel="0" collapsed="false">
      <c r="C40" s="114" t="s">
        <v>43</v>
      </c>
      <c r="D40" s="115" t="n">
        <f aca="false">C17+C19+C15</f>
        <v>3.1</v>
      </c>
      <c r="E40" s="115" t="n">
        <f aca="false">D17+D19+D15</f>
        <v>0.94</v>
      </c>
      <c r="F40" s="115" t="n">
        <f aca="false">E17+E19+E15</f>
        <v>15.5</v>
      </c>
      <c r="G40" s="115" t="n">
        <f aca="false">F17+F19+F15</f>
        <v>4.66</v>
      </c>
      <c r="H40" s="115" t="n">
        <f aca="false">D40+E40+F40+G40</f>
        <v>24.2</v>
      </c>
      <c r="I40" s="114" t="s">
        <v>43</v>
      </c>
      <c r="J40" s="115" t="n">
        <f aca="false">I17+I19</f>
        <v>2.4</v>
      </c>
      <c r="K40" s="115" t="n">
        <f aca="false">J17+J19</f>
        <v>1</v>
      </c>
      <c r="L40" s="115" t="n">
        <f aca="false">K17+K19</f>
        <v>8.5</v>
      </c>
      <c r="M40" s="115" t="n">
        <f aca="false">L17+L19</f>
        <v>3.08</v>
      </c>
      <c r="N40" s="115" t="n">
        <f aca="false">J40+K40+L40+M40</f>
        <v>14.98</v>
      </c>
      <c r="O40" s="114" t="s">
        <v>43</v>
      </c>
      <c r="P40" s="115" t="n">
        <f aca="false">O17+O19+O15</f>
        <v>10.53</v>
      </c>
      <c r="Q40" s="115" t="n">
        <f aca="false">P17+P19+P15</f>
        <v>2.7</v>
      </c>
      <c r="R40" s="115" t="n">
        <f aca="false">Q17+Q19+Q15</f>
        <v>5.82</v>
      </c>
      <c r="S40" s="115" t="n">
        <f aca="false">R17+R19+R15</f>
        <v>3.66</v>
      </c>
      <c r="T40" s="115" t="n">
        <f aca="false">P40+Q40+R40+S40</f>
        <v>22.71</v>
      </c>
    </row>
    <row r="41" customFormat="false" ht="23.25" hidden="false" customHeight="true" outlineLevel="0" collapsed="false">
      <c r="A41" s="77"/>
      <c r="C41" s="114" t="s">
        <v>44</v>
      </c>
      <c r="D41" s="116" t="n">
        <f aca="false">C18+C20</f>
        <v>4.85150214592275</v>
      </c>
      <c r="E41" s="116" t="n">
        <f aca="false">D18+D20</f>
        <v>0.782832618025751</v>
      </c>
      <c r="F41" s="116" t="n">
        <f aca="false">E18+E20</f>
        <v>0.973390557939914</v>
      </c>
      <c r="G41" s="116" t="n">
        <f aca="false">F18+F20</f>
        <v>1.32222222222222</v>
      </c>
      <c r="H41" s="116" t="n">
        <f aca="false">D41+E41+F41+G41</f>
        <v>7.92994754411064</v>
      </c>
      <c r="I41" s="114" t="s">
        <v>44</v>
      </c>
      <c r="J41" s="116" t="n">
        <f aca="false">I18+I20</f>
        <v>7.10556257901391</v>
      </c>
      <c r="K41" s="116" t="n">
        <f aca="false">J18+J20</f>
        <v>1.46027180783818</v>
      </c>
      <c r="L41" s="116" t="n">
        <f aca="false">K18+K20</f>
        <v>2.02215549936789</v>
      </c>
      <c r="M41" s="116" t="n">
        <f aca="false">L18+L20</f>
        <v>3.36153603034134</v>
      </c>
      <c r="N41" s="116" t="n">
        <f aca="false">J41+K41+L41+M41</f>
        <v>13.9495259165613</v>
      </c>
      <c r="O41" s="114" t="s">
        <v>44</v>
      </c>
      <c r="P41" s="116" t="n">
        <f aca="false">O18+O20+O16</f>
        <v>11.2564190345772</v>
      </c>
      <c r="Q41" s="116" t="n">
        <f aca="false">P18+P20+P16</f>
        <v>4.15029888983775</v>
      </c>
      <c r="R41" s="116" t="n">
        <f aca="false">Q18+Q20+Q16</f>
        <v>3.31666227954725</v>
      </c>
      <c r="S41" s="116" t="n">
        <f aca="false">R18+R20+R16</f>
        <v>3.25641541629891</v>
      </c>
      <c r="T41" s="116" t="n">
        <f aca="false">P41+Q41+R41+S41</f>
        <v>21.9797956202611</v>
      </c>
    </row>
    <row r="42" customFormat="false" ht="23.25" hidden="false" customHeight="true" outlineLevel="0" collapsed="false">
      <c r="A42" s="77"/>
      <c r="C42" s="117" t="s">
        <v>41</v>
      </c>
      <c r="D42" s="110" t="n">
        <f aca="false">D41/D40</f>
        <v>1.56500069223315</v>
      </c>
      <c r="E42" s="110" t="n">
        <f aca="false">E41/E40</f>
        <v>0.832800657474203</v>
      </c>
      <c r="F42" s="110" t="n">
        <f aca="false">F41/F40</f>
        <v>0.0627993908348332</v>
      </c>
      <c r="G42" s="110" t="n">
        <f aca="false">G41/G40</f>
        <v>0.283738674296614</v>
      </c>
      <c r="H42" s="110" t="n">
        <f aca="false">H41/H40</f>
        <v>0.327683782814489</v>
      </c>
      <c r="I42" s="117" t="s">
        <v>41</v>
      </c>
      <c r="J42" s="110" t="n">
        <f aca="false">J41/J40</f>
        <v>2.96065107458913</v>
      </c>
      <c r="K42" s="110" t="n">
        <f aca="false">K41/K40</f>
        <v>1.46027180783818</v>
      </c>
      <c r="L42" s="110" t="n">
        <f aca="false">L41/L40</f>
        <v>0.237900646984458</v>
      </c>
      <c r="M42" s="110" t="n">
        <f aca="false">M41/M40</f>
        <v>1.09140780205888</v>
      </c>
      <c r="N42" s="110" t="n">
        <f aca="false">N41/N40</f>
        <v>0.93121000778113</v>
      </c>
      <c r="O42" s="117" t="s">
        <v>41</v>
      </c>
      <c r="P42" s="110" t="n">
        <f aca="false">P41/P40</f>
        <v>1.06898566330268</v>
      </c>
      <c r="Q42" s="110" t="n">
        <f aca="false">Q41/Q40</f>
        <v>1.53714773697694</v>
      </c>
      <c r="R42" s="110" t="n">
        <f aca="false">R41/R40</f>
        <v>0.569873243908462</v>
      </c>
      <c r="S42" s="110" t="n">
        <f aca="false">S41/S40</f>
        <v>0.889730988059812</v>
      </c>
      <c r="T42" s="110" t="n">
        <f aca="false">T41/T40</f>
        <v>0.967846570685209</v>
      </c>
    </row>
    <row r="43" customFormat="false" ht="23.25" hidden="false" customHeight="true" outlineLevel="0" collapsed="false">
      <c r="A43" s="77"/>
      <c r="C43" s="118" t="s">
        <v>65</v>
      </c>
      <c r="D43" s="84" t="s">
        <v>36</v>
      </c>
      <c r="E43" s="84" t="s">
        <v>37</v>
      </c>
      <c r="F43" s="84" t="s">
        <v>38</v>
      </c>
      <c r="G43" s="84" t="s">
        <v>39</v>
      </c>
      <c r="H43" s="85" t="s">
        <v>40</v>
      </c>
      <c r="I43" s="118" t="s">
        <v>65</v>
      </c>
      <c r="J43" s="84" t="s">
        <v>36</v>
      </c>
      <c r="K43" s="84" t="s">
        <v>37</v>
      </c>
      <c r="L43" s="84" t="s">
        <v>38</v>
      </c>
      <c r="M43" s="84" t="s">
        <v>39</v>
      </c>
      <c r="N43" s="85" t="s">
        <v>40</v>
      </c>
      <c r="O43" s="118" t="s">
        <v>65</v>
      </c>
      <c r="P43" s="84" t="s">
        <v>36</v>
      </c>
      <c r="Q43" s="84" t="s">
        <v>37</v>
      </c>
      <c r="R43" s="84" t="s">
        <v>38</v>
      </c>
      <c r="S43" s="84" t="s">
        <v>39</v>
      </c>
      <c r="T43" s="85" t="s">
        <v>40</v>
      </c>
    </row>
    <row r="44" customFormat="false" ht="23.25" hidden="false" customHeight="true" outlineLevel="0" collapsed="false">
      <c r="C44" s="114" t="s">
        <v>43</v>
      </c>
      <c r="D44" s="115" t="n">
        <f aca="false">C21+C25+C23</f>
        <v>3.05</v>
      </c>
      <c r="E44" s="115" t="n">
        <f aca="false">D21+D25+D23</f>
        <v>0.92</v>
      </c>
      <c r="F44" s="115" t="n">
        <f aca="false">E21+E25+E23</f>
        <v>15.25</v>
      </c>
      <c r="G44" s="115" t="n">
        <f aca="false">F21+F25+F23</f>
        <v>4.58</v>
      </c>
      <c r="H44" s="115" t="n">
        <f aca="false">D44+E44+F44+G44</f>
        <v>23.8</v>
      </c>
      <c r="I44" s="114" t="s">
        <v>43</v>
      </c>
      <c r="J44" s="115" t="n">
        <f aca="false">I21+I25+I23</f>
        <v>3.6</v>
      </c>
      <c r="K44" s="115" t="n">
        <f aca="false">J21+J25+J23</f>
        <v>1.5</v>
      </c>
      <c r="L44" s="115" t="n">
        <f aca="false">K21+K25+K23</f>
        <v>13.5</v>
      </c>
      <c r="M44" s="115" t="n">
        <f aca="false">L21+L25+L23</f>
        <v>4.58</v>
      </c>
      <c r="N44" s="115" t="n">
        <f aca="false">J44+K44+L44+M44</f>
        <v>23.18</v>
      </c>
      <c r="O44" s="114" t="s">
        <v>43</v>
      </c>
      <c r="P44" s="115" t="n">
        <f aca="false">O21+O25+O23</f>
        <v>9.88</v>
      </c>
      <c r="Q44" s="115" t="n">
        <f aca="false">P21+P25+P23</f>
        <v>2.53</v>
      </c>
      <c r="R44" s="115" t="n">
        <f aca="false">Q21+Q25+Q23</f>
        <v>5.45</v>
      </c>
      <c r="S44" s="115" t="n">
        <f aca="false">R21+R25+R23</f>
        <v>3.43</v>
      </c>
      <c r="T44" s="115" t="n">
        <f aca="false">P44+Q44+R44+S44</f>
        <v>21.29</v>
      </c>
    </row>
    <row r="45" customFormat="false" ht="23.25" hidden="false" customHeight="true" outlineLevel="0" collapsed="false">
      <c r="A45" s="77"/>
      <c r="C45" s="114" t="s">
        <v>44</v>
      </c>
      <c r="D45" s="116" t="n">
        <f aca="false">C22+C26+C24</f>
        <v>7.70107296137339</v>
      </c>
      <c r="E45" s="116" t="n">
        <f aca="false">D22+D26+D24</f>
        <v>1.42914163090129</v>
      </c>
      <c r="F45" s="116" t="n">
        <f aca="false">E22+E26+E24</f>
        <v>2.52480686695279</v>
      </c>
      <c r="G45" s="116" t="n">
        <f aca="false">F22+F26+F24</f>
        <v>3.51222222222222</v>
      </c>
      <c r="H45" s="116" t="n">
        <f aca="false">G45+D45+E45+F45</f>
        <v>15.1672436814497</v>
      </c>
      <c r="I45" s="114" t="s">
        <v>44</v>
      </c>
      <c r="J45" s="116" t="n">
        <f aca="false">I22+I26+I24</f>
        <v>11.6601769911504</v>
      </c>
      <c r="K45" s="116" t="n">
        <f aca="false">J22+J26+J24</f>
        <v>3.33451327433628</v>
      </c>
      <c r="L45" s="116" t="n">
        <f aca="false">K22+K26+K24</f>
        <v>3.09557522123894</v>
      </c>
      <c r="M45" s="116" t="n">
        <f aca="false">L22+L26+L24</f>
        <v>4.39646017699115</v>
      </c>
      <c r="N45" s="116" t="n">
        <f aca="false">J45+K45+L45+M45</f>
        <v>22.4867256637168</v>
      </c>
      <c r="O45" s="114" t="s">
        <v>44</v>
      </c>
      <c r="P45" s="116" t="n">
        <f aca="false">O22+O26+O24</f>
        <v>1.84868195823348</v>
      </c>
      <c r="Q45" s="116" t="n">
        <f aca="false">P22+P26+P24</f>
        <v>0</v>
      </c>
      <c r="R45" s="116" t="n">
        <f aca="false">Q22+Q26+Q24</f>
        <v>0.200052645433009</v>
      </c>
      <c r="S45" s="116" t="n">
        <f aca="false">R22+R26+R24</f>
        <v>0.188290673727567</v>
      </c>
      <c r="T45" s="116" t="n">
        <f aca="false">P45+Q45+R45+S45</f>
        <v>2.23702527739406</v>
      </c>
    </row>
    <row r="46" customFormat="false" ht="23.25" hidden="false" customHeight="true" outlineLevel="0" collapsed="false">
      <c r="A46" s="77"/>
      <c r="C46" s="117" t="s">
        <v>41</v>
      </c>
      <c r="D46" s="110" t="n">
        <f aca="false">D45/D44</f>
        <v>2.52494195454865</v>
      </c>
      <c r="E46" s="110" t="n">
        <f aca="false">E45/E44</f>
        <v>1.55341481619705</v>
      </c>
      <c r="F46" s="110" t="n">
        <f aca="false">F45/F44</f>
        <v>0.165561106029691</v>
      </c>
      <c r="G46" s="110" t="n">
        <f aca="false">G45/G44</f>
        <v>0.766860747210092</v>
      </c>
      <c r="H46" s="110" t="n">
        <f aca="false">H45/H44</f>
        <v>0.637279146279399</v>
      </c>
      <c r="I46" s="117" t="s">
        <v>41</v>
      </c>
      <c r="J46" s="110" t="n">
        <f aca="false">J45/J44</f>
        <v>3.23893805309734</v>
      </c>
      <c r="K46" s="110" t="n">
        <f aca="false">K45/K44</f>
        <v>2.22300884955752</v>
      </c>
      <c r="L46" s="110" t="n">
        <f aca="false">L45/L44</f>
        <v>0.229301868239921</v>
      </c>
      <c r="M46" s="110" t="n">
        <f aca="false">M45/M44</f>
        <v>0.959925802836496</v>
      </c>
      <c r="N46" s="110" t="n">
        <f aca="false">N45/N44</f>
        <v>0.97009170248994</v>
      </c>
      <c r="O46" s="117" t="s">
        <v>41</v>
      </c>
      <c r="P46" s="110" t="n">
        <f aca="false">P45/P44</f>
        <v>0.187113558525656</v>
      </c>
      <c r="Q46" s="110" t="n">
        <f aca="false">Q45/Q44</f>
        <v>0</v>
      </c>
      <c r="R46" s="110" t="n">
        <f aca="false">R45/R44</f>
        <v>0.0367069074189007</v>
      </c>
      <c r="S46" s="110" t="n">
        <f aca="false">S45/S44</f>
        <v>0.0548952401538096</v>
      </c>
      <c r="T46" s="110" t="n">
        <f aca="false">T45/T44</f>
        <v>0.105073991422924</v>
      </c>
    </row>
    <row r="47" customFormat="false" ht="23.25" hidden="false" customHeight="true" outlineLevel="0" collapsed="false">
      <c r="A47" s="77"/>
      <c r="D47" s="111" t="s">
        <v>66</v>
      </c>
      <c r="E47" s="111"/>
      <c r="F47" s="111"/>
      <c r="G47" s="111"/>
      <c r="H47" s="111"/>
      <c r="J47" s="111" t="s">
        <v>67</v>
      </c>
      <c r="K47" s="111"/>
      <c r="L47" s="111"/>
      <c r="M47" s="111"/>
      <c r="P47" s="111" t="s">
        <v>68</v>
      </c>
      <c r="Q47" s="111"/>
      <c r="R47" s="111"/>
      <c r="S47" s="111"/>
    </row>
    <row r="48" customFormat="false" ht="23.25" hidden="false" customHeight="true" outlineLevel="0" collapsed="false">
      <c r="A48" s="77"/>
      <c r="C48" s="118" t="s">
        <v>69</v>
      </c>
      <c r="D48" s="84" t="s">
        <v>36</v>
      </c>
      <c r="E48" s="84" t="s">
        <v>37</v>
      </c>
      <c r="F48" s="84" t="s">
        <v>38</v>
      </c>
      <c r="G48" s="84" t="s">
        <v>39</v>
      </c>
      <c r="H48" s="85" t="s">
        <v>40</v>
      </c>
      <c r="I48" s="118" t="s">
        <v>69</v>
      </c>
      <c r="J48" s="84" t="s">
        <v>36</v>
      </c>
      <c r="K48" s="84" t="s">
        <v>37</v>
      </c>
      <c r="L48" s="84" t="s">
        <v>38</v>
      </c>
      <c r="M48" s="84" t="s">
        <v>39</v>
      </c>
      <c r="N48" s="85" t="s">
        <v>40</v>
      </c>
      <c r="O48" s="118" t="s">
        <v>69</v>
      </c>
      <c r="P48" s="84" t="s">
        <v>36</v>
      </c>
      <c r="Q48" s="84" t="s">
        <v>37</v>
      </c>
      <c r="R48" s="84" t="s">
        <v>38</v>
      </c>
      <c r="S48" s="84" t="s">
        <v>39</v>
      </c>
      <c r="T48" s="85" t="s">
        <v>40</v>
      </c>
    </row>
    <row r="49" customFormat="false" ht="23.25" hidden="false" customHeight="true" outlineLevel="0" collapsed="false">
      <c r="C49" s="114" t="s">
        <v>43</v>
      </c>
      <c r="D49" s="115" t="n">
        <f aca="false">D32+D36</f>
        <v>1.95</v>
      </c>
      <c r="E49" s="115" t="n">
        <f aca="false">E32+E36</f>
        <v>0.6</v>
      </c>
      <c r="F49" s="115" t="n">
        <f aca="false">F32+F36</f>
        <v>9.7</v>
      </c>
      <c r="G49" s="115" t="n">
        <f aca="false">G32+G36</f>
        <v>2.9</v>
      </c>
      <c r="H49" s="115" t="n">
        <f aca="false">G49+D49+E49+F49</f>
        <v>15.15</v>
      </c>
      <c r="I49" s="114" t="s">
        <v>43</v>
      </c>
      <c r="J49" s="115" t="n">
        <f aca="false">J32+J36</f>
        <v>7.2</v>
      </c>
      <c r="K49" s="115" t="n">
        <f aca="false">K32+K36</f>
        <v>2.45</v>
      </c>
      <c r="L49" s="115" t="n">
        <f aca="false">L32+L36</f>
        <v>25.6</v>
      </c>
      <c r="M49" s="115" t="n">
        <f aca="false">M32+M36</f>
        <v>8.72</v>
      </c>
      <c r="N49" s="115" t="n">
        <f aca="false">J49+K49+L49+M49</f>
        <v>43.97</v>
      </c>
      <c r="O49" s="114" t="s">
        <v>43</v>
      </c>
      <c r="P49" s="115" t="n">
        <f aca="false">P32+P36</f>
        <v>15.21</v>
      </c>
      <c r="Q49" s="115" t="n">
        <f aca="false">Q32+Q36</f>
        <v>3.9</v>
      </c>
      <c r="R49" s="115" t="n">
        <f aca="false">R32+R36</f>
        <v>8.4</v>
      </c>
      <c r="S49" s="115" t="n">
        <f aca="false">S32+S36</f>
        <v>5.28</v>
      </c>
      <c r="T49" s="115" t="n">
        <f aca="false">P49+Q49+R49+S49</f>
        <v>32.79</v>
      </c>
    </row>
    <row r="50" customFormat="false" ht="23.25" hidden="false" customHeight="true" outlineLevel="0" collapsed="false">
      <c r="A50" s="77"/>
      <c r="C50" s="114" t="s">
        <v>44</v>
      </c>
      <c r="D50" s="116" t="n">
        <f aca="false">D33+D37</f>
        <v>1.22078316685024</v>
      </c>
      <c r="E50" s="116" t="n">
        <f aca="false">E33+E37</f>
        <v>0.442918454935623</v>
      </c>
      <c r="F50" s="116" t="n">
        <f aca="false">F33+F37</f>
        <v>2.81201716738197</v>
      </c>
      <c r="G50" s="116" t="n">
        <f aca="false">G33+G37</f>
        <v>0.633333333333334</v>
      </c>
      <c r="H50" s="116" t="n">
        <f aca="false">G50+D50+E50+F50</f>
        <v>5.10905212250117</v>
      </c>
      <c r="I50" s="114" t="s">
        <v>44</v>
      </c>
      <c r="J50" s="116" t="n">
        <f aca="false">J33+J37</f>
        <v>20.5892857142857</v>
      </c>
      <c r="K50" s="116" t="n">
        <f aca="false">K33+K37</f>
        <v>4.17571428571429</v>
      </c>
      <c r="L50" s="116" t="n">
        <f aca="false">L33+L37</f>
        <v>6.54785714285714</v>
      </c>
      <c r="M50" s="116" t="n">
        <f aca="false">M33+M37</f>
        <v>8.945</v>
      </c>
      <c r="N50" s="116" t="n">
        <f aca="false">J50+K50+L50+M50</f>
        <v>40.2578571428572</v>
      </c>
      <c r="O50" s="114" t="s">
        <v>44</v>
      </c>
      <c r="P50" s="116" t="n">
        <f aca="false">P33+P37</f>
        <v>18.4324640122108</v>
      </c>
      <c r="Q50" s="116" t="n">
        <f aca="false">Q33+Q37</f>
        <v>5.83122030261228</v>
      </c>
      <c r="R50" s="116" t="n">
        <f aca="false">R33+R37</f>
        <v>4.54214528833998</v>
      </c>
      <c r="S50" s="116" t="n">
        <f aca="false">S33+S37</f>
        <v>4.42954285810572</v>
      </c>
      <c r="T50" s="116" t="n">
        <f aca="false">P50+Q50+R50+S50</f>
        <v>33.2353724612688</v>
      </c>
    </row>
    <row r="51" customFormat="false" ht="23.25" hidden="false" customHeight="true" outlineLevel="0" collapsed="false">
      <c r="A51" s="77"/>
      <c r="C51" s="117" t="s">
        <v>41</v>
      </c>
      <c r="D51" s="110" t="n">
        <f aca="false">D50/D49</f>
        <v>0.62604264966679</v>
      </c>
      <c r="E51" s="110" t="n">
        <f aca="false">E50/E49</f>
        <v>0.738197424892705</v>
      </c>
      <c r="F51" s="110" t="n">
        <f aca="false">F50/F49</f>
        <v>0.289898677049688</v>
      </c>
      <c r="G51" s="110" t="n">
        <f aca="false">G50/G49</f>
        <v>0.218390804597701</v>
      </c>
      <c r="H51" s="110" t="n">
        <f aca="false">H50/H49</f>
        <v>0.337231163201397</v>
      </c>
      <c r="I51" s="117" t="s">
        <v>41</v>
      </c>
      <c r="J51" s="110" t="n">
        <f aca="false">J50/J49</f>
        <v>2.85962301587302</v>
      </c>
      <c r="K51" s="110" t="n">
        <f aca="false">K50/K49</f>
        <v>1.70437317784257</v>
      </c>
      <c r="L51" s="110" t="n">
        <f aca="false">L50/L49</f>
        <v>0.255775669642857</v>
      </c>
      <c r="M51" s="110" t="n">
        <f aca="false">M50/M49</f>
        <v>1.02580275229358</v>
      </c>
      <c r="N51" s="110" t="n">
        <f aca="false">N50/N49</f>
        <v>0.915575554761363</v>
      </c>
      <c r="O51" s="117" t="s">
        <v>41</v>
      </c>
      <c r="P51" s="110" t="n">
        <f aca="false">P50/P49</f>
        <v>1.21186482657534</v>
      </c>
      <c r="Q51" s="110" t="n">
        <f aca="false">Q50/Q49</f>
        <v>1.49518469297751</v>
      </c>
      <c r="R51" s="110" t="n">
        <f aca="false">R50/R49</f>
        <v>0.540731581945236</v>
      </c>
      <c r="S51" s="110" t="n">
        <f aca="false">S50/S49</f>
        <v>0.838928571610931</v>
      </c>
      <c r="T51" s="110" t="n">
        <f aca="false">T50/T49</f>
        <v>1.01358256972458</v>
      </c>
    </row>
    <row r="52" customFormat="false" ht="23.25" hidden="false" customHeight="true" outlineLevel="0" collapsed="false">
      <c r="A52" s="77"/>
      <c r="C52" s="118" t="s">
        <v>70</v>
      </c>
      <c r="D52" s="84" t="s">
        <v>36</v>
      </c>
      <c r="E52" s="84" t="s">
        <v>37</v>
      </c>
      <c r="F52" s="84" t="s">
        <v>38</v>
      </c>
      <c r="G52" s="84" t="s">
        <v>39</v>
      </c>
      <c r="H52" s="85" t="s">
        <v>40</v>
      </c>
      <c r="I52" s="118" t="s">
        <v>70</v>
      </c>
      <c r="J52" s="84" t="s">
        <v>36</v>
      </c>
      <c r="K52" s="84" t="s">
        <v>37</v>
      </c>
      <c r="L52" s="84" t="s">
        <v>38</v>
      </c>
      <c r="M52" s="84" t="s">
        <v>39</v>
      </c>
      <c r="N52" s="85" t="s">
        <v>40</v>
      </c>
      <c r="O52" s="118" t="s">
        <v>70</v>
      </c>
      <c r="P52" s="84" t="s">
        <v>36</v>
      </c>
      <c r="Q52" s="84" t="s">
        <v>37</v>
      </c>
      <c r="R52" s="84" t="s">
        <v>38</v>
      </c>
      <c r="S52" s="84" t="s">
        <v>39</v>
      </c>
      <c r="T52" s="85" t="s">
        <v>40</v>
      </c>
    </row>
    <row r="53" customFormat="false" ht="23.25" hidden="false" customHeight="true" outlineLevel="0" collapsed="false">
      <c r="C53" s="114" t="s">
        <v>43</v>
      </c>
      <c r="D53" s="119" t="n">
        <f aca="false">D44+D40</f>
        <v>6.15</v>
      </c>
      <c r="E53" s="115" t="n">
        <f aca="false">E44+E40</f>
        <v>1.86</v>
      </c>
      <c r="F53" s="115" t="n">
        <f aca="false">F44+F40</f>
        <v>30.75</v>
      </c>
      <c r="G53" s="115" t="n">
        <f aca="false">G44+G40</f>
        <v>9.24</v>
      </c>
      <c r="H53" s="115" t="n">
        <f aca="false">D53+E53+F53+G53</f>
        <v>48</v>
      </c>
      <c r="I53" s="114" t="s">
        <v>43</v>
      </c>
      <c r="J53" s="115" t="n">
        <f aca="false">J44+J40</f>
        <v>6</v>
      </c>
      <c r="K53" s="115" t="n">
        <f aca="false">K44+K40</f>
        <v>2.5</v>
      </c>
      <c r="L53" s="115" t="n">
        <f aca="false">L44+L40</f>
        <v>22</v>
      </c>
      <c r="M53" s="115" t="n">
        <f aca="false">M44+M40</f>
        <v>7.66</v>
      </c>
      <c r="N53" s="115" t="n">
        <f aca="false">J53+K53+L53+M53</f>
        <v>38.16</v>
      </c>
      <c r="O53" s="114" t="s">
        <v>43</v>
      </c>
      <c r="P53" s="115" t="n">
        <f aca="false">P44+P40</f>
        <v>20.41</v>
      </c>
      <c r="Q53" s="115" t="n">
        <f aca="false">Q44+Q40</f>
        <v>5.23</v>
      </c>
      <c r="R53" s="115" t="n">
        <f aca="false">R44+R40</f>
        <v>11.27</v>
      </c>
      <c r="S53" s="115" t="n">
        <f aca="false">S44+S40</f>
        <v>7.09</v>
      </c>
      <c r="T53" s="115" t="n">
        <f aca="false">P53+Q53+R53+S53</f>
        <v>44</v>
      </c>
    </row>
    <row r="54" customFormat="false" ht="23.25" hidden="false" customHeight="true" outlineLevel="0" collapsed="false">
      <c r="A54" s="77"/>
      <c r="C54" s="114" t="s">
        <v>44</v>
      </c>
      <c r="D54" s="120" t="n">
        <f aca="false">D45+D41</f>
        <v>12.5525751072961</v>
      </c>
      <c r="E54" s="116" t="n">
        <f aca="false">E45+E41</f>
        <v>2.21197424892704</v>
      </c>
      <c r="F54" s="116" t="n">
        <f aca="false">F45+F41</f>
        <v>3.4981974248927</v>
      </c>
      <c r="G54" s="116" t="n">
        <f aca="false">G45+G41</f>
        <v>4.83444444444444</v>
      </c>
      <c r="H54" s="116" t="n">
        <f aca="false">D54+E54+F54+G54</f>
        <v>23.0971912255603</v>
      </c>
      <c r="I54" s="114" t="s">
        <v>44</v>
      </c>
      <c r="J54" s="116" t="n">
        <f aca="false">J45+J41</f>
        <v>18.7657395701644</v>
      </c>
      <c r="K54" s="116" t="n">
        <f aca="false">K45+K41</f>
        <v>4.79478508217446</v>
      </c>
      <c r="L54" s="116" t="n">
        <f aca="false">L45+L41</f>
        <v>5.11773072060683</v>
      </c>
      <c r="M54" s="116" t="n">
        <f aca="false">M45+M41</f>
        <v>7.75799620733249</v>
      </c>
      <c r="N54" s="116" t="n">
        <f aca="false">J54+K54+L54+M54</f>
        <v>36.4362515802781</v>
      </c>
      <c r="O54" s="114" t="s">
        <v>44</v>
      </c>
      <c r="P54" s="116" t="n">
        <f aca="false">P45+P41</f>
        <v>13.1051009928107</v>
      </c>
      <c r="Q54" s="116" t="n">
        <f aca="false">Q45+Q41</f>
        <v>4.15029888983775</v>
      </c>
      <c r="R54" s="116" t="n">
        <f aca="false">R45+R41</f>
        <v>3.51671492498026</v>
      </c>
      <c r="S54" s="116" t="n">
        <f aca="false">S45+S41</f>
        <v>3.44470609002648</v>
      </c>
      <c r="T54" s="116" t="n">
        <f aca="false">P54+Q54+R54+S54</f>
        <v>24.2168208976552</v>
      </c>
    </row>
    <row r="55" customFormat="false" ht="23.25" hidden="false" customHeight="true" outlineLevel="0" collapsed="false">
      <c r="A55" s="77"/>
      <c r="C55" s="117" t="s">
        <v>41</v>
      </c>
      <c r="D55" s="110" t="n">
        <f aca="false">D54/D53</f>
        <v>2.04106912313758</v>
      </c>
      <c r="E55" s="110" t="n">
        <f aca="false">E54/E53</f>
        <v>1.18923346716507</v>
      </c>
      <c r="F55" s="110" t="n">
        <f aca="false">F54/F53</f>
        <v>0.11376251788269</v>
      </c>
      <c r="G55" s="110" t="n">
        <f aca="false">G54/G53</f>
        <v>0.523208273208273</v>
      </c>
      <c r="H55" s="110" t="n">
        <f aca="false">H54/H53</f>
        <v>0.48119148386584</v>
      </c>
      <c r="I55" s="117" t="s">
        <v>41</v>
      </c>
      <c r="J55" s="110" t="n">
        <f aca="false">J54/J53</f>
        <v>3.12762326169406</v>
      </c>
      <c r="K55" s="110" t="n">
        <f aca="false">K54/K53</f>
        <v>1.91791403286979</v>
      </c>
      <c r="L55" s="110" t="n">
        <f aca="false">L54/L53</f>
        <v>0.232624123663947</v>
      </c>
      <c r="M55" s="110" t="n">
        <f aca="false">M54/M53</f>
        <v>1.01279323855516</v>
      </c>
      <c r="N55" s="110" t="n">
        <f aca="false">N54/N53</f>
        <v>0.954828395709595</v>
      </c>
      <c r="O55" s="117" t="s">
        <v>41</v>
      </c>
      <c r="P55" s="110" t="n">
        <f aca="false">P54/P53</f>
        <v>0.642092160353292</v>
      </c>
      <c r="Q55" s="110" t="n">
        <f aca="false">Q54/Q53</f>
        <v>0.793556193085611</v>
      </c>
      <c r="R55" s="110" t="n">
        <f aca="false">R54/R53</f>
        <v>0.312042140637113</v>
      </c>
      <c r="S55" s="110" t="n">
        <f aca="false">S54/S53</f>
        <v>0.485854173487515</v>
      </c>
      <c r="T55" s="110" t="n">
        <f aca="false">T54/T53</f>
        <v>0.550382293128526</v>
      </c>
    </row>
  </sheetData>
  <mergeCells count="23">
    <mergeCell ref="C1:H1"/>
    <mergeCell ref="I1:N1"/>
    <mergeCell ref="O1:T1"/>
    <mergeCell ref="A3:A4"/>
    <mergeCell ref="A5:A6"/>
    <mergeCell ref="A7:A8"/>
    <mergeCell ref="A9:A10"/>
    <mergeCell ref="A11:A12"/>
    <mergeCell ref="A13:A14"/>
    <mergeCell ref="A15:A16"/>
    <mergeCell ref="I16:M16"/>
    <mergeCell ref="A17:A18"/>
    <mergeCell ref="A19:A20"/>
    <mergeCell ref="A21:A22"/>
    <mergeCell ref="A23:A24"/>
    <mergeCell ref="A25:A26"/>
    <mergeCell ref="A27:A28"/>
    <mergeCell ref="C30:H30"/>
    <mergeCell ref="J30:M30"/>
    <mergeCell ref="P30:S30"/>
    <mergeCell ref="D47:H47"/>
    <mergeCell ref="J47:M47"/>
    <mergeCell ref="P47:S4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5" min="3" style="0" width="11"/>
  </cols>
  <sheetData>
    <row r="1" customFormat="false" ht="15" hidden="false" customHeight="false" outlineLevel="0" collapsed="false">
      <c r="A1" s="121" t="s">
        <v>0</v>
      </c>
      <c r="B1" s="121" t="s">
        <v>1</v>
      </c>
      <c r="C1" s="121" t="s">
        <v>71</v>
      </c>
      <c r="D1" s="122" t="s">
        <v>72</v>
      </c>
      <c r="E1" s="122" t="s">
        <v>73</v>
      </c>
    </row>
    <row r="2" customFormat="false" ht="15" hidden="false" customHeight="false" outlineLevel="0" collapsed="false">
      <c r="A2" s="123" t="n">
        <v>1007974</v>
      </c>
      <c r="B2" s="124" t="s">
        <v>74</v>
      </c>
      <c r="C2" s="124" t="s">
        <v>75</v>
      </c>
    </row>
    <row r="3" customFormat="false" ht="15" hidden="false" customHeight="false" outlineLevel="0" collapsed="false">
      <c r="A3" s="123" t="n">
        <v>1007975</v>
      </c>
      <c r="B3" s="124" t="s">
        <v>76</v>
      </c>
      <c r="C3" s="124" t="s">
        <v>75</v>
      </c>
    </row>
    <row r="4" customFormat="false" ht="15" hidden="false" customHeight="false" outlineLevel="0" collapsed="false">
      <c r="A4" s="123" t="n">
        <v>1007976</v>
      </c>
      <c r="B4" s="124" t="s">
        <v>77</v>
      </c>
      <c r="C4" s="124" t="s">
        <v>75</v>
      </c>
      <c r="E4" s="123" t="n">
        <v>21</v>
      </c>
    </row>
    <row r="5" customFormat="false" ht="15" hidden="false" customHeight="false" outlineLevel="0" collapsed="false">
      <c r="A5" s="123" t="n">
        <v>1007977</v>
      </c>
      <c r="B5" s="124" t="s">
        <v>78</v>
      </c>
      <c r="C5" s="124" t="s">
        <v>75</v>
      </c>
    </row>
    <row r="6" customFormat="false" ht="15" hidden="false" customHeight="false" outlineLevel="0" collapsed="false">
      <c r="A6" s="123" t="n">
        <v>1007978</v>
      </c>
      <c r="B6" s="124" t="s">
        <v>79</v>
      </c>
      <c r="C6" s="124" t="s">
        <v>75</v>
      </c>
    </row>
    <row r="7" customFormat="false" ht="15" hidden="false" customHeight="false" outlineLevel="0" collapsed="false">
      <c r="A7" s="123" t="n">
        <v>1007979</v>
      </c>
      <c r="B7" s="124" t="s">
        <v>80</v>
      </c>
      <c r="C7" s="124" t="s">
        <v>75</v>
      </c>
    </row>
    <row r="8" customFormat="false" ht="15" hidden="false" customHeight="false" outlineLevel="0" collapsed="false">
      <c r="A8" s="123" t="n">
        <v>1007980</v>
      </c>
      <c r="B8" s="124" t="s">
        <v>81</v>
      </c>
      <c r="C8" s="124" t="s">
        <v>75</v>
      </c>
    </row>
    <row r="9" customFormat="false" ht="15" hidden="false" customHeight="false" outlineLevel="0" collapsed="false">
      <c r="A9" s="123" t="n">
        <v>1007981</v>
      </c>
      <c r="B9" s="124" t="s">
        <v>82</v>
      </c>
      <c r="C9" s="124" t="s">
        <v>75</v>
      </c>
    </row>
    <row r="10" customFormat="false" ht="15" hidden="false" customHeight="false" outlineLevel="0" collapsed="false">
      <c r="A10" s="123" t="n">
        <v>1007982</v>
      </c>
      <c r="B10" s="124" t="s">
        <v>83</v>
      </c>
      <c r="C10" s="124" t="s">
        <v>75</v>
      </c>
    </row>
    <row r="11" customFormat="false" ht="15" hidden="false" customHeight="false" outlineLevel="0" collapsed="false">
      <c r="A11" s="123" t="n">
        <v>1007983</v>
      </c>
      <c r="B11" s="124" t="s">
        <v>84</v>
      </c>
      <c r="C11" s="124" t="s">
        <v>75</v>
      </c>
    </row>
    <row r="12" customFormat="false" ht="15" hidden="false" customHeight="false" outlineLevel="0" collapsed="false">
      <c r="A12" s="123" t="n">
        <v>1007984</v>
      </c>
      <c r="B12" s="124" t="s">
        <v>85</v>
      </c>
      <c r="C12" s="124" t="s">
        <v>75</v>
      </c>
    </row>
    <row r="13" customFormat="false" ht="15" hidden="false" customHeight="false" outlineLevel="0" collapsed="false">
      <c r="A13" s="123" t="n">
        <v>1007985</v>
      </c>
      <c r="B13" s="124" t="s">
        <v>86</v>
      </c>
      <c r="C13" s="124" t="s">
        <v>75</v>
      </c>
    </row>
    <row r="14" customFormat="false" ht="15" hidden="false" customHeight="false" outlineLevel="0" collapsed="false">
      <c r="A14" s="123" t="n">
        <v>1007986</v>
      </c>
      <c r="B14" s="124" t="s">
        <v>87</v>
      </c>
      <c r="C14" s="124" t="s">
        <v>75</v>
      </c>
    </row>
    <row r="15" customFormat="false" ht="15" hidden="false" customHeight="false" outlineLevel="0" collapsed="false">
      <c r="A15" s="123" t="n">
        <v>1007987</v>
      </c>
      <c r="B15" s="124" t="s">
        <v>88</v>
      </c>
      <c r="C15" s="124" t="s">
        <v>75</v>
      </c>
    </row>
    <row r="16" customFormat="false" ht="15" hidden="false" customHeight="false" outlineLevel="0" collapsed="false">
      <c r="A16" s="123" t="n">
        <v>1007988</v>
      </c>
      <c r="B16" s="124" t="s">
        <v>89</v>
      </c>
      <c r="C16" s="124" t="s">
        <v>75</v>
      </c>
      <c r="D16" s="123" t="n">
        <v>1389</v>
      </c>
      <c r="E16" s="123" t="n">
        <v>9</v>
      </c>
    </row>
    <row r="17" customFormat="false" ht="15" hidden="false" customHeight="false" outlineLevel="0" collapsed="false">
      <c r="A17" s="123" t="n">
        <v>1007989</v>
      </c>
      <c r="B17" s="124" t="s">
        <v>90</v>
      </c>
      <c r="C17" s="124" t="s">
        <v>75</v>
      </c>
      <c r="D17" s="123" t="n">
        <v>171</v>
      </c>
      <c r="E17" s="123" t="n">
        <v>14</v>
      </c>
    </row>
    <row r="18" customFormat="false" ht="15" hidden="false" customHeight="false" outlineLevel="0" collapsed="false">
      <c r="A18" s="123" t="n">
        <v>1007990</v>
      </c>
      <c r="B18" s="124" t="s">
        <v>91</v>
      </c>
      <c r="C18" s="124" t="s">
        <v>75</v>
      </c>
    </row>
    <row r="19" customFormat="false" ht="15" hidden="false" customHeight="false" outlineLevel="0" collapsed="false">
      <c r="A19" s="123" t="n">
        <v>1008050</v>
      </c>
      <c r="B19" s="124" t="s">
        <v>92</v>
      </c>
      <c r="C19" s="124" t="s">
        <v>75</v>
      </c>
      <c r="D19" s="123" t="n">
        <v>20</v>
      </c>
      <c r="E19" s="123" t="n">
        <v>106</v>
      </c>
    </row>
    <row r="20" customFormat="false" ht="15" hidden="false" customHeight="false" outlineLevel="0" collapsed="false">
      <c r="A20" s="123" t="n">
        <v>1008052</v>
      </c>
      <c r="B20" s="124" t="s">
        <v>93</v>
      </c>
      <c r="C20" s="124" t="s">
        <v>75</v>
      </c>
    </row>
    <row r="21" customFormat="false" ht="15" hidden="false" customHeight="false" outlineLevel="0" collapsed="false">
      <c r="A21" s="123" t="n">
        <v>1008022</v>
      </c>
      <c r="B21" s="124" t="s">
        <v>94</v>
      </c>
      <c r="C21" s="124" t="s">
        <v>75</v>
      </c>
      <c r="D21" s="123" t="n">
        <v>125</v>
      </c>
      <c r="E21" s="123" t="n">
        <v>8</v>
      </c>
    </row>
    <row r="22" customFormat="false" ht="15" hidden="false" customHeight="false" outlineLevel="0" collapsed="false">
      <c r="A22" s="123" t="n">
        <v>1008023</v>
      </c>
      <c r="B22" s="124" t="s">
        <v>95</v>
      </c>
      <c r="C22" s="124" t="s">
        <v>75</v>
      </c>
      <c r="D22" s="123" t="n">
        <v>23</v>
      </c>
    </row>
    <row r="23" customFormat="false" ht="15" hidden="false" customHeight="false" outlineLevel="0" collapsed="false">
      <c r="A23" s="123" t="n">
        <v>1008024</v>
      </c>
      <c r="B23" s="124" t="s">
        <v>96</v>
      </c>
      <c r="C23" s="124" t="s">
        <v>75</v>
      </c>
      <c r="D23" s="123" t="n">
        <v>875</v>
      </c>
      <c r="E23" s="123" t="n">
        <v>96</v>
      </c>
    </row>
    <row r="24" customFormat="false" ht="15" hidden="false" customHeight="false" outlineLevel="0" collapsed="false">
      <c r="A24" s="123" t="n">
        <v>1008025</v>
      </c>
      <c r="B24" s="124" t="s">
        <v>97</v>
      </c>
      <c r="C24" s="124" t="s">
        <v>75</v>
      </c>
      <c r="D24" s="123" t="n">
        <v>80</v>
      </c>
      <c r="E24" s="123" t="n">
        <v>4</v>
      </c>
    </row>
    <row r="25" customFormat="false" ht="15" hidden="false" customHeight="false" outlineLevel="0" collapsed="false">
      <c r="A25" s="123" t="n">
        <v>1301</v>
      </c>
      <c r="B25" s="124" t="s">
        <v>98</v>
      </c>
      <c r="C25" s="124" t="s">
        <v>75</v>
      </c>
      <c r="D25" s="123" t="n">
        <v>69</v>
      </c>
    </row>
    <row r="26" customFormat="false" ht="15" hidden="false" customHeight="false" outlineLevel="0" collapsed="false">
      <c r="A26" s="123" t="n">
        <v>1008028</v>
      </c>
      <c r="B26" s="124" t="s">
        <v>99</v>
      </c>
      <c r="C26" s="124" t="s">
        <v>75</v>
      </c>
      <c r="D26" s="123" t="n">
        <v>119</v>
      </c>
    </row>
    <row r="27" customFormat="false" ht="15" hidden="false" customHeight="false" outlineLevel="0" collapsed="false">
      <c r="A27" s="123" t="n">
        <v>1008027</v>
      </c>
      <c r="B27" s="124" t="s">
        <v>100</v>
      </c>
      <c r="C27" s="124" t="s">
        <v>75</v>
      </c>
    </row>
    <row r="28" customFormat="false" ht="15" hidden="false" customHeight="false" outlineLevel="0" collapsed="false">
      <c r="A28" s="123" t="n">
        <v>1008032</v>
      </c>
      <c r="B28" s="124" t="s">
        <v>101</v>
      </c>
      <c r="C28" s="124" t="s">
        <v>75</v>
      </c>
      <c r="D28" s="123" t="n">
        <v>28</v>
      </c>
      <c r="E28" s="123" t="n">
        <v>13</v>
      </c>
    </row>
    <row r="29" customFormat="false" ht="15" hidden="false" customHeight="false" outlineLevel="0" collapsed="false">
      <c r="A29" s="123" t="n">
        <v>1008033</v>
      </c>
      <c r="B29" s="124" t="s">
        <v>102</v>
      </c>
      <c r="C29" s="124" t="s">
        <v>75</v>
      </c>
    </row>
    <row r="30" customFormat="false" ht="15" hidden="false" customHeight="false" outlineLevel="0" collapsed="false">
      <c r="A30" s="123" t="n">
        <v>1227</v>
      </c>
      <c r="B30" s="124" t="s">
        <v>103</v>
      </c>
      <c r="C30" s="124" t="s">
        <v>75</v>
      </c>
    </row>
    <row r="31" customFormat="false" ht="15" hidden="false" customHeight="false" outlineLevel="0" collapsed="false">
      <c r="A31" s="123" t="n">
        <v>1008043</v>
      </c>
      <c r="B31" s="124" t="s">
        <v>104</v>
      </c>
      <c r="C31" s="124" t="s">
        <v>105</v>
      </c>
      <c r="D31" s="123" t="n">
        <v>45</v>
      </c>
      <c r="E31" s="123" t="n">
        <v>113</v>
      </c>
    </row>
    <row r="32" customFormat="false" ht="15" hidden="false" customHeight="false" outlineLevel="0" collapsed="false">
      <c r="A32" s="123" t="n">
        <v>1008044</v>
      </c>
      <c r="B32" s="124" t="s">
        <v>106</v>
      </c>
      <c r="C32" s="124" t="s">
        <v>105</v>
      </c>
      <c r="D32" s="123" t="n">
        <v>17</v>
      </c>
    </row>
    <row r="33" customFormat="false" ht="15" hidden="false" customHeight="false" outlineLevel="0" collapsed="false">
      <c r="A33" s="123" t="n">
        <v>1008045</v>
      </c>
      <c r="B33" s="124" t="s">
        <v>107</v>
      </c>
      <c r="C33" s="124" t="s">
        <v>105</v>
      </c>
      <c r="D33" s="123" t="n">
        <v>168</v>
      </c>
      <c r="E33" s="123" t="n">
        <v>20</v>
      </c>
    </row>
    <row r="34" customFormat="false" ht="15" hidden="false" customHeight="false" outlineLevel="0" collapsed="false">
      <c r="A34" s="123" t="n">
        <v>1008046</v>
      </c>
      <c r="B34" s="124" t="s">
        <v>108</v>
      </c>
      <c r="C34" s="124" t="s">
        <v>105</v>
      </c>
      <c r="D34" s="123" t="n">
        <v>380</v>
      </c>
      <c r="E34" s="123" t="n">
        <v>66</v>
      </c>
    </row>
    <row r="35" customFormat="false" ht="15" hidden="false" customHeight="false" outlineLevel="0" collapsed="false">
      <c r="A35" s="123" t="n">
        <v>1008047</v>
      </c>
      <c r="B35" s="124" t="s">
        <v>109</v>
      </c>
      <c r="C35" s="124" t="s">
        <v>105</v>
      </c>
      <c r="D35" s="123" t="n">
        <v>141</v>
      </c>
      <c r="E35" s="123" t="n">
        <v>29</v>
      </c>
    </row>
    <row r="36" customFormat="false" ht="15" hidden="false" customHeight="false" outlineLevel="0" collapsed="false">
      <c r="A36" s="123" t="n">
        <v>1008048</v>
      </c>
      <c r="B36" s="124" t="s">
        <v>110</v>
      </c>
      <c r="C36" s="124" t="s">
        <v>105</v>
      </c>
      <c r="D36" s="123" t="n">
        <v>5</v>
      </c>
      <c r="E36" s="123" t="n">
        <v>23</v>
      </c>
    </row>
    <row r="37" customFormat="false" ht="15" hidden="false" customHeight="false" outlineLevel="0" collapsed="false">
      <c r="A37" s="123" t="n">
        <v>1008049</v>
      </c>
      <c r="B37" s="124" t="s">
        <v>111</v>
      </c>
      <c r="C37" s="124" t="s">
        <v>105</v>
      </c>
    </row>
    <row r="38" customFormat="false" ht="15" hidden="false" customHeight="false" outlineLevel="0" collapsed="false">
      <c r="A38" s="123" t="n">
        <v>1008054</v>
      </c>
      <c r="B38" s="124" t="s">
        <v>112</v>
      </c>
      <c r="C38" s="124" t="s">
        <v>105</v>
      </c>
      <c r="E38" s="123" t="n">
        <v>13</v>
      </c>
    </row>
    <row r="39" customFormat="false" ht="15" hidden="false" customHeight="false" outlineLevel="0" collapsed="false">
      <c r="A39" s="123" t="n">
        <v>1008051</v>
      </c>
      <c r="B39" s="124" t="s">
        <v>113</v>
      </c>
      <c r="C39" s="124" t="s">
        <v>105</v>
      </c>
      <c r="E39" s="123" t="n">
        <v>4</v>
      </c>
    </row>
    <row r="40" customFormat="false" ht="15" hidden="false" customHeight="false" outlineLevel="0" collapsed="false">
      <c r="A40" s="123" t="n">
        <v>1008267</v>
      </c>
      <c r="B40" s="124" t="s">
        <v>114</v>
      </c>
      <c r="C40" s="124" t="s">
        <v>105</v>
      </c>
      <c r="E40" s="123" t="n">
        <v>86</v>
      </c>
    </row>
    <row r="41" customFormat="false" ht="15" hidden="false" customHeight="false" outlineLevel="0" collapsed="false">
      <c r="A41" s="123" t="n">
        <v>656</v>
      </c>
      <c r="B41" s="124" t="s">
        <v>115</v>
      </c>
      <c r="C41" s="124" t="s">
        <v>105</v>
      </c>
      <c r="D41" s="123" t="n">
        <v>12</v>
      </c>
    </row>
    <row r="42" customFormat="false" ht="15" hidden="false" customHeight="false" outlineLevel="0" collapsed="false">
      <c r="A42" s="123" t="n">
        <v>1002</v>
      </c>
      <c r="B42" s="124" t="s">
        <v>116</v>
      </c>
      <c r="C42" s="124" t="s">
        <v>105</v>
      </c>
      <c r="D42" s="123" t="n">
        <v>436</v>
      </c>
      <c r="E42" s="123" t="n">
        <v>12</v>
      </c>
    </row>
    <row r="43" customFormat="false" ht="15" hidden="false" customHeight="false" outlineLevel="0" collapsed="false">
      <c r="A43" s="123" t="n">
        <v>1033</v>
      </c>
      <c r="B43" s="124" t="s">
        <v>117</v>
      </c>
      <c r="C43" s="124" t="s">
        <v>105</v>
      </c>
    </row>
    <row r="44" customFormat="false" ht="15" hidden="false" customHeight="false" outlineLevel="0" collapsed="false">
      <c r="A44" s="123" t="n">
        <v>1008037</v>
      </c>
      <c r="B44" s="124" t="s">
        <v>118</v>
      </c>
      <c r="C44" s="124" t="s">
        <v>119</v>
      </c>
    </row>
    <row r="45" customFormat="false" ht="15" hidden="false" customHeight="false" outlineLevel="0" collapsed="false">
      <c r="A45" s="123" t="n">
        <v>1008038</v>
      </c>
      <c r="B45" s="124" t="s">
        <v>120</v>
      </c>
      <c r="C45" s="124" t="s">
        <v>119</v>
      </c>
    </row>
    <row r="46" customFormat="false" ht="15" hidden="false" customHeight="false" outlineLevel="0" collapsed="false">
      <c r="A46" s="123" t="n">
        <v>1008039</v>
      </c>
      <c r="B46" s="124" t="s">
        <v>121</v>
      </c>
      <c r="C46" s="124" t="s">
        <v>119</v>
      </c>
    </row>
    <row r="47" customFormat="false" ht="15" hidden="false" customHeight="false" outlineLevel="0" collapsed="false">
      <c r="A47" s="123" t="n">
        <v>1007973</v>
      </c>
      <c r="B47" s="124" t="s">
        <v>122</v>
      </c>
      <c r="C47" s="124" t="s">
        <v>119</v>
      </c>
    </row>
    <row r="48" customFormat="false" ht="15" hidden="false" customHeight="false" outlineLevel="0" collapsed="false">
      <c r="A48" s="123" t="n">
        <v>1007992</v>
      </c>
      <c r="B48" s="124" t="s">
        <v>123</v>
      </c>
      <c r="C48" s="124" t="s">
        <v>119</v>
      </c>
    </row>
    <row r="49" customFormat="false" ht="15" hidden="false" customHeight="false" outlineLevel="0" collapsed="false">
      <c r="A49" s="123" t="n">
        <v>1007993</v>
      </c>
      <c r="B49" s="124" t="s">
        <v>124</v>
      </c>
      <c r="C49" s="124" t="s">
        <v>119</v>
      </c>
    </row>
    <row r="50" customFormat="false" ht="15" hidden="false" customHeight="false" outlineLevel="0" collapsed="false">
      <c r="A50" s="123" t="n">
        <v>1007994</v>
      </c>
      <c r="B50" s="124" t="s">
        <v>125</v>
      </c>
      <c r="C50" s="124" t="s">
        <v>119</v>
      </c>
    </row>
    <row r="51" customFormat="false" ht="15" hidden="false" customHeight="false" outlineLevel="0" collapsed="false">
      <c r="A51" s="123" t="n">
        <v>1007971</v>
      </c>
      <c r="B51" s="124" t="s">
        <v>126</v>
      </c>
      <c r="C51" s="124" t="s">
        <v>127</v>
      </c>
    </row>
    <row r="52" customFormat="false" ht="15" hidden="false" customHeight="false" outlineLevel="0" collapsed="false">
      <c r="A52" s="123" t="n">
        <v>1007972</v>
      </c>
      <c r="B52" s="124" t="s">
        <v>128</v>
      </c>
      <c r="C52" s="124" t="s">
        <v>127</v>
      </c>
    </row>
    <row r="53" customFormat="false" ht="15" hidden="false" customHeight="false" outlineLevel="0" collapsed="false">
      <c r="A53" s="123" t="n">
        <v>1008059</v>
      </c>
      <c r="B53" s="124" t="s">
        <v>129</v>
      </c>
      <c r="C53" s="124" t="s">
        <v>127</v>
      </c>
    </row>
    <row r="54" customFormat="false" ht="15" hidden="false" customHeight="false" outlineLevel="0" collapsed="false">
      <c r="A54" s="123" t="n">
        <v>1008261</v>
      </c>
      <c r="B54" s="124" t="s">
        <v>130</v>
      </c>
      <c r="C54" s="124" t="s">
        <v>127</v>
      </c>
      <c r="D54" s="123" t="n">
        <v>172</v>
      </c>
      <c r="E54" s="123" t="n">
        <v>3</v>
      </c>
    </row>
    <row r="55" customFormat="false" ht="15" hidden="false" customHeight="false" outlineLevel="0" collapsed="false">
      <c r="A55" s="123" t="n">
        <v>984</v>
      </c>
      <c r="B55" s="124" t="s">
        <v>131</v>
      </c>
      <c r="C55" s="124" t="s">
        <v>127</v>
      </c>
      <c r="D55" s="123" t="n">
        <v>76</v>
      </c>
    </row>
    <row r="56" customFormat="false" ht="15" hidden="false" customHeight="false" outlineLevel="0" collapsed="false">
      <c r="A56" s="123" t="n">
        <v>575</v>
      </c>
      <c r="B56" s="124" t="s">
        <v>132</v>
      </c>
      <c r="C56" s="124" t="s">
        <v>127</v>
      </c>
      <c r="D56" s="123" t="n">
        <v>139</v>
      </c>
      <c r="E56" s="123" t="n">
        <v>12</v>
      </c>
    </row>
    <row r="57" customFormat="false" ht="15" hidden="false" customHeight="false" outlineLevel="0" collapsed="false">
      <c r="A57" s="123" t="n">
        <v>560</v>
      </c>
      <c r="B57" s="124" t="s">
        <v>133</v>
      </c>
      <c r="C57" s="124" t="s">
        <v>127</v>
      </c>
    </row>
    <row r="58" customFormat="false" ht="15" hidden="false" customHeight="false" outlineLevel="0" collapsed="false">
      <c r="A58" s="123" t="n">
        <v>636</v>
      </c>
      <c r="B58" s="124" t="s">
        <v>134</v>
      </c>
      <c r="C58" s="124" t="s">
        <v>127</v>
      </c>
      <c r="D58" s="123" t="n">
        <v>599</v>
      </c>
    </row>
    <row r="59" customFormat="false" ht="15" hidden="false" customHeight="false" outlineLevel="0" collapsed="false">
      <c r="A59" s="123" t="n">
        <v>1071</v>
      </c>
      <c r="B59" s="124" t="s">
        <v>135</v>
      </c>
      <c r="C59" s="124" t="s">
        <v>127</v>
      </c>
      <c r="D59" s="123" t="n">
        <v>358</v>
      </c>
    </row>
    <row r="60" customFormat="false" ht="15" hidden="false" customHeight="false" outlineLevel="0" collapsed="false">
      <c r="A60" s="123" t="n">
        <v>979</v>
      </c>
      <c r="B60" s="124" t="s">
        <v>136</v>
      </c>
      <c r="C60" s="124" t="s">
        <v>127</v>
      </c>
      <c r="D60" s="123" t="n">
        <v>5</v>
      </c>
    </row>
    <row r="61" customFormat="false" ht="15" hidden="false" customHeight="false" outlineLevel="0" collapsed="false">
      <c r="A61" s="123" t="n">
        <v>945</v>
      </c>
      <c r="B61" s="124" t="s">
        <v>137</v>
      </c>
      <c r="C61" s="124" t="s">
        <v>127</v>
      </c>
    </row>
    <row r="62" customFormat="false" ht="15" hidden="false" customHeight="false" outlineLevel="0" collapsed="false">
      <c r="A62" s="123" t="n">
        <v>1002906</v>
      </c>
      <c r="B62" s="124" t="s">
        <v>138</v>
      </c>
      <c r="C62" s="124" t="s">
        <v>127</v>
      </c>
      <c r="D62" s="123" t="n">
        <v>70</v>
      </c>
    </row>
    <row r="63" customFormat="false" ht="15" hidden="false" customHeight="false" outlineLevel="0" collapsed="false">
      <c r="A63" s="123" t="n">
        <v>1002919</v>
      </c>
      <c r="B63" s="124" t="s">
        <v>139</v>
      </c>
      <c r="C63" s="124" t="s">
        <v>127</v>
      </c>
    </row>
    <row r="64" customFormat="false" ht="15" hidden="false" customHeight="false" outlineLevel="0" collapsed="false">
      <c r="A64" s="123" t="n">
        <v>1060</v>
      </c>
      <c r="B64" s="124" t="s">
        <v>140</v>
      </c>
      <c r="C64" s="124" t="s">
        <v>127</v>
      </c>
    </row>
    <row r="65" customFormat="false" ht="15" hidden="false" customHeight="false" outlineLevel="0" collapsed="false">
      <c r="A65" s="123" t="n">
        <v>855</v>
      </c>
      <c r="B65" s="124" t="s">
        <v>141</v>
      </c>
      <c r="C65" s="124" t="s">
        <v>127</v>
      </c>
      <c r="D65" s="123" t="n">
        <v>952</v>
      </c>
      <c r="E65" s="123" t="n">
        <v>938</v>
      </c>
    </row>
    <row r="66" customFormat="false" ht="15" hidden="false" customHeight="false" outlineLevel="0" collapsed="false">
      <c r="A66" s="123" t="n">
        <v>1045</v>
      </c>
      <c r="B66" s="124" t="s">
        <v>142</v>
      </c>
      <c r="C66" s="124" t="s">
        <v>127</v>
      </c>
      <c r="D66" s="123" t="n">
        <v>126</v>
      </c>
    </row>
    <row r="67" customFormat="false" ht="15" hidden="false" customHeight="false" outlineLevel="0" collapsed="false">
      <c r="A67" s="123" t="n">
        <v>1008272</v>
      </c>
      <c r="B67" s="124" t="s">
        <v>143</v>
      </c>
      <c r="C67" s="124" t="s">
        <v>127</v>
      </c>
      <c r="D67" s="123" t="n">
        <v>80</v>
      </c>
      <c r="E67" s="123" t="n">
        <v>8</v>
      </c>
    </row>
    <row r="68" customFormat="false" ht="15" hidden="false" customHeight="false" outlineLevel="0" collapsed="false">
      <c r="A68" s="123" t="n">
        <v>1008273</v>
      </c>
      <c r="B68" s="124" t="s">
        <v>144</v>
      </c>
      <c r="C68" s="124" t="s">
        <v>127</v>
      </c>
      <c r="E68" s="123" t="n">
        <v>9</v>
      </c>
    </row>
    <row r="69" customFormat="false" ht="15" hidden="false" customHeight="false" outlineLevel="0" collapsed="false">
      <c r="A69" s="123" t="n">
        <v>1008276</v>
      </c>
      <c r="B69" s="124" t="s">
        <v>145</v>
      </c>
      <c r="C69" s="124" t="s">
        <v>127</v>
      </c>
    </row>
    <row r="70" customFormat="false" ht="15" hidden="false" customHeight="false" outlineLevel="0" collapsed="false">
      <c r="A70" s="123" t="n">
        <v>1008265</v>
      </c>
      <c r="B70" s="124" t="s">
        <v>146</v>
      </c>
      <c r="C70" s="124" t="s">
        <v>127</v>
      </c>
    </row>
    <row r="71" customFormat="false" ht="15" hidden="false" customHeight="false" outlineLevel="0" collapsed="false">
      <c r="A71" s="123" t="n">
        <v>1008274</v>
      </c>
      <c r="B71" s="124" t="s">
        <v>147</v>
      </c>
      <c r="C71" s="124" t="s">
        <v>127</v>
      </c>
      <c r="D71" s="123" t="n">
        <v>14</v>
      </c>
    </row>
    <row r="72" customFormat="false" ht="15" hidden="false" customHeight="false" outlineLevel="0" collapsed="false">
      <c r="A72" s="123" t="n">
        <v>1006466</v>
      </c>
      <c r="B72" s="124" t="s">
        <v>148</v>
      </c>
      <c r="C72" s="124" t="s">
        <v>127</v>
      </c>
      <c r="D72" s="123" t="n">
        <v>10</v>
      </c>
      <c r="E72" s="123" t="n">
        <v>20</v>
      </c>
    </row>
    <row r="73" customFormat="false" ht="15" hidden="false" customHeight="false" outlineLevel="0" collapsed="false">
      <c r="A73" s="123" t="n">
        <v>1002928</v>
      </c>
      <c r="B73" s="124" t="s">
        <v>149</v>
      </c>
      <c r="C73" s="124" t="s">
        <v>127</v>
      </c>
    </row>
    <row r="74" customFormat="false" ht="15" hidden="false" customHeight="false" outlineLevel="0" collapsed="false">
      <c r="A74" s="123" t="n">
        <v>553</v>
      </c>
      <c r="B74" s="124" t="s">
        <v>150</v>
      </c>
      <c r="C74" s="124" t="s">
        <v>127</v>
      </c>
      <c r="D74" s="123" t="n">
        <v>20</v>
      </c>
      <c r="E74" s="123" t="n">
        <v>66</v>
      </c>
    </row>
    <row r="75" customFormat="false" ht="15" hidden="false" customHeight="false" outlineLevel="0" collapsed="false">
      <c r="A75" s="123" t="n">
        <v>548</v>
      </c>
      <c r="B75" s="124" t="s">
        <v>151</v>
      </c>
      <c r="C75" s="124" t="s">
        <v>127</v>
      </c>
    </row>
    <row r="76" customFormat="false" ht="15" hidden="false" customHeight="false" outlineLevel="0" collapsed="false">
      <c r="A76" s="123" t="n">
        <v>1002912</v>
      </c>
      <c r="B76" s="124" t="s">
        <v>152</v>
      </c>
      <c r="C76" s="124" t="s">
        <v>127</v>
      </c>
      <c r="D76" s="123" t="n">
        <v>85</v>
      </c>
      <c r="E76" s="123" t="n">
        <v>429</v>
      </c>
    </row>
    <row r="77" customFormat="false" ht="15" hidden="false" customHeight="false" outlineLevel="0" collapsed="false">
      <c r="A77" s="123" t="n">
        <v>1002901</v>
      </c>
      <c r="B77" s="124" t="s">
        <v>153</v>
      </c>
      <c r="C77" s="124" t="s">
        <v>127</v>
      </c>
      <c r="D77" s="123" t="n">
        <v>22</v>
      </c>
    </row>
    <row r="78" customFormat="false" ht="15" hidden="false" customHeight="false" outlineLevel="0" collapsed="false">
      <c r="A78" s="123" t="n">
        <v>982</v>
      </c>
      <c r="B78" s="124" t="s">
        <v>154</v>
      </c>
      <c r="C78" s="124" t="s">
        <v>127</v>
      </c>
    </row>
    <row r="79" customFormat="false" ht="15" hidden="false" customHeight="false" outlineLevel="0" collapsed="false">
      <c r="A79" s="123" t="n">
        <v>1002949</v>
      </c>
      <c r="B79" s="124" t="s">
        <v>155</v>
      </c>
      <c r="C79" s="124" t="s">
        <v>127</v>
      </c>
      <c r="D79" s="123" t="n">
        <v>39</v>
      </c>
      <c r="E79" s="123" t="n">
        <v>6</v>
      </c>
    </row>
    <row r="80" customFormat="false" ht="15" hidden="false" customHeight="false" outlineLevel="0" collapsed="false">
      <c r="A80" s="123" t="n">
        <v>1002899</v>
      </c>
      <c r="B80" s="124" t="s">
        <v>156</v>
      </c>
      <c r="C80" s="124" t="s">
        <v>127</v>
      </c>
    </row>
    <row r="81" customFormat="false" ht="15" hidden="false" customHeight="false" outlineLevel="0" collapsed="false">
      <c r="A81" s="123" t="n">
        <v>635</v>
      </c>
      <c r="B81" s="124" t="s">
        <v>157</v>
      </c>
      <c r="C81" s="124" t="s">
        <v>127</v>
      </c>
    </row>
    <row r="82" customFormat="false" ht="15" hidden="false" customHeight="false" outlineLevel="0" collapsed="false">
      <c r="A82" s="123" t="n">
        <v>1063</v>
      </c>
      <c r="B82" s="124" t="s">
        <v>158</v>
      </c>
      <c r="C82" s="124" t="s">
        <v>127</v>
      </c>
      <c r="D82" s="123" t="n">
        <v>4393</v>
      </c>
      <c r="E82" s="123" t="n">
        <v>5</v>
      </c>
    </row>
    <row r="83" customFormat="false" ht="15" hidden="false" customHeight="false" outlineLevel="0" collapsed="false">
      <c r="A83" s="123" t="n">
        <v>1002852</v>
      </c>
      <c r="B83" s="124" t="s">
        <v>159</v>
      </c>
      <c r="C83" s="124" t="s">
        <v>127</v>
      </c>
      <c r="D83" s="123" t="n">
        <v>108</v>
      </c>
      <c r="E83" s="123" t="n">
        <v>16</v>
      </c>
    </row>
    <row r="84" customFormat="false" ht="15" hidden="false" customHeight="false" outlineLevel="0" collapsed="false">
      <c r="A84" s="123" t="n">
        <v>1008264</v>
      </c>
      <c r="B84" s="124" t="s">
        <v>160</v>
      </c>
      <c r="C84" s="124" t="s">
        <v>127</v>
      </c>
      <c r="D84" s="123" t="n">
        <v>58</v>
      </c>
      <c r="E84" s="123" t="n">
        <v>26</v>
      </c>
    </row>
    <row r="85" customFormat="false" ht="15" hidden="false" customHeight="false" outlineLevel="0" collapsed="false">
      <c r="A85" s="123" t="n">
        <v>1002875</v>
      </c>
      <c r="B85" s="124" t="s">
        <v>161</v>
      </c>
      <c r="C85" s="124" t="s">
        <v>127</v>
      </c>
      <c r="D85" s="123" t="n">
        <v>173</v>
      </c>
      <c r="E85" s="123" t="n">
        <v>23</v>
      </c>
    </row>
    <row r="86" customFormat="false" ht="15" hidden="false" customHeight="false" outlineLevel="0" collapsed="false">
      <c r="A86" s="123" t="n">
        <v>1002914</v>
      </c>
      <c r="B86" s="124" t="s">
        <v>162</v>
      </c>
      <c r="C86" s="124" t="s">
        <v>127</v>
      </c>
      <c r="D86" s="123" t="n">
        <v>7</v>
      </c>
    </row>
    <row r="87" customFormat="false" ht="15" hidden="false" customHeight="false" outlineLevel="0" collapsed="false">
      <c r="A87" s="123" t="n">
        <v>541</v>
      </c>
      <c r="B87" s="124" t="s">
        <v>163</v>
      </c>
      <c r="C87" s="124" t="s">
        <v>127</v>
      </c>
    </row>
    <row r="88" customFormat="false" ht="15" hidden="false" customHeight="false" outlineLevel="0" collapsed="false">
      <c r="A88" s="123" t="n">
        <v>543</v>
      </c>
      <c r="B88" s="124" t="s">
        <v>164</v>
      </c>
      <c r="C88" s="124" t="s">
        <v>127</v>
      </c>
      <c r="D88" s="123" t="n">
        <v>28</v>
      </c>
      <c r="E88" s="123" t="n">
        <v>60</v>
      </c>
    </row>
    <row r="89" customFormat="false" ht="15" hidden="false" customHeight="false" outlineLevel="0" collapsed="false">
      <c r="A89" s="123" t="n">
        <v>983</v>
      </c>
      <c r="B89" s="124" t="s">
        <v>165</v>
      </c>
      <c r="C89" s="124" t="s">
        <v>127</v>
      </c>
    </row>
    <row r="90" customFormat="false" ht="15" hidden="false" customHeight="false" outlineLevel="0" collapsed="false">
      <c r="A90" s="123" t="n">
        <v>1008269</v>
      </c>
      <c r="B90" s="124" t="s">
        <v>166</v>
      </c>
      <c r="C90" s="124" t="s">
        <v>127</v>
      </c>
      <c r="D90" s="123" t="n">
        <v>8</v>
      </c>
      <c r="E90" s="123" t="n">
        <v>9</v>
      </c>
    </row>
    <row r="91" customFormat="false" ht="15" hidden="false" customHeight="false" outlineLevel="0" collapsed="false">
      <c r="A91" s="123" t="n">
        <v>1002940</v>
      </c>
      <c r="B91" s="124" t="s">
        <v>167</v>
      </c>
      <c r="C91" s="124" t="s">
        <v>127</v>
      </c>
      <c r="D91" s="123" t="n">
        <v>49</v>
      </c>
    </row>
    <row r="92" customFormat="false" ht="15" hidden="false" customHeight="false" outlineLevel="0" collapsed="false">
      <c r="A92" s="123" t="n">
        <v>566</v>
      </c>
      <c r="B92" s="124" t="s">
        <v>168</v>
      </c>
      <c r="C92" s="124" t="s">
        <v>127</v>
      </c>
      <c r="D92" s="123" t="n">
        <v>130</v>
      </c>
    </row>
    <row r="93" customFormat="false" ht="15" hidden="false" customHeight="false" outlineLevel="0" collapsed="false">
      <c r="A93" s="123" t="n">
        <v>1002949</v>
      </c>
      <c r="B93" s="124" t="s">
        <v>169</v>
      </c>
      <c r="C93" s="124" t="s">
        <v>127</v>
      </c>
      <c r="D93" s="123" t="n">
        <v>125</v>
      </c>
    </row>
    <row r="94" customFormat="false" ht="15" hidden="false" customHeight="false" outlineLevel="0" collapsed="false">
      <c r="A94" s="123" t="n">
        <v>1002949</v>
      </c>
      <c r="B94" s="124" t="s">
        <v>170</v>
      </c>
      <c r="C94" s="124" t="s">
        <v>127</v>
      </c>
    </row>
    <row r="95" customFormat="false" ht="15" hidden="false" customHeight="false" outlineLevel="0" collapsed="false">
      <c r="A95" s="123" t="n">
        <v>1002930</v>
      </c>
      <c r="B95" s="124" t="s">
        <v>171</v>
      </c>
      <c r="C95" s="124" t="s">
        <v>127</v>
      </c>
      <c r="D95" s="123" t="n">
        <v>34</v>
      </c>
      <c r="E95" s="123" t="n">
        <v>20</v>
      </c>
    </row>
    <row r="96" customFormat="false" ht="15" hidden="false" customHeight="false" outlineLevel="0" collapsed="false">
      <c r="A96" s="123" t="n">
        <v>1002897</v>
      </c>
      <c r="B96" s="124" t="s">
        <v>172</v>
      </c>
      <c r="C96" s="124" t="s">
        <v>127</v>
      </c>
      <c r="D96" s="123" t="n">
        <v>8</v>
      </c>
      <c r="E96" s="123" t="n">
        <v>40</v>
      </c>
    </row>
    <row r="97" customFormat="false" ht="15" hidden="false" customHeight="false" outlineLevel="0" collapsed="false">
      <c r="A97" s="123" t="n">
        <v>1002895</v>
      </c>
      <c r="B97" s="124" t="s">
        <v>173</v>
      </c>
      <c r="C97" s="124" t="s">
        <v>127</v>
      </c>
      <c r="D97" s="123" t="n">
        <v>30</v>
      </c>
      <c r="E97" s="123" t="n">
        <v>23</v>
      </c>
    </row>
    <row r="98" customFormat="false" ht="15" hidden="false" customHeight="false" outlineLevel="0" collapsed="false">
      <c r="A98" s="123" t="n">
        <v>1002947</v>
      </c>
      <c r="B98" s="124" t="s">
        <v>174</v>
      </c>
      <c r="C98" s="124" t="s">
        <v>127</v>
      </c>
      <c r="D98" s="123" t="n">
        <v>77</v>
      </c>
      <c r="E98" s="123" t="n">
        <v>74</v>
      </c>
    </row>
    <row r="99" customFormat="false" ht="15" hidden="false" customHeight="false" outlineLevel="0" collapsed="false">
      <c r="A99" s="123" t="n">
        <v>1002938</v>
      </c>
      <c r="B99" s="124" t="s">
        <v>175</v>
      </c>
      <c r="C99" s="124" t="s">
        <v>127</v>
      </c>
      <c r="D99" s="123" t="n">
        <v>51</v>
      </c>
      <c r="E99" s="123" t="n">
        <v>17</v>
      </c>
    </row>
    <row r="100" customFormat="false" ht="15" hidden="false" customHeight="false" outlineLevel="0" collapsed="false">
      <c r="A100" s="123" t="n">
        <v>1008262</v>
      </c>
      <c r="B100" s="124" t="s">
        <v>176</v>
      </c>
      <c r="C100" s="124" t="s">
        <v>127</v>
      </c>
    </row>
    <row r="101" customFormat="false" ht="15" hidden="false" customHeight="false" outlineLevel="0" collapsed="false">
      <c r="A101" s="123" t="n">
        <v>622</v>
      </c>
      <c r="B101" s="124" t="s">
        <v>177</v>
      </c>
      <c r="C101" s="124" t="s">
        <v>127</v>
      </c>
    </row>
    <row r="102" customFormat="false" ht="15" hidden="false" customHeight="false" outlineLevel="0" collapsed="false">
      <c r="A102" s="123" t="n">
        <v>1008266</v>
      </c>
      <c r="B102" s="124" t="s">
        <v>178</v>
      </c>
      <c r="C102" s="124" t="s">
        <v>127</v>
      </c>
      <c r="D102" s="123" t="n">
        <v>40</v>
      </c>
      <c r="E102" s="123" t="n">
        <v>86</v>
      </c>
    </row>
    <row r="103" customFormat="false" ht="15" hidden="false" customHeight="false" outlineLevel="0" collapsed="false">
      <c r="A103" s="123" t="n">
        <v>1008275</v>
      </c>
      <c r="B103" s="124" t="s">
        <v>179</v>
      </c>
      <c r="C103" s="124" t="s">
        <v>127</v>
      </c>
      <c r="D103" s="123" t="n">
        <v>85</v>
      </c>
      <c r="E103" s="123" t="n">
        <v>126</v>
      </c>
    </row>
    <row r="104" customFormat="false" ht="15" hidden="false" customHeight="false" outlineLevel="0" collapsed="false">
      <c r="A104" s="123" t="n">
        <v>755</v>
      </c>
      <c r="B104" s="124" t="s">
        <v>180</v>
      </c>
      <c r="C104" s="124" t="s">
        <v>127</v>
      </c>
      <c r="E104" s="123" t="n">
        <v>29</v>
      </c>
    </row>
    <row r="105" customFormat="false" ht="15" hidden="false" customHeight="false" outlineLevel="0" collapsed="false">
      <c r="A105" s="123" t="n">
        <v>1004</v>
      </c>
      <c r="B105" s="124" t="s">
        <v>181</v>
      </c>
      <c r="C105" s="124" t="s">
        <v>127</v>
      </c>
    </row>
    <row r="106" customFormat="false" ht="15" hidden="false" customHeight="false" outlineLevel="0" collapsed="false">
      <c r="A106" s="123" t="n">
        <v>827</v>
      </c>
      <c r="B106" s="124" t="s">
        <v>182</v>
      </c>
      <c r="C106" s="124" t="s">
        <v>127</v>
      </c>
      <c r="D106" s="123" t="n">
        <v>199</v>
      </c>
      <c r="E106" s="123" t="n">
        <v>26</v>
      </c>
    </row>
    <row r="107" customFormat="false" ht="15" hidden="false" customHeight="false" outlineLevel="0" collapsed="false">
      <c r="A107" s="123" t="n">
        <v>721</v>
      </c>
      <c r="B107" s="124" t="s">
        <v>183</v>
      </c>
      <c r="C107" s="124" t="s">
        <v>127</v>
      </c>
      <c r="D107" s="123" t="n">
        <v>18</v>
      </c>
      <c r="E107" s="123" t="n">
        <v>29</v>
      </c>
    </row>
    <row r="108" customFormat="false" ht="15" hidden="false" customHeight="false" outlineLevel="0" collapsed="false">
      <c r="A108" s="123" t="n">
        <v>1008260</v>
      </c>
      <c r="B108" s="124" t="s">
        <v>184</v>
      </c>
      <c r="C108" s="124" t="s">
        <v>127</v>
      </c>
      <c r="D108" s="123" t="n">
        <v>80</v>
      </c>
      <c r="E108" s="123" t="n">
        <v>4</v>
      </c>
    </row>
    <row r="109" customFormat="false" ht="15" hidden="false" customHeight="false" outlineLevel="0" collapsed="false">
      <c r="A109" s="123" t="n">
        <v>1002936</v>
      </c>
      <c r="B109" s="124" t="s">
        <v>185</v>
      </c>
      <c r="C109" s="124" t="s">
        <v>127</v>
      </c>
      <c r="D109" s="123" t="n">
        <v>52</v>
      </c>
      <c r="E109" s="123" t="n">
        <v>3</v>
      </c>
    </row>
    <row r="110" customFormat="false" ht="15" hidden="false" customHeight="false" outlineLevel="0" collapsed="false">
      <c r="A110" s="123" t="n">
        <v>1350</v>
      </c>
      <c r="B110" s="124" t="s">
        <v>186</v>
      </c>
      <c r="C110" s="124" t="s">
        <v>127</v>
      </c>
    </row>
    <row r="111" customFormat="false" ht="15" hidden="false" customHeight="false" outlineLevel="0" collapsed="false">
      <c r="A111" s="123" t="n">
        <v>1002896</v>
      </c>
      <c r="B111" s="124" t="s">
        <v>187</v>
      </c>
      <c r="C111" s="124" t="s">
        <v>127</v>
      </c>
      <c r="D111" s="123" t="n">
        <v>29</v>
      </c>
      <c r="E111" s="123" t="n">
        <v>6</v>
      </c>
    </row>
    <row r="112" customFormat="false" ht="15" hidden="false" customHeight="false" outlineLevel="0" collapsed="false">
      <c r="A112" s="123" t="n">
        <v>1002924</v>
      </c>
      <c r="B112" s="124" t="s">
        <v>188</v>
      </c>
      <c r="C112" s="124" t="s">
        <v>127</v>
      </c>
      <c r="D112" s="123" t="n">
        <v>52</v>
      </c>
    </row>
    <row r="113" customFormat="false" ht="15" hidden="false" customHeight="false" outlineLevel="0" collapsed="false">
      <c r="A113" s="123" t="n">
        <v>1002907</v>
      </c>
      <c r="B113" s="124" t="s">
        <v>189</v>
      </c>
      <c r="C113" s="124" t="s">
        <v>127</v>
      </c>
      <c r="D113" s="123" t="n">
        <v>24</v>
      </c>
      <c r="E113" s="123" t="n">
        <v>23</v>
      </c>
    </row>
    <row r="114" customFormat="false" ht="15" hidden="false" customHeight="false" outlineLevel="0" collapsed="false">
      <c r="A114" s="123" t="n">
        <v>1002911</v>
      </c>
      <c r="B114" s="124" t="s">
        <v>190</v>
      </c>
      <c r="C114" s="124" t="s">
        <v>127</v>
      </c>
    </row>
    <row r="115" customFormat="false" ht="15" hidden="false" customHeight="false" outlineLevel="0" collapsed="false">
      <c r="A115" s="123" t="n">
        <v>1212</v>
      </c>
      <c r="B115" s="124" t="s">
        <v>191</v>
      </c>
      <c r="C115" s="124" t="s">
        <v>127</v>
      </c>
      <c r="D115" s="123" t="n">
        <v>6</v>
      </c>
    </row>
    <row r="116" customFormat="false" ht="15" hidden="false" customHeight="false" outlineLevel="0" collapsed="false">
      <c r="A116" s="123" t="n">
        <v>1002882</v>
      </c>
      <c r="B116" s="124" t="s">
        <v>192</v>
      </c>
      <c r="C116" s="124" t="s">
        <v>127</v>
      </c>
      <c r="D116" s="123" t="n">
        <v>49</v>
      </c>
      <c r="E116" s="123" t="n">
        <v>1</v>
      </c>
    </row>
    <row r="117" customFormat="false" ht="15" hidden="false" customHeight="false" outlineLevel="0" collapsed="false">
      <c r="A117" s="123" t="n">
        <v>1008058</v>
      </c>
      <c r="B117" s="124" t="s">
        <v>193</v>
      </c>
      <c r="C117" s="124" t="s">
        <v>127</v>
      </c>
    </row>
    <row r="118" customFormat="false" ht="15" hidden="false" customHeight="false" outlineLevel="0" collapsed="false">
      <c r="A118" s="123" t="n">
        <v>1002879</v>
      </c>
      <c r="B118" s="124" t="s">
        <v>194</v>
      </c>
      <c r="C118" s="124" t="s">
        <v>127</v>
      </c>
      <c r="D118" s="123" t="n">
        <v>90</v>
      </c>
      <c r="E118" s="123" t="n">
        <v>254</v>
      </c>
    </row>
    <row r="119" customFormat="false" ht="15" hidden="false" customHeight="false" outlineLevel="0" collapsed="false">
      <c r="A119" s="123" t="n">
        <v>1002898</v>
      </c>
      <c r="B119" s="124" t="s">
        <v>195</v>
      </c>
      <c r="C119" s="124" t="s">
        <v>127</v>
      </c>
      <c r="E119" s="123" t="n">
        <v>10</v>
      </c>
    </row>
    <row r="120" customFormat="false" ht="15" hidden="false" customHeight="false" outlineLevel="0" collapsed="false">
      <c r="A120" s="123" t="n">
        <v>826</v>
      </c>
      <c r="B120" s="124" t="s">
        <v>196</v>
      </c>
      <c r="C120" s="124" t="s">
        <v>127</v>
      </c>
      <c r="D120" s="123" t="n">
        <v>16</v>
      </c>
    </row>
    <row r="121" customFormat="false" ht="15" hidden="false" customHeight="false" outlineLevel="0" collapsed="false">
      <c r="A121" s="123" t="n">
        <v>1002910</v>
      </c>
      <c r="B121" s="124" t="s">
        <v>197</v>
      </c>
      <c r="C121" s="124" t="s">
        <v>127</v>
      </c>
      <c r="D121" s="123" t="n">
        <v>6</v>
      </c>
      <c r="E121" s="123" t="n">
        <v>28</v>
      </c>
    </row>
    <row r="122" customFormat="false" ht="15" hidden="false" customHeight="false" outlineLevel="0" collapsed="false">
      <c r="A122" s="123" t="n">
        <v>1002883</v>
      </c>
      <c r="B122" s="124" t="s">
        <v>198</v>
      </c>
      <c r="C122" s="124" t="s">
        <v>127</v>
      </c>
      <c r="D122" s="123" t="n">
        <v>119</v>
      </c>
    </row>
    <row r="123" customFormat="false" ht="15" hidden="false" customHeight="false" outlineLevel="0" collapsed="false">
      <c r="A123" s="123" t="n">
        <v>954</v>
      </c>
      <c r="B123" s="124" t="s">
        <v>199</v>
      </c>
      <c r="C123" s="124" t="s">
        <v>127</v>
      </c>
      <c r="D123" s="123" t="n">
        <v>78</v>
      </c>
    </row>
    <row r="124" customFormat="false" ht="15" hidden="false" customHeight="false" outlineLevel="0" collapsed="false">
      <c r="A124" s="123" t="n">
        <v>1002909</v>
      </c>
      <c r="B124" s="124" t="s">
        <v>200</v>
      </c>
      <c r="C124" s="124" t="s">
        <v>127</v>
      </c>
    </row>
    <row r="125" customFormat="false" ht="15" hidden="false" customHeight="false" outlineLevel="0" collapsed="false">
      <c r="A125" s="123" t="n">
        <v>1002891</v>
      </c>
      <c r="B125" s="124" t="s">
        <v>201</v>
      </c>
      <c r="C125" s="124" t="s">
        <v>127</v>
      </c>
      <c r="D125" s="123" t="n">
        <v>93</v>
      </c>
    </row>
    <row r="126" customFormat="false" ht="15" hidden="false" customHeight="false" outlineLevel="0" collapsed="false">
      <c r="A126" s="123" t="n">
        <v>1192</v>
      </c>
      <c r="B126" s="124" t="s">
        <v>202</v>
      </c>
      <c r="C126" s="124" t="s">
        <v>127</v>
      </c>
    </row>
    <row r="127" customFormat="false" ht="15" hidden="false" customHeight="false" outlineLevel="0" collapsed="false">
      <c r="A127" s="123" t="n">
        <v>1224</v>
      </c>
      <c r="B127" s="124" t="s">
        <v>203</v>
      </c>
      <c r="C127" s="124" t="s">
        <v>127</v>
      </c>
    </row>
    <row r="128" customFormat="false" ht="15" hidden="false" customHeight="false" outlineLevel="0" collapsed="false">
      <c r="A128" s="123" t="n">
        <v>946</v>
      </c>
      <c r="B128" s="124" t="s">
        <v>204</v>
      </c>
      <c r="C128" s="124" t="s">
        <v>127</v>
      </c>
    </row>
    <row r="129" customFormat="false" ht="15" hidden="false" customHeight="false" outlineLevel="0" collapsed="false">
      <c r="A129" s="123" t="n">
        <v>1307</v>
      </c>
      <c r="B129" s="124" t="s">
        <v>205</v>
      </c>
      <c r="C129" s="124" t="s">
        <v>127</v>
      </c>
      <c r="E129" s="123" t="n">
        <v>10</v>
      </c>
    </row>
    <row r="130" customFormat="false" ht="15" hidden="false" customHeight="false" outlineLevel="0" collapsed="false">
      <c r="A130" s="123" t="n">
        <v>1297</v>
      </c>
      <c r="B130" s="124" t="s">
        <v>206</v>
      </c>
      <c r="C130" s="124" t="s">
        <v>127</v>
      </c>
    </row>
    <row r="131" customFormat="false" ht="15" hidden="false" customHeight="false" outlineLevel="0" collapsed="false">
      <c r="A131" s="123" t="n">
        <v>1282</v>
      </c>
      <c r="B131" s="124" t="s">
        <v>207</v>
      </c>
      <c r="C131" s="124" t="s">
        <v>127</v>
      </c>
    </row>
    <row r="132" customFormat="false" ht="15" hidden="false" customHeight="false" outlineLevel="0" collapsed="false">
      <c r="A132" s="123" t="n">
        <v>1293</v>
      </c>
      <c r="B132" s="124" t="s">
        <v>208</v>
      </c>
      <c r="C132" s="124" t="s">
        <v>127</v>
      </c>
      <c r="D132" s="123" t="n">
        <v>284</v>
      </c>
      <c r="E132" s="123" t="n">
        <v>544</v>
      </c>
    </row>
    <row r="133" customFormat="false" ht="15" hidden="false" customHeight="false" outlineLevel="0" collapsed="false">
      <c r="A133" s="123" t="n">
        <v>1283</v>
      </c>
      <c r="B133" s="124" t="s">
        <v>209</v>
      </c>
      <c r="C133" s="124" t="s">
        <v>210</v>
      </c>
    </row>
    <row r="134" customFormat="false" ht="15" hidden="false" customHeight="false" outlineLevel="0" collapsed="false">
      <c r="A134" s="123" t="n">
        <v>1284</v>
      </c>
      <c r="B134" s="124" t="s">
        <v>211</v>
      </c>
      <c r="C134" s="124" t="s">
        <v>210</v>
      </c>
    </row>
    <row r="135" customFormat="false" ht="15" hidden="false" customHeight="false" outlineLevel="0" collapsed="false">
      <c r="A135" s="123" t="n">
        <v>1285</v>
      </c>
      <c r="B135" s="124" t="s">
        <v>212</v>
      </c>
      <c r="C135" s="124" t="s">
        <v>210</v>
      </c>
    </row>
    <row r="136" customFormat="false" ht="15" hidden="false" customHeight="false" outlineLevel="0" collapsed="false">
      <c r="A136" s="123" t="n">
        <v>1286</v>
      </c>
      <c r="B136" s="124" t="s">
        <v>213</v>
      </c>
      <c r="C136" s="124" t="s">
        <v>210</v>
      </c>
    </row>
    <row r="137" customFormat="false" ht="15" hidden="false" customHeight="false" outlineLevel="0" collapsed="false">
      <c r="A137" s="123" t="n">
        <v>1292</v>
      </c>
      <c r="B137" s="124" t="s">
        <v>214</v>
      </c>
      <c r="C137" s="124" t="s">
        <v>210</v>
      </c>
    </row>
    <row r="138" customFormat="false" ht="15" hidden="false" customHeight="false" outlineLevel="0" collapsed="false">
      <c r="A138" s="123" t="n">
        <v>1311</v>
      </c>
      <c r="B138" s="124" t="s">
        <v>215</v>
      </c>
      <c r="C138" s="124" t="s">
        <v>210</v>
      </c>
    </row>
    <row r="139" customFormat="false" ht="15" hidden="false" customHeight="false" outlineLevel="0" collapsed="false">
      <c r="A139" s="123" t="n">
        <v>1312</v>
      </c>
      <c r="B139" s="124" t="s">
        <v>216</v>
      </c>
      <c r="C139" s="124" t="s">
        <v>210</v>
      </c>
    </row>
    <row r="140" customFormat="false" ht="15" hidden="false" customHeight="false" outlineLevel="0" collapsed="false">
      <c r="A140" s="123" t="n">
        <v>1316</v>
      </c>
      <c r="B140" s="124" t="s">
        <v>217</v>
      </c>
      <c r="C140" s="124" t="s">
        <v>127</v>
      </c>
    </row>
    <row r="141" customFormat="false" ht="15" hidden="false" customHeight="false" outlineLevel="0" collapsed="false">
      <c r="A141" s="123" t="n">
        <v>1315</v>
      </c>
      <c r="B141" s="124" t="s">
        <v>218</v>
      </c>
      <c r="C141" s="124" t="s">
        <v>127</v>
      </c>
    </row>
    <row r="142" customFormat="false" ht="15" hidden="false" customHeight="false" outlineLevel="0" collapsed="false">
      <c r="A142" s="123" t="n">
        <v>1064</v>
      </c>
      <c r="B142" s="124" t="s">
        <v>219</v>
      </c>
      <c r="C142" s="124" t="s">
        <v>127</v>
      </c>
    </row>
    <row r="143" customFormat="false" ht="15" hidden="false" customHeight="false" outlineLevel="0" collapsed="false">
      <c r="A143" s="123" t="n">
        <v>1002851</v>
      </c>
      <c r="B143" s="124" t="s">
        <v>220</v>
      </c>
      <c r="C143" s="124" t="s">
        <v>127</v>
      </c>
    </row>
    <row r="144" customFormat="false" ht="15" hidden="false" customHeight="false" outlineLevel="0" collapsed="false">
      <c r="A144" s="123" t="n">
        <v>1002904</v>
      </c>
      <c r="B144" s="124" t="s">
        <v>221</v>
      </c>
      <c r="C144" s="124" t="s">
        <v>127</v>
      </c>
    </row>
    <row r="145" customFormat="false" ht="15" hidden="false" customHeight="false" outlineLevel="0" collapsed="false">
      <c r="A145" s="123" t="n">
        <v>540</v>
      </c>
      <c r="B145" s="124" t="s">
        <v>222</v>
      </c>
      <c r="C145" s="124" t="s">
        <v>127</v>
      </c>
      <c r="D145" s="123" t="n">
        <v>44</v>
      </c>
      <c r="E145" s="123" t="n">
        <v>18</v>
      </c>
    </row>
    <row r="146" customFormat="false" ht="15" hidden="false" customHeight="false" outlineLevel="0" collapsed="false">
      <c r="A146" s="123" t="n">
        <v>590</v>
      </c>
      <c r="B146" s="124" t="s">
        <v>223</v>
      </c>
      <c r="C146" s="124" t="s">
        <v>224</v>
      </c>
    </row>
    <row r="147" customFormat="false" ht="15" hidden="false" customHeight="false" outlineLevel="0" collapsed="false">
      <c r="A147" s="123" t="n">
        <v>750</v>
      </c>
      <c r="B147" s="124" t="s">
        <v>225</v>
      </c>
      <c r="C147" s="124" t="s">
        <v>127</v>
      </c>
      <c r="D147" s="123" t="n">
        <v>66</v>
      </c>
      <c r="E147" s="123" t="n">
        <v>8</v>
      </c>
    </row>
    <row r="148" customFormat="false" ht="15" hidden="false" customHeight="false" outlineLevel="0" collapsed="false">
      <c r="A148" s="123" t="n">
        <v>587</v>
      </c>
      <c r="B148" s="124" t="s">
        <v>226</v>
      </c>
      <c r="C148" s="124" t="s">
        <v>127</v>
      </c>
    </row>
    <row r="149" customFormat="false" ht="15" hidden="false" customHeight="false" outlineLevel="0" collapsed="false">
      <c r="A149" s="123" t="n">
        <v>759</v>
      </c>
      <c r="B149" s="124" t="s">
        <v>227</v>
      </c>
      <c r="C149" s="124" t="s">
        <v>127</v>
      </c>
    </row>
    <row r="150" customFormat="false" ht="15" hidden="false" customHeight="false" outlineLevel="0" collapsed="false">
      <c r="A150" s="123" t="n">
        <v>811</v>
      </c>
      <c r="B150" s="124" t="s">
        <v>228</v>
      </c>
      <c r="C150" s="124" t="s">
        <v>127</v>
      </c>
    </row>
    <row r="151" customFormat="false" ht="15" hidden="false" customHeight="false" outlineLevel="0" collapsed="false">
      <c r="A151" s="123" t="n">
        <v>813</v>
      </c>
      <c r="B151" s="124" t="s">
        <v>229</v>
      </c>
      <c r="C151" s="124" t="s">
        <v>127</v>
      </c>
    </row>
    <row r="152" customFormat="false" ht="15" hidden="false" customHeight="false" outlineLevel="0" collapsed="false">
      <c r="A152" s="123" t="n">
        <v>633</v>
      </c>
      <c r="B152" s="124" t="s">
        <v>230</v>
      </c>
      <c r="C152" s="124" t="s">
        <v>127</v>
      </c>
    </row>
    <row r="153" customFormat="false" ht="15" hidden="false" customHeight="false" outlineLevel="0" collapsed="false">
      <c r="A153" s="123" t="n">
        <v>810</v>
      </c>
      <c r="B153" s="124" t="s">
        <v>231</v>
      </c>
      <c r="C153" s="124" t="s">
        <v>127</v>
      </c>
    </row>
    <row r="154" customFormat="false" ht="15" hidden="false" customHeight="false" outlineLevel="0" collapsed="false">
      <c r="A154" s="123" t="n">
        <v>1002885</v>
      </c>
      <c r="B154" s="124" t="s">
        <v>232</v>
      </c>
      <c r="C154" s="124" t="s">
        <v>127</v>
      </c>
    </row>
    <row r="155" customFormat="false" ht="15" hidden="false" customHeight="false" outlineLevel="0" collapsed="false">
      <c r="A155" s="123" t="n">
        <v>1008277</v>
      </c>
      <c r="B155" s="124" t="s">
        <v>233</v>
      </c>
      <c r="C155" s="124" t="s">
        <v>127</v>
      </c>
      <c r="D155" s="123" t="n">
        <v>59</v>
      </c>
      <c r="E155" s="123" t="n">
        <v>1</v>
      </c>
    </row>
    <row r="156" customFormat="false" ht="15" hidden="false" customHeight="false" outlineLevel="0" collapsed="false">
      <c r="A156" s="123" t="n">
        <v>562</v>
      </c>
      <c r="B156" s="124" t="s">
        <v>234</v>
      </c>
      <c r="C156" s="124" t="s">
        <v>127</v>
      </c>
      <c r="D156" s="123" t="n">
        <v>50</v>
      </c>
      <c r="E156" s="123" t="n">
        <v>10</v>
      </c>
    </row>
    <row r="157" customFormat="false" ht="15" hidden="false" customHeight="false" outlineLevel="0" collapsed="false">
      <c r="A157" s="123" t="n">
        <v>1008268</v>
      </c>
      <c r="B157" s="124" t="s">
        <v>235</v>
      </c>
      <c r="C157" s="124" t="s">
        <v>127</v>
      </c>
    </row>
    <row r="158" customFormat="false" ht="15" hidden="false" customHeight="false" outlineLevel="0" collapsed="false">
      <c r="A158" s="123" t="n">
        <v>1008270</v>
      </c>
      <c r="B158" s="124" t="s">
        <v>236</v>
      </c>
      <c r="C158" s="124" t="s">
        <v>127</v>
      </c>
    </row>
    <row r="159" customFormat="false" ht="15" hidden="false" customHeight="false" outlineLevel="0" collapsed="false">
      <c r="A159" s="123" t="n">
        <v>539</v>
      </c>
      <c r="B159" s="124" t="s">
        <v>237</v>
      </c>
      <c r="C159" s="124" t="s">
        <v>127</v>
      </c>
    </row>
    <row r="160" customFormat="false" ht="15" hidden="false" customHeight="false" outlineLevel="0" collapsed="false">
      <c r="A160" s="123" t="n">
        <v>549</v>
      </c>
      <c r="B160" s="124" t="s">
        <v>238</v>
      </c>
      <c r="C160" s="124" t="s">
        <v>127</v>
      </c>
      <c r="D160" s="123" t="n">
        <v>140</v>
      </c>
      <c r="E160" s="123" t="n">
        <v>2</v>
      </c>
    </row>
    <row r="161" customFormat="false" ht="15" hidden="false" customHeight="false" outlineLevel="0" collapsed="false">
      <c r="A161" s="123" t="n">
        <v>1008263</v>
      </c>
      <c r="B161" s="124" t="s">
        <v>239</v>
      </c>
      <c r="C161" s="124" t="s">
        <v>127</v>
      </c>
    </row>
    <row r="162" customFormat="false" ht="15" hidden="false" customHeight="false" outlineLevel="0" collapsed="false">
      <c r="A162" s="123" t="n">
        <v>1008055</v>
      </c>
      <c r="B162" s="124" t="s">
        <v>240</v>
      </c>
      <c r="C162" s="124" t="s">
        <v>127</v>
      </c>
    </row>
    <row r="163" customFormat="false" ht="15" hidden="false" customHeight="false" outlineLevel="0" collapsed="false">
      <c r="A163" s="123" t="n">
        <v>1008056</v>
      </c>
      <c r="B163" s="124" t="s">
        <v>241</v>
      </c>
      <c r="C163" s="124" t="s">
        <v>127</v>
      </c>
    </row>
    <row r="164" customFormat="false" ht="15" hidden="false" customHeight="false" outlineLevel="0" collapsed="false">
      <c r="A164" s="123" t="n">
        <v>1008057</v>
      </c>
      <c r="B164" s="124" t="s">
        <v>242</v>
      </c>
      <c r="C164" s="124" t="s">
        <v>127</v>
      </c>
      <c r="D164" s="123" t="n">
        <v>32</v>
      </c>
      <c r="E164" s="123" t="n">
        <v>6</v>
      </c>
    </row>
    <row r="165" customFormat="false" ht="15" hidden="false" customHeight="false" outlineLevel="0" collapsed="false">
      <c r="A165" s="123" t="n">
        <v>1002934</v>
      </c>
      <c r="B165" s="124" t="s">
        <v>243</v>
      </c>
      <c r="C165" s="124" t="s">
        <v>127</v>
      </c>
    </row>
    <row r="166" customFormat="false" ht="15" hidden="false" customHeight="false" outlineLevel="0" collapsed="false">
      <c r="A166" s="123" t="n">
        <v>1076</v>
      </c>
      <c r="B166" s="124" t="s">
        <v>244</v>
      </c>
      <c r="C166" s="124" t="s">
        <v>127</v>
      </c>
      <c r="D166" s="123" t="n">
        <v>404</v>
      </c>
    </row>
    <row r="167" customFormat="false" ht="15" hidden="false" customHeight="false" outlineLevel="0" collapsed="false">
      <c r="A167" s="123" t="n">
        <v>1002918</v>
      </c>
      <c r="B167" s="124" t="s">
        <v>245</v>
      </c>
      <c r="C167" s="124" t="s">
        <v>127</v>
      </c>
    </row>
    <row r="168" customFormat="false" ht="15" hidden="false" customHeight="false" outlineLevel="0" collapsed="false">
      <c r="A168" s="123" t="n">
        <v>629</v>
      </c>
      <c r="B168" s="124" t="s">
        <v>246</v>
      </c>
      <c r="C168" s="124" t="s">
        <v>127</v>
      </c>
      <c r="D168" s="123" t="n">
        <v>241</v>
      </c>
    </row>
    <row r="169" customFormat="false" ht="15" hidden="false" customHeight="false" outlineLevel="0" collapsed="false">
      <c r="A169" s="123" t="n">
        <v>1002890</v>
      </c>
      <c r="B169" s="124" t="s">
        <v>247</v>
      </c>
      <c r="C169" s="124" t="s">
        <v>127</v>
      </c>
    </row>
    <row r="170" customFormat="false" ht="15" hidden="false" customHeight="false" outlineLevel="0" collapsed="false">
      <c r="A170" s="123" t="n">
        <v>1002931</v>
      </c>
      <c r="B170" s="124" t="s">
        <v>248</v>
      </c>
      <c r="C170" s="124" t="s">
        <v>127</v>
      </c>
      <c r="D170" s="123" t="n">
        <v>282</v>
      </c>
      <c r="E170" s="123" t="n">
        <v>12</v>
      </c>
    </row>
    <row r="171" customFormat="false" ht="15" hidden="false" customHeight="false" outlineLevel="0" collapsed="false">
      <c r="B171" s="124" t="s">
        <v>249</v>
      </c>
      <c r="C171" s="124" t="s">
        <v>127</v>
      </c>
    </row>
    <row r="172" customFormat="false" ht="15" hidden="false" customHeight="false" outlineLevel="0" collapsed="false">
      <c r="B172" s="124" t="s">
        <v>250</v>
      </c>
      <c r="C172" s="124" t="s">
        <v>127</v>
      </c>
    </row>
    <row r="173" customFormat="false" ht="15" hidden="false" customHeight="false" outlineLevel="0" collapsed="false">
      <c r="A173" s="123" t="n">
        <v>1002920</v>
      </c>
      <c r="B173" s="124" t="s">
        <v>251</v>
      </c>
      <c r="C173" s="124" t="s">
        <v>127</v>
      </c>
    </row>
    <row r="174" customFormat="false" ht="15" hidden="false" customHeight="false" outlineLevel="0" collapsed="false">
      <c r="A174" s="123" t="n">
        <v>630</v>
      </c>
      <c r="B174" s="124" t="s">
        <v>252</v>
      </c>
      <c r="C174" s="124" t="s">
        <v>127</v>
      </c>
    </row>
    <row r="175" customFormat="false" ht="15" hidden="false" customHeight="false" outlineLevel="0" collapsed="false">
      <c r="A175" s="123" t="n">
        <v>556</v>
      </c>
      <c r="B175" s="124" t="s">
        <v>253</v>
      </c>
      <c r="C175" s="124" t="s">
        <v>127</v>
      </c>
    </row>
    <row r="176" customFormat="false" ht="15" hidden="false" customHeight="false" outlineLevel="0" collapsed="false">
      <c r="A176" s="123" t="n">
        <v>1008053</v>
      </c>
      <c r="B176" s="124" t="s">
        <v>254</v>
      </c>
      <c r="C176" s="124" t="s">
        <v>127</v>
      </c>
    </row>
    <row r="177" customFormat="false" ht="15" hidden="false" customHeight="false" outlineLevel="0" collapsed="false">
      <c r="A177" s="123" t="n">
        <v>1008271</v>
      </c>
      <c r="B177" s="124" t="s">
        <v>255</v>
      </c>
      <c r="C177" s="124" t="s">
        <v>127</v>
      </c>
    </row>
    <row r="178" customFormat="false" ht="15" hidden="false" customHeight="false" outlineLevel="0" collapsed="false">
      <c r="A178" s="123" t="n">
        <v>580</v>
      </c>
      <c r="B178" s="124" t="s">
        <v>256</v>
      </c>
      <c r="C178" s="124" t="s">
        <v>127</v>
      </c>
    </row>
    <row r="179" customFormat="false" ht="15" hidden="false" customHeight="false" outlineLevel="0" collapsed="false">
      <c r="A179" s="123" t="n">
        <v>1002926</v>
      </c>
      <c r="B179" s="124" t="s">
        <v>257</v>
      </c>
      <c r="C179" s="124" t="s">
        <v>127</v>
      </c>
    </row>
    <row r="180" customFormat="false" ht="15" hidden="false" customHeight="false" outlineLevel="0" collapsed="false">
      <c r="A180" s="123" t="n">
        <v>1002915</v>
      </c>
      <c r="B180" s="124" t="s">
        <v>258</v>
      </c>
      <c r="C180" s="124" t="s">
        <v>127</v>
      </c>
      <c r="D180" s="123" t="n">
        <v>36</v>
      </c>
      <c r="E180" s="123" t="n">
        <v>6</v>
      </c>
    </row>
    <row r="181" customFormat="false" ht="15" hidden="false" customHeight="false" outlineLevel="0" collapsed="false">
      <c r="A181" s="123" t="n">
        <v>943</v>
      </c>
      <c r="B181" s="124" t="s">
        <v>259</v>
      </c>
      <c r="C181" s="124" t="s">
        <v>127</v>
      </c>
      <c r="D181" s="123" t="n">
        <v>73</v>
      </c>
    </row>
    <row r="182" customFormat="false" ht="15" hidden="false" customHeight="false" outlineLevel="0" collapsed="false">
      <c r="A182" s="123" t="n">
        <v>555</v>
      </c>
      <c r="B182" s="124" t="s">
        <v>260</v>
      </c>
      <c r="C182" s="124" t="s">
        <v>127</v>
      </c>
      <c r="D182" s="123" t="n">
        <v>52</v>
      </c>
      <c r="E182" s="123" t="n">
        <v>10</v>
      </c>
    </row>
    <row r="183" customFormat="false" ht="15" hidden="false" customHeight="false" outlineLevel="0" collapsed="false">
      <c r="A183" s="123" t="n">
        <v>545</v>
      </c>
      <c r="B183" s="124" t="s">
        <v>261</v>
      </c>
      <c r="C183" s="124" t="s">
        <v>127</v>
      </c>
      <c r="D183" s="123" t="n">
        <v>4</v>
      </c>
      <c r="E183" s="123" t="n">
        <v>5</v>
      </c>
    </row>
    <row r="184" customFormat="false" ht="15" hidden="false" customHeight="false" outlineLevel="0" collapsed="false">
      <c r="A184" s="123" t="n">
        <v>546</v>
      </c>
      <c r="B184" s="124" t="s">
        <v>262</v>
      </c>
      <c r="C184" s="124" t="s">
        <v>127</v>
      </c>
    </row>
    <row r="185" customFormat="false" ht="15" hidden="false" customHeight="false" outlineLevel="0" collapsed="false">
      <c r="A185" s="123" t="n">
        <v>652</v>
      </c>
      <c r="B185" s="124" t="s">
        <v>263</v>
      </c>
      <c r="C185" s="124" t="s">
        <v>127</v>
      </c>
    </row>
    <row r="186" customFormat="false" ht="15" hidden="false" customHeight="false" outlineLevel="0" collapsed="false">
      <c r="A186" s="123" t="n">
        <v>653</v>
      </c>
      <c r="B186" s="124" t="s">
        <v>264</v>
      </c>
      <c r="C186" s="124" t="s">
        <v>127</v>
      </c>
      <c r="D186" s="123" t="n">
        <v>27</v>
      </c>
    </row>
    <row r="187" customFormat="false" ht="15" hidden="false" customHeight="false" outlineLevel="0" collapsed="false">
      <c r="A187" s="123" t="n">
        <v>659</v>
      </c>
      <c r="B187" s="124" t="s">
        <v>265</v>
      </c>
      <c r="C187" s="124" t="s">
        <v>127</v>
      </c>
    </row>
    <row r="188" customFormat="false" ht="15" hidden="false" customHeight="false" outlineLevel="0" collapsed="false">
      <c r="A188" s="123" t="n">
        <v>654</v>
      </c>
      <c r="B188" s="124" t="s">
        <v>266</v>
      </c>
      <c r="C188" s="124" t="s">
        <v>127</v>
      </c>
    </row>
    <row r="189" customFormat="false" ht="15" hidden="false" customHeight="false" outlineLevel="0" collapsed="false">
      <c r="A189" s="123" t="n">
        <v>668</v>
      </c>
      <c r="B189" s="124" t="s">
        <v>267</v>
      </c>
      <c r="C189" s="124" t="s">
        <v>127</v>
      </c>
    </row>
    <row r="190" customFormat="false" ht="15" hidden="false" customHeight="false" outlineLevel="0" collapsed="false">
      <c r="A190" s="123" t="n">
        <v>681</v>
      </c>
      <c r="B190" s="124" t="s">
        <v>268</v>
      </c>
      <c r="C190" s="124" t="s">
        <v>127</v>
      </c>
      <c r="D190" s="123" t="n">
        <v>30</v>
      </c>
    </row>
    <row r="191" customFormat="false" ht="15" hidden="false" customHeight="false" outlineLevel="0" collapsed="false">
      <c r="A191" s="123" t="n">
        <v>1002892</v>
      </c>
      <c r="B191" s="124" t="s">
        <v>269</v>
      </c>
      <c r="C191" s="124" t="s">
        <v>127</v>
      </c>
      <c r="D191" s="123" t="n">
        <v>8</v>
      </c>
    </row>
    <row r="192" customFormat="false" ht="15" hidden="false" customHeight="false" outlineLevel="0" collapsed="false">
      <c r="A192" s="123" t="n">
        <v>1002886</v>
      </c>
      <c r="B192" s="124" t="s">
        <v>270</v>
      </c>
      <c r="C192" s="124" t="s">
        <v>127</v>
      </c>
    </row>
    <row r="193" customFormat="false" ht="15" hidden="false" customHeight="false" outlineLevel="0" collapsed="false">
      <c r="A193" s="123" t="n">
        <v>1006467</v>
      </c>
      <c r="B193" s="124" t="s">
        <v>271</v>
      </c>
      <c r="C193" s="124" t="s">
        <v>127</v>
      </c>
    </row>
    <row r="194" customFormat="false" ht="15" hidden="false" customHeight="false" outlineLevel="0" collapsed="false">
      <c r="A194" s="123" t="n">
        <v>1006531</v>
      </c>
      <c r="B194" s="124" t="s">
        <v>272</v>
      </c>
      <c r="C194" s="124" t="s">
        <v>127</v>
      </c>
      <c r="D194" s="123" t="n">
        <v>17</v>
      </c>
      <c r="E194" s="123" t="n">
        <v>10</v>
      </c>
    </row>
    <row r="195" customFormat="false" ht="15" hidden="false" customHeight="false" outlineLevel="0" collapsed="false">
      <c r="A195" s="123" t="n">
        <v>1002948</v>
      </c>
      <c r="B195" s="124" t="s">
        <v>273</v>
      </c>
      <c r="C195" s="124" t="s">
        <v>127</v>
      </c>
    </row>
    <row r="196" customFormat="false" ht="15" hidden="false" customHeight="false" outlineLevel="0" collapsed="false">
      <c r="A196" s="123" t="n">
        <v>1006525</v>
      </c>
      <c r="B196" s="124" t="s">
        <v>274</v>
      </c>
      <c r="C196" s="124" t="s">
        <v>127</v>
      </c>
    </row>
    <row r="197" customFormat="false" ht="15" hidden="false" customHeight="false" outlineLevel="0" collapsed="false">
      <c r="A197" s="123" t="n">
        <v>1002861</v>
      </c>
      <c r="B197" s="124" t="s">
        <v>275</v>
      </c>
      <c r="C197" s="124" t="s">
        <v>127</v>
      </c>
      <c r="D197" s="123" t="n">
        <v>218</v>
      </c>
      <c r="E197" s="123" t="n">
        <v>57</v>
      </c>
    </row>
    <row r="198" customFormat="false" ht="15" hidden="false" customHeight="false" outlineLevel="0" collapsed="false">
      <c r="A198" s="123" t="n">
        <v>1006470</v>
      </c>
      <c r="B198" s="124" t="s">
        <v>276</v>
      </c>
      <c r="C198" s="124" t="s">
        <v>127</v>
      </c>
    </row>
    <row r="199" customFormat="false" ht="15" hidden="false" customHeight="false" outlineLevel="0" collapsed="false">
      <c r="A199" s="123" t="n">
        <v>1003</v>
      </c>
      <c r="B199" s="124" t="s">
        <v>277</v>
      </c>
      <c r="C199" s="124" t="s">
        <v>127</v>
      </c>
      <c r="D199" s="123" t="n">
        <v>71</v>
      </c>
    </row>
    <row r="200" customFormat="false" ht="15" hidden="false" customHeight="false" outlineLevel="0" collapsed="false">
      <c r="A200" s="123" t="n">
        <v>1006</v>
      </c>
      <c r="B200" s="124" t="s">
        <v>278</v>
      </c>
      <c r="C200" s="124" t="s">
        <v>127</v>
      </c>
      <c r="D200" s="123" t="n">
        <v>82</v>
      </c>
    </row>
    <row r="201" customFormat="false" ht="15" hidden="false" customHeight="false" outlineLevel="0" collapsed="false">
      <c r="A201" s="123" t="n">
        <v>1048</v>
      </c>
      <c r="B201" s="124" t="s">
        <v>279</v>
      </c>
      <c r="C201" s="124" t="s">
        <v>127</v>
      </c>
      <c r="D201" s="123" t="n">
        <v>50</v>
      </c>
    </row>
    <row r="202" customFormat="false" ht="15" hidden="false" customHeight="false" outlineLevel="0" collapsed="false">
      <c r="A202" s="123" t="n">
        <v>993</v>
      </c>
      <c r="B202" s="124" t="s">
        <v>280</v>
      </c>
      <c r="C202" s="124" t="s">
        <v>127</v>
      </c>
    </row>
    <row r="203" customFormat="false" ht="15" hidden="false" customHeight="false" outlineLevel="0" collapsed="false">
      <c r="A203" s="123" t="n">
        <v>1002921</v>
      </c>
      <c r="B203" s="124" t="s">
        <v>281</v>
      </c>
      <c r="C203" s="124" t="s">
        <v>127</v>
      </c>
    </row>
    <row r="204" customFormat="false" ht="15" hidden="false" customHeight="false" outlineLevel="0" collapsed="false">
      <c r="A204" s="123" t="n">
        <v>1006469</v>
      </c>
      <c r="B204" s="124" t="s">
        <v>282</v>
      </c>
      <c r="C204" s="124" t="s">
        <v>127</v>
      </c>
    </row>
    <row r="205" customFormat="false" ht="15" hidden="false" customHeight="false" outlineLevel="0" collapsed="false">
      <c r="A205" s="123" t="n">
        <v>1002856</v>
      </c>
      <c r="B205" s="124" t="s">
        <v>283</v>
      </c>
      <c r="C205" s="124" t="s">
        <v>127</v>
      </c>
    </row>
    <row r="206" customFormat="false" ht="15" hidden="false" customHeight="false" outlineLevel="0" collapsed="false">
      <c r="A206" s="123" t="n">
        <v>860</v>
      </c>
      <c r="B206" s="124" t="s">
        <v>284</v>
      </c>
      <c r="C206" s="124" t="s">
        <v>127</v>
      </c>
    </row>
    <row r="207" customFormat="false" ht="15" hidden="false" customHeight="false" outlineLevel="0" collapsed="false">
      <c r="A207" s="123" t="n">
        <v>1007961</v>
      </c>
      <c r="B207" s="124" t="s">
        <v>285</v>
      </c>
      <c r="C207" s="124" t="s">
        <v>286</v>
      </c>
    </row>
    <row r="208" customFormat="false" ht="15" hidden="false" customHeight="false" outlineLevel="0" collapsed="false">
      <c r="A208" s="123" t="n">
        <v>1007962</v>
      </c>
      <c r="B208" s="124" t="s">
        <v>287</v>
      </c>
      <c r="C208" s="124" t="s">
        <v>286</v>
      </c>
    </row>
    <row r="209" customFormat="false" ht="15" hidden="false" customHeight="false" outlineLevel="0" collapsed="false">
      <c r="A209" s="123" t="n">
        <v>1007963</v>
      </c>
      <c r="B209" s="124" t="s">
        <v>288</v>
      </c>
      <c r="C209" s="124" t="s">
        <v>286</v>
      </c>
    </row>
    <row r="210" customFormat="false" ht="15" hidden="false" customHeight="false" outlineLevel="0" collapsed="false">
      <c r="A210" s="123" t="n">
        <v>1007964</v>
      </c>
      <c r="B210" s="124" t="s">
        <v>289</v>
      </c>
      <c r="C210" s="124" t="s">
        <v>286</v>
      </c>
    </row>
    <row r="211" customFormat="false" ht="15" hidden="false" customHeight="false" outlineLevel="0" collapsed="false">
      <c r="A211" s="123" t="n">
        <v>1007965</v>
      </c>
      <c r="B211" s="124" t="s">
        <v>290</v>
      </c>
      <c r="C211" s="124" t="s">
        <v>286</v>
      </c>
      <c r="D211" s="123" t="n">
        <v>12</v>
      </c>
      <c r="E211" s="123" t="n">
        <v>12</v>
      </c>
    </row>
    <row r="212" customFormat="false" ht="15" hidden="false" customHeight="false" outlineLevel="0" collapsed="false">
      <c r="A212" s="123" t="n">
        <v>1007966</v>
      </c>
      <c r="B212" s="124" t="s">
        <v>291</v>
      </c>
      <c r="C212" s="124" t="s">
        <v>286</v>
      </c>
    </row>
    <row r="213" customFormat="false" ht="15" hidden="false" customHeight="false" outlineLevel="0" collapsed="false">
      <c r="A213" s="123" t="n">
        <v>1008040</v>
      </c>
      <c r="B213" s="124" t="s">
        <v>292</v>
      </c>
      <c r="C213" s="124" t="s">
        <v>286</v>
      </c>
    </row>
    <row r="214" customFormat="false" ht="15" hidden="false" customHeight="false" outlineLevel="0" collapsed="false">
      <c r="A214" s="123" t="n">
        <v>1008020</v>
      </c>
      <c r="B214" s="124" t="s">
        <v>293</v>
      </c>
      <c r="C214" s="124" t="s">
        <v>286</v>
      </c>
    </row>
    <row r="215" customFormat="false" ht="15" hidden="false" customHeight="false" outlineLevel="0" collapsed="false">
      <c r="A215" s="123" t="n">
        <v>1008021</v>
      </c>
      <c r="B215" s="124" t="s">
        <v>294</v>
      </c>
      <c r="C215" s="124" t="s">
        <v>286</v>
      </c>
    </row>
    <row r="216" customFormat="false" ht="15" hidden="false" customHeight="false" outlineLevel="0" collapsed="false">
      <c r="A216" s="123" t="n">
        <v>1007996</v>
      </c>
      <c r="B216" s="124" t="s">
        <v>295</v>
      </c>
      <c r="C216" s="124" t="s">
        <v>286</v>
      </c>
      <c r="D216" s="123" t="n">
        <v>46</v>
      </c>
      <c r="E216" s="123" t="n">
        <v>21</v>
      </c>
    </row>
    <row r="217" customFormat="false" ht="15" hidden="false" customHeight="false" outlineLevel="0" collapsed="false">
      <c r="A217" s="123" t="n">
        <v>1007997</v>
      </c>
      <c r="B217" s="124" t="s">
        <v>296</v>
      </c>
      <c r="C217" s="124" t="s">
        <v>286</v>
      </c>
    </row>
    <row r="218" customFormat="false" ht="15" hidden="false" customHeight="false" outlineLevel="0" collapsed="false">
      <c r="A218" s="123" t="n">
        <v>1008029</v>
      </c>
      <c r="B218" s="124" t="s">
        <v>297</v>
      </c>
      <c r="C218" s="124" t="s">
        <v>286</v>
      </c>
    </row>
    <row r="219" customFormat="false" ht="15" hidden="false" customHeight="false" outlineLevel="0" collapsed="false">
      <c r="A219" s="123" t="n">
        <v>1008030</v>
      </c>
      <c r="B219" s="124" t="s">
        <v>298</v>
      </c>
      <c r="C219" s="124" t="s">
        <v>286</v>
      </c>
      <c r="D219" s="123" t="n">
        <v>457</v>
      </c>
      <c r="E219" s="123" t="n">
        <v>36</v>
      </c>
    </row>
    <row r="220" customFormat="false" ht="15" hidden="false" customHeight="false" outlineLevel="0" collapsed="false">
      <c r="A220" s="123" t="n">
        <v>1008031</v>
      </c>
      <c r="B220" s="124" t="s">
        <v>299</v>
      </c>
      <c r="C220" s="124" t="s">
        <v>286</v>
      </c>
      <c r="D220" s="123" t="n">
        <v>6</v>
      </c>
    </row>
    <row r="221" customFormat="false" ht="15" hidden="false" customHeight="false" outlineLevel="0" collapsed="false">
      <c r="A221" s="123" t="n">
        <v>1008005</v>
      </c>
      <c r="B221" s="124" t="s">
        <v>300</v>
      </c>
      <c r="C221" s="124" t="s">
        <v>301</v>
      </c>
      <c r="D221" s="123" t="n">
        <v>2</v>
      </c>
    </row>
    <row r="222" customFormat="false" ht="15" hidden="false" customHeight="false" outlineLevel="0" collapsed="false">
      <c r="A222" s="123" t="n">
        <v>1008006</v>
      </c>
      <c r="B222" s="124" t="s">
        <v>302</v>
      </c>
      <c r="C222" s="124" t="s">
        <v>301</v>
      </c>
    </row>
    <row r="223" customFormat="false" ht="15" hidden="false" customHeight="false" outlineLevel="0" collapsed="false">
      <c r="A223" s="123" t="n">
        <v>1008007</v>
      </c>
      <c r="B223" s="124" t="s">
        <v>303</v>
      </c>
      <c r="C223" s="124" t="s">
        <v>301</v>
      </c>
    </row>
    <row r="224" customFormat="false" ht="15" hidden="false" customHeight="false" outlineLevel="0" collapsed="false">
      <c r="A224" s="123" t="n">
        <v>1008008</v>
      </c>
      <c r="B224" s="124" t="s">
        <v>304</v>
      </c>
      <c r="C224" s="124" t="s">
        <v>301</v>
      </c>
    </row>
    <row r="225" customFormat="false" ht="15" hidden="false" customHeight="false" outlineLevel="0" collapsed="false">
      <c r="A225" s="123" t="n">
        <v>1008009</v>
      </c>
      <c r="B225" s="124" t="s">
        <v>305</v>
      </c>
      <c r="C225" s="124" t="s">
        <v>301</v>
      </c>
    </row>
    <row r="226" customFormat="false" ht="15" hidden="false" customHeight="false" outlineLevel="0" collapsed="false">
      <c r="A226" s="123" t="n">
        <v>1008035</v>
      </c>
      <c r="B226" s="124" t="s">
        <v>306</v>
      </c>
      <c r="C226" s="124" t="s">
        <v>301</v>
      </c>
    </row>
    <row r="227" customFormat="false" ht="15" hidden="false" customHeight="false" outlineLevel="0" collapsed="false">
      <c r="A227" s="123" t="n">
        <v>1007967</v>
      </c>
      <c r="B227" s="124" t="s">
        <v>307</v>
      </c>
      <c r="C227" s="124" t="s">
        <v>301</v>
      </c>
    </row>
    <row r="228" customFormat="false" ht="15" hidden="false" customHeight="false" outlineLevel="0" collapsed="false">
      <c r="A228" s="123" t="n">
        <v>1007968</v>
      </c>
      <c r="B228" s="124" t="s">
        <v>308</v>
      </c>
      <c r="C228" s="124" t="s">
        <v>301</v>
      </c>
    </row>
    <row r="229" customFormat="false" ht="15" hidden="false" customHeight="false" outlineLevel="0" collapsed="false">
      <c r="A229" s="123" t="n">
        <v>1007969</v>
      </c>
      <c r="B229" s="124" t="s">
        <v>309</v>
      </c>
      <c r="C229" s="124" t="s">
        <v>301</v>
      </c>
    </row>
    <row r="230" customFormat="false" ht="15" hidden="false" customHeight="false" outlineLevel="0" collapsed="false">
      <c r="A230" s="123" t="n">
        <v>1007970</v>
      </c>
      <c r="B230" s="124" t="s">
        <v>310</v>
      </c>
      <c r="C230" s="124" t="s">
        <v>301</v>
      </c>
      <c r="D230" s="123" t="n">
        <v>183</v>
      </c>
      <c r="E230" s="123" t="n">
        <v>7</v>
      </c>
    </row>
    <row r="231" customFormat="false" ht="15" hidden="false" customHeight="false" outlineLevel="0" collapsed="false">
      <c r="A231" s="123" t="n">
        <v>1007998</v>
      </c>
      <c r="B231" s="124" t="s">
        <v>311</v>
      </c>
      <c r="C231" s="124" t="s">
        <v>301</v>
      </c>
      <c r="D231" s="123" t="n">
        <v>10</v>
      </c>
    </row>
    <row r="232" customFormat="false" ht="15" hidden="false" customHeight="false" outlineLevel="0" collapsed="false">
      <c r="A232" s="123" t="n">
        <v>1007999</v>
      </c>
      <c r="B232" s="124" t="s">
        <v>312</v>
      </c>
      <c r="C232" s="124" t="s">
        <v>301</v>
      </c>
      <c r="D232" s="123" t="n">
        <v>33</v>
      </c>
      <c r="E232" s="123" t="n">
        <v>23</v>
      </c>
    </row>
    <row r="233" customFormat="false" ht="15" hidden="false" customHeight="false" outlineLevel="0" collapsed="false">
      <c r="A233" s="123" t="n">
        <v>1008000</v>
      </c>
      <c r="B233" s="124" t="s">
        <v>313</v>
      </c>
      <c r="C233" s="124" t="s">
        <v>301</v>
      </c>
    </row>
    <row r="234" customFormat="false" ht="15" hidden="false" customHeight="false" outlineLevel="0" collapsed="false">
      <c r="A234" s="123" t="n">
        <v>1008001</v>
      </c>
      <c r="B234" s="124" t="s">
        <v>314</v>
      </c>
      <c r="C234" s="124" t="s">
        <v>301</v>
      </c>
    </row>
    <row r="235" customFormat="false" ht="15" hidden="false" customHeight="false" outlineLevel="0" collapsed="false">
      <c r="A235" s="123" t="n">
        <v>1008003</v>
      </c>
      <c r="B235" s="124" t="s">
        <v>315</v>
      </c>
      <c r="C235" s="124" t="s">
        <v>301</v>
      </c>
    </row>
    <row r="236" customFormat="false" ht="15" hidden="false" customHeight="false" outlineLevel="0" collapsed="false">
      <c r="A236" s="123" t="n">
        <v>1008004</v>
      </c>
      <c r="B236" s="124" t="s">
        <v>316</v>
      </c>
      <c r="C236" s="124" t="s">
        <v>301</v>
      </c>
      <c r="D236" s="123" t="n">
        <v>15</v>
      </c>
      <c r="E236" s="123" t="n">
        <v>16</v>
      </c>
    </row>
    <row r="237" customFormat="false" ht="15" hidden="false" customHeight="false" outlineLevel="0" collapsed="false">
      <c r="A237" s="123" t="n">
        <v>1006522</v>
      </c>
      <c r="B237" s="124" t="s">
        <v>317</v>
      </c>
      <c r="C237" s="124" t="s">
        <v>224</v>
      </c>
      <c r="D237" s="123" t="n">
        <v>58</v>
      </c>
      <c r="E237" s="123" t="n">
        <v>209</v>
      </c>
    </row>
    <row r="238" customFormat="false" ht="15" hidden="false" customHeight="false" outlineLevel="0" collapsed="false">
      <c r="A238" s="123" t="n">
        <v>1008010</v>
      </c>
      <c r="B238" s="124" t="s">
        <v>318</v>
      </c>
      <c r="C238" s="124" t="s">
        <v>224</v>
      </c>
    </row>
    <row r="239" customFormat="false" ht="15" hidden="false" customHeight="false" outlineLevel="0" collapsed="false">
      <c r="A239" s="123" t="n">
        <v>786</v>
      </c>
      <c r="B239" s="124" t="s">
        <v>319</v>
      </c>
      <c r="C239" s="124" t="s">
        <v>224</v>
      </c>
    </row>
    <row r="240" customFormat="false" ht="15" hidden="false" customHeight="false" outlineLevel="0" collapsed="false">
      <c r="A240" s="123" t="n">
        <v>1008012</v>
      </c>
      <c r="B240" s="124" t="s">
        <v>320</v>
      </c>
      <c r="C240" s="124" t="s">
        <v>224</v>
      </c>
    </row>
    <row r="241" customFormat="false" ht="15" hidden="false" customHeight="false" outlineLevel="0" collapsed="false">
      <c r="A241" s="123" t="n">
        <v>1008013</v>
      </c>
      <c r="B241" s="124" t="s">
        <v>321</v>
      </c>
      <c r="C241" s="124" t="s">
        <v>224</v>
      </c>
    </row>
    <row r="242" customFormat="false" ht="15" hidden="false" customHeight="false" outlineLevel="0" collapsed="false">
      <c r="A242" s="123" t="n">
        <v>1008014</v>
      </c>
      <c r="B242" s="124" t="s">
        <v>322</v>
      </c>
      <c r="C242" s="124" t="s">
        <v>224</v>
      </c>
      <c r="D242" s="123" t="n">
        <v>52</v>
      </c>
    </row>
    <row r="243" customFormat="false" ht="15" hidden="false" customHeight="false" outlineLevel="0" collapsed="false">
      <c r="A243" s="123" t="n">
        <v>1008015</v>
      </c>
      <c r="B243" s="124" t="s">
        <v>323</v>
      </c>
      <c r="C243" s="124" t="s">
        <v>224</v>
      </c>
    </row>
    <row r="244" customFormat="false" ht="15" hidden="false" customHeight="false" outlineLevel="0" collapsed="false">
      <c r="A244" s="123" t="n">
        <v>1008016</v>
      </c>
      <c r="B244" s="124" t="s">
        <v>324</v>
      </c>
      <c r="C244" s="124" t="s">
        <v>224</v>
      </c>
    </row>
    <row r="245" customFormat="false" ht="15" hidden="false" customHeight="false" outlineLevel="0" collapsed="false">
      <c r="A245" s="123" t="n">
        <v>1008017</v>
      </c>
      <c r="B245" s="124" t="s">
        <v>325</v>
      </c>
      <c r="C245" s="124" t="s">
        <v>224</v>
      </c>
      <c r="D245" s="123" t="n">
        <v>155</v>
      </c>
      <c r="E245" s="123" t="n">
        <v>25</v>
      </c>
    </row>
    <row r="246" customFormat="false" ht="15" hidden="false" customHeight="false" outlineLevel="0" collapsed="false">
      <c r="A246" s="123" t="n">
        <v>1008018</v>
      </c>
      <c r="B246" s="124" t="s">
        <v>326</v>
      </c>
      <c r="C246" s="124" t="s">
        <v>224</v>
      </c>
    </row>
    <row r="247" customFormat="false" ht="15" hidden="false" customHeight="false" outlineLevel="0" collapsed="false">
      <c r="A247" s="123" t="n">
        <v>1008019</v>
      </c>
      <c r="B247" s="124" t="s">
        <v>327</v>
      </c>
      <c r="C247" s="124" t="s">
        <v>224</v>
      </c>
      <c r="D247" s="123" t="n">
        <v>33</v>
      </c>
      <c r="E247" s="123" t="n">
        <v>7</v>
      </c>
    </row>
    <row r="248" customFormat="false" ht="15" hidden="false" customHeight="false" outlineLevel="0" collapsed="false">
      <c r="A248" s="123" t="n">
        <v>1008041</v>
      </c>
      <c r="B248" s="124" t="s">
        <v>328</v>
      </c>
      <c r="C248" s="124" t="s">
        <v>224</v>
      </c>
    </row>
    <row r="249" customFormat="false" ht="15" hidden="false" customHeight="false" outlineLevel="0" collapsed="false">
      <c r="A249" s="123" t="n">
        <v>1008042</v>
      </c>
      <c r="B249" s="124" t="s">
        <v>329</v>
      </c>
      <c r="C249" s="124" t="s">
        <v>224</v>
      </c>
    </row>
    <row r="250" customFormat="false" ht="15" hidden="false" customHeight="false" outlineLevel="0" collapsed="false">
      <c r="A250" s="125" t="s">
        <v>330</v>
      </c>
      <c r="D250" s="126" t="n">
        <v>16517</v>
      </c>
      <c r="E250" s="126" t="n">
        <v>4121</v>
      </c>
    </row>
  </sheetData>
  <autoFilter ref="A1:E2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6796875" defaultRowHeight="15" zeroHeight="false" outlineLevelRow="0" outlineLevelCol="0"/>
  <cols>
    <col collapsed="false" customWidth="true" hidden="false" outlineLevel="0" max="1" min="1" style="127" width="35.24"/>
    <col collapsed="false" customWidth="true" hidden="false" outlineLevel="0" max="2" min="2" style="128" width="10.62"/>
    <col collapsed="false" customWidth="true" hidden="false" outlineLevel="0" max="7" min="4" style="127" width="8.61"/>
  </cols>
  <sheetData>
    <row r="1" customFormat="false" ht="19.5" hidden="false" customHeight="true" outlineLevel="0" collapsed="false">
      <c r="A1" s="129" t="s">
        <v>331</v>
      </c>
      <c r="B1" s="129"/>
    </row>
    <row r="2" customFormat="false" ht="15" hidden="false" customHeight="true" outlineLevel="0" collapsed="false">
      <c r="B2" s="130" t="str">
        <f aca="true">TEXT(TODAY(), "yyyy-mm-dd")</f>
        <v>2026-10-26</v>
      </c>
      <c r="C2" s="130"/>
    </row>
    <row r="3" customFormat="false" ht="17.25" hidden="false" customHeight="true" outlineLevel="0" collapsed="false">
      <c r="A3" s="131" t="s">
        <v>332</v>
      </c>
      <c r="B3" s="132" t="n">
        <v>10</v>
      </c>
      <c r="C3" s="133" t="s">
        <v>36</v>
      </c>
    </row>
    <row r="4" customFormat="false" ht="17.25" hidden="false" customHeight="true" outlineLevel="0" collapsed="false">
      <c r="A4" s="131" t="s">
        <v>333</v>
      </c>
      <c r="B4" s="132" t="n">
        <f aca="false">Data!AC291</f>
        <v>135</v>
      </c>
      <c r="C4" s="134" t="n">
        <f aca="false">Data!U445</f>
        <v>0.526690016590735</v>
      </c>
    </row>
    <row r="5" customFormat="false" ht="17.25" hidden="false" customHeight="true" outlineLevel="0" collapsed="false">
      <c r="A5" s="131" t="s">
        <v>334</v>
      </c>
      <c r="B5" s="132"/>
      <c r="C5" s="133" t="s">
        <v>37</v>
      </c>
    </row>
    <row r="6" customFormat="false" ht="17.25" hidden="false" customHeight="true" outlineLevel="0" collapsed="false">
      <c r="A6" s="131" t="s">
        <v>335</v>
      </c>
      <c r="B6" s="132" t="n">
        <f aca="false">Data!V291</f>
        <v>0</v>
      </c>
      <c r="C6" s="134" t="n">
        <f aca="false">Data!V445</f>
        <v>0</v>
      </c>
    </row>
    <row r="7" customFormat="false" ht="17.25" hidden="false" customHeight="true" outlineLevel="0" collapsed="false">
      <c r="A7" s="131" t="s">
        <v>336</v>
      </c>
      <c r="B7" s="132" t="n">
        <v>3</v>
      </c>
      <c r="C7" s="133" t="s">
        <v>38</v>
      </c>
    </row>
    <row r="8" customFormat="false" ht="17.25" hidden="false" customHeight="true" outlineLevel="0" collapsed="false">
      <c r="A8" s="131" t="s">
        <v>337</v>
      </c>
      <c r="B8" s="132" t="n">
        <v>15</v>
      </c>
      <c r="C8" s="134" t="n">
        <f aca="false">Data!W445</f>
        <v>0.103119920326293</v>
      </c>
    </row>
    <row r="9" customFormat="false" ht="17.25" hidden="false" customHeight="true" outlineLevel="0" collapsed="false">
      <c r="A9" s="135" t="s">
        <v>338</v>
      </c>
      <c r="B9" s="136" t="n">
        <v>3079</v>
      </c>
      <c r="C9" s="137" t="s">
        <v>39</v>
      </c>
    </row>
    <row r="10" customFormat="false" ht="17.25" hidden="false" customHeight="true" outlineLevel="0" collapsed="false">
      <c r="A10" s="138" t="s">
        <v>339</v>
      </c>
      <c r="B10" s="139" t="n">
        <f aca="false">Data!AF436</f>
        <v>20</v>
      </c>
      <c r="C10" s="134" t="n">
        <f aca="false">Data!Z445</f>
        <v>0.154336617809481</v>
      </c>
    </row>
    <row r="11" customFormat="false" ht="17.25" hidden="false" customHeight="true" outlineLevel="0" collapsed="false">
      <c r="A11" s="138" t="s">
        <v>340</v>
      </c>
      <c r="B11" s="140" t="n">
        <v>75</v>
      </c>
      <c r="C11" s="134" t="n">
        <f aca="false">B11/88</f>
        <v>0.852272727272727</v>
      </c>
    </row>
    <row r="12" customFormat="false" ht="15" hidden="false" customHeight="true" outlineLevel="0" collapsed="false">
      <c r="A12" s="141" t="s">
        <v>341</v>
      </c>
      <c r="B12" s="141"/>
      <c r="C12" s="141"/>
    </row>
    <row r="13" customFormat="false" ht="15" hidden="false" customHeight="true" outlineLevel="0" collapsed="false">
      <c r="A13" s="142" t="n">
        <f aca="false">Data!AF442</f>
        <v>0.295511925679532</v>
      </c>
      <c r="B13" s="142"/>
      <c r="C13" s="142"/>
    </row>
    <row r="14" customFormat="false" ht="15" hidden="true" customHeight="true" outlineLevel="0" collapsed="false">
      <c r="A14" s="143" t="s">
        <v>342</v>
      </c>
      <c r="B14" s="143"/>
      <c r="C14" s="144"/>
    </row>
    <row r="15" customFormat="false" ht="15" hidden="true" customHeight="true" outlineLevel="0" collapsed="false">
      <c r="A15" s="142" t="n">
        <f aca="false">Target!T34</f>
        <v>1.20642146377996</v>
      </c>
      <c r="B15" s="142"/>
      <c r="C15" s="142"/>
    </row>
    <row r="16" customFormat="false" ht="15" hidden="true" customHeight="true" outlineLevel="0" collapsed="false">
      <c r="A16" s="143" t="s">
        <v>343</v>
      </c>
      <c r="B16" s="143"/>
      <c r="C16" s="144"/>
    </row>
    <row r="17" customFormat="false" ht="15" hidden="true" customHeight="true" outlineLevel="0" collapsed="false">
      <c r="A17" s="142" t="n">
        <f aca="false">Target!T38</f>
        <v>0.755409528253844</v>
      </c>
      <c r="B17" s="142"/>
      <c r="C17" s="142"/>
    </row>
    <row r="18" customFormat="false" ht="15" hidden="true" customHeight="true" outlineLevel="0" collapsed="false">
      <c r="A18" s="143" t="s">
        <v>344</v>
      </c>
      <c r="B18" s="143"/>
      <c r="C18" s="144"/>
    </row>
    <row r="19" customFormat="false" ht="15" hidden="true" customHeight="true" outlineLevel="0" collapsed="false">
      <c r="A19" s="142" t="n">
        <f aca="false">Target!T51</f>
        <v>1.01358256972458</v>
      </c>
      <c r="B19" s="142"/>
      <c r="C19" s="142"/>
    </row>
    <row r="20" customFormat="false" ht="15" hidden="true" customHeight="true" outlineLevel="0" collapsed="false">
      <c r="A20" s="143" t="s">
        <v>345</v>
      </c>
      <c r="B20" s="143"/>
      <c r="C20" s="144"/>
    </row>
    <row r="21" customFormat="false" ht="15" hidden="true" customHeight="true" outlineLevel="0" collapsed="false">
      <c r="A21" s="142" t="n">
        <f aca="false">Target!T42</f>
        <v>0.967846570685209</v>
      </c>
      <c r="B21" s="142"/>
      <c r="C21" s="142"/>
    </row>
    <row r="22" customFormat="false" ht="15" hidden="true" customHeight="true" outlineLevel="0" collapsed="false">
      <c r="A22" s="143" t="s">
        <v>346</v>
      </c>
      <c r="B22" s="143"/>
      <c r="C22" s="144"/>
    </row>
    <row r="23" customFormat="false" ht="15" hidden="true" customHeight="true" outlineLevel="0" collapsed="false">
      <c r="A23" s="142" t="n">
        <f aca="false">Target!T46</f>
        <v>0.105073991422924</v>
      </c>
      <c r="B23" s="142"/>
      <c r="C23" s="142"/>
    </row>
    <row r="24" customFormat="false" ht="15" hidden="true" customHeight="true" outlineLevel="0" collapsed="false">
      <c r="A24" s="143" t="s">
        <v>347</v>
      </c>
      <c r="B24" s="143"/>
      <c r="C24" s="144"/>
    </row>
    <row r="25" customFormat="false" ht="15" hidden="true" customHeight="true" outlineLevel="0" collapsed="false">
      <c r="A25" s="142" t="n">
        <f aca="false">Target!T55</f>
        <v>0.550382293128526</v>
      </c>
      <c r="B25" s="142"/>
      <c r="C25" s="142"/>
    </row>
    <row r="26" customFormat="false" ht="15" hidden="true" customHeight="true" outlineLevel="0" collapsed="false">
      <c r="A26" s="143" t="s">
        <v>348</v>
      </c>
      <c r="B26" s="143"/>
      <c r="C26" s="144"/>
    </row>
    <row r="27" customFormat="false" ht="15" hidden="true" customHeight="true" outlineLevel="0" collapsed="false">
      <c r="A27" s="142" t="n">
        <f aca="false">Target!S29</f>
        <v>0.748172852701185</v>
      </c>
      <c r="B27" s="142"/>
      <c r="C27" s="142"/>
    </row>
    <row r="28" customFormat="false" ht="15" hidden="false" customHeight="true" outlineLevel="0" collapsed="false">
      <c r="B28" s="127"/>
    </row>
    <row r="29" customFormat="false" ht="15" hidden="false" customHeight="true" outlineLevel="0" collapsed="false">
      <c r="B29" s="127"/>
    </row>
    <row r="30" customFormat="false" ht="15" hidden="false" customHeight="true" outlineLevel="0" collapsed="false">
      <c r="B30" s="127"/>
    </row>
    <row r="31" customFormat="false" ht="15" hidden="false" customHeight="true" outlineLevel="0" collapsed="false">
      <c r="B31" s="127"/>
    </row>
    <row r="32" customFormat="false" ht="15" hidden="false" customHeight="true" outlineLevel="0" collapsed="false">
      <c r="B32" s="127"/>
      <c r="D32" s="145"/>
    </row>
    <row r="33" customFormat="false" ht="15" hidden="false" customHeight="true" outlineLevel="0" collapsed="false">
      <c r="B33" s="127"/>
    </row>
  </sheetData>
  <mergeCells count="18">
    <mergeCell ref="A1:B1"/>
    <mergeCell ref="B2:C2"/>
    <mergeCell ref="A12:C12"/>
    <mergeCell ref="A13:C13"/>
    <mergeCell ref="A14:B14"/>
    <mergeCell ref="A15:C15"/>
    <mergeCell ref="A16:B16"/>
    <mergeCell ref="A17:C17"/>
    <mergeCell ref="A18:B18"/>
    <mergeCell ref="A19:C19"/>
    <mergeCell ref="A20:B20"/>
    <mergeCell ref="A21:C21"/>
    <mergeCell ref="A22:B22"/>
    <mergeCell ref="A23:C23"/>
    <mergeCell ref="A24:B24"/>
    <mergeCell ref="A25:C25"/>
    <mergeCell ref="A26:B26"/>
    <mergeCell ref="A27:C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Q3280"/>
  <sheetViews>
    <sheetView showFormulas="false" showGridLines="true" showRowColHeaders="true" showZeros="true" rightToLeft="false" tabSelected="false" showOutlineSymbols="true" defaultGridColor="true" view="normal" topLeftCell="AC1" colorId="64" zoomScale="110" zoomScaleNormal="110" zoomScalePageLayoutView="100" workbookViewId="0">
      <pane xSplit="0" ySplit="1" topLeftCell="AC62" activePane="bottomLeft" state="frozen"/>
      <selection pane="topLeft" activeCell="AC1" activeCellId="0" sqref="AC1"/>
      <selection pane="bottomLeft" activeCell="AG94" activeCellId="0" sqref="AG94"/>
    </sheetView>
  </sheetViews>
  <sheetFormatPr defaultColWidth="8.875" defaultRowHeight="15" zeroHeight="false" outlineLevelRow="0" outlineLevelCol="0"/>
  <cols>
    <col collapsed="false" customWidth="true" hidden="false" outlineLevel="0" max="1" min="1" style="128" width="8.74"/>
    <col collapsed="false" customWidth="true" hidden="false" outlineLevel="0" max="2" min="2" style="127" width="8.74"/>
    <col collapsed="false" customWidth="true" hidden="false" outlineLevel="0" max="3" min="3" style="127" width="9.94"/>
    <col collapsed="false" customWidth="true" hidden="false" outlineLevel="0" max="4" min="4" style="146" width="10.09"/>
    <col collapsed="false" customWidth="true" hidden="false" outlineLevel="0" max="5" min="5" style="147" width="14.13"/>
    <col collapsed="false" customWidth="true" hidden="false" outlineLevel="0" max="6" min="6" style="147" width="12.38"/>
    <col collapsed="false" customWidth="true" hidden="false" outlineLevel="0" max="8" min="8" style="147" width="14.13"/>
    <col collapsed="false" customWidth="true" hidden="false" outlineLevel="0" max="9" min="9" style="147" width="7.53"/>
    <col collapsed="false" customWidth="true" hidden="false" outlineLevel="0" max="10" min="10" style="127" width="8.74"/>
    <col collapsed="false" customWidth="true" hidden="false" outlineLevel="0" max="11" min="11" style="148" width="4.31"/>
    <col collapsed="false" customWidth="true" hidden="false" outlineLevel="0" max="12" min="12" style="149" width="4.02"/>
    <col collapsed="false" customWidth="true" hidden="false" outlineLevel="0" max="13" min="13" style="150" width="4.84"/>
    <col collapsed="false" customWidth="true" hidden="false" outlineLevel="0" max="14" min="14" style="151" width="11.3"/>
    <col collapsed="false" customWidth="true" hidden="false" outlineLevel="0" max="15" min="15" style="152" width="5.65"/>
    <col collapsed="false" customWidth="true" hidden="true" outlineLevel="0" max="16" min="16" style="153" width="3.22"/>
    <col collapsed="false" customWidth="true" hidden="false" outlineLevel="0" max="17" min="17" style="154" width="4.31"/>
    <col collapsed="false" customWidth="true" hidden="false" outlineLevel="0" max="18" min="18" style="155" width="5.11"/>
    <col collapsed="false" customWidth="true" hidden="false" outlineLevel="0" max="19" min="19" style="156" width="7.11"/>
    <col collapsed="false" customWidth="true" hidden="false" outlineLevel="0" max="20" min="20" style="127" width="6.19"/>
    <col collapsed="false" customWidth="true" hidden="false" outlineLevel="0" max="21" min="21" style="127" width="9.94"/>
    <col collapsed="false" customWidth="true" hidden="false" outlineLevel="0" max="22" min="22" style="157" width="8.47"/>
    <col collapsed="false" customWidth="true" hidden="false" outlineLevel="0" max="23" min="23" style="157" width="5.92"/>
    <col collapsed="false" customWidth="true" hidden="false" outlineLevel="0" max="24" min="24" style="157" width="6.32"/>
    <col collapsed="false" customWidth="true" hidden="true" outlineLevel="0" max="25" min="25" style="157" width="4.57"/>
    <col collapsed="false" customWidth="true" hidden="false" outlineLevel="0" max="26" min="26" style="158" width="5.25"/>
    <col collapsed="false" customWidth="true" hidden="false" outlineLevel="0" max="28" min="27" style="158" width="6.32"/>
    <col collapsed="false" customWidth="true" hidden="false" outlineLevel="0" max="29" min="29" style="158" width="8.74"/>
    <col collapsed="false" customWidth="true" hidden="false" outlineLevel="0" max="30" min="30" style="127" width="17.22"/>
    <col collapsed="false" customWidth="true" hidden="false" outlineLevel="0" max="31" min="31" style="159" width="11.97"/>
    <col collapsed="false" customWidth="false" hidden="false" outlineLevel="0" max="32" min="32" style="160" width="8.87"/>
    <col collapsed="false" customWidth="true" hidden="false" outlineLevel="0" max="33" min="33" style="160" width="12.38"/>
    <col collapsed="false" customWidth="true" hidden="false" outlineLevel="0" max="34" min="34" style="160" width="10.62"/>
    <col collapsed="false" customWidth="true" hidden="false" outlineLevel="0" max="35" min="35" style="161" width="15.33"/>
    <col collapsed="false" customWidth="true" hidden="true" outlineLevel="0" max="36" min="36" style="162" width="7.11"/>
    <col collapsed="false" customWidth="true" hidden="true" outlineLevel="0" max="37" min="37" style="162" width="6.19"/>
    <col collapsed="false" customWidth="true" hidden="true" outlineLevel="0" max="39" min="38" style="128" width="6.19"/>
    <col collapsed="false" customWidth="true" hidden="true" outlineLevel="0" max="41" min="40" style="128" width="6.05"/>
    <col collapsed="false" customWidth="true" hidden="true" outlineLevel="0" max="42" min="42" style="128" width="4.7"/>
    <col collapsed="false" customWidth="true" hidden="true" outlineLevel="0" max="43" min="43" style="128" width="6.58"/>
    <col collapsed="false" customWidth="true" hidden="true" outlineLevel="0" max="47" min="44" style="128" width="4.84"/>
    <col collapsed="false" customWidth="true" hidden="true" outlineLevel="0" max="48" min="48" style="128" width="5.11"/>
    <col collapsed="false" customWidth="true" hidden="true" outlineLevel="0" max="55" min="49" style="128" width="4.84"/>
    <col collapsed="false" customWidth="true" hidden="true" outlineLevel="0" max="56" min="56" style="128" width="5.65"/>
    <col collapsed="false" customWidth="true" hidden="true" outlineLevel="0" max="57" min="57" style="128" width="4.84"/>
    <col collapsed="false" customWidth="true" hidden="true" outlineLevel="0" max="58" min="58" style="157" width="5.65"/>
    <col collapsed="false" customWidth="true" hidden="true" outlineLevel="0" max="59" min="59" style="157" width="4.57"/>
    <col collapsed="false" customWidth="true" hidden="true" outlineLevel="0" max="60" min="60" style="128" width="5.38"/>
    <col collapsed="false" customWidth="true" hidden="true" outlineLevel="0" max="73" min="61" style="128" width="5.11"/>
    <col collapsed="false" customWidth="true" hidden="false" outlineLevel="0" max="76" min="74" style="128" width="5.11"/>
    <col collapsed="false" customWidth="true" hidden="false" outlineLevel="0" max="77" min="77" style="128" width="4.31"/>
    <col collapsed="false" customWidth="true" hidden="false" outlineLevel="0" max="78" min="78" style="162" width="5.52"/>
    <col collapsed="false" customWidth="true" hidden="false" outlineLevel="0" max="79" min="79" style="157" width="8.74"/>
    <col collapsed="false" customWidth="true" hidden="false" outlineLevel="0" max="80" min="80" style="157" width="7.26"/>
    <col collapsed="false" customWidth="true" hidden="false" outlineLevel="0" max="81" min="81" style="157" width="6.19"/>
    <col collapsed="false" customWidth="true" hidden="false" outlineLevel="0" max="82" min="82" style="157" width="5.52"/>
    <col collapsed="false" customWidth="false" hidden="false" outlineLevel="0" max="83" min="83" style="157" width="8.87"/>
    <col collapsed="false" customWidth="false" hidden="false" outlineLevel="0" max="95" min="93" style="128" width="8.87"/>
  </cols>
  <sheetData>
    <row r="1" s="87" customFormat="true" ht="15" hidden="false" customHeight="true" outlineLevel="0" collapsed="false">
      <c r="A1" s="163" t="s">
        <v>349</v>
      </c>
      <c r="B1" s="163" t="s">
        <v>350</v>
      </c>
      <c r="C1" s="164" t="s">
        <v>351</v>
      </c>
      <c r="D1" s="164" t="s">
        <v>352</v>
      </c>
      <c r="E1" s="164" t="s">
        <v>353</v>
      </c>
      <c r="F1" s="164" t="s">
        <v>354</v>
      </c>
      <c r="G1" s="165" t="s">
        <v>355</v>
      </c>
      <c r="H1" s="164" t="s">
        <v>356</v>
      </c>
      <c r="I1" s="164" t="s">
        <v>357</v>
      </c>
      <c r="J1" s="164" t="s">
        <v>358</v>
      </c>
      <c r="K1" s="166" t="s">
        <v>359</v>
      </c>
      <c r="L1" s="166" t="s">
        <v>360</v>
      </c>
      <c r="M1" s="166" t="s">
        <v>361</v>
      </c>
      <c r="N1" s="166" t="s">
        <v>362</v>
      </c>
      <c r="O1" s="166" t="s">
        <v>363</v>
      </c>
      <c r="P1" s="166" t="s">
        <v>364</v>
      </c>
      <c r="Q1" s="167" t="s">
        <v>21</v>
      </c>
      <c r="R1" s="167" t="s">
        <v>365</v>
      </c>
      <c r="S1" s="168" t="s">
        <v>366</v>
      </c>
      <c r="T1" s="169" t="s">
        <v>367</v>
      </c>
      <c r="U1" s="170" t="s">
        <v>368</v>
      </c>
      <c r="V1" s="169" t="s">
        <v>37</v>
      </c>
      <c r="W1" s="169" t="s">
        <v>369</v>
      </c>
      <c r="X1" s="171" t="s">
        <v>370</v>
      </c>
      <c r="Y1" s="169" t="s">
        <v>371</v>
      </c>
      <c r="Z1" s="169" t="s">
        <v>372</v>
      </c>
      <c r="AA1" s="169" t="s">
        <v>373</v>
      </c>
      <c r="AB1" s="172" t="s">
        <v>374</v>
      </c>
      <c r="AC1" s="173" t="s">
        <v>375</v>
      </c>
      <c r="AD1" s="174" t="s">
        <v>1</v>
      </c>
      <c r="AE1" s="174" t="s">
        <v>0</v>
      </c>
      <c r="AF1" s="174" t="s">
        <v>376</v>
      </c>
      <c r="AG1" s="174" t="s">
        <v>377</v>
      </c>
      <c r="AH1" s="174" t="s">
        <v>378</v>
      </c>
      <c r="AI1" s="174" t="s">
        <v>379</v>
      </c>
      <c r="AJ1" s="165" t="s">
        <v>72</v>
      </c>
      <c r="AK1" s="165" t="s">
        <v>73</v>
      </c>
      <c r="AL1" s="165" t="s">
        <v>72</v>
      </c>
      <c r="AM1" s="165" t="s">
        <v>73</v>
      </c>
      <c r="AN1" s="165" t="s">
        <v>72</v>
      </c>
      <c r="AO1" s="165" t="s">
        <v>73</v>
      </c>
      <c r="AP1" s="165" t="s">
        <v>72</v>
      </c>
      <c r="AQ1" s="165" t="s">
        <v>73</v>
      </c>
      <c r="AR1" s="165" t="s">
        <v>72</v>
      </c>
      <c r="AS1" s="165" t="s">
        <v>73</v>
      </c>
      <c r="AT1" s="165" t="s">
        <v>380</v>
      </c>
      <c r="AU1" s="165" t="s">
        <v>381</v>
      </c>
      <c r="AV1" s="165" t="s">
        <v>380</v>
      </c>
      <c r="AW1" s="165" t="s">
        <v>381</v>
      </c>
      <c r="AX1" s="165" t="s">
        <v>380</v>
      </c>
      <c r="AY1" s="165" t="s">
        <v>381</v>
      </c>
      <c r="AZ1" s="165" t="s">
        <v>380</v>
      </c>
      <c r="BA1" s="165" t="s">
        <v>381</v>
      </c>
      <c r="BB1" s="165" t="s">
        <v>72</v>
      </c>
      <c r="BC1" s="165" t="s">
        <v>73</v>
      </c>
      <c r="BD1" s="165" t="s">
        <v>72</v>
      </c>
      <c r="BE1" s="165" t="s">
        <v>73</v>
      </c>
      <c r="BF1" s="165" t="s">
        <v>72</v>
      </c>
      <c r="BG1" s="165" t="s">
        <v>73</v>
      </c>
      <c r="BH1" s="165" t="s">
        <v>72</v>
      </c>
      <c r="BI1" s="175" t="s">
        <v>73</v>
      </c>
      <c r="BJ1" s="165" t="s">
        <v>72</v>
      </c>
      <c r="BK1" s="165" t="s">
        <v>73</v>
      </c>
      <c r="BL1" s="165" t="s">
        <v>72</v>
      </c>
      <c r="BM1" s="165" t="s">
        <v>73</v>
      </c>
      <c r="BN1" s="165" t="s">
        <v>72</v>
      </c>
      <c r="BO1" s="165" t="s">
        <v>73</v>
      </c>
      <c r="BP1" s="165" t="s">
        <v>72</v>
      </c>
      <c r="BQ1" s="176" t="s">
        <v>73</v>
      </c>
      <c r="BR1" s="177" t="s">
        <v>72</v>
      </c>
      <c r="BS1" s="176" t="s">
        <v>73</v>
      </c>
      <c r="BT1" s="177" t="s">
        <v>72</v>
      </c>
      <c r="BU1" s="176" t="s">
        <v>73</v>
      </c>
      <c r="BV1" s="177" t="s">
        <v>72</v>
      </c>
      <c r="BW1" s="176" t="s">
        <v>73</v>
      </c>
      <c r="BX1" s="176"/>
      <c r="BY1" s="165" t="s">
        <v>382</v>
      </c>
      <c r="BZ1" s="178" t="s">
        <v>383</v>
      </c>
      <c r="CA1" s="165" t="s">
        <v>384</v>
      </c>
      <c r="CB1" s="179" t="s">
        <v>385</v>
      </c>
      <c r="CC1" s="180" t="s">
        <v>386</v>
      </c>
      <c r="CD1" s="165" t="s">
        <v>387</v>
      </c>
      <c r="CE1" s="165" t="s">
        <v>384</v>
      </c>
      <c r="CO1" s="165" t="s">
        <v>388</v>
      </c>
      <c r="CP1" s="165" t="s">
        <v>389</v>
      </c>
      <c r="CQ1" s="165" t="s">
        <v>382</v>
      </c>
    </row>
    <row r="2" customFormat="false" ht="15" hidden="false" customHeight="true" outlineLevel="0" collapsed="false">
      <c r="B2" s="127" t="n">
        <f aca="false">D2</f>
        <v>155.25</v>
      </c>
      <c r="C2" s="147"/>
      <c r="D2" s="181" t="n">
        <v>155.25</v>
      </c>
      <c r="E2" s="147" t="n">
        <v>13</v>
      </c>
      <c r="F2" s="147" t="n">
        <f aca="false">IFERROR(VLOOKUP(H2,$AD$2:$AE$301,2,0),"")</f>
        <v>1007998</v>
      </c>
      <c r="G2" s="147" t="str">
        <f aca="false">IFERROR(VLOOKUP(F2,$AE$2:$AF$290,2, 0),"")</f>
        <v>حقل</v>
      </c>
      <c r="H2" s="182" t="s">
        <v>311</v>
      </c>
      <c r="I2" s="183" t="n">
        <f aca="false">SUM(K2:R2)</f>
        <v>1</v>
      </c>
      <c r="J2" s="182" t="n">
        <v>45434</v>
      </c>
      <c r="K2" s="184"/>
      <c r="L2" s="185"/>
      <c r="M2" s="186"/>
      <c r="N2" s="187"/>
      <c r="O2" s="188"/>
      <c r="P2" s="189"/>
      <c r="Q2" s="190"/>
      <c r="R2" s="191" t="n">
        <v>1</v>
      </c>
      <c r="S2" s="192" t="n">
        <f aca="false">(K2+O2+Q2)*24 /1130+(L2+M2+P2+R2)*12/1130+(N2*30)/1130</f>
        <v>0.0106194690265487</v>
      </c>
      <c r="T2" s="193" t="n">
        <f aca="false">SUMIFS(K$3228:K$4138,$H$3228:$H$4138,$AD2)</f>
        <v>0</v>
      </c>
      <c r="U2" s="194" t="n">
        <f aca="false">SUMIFS(L$3228:L$4138,$H$3228:$H$4138,$AD2)</f>
        <v>0</v>
      </c>
      <c r="V2" s="195" t="n">
        <f aca="false">SUMIFS(M$3228:M$4138,$H$3228:$H$4138,$AD2)</f>
        <v>0</v>
      </c>
      <c r="W2" s="193" t="n">
        <f aca="false">SUMIFS(N$3228:N$4138,$H$3228:$H$4138,$AD2)</f>
        <v>0</v>
      </c>
      <c r="X2" s="193" t="n">
        <f aca="false">SUMIFS(O$3228:O$4138,$H$3228:$H$4138,$AD2)</f>
        <v>0</v>
      </c>
      <c r="Y2" s="196" t="n">
        <f aca="false">SUMIFS(P$3228:P$4138,$H$3228:$H$4138,$AD2)</f>
        <v>0</v>
      </c>
      <c r="Z2" s="193" t="n">
        <f aca="false">SUMIFS(Q$3228:Q$4138,$H$3228:$H$4138,$AD2)</f>
        <v>0</v>
      </c>
      <c r="AA2" s="195" t="n">
        <f aca="false">SUMIFS(R$3228:R$4138,$H$3228:$H$4138,$AD2)</f>
        <v>0</v>
      </c>
      <c r="AB2" s="197" t="n">
        <f aca="false">SUMIFS(S$3228:S$4138,$H$3228:$H$4138,$AD2)</f>
        <v>0</v>
      </c>
      <c r="AC2" s="198" t="n">
        <f aca="false">SUM(T2:AA2)</f>
        <v>0</v>
      </c>
      <c r="AD2" s="199" t="s">
        <v>74</v>
      </c>
      <c r="AE2" s="200" t="n">
        <v>1007974</v>
      </c>
      <c r="AF2" s="201" t="s">
        <v>75</v>
      </c>
      <c r="AG2" s="202" t="s">
        <v>390</v>
      </c>
      <c r="AH2" s="128"/>
      <c r="AI2" s="203"/>
      <c r="AJ2" s="157"/>
      <c r="AK2" s="157"/>
      <c r="AL2" s="157"/>
      <c r="AM2" s="157"/>
      <c r="BI2" s="204"/>
      <c r="BX2" s="205" t="n">
        <f aca="false">BV2*5+BW2*2</f>
        <v>0</v>
      </c>
      <c r="BZ2" s="157"/>
      <c r="CB2" s="206" t="n">
        <v>12</v>
      </c>
    </row>
    <row r="3" customFormat="false" ht="15" hidden="false" customHeight="true" outlineLevel="0" collapsed="false">
      <c r="B3" s="127" t="n">
        <f aca="false">B2+D3-C3</f>
        <v>943</v>
      </c>
      <c r="C3" s="147"/>
      <c r="D3" s="181" t="n">
        <v>787.75</v>
      </c>
      <c r="E3" s="147" t="n">
        <v>14</v>
      </c>
      <c r="F3" s="147" t="n">
        <f aca="false">IFERROR(VLOOKUP(H3,$AD$2:$AE$301,2,0),"")</f>
        <v>1008010</v>
      </c>
      <c r="G3" s="147" t="str">
        <f aca="false">IFERROR(VLOOKUP(F3,$AE$2:$AF$290,2, 0),"")</f>
        <v>البدع</v>
      </c>
      <c r="H3" s="207" t="s">
        <v>318</v>
      </c>
      <c r="I3" s="183" t="n">
        <f aca="false">SUM(K3:R3)</f>
        <v>3</v>
      </c>
      <c r="J3" s="182" t="n">
        <v>45435</v>
      </c>
      <c r="K3" s="184" t="n">
        <v>2</v>
      </c>
      <c r="L3" s="185"/>
      <c r="M3" s="186"/>
      <c r="N3" s="187"/>
      <c r="O3" s="188"/>
      <c r="P3" s="189"/>
      <c r="Q3" s="190"/>
      <c r="R3" s="191" t="n">
        <v>1</v>
      </c>
      <c r="S3" s="192" t="n">
        <f aca="false">(K3+O3+Q3)*24 /1130+(L3+M3+P3+R3)*12/1130+(N3*30)/1130</f>
        <v>0.0530973451327434</v>
      </c>
      <c r="T3" s="193" t="n">
        <f aca="false">SUMIFS(K$3228:K$4138,$H$3228:$H$4138,$AD3)</f>
        <v>0</v>
      </c>
      <c r="U3" s="194" t="n">
        <f aca="false">SUMIFS(L$3228:L$4138,$H$3228:$H$4138,$AD3)</f>
        <v>0</v>
      </c>
      <c r="V3" s="195" t="n">
        <f aca="false">SUMIFS(M$3228:M$4138,$H$3228:$H$4138,$AD3)</f>
        <v>0</v>
      </c>
      <c r="W3" s="193" t="n">
        <f aca="false">SUMIFS(N$3228:N$4138,$H$3228:$H$4138,$AD3)</f>
        <v>0</v>
      </c>
      <c r="X3" s="193" t="n">
        <f aca="false">SUMIFS(O$3228:O$4138,$H$3228:$H$4138,$AD3)</f>
        <v>0</v>
      </c>
      <c r="Y3" s="196" t="n">
        <f aca="false">SUMIFS(P$3228:P$4138,$H$3228:$H$4138,$AD3)</f>
        <v>0</v>
      </c>
      <c r="Z3" s="193" t="n">
        <f aca="false">SUMIFS(Q$3228:Q$4138,$H$3228:$H$4138,$AD3)</f>
        <v>0</v>
      </c>
      <c r="AA3" s="195" t="n">
        <f aca="false">SUMIFS(R$3228:R$4138,$H$3228:$H$4138,$AD3)</f>
        <v>0</v>
      </c>
      <c r="AB3" s="197" t="n">
        <f aca="false">SUMIFS(S$3228:S$4138,$H$3228:$H$4138,$AD3)</f>
        <v>0</v>
      </c>
      <c r="AC3" s="198" t="n">
        <f aca="false">SUM(T3:AA3)</f>
        <v>0</v>
      </c>
      <c r="AD3" s="199" t="s">
        <v>76</v>
      </c>
      <c r="AE3" s="200" t="n">
        <v>1007975</v>
      </c>
      <c r="AF3" s="201" t="s">
        <v>75</v>
      </c>
      <c r="AG3" s="128"/>
      <c r="AH3" s="128"/>
      <c r="AI3" s="203"/>
      <c r="AJ3" s="157"/>
      <c r="AK3" s="157"/>
      <c r="AL3" s="157"/>
      <c r="AM3" s="157"/>
      <c r="BX3" s="205" t="n">
        <f aca="false">BV3*5+BW3*2</f>
        <v>0</v>
      </c>
      <c r="BZ3" s="157"/>
      <c r="CB3" s="206" t="n">
        <v>12</v>
      </c>
      <c r="CC3" s="157" t="n">
        <v>30</v>
      </c>
    </row>
    <row r="4" customFormat="false" ht="15" hidden="false" customHeight="true" outlineLevel="0" collapsed="false">
      <c r="B4" s="127" t="n">
        <f aca="false">B3+D4-C4</f>
        <v>1259.25</v>
      </c>
      <c r="C4" s="147"/>
      <c r="D4" s="181" t="n">
        <v>316.25</v>
      </c>
      <c r="E4" s="147" t="n">
        <v>16</v>
      </c>
      <c r="F4" s="147" t="n">
        <f aca="false">IFERROR(VLOOKUP(H4,$AD$2:$AE$301,2,0),"")</f>
        <v>1006522</v>
      </c>
      <c r="G4" s="147" t="str">
        <f aca="false">IFERROR(VLOOKUP(F4,$AE$2:$AF$290,2, 0),"")</f>
        <v>البدع</v>
      </c>
      <c r="H4" s="182" t="s">
        <v>317</v>
      </c>
      <c r="I4" s="183" t="n">
        <f aca="false">SUM(K4:R4)</f>
        <v>1</v>
      </c>
      <c r="J4" s="182" t="n">
        <v>45435</v>
      </c>
      <c r="K4" s="184" t="n">
        <v>1</v>
      </c>
      <c r="L4" s="185"/>
      <c r="M4" s="186"/>
      <c r="N4" s="187"/>
      <c r="O4" s="188"/>
      <c r="P4" s="189"/>
      <c r="Q4" s="190"/>
      <c r="R4" s="191"/>
      <c r="S4" s="192" t="n">
        <f aca="false">(K4+O4+Q4)*24 /1130+(L4+M4+P4+R4)*12/1130+(N4*30)/1130</f>
        <v>0.0212389380530973</v>
      </c>
      <c r="T4" s="193" t="n">
        <f aca="false">SUMIFS(K$3228:K$4138,$H$3228:$H$4138,$AD4)</f>
        <v>0</v>
      </c>
      <c r="U4" s="194" t="n">
        <f aca="false">SUMIFS(L$3228:L$4138,$H$3228:$H$4138,$AD4)</f>
        <v>0</v>
      </c>
      <c r="V4" s="195" t="n">
        <f aca="false">SUMIFS(M$3228:M$4138,$H$3228:$H$4138,$AD4)</f>
        <v>0</v>
      </c>
      <c r="W4" s="193" t="n">
        <f aca="false">SUMIFS(N$3228:N$4138,$H$3228:$H$4138,$AD4)</f>
        <v>0</v>
      </c>
      <c r="X4" s="193" t="n">
        <f aca="false">SUMIFS(O$3228:O$4138,$H$3228:$H$4138,$AD4)</f>
        <v>0</v>
      </c>
      <c r="Y4" s="196" t="n">
        <f aca="false">SUMIFS(P$3228:P$4138,$H$3228:$H$4138,$AD4)</f>
        <v>0</v>
      </c>
      <c r="Z4" s="193" t="n">
        <f aca="false">SUMIFS(Q$3228:Q$4138,$H$3228:$H$4138,$AD4)</f>
        <v>0</v>
      </c>
      <c r="AA4" s="195" t="n">
        <f aca="false">SUMIFS(R$3228:R$4138,$H$3228:$H$4138,$AD4)</f>
        <v>0</v>
      </c>
      <c r="AB4" s="197" t="n">
        <f aca="false">SUMIFS(S$3228:S$4138,$H$3228:$H$4138,$AD4)</f>
        <v>0</v>
      </c>
      <c r="AC4" s="198" t="n">
        <f aca="false">SUM(T4:AA4)</f>
        <v>0</v>
      </c>
      <c r="AD4" s="199" t="s">
        <v>77</v>
      </c>
      <c r="AE4" s="200" t="n">
        <v>1007976</v>
      </c>
      <c r="AF4" s="201" t="s">
        <v>75</v>
      </c>
      <c r="AG4" s="128"/>
      <c r="AH4" s="128"/>
      <c r="AI4" s="208" t="s">
        <v>391</v>
      </c>
      <c r="AJ4" s="157"/>
      <c r="AK4" s="157"/>
      <c r="AL4" s="157"/>
      <c r="AM4" s="157"/>
      <c r="AN4" s="209"/>
      <c r="AO4" s="128" t="n">
        <v>8</v>
      </c>
      <c r="AU4" s="128" t="n">
        <f aca="false">13</f>
        <v>13</v>
      </c>
      <c r="BX4" s="205" t="n">
        <f aca="false">BV4*5+BW4*2</f>
        <v>0</v>
      </c>
      <c r="BZ4" s="157"/>
      <c r="CA4" s="206" t="n">
        <v>2</v>
      </c>
      <c r="CB4" s="206" t="n">
        <v>12</v>
      </c>
    </row>
    <row r="5" customFormat="false" ht="15" hidden="false" customHeight="true" outlineLevel="0" collapsed="false">
      <c r="B5" s="127" t="n">
        <f aca="false">B4+D5-C5</f>
        <v>2840.5</v>
      </c>
      <c r="C5" s="147"/>
      <c r="D5" s="181" t="n">
        <v>1581.25</v>
      </c>
      <c r="E5" s="147" t="n">
        <v>15</v>
      </c>
      <c r="F5" s="147" t="n">
        <f aca="false">IFERROR(VLOOKUP(H5,$AD$2:$AE$301,2,0),"")</f>
        <v>1006522</v>
      </c>
      <c r="G5" s="147" t="str">
        <f aca="false">IFERROR(VLOOKUP(F5,$AE$2:$AF$290,2, 0),"")</f>
        <v>البدع</v>
      </c>
      <c r="H5" s="182" t="s">
        <v>317</v>
      </c>
      <c r="I5" s="183" t="n">
        <f aca="false">SUM(K5:R5)</f>
        <v>5</v>
      </c>
      <c r="J5" s="182" t="n">
        <v>45435</v>
      </c>
      <c r="K5" s="184" t="n">
        <v>5</v>
      </c>
      <c r="L5" s="185"/>
      <c r="M5" s="186"/>
      <c r="N5" s="187"/>
      <c r="O5" s="188"/>
      <c r="P5" s="189"/>
      <c r="Q5" s="190"/>
      <c r="R5" s="191"/>
      <c r="S5" s="192" t="n">
        <f aca="false">(K5+O5+Q5)*24 /1130+(L5+M5+P5+R5)*12/1130+(N5*30)/1130</f>
        <v>0.106194690265487</v>
      </c>
      <c r="T5" s="193" t="n">
        <f aca="false">SUMIFS(K$3228:K$4138,$H$3228:$H$4138,$AD5)</f>
        <v>0</v>
      </c>
      <c r="U5" s="194" t="n">
        <f aca="false">SUMIFS(L$3228:L$4138,$H$3228:$H$4138,$AD5)</f>
        <v>0</v>
      </c>
      <c r="V5" s="195" t="n">
        <f aca="false">SUMIFS(M$3228:M$4138,$H$3228:$H$4138,$AD5)</f>
        <v>0</v>
      </c>
      <c r="W5" s="193" t="n">
        <f aca="false">SUMIFS(N$3228:N$4138,$H$3228:$H$4138,$AD5)</f>
        <v>0</v>
      </c>
      <c r="X5" s="193" t="n">
        <f aca="false">SUMIFS(O$3228:O$4138,$H$3228:$H$4138,$AD5)</f>
        <v>0</v>
      </c>
      <c r="Y5" s="196" t="n">
        <f aca="false">SUMIFS(P$3228:P$4138,$H$3228:$H$4138,$AD5)</f>
        <v>0</v>
      </c>
      <c r="Z5" s="193" t="n">
        <f aca="false">SUMIFS(Q$3228:Q$4138,$H$3228:$H$4138,$AD5)</f>
        <v>0</v>
      </c>
      <c r="AA5" s="195" t="n">
        <f aca="false">SUMIFS(R$3228:R$4138,$H$3228:$H$4138,$AD5)</f>
        <v>0</v>
      </c>
      <c r="AB5" s="197" t="n">
        <f aca="false">SUMIFS(S$3228:S$4138,$H$3228:$H$4138,$AD5)</f>
        <v>0</v>
      </c>
      <c r="AC5" s="198" t="n">
        <f aca="false">SUM(T5:AA5)</f>
        <v>0</v>
      </c>
      <c r="AD5" s="199" t="s">
        <v>78</v>
      </c>
      <c r="AE5" s="200" t="n">
        <v>1007977</v>
      </c>
      <c r="AF5" s="201" t="s">
        <v>75</v>
      </c>
      <c r="AG5" s="128"/>
      <c r="AH5" s="128"/>
      <c r="AI5" s="203"/>
      <c r="AJ5" s="157"/>
      <c r="AK5" s="157"/>
      <c r="AL5" s="157"/>
      <c r="AM5" s="157"/>
      <c r="AN5" s="209"/>
      <c r="BX5" s="205" t="n">
        <f aca="false">BV5*5+BW5*2</f>
        <v>0</v>
      </c>
      <c r="BZ5" s="157"/>
    </row>
    <row r="6" customFormat="false" ht="15" hidden="false" customHeight="true" outlineLevel="0" collapsed="false">
      <c r="B6" s="127" t="n">
        <f aca="false">B5+D6-C6</f>
        <v>3156.75</v>
      </c>
      <c r="D6" s="181" t="n">
        <v>316.25</v>
      </c>
      <c r="E6" s="147" t="n">
        <v>17</v>
      </c>
      <c r="F6" s="147" t="n">
        <f aca="false">IFERROR(VLOOKUP(H6,$AD$2:$AE$301,2,0),"")</f>
        <v>1008012</v>
      </c>
      <c r="G6" s="147" t="str">
        <f aca="false">IFERROR(VLOOKUP(F6,$AE$2:$AF$290,2, 0),"")</f>
        <v>البدع</v>
      </c>
      <c r="H6" s="182" t="s">
        <v>320</v>
      </c>
      <c r="I6" s="183" t="n">
        <f aca="false">SUM(K6:R6)</f>
        <v>1</v>
      </c>
      <c r="J6" s="182" t="n">
        <v>45435</v>
      </c>
      <c r="K6" s="184" t="n">
        <v>1</v>
      </c>
      <c r="L6" s="185"/>
      <c r="M6" s="186"/>
      <c r="N6" s="187"/>
      <c r="O6" s="188"/>
      <c r="P6" s="189"/>
      <c r="Q6" s="190"/>
      <c r="R6" s="191"/>
      <c r="S6" s="192" t="n">
        <f aca="false">(K6+O6+Q6)*24 /1130+(L6+M6+P6+R6)*12/1130+(N6*30)/1130</f>
        <v>0.0212389380530973</v>
      </c>
      <c r="T6" s="193" t="n">
        <f aca="false">SUMIFS(K$3228:K$4138,$H$3228:$H$4138,$AD6)</f>
        <v>0</v>
      </c>
      <c r="U6" s="194" t="n">
        <f aca="false">SUMIFS(L$3228:L$4138,$H$3228:$H$4138,$AD6)</f>
        <v>0</v>
      </c>
      <c r="V6" s="195" t="n">
        <f aca="false">SUMIFS(M$3228:M$4138,$H$3228:$H$4138,$AD6)</f>
        <v>0</v>
      </c>
      <c r="W6" s="193" t="n">
        <f aca="false">SUMIFS(N$3228:N$4138,$H$3228:$H$4138,$AD6)</f>
        <v>0</v>
      </c>
      <c r="X6" s="193" t="n">
        <f aca="false">SUMIFS(O$3228:O$4138,$H$3228:$H$4138,$AD6)</f>
        <v>0</v>
      </c>
      <c r="Y6" s="196" t="n">
        <f aca="false">SUMIFS(P$3228:P$4138,$H$3228:$H$4138,$AD6)</f>
        <v>0</v>
      </c>
      <c r="Z6" s="193" t="n">
        <f aca="false">SUMIFS(Q$3228:Q$4138,$H$3228:$H$4138,$AD6)</f>
        <v>0</v>
      </c>
      <c r="AA6" s="195" t="n">
        <f aca="false">SUMIFS(R$3228:R$4138,$H$3228:$H$4138,$AD6)</f>
        <v>0</v>
      </c>
      <c r="AB6" s="197" t="n">
        <f aca="false">SUMIFS(S$3228:S$4138,$H$3228:$H$4138,$AD6)</f>
        <v>0</v>
      </c>
      <c r="AC6" s="198" t="n">
        <f aca="false">SUM(T6:AA6)</f>
        <v>0</v>
      </c>
      <c r="AD6" s="199" t="s">
        <v>79</v>
      </c>
      <c r="AE6" s="200" t="n">
        <v>1007978</v>
      </c>
      <c r="AF6" s="201" t="s">
        <v>75</v>
      </c>
      <c r="AG6" s="128"/>
      <c r="AH6" s="128"/>
      <c r="AI6" s="203"/>
      <c r="AJ6" s="157"/>
      <c r="AK6" s="157"/>
      <c r="AL6" s="157"/>
      <c r="AM6" s="157"/>
      <c r="AN6" s="209"/>
      <c r="BX6" s="205" t="n">
        <f aca="false">BV6*5+BW6*2</f>
        <v>0</v>
      </c>
      <c r="BZ6" s="157"/>
    </row>
    <row r="7" customFormat="false" ht="15" hidden="false" customHeight="true" outlineLevel="0" collapsed="false">
      <c r="B7" s="127" t="n">
        <f aca="false">B6+D7-C7</f>
        <v>3726</v>
      </c>
      <c r="C7" s="147"/>
      <c r="D7" s="181" t="n">
        <v>569.25</v>
      </c>
      <c r="E7" s="147" t="n">
        <v>9</v>
      </c>
      <c r="F7" s="147" t="n">
        <f aca="false">IFERROR(VLOOKUP(H7,$AD$2:$AE$301,2,0),"")</f>
        <v>1007996</v>
      </c>
      <c r="G7" s="147" t="str">
        <f aca="false">IFERROR(VLOOKUP(F7,$AE$2:$AF$290,2, 0),"")</f>
        <v>البير</v>
      </c>
      <c r="H7" s="182" t="s">
        <v>295</v>
      </c>
      <c r="I7" s="183" t="n">
        <f aca="false">SUM(K7:R7)</f>
        <v>2</v>
      </c>
      <c r="J7" s="182" t="n">
        <v>45434</v>
      </c>
      <c r="K7" s="184" t="n">
        <v>1</v>
      </c>
      <c r="L7" s="185"/>
      <c r="M7" s="186" t="n">
        <v>1</v>
      </c>
      <c r="N7" s="187"/>
      <c r="O7" s="188"/>
      <c r="P7" s="189"/>
      <c r="Q7" s="190"/>
      <c r="R7" s="191"/>
      <c r="S7" s="192" t="n">
        <f aca="false">(K7+O7+Q7)*24 /1130+(L7+M7+P7+R7)*12/1130+(N7*30)/1130</f>
        <v>0.031858407079646</v>
      </c>
      <c r="T7" s="193" t="n">
        <f aca="false">SUMIFS(K$3228:K$4138,$H$3228:$H$4138,$AD7)</f>
        <v>0</v>
      </c>
      <c r="U7" s="194" t="n">
        <f aca="false">SUMIFS(L$3228:L$4138,$H$3228:$H$4138,$AD7)</f>
        <v>0</v>
      </c>
      <c r="V7" s="195" t="n">
        <f aca="false">SUMIFS(M$3228:M$4138,$H$3228:$H$4138,$AD7)</f>
        <v>0</v>
      </c>
      <c r="W7" s="193" t="n">
        <f aca="false">SUMIFS(N$3228:N$4138,$H$3228:$H$4138,$AD7)</f>
        <v>0</v>
      </c>
      <c r="X7" s="193" t="n">
        <f aca="false">SUMIFS(O$3228:O$4138,$H$3228:$H$4138,$AD7)</f>
        <v>0</v>
      </c>
      <c r="Y7" s="196" t="n">
        <f aca="false">SUMIFS(P$3228:P$4138,$H$3228:$H$4138,$AD7)</f>
        <v>0</v>
      </c>
      <c r="Z7" s="193" t="n">
        <f aca="false">SUMIFS(Q$3228:Q$4138,$H$3228:$H$4138,$AD7)</f>
        <v>0</v>
      </c>
      <c r="AA7" s="195" t="n">
        <f aca="false">SUMIFS(R$3228:R$4138,$H$3228:$H$4138,$AD7)</f>
        <v>0</v>
      </c>
      <c r="AB7" s="197" t="n">
        <f aca="false">SUMIFS(S$3228:S$4138,$H$3228:$H$4138,$AD7)</f>
        <v>0</v>
      </c>
      <c r="AC7" s="198" t="n">
        <f aca="false">SUM(T7:AA7)</f>
        <v>0</v>
      </c>
      <c r="AD7" s="199" t="s">
        <v>80</v>
      </c>
      <c r="AE7" s="200" t="n">
        <v>1007979</v>
      </c>
      <c r="AF7" s="201" t="s">
        <v>75</v>
      </c>
      <c r="AG7" s="128"/>
      <c r="AH7" s="128"/>
      <c r="AI7" s="203"/>
      <c r="AJ7" s="157"/>
      <c r="AK7" s="157"/>
      <c r="AL7" s="157"/>
      <c r="AM7" s="157"/>
      <c r="AN7" s="209"/>
      <c r="BX7" s="205" t="n">
        <f aca="false">BV7*5+BW7*2</f>
        <v>0</v>
      </c>
      <c r="BZ7" s="157" t="n">
        <v>2</v>
      </c>
      <c r="CB7" s="206" t="n">
        <v>12</v>
      </c>
    </row>
    <row r="8" customFormat="false" ht="15" hidden="false" customHeight="true" outlineLevel="0" collapsed="false">
      <c r="B8" s="127" t="n">
        <f aca="false">B7+D8-C8</f>
        <v>4358.5</v>
      </c>
      <c r="C8" s="147"/>
      <c r="D8" s="181" t="n">
        <v>632.5</v>
      </c>
      <c r="E8" s="147" t="n">
        <v>10</v>
      </c>
      <c r="F8" s="147" t="n">
        <f aca="false">IFERROR(VLOOKUP(H8,$AD$2:$AE$301,2,0),"")</f>
        <v>1007965</v>
      </c>
      <c r="G8" s="147" t="str">
        <f aca="false">IFERROR(VLOOKUP(F8,$AE$2:$AF$290,2, 0),"")</f>
        <v>البير</v>
      </c>
      <c r="H8" s="182" t="s">
        <v>290</v>
      </c>
      <c r="I8" s="183" t="n">
        <f aca="false">SUM(K8:R8)</f>
        <v>2</v>
      </c>
      <c r="J8" s="182" t="n">
        <v>45434</v>
      </c>
      <c r="K8" s="184" t="n">
        <v>2</v>
      </c>
      <c r="L8" s="185"/>
      <c r="M8" s="186"/>
      <c r="N8" s="187"/>
      <c r="O8" s="188"/>
      <c r="P8" s="189"/>
      <c r="Q8" s="190"/>
      <c r="R8" s="191"/>
      <c r="S8" s="192" t="n">
        <f aca="false">(K8+O8+Q8)*24 /1130+(L8+M8+P8+R8)*12/1130+(N8*30)/1130</f>
        <v>0.0424778761061947</v>
      </c>
      <c r="T8" s="193" t="n">
        <f aca="false">SUMIFS(K$3228:K$4138,$H$3228:$H$4138,$AD8)</f>
        <v>0</v>
      </c>
      <c r="U8" s="194" t="n">
        <f aca="false">SUMIFS(L$3228:L$4138,$H$3228:$H$4138,$AD8)</f>
        <v>0</v>
      </c>
      <c r="V8" s="195" t="n">
        <f aca="false">SUMIFS(M$3228:M$4138,$H$3228:$H$4138,$AD8)</f>
        <v>0</v>
      </c>
      <c r="W8" s="193" t="n">
        <f aca="false">SUMIFS(N$3228:N$4138,$H$3228:$H$4138,$AD8)</f>
        <v>0</v>
      </c>
      <c r="X8" s="193" t="n">
        <f aca="false">SUMIFS(O$3228:O$4138,$H$3228:$H$4138,$AD8)</f>
        <v>0</v>
      </c>
      <c r="Y8" s="196" t="n">
        <f aca="false">SUMIFS(P$3228:P$4138,$H$3228:$H$4138,$AD8)</f>
        <v>0</v>
      </c>
      <c r="Z8" s="193" t="n">
        <f aca="false">SUMIFS(Q$3228:Q$4138,$H$3228:$H$4138,$AD8)</f>
        <v>0</v>
      </c>
      <c r="AA8" s="195" t="n">
        <f aca="false">SUMIFS(R$3228:R$4138,$H$3228:$H$4138,$AD8)</f>
        <v>0</v>
      </c>
      <c r="AB8" s="197" t="n">
        <f aca="false">SUMIFS(S$3228:S$4138,$H$3228:$H$4138,$AD8)</f>
        <v>0</v>
      </c>
      <c r="AC8" s="198" t="n">
        <f aca="false">SUM(T8:AA8)</f>
        <v>0</v>
      </c>
      <c r="AD8" s="199" t="s">
        <v>81</v>
      </c>
      <c r="AE8" s="200" t="n">
        <v>1007980</v>
      </c>
      <c r="AF8" s="201" t="s">
        <v>75</v>
      </c>
      <c r="AG8" s="128"/>
      <c r="AH8" s="128"/>
      <c r="AI8" s="203"/>
      <c r="AN8" s="209"/>
      <c r="BX8" s="205" t="n">
        <f aca="false">BV8*5+BW8*2</f>
        <v>0</v>
      </c>
      <c r="CB8" s="206" t="n">
        <v>12</v>
      </c>
    </row>
    <row r="9" customFormat="false" ht="15" hidden="false" customHeight="true" outlineLevel="0" collapsed="false">
      <c r="B9" s="127" t="n">
        <f aca="false">B8+D9-C9</f>
        <v>4910.5</v>
      </c>
      <c r="C9" s="147"/>
      <c r="D9" s="181" t="n">
        <v>552</v>
      </c>
      <c r="E9" s="147" t="n">
        <v>11</v>
      </c>
      <c r="F9" s="147" t="n">
        <f aca="false">IFERROR(VLOOKUP(H9,$AD$2:$AE$301,2,0),"")</f>
        <v>1007966</v>
      </c>
      <c r="G9" s="147" t="str">
        <f aca="false">IFERROR(VLOOKUP(F9,$AE$2:$AF$290,2, 0),"")</f>
        <v>البير</v>
      </c>
      <c r="H9" s="182" t="s">
        <v>291</v>
      </c>
      <c r="I9" s="183" t="n">
        <f aca="false">SUM(K9:R9)</f>
        <v>4</v>
      </c>
      <c r="J9" s="182" t="n">
        <v>45434</v>
      </c>
      <c r="K9" s="184"/>
      <c r="L9" s="185"/>
      <c r="M9" s="186"/>
      <c r="N9" s="187"/>
      <c r="O9" s="188"/>
      <c r="P9" s="189"/>
      <c r="Q9" s="190" t="n">
        <v>4</v>
      </c>
      <c r="R9" s="191"/>
      <c r="S9" s="192" t="n">
        <f aca="false">(K9+O9+Q9)*24 /1130+(L9+M9+P9+R9)*12/1130+(N9*30)/1130</f>
        <v>0.0849557522123894</v>
      </c>
      <c r="T9" s="193" t="n">
        <f aca="false">SUMIFS(K$3228:K$4138,$H$3228:$H$4138,$AD9)</f>
        <v>0</v>
      </c>
      <c r="U9" s="194" t="n">
        <f aca="false">SUMIFS(L$3228:L$4138,$H$3228:$H$4138,$AD9)</f>
        <v>0</v>
      </c>
      <c r="V9" s="195" t="n">
        <f aca="false">SUMIFS(M$3228:M$4138,$H$3228:$H$4138,$AD9)</f>
        <v>0</v>
      </c>
      <c r="W9" s="193" t="n">
        <f aca="false">SUMIFS(N$3228:N$4138,$H$3228:$H$4138,$AD9)</f>
        <v>0</v>
      </c>
      <c r="X9" s="193" t="n">
        <f aca="false">SUMIFS(O$3228:O$4138,$H$3228:$H$4138,$AD9)</f>
        <v>0</v>
      </c>
      <c r="Y9" s="196" t="n">
        <f aca="false">SUMIFS(P$3228:P$4138,$H$3228:$H$4138,$AD9)</f>
        <v>0</v>
      </c>
      <c r="Z9" s="193" t="n">
        <f aca="false">SUMIFS(Q$3228:Q$4138,$H$3228:$H$4138,$AD9)</f>
        <v>0</v>
      </c>
      <c r="AA9" s="195" t="n">
        <f aca="false">SUMIFS(R$3228:R$4138,$H$3228:$H$4138,$AD9)</f>
        <v>0</v>
      </c>
      <c r="AB9" s="197" t="n">
        <f aca="false">SUMIFS(S$3228:S$4138,$H$3228:$H$4138,$AD9)</f>
        <v>0</v>
      </c>
      <c r="AC9" s="198" t="n">
        <f aca="false">SUM(T9:AA9)</f>
        <v>0</v>
      </c>
      <c r="AD9" s="199" t="s">
        <v>82</v>
      </c>
      <c r="AE9" s="200" t="n">
        <v>1007981</v>
      </c>
      <c r="AF9" s="201" t="s">
        <v>75</v>
      </c>
      <c r="AG9" s="128"/>
      <c r="AH9" s="128"/>
      <c r="AI9" s="203"/>
      <c r="AN9" s="209"/>
      <c r="BX9" s="205" t="n">
        <f aca="false">BV9*5+BW9*2</f>
        <v>0</v>
      </c>
    </row>
    <row r="10" customFormat="false" ht="15" hidden="false" customHeight="true" outlineLevel="0" collapsed="false">
      <c r="B10" s="127" t="n">
        <f aca="false">B9+D10-C10</f>
        <v>5853.5</v>
      </c>
      <c r="C10" s="147"/>
      <c r="D10" s="181" t="n">
        <v>943</v>
      </c>
      <c r="E10" s="147" t="n">
        <v>12</v>
      </c>
      <c r="F10" s="147" t="n">
        <f aca="false">IFERROR(VLOOKUP(H10,$AD$2:$AE$301,2,0),"")</f>
        <v>1008004</v>
      </c>
      <c r="G10" s="147" t="str">
        <f aca="false">IFERROR(VLOOKUP(F10,$AE$2:$AF$290,2, 0),"")</f>
        <v>حقل</v>
      </c>
      <c r="H10" s="182" t="s">
        <v>316</v>
      </c>
      <c r="I10" s="183" t="n">
        <f aca="false">SUM(K10:R10)</f>
        <v>4</v>
      </c>
      <c r="J10" s="182" t="n">
        <v>45434</v>
      </c>
      <c r="K10" s="184" t="n">
        <v>2</v>
      </c>
      <c r="L10" s="185"/>
      <c r="Q10" s="190"/>
      <c r="R10" s="191" t="n">
        <v>2</v>
      </c>
      <c r="S10" s="192" t="n">
        <f aca="false">(K10+O10+Q10)*24 /1130+(L10+M10+P10+R10)*12/1130+(N10*30)/1130</f>
        <v>0.063716814159292</v>
      </c>
      <c r="T10" s="193" t="n">
        <f aca="false">SUMIFS(K$3228:K$4138,$H$3228:$H$4138,$AD10)</f>
        <v>0</v>
      </c>
      <c r="U10" s="194" t="n">
        <f aca="false">SUMIFS(L$3228:L$4138,$H$3228:$H$4138,$AD10)</f>
        <v>0</v>
      </c>
      <c r="V10" s="195" t="n">
        <f aca="false">SUMIFS(M$3228:M$4138,$H$3228:$H$4138,$AD10)</f>
        <v>0</v>
      </c>
      <c r="W10" s="193" t="n">
        <f aca="false">SUMIFS(N$3228:N$4138,$H$3228:$H$4138,$AD10)</f>
        <v>0</v>
      </c>
      <c r="X10" s="193" t="n">
        <f aca="false">SUMIFS(O$3228:O$4138,$H$3228:$H$4138,$AD10)</f>
        <v>0</v>
      </c>
      <c r="Y10" s="196" t="n">
        <f aca="false">SUMIFS(P$3228:P$4138,$H$3228:$H$4138,$AD10)</f>
        <v>0</v>
      </c>
      <c r="Z10" s="193" t="n">
        <f aca="false">SUMIFS(Q$3228:Q$4138,$H$3228:$H$4138,$AD10)</f>
        <v>0</v>
      </c>
      <c r="AA10" s="195" t="n">
        <f aca="false">SUMIFS(R$3228:R$4138,$H$3228:$H$4138,$AD10)</f>
        <v>0</v>
      </c>
      <c r="AB10" s="197" t="n">
        <f aca="false">SUMIFS(S$3228:S$4138,$H$3228:$H$4138,$AD10)</f>
        <v>0</v>
      </c>
      <c r="AC10" s="198" t="n">
        <f aca="false">SUM(T10:AA10)</f>
        <v>0</v>
      </c>
      <c r="AD10" s="199" t="s">
        <v>83</v>
      </c>
      <c r="AE10" s="200" t="n">
        <v>1007982</v>
      </c>
      <c r="AF10" s="201" t="s">
        <v>75</v>
      </c>
      <c r="AG10" s="128"/>
      <c r="AH10" s="128"/>
      <c r="AI10" s="203"/>
      <c r="BX10" s="205" t="n">
        <f aca="false">BV10*5+BW10*2</f>
        <v>0</v>
      </c>
    </row>
    <row r="11" customFormat="false" ht="15" hidden="false" customHeight="true" outlineLevel="0" collapsed="false">
      <c r="B11" s="127" t="n">
        <f aca="false">B10+D11-C11</f>
        <v>6428.5</v>
      </c>
      <c r="C11" s="147"/>
      <c r="D11" s="181" t="n">
        <v>575</v>
      </c>
      <c r="E11" s="147" t="n">
        <v>4</v>
      </c>
      <c r="F11" s="147" t="n">
        <f aca="false">IFERROR(VLOOKUP(H11,$AD$2:$AE$301,2,0),"")</f>
        <v>1007973</v>
      </c>
      <c r="G11" s="147" t="str">
        <f aca="false">IFERROR(VLOOKUP(F11,$AE$2:$AF$290,2, 0),"")</f>
        <v>المويلح</v>
      </c>
      <c r="H11" s="182" t="s">
        <v>122</v>
      </c>
      <c r="I11" s="183" t="n">
        <f aca="false">SUM(K11:R11)</f>
        <v>2</v>
      </c>
      <c r="J11" s="182" t="n">
        <v>45428</v>
      </c>
      <c r="K11" s="184" t="n">
        <v>1</v>
      </c>
      <c r="L11" s="185"/>
      <c r="M11" s="186"/>
      <c r="N11" s="187"/>
      <c r="O11" s="188" t="n">
        <v>1</v>
      </c>
      <c r="P11" s="189"/>
      <c r="Q11" s="190"/>
      <c r="R11" s="191"/>
      <c r="S11" s="192" t="n">
        <f aca="false">(K11+O11+Q11)*24 /1130+(L11+M11+P11+R11)*12/1130+(N11*30)/1130</f>
        <v>0.0424778761061947</v>
      </c>
      <c r="T11" s="193" t="n">
        <f aca="false">SUMIFS(K$3228:K$4138,$H$3228:$H$4138,$AD11)</f>
        <v>0</v>
      </c>
      <c r="U11" s="194" t="n">
        <f aca="false">SUMIFS(L$3228:L$4138,$H$3228:$H$4138,$AD11)</f>
        <v>0</v>
      </c>
      <c r="V11" s="195" t="n">
        <f aca="false">SUMIFS(M$3228:M$4138,$H$3228:$H$4138,$AD11)</f>
        <v>0</v>
      </c>
      <c r="W11" s="193" t="n">
        <f aca="false">SUMIFS(N$3228:N$4138,$H$3228:$H$4138,$AD11)</f>
        <v>0</v>
      </c>
      <c r="X11" s="193" t="n">
        <f aca="false">SUMIFS(O$3228:O$4138,$H$3228:$H$4138,$AD11)</f>
        <v>0</v>
      </c>
      <c r="Y11" s="196" t="n">
        <f aca="false">SUMIFS(P$3228:P$4138,$H$3228:$H$4138,$AD11)</f>
        <v>0</v>
      </c>
      <c r="Z11" s="193" t="n">
        <f aca="false">SUMIFS(Q$3228:Q$4138,$H$3228:$H$4138,$AD11)</f>
        <v>0</v>
      </c>
      <c r="AA11" s="195" t="n">
        <f aca="false">SUMIFS(R$3228:R$4138,$H$3228:$H$4138,$AD11)</f>
        <v>0</v>
      </c>
      <c r="AB11" s="197" t="n">
        <f aca="false">SUMIFS(S$3228:S$4138,$H$3228:$H$4138,$AD11)</f>
        <v>0</v>
      </c>
      <c r="AC11" s="198" t="n">
        <f aca="false">SUM(T11:AA11)</f>
        <v>0</v>
      </c>
      <c r="AD11" s="199" t="s">
        <v>84</v>
      </c>
      <c r="AE11" s="200" t="n">
        <v>1007983</v>
      </c>
      <c r="AF11" s="201" t="s">
        <v>75</v>
      </c>
      <c r="AG11" s="128"/>
      <c r="AH11" s="128"/>
      <c r="AI11" s="203"/>
      <c r="BX11" s="205" t="n">
        <f aca="false">BV11*5+BW11*2</f>
        <v>0</v>
      </c>
    </row>
    <row r="12" customFormat="false" ht="15" hidden="false" customHeight="true" outlineLevel="0" collapsed="false">
      <c r="B12" s="127" t="n">
        <f aca="false">B11+D12-C12</f>
        <v>7319.73</v>
      </c>
      <c r="C12" s="147"/>
      <c r="D12" s="181" t="n">
        <v>891.23</v>
      </c>
      <c r="E12" s="147" t="n">
        <v>3</v>
      </c>
      <c r="F12" s="147" t="n">
        <f aca="false">IFERROR(VLOOKUP(H12,$AD$1:$AE$301,2,0),"")</f>
        <v>1007971</v>
      </c>
      <c r="G12" s="147" t="str">
        <f aca="false">IFERROR(VLOOKUP(F12,$AE$2:$AF$290,2, 0),"")</f>
        <v>تبوك</v>
      </c>
      <c r="H12" s="182" t="s">
        <v>126</v>
      </c>
      <c r="I12" s="183" t="n">
        <f aca="false">SUM(K12:R12)</f>
        <v>3</v>
      </c>
      <c r="J12" s="182" t="n">
        <v>45428</v>
      </c>
      <c r="K12" s="184" t="n">
        <v>2</v>
      </c>
      <c r="L12" s="185"/>
      <c r="M12" s="186"/>
      <c r="N12" s="187"/>
      <c r="O12" s="188" t="n">
        <v>1</v>
      </c>
      <c r="P12" s="189"/>
      <c r="Q12" s="190"/>
      <c r="R12" s="191"/>
      <c r="S12" s="192" t="n">
        <f aca="false">(K12+O12+Q12)*24 /1130+(L12+M12+P12+R12)*12/1130+(N12*30)/1130</f>
        <v>0.063716814159292</v>
      </c>
      <c r="T12" s="193" t="n">
        <f aca="false">SUMIFS(K$3228:K$4138,$H$3228:$H$4138,$AD12)</f>
        <v>0</v>
      </c>
      <c r="U12" s="194" t="n">
        <f aca="false">SUMIFS(L$3228:L$4138,$H$3228:$H$4138,$AD12)</f>
        <v>0</v>
      </c>
      <c r="V12" s="195" t="n">
        <f aca="false">SUMIFS(M$3228:M$4138,$H$3228:$H$4138,$AD12)</f>
        <v>0</v>
      </c>
      <c r="W12" s="193" t="n">
        <f aca="false">SUMIFS(N$3228:N$4138,$H$3228:$H$4138,$AD12)</f>
        <v>0</v>
      </c>
      <c r="X12" s="193" t="n">
        <f aca="false">SUMIFS(O$3228:O$4138,$H$3228:$H$4138,$AD12)</f>
        <v>0</v>
      </c>
      <c r="Y12" s="196" t="n">
        <f aca="false">SUMIFS(P$3228:P$4138,$H$3228:$H$4138,$AD12)</f>
        <v>0</v>
      </c>
      <c r="Z12" s="193" t="n">
        <f aca="false">SUMIFS(Q$3228:Q$4138,$H$3228:$H$4138,$AD12)</f>
        <v>0</v>
      </c>
      <c r="AA12" s="195" t="n">
        <f aca="false">SUMIFS(R$3228:R$4138,$H$3228:$H$4138,$AD12)</f>
        <v>0</v>
      </c>
      <c r="AB12" s="197" t="n">
        <f aca="false">SUMIFS(S$3228:S$4138,$H$3228:$H$4138,$AD12)</f>
        <v>0</v>
      </c>
      <c r="AC12" s="198" t="n">
        <f aca="false">SUM(T12:AA12)</f>
        <v>0</v>
      </c>
      <c r="AD12" s="210" t="s">
        <v>85</v>
      </c>
      <c r="AE12" s="211" t="n">
        <v>1007984</v>
      </c>
      <c r="AF12" s="201" t="s">
        <v>75</v>
      </c>
      <c r="AG12" s="128"/>
      <c r="AH12" s="128"/>
      <c r="AI12" s="203"/>
      <c r="BX12" s="205" t="n">
        <f aca="false">BV12*5+BW12*2</f>
        <v>0</v>
      </c>
    </row>
    <row r="13" customFormat="false" ht="15" hidden="false" customHeight="true" outlineLevel="0" collapsed="false">
      <c r="B13" s="127" t="n">
        <f aca="false">B12+D13-C13</f>
        <v>6451.73</v>
      </c>
      <c r="C13" s="127" t="n">
        <v>868</v>
      </c>
      <c r="E13" s="212" t="s">
        <v>392</v>
      </c>
      <c r="F13" s="147" t="str">
        <f aca="false">IFERROR(VLOOKUP(H13,$AD$1:$AE$301,2,0),"")</f>
        <v/>
      </c>
      <c r="G13" s="147" t="str">
        <f aca="false">IFERROR(VLOOKUP(F13,$AE$2:$AF$290,2, 0),"")</f>
        <v/>
      </c>
      <c r="H13" s="182" t="s">
        <v>393</v>
      </c>
      <c r="I13" s="183" t="n">
        <f aca="false">SUM(K13:R13)</f>
        <v>0</v>
      </c>
      <c r="J13" s="182" t="n">
        <v>45428</v>
      </c>
      <c r="K13" s="184"/>
      <c r="L13" s="185"/>
      <c r="M13" s="186"/>
      <c r="N13" s="187"/>
      <c r="O13" s="188"/>
      <c r="P13" s="189"/>
      <c r="Q13" s="190"/>
      <c r="R13" s="191"/>
      <c r="S13" s="192" t="n">
        <f aca="false">(K13+O13+Q13)*24 /1130+(L13+M13+P13+R13)*12/1130+(N13*30)/1130</f>
        <v>0</v>
      </c>
      <c r="T13" s="193" t="n">
        <f aca="false">SUMIFS(K$3228:K$4138,$H$3228:$H$4138,$AD13)</f>
        <v>0</v>
      </c>
      <c r="U13" s="194" t="n">
        <f aca="false">SUMIFS(L$3228:L$4138,$H$3228:$H$4138,$AD13)</f>
        <v>0</v>
      </c>
      <c r="V13" s="195" t="n">
        <f aca="false">SUMIFS(M$3228:M$4138,$H$3228:$H$4138,$AD13)</f>
        <v>0</v>
      </c>
      <c r="W13" s="193" t="n">
        <f aca="false">SUMIFS(N$3228:N$4138,$H$3228:$H$4138,$AD13)</f>
        <v>0</v>
      </c>
      <c r="X13" s="193" t="n">
        <f aca="false">SUMIFS(O$3228:O$4138,$H$3228:$H$4138,$AD13)</f>
        <v>0</v>
      </c>
      <c r="Y13" s="196" t="n">
        <f aca="false">SUMIFS(P$3228:P$4138,$H$3228:$H$4138,$AD13)</f>
        <v>0</v>
      </c>
      <c r="Z13" s="193" t="n">
        <f aca="false">SUMIFS(Q$3228:Q$4138,$H$3228:$H$4138,$AD13)</f>
        <v>0</v>
      </c>
      <c r="AA13" s="195" t="n">
        <f aca="false">SUMIFS(R$3228:R$4138,$H$3228:$H$4138,$AD13)</f>
        <v>0</v>
      </c>
      <c r="AB13" s="197" t="n">
        <f aca="false">SUMIFS(S$3228:S$4138,$H$3228:$H$4138,$AD13)</f>
        <v>0</v>
      </c>
      <c r="AC13" s="198" t="n">
        <f aca="false">SUM(T13:AA13)</f>
        <v>0</v>
      </c>
      <c r="AD13" s="210" t="s">
        <v>86</v>
      </c>
      <c r="AE13" s="211" t="n">
        <v>1007985</v>
      </c>
      <c r="AF13" s="201" t="s">
        <v>75</v>
      </c>
      <c r="AG13" s="128"/>
      <c r="AH13" s="128"/>
      <c r="AI13" s="203"/>
      <c r="BX13" s="205" t="n">
        <f aca="false">BV13*5+BW13*2</f>
        <v>0</v>
      </c>
    </row>
    <row r="14" customFormat="false" ht="15" hidden="false" customHeight="true" outlineLevel="0" collapsed="false">
      <c r="B14" s="127" t="n">
        <f aca="false">B13+D14-C14</f>
        <v>6969.23</v>
      </c>
      <c r="D14" s="146" t="n">
        <v>517.5</v>
      </c>
      <c r="E14" s="147" t="n">
        <v>2</v>
      </c>
      <c r="F14" s="147" t="n">
        <f aca="false">IFERROR(VLOOKUP(H14,$AD$1:$AE$301,2,0),"")</f>
        <v>1007969</v>
      </c>
      <c r="G14" s="147" t="str">
        <f aca="false">IFERROR(VLOOKUP(F14,$AE$2:$AF$290,2, 0),"")</f>
        <v>حقل</v>
      </c>
      <c r="H14" s="212" t="s">
        <v>309</v>
      </c>
      <c r="I14" s="183" t="n">
        <f aca="false">SUM(K14:R14)</f>
        <v>2</v>
      </c>
      <c r="J14" s="182" t="n">
        <v>45427</v>
      </c>
      <c r="K14" s="184"/>
      <c r="L14" s="185"/>
      <c r="M14" s="186"/>
      <c r="N14" s="213"/>
      <c r="O14" s="214"/>
      <c r="P14" s="215"/>
      <c r="Q14" s="190" t="n">
        <v>2</v>
      </c>
      <c r="R14" s="191"/>
      <c r="S14" s="192" t="n">
        <f aca="false">(K14+O14+Q14)*24 /1130+(L14+M14+P14+R14)*12/1130+(N14*30)/1130</f>
        <v>0.0424778761061947</v>
      </c>
      <c r="T14" s="193" t="n">
        <f aca="false">SUMIFS(K$3228:K$4138,$H$3228:$H$4138,$AD14)</f>
        <v>0</v>
      </c>
      <c r="U14" s="194" t="n">
        <f aca="false">SUMIFS(L$3228:L$4138,$H$3228:$H$4138,$AD14)</f>
        <v>0</v>
      </c>
      <c r="V14" s="195" t="n">
        <f aca="false">SUMIFS(M$3228:M$4138,$H$3228:$H$4138,$AD14)</f>
        <v>0</v>
      </c>
      <c r="W14" s="193" t="n">
        <f aca="false">SUMIFS(N$3228:N$4138,$H$3228:$H$4138,$AD14)</f>
        <v>0</v>
      </c>
      <c r="X14" s="193" t="n">
        <f aca="false">SUMIFS(O$3228:O$4138,$H$3228:$H$4138,$AD14)</f>
        <v>0</v>
      </c>
      <c r="Y14" s="196" t="n">
        <f aca="false">SUMIFS(P$3228:P$4138,$H$3228:$H$4138,$AD14)</f>
        <v>0</v>
      </c>
      <c r="Z14" s="193" t="n">
        <f aca="false">SUMIFS(Q$3228:Q$4138,$H$3228:$H$4138,$AD14)</f>
        <v>0</v>
      </c>
      <c r="AA14" s="195" t="n">
        <f aca="false">SUMIFS(R$3228:R$4138,$H$3228:$H$4138,$AD14)</f>
        <v>0</v>
      </c>
      <c r="AB14" s="197" t="n">
        <f aca="false">SUMIFS(S$3228:S$4138,$H$3228:$H$4138,$AD14)</f>
        <v>0</v>
      </c>
      <c r="AC14" s="198" t="n">
        <f aca="false">SUM(T14:AA14)</f>
        <v>0</v>
      </c>
      <c r="AD14" s="210" t="s">
        <v>87</v>
      </c>
      <c r="AE14" s="211" t="n">
        <v>1007986</v>
      </c>
      <c r="AF14" s="201" t="s">
        <v>75</v>
      </c>
      <c r="AG14" s="128"/>
      <c r="AH14" s="128"/>
      <c r="AI14" s="203"/>
      <c r="BX14" s="205" t="n">
        <f aca="false">BV14*5+BW14*2</f>
        <v>0</v>
      </c>
    </row>
    <row r="15" customFormat="false" ht="15" hidden="false" customHeight="true" outlineLevel="0" collapsed="false">
      <c r="B15" s="127" t="n">
        <f aca="false">B14+D15-C15</f>
        <v>7319.98</v>
      </c>
      <c r="D15" s="146" t="n">
        <v>350.75</v>
      </c>
      <c r="E15" s="147" t="n">
        <v>1</v>
      </c>
      <c r="F15" s="147" t="n">
        <f aca="false">IFERROR(VLOOKUP(H15,$AD$1:$AE$301,2,0),"")</f>
        <v>1007967</v>
      </c>
      <c r="G15" s="147" t="str">
        <f aca="false">IFERROR(VLOOKUP(F15,$AE$2:$AF$290,2, 0),"")</f>
        <v>حقل</v>
      </c>
      <c r="H15" s="212" t="s">
        <v>307</v>
      </c>
      <c r="I15" s="183" t="n">
        <f aca="false">SUM(K15:R15)</f>
        <v>2</v>
      </c>
      <c r="J15" s="182" t="n">
        <v>45427</v>
      </c>
      <c r="K15" s="184"/>
      <c r="L15" s="185"/>
      <c r="M15" s="186"/>
      <c r="N15" s="187"/>
      <c r="O15" s="188"/>
      <c r="P15" s="189"/>
      <c r="Q15" s="190" t="n">
        <v>2</v>
      </c>
      <c r="R15" s="191"/>
      <c r="S15" s="192" t="n">
        <f aca="false">(K15+O15+Q15)*24 /1130+(L15+M15+P15+R15)*12/1130+(N15*30)/1130</f>
        <v>0.0424778761061947</v>
      </c>
      <c r="T15" s="193" t="n">
        <f aca="false">SUMIFS(K$3228:K$4138,$H$3228:$H$4138,$AD15)</f>
        <v>0</v>
      </c>
      <c r="U15" s="194" t="n">
        <f aca="false">SUMIFS(L$3228:L$4138,$H$3228:$H$4138,$AD15)</f>
        <v>0</v>
      </c>
      <c r="V15" s="195" t="n">
        <f aca="false">SUMIFS(M$3228:M$4138,$H$3228:$H$4138,$AD15)</f>
        <v>0</v>
      </c>
      <c r="W15" s="193" t="n">
        <f aca="false">SUMIFS(N$3228:N$4138,$H$3228:$H$4138,$AD15)</f>
        <v>0</v>
      </c>
      <c r="X15" s="193" t="n">
        <f aca="false">SUMIFS(O$3228:O$4138,$H$3228:$H$4138,$AD15)</f>
        <v>0</v>
      </c>
      <c r="Y15" s="196" t="n">
        <f aca="false">SUMIFS(P$3228:P$4138,$H$3228:$H$4138,$AD15)</f>
        <v>0</v>
      </c>
      <c r="Z15" s="193" t="n">
        <f aca="false">SUMIFS(Q$3228:Q$4138,$H$3228:$H$4138,$AD15)</f>
        <v>0</v>
      </c>
      <c r="AA15" s="195" t="n">
        <f aca="false">SUMIFS(R$3228:R$4138,$H$3228:$H$4138,$AD15)</f>
        <v>0</v>
      </c>
      <c r="AB15" s="197" t="n">
        <f aca="false">SUMIFS(S$3228:S$4138,$H$3228:$H$4138,$AD15)</f>
        <v>0</v>
      </c>
      <c r="AC15" s="198" t="n">
        <f aca="false">SUM(T15:AA15)</f>
        <v>0</v>
      </c>
      <c r="AD15" s="210" t="s">
        <v>88</v>
      </c>
      <c r="AE15" s="211" t="n">
        <v>1007987</v>
      </c>
      <c r="AF15" s="201" t="s">
        <v>75</v>
      </c>
      <c r="AG15" s="128"/>
      <c r="AH15" s="128"/>
      <c r="AI15" s="203"/>
      <c r="BX15" s="205" t="n">
        <f aca="false">BV15*5+BW15*2</f>
        <v>0</v>
      </c>
    </row>
    <row r="16" customFormat="false" ht="15" hidden="false" customHeight="true" outlineLevel="0" collapsed="false">
      <c r="B16" s="127" t="n">
        <f aca="false">B15+D16-C16</f>
        <v>5853.98</v>
      </c>
      <c r="C16" s="127" t="n">
        <v>1466</v>
      </c>
      <c r="E16" s="212" t="s">
        <v>392</v>
      </c>
      <c r="F16" s="147" t="str">
        <f aca="false">IFERROR(VLOOKUP(H16,$AD$1:$AE$301,2,0),"")</f>
        <v/>
      </c>
      <c r="G16" s="147" t="str">
        <f aca="false">IFERROR(VLOOKUP(F16,$AE$2:$AF$290,2, 0),"")</f>
        <v/>
      </c>
      <c r="H16" s="212" t="s">
        <v>393</v>
      </c>
      <c r="I16" s="183" t="n">
        <f aca="false">SUM(K16:R16)</f>
        <v>0</v>
      </c>
      <c r="J16" s="182" t="n">
        <v>45431</v>
      </c>
      <c r="K16" s="184"/>
      <c r="L16" s="185"/>
      <c r="M16" s="186"/>
      <c r="N16" s="187"/>
      <c r="O16" s="188"/>
      <c r="P16" s="189"/>
      <c r="Q16" s="190"/>
      <c r="R16" s="191"/>
      <c r="S16" s="192" t="n">
        <f aca="false">(K16+O16+Q16)*24 /1130+(L16+M16+P16+R16)*12/1130+(N16*30)/1130</f>
        <v>0</v>
      </c>
      <c r="T16" s="193" t="n">
        <f aca="false">SUMIFS(K$3228:K$4138,$H$3228:$H$4138,$AD16)</f>
        <v>0</v>
      </c>
      <c r="U16" s="194" t="n">
        <f aca="false">SUMIFS(L$3228:L$4138,$H$3228:$H$4138,$AD16)</f>
        <v>0</v>
      </c>
      <c r="V16" s="195" t="n">
        <f aca="false">SUMIFS(M$3228:M$4138,$H$3228:$H$4138,$AD16)</f>
        <v>0</v>
      </c>
      <c r="W16" s="193" t="n">
        <f aca="false">SUMIFS(N$3228:N$4138,$H$3228:$H$4138,$AD16)</f>
        <v>0</v>
      </c>
      <c r="X16" s="193" t="n">
        <f aca="false">SUMIFS(O$3228:O$4138,$H$3228:$H$4138,$AD16)</f>
        <v>0</v>
      </c>
      <c r="Y16" s="196" t="n">
        <f aca="false">SUMIFS(P$3228:P$4138,$H$3228:$H$4138,$AD16)</f>
        <v>0</v>
      </c>
      <c r="Z16" s="193" t="n">
        <f aca="false">SUMIFS(Q$3228:Q$4138,$H$3228:$H$4138,$AD16)</f>
        <v>0</v>
      </c>
      <c r="AA16" s="195" t="n">
        <f aca="false">SUMIFS(R$3228:R$4138,$H$3228:$H$4138,$AD16)</f>
        <v>0</v>
      </c>
      <c r="AB16" s="197" t="n">
        <f aca="false">SUMIFS(S$3228:S$4138,$H$3228:$H$4138,$AD16)</f>
        <v>0</v>
      </c>
      <c r="AC16" s="198" t="n">
        <f aca="false">SUM(T16:AA16)</f>
        <v>0</v>
      </c>
      <c r="AD16" s="216" t="s">
        <v>89</v>
      </c>
      <c r="AE16" s="217" t="n">
        <v>1007988</v>
      </c>
      <c r="AF16" s="201" t="s">
        <v>75</v>
      </c>
      <c r="AG16" s="202" t="s">
        <v>394</v>
      </c>
      <c r="AH16" s="128" t="n">
        <v>501810695</v>
      </c>
      <c r="AI16" s="218" t="s">
        <v>395</v>
      </c>
      <c r="AJ16" s="162" t="n">
        <f aca="false">80+154+20</f>
        <v>254</v>
      </c>
      <c r="AL16" s="128" t="n">
        <f aca="false">59</f>
        <v>59</v>
      </c>
      <c r="AN16" s="128" t="n">
        <f aca="false">60+55+52</f>
        <v>167</v>
      </c>
      <c r="AP16" s="128" t="n">
        <f aca="false">14+72+41+15</f>
        <v>142</v>
      </c>
      <c r="AR16" s="128" t="n">
        <f aca="false">21+58</f>
        <v>79</v>
      </c>
      <c r="AT16" s="128" t="n">
        <f aca="false">10</f>
        <v>10</v>
      </c>
      <c r="AV16" s="128" t="n">
        <f aca="false">70+170</f>
        <v>240</v>
      </c>
      <c r="AX16" s="128" t="n">
        <f aca="false">80</f>
        <v>80</v>
      </c>
      <c r="BB16" s="128" t="n">
        <f aca="false">120</f>
        <v>120</v>
      </c>
      <c r="BH16" s="128" t="n">
        <f aca="false">70</f>
        <v>70</v>
      </c>
      <c r="BR16" s="128" t="n">
        <f aca="false">6+136</f>
        <v>142</v>
      </c>
      <c r="BS16" s="128" t="n">
        <f aca="false">4</f>
        <v>4</v>
      </c>
      <c r="BT16" s="128" t="n">
        <v>26</v>
      </c>
      <c r="BU16" s="128" t="n">
        <v>5</v>
      </c>
      <c r="BX16" s="205" t="n">
        <f aca="false">BV16*5+BW16*2</f>
        <v>0</v>
      </c>
      <c r="BZ16" s="162" t="n">
        <v>8</v>
      </c>
      <c r="CA16" s="157" t="n">
        <v>8</v>
      </c>
      <c r="CB16" s="219" t="n">
        <f aca="false">12+24</f>
        <v>36</v>
      </c>
      <c r="CC16" s="219" t="n">
        <v>30</v>
      </c>
      <c r="CO16" s="128" t="n">
        <f aca="false">5</f>
        <v>5</v>
      </c>
      <c r="CP16" s="128" t="n">
        <f aca="false">5</f>
        <v>5</v>
      </c>
      <c r="CQ16" s="128" t="n">
        <f aca="false">5</f>
        <v>5</v>
      </c>
    </row>
    <row r="17" customFormat="false" ht="15" hidden="false" customHeight="true" outlineLevel="0" collapsed="false">
      <c r="B17" s="127" t="n">
        <f aca="false">B16+D17-C17</f>
        <v>6371.48</v>
      </c>
      <c r="D17" s="146" t="n">
        <v>517.5</v>
      </c>
      <c r="E17" s="147" t="n">
        <v>5</v>
      </c>
      <c r="F17" s="147" t="n">
        <f aca="false">IFERROR(VLOOKUP(H17,$AD$1:$AE$301,2,0),"")</f>
        <v>1007974</v>
      </c>
      <c r="G17" s="147" t="str">
        <f aca="false">IFERROR(VLOOKUP(F17,$AE$2:$AF$290,2, 0),"")</f>
        <v>ضباء</v>
      </c>
      <c r="H17" s="212" t="s">
        <v>74</v>
      </c>
      <c r="I17" s="183" t="n">
        <f aca="false">SUM(K17:R17)</f>
        <v>2</v>
      </c>
      <c r="J17" s="182" t="n">
        <v>45431</v>
      </c>
      <c r="K17" s="184"/>
      <c r="L17" s="185"/>
      <c r="M17" s="186"/>
      <c r="N17" s="187"/>
      <c r="O17" s="188" t="n">
        <v>2</v>
      </c>
      <c r="P17" s="189"/>
      <c r="Q17" s="190"/>
      <c r="R17" s="191"/>
      <c r="S17" s="192" t="n">
        <f aca="false">(K17+O17+Q17)*24 /1130+(L17+M17+P17+R17)*12/1130+(N17*30)/1130</f>
        <v>0.0424778761061947</v>
      </c>
      <c r="T17" s="193" t="n">
        <f aca="false">SUMIFS(K$3228:K$4138,$H$3228:$H$4138,$AD17)</f>
        <v>0</v>
      </c>
      <c r="U17" s="194" t="n">
        <f aca="false">SUMIFS(L$3228:L$4138,$H$3228:$H$4138,$AD17)</f>
        <v>0</v>
      </c>
      <c r="V17" s="195" t="n">
        <f aca="false">SUMIFS(M$3228:M$4138,$H$3228:$H$4138,$AD17)</f>
        <v>0</v>
      </c>
      <c r="W17" s="193" t="n">
        <f aca="false">SUMIFS(N$3228:N$4138,$H$3228:$H$4138,$AD17)</f>
        <v>0</v>
      </c>
      <c r="X17" s="193" t="n">
        <f aca="false">SUMIFS(O$3228:O$4138,$H$3228:$H$4138,$AD17)</f>
        <v>0</v>
      </c>
      <c r="Y17" s="196" t="n">
        <f aca="false">SUMIFS(P$3228:P$4138,$H$3228:$H$4138,$AD17)</f>
        <v>0</v>
      </c>
      <c r="Z17" s="193" t="n">
        <f aca="false">SUMIFS(Q$3228:Q$4138,$H$3228:$H$4138,$AD17)</f>
        <v>0</v>
      </c>
      <c r="AA17" s="195" t="n">
        <f aca="false">SUMIFS(R$3228:R$4138,$H$3228:$H$4138,$AD17)</f>
        <v>0</v>
      </c>
      <c r="AB17" s="197" t="n">
        <f aca="false">SUMIFS(S$3228:S$4138,$H$3228:$H$4138,$AD17)</f>
        <v>0</v>
      </c>
      <c r="AC17" s="198" t="n">
        <f aca="false">SUM(T17:AA17)</f>
        <v>0</v>
      </c>
      <c r="AD17" s="210" t="s">
        <v>90</v>
      </c>
      <c r="AE17" s="211" t="n">
        <v>1007989</v>
      </c>
      <c r="AF17" s="201" t="s">
        <v>75</v>
      </c>
      <c r="AG17" s="202" t="s">
        <v>396</v>
      </c>
      <c r="AH17" s="128" t="n">
        <v>533260997</v>
      </c>
      <c r="AI17" s="203"/>
      <c r="AN17" s="128" t="n">
        <f aca="false">7+12+6+12</f>
        <v>37</v>
      </c>
      <c r="AP17" s="128" t="n">
        <f aca="false">12+19+17</f>
        <v>48</v>
      </c>
      <c r="AR17" s="128" t="n">
        <f aca="false">9+12</f>
        <v>21</v>
      </c>
      <c r="AT17" s="128" t="n">
        <f aca="false">9</f>
        <v>9</v>
      </c>
      <c r="AU17" s="128" t="n">
        <f aca="false">4+6</f>
        <v>10</v>
      </c>
      <c r="AV17" s="128" t="n">
        <f aca="false">10+16</f>
        <v>26</v>
      </c>
      <c r="AX17" s="128" t="n">
        <v>7</v>
      </c>
      <c r="AZ17" s="128" t="n">
        <f aca="false">6+13+4</f>
        <v>23</v>
      </c>
      <c r="BA17" s="128" t="n">
        <f aca="false">4</f>
        <v>4</v>
      </c>
      <c r="BX17" s="205" t="n">
        <f aca="false">BV17*5+BW17*2</f>
        <v>0</v>
      </c>
      <c r="BZ17" s="162" t="n">
        <v>2</v>
      </c>
      <c r="CA17" s="157" t="n">
        <v>4</v>
      </c>
    </row>
    <row r="18" customFormat="false" ht="15" hidden="false" customHeight="true" outlineLevel="0" collapsed="false">
      <c r="B18" s="127" t="n">
        <f aca="false">B17+D18-C18</f>
        <v>7003.98</v>
      </c>
      <c r="D18" s="146" t="n">
        <v>632.5</v>
      </c>
      <c r="E18" s="147" t="n">
        <v>6</v>
      </c>
      <c r="F18" s="147" t="n">
        <f aca="false">IFERROR(VLOOKUP(H18,$AD$1:$AE$301,2,0),"")</f>
        <v>1007979</v>
      </c>
      <c r="G18" s="147" t="str">
        <f aca="false">IFERROR(VLOOKUP(F18,$AE$2:$AF$290,2, 0),"")</f>
        <v>ضباء</v>
      </c>
      <c r="H18" s="212" t="s">
        <v>80</v>
      </c>
      <c r="I18" s="183" t="n">
        <f aca="false">SUM(K18:R18)</f>
        <v>2</v>
      </c>
      <c r="J18" s="182" t="n">
        <v>45431</v>
      </c>
      <c r="K18" s="184"/>
      <c r="L18" s="185"/>
      <c r="M18" s="186"/>
      <c r="N18" s="187" t="n">
        <v>2</v>
      </c>
      <c r="O18" s="188"/>
      <c r="P18" s="189"/>
      <c r="Q18" s="190"/>
      <c r="R18" s="191"/>
      <c r="S18" s="192" t="n">
        <f aca="false">(K18+O18+Q18)*24 /1130+(L18+M18+P18+R18)*12/1130+(N18*30)/1130</f>
        <v>0.0530973451327434</v>
      </c>
      <c r="T18" s="193" t="n">
        <f aca="false">SUMIFS(K$3228:K$4138,$H$3228:$H$4138,$AD18)</f>
        <v>0</v>
      </c>
      <c r="U18" s="194" t="n">
        <f aca="false">SUMIFS(L$3228:L$4138,$H$3228:$H$4138,$AD18)</f>
        <v>0</v>
      </c>
      <c r="V18" s="195" t="n">
        <f aca="false">SUMIFS(M$3228:M$4138,$H$3228:$H$4138,$AD18)</f>
        <v>0</v>
      </c>
      <c r="W18" s="193" t="n">
        <f aca="false">SUMIFS(N$3228:N$4138,$H$3228:$H$4138,$AD18)</f>
        <v>0</v>
      </c>
      <c r="X18" s="193" t="n">
        <f aca="false">SUMIFS(O$3228:O$4138,$H$3228:$H$4138,$AD18)</f>
        <v>0</v>
      </c>
      <c r="Y18" s="196" t="n">
        <f aca="false">SUMIFS(P$3228:P$4138,$H$3228:$H$4138,$AD18)</f>
        <v>0</v>
      </c>
      <c r="Z18" s="193" t="n">
        <f aca="false">SUMIFS(Q$3228:Q$4138,$H$3228:$H$4138,$AD18)</f>
        <v>0</v>
      </c>
      <c r="AA18" s="195" t="n">
        <f aca="false">SUMIFS(R$3228:R$4138,$H$3228:$H$4138,$AD18)</f>
        <v>0</v>
      </c>
      <c r="AB18" s="197" t="n">
        <f aca="false">SUMIFS(S$3228:S$4138,$H$3228:$H$4138,$AD18)</f>
        <v>0</v>
      </c>
      <c r="AC18" s="198" t="n">
        <f aca="false">SUM(T18:AA18)</f>
        <v>0</v>
      </c>
      <c r="AD18" s="210" t="s">
        <v>91</v>
      </c>
      <c r="AE18" s="211" t="n">
        <v>1007990</v>
      </c>
      <c r="AF18" s="201" t="s">
        <v>75</v>
      </c>
      <c r="AG18" s="128"/>
      <c r="AH18" s="128"/>
      <c r="AI18" s="203"/>
      <c r="AL18" s="157"/>
      <c r="AM18" s="157"/>
      <c r="BX18" s="205" t="n">
        <f aca="false">BV18*5+BW18*2</f>
        <v>0</v>
      </c>
    </row>
    <row r="19" customFormat="false" ht="15" hidden="false" customHeight="true" outlineLevel="0" collapsed="false">
      <c r="B19" s="127" t="n">
        <f aca="false">B18+D19-C19</f>
        <v>5853.98</v>
      </c>
      <c r="C19" s="127" t="n">
        <v>1150</v>
      </c>
      <c r="E19" s="212" t="s">
        <v>392</v>
      </c>
      <c r="F19" s="147" t="str">
        <f aca="false">IFERROR(VLOOKUP(H19,$AD$1:$AE$301,2,0),"")</f>
        <v/>
      </c>
      <c r="G19" s="147" t="str">
        <f aca="false">IFERROR(VLOOKUP(F19,$AE$2:$AF$290,2, 0),"")</f>
        <v/>
      </c>
      <c r="H19" s="212" t="s">
        <v>393</v>
      </c>
      <c r="I19" s="183" t="n">
        <f aca="false">SUM(K19:R19)</f>
        <v>0</v>
      </c>
      <c r="J19" s="182" t="n">
        <v>45432</v>
      </c>
      <c r="K19" s="184"/>
      <c r="L19" s="185"/>
      <c r="M19" s="186"/>
      <c r="N19" s="187"/>
      <c r="O19" s="188"/>
      <c r="P19" s="189"/>
      <c r="Q19" s="190"/>
      <c r="R19" s="191"/>
      <c r="S19" s="192" t="n">
        <f aca="false">(K19+O19+Q19)*24 /1130+(L19+M19+P19+R19)*12/1130+(N19*30)/1130</f>
        <v>0</v>
      </c>
      <c r="T19" s="193" t="n">
        <f aca="false">SUMIFS(K$3228:K$4138,$H$3228:$H$4138,$AD19)</f>
        <v>0</v>
      </c>
      <c r="U19" s="194" t="n">
        <f aca="false">SUMIFS(L$3228:L$4138,$H$3228:$H$4138,$AD19)</f>
        <v>0</v>
      </c>
      <c r="V19" s="195" t="n">
        <f aca="false">SUMIFS(M$3228:M$4138,$H$3228:$H$4138,$AD19)</f>
        <v>0</v>
      </c>
      <c r="W19" s="193" t="n">
        <f aca="false">SUMIFS(N$3228:N$4138,$H$3228:$H$4138,$AD19)</f>
        <v>0</v>
      </c>
      <c r="X19" s="193" t="n">
        <f aca="false">SUMIFS(O$3228:O$4138,$H$3228:$H$4138,$AD19)</f>
        <v>0</v>
      </c>
      <c r="Y19" s="196" t="n">
        <f aca="false">SUMIFS(P$3228:P$4138,$H$3228:$H$4138,$AD19)</f>
        <v>0</v>
      </c>
      <c r="Z19" s="193" t="n">
        <f aca="false">SUMIFS(Q$3228:Q$4138,$H$3228:$H$4138,$AD19)</f>
        <v>0</v>
      </c>
      <c r="AA19" s="195" t="n">
        <f aca="false">SUMIFS(R$3228:R$4138,$H$3228:$H$4138,$AD19)</f>
        <v>0</v>
      </c>
      <c r="AB19" s="197" t="n">
        <f aca="false">SUMIFS(S$3228:S$4138,$H$3228:$H$4138,$AD19)</f>
        <v>0</v>
      </c>
      <c r="AC19" s="198" t="n">
        <f aca="false">SUM(T19:AA19)</f>
        <v>0</v>
      </c>
      <c r="AD19" s="210" t="s">
        <v>92</v>
      </c>
      <c r="AE19" s="211" t="n">
        <v>1008050</v>
      </c>
      <c r="AF19" s="201" t="s">
        <v>75</v>
      </c>
      <c r="AG19" s="128"/>
      <c r="AH19" s="128"/>
      <c r="AI19" s="203"/>
      <c r="AK19" s="220"/>
      <c r="AL19" s="157"/>
      <c r="AM19" s="157"/>
      <c r="AO19" s="128" t="n">
        <v>28</v>
      </c>
      <c r="AQ19" s="128" t="n">
        <f aca="false">42</f>
        <v>42</v>
      </c>
      <c r="AT19" s="128" t="n">
        <f aca="false">20</f>
        <v>20</v>
      </c>
      <c r="AU19" s="128" t="n">
        <f aca="false">36</f>
        <v>36</v>
      </c>
      <c r="BX19" s="205" t="n">
        <f aca="false">BV19*5+BW19*2</f>
        <v>0</v>
      </c>
      <c r="CA19" s="157" t="n">
        <v>2</v>
      </c>
      <c r="CB19" s="206" t="n">
        <f aca="false">12+12</f>
        <v>24</v>
      </c>
    </row>
    <row r="20" customFormat="false" ht="15" hidden="false" customHeight="true" outlineLevel="0" collapsed="false">
      <c r="B20" s="127" t="n">
        <f aca="false">B19+D20-C20</f>
        <v>6170.23</v>
      </c>
      <c r="D20" s="146" t="n">
        <v>316.25</v>
      </c>
      <c r="E20" s="147" t="n">
        <v>7</v>
      </c>
      <c r="F20" s="147" t="n">
        <f aca="false">IFERROR(VLOOKUP(H20,$AD$1:$AE$301,2,0),"")</f>
        <v>1007979</v>
      </c>
      <c r="G20" s="147" t="str">
        <f aca="false">IFERROR(VLOOKUP(F20,$AE$2:$AF$290,2, 0),"")</f>
        <v>ضباء</v>
      </c>
      <c r="H20" s="212" t="s">
        <v>80</v>
      </c>
      <c r="I20" s="183" t="n">
        <f aca="false">SUM(K20:R20)</f>
        <v>1</v>
      </c>
      <c r="J20" s="182" t="n">
        <v>45433</v>
      </c>
      <c r="K20" s="184"/>
      <c r="L20" s="185"/>
      <c r="M20" s="186"/>
      <c r="N20" s="187" t="n">
        <v>1</v>
      </c>
      <c r="O20" s="188"/>
      <c r="P20" s="189"/>
      <c r="Q20" s="190"/>
      <c r="R20" s="191"/>
      <c r="S20" s="192" t="n">
        <f aca="false">(K20+O20+Q20)*24 /1130+(L20+M20+P20+R20)*12/1130+(N20*30)/1130</f>
        <v>0.0265486725663717</v>
      </c>
      <c r="T20" s="193" t="n">
        <f aca="false">SUMIFS(K$3228:K$4138,$H$3228:$H$4138,$AD20)</f>
        <v>0</v>
      </c>
      <c r="U20" s="194" t="n">
        <f aca="false">SUMIFS(L$3228:L$4138,$H$3228:$H$4138,$AD20)</f>
        <v>0</v>
      </c>
      <c r="V20" s="195" t="n">
        <f aca="false">SUMIFS(M$3228:M$4138,$H$3228:$H$4138,$AD20)</f>
        <v>0</v>
      </c>
      <c r="W20" s="193" t="n">
        <f aca="false">SUMIFS(N$3228:N$4138,$H$3228:$H$4138,$AD20)</f>
        <v>0</v>
      </c>
      <c r="X20" s="193" t="n">
        <f aca="false">SUMIFS(O$3228:O$4138,$H$3228:$H$4138,$AD20)</f>
        <v>0</v>
      </c>
      <c r="Y20" s="196" t="n">
        <f aca="false">SUMIFS(P$3228:P$4138,$H$3228:$H$4138,$AD20)</f>
        <v>0</v>
      </c>
      <c r="Z20" s="193" t="n">
        <f aca="false">SUMIFS(Q$3228:Q$4138,$H$3228:$H$4138,$AD20)</f>
        <v>0</v>
      </c>
      <c r="AA20" s="195" t="n">
        <f aca="false">SUMIFS(R$3228:R$4138,$H$3228:$H$4138,$AD20)</f>
        <v>0</v>
      </c>
      <c r="AB20" s="197" t="n">
        <f aca="false">SUMIFS(S$3228:S$4138,$H$3228:$H$4138,$AD20)</f>
        <v>0</v>
      </c>
      <c r="AC20" s="198" t="n">
        <f aca="false">SUM(T20:AA20)</f>
        <v>0</v>
      </c>
      <c r="AD20" s="210" t="s">
        <v>93</v>
      </c>
      <c r="AE20" s="211" t="n">
        <v>1008052</v>
      </c>
      <c r="AF20" s="201" t="s">
        <v>75</v>
      </c>
      <c r="AG20" s="128"/>
      <c r="AH20" s="128"/>
      <c r="AI20" s="203"/>
      <c r="AK20" s="220"/>
      <c r="AL20" s="157"/>
      <c r="AM20" s="157"/>
      <c r="BX20" s="205" t="n">
        <f aca="false">BV20*5+BW20*2</f>
        <v>0</v>
      </c>
    </row>
    <row r="21" customFormat="false" ht="15" hidden="false" customHeight="true" outlineLevel="0" collapsed="false">
      <c r="B21" s="127" t="n">
        <f aca="false">B20+D21-C21</f>
        <v>6739.48</v>
      </c>
      <c r="D21" s="146" t="n">
        <v>569.25</v>
      </c>
      <c r="E21" s="147" t="n">
        <v>8</v>
      </c>
      <c r="F21" s="147" t="n">
        <f aca="false">IFERROR(VLOOKUP(H21,$AD$1:$AE$301,2,0),"")</f>
        <v>1007988</v>
      </c>
      <c r="G21" s="147" t="str">
        <f aca="false">IFERROR(VLOOKUP(F21,$AE$2:$AF$290,2, 0),"")</f>
        <v>ضباء</v>
      </c>
      <c r="H21" s="212" t="s">
        <v>89</v>
      </c>
      <c r="I21" s="183" t="n">
        <f aca="false">SUM(K21:R21)</f>
        <v>2</v>
      </c>
      <c r="J21" s="182" t="n">
        <v>45433</v>
      </c>
      <c r="K21" s="184" t="n">
        <v>1</v>
      </c>
      <c r="L21" s="185"/>
      <c r="M21" s="186" t="n">
        <v>1</v>
      </c>
      <c r="N21" s="187"/>
      <c r="O21" s="188"/>
      <c r="P21" s="189"/>
      <c r="Q21" s="190"/>
      <c r="R21" s="191"/>
      <c r="S21" s="192" t="n">
        <f aca="false">(K21+O21+Q21)*24 /1130+(L21+M21+P21+R21)*12/1130+(N21*30)/1130</f>
        <v>0.031858407079646</v>
      </c>
      <c r="T21" s="193" t="n">
        <f aca="false">SUMIFS(K$3228:K$4138,$H$3228:$H$4138,$AD21)</f>
        <v>0</v>
      </c>
      <c r="U21" s="194" t="n">
        <f aca="false">SUMIFS(L$3228:L$4138,$H$3228:$H$4138,$AD21)</f>
        <v>0</v>
      </c>
      <c r="V21" s="195" t="n">
        <f aca="false">SUMIFS(M$3228:M$4138,$H$3228:$H$4138,$AD21)</f>
        <v>0</v>
      </c>
      <c r="W21" s="193" t="n">
        <f aca="false">SUMIFS(N$3228:N$4138,$H$3228:$H$4138,$AD21)</f>
        <v>0</v>
      </c>
      <c r="X21" s="193" t="n">
        <f aca="false">SUMIFS(O$3228:O$4138,$H$3228:$H$4138,$AD21)</f>
        <v>0</v>
      </c>
      <c r="Y21" s="196" t="n">
        <f aca="false">SUMIFS(P$3228:P$4138,$H$3228:$H$4138,$AD21)</f>
        <v>0</v>
      </c>
      <c r="Z21" s="193" t="n">
        <f aca="false">SUMIFS(Q$3228:Q$4138,$H$3228:$H$4138,$AD21)</f>
        <v>0</v>
      </c>
      <c r="AA21" s="195" t="n">
        <f aca="false">SUMIFS(R$3228:R$4138,$H$3228:$H$4138,$AD21)</f>
        <v>0</v>
      </c>
      <c r="AB21" s="197" t="n">
        <f aca="false">SUMIFS(S$3228:S$4138,$H$3228:$H$4138,$AD21)</f>
        <v>0</v>
      </c>
      <c r="AC21" s="198" t="n">
        <f aca="false">SUM(T21:AA21)</f>
        <v>0</v>
      </c>
      <c r="AD21" s="216" t="s">
        <v>94</v>
      </c>
      <c r="AE21" s="217" t="n">
        <v>1008022</v>
      </c>
      <c r="AF21" s="201" t="s">
        <v>75</v>
      </c>
      <c r="AG21" s="202" t="s">
        <v>397</v>
      </c>
      <c r="AH21" s="128" t="n">
        <v>502629397</v>
      </c>
      <c r="AI21" s="218" t="s">
        <v>398</v>
      </c>
      <c r="AJ21" s="162" t="n">
        <f aca="false">23+4</f>
        <v>27</v>
      </c>
      <c r="AP21" s="128" t="n">
        <v>52</v>
      </c>
      <c r="AR21" s="128" t="n">
        <f aca="false">15</f>
        <v>15</v>
      </c>
      <c r="BN21" s="128" t="n">
        <f aca="false">8</f>
        <v>8</v>
      </c>
      <c r="BO21" s="128" t="n">
        <f aca="false">8</f>
        <v>8</v>
      </c>
      <c r="BT21" s="128" t="n">
        <v>23</v>
      </c>
      <c r="BX21" s="205" t="n">
        <f aca="false">BV21*5+BW21*2</f>
        <v>0</v>
      </c>
      <c r="BY21" s="128" t="n">
        <v>4</v>
      </c>
      <c r="BZ21" s="162" t="n">
        <v>2</v>
      </c>
      <c r="CA21" s="206" t="n">
        <v>5</v>
      </c>
      <c r="CB21" s="219" t="n">
        <f aca="false">12+24</f>
        <v>36</v>
      </c>
      <c r="CC21" s="219" t="n">
        <f aca="false">31</f>
        <v>31</v>
      </c>
      <c r="CD21" s="157" t="n">
        <v>1</v>
      </c>
    </row>
    <row r="22" customFormat="false" ht="15" hidden="false" customHeight="true" outlineLevel="0" collapsed="false">
      <c r="B22" s="127" t="n">
        <f aca="false">B21+D22-C22</f>
        <v>5853.98</v>
      </c>
      <c r="C22" s="127" t="n">
        <v>885.5</v>
      </c>
      <c r="E22" s="212" t="s">
        <v>399</v>
      </c>
      <c r="F22" s="147" t="str">
        <f aca="false">IFERROR(VLOOKUP(H22,$AD$1:$AE$301,2,0),"")</f>
        <v/>
      </c>
      <c r="G22" s="147" t="str">
        <f aca="false">IFERROR(VLOOKUP(F22,$AE$2:$AF$290,2, 0),"")</f>
        <v/>
      </c>
      <c r="H22" s="212" t="s">
        <v>393</v>
      </c>
      <c r="I22" s="183" t="n">
        <f aca="false">SUM(K22:R22)</f>
        <v>0</v>
      </c>
      <c r="J22" s="182" t="n">
        <v>45431</v>
      </c>
      <c r="K22" s="184"/>
      <c r="L22" s="185"/>
      <c r="M22" s="186"/>
      <c r="N22" s="187"/>
      <c r="O22" s="188"/>
      <c r="P22" s="189"/>
      <c r="Q22" s="190"/>
      <c r="R22" s="191"/>
      <c r="S22" s="192" t="n">
        <f aca="false">(K22+O22+Q22)*24 /1130+(L22+M22+P22+R22)*12/1130+(N22*30)/1130</f>
        <v>0</v>
      </c>
      <c r="T22" s="193" t="n">
        <f aca="false">SUMIFS(K$3228:K$4138,$H$3228:$H$4138,$AD22)</f>
        <v>0</v>
      </c>
      <c r="U22" s="194" t="n">
        <f aca="false">SUMIFS(L$3228:L$4138,$H$3228:$H$4138,$AD22)</f>
        <v>0</v>
      </c>
      <c r="V22" s="195" t="n">
        <f aca="false">SUMIFS(M$3228:M$4138,$H$3228:$H$4138,$AD22)</f>
        <v>0</v>
      </c>
      <c r="W22" s="193" t="n">
        <f aca="false">SUMIFS(N$3228:N$4138,$H$3228:$H$4138,$AD22)</f>
        <v>0</v>
      </c>
      <c r="X22" s="193" t="n">
        <f aca="false">SUMIFS(O$3228:O$4138,$H$3228:$H$4138,$AD22)</f>
        <v>0</v>
      </c>
      <c r="Y22" s="196" t="n">
        <f aca="false">SUMIFS(P$3228:P$4138,$H$3228:$H$4138,$AD22)</f>
        <v>0</v>
      </c>
      <c r="Z22" s="193" t="n">
        <f aca="false">SUMIFS(Q$3228:Q$4138,$H$3228:$H$4138,$AD22)</f>
        <v>0</v>
      </c>
      <c r="AA22" s="195" t="n">
        <f aca="false">SUMIFS(R$3228:R$4138,$H$3228:$H$4138,$AD22)</f>
        <v>0</v>
      </c>
      <c r="AB22" s="197" t="n">
        <f aca="false">SUMIFS(S$3228:S$4138,$H$3228:$H$4138,$AD22)</f>
        <v>0</v>
      </c>
      <c r="AC22" s="198" t="n">
        <f aca="false">SUM(T22:AA22)</f>
        <v>0</v>
      </c>
      <c r="AD22" s="216" t="s">
        <v>95</v>
      </c>
      <c r="AE22" s="217" t="n">
        <v>1008023</v>
      </c>
      <c r="AF22" s="201" t="s">
        <v>75</v>
      </c>
      <c r="AG22" s="202" t="s">
        <v>400</v>
      </c>
      <c r="AH22" s="128" t="n">
        <v>544533737</v>
      </c>
      <c r="AI22" s="203"/>
      <c r="AZ22" s="128" t="n">
        <f aca="false">7</f>
        <v>7</v>
      </c>
      <c r="BD22" s="128" t="n">
        <f aca="false">11</f>
        <v>11</v>
      </c>
      <c r="BF22" s="157" t="n">
        <f aca="false">5</f>
        <v>5</v>
      </c>
      <c r="BX22" s="205" t="n">
        <f aca="false">BV22*5+BW22*2</f>
        <v>0</v>
      </c>
      <c r="CB22" s="219" t="n">
        <f aca="false">12+36+36</f>
        <v>84</v>
      </c>
      <c r="CC22" s="219" t="n">
        <f aca="false">31+30</f>
        <v>61</v>
      </c>
    </row>
    <row r="23" customFormat="false" ht="15" hidden="false" customHeight="true" outlineLevel="0" collapsed="false">
      <c r="B23" s="127" t="n">
        <f aca="false">B22+D23-C23-0.97</f>
        <v>0.00999999999956347</v>
      </c>
      <c r="C23" s="127" t="n">
        <v>5853</v>
      </c>
      <c r="E23" s="212" t="s">
        <v>392</v>
      </c>
      <c r="F23" s="147" t="str">
        <f aca="false">IFERROR(VLOOKUP(H23,$AD$1:$AE$301,2,0),"")</f>
        <v/>
      </c>
      <c r="G23" s="147" t="str">
        <f aca="false">IFERROR(VLOOKUP(F23,$AE$2:$AF$290,2, 0),"")</f>
        <v/>
      </c>
      <c r="H23" s="212" t="s">
        <v>393</v>
      </c>
      <c r="I23" s="183" t="n">
        <f aca="false">SUM(K23:R23)</f>
        <v>0</v>
      </c>
      <c r="J23" s="182" t="n">
        <v>45431</v>
      </c>
      <c r="K23" s="184"/>
      <c r="L23" s="185"/>
      <c r="M23" s="186"/>
      <c r="N23" s="187"/>
      <c r="O23" s="188"/>
      <c r="P23" s="189"/>
      <c r="Q23" s="190"/>
      <c r="R23" s="191"/>
      <c r="S23" s="192" t="n">
        <f aca="false">(K23+O23+Q23)*24 /1130+(L23+M23+P23+R23)*12/1130+(N23*30)/1130</f>
        <v>0</v>
      </c>
      <c r="T23" s="193" t="n">
        <f aca="false">SUMIFS(K$3228:K$4138,$H$3228:$H$4138,$AD23)</f>
        <v>0</v>
      </c>
      <c r="U23" s="194" t="n">
        <f aca="false">SUMIFS(L$3228:L$4138,$H$3228:$H$4138,$AD23)</f>
        <v>0</v>
      </c>
      <c r="V23" s="195" t="n">
        <f aca="false">SUMIFS(M$3228:M$4138,$H$3228:$H$4138,$AD23)</f>
        <v>0</v>
      </c>
      <c r="W23" s="193" t="n">
        <f aca="false">SUMIFS(N$3228:N$4138,$H$3228:$H$4138,$AD23)</f>
        <v>0</v>
      </c>
      <c r="X23" s="193" t="n">
        <f aca="false">SUMIFS(O$3228:O$4138,$H$3228:$H$4138,$AD23)</f>
        <v>0</v>
      </c>
      <c r="Y23" s="196" t="n">
        <f aca="false">SUMIFS(P$3228:P$4138,$H$3228:$H$4138,$AD23)</f>
        <v>0</v>
      </c>
      <c r="Z23" s="193" t="n">
        <f aca="false">SUMIFS(Q$3228:Q$4138,$H$3228:$H$4138,$AD23)</f>
        <v>0</v>
      </c>
      <c r="AA23" s="195" t="n">
        <f aca="false">SUMIFS(R$3228:R$4138,$H$3228:$H$4138,$AD23)</f>
        <v>0</v>
      </c>
      <c r="AB23" s="197" t="n">
        <f aca="false">SUMIFS(S$3228:S$4138,$H$3228:$H$4138,$AD23)</f>
        <v>0</v>
      </c>
      <c r="AC23" s="198" t="n">
        <f aca="false">SUM(T23:AA23)</f>
        <v>0</v>
      </c>
      <c r="AD23" s="216" t="s">
        <v>96</v>
      </c>
      <c r="AE23" s="217" t="n">
        <v>1008024</v>
      </c>
      <c r="AF23" s="201" t="s">
        <v>75</v>
      </c>
      <c r="AG23" s="202" t="s">
        <v>401</v>
      </c>
      <c r="AH23" s="128" t="n">
        <v>500097858</v>
      </c>
      <c r="AI23" s="218" t="s">
        <v>402</v>
      </c>
      <c r="AJ23" s="162" t="n">
        <f aca="false">2+10</f>
        <v>12</v>
      </c>
      <c r="AK23" s="162" t="n">
        <v>19</v>
      </c>
      <c r="AL23" s="128" t="n">
        <f aca="false">32+77</f>
        <v>109</v>
      </c>
      <c r="AM23" s="128" t="n">
        <v>41</v>
      </c>
      <c r="AN23" s="128" t="n">
        <f aca="false">106+40+11+11</f>
        <v>168</v>
      </c>
      <c r="AO23" s="157" t="n">
        <f aca="false">15+13</f>
        <v>28</v>
      </c>
      <c r="AP23" s="128" t="n">
        <f aca="false">40+50</f>
        <v>90</v>
      </c>
      <c r="AR23" s="128" t="n">
        <f aca="false">45+20</f>
        <v>65</v>
      </c>
      <c r="AT23" s="128" t="n">
        <f aca="false">50+58+40</f>
        <v>148</v>
      </c>
      <c r="AV23" s="128" t="n">
        <f aca="false">70+20</f>
        <v>90</v>
      </c>
      <c r="AX23" s="128" t="n">
        <f aca="false">70+20</f>
        <v>90</v>
      </c>
      <c r="AZ23" s="128" t="n">
        <v>68</v>
      </c>
      <c r="BB23" s="128" t="n">
        <f aca="false">20</f>
        <v>20</v>
      </c>
      <c r="BH23" s="128" t="n">
        <f aca="false">4</f>
        <v>4</v>
      </c>
      <c r="BJ23" s="128" t="n">
        <f aca="false">11</f>
        <v>11</v>
      </c>
      <c r="BK23" s="128" t="n">
        <f aca="false">8</f>
        <v>8</v>
      </c>
      <c r="BX23" s="205" t="n">
        <f aca="false">BV23*5+BW23*2</f>
        <v>0</v>
      </c>
      <c r="BZ23" s="162" t="n">
        <v>7</v>
      </c>
      <c r="CA23" s="206" t="n">
        <v>6</v>
      </c>
      <c r="CB23" s="219" t="n">
        <f aca="false">12+24</f>
        <v>36</v>
      </c>
      <c r="CC23" s="219" t="n">
        <v>30</v>
      </c>
    </row>
    <row r="24" customFormat="false" ht="15" hidden="false" customHeight="true" outlineLevel="0" collapsed="false">
      <c r="B24" s="127" t="n">
        <f aca="false">B23+D24-C24</f>
        <v>764.76</v>
      </c>
      <c r="D24" s="146" t="n">
        <v>764.75</v>
      </c>
      <c r="E24" s="147" t="n">
        <v>21</v>
      </c>
      <c r="F24" s="147" t="n">
        <f aca="false">IFERROR(VLOOKUP(H24,$AD$1:$AE$301,2,0),"")</f>
        <v>1008028</v>
      </c>
      <c r="G24" s="147" t="str">
        <f aca="false">IFERROR(VLOOKUP(F24,$AE$2:$AF$290,2, 0),"")</f>
        <v>ضباء</v>
      </c>
      <c r="H24" s="212" t="s">
        <v>99</v>
      </c>
      <c r="I24" s="183" t="n">
        <f aca="false">SUM(K24:R24)</f>
        <v>3</v>
      </c>
      <c r="J24" s="182" t="n">
        <v>45439</v>
      </c>
      <c r="K24" s="184" t="n">
        <v>1</v>
      </c>
      <c r="L24" s="185"/>
      <c r="M24" s="186" t="n">
        <v>1</v>
      </c>
      <c r="N24" s="187"/>
      <c r="O24" s="188"/>
      <c r="P24" s="189"/>
      <c r="Q24" s="190"/>
      <c r="R24" s="191" t="n">
        <v>1</v>
      </c>
      <c r="S24" s="192" t="n">
        <f aca="false">(K24+O24+Q24)*24 /1130+(L24+M24+P24+R24)*12/1130+(N24*30)/1130</f>
        <v>0.0424778761061947</v>
      </c>
      <c r="T24" s="193" t="n">
        <f aca="false">SUMIFS(K$3228:K$4138,$H$3228:$H$4138,$AD24)</f>
        <v>0</v>
      </c>
      <c r="U24" s="194" t="n">
        <f aca="false">SUMIFS(L$3228:L$4138,$H$3228:$H$4138,$AD24)</f>
        <v>0</v>
      </c>
      <c r="V24" s="195" t="n">
        <f aca="false">SUMIFS(M$3228:M$4138,$H$3228:$H$4138,$AD24)</f>
        <v>0</v>
      </c>
      <c r="W24" s="193" t="n">
        <f aca="false">SUMIFS(N$3228:N$4138,$H$3228:$H$4138,$AD24)</f>
        <v>0</v>
      </c>
      <c r="X24" s="193" t="n">
        <f aca="false">SUMIFS(O$3228:O$4138,$H$3228:$H$4138,$AD24)</f>
        <v>0</v>
      </c>
      <c r="Y24" s="196" t="n">
        <f aca="false">SUMIFS(P$3228:P$4138,$H$3228:$H$4138,$AD24)</f>
        <v>0</v>
      </c>
      <c r="Z24" s="193" t="n">
        <f aca="false">SUMIFS(Q$3228:Q$4138,$H$3228:$H$4138,$AD24)</f>
        <v>0</v>
      </c>
      <c r="AA24" s="195" t="n">
        <f aca="false">SUMIFS(R$3228:R$4138,$H$3228:$H$4138,$AD24)</f>
        <v>0</v>
      </c>
      <c r="AB24" s="197" t="n">
        <f aca="false">SUMIFS(S$3228:S$4138,$H$3228:$H$4138,$AD24)</f>
        <v>0</v>
      </c>
      <c r="AC24" s="198" t="n">
        <f aca="false">SUM(T24:AA24)</f>
        <v>0</v>
      </c>
      <c r="AD24" s="216" t="s">
        <v>97</v>
      </c>
      <c r="AE24" s="217" t="n">
        <v>1008025</v>
      </c>
      <c r="AF24" s="201" t="s">
        <v>75</v>
      </c>
      <c r="AG24" s="202" t="s">
        <v>403</v>
      </c>
      <c r="AH24" s="128" t="n">
        <v>501727433</v>
      </c>
      <c r="AI24" s="218" t="s">
        <v>404</v>
      </c>
      <c r="AJ24" s="162" t="n">
        <v>8</v>
      </c>
      <c r="AM24" s="128" t="n">
        <v>4</v>
      </c>
      <c r="AO24" s="127"/>
      <c r="AP24" s="128" t="n">
        <f aca="false">7</f>
        <v>7</v>
      </c>
      <c r="BB24" s="128" t="n">
        <f aca="false">14</f>
        <v>14</v>
      </c>
      <c r="BH24" s="128" t="n">
        <f aca="false">7</f>
        <v>7</v>
      </c>
      <c r="BJ24" s="128" t="n">
        <f aca="false">12+7</f>
        <v>19</v>
      </c>
      <c r="BL24" s="128" t="n">
        <f aca="false">8</f>
        <v>8</v>
      </c>
      <c r="BV24" s="128" t="n">
        <f aca="false">10+7</f>
        <v>17</v>
      </c>
      <c r="BX24" s="205" t="n">
        <f aca="false">BV24*5+BW24*2</f>
        <v>85</v>
      </c>
      <c r="BZ24" s="162" t="n">
        <v>2</v>
      </c>
      <c r="CA24" s="157" t="n">
        <v>1</v>
      </c>
      <c r="CB24" s="157" t="n">
        <v>12</v>
      </c>
    </row>
    <row r="25" customFormat="false" ht="15" hidden="false" customHeight="true" outlineLevel="0" collapsed="false">
      <c r="B25" s="127" t="n">
        <f aca="false">B24+D25-C25</f>
        <v>1081.01</v>
      </c>
      <c r="D25" s="146" t="n">
        <v>316.25</v>
      </c>
      <c r="E25" s="147" t="n">
        <v>20</v>
      </c>
      <c r="F25" s="147" t="n">
        <f aca="false">IFERROR(VLOOKUP(H25,$AD$1:$AE$301,2,0),"")</f>
        <v>1008027</v>
      </c>
      <c r="G25" s="147" t="str">
        <f aca="false">IFERROR(VLOOKUP(F25,$AE$2:$AF$290,2, 0),"")</f>
        <v>ضباء</v>
      </c>
      <c r="H25" s="212" t="s">
        <v>100</v>
      </c>
      <c r="I25" s="183" t="n">
        <f aca="false">SUM(K25:R25)</f>
        <v>1</v>
      </c>
      <c r="J25" s="182" t="n">
        <v>45439</v>
      </c>
      <c r="K25" s="184" t="n">
        <v>1</v>
      </c>
      <c r="L25" s="185"/>
      <c r="M25" s="186"/>
      <c r="N25" s="187"/>
      <c r="O25" s="188"/>
      <c r="P25" s="189"/>
      <c r="Q25" s="190"/>
      <c r="R25" s="191"/>
      <c r="S25" s="192" t="n">
        <f aca="false">(K25+O25+Q25)*24 /1130+(L25+M25+P25+R25)*12/1130+(N25*30)/1130</f>
        <v>0.0212389380530973</v>
      </c>
      <c r="T25" s="193" t="n">
        <f aca="false">SUMIFS(K$3228:K$4138,$H$3228:$H$4138,$AD25)</f>
        <v>0</v>
      </c>
      <c r="U25" s="194" t="n">
        <f aca="false">SUMIFS(L$3228:L$4138,$H$3228:$H$4138,$AD25)</f>
        <v>0</v>
      </c>
      <c r="V25" s="195" t="n">
        <f aca="false">SUMIFS(M$3228:M$4138,$H$3228:$H$4138,$AD25)</f>
        <v>0</v>
      </c>
      <c r="W25" s="193" t="n">
        <f aca="false">SUMIFS(N$3228:N$4138,$H$3228:$H$4138,$AD25)</f>
        <v>0</v>
      </c>
      <c r="X25" s="193" t="n">
        <f aca="false">SUMIFS(O$3228:O$4138,$H$3228:$H$4138,$AD25)</f>
        <v>0</v>
      </c>
      <c r="Y25" s="196" t="n">
        <f aca="false">SUMIFS(P$3228:P$4138,$H$3228:$H$4138,$AD25)</f>
        <v>0</v>
      </c>
      <c r="Z25" s="193" t="n">
        <f aca="false">SUMIFS(Q$3228:Q$4138,$H$3228:$H$4138,$AD25)</f>
        <v>0</v>
      </c>
      <c r="AA25" s="195" t="n">
        <f aca="false">SUMIFS(R$3228:R$4138,$H$3228:$H$4138,$AD25)</f>
        <v>0</v>
      </c>
      <c r="AB25" s="197" t="n">
        <f aca="false">SUMIFS(S$3228:S$4138,$H$3228:$H$4138,$AD25)</f>
        <v>0</v>
      </c>
      <c r="AC25" s="198" t="n">
        <f aca="false">SUM(T25:AA25)</f>
        <v>0</v>
      </c>
      <c r="AD25" s="221" t="s">
        <v>98</v>
      </c>
      <c r="AE25" s="222" t="n">
        <v>1301</v>
      </c>
      <c r="AF25" s="223" t="s">
        <v>75</v>
      </c>
      <c r="AG25" s="224" t="s">
        <v>405</v>
      </c>
      <c r="AH25" s="224" t="n">
        <v>536199319</v>
      </c>
      <c r="AI25" s="218" t="s">
        <v>406</v>
      </c>
      <c r="BV25" s="128" t="n">
        <v>69</v>
      </c>
      <c r="BX25" s="205" t="n">
        <f aca="false">BV25*5+BW25*2</f>
        <v>345</v>
      </c>
    </row>
    <row r="26" customFormat="false" ht="15" hidden="false" customHeight="true" outlineLevel="0" collapsed="false">
      <c r="B26" s="127" t="n">
        <f aca="false">B25+D26-C26</f>
        <v>2047.01</v>
      </c>
      <c r="D26" s="146" t="n">
        <v>966</v>
      </c>
      <c r="E26" s="147" t="n">
        <v>19</v>
      </c>
      <c r="F26" s="147" t="n">
        <f aca="false">IFERROR(VLOOKUP(H26,$AD$1:$AE$301,2,0),"")</f>
        <v>1007988</v>
      </c>
      <c r="G26" s="147" t="str">
        <f aca="false">IFERROR(VLOOKUP(F26,$AE$2:$AF$290,2, 0),"")</f>
        <v>ضباء</v>
      </c>
      <c r="H26" s="212" t="s">
        <v>89</v>
      </c>
      <c r="I26" s="183" t="n">
        <f aca="false">SUM(K26:R26)</f>
        <v>4</v>
      </c>
      <c r="J26" s="182" t="n">
        <v>45439</v>
      </c>
      <c r="K26" s="184"/>
      <c r="L26" s="185"/>
      <c r="M26" s="186" t="n">
        <v>4</v>
      </c>
      <c r="N26" s="187"/>
      <c r="O26" s="188"/>
      <c r="P26" s="189"/>
      <c r="Q26" s="190"/>
      <c r="R26" s="191"/>
      <c r="S26" s="192" t="n">
        <f aca="false">(K26+O26+Q26)*24 /1130+(L26+M26+P26+R26)*12/1130+(N26*30)/1130</f>
        <v>0.0424778761061947</v>
      </c>
      <c r="T26" s="193" t="n">
        <f aca="false">SUMIFS(K$3228:K$4138,$H$3228:$H$4138,$AD26)</f>
        <v>0</v>
      </c>
      <c r="U26" s="194" t="n">
        <f aca="false">SUMIFS(L$3228:L$4138,$H$3228:$H$4138,$AD26)</f>
        <v>0</v>
      </c>
      <c r="V26" s="195" t="n">
        <f aca="false">SUMIFS(M$3228:M$4138,$H$3228:$H$4138,$AD26)</f>
        <v>0</v>
      </c>
      <c r="W26" s="193" t="n">
        <f aca="false">SUMIFS(N$3228:N$4138,$H$3228:$H$4138,$AD26)</f>
        <v>0</v>
      </c>
      <c r="X26" s="193" t="n">
        <f aca="false">SUMIFS(O$3228:O$4138,$H$3228:$H$4138,$AD26)</f>
        <v>0</v>
      </c>
      <c r="Y26" s="196" t="n">
        <f aca="false">SUMIFS(P$3228:P$4138,$H$3228:$H$4138,$AD26)</f>
        <v>0</v>
      </c>
      <c r="Z26" s="193" t="n">
        <f aca="false">SUMIFS(Q$3228:Q$4138,$H$3228:$H$4138,$AD26)</f>
        <v>0</v>
      </c>
      <c r="AA26" s="195" t="n">
        <f aca="false">SUMIFS(R$3228:R$4138,$H$3228:$H$4138,$AD26)</f>
        <v>0</v>
      </c>
      <c r="AB26" s="197" t="n">
        <f aca="false">SUMIFS(S$3228:S$4138,$H$3228:$H$4138,$AD26)</f>
        <v>0</v>
      </c>
      <c r="AC26" s="198" t="n">
        <f aca="false">SUM(T26:AA26)</f>
        <v>0</v>
      </c>
      <c r="AD26" s="210" t="s">
        <v>99</v>
      </c>
      <c r="AE26" s="211" t="n">
        <v>1008028</v>
      </c>
      <c r="AF26" s="201" t="s">
        <v>75</v>
      </c>
      <c r="AG26" s="202" t="s">
        <v>407</v>
      </c>
      <c r="AH26" s="128" t="n">
        <v>532054713</v>
      </c>
      <c r="AI26" s="218" t="s">
        <v>408</v>
      </c>
      <c r="AJ26" s="162" t="n">
        <v>8</v>
      </c>
      <c r="AL26" s="128" t="n">
        <v>11</v>
      </c>
      <c r="AN26" s="128" t="n">
        <v>23</v>
      </c>
      <c r="AO26" s="127"/>
      <c r="AT26" s="128" t="n">
        <v>30</v>
      </c>
      <c r="AZ26" s="128" t="n">
        <f aca="false">20</f>
        <v>20</v>
      </c>
      <c r="BR26" s="128" t="n">
        <f aca="false">11</f>
        <v>11</v>
      </c>
      <c r="BV26" s="128" t="n">
        <f aca="false">16</f>
        <v>16</v>
      </c>
      <c r="BX26" s="205" t="n">
        <f aca="false">BV26*5+BW26*2</f>
        <v>80</v>
      </c>
      <c r="CA26" s="157" t="n">
        <v>4</v>
      </c>
    </row>
    <row r="27" customFormat="false" ht="15" hidden="false" customHeight="true" outlineLevel="0" collapsed="false">
      <c r="B27" s="127" t="n">
        <f aca="false">B26+D27-C27</f>
        <v>2892.26</v>
      </c>
      <c r="D27" s="146" t="n">
        <v>845.25</v>
      </c>
      <c r="E27" s="147" t="n">
        <v>18</v>
      </c>
      <c r="F27" s="147" t="n">
        <f aca="false">IFERROR(VLOOKUP(H27,$AD$1:$AE$301,2,0),"")</f>
        <v>1008025</v>
      </c>
      <c r="G27" s="147" t="str">
        <f aca="false">IFERROR(VLOOKUP(F27,$AE$2:$AF$290,2, 0),"")</f>
        <v>ضباء</v>
      </c>
      <c r="H27" s="212" t="s">
        <v>97</v>
      </c>
      <c r="I27" s="183" t="n">
        <f aca="false">SUM(K27:R27)</f>
        <v>3</v>
      </c>
      <c r="J27" s="182" t="n">
        <v>45439</v>
      </c>
      <c r="K27" s="184" t="n">
        <v>1</v>
      </c>
      <c r="L27" s="185"/>
      <c r="M27" s="186" t="n">
        <v>1</v>
      </c>
      <c r="N27" s="187"/>
      <c r="O27" s="188" t="n">
        <v>1</v>
      </c>
      <c r="P27" s="189"/>
      <c r="Q27" s="190"/>
      <c r="R27" s="191"/>
      <c r="S27" s="192" t="n">
        <f aca="false">(K27+O27+Q27)*24 /1130+(L27+M27+P27+R27)*12/1130+(N27*30)/1130</f>
        <v>0.0530973451327434</v>
      </c>
      <c r="T27" s="193" t="n">
        <f aca="false">SUMIFS(K$3228:K$4138,$H$3228:$H$4138,$AD27)</f>
        <v>0</v>
      </c>
      <c r="U27" s="194" t="n">
        <f aca="false">SUMIFS(L$3228:L$4138,$H$3228:$H$4138,$AD27)</f>
        <v>0</v>
      </c>
      <c r="V27" s="195" t="n">
        <f aca="false">SUMIFS(M$3228:M$4138,$H$3228:$H$4138,$AD27)</f>
        <v>0</v>
      </c>
      <c r="W27" s="193" t="n">
        <f aca="false">SUMIFS(N$3228:N$4138,$H$3228:$H$4138,$AD27)</f>
        <v>0</v>
      </c>
      <c r="X27" s="193" t="n">
        <f aca="false">SUMIFS(O$3228:O$4138,$H$3228:$H$4138,$AD27)</f>
        <v>0</v>
      </c>
      <c r="Y27" s="196" t="n">
        <f aca="false">SUMIFS(P$3228:P$4138,$H$3228:$H$4138,$AD27)</f>
        <v>0</v>
      </c>
      <c r="Z27" s="193" t="n">
        <f aca="false">SUMIFS(Q$3228:Q$4138,$H$3228:$H$4138,$AD27)</f>
        <v>0</v>
      </c>
      <c r="AA27" s="195" t="n">
        <f aca="false">SUMIFS(R$3228:R$4138,$H$3228:$H$4138,$AD27)</f>
        <v>0</v>
      </c>
      <c r="AB27" s="197" t="n">
        <f aca="false">SUMIFS(S$3228:S$4138,$H$3228:$H$4138,$AD27)</f>
        <v>0</v>
      </c>
      <c r="AC27" s="198" t="n">
        <f aca="false">SUM(T27:AA27)</f>
        <v>0</v>
      </c>
      <c r="AD27" s="216" t="s">
        <v>100</v>
      </c>
      <c r="AE27" s="217" t="n">
        <v>1008027</v>
      </c>
      <c r="AF27" s="201" t="s">
        <v>75</v>
      </c>
      <c r="AG27" s="128"/>
      <c r="AH27" s="128" t="n">
        <v>0</v>
      </c>
      <c r="AI27" s="203" t="s">
        <v>409</v>
      </c>
      <c r="AK27" s="220"/>
      <c r="AL27" s="157"/>
      <c r="AM27" s="157"/>
      <c r="AO27" s="127"/>
      <c r="BX27" s="205" t="n">
        <f aca="false">BV27*5+BW27*2</f>
        <v>0</v>
      </c>
    </row>
    <row r="28" customFormat="false" ht="15" hidden="false" customHeight="true" outlineLevel="0" collapsed="false">
      <c r="B28" s="127" t="n">
        <f aca="false">B27+D28-C28</f>
        <v>0.259999999999309</v>
      </c>
      <c r="C28" s="127" t="n">
        <v>2892</v>
      </c>
      <c r="E28" s="212" t="s">
        <v>410</v>
      </c>
      <c r="F28" s="147" t="str">
        <f aca="false">IFERROR(VLOOKUP(H28,$AD$1:$AE$301,2,0),"")</f>
        <v/>
      </c>
      <c r="G28" s="147" t="str">
        <f aca="false">IFERROR(VLOOKUP(F28,$AE$2:$AF$290,2, 0),"")</f>
        <v/>
      </c>
      <c r="H28" s="212" t="s">
        <v>393</v>
      </c>
      <c r="I28" s="183" t="n">
        <f aca="false">SUM(K28:R28)</f>
        <v>0</v>
      </c>
      <c r="J28" s="182" t="n">
        <v>45439</v>
      </c>
      <c r="K28" s="184"/>
      <c r="L28" s="185"/>
      <c r="M28" s="186"/>
      <c r="N28" s="187"/>
      <c r="O28" s="188"/>
      <c r="P28" s="189"/>
      <c r="Q28" s="190"/>
      <c r="R28" s="191"/>
      <c r="S28" s="192" t="n">
        <f aca="false">(K28+O28+Q28)*24 /1130+(L28+M28+P28+R28)*12/1130+(N28*30)/1130</f>
        <v>0</v>
      </c>
      <c r="T28" s="193" t="n">
        <f aca="false">SUMIFS(K$3228:K$4138,$H$3228:$H$4138,$AD28)</f>
        <v>0</v>
      </c>
      <c r="U28" s="194" t="n">
        <f aca="false">SUMIFS(L$3228:L$4138,$H$3228:$H$4138,$AD28)</f>
        <v>0</v>
      </c>
      <c r="V28" s="195" t="n">
        <f aca="false">SUMIFS(M$3228:M$4138,$H$3228:$H$4138,$AD28)</f>
        <v>0</v>
      </c>
      <c r="W28" s="193" t="n">
        <f aca="false">SUMIFS(N$3228:N$4138,$H$3228:$H$4138,$AD28)</f>
        <v>0</v>
      </c>
      <c r="X28" s="193" t="n">
        <f aca="false">SUMIFS(O$3228:O$4138,$H$3228:$H$4138,$AD28)</f>
        <v>0</v>
      </c>
      <c r="Y28" s="196" t="n">
        <f aca="false">SUMIFS(P$3228:P$4138,$H$3228:$H$4138,$AD28)</f>
        <v>0</v>
      </c>
      <c r="Z28" s="193" t="n">
        <f aca="false">SUMIFS(Q$3228:Q$4138,$H$3228:$H$4138,$AD28)</f>
        <v>0</v>
      </c>
      <c r="AA28" s="195" t="n">
        <f aca="false">SUMIFS(R$3228:R$4138,$H$3228:$H$4138,$AD28)</f>
        <v>0</v>
      </c>
      <c r="AB28" s="197" t="n">
        <f aca="false">SUMIFS(S$3228:S$4138,$H$3228:$H$4138,$AD28)</f>
        <v>0</v>
      </c>
      <c r="AC28" s="198" t="n">
        <f aca="false">SUM(T28:AA28)</f>
        <v>0</v>
      </c>
      <c r="AD28" s="216" t="s">
        <v>101</v>
      </c>
      <c r="AE28" s="217" t="n">
        <v>1008032</v>
      </c>
      <c r="AF28" s="201" t="s">
        <v>75</v>
      </c>
      <c r="AG28" s="202" t="s">
        <v>411</v>
      </c>
      <c r="AH28" s="128" t="n">
        <v>530112608</v>
      </c>
      <c r="AI28" s="218" t="s">
        <v>412</v>
      </c>
      <c r="AJ28" s="162" t="n">
        <v>10</v>
      </c>
      <c r="AL28" s="128" t="n">
        <v>5</v>
      </c>
      <c r="AM28" s="128" t="n">
        <v>6</v>
      </c>
      <c r="AN28" s="128" t="n">
        <v>2</v>
      </c>
      <c r="AT28" s="128" t="n">
        <f aca="false">11</f>
        <v>11</v>
      </c>
      <c r="AU28" s="128" t="n">
        <f aca="false">7</f>
        <v>7</v>
      </c>
      <c r="BX28" s="205" t="n">
        <f aca="false">BV28*5+BW28*2</f>
        <v>0</v>
      </c>
      <c r="BZ28" s="162" t="n">
        <v>3</v>
      </c>
      <c r="CB28" s="206" t="n">
        <v>12</v>
      </c>
    </row>
    <row r="29" customFormat="false" ht="15" hidden="false" customHeight="true" outlineLevel="0" collapsed="false">
      <c r="B29" s="127" t="n">
        <f aca="false">B28+D29-C29</f>
        <v>316.509999999999</v>
      </c>
      <c r="D29" s="146" t="n">
        <v>316.25</v>
      </c>
      <c r="E29" s="147" t="n">
        <v>22</v>
      </c>
      <c r="F29" s="147" t="n">
        <f aca="false">IFERROR(VLOOKUP(H29,$AD$1:$AE$301,2,0),"")</f>
        <v>1008021</v>
      </c>
      <c r="G29" s="147" t="str">
        <f aca="false">IFERROR(VLOOKUP(F29,$AE$2:$AF$290,2, 0),"")</f>
        <v>البير</v>
      </c>
      <c r="H29" s="212" t="s">
        <v>294</v>
      </c>
      <c r="I29" s="183" t="n">
        <f aca="false">SUM(K29:R29)</f>
        <v>1</v>
      </c>
      <c r="J29" s="182" t="n">
        <v>45440</v>
      </c>
      <c r="K29" s="184" t="n">
        <v>1</v>
      </c>
      <c r="L29" s="185"/>
      <c r="M29" s="186"/>
      <c r="N29" s="187"/>
      <c r="O29" s="188"/>
      <c r="P29" s="189"/>
      <c r="Q29" s="190"/>
      <c r="R29" s="191"/>
      <c r="S29" s="192" t="n">
        <f aca="false">(K29+O29+Q29)*24 /1130+(L29+M29+P29+R29)*12/1130+(N29*30)/1130</f>
        <v>0.0212389380530973</v>
      </c>
      <c r="T29" s="193" t="n">
        <f aca="false">SUMIFS(K$3228:K$4138,$H$3228:$H$4138,$AD29)</f>
        <v>0</v>
      </c>
      <c r="U29" s="194" t="n">
        <f aca="false">SUMIFS(L$3228:L$4138,$H$3228:$H$4138,$AD29)</f>
        <v>0</v>
      </c>
      <c r="V29" s="195" t="n">
        <f aca="false">SUMIFS(M$3228:M$4138,$H$3228:$H$4138,$AD29)</f>
        <v>0</v>
      </c>
      <c r="W29" s="193" t="n">
        <f aca="false">SUMIFS(N$3228:N$4138,$H$3228:$H$4138,$AD29)</f>
        <v>0</v>
      </c>
      <c r="X29" s="193" t="n">
        <f aca="false">SUMIFS(O$3228:O$4138,$H$3228:$H$4138,$AD29)</f>
        <v>0</v>
      </c>
      <c r="Y29" s="196" t="n">
        <f aca="false">SUMIFS(P$3228:P$4138,$H$3228:$H$4138,$AD29)</f>
        <v>0</v>
      </c>
      <c r="Z29" s="193" t="n">
        <f aca="false">SUMIFS(Q$3228:Q$4138,$H$3228:$H$4138,$AD29)</f>
        <v>0</v>
      </c>
      <c r="AA29" s="195" t="n">
        <f aca="false">SUMIFS(R$3228:R$4138,$H$3228:$H$4138,$AD29)</f>
        <v>0</v>
      </c>
      <c r="AB29" s="197" t="n">
        <f aca="false">SUMIFS(S$3228:S$4138,$H$3228:$H$4138,$AD29)</f>
        <v>0</v>
      </c>
      <c r="AC29" s="198" t="n">
        <f aca="false">SUM(T29:AA29)</f>
        <v>0</v>
      </c>
      <c r="AD29" s="210" t="s">
        <v>102</v>
      </c>
      <c r="AE29" s="211" t="n">
        <v>1008033</v>
      </c>
      <c r="AF29" s="201" t="s">
        <v>75</v>
      </c>
      <c r="AG29" s="128"/>
      <c r="AH29" s="128" t="n">
        <v>0</v>
      </c>
      <c r="AI29" s="203"/>
      <c r="BX29" s="205" t="n">
        <f aca="false">BV29*5+BW29*2</f>
        <v>0</v>
      </c>
      <c r="BZ29" s="162" t="n">
        <v>7</v>
      </c>
    </row>
    <row r="30" customFormat="false" ht="15" hidden="false" customHeight="true" outlineLevel="0" collapsed="false">
      <c r="B30" s="127" t="n">
        <f aca="false">B29+D30-C30</f>
        <v>1035.26</v>
      </c>
      <c r="D30" s="146" t="n">
        <v>718.75</v>
      </c>
      <c r="E30" s="147" t="n">
        <v>23</v>
      </c>
      <c r="F30" s="147" t="n">
        <f aca="false">IFERROR(VLOOKUP(H30,$AD$1:$AE$301,2,0),"")</f>
        <v>1008030</v>
      </c>
      <c r="G30" s="147" t="str">
        <f aca="false">IFERROR(VLOOKUP(F30,$AE$2:$AF$290,2, 0),"")</f>
        <v>البير</v>
      </c>
      <c r="H30" s="212" t="s">
        <v>298</v>
      </c>
      <c r="I30" s="183" t="n">
        <f aca="false">SUM(K30:R30)</f>
        <v>3</v>
      </c>
      <c r="J30" s="182" t="n">
        <v>45440</v>
      </c>
      <c r="K30" s="184"/>
      <c r="L30" s="185" t="n">
        <v>1</v>
      </c>
      <c r="M30" s="186" t="n">
        <v>1</v>
      </c>
      <c r="N30" s="187"/>
      <c r="O30" s="188" t="n">
        <v>1</v>
      </c>
      <c r="P30" s="189"/>
      <c r="Q30" s="190"/>
      <c r="R30" s="191"/>
      <c r="S30" s="192" t="n">
        <f aca="false">(K30+O30+Q30)*24 /1130+(L30+M30+P30+R30)*12/1130+(N30*30)/1130</f>
        <v>0.0424778761061947</v>
      </c>
      <c r="T30" s="193" t="n">
        <f aca="false">SUMIFS(K$3228:K$4138,$H$3228:$H$4138,$AD30)</f>
        <v>0</v>
      </c>
      <c r="U30" s="194" t="n">
        <f aca="false">SUMIFS(L$3228:L$4138,$H$3228:$H$4138,$AD30)</f>
        <v>0</v>
      </c>
      <c r="V30" s="195" t="n">
        <f aca="false">SUMIFS(M$3228:M$4138,$H$3228:$H$4138,$AD30)</f>
        <v>0</v>
      </c>
      <c r="W30" s="193" t="n">
        <f aca="false">SUMIFS(N$3228:N$4138,$H$3228:$H$4138,$AD30)</f>
        <v>0</v>
      </c>
      <c r="X30" s="193" t="n">
        <f aca="false">SUMIFS(O$3228:O$4138,$H$3228:$H$4138,$AD30)</f>
        <v>0</v>
      </c>
      <c r="Y30" s="196" t="n">
        <f aca="false">SUMIFS(P$3228:P$4138,$H$3228:$H$4138,$AD30)</f>
        <v>0</v>
      </c>
      <c r="Z30" s="193" t="n">
        <f aca="false">SUMIFS(Q$3228:Q$4138,$H$3228:$H$4138,$AD30)</f>
        <v>0</v>
      </c>
      <c r="AA30" s="195" t="n">
        <f aca="false">SUMIFS(R$3228:R$4138,$H$3228:$H$4138,$AD30)</f>
        <v>0</v>
      </c>
      <c r="AB30" s="197" t="n">
        <f aca="false">SUMIFS(S$3228:S$4138,$H$3228:$H$4138,$AD30)</f>
        <v>0</v>
      </c>
      <c r="AC30" s="198" t="n">
        <f aca="false">SUM(T30:AA30)</f>
        <v>0</v>
      </c>
      <c r="AD30" s="210" t="s">
        <v>103</v>
      </c>
      <c r="AE30" s="211" t="n">
        <v>1227</v>
      </c>
      <c r="AF30" s="201" t="s">
        <v>75</v>
      </c>
      <c r="AG30" s="128"/>
      <c r="AH30" s="128" t="n">
        <v>0</v>
      </c>
      <c r="AI30" s="203" t="s">
        <v>413</v>
      </c>
      <c r="BX30" s="205" t="n">
        <f aca="false">BV30*5+BW30*2</f>
        <v>0</v>
      </c>
    </row>
    <row r="31" customFormat="false" ht="15" hidden="false" customHeight="true" outlineLevel="0" collapsed="false">
      <c r="B31" s="127" t="n">
        <f aca="false">B30+D31-C31</f>
        <v>1552.76</v>
      </c>
      <c r="D31" s="146" t="n">
        <v>517.5</v>
      </c>
      <c r="E31" s="147" t="n">
        <v>24</v>
      </c>
      <c r="F31" s="147" t="n">
        <f aca="false">IFERROR(VLOOKUP(H31,$AD$1:$AE$301,2,0),"")</f>
        <v>1008009</v>
      </c>
      <c r="G31" s="147" t="str">
        <f aca="false">IFERROR(VLOOKUP(F31,$AE$2:$AF$290,2, 0),"")</f>
        <v>حقل</v>
      </c>
      <c r="H31" s="212" t="s">
        <v>305</v>
      </c>
      <c r="I31" s="183" t="n">
        <f aca="false">SUM(K31:R31)</f>
        <v>2</v>
      </c>
      <c r="J31" s="182" t="n">
        <v>45440</v>
      </c>
      <c r="K31" s="184"/>
      <c r="L31" s="185"/>
      <c r="M31" s="186"/>
      <c r="N31" s="187"/>
      <c r="O31" s="188" t="n">
        <v>2</v>
      </c>
      <c r="P31" s="189"/>
      <c r="Q31" s="190"/>
      <c r="R31" s="191"/>
      <c r="S31" s="192" t="n">
        <f aca="false">(K31+O31+Q31)*24 /1130+(L31+M31+P31+R31)*12/1130+(N31*30)/1130</f>
        <v>0.0424778761061947</v>
      </c>
      <c r="T31" s="193" t="n">
        <f aca="false">SUMIFS(K$3228:K$4138,$H$3228:$H$4138,$AD31)</f>
        <v>0</v>
      </c>
      <c r="U31" s="194" t="n">
        <f aca="false">SUMIFS(L$3228:L$4138,$H$3228:$H$4138,$AD31)</f>
        <v>0</v>
      </c>
      <c r="V31" s="195" t="n">
        <f aca="false">SUMIFS(M$3228:M$4138,$H$3228:$H$4138,$AD31)</f>
        <v>0</v>
      </c>
      <c r="W31" s="193" t="n">
        <f aca="false">SUMIFS(N$3228:N$4138,$H$3228:$H$4138,$AD31)</f>
        <v>0</v>
      </c>
      <c r="X31" s="193" t="n">
        <f aca="false">SUMIFS(O$3228:O$4138,$H$3228:$H$4138,$AD31)</f>
        <v>0</v>
      </c>
      <c r="Y31" s="196" t="n">
        <f aca="false">SUMIFS(P$3228:P$4138,$H$3228:$H$4138,$AD31)</f>
        <v>0</v>
      </c>
      <c r="Z31" s="193" t="n">
        <f aca="false">SUMIFS(Q$3228:Q$4138,$H$3228:$H$4138,$AD31)</f>
        <v>0</v>
      </c>
      <c r="AA31" s="195" t="n">
        <f aca="false">SUMIFS(R$3228:R$4138,$H$3228:$H$4138,$AD31)</f>
        <v>0</v>
      </c>
      <c r="AB31" s="197" t="n">
        <f aca="false">SUMIFS(S$3228:S$4138,$H$3228:$H$4138,$AD31)</f>
        <v>0</v>
      </c>
      <c r="AC31" s="198" t="n">
        <f aca="false">SUM(T31:AA31)</f>
        <v>0</v>
      </c>
      <c r="AD31" s="225" t="s">
        <v>104</v>
      </c>
      <c r="AE31" s="226" t="n">
        <v>1008043</v>
      </c>
      <c r="AF31" s="227" t="s">
        <v>105</v>
      </c>
      <c r="AG31" s="202" t="s">
        <v>414</v>
      </c>
      <c r="AH31" s="128" t="n">
        <v>530790908</v>
      </c>
      <c r="AI31" s="218" t="s">
        <v>415</v>
      </c>
      <c r="AO31" s="128" t="n">
        <v>54</v>
      </c>
      <c r="AV31" s="128" t="n">
        <f aca="false">19</f>
        <v>19</v>
      </c>
      <c r="AW31" s="128" t="n">
        <f aca="false">25+1</f>
        <v>26</v>
      </c>
      <c r="BD31" s="128" t="n">
        <f aca="false">5</f>
        <v>5</v>
      </c>
      <c r="BE31" s="128" t="n">
        <f aca="false">6</f>
        <v>6</v>
      </c>
      <c r="BJ31" s="128" t="n">
        <f aca="false">16</f>
        <v>16</v>
      </c>
      <c r="BK31" s="128" t="n">
        <f aca="false">18+1</f>
        <v>19</v>
      </c>
      <c r="BL31" s="128" t="n">
        <f aca="false">5</f>
        <v>5</v>
      </c>
      <c r="BM31" s="128" t="n">
        <f aca="false">8</f>
        <v>8</v>
      </c>
      <c r="BX31" s="205" t="n">
        <f aca="false">BV31*5+BW31*2</f>
        <v>0</v>
      </c>
      <c r="BY31" s="128" t="n">
        <v>2</v>
      </c>
      <c r="CA31" s="157" t="n">
        <v>1</v>
      </c>
      <c r="CB31" s="206" t="n">
        <v>24</v>
      </c>
      <c r="CC31" s="206" t="n">
        <v>15</v>
      </c>
    </row>
    <row r="32" customFormat="false" ht="15" hidden="false" customHeight="true" outlineLevel="0" collapsed="false">
      <c r="B32" s="127" t="n">
        <f aca="false">B31+D32-C32</f>
        <v>1708.01</v>
      </c>
      <c r="D32" s="146" t="n">
        <v>155.25</v>
      </c>
      <c r="E32" s="147" t="n">
        <v>25</v>
      </c>
      <c r="F32" s="147" t="n">
        <f aca="false">IFERROR(VLOOKUP(H32,$AD$1:$AE$301,2,0),"")</f>
        <v>1008009</v>
      </c>
      <c r="G32" s="147" t="str">
        <f aca="false">IFERROR(VLOOKUP(F32,$AE$2:$AF$290,2, 0),"")</f>
        <v>حقل</v>
      </c>
      <c r="H32" s="212" t="s">
        <v>305</v>
      </c>
      <c r="I32" s="183" t="n">
        <f aca="false">SUM(K32:R32)</f>
        <v>1</v>
      </c>
      <c r="J32" s="182" t="n">
        <v>45440</v>
      </c>
      <c r="K32" s="184"/>
      <c r="L32" s="185"/>
      <c r="M32" s="186"/>
      <c r="N32" s="187"/>
      <c r="O32" s="188"/>
      <c r="P32" s="189"/>
      <c r="Q32" s="190"/>
      <c r="R32" s="191" t="n">
        <v>1</v>
      </c>
      <c r="S32" s="192" t="n">
        <f aca="false">(K32+O32+Q32)*24 /1130+(L32+M32+P32+R32)*12/1130+(N32*30)/1130</f>
        <v>0.0106194690265487</v>
      </c>
      <c r="T32" s="193" t="n">
        <f aca="false">SUMIFS(K$3228:K$4138,$H$3228:$H$4138,$AD32)</f>
        <v>4</v>
      </c>
      <c r="U32" s="194" t="n">
        <f aca="false">SUMIFS(L$3228:L$4138,$H$3228:$H$4138,$AD32)</f>
        <v>0</v>
      </c>
      <c r="V32" s="195" t="n">
        <f aca="false">SUMIFS(M$3228:M$4138,$H$3228:$H$4138,$AD32)</f>
        <v>0</v>
      </c>
      <c r="W32" s="193" t="n">
        <f aca="false">SUMIFS(N$3228:N$4138,$H$3228:$H$4138,$AD32)</f>
        <v>0</v>
      </c>
      <c r="X32" s="193" t="n">
        <f aca="false">SUMIFS(O$3228:O$4138,$H$3228:$H$4138,$AD32)</f>
        <v>0</v>
      </c>
      <c r="Y32" s="196" t="n">
        <f aca="false">SUMIFS(P$3228:P$4138,$H$3228:$H$4138,$AD32)</f>
        <v>0</v>
      </c>
      <c r="Z32" s="193" t="n">
        <f aca="false">SUMIFS(Q$3228:Q$4138,$H$3228:$H$4138,$AD32)</f>
        <v>0</v>
      </c>
      <c r="AA32" s="195" t="n">
        <f aca="false">SUMIFS(R$3228:R$4138,$H$3228:$H$4138,$AD32)</f>
        <v>0</v>
      </c>
      <c r="AB32" s="197" t="n">
        <f aca="false">SUMIFS(S$3228:S$4138,$H$3228:$H$4138,$AD32)</f>
        <v>0.0849557522123894</v>
      </c>
      <c r="AC32" s="198" t="n">
        <f aca="false">SUM(T32:AA32)</f>
        <v>4</v>
      </c>
      <c r="AD32" s="225" t="s">
        <v>106</v>
      </c>
      <c r="AE32" s="226" t="n">
        <v>1008044</v>
      </c>
      <c r="AF32" s="227" t="s">
        <v>105</v>
      </c>
      <c r="AG32" s="202" t="s">
        <v>416</v>
      </c>
      <c r="AH32" s="128" t="n">
        <v>537065873</v>
      </c>
      <c r="AI32" s="218" t="s">
        <v>417</v>
      </c>
      <c r="BT32" s="128" t="n">
        <v>17</v>
      </c>
      <c r="BX32" s="205" t="n">
        <f aca="false">BV32*5+BW32*2</f>
        <v>0</v>
      </c>
      <c r="CB32" s="206" t="n">
        <v>12</v>
      </c>
    </row>
    <row r="33" customFormat="false" ht="15" hidden="false" customHeight="true" outlineLevel="0" collapsed="false">
      <c r="B33" s="127" t="n">
        <f aca="false">B32+D33-C33</f>
        <v>2024.26</v>
      </c>
      <c r="D33" s="146" t="n">
        <v>316.25</v>
      </c>
      <c r="E33" s="147" t="n">
        <v>27</v>
      </c>
      <c r="F33" s="147" t="n">
        <f aca="false">IFERROR(VLOOKUP(H33,$AD$1:$AE$301,2,0),"")</f>
        <v>1008003</v>
      </c>
      <c r="G33" s="147" t="str">
        <f aca="false">IFERROR(VLOOKUP(F33,$AE$2:$AF$290,2, 0),"")</f>
        <v>حقل</v>
      </c>
      <c r="H33" s="212" t="s">
        <v>315</v>
      </c>
      <c r="I33" s="183" t="n">
        <f aca="false">SUM(K33:R33)</f>
        <v>1</v>
      </c>
      <c r="J33" s="182" t="n">
        <v>45440</v>
      </c>
      <c r="K33" s="184" t="n">
        <v>1</v>
      </c>
      <c r="L33" s="185"/>
      <c r="M33" s="186"/>
      <c r="N33" s="187"/>
      <c r="O33" s="188"/>
      <c r="P33" s="189"/>
      <c r="Q33" s="190"/>
      <c r="R33" s="191"/>
      <c r="S33" s="192" t="n">
        <f aca="false">(K33+O33+Q33)*24 /1130+(L33+M33+P33+R33)*12/1130+(N33*30)/1130</f>
        <v>0.0212389380530973</v>
      </c>
      <c r="T33" s="193" t="n">
        <f aca="false">SUMIFS(K$3228:K$4138,$H$3228:$H$4138,$AD33)</f>
        <v>0</v>
      </c>
      <c r="U33" s="194" t="n">
        <f aca="false">SUMIFS(L$3228:L$4138,$H$3228:$H$4138,$AD33)</f>
        <v>15</v>
      </c>
      <c r="V33" s="195" t="n">
        <f aca="false">SUMIFS(M$3228:M$4138,$H$3228:$H$4138,$AD33)</f>
        <v>0</v>
      </c>
      <c r="W33" s="193" t="n">
        <f aca="false">SUMIFS(N$3228:N$4138,$H$3228:$H$4138,$AD33)</f>
        <v>0</v>
      </c>
      <c r="X33" s="193" t="n">
        <f aca="false">SUMIFS(O$3228:O$4138,$H$3228:$H$4138,$AD33)</f>
        <v>0</v>
      </c>
      <c r="Y33" s="196" t="n">
        <f aca="false">SUMIFS(P$3228:P$4138,$H$3228:$H$4138,$AD33)</f>
        <v>0</v>
      </c>
      <c r="Z33" s="193" t="n">
        <f aca="false">SUMIFS(Q$3228:Q$4138,$H$3228:$H$4138,$AD33)</f>
        <v>0</v>
      </c>
      <c r="AA33" s="195" t="n">
        <f aca="false">SUMIFS(R$3228:R$4138,$H$3228:$H$4138,$AD33)</f>
        <v>0</v>
      </c>
      <c r="AB33" s="197" t="n">
        <f aca="false">SUMIFS(S$3228:S$4138,$H$3228:$H$4138,$AD33)</f>
        <v>0.15929203539823</v>
      </c>
      <c r="AC33" s="198" t="n">
        <f aca="false">SUM(T33:AA33)</f>
        <v>15</v>
      </c>
      <c r="AD33" s="228" t="s">
        <v>107</v>
      </c>
      <c r="AE33" s="229" t="n">
        <v>1008045</v>
      </c>
      <c r="AF33" s="227" t="s">
        <v>105</v>
      </c>
      <c r="AG33" s="202" t="s">
        <v>418</v>
      </c>
      <c r="AH33" s="128" t="n">
        <v>533439561</v>
      </c>
      <c r="AI33" s="218" t="s">
        <v>419</v>
      </c>
      <c r="AO33" s="128" t="n">
        <f aca="false">20</f>
        <v>20</v>
      </c>
      <c r="BB33" s="128" t="n">
        <f aca="false">40</f>
        <v>40</v>
      </c>
      <c r="BD33" s="128" t="n">
        <f aca="false">38</f>
        <v>38</v>
      </c>
      <c r="BJ33" s="128" t="n">
        <f aca="false">20</f>
        <v>20</v>
      </c>
      <c r="BR33" s="128" t="n">
        <f aca="false">70</f>
        <v>70</v>
      </c>
      <c r="BX33" s="205" t="n">
        <f aca="false">BV33*5+BW33*2</f>
        <v>0</v>
      </c>
      <c r="BY33" s="128" t="n">
        <v>4</v>
      </c>
      <c r="CA33" s="157" t="n">
        <v>2</v>
      </c>
      <c r="CB33" s="219" t="n">
        <f aca="false">36</f>
        <v>36</v>
      </c>
      <c r="CC33" s="219" t="n">
        <f aca="false">30</f>
        <v>30</v>
      </c>
      <c r="CO33" s="128" t="n">
        <v>2</v>
      </c>
    </row>
    <row r="34" customFormat="false" ht="15" hidden="false" customHeight="true" outlineLevel="0" collapsed="false">
      <c r="B34" s="127" t="n">
        <f aca="false">B33+D34-C34</f>
        <v>2179.51</v>
      </c>
      <c r="D34" s="146" t="n">
        <v>155.25</v>
      </c>
      <c r="E34" s="147" t="n">
        <v>26</v>
      </c>
      <c r="F34" s="147" t="n">
        <f aca="false">IFERROR(VLOOKUP(H34,$AD$1:$AE$301,2,0),"")</f>
        <v>1007969</v>
      </c>
      <c r="G34" s="147" t="str">
        <f aca="false">IFERROR(VLOOKUP(F34,$AE$2:$AF$290,2, 0),"")</f>
        <v>حقل</v>
      </c>
      <c r="H34" s="212" t="s">
        <v>309</v>
      </c>
      <c r="I34" s="183" t="n">
        <f aca="false">SUM(K34:R34)</f>
        <v>1</v>
      </c>
      <c r="J34" s="182" t="n">
        <v>45440</v>
      </c>
      <c r="K34" s="184"/>
      <c r="L34" s="185"/>
      <c r="M34" s="186"/>
      <c r="N34" s="187"/>
      <c r="O34" s="188"/>
      <c r="P34" s="189"/>
      <c r="Q34" s="190"/>
      <c r="R34" s="191" t="n">
        <v>1</v>
      </c>
      <c r="S34" s="192" t="n">
        <f aca="false">(K34+O34+Q34)*24 /1130+(L34+M34+P34+R34)*12/1130+(N34*30)/1130</f>
        <v>0.0106194690265487</v>
      </c>
      <c r="T34" s="193" t="n">
        <f aca="false">SUMIFS(K$3228:K$4138,$H$3228:$H$4138,$AD34)</f>
        <v>0</v>
      </c>
      <c r="U34" s="194" t="n">
        <f aca="false">SUMIFS(L$3228:L$4138,$H$3228:$H$4138,$AD34)</f>
        <v>0</v>
      </c>
      <c r="V34" s="195" t="n">
        <f aca="false">SUMIFS(M$3228:M$4138,$H$3228:$H$4138,$AD34)</f>
        <v>0</v>
      </c>
      <c r="W34" s="193" t="n">
        <f aca="false">SUMIFS(N$3228:N$4138,$H$3228:$H$4138,$AD34)</f>
        <v>0</v>
      </c>
      <c r="X34" s="193" t="n">
        <f aca="false">SUMIFS(O$3228:O$4138,$H$3228:$H$4138,$AD34)</f>
        <v>0</v>
      </c>
      <c r="Y34" s="196" t="n">
        <f aca="false">SUMIFS(P$3228:P$4138,$H$3228:$H$4138,$AD34)</f>
        <v>0</v>
      </c>
      <c r="Z34" s="193" t="n">
        <f aca="false">SUMIFS(Q$3228:Q$4138,$H$3228:$H$4138,$AD34)</f>
        <v>0</v>
      </c>
      <c r="AA34" s="195" t="n">
        <f aca="false">SUMIFS(R$3228:R$4138,$H$3228:$H$4138,$AD34)</f>
        <v>0</v>
      </c>
      <c r="AB34" s="197" t="n">
        <f aca="false">SUMIFS(S$3228:S$4138,$H$3228:$H$4138,$AD34)</f>
        <v>0</v>
      </c>
      <c r="AC34" s="198" t="n">
        <f aca="false">SUM(T34:AA34)</f>
        <v>0</v>
      </c>
      <c r="AD34" s="228" t="s">
        <v>108</v>
      </c>
      <c r="AE34" s="229" t="n">
        <v>1008046</v>
      </c>
      <c r="AF34" s="227" t="s">
        <v>105</v>
      </c>
      <c r="AG34" s="202" t="s">
        <v>420</v>
      </c>
      <c r="AH34" s="128" t="n">
        <v>559088692</v>
      </c>
      <c r="AI34" s="218" t="s">
        <v>421</v>
      </c>
      <c r="AO34" s="128" t="n">
        <f aca="false">17</f>
        <v>17</v>
      </c>
      <c r="AX34" s="128" t="n">
        <f aca="false">17</f>
        <v>17</v>
      </c>
      <c r="AY34" s="128" t="n">
        <f aca="false">29</f>
        <v>29</v>
      </c>
      <c r="BD34" s="128" t="n">
        <f aca="false">68+58</f>
        <v>126</v>
      </c>
      <c r="BE34" s="128" t="n">
        <f aca="false">4+2</f>
        <v>6</v>
      </c>
      <c r="BF34" s="157" t="n">
        <f aca="false">55</f>
        <v>55</v>
      </c>
      <c r="BH34" s="128" t="n">
        <f aca="false">83</f>
        <v>83</v>
      </c>
      <c r="BI34" s="128" t="n">
        <f aca="false">1</f>
        <v>1</v>
      </c>
      <c r="BJ34" s="128" t="n">
        <f aca="false">1+98</f>
        <v>99</v>
      </c>
      <c r="BK34" s="128" t="n">
        <f aca="false">13</f>
        <v>13</v>
      </c>
      <c r="BX34" s="205" t="n">
        <f aca="false">BV34*5+BW34*2</f>
        <v>0</v>
      </c>
      <c r="BY34" s="230" t="n">
        <v>6</v>
      </c>
      <c r="CA34" s="206" t="n">
        <v>7</v>
      </c>
      <c r="CB34" s="219" t="n">
        <v>36</v>
      </c>
      <c r="CC34" s="219" t="n">
        <f aca="false">30</f>
        <v>30</v>
      </c>
    </row>
    <row r="35" customFormat="false" ht="15" hidden="false" customHeight="true" outlineLevel="0" collapsed="false">
      <c r="B35" s="127" t="n">
        <f aca="false">B34+D35-C35</f>
        <v>2495.76</v>
      </c>
      <c r="D35" s="146" t="n">
        <v>316.25</v>
      </c>
      <c r="E35" s="147" t="n">
        <v>28</v>
      </c>
      <c r="F35" s="147" t="n">
        <f aca="false">IFERROR(VLOOKUP(H35,$AD$1:$AE$301,2,0),"")</f>
        <v>1008005</v>
      </c>
      <c r="G35" s="147" t="str">
        <f aca="false">IFERROR(VLOOKUP(F35,$AE$2:$AF$290,2, 0),"")</f>
        <v>حقل</v>
      </c>
      <c r="H35" s="212" t="s">
        <v>300</v>
      </c>
      <c r="I35" s="183" t="n">
        <f aca="false">SUM(K35:R35)</f>
        <v>1</v>
      </c>
      <c r="J35" s="182" t="n">
        <v>45440</v>
      </c>
      <c r="K35" s="184" t="n">
        <v>1</v>
      </c>
      <c r="L35" s="185"/>
      <c r="M35" s="186"/>
      <c r="N35" s="187"/>
      <c r="O35" s="188"/>
      <c r="P35" s="189"/>
      <c r="Q35" s="190"/>
      <c r="R35" s="191"/>
      <c r="S35" s="192" t="n">
        <f aca="false">(K35+O35+Q35)*24 /1130+(L35+M35+P35+R35)*12/1130+(N35*30)/1130</f>
        <v>0.0212389380530973</v>
      </c>
      <c r="T35" s="193" t="n">
        <f aca="false">SUMIFS(K$3228:K$4138,$H$3228:$H$4138,$AD35)</f>
        <v>8</v>
      </c>
      <c r="U35" s="194" t="n">
        <f aca="false">SUMIFS(L$3228:L$4138,$H$3228:$H$4138,$AD35)</f>
        <v>0</v>
      </c>
      <c r="V35" s="195" t="n">
        <f aca="false">SUMIFS(M$3228:M$4138,$H$3228:$H$4138,$AD35)</f>
        <v>0</v>
      </c>
      <c r="W35" s="193" t="n">
        <f aca="false">SUMIFS(N$3228:N$4138,$H$3228:$H$4138,$AD35)</f>
        <v>0</v>
      </c>
      <c r="X35" s="193" t="n">
        <f aca="false">SUMIFS(O$3228:O$4138,$H$3228:$H$4138,$AD35)</f>
        <v>0</v>
      </c>
      <c r="Y35" s="196" t="n">
        <f aca="false">SUMIFS(P$3228:P$4138,$H$3228:$H$4138,$AD35)</f>
        <v>0</v>
      </c>
      <c r="Z35" s="193" t="n">
        <f aca="false">SUMIFS(Q$3228:Q$4138,$H$3228:$H$4138,$AD35)</f>
        <v>2</v>
      </c>
      <c r="AA35" s="195" t="n">
        <f aca="false">SUMIFS(R$3228:R$4138,$H$3228:$H$4138,$AD35)</f>
        <v>0</v>
      </c>
      <c r="AB35" s="197" t="n">
        <f aca="false">SUMIFS(S$3228:S$4138,$H$3228:$H$4138,$AD35)</f>
        <v>0.212389380530973</v>
      </c>
      <c r="AC35" s="198" t="n">
        <f aca="false">SUM(T35:AA35)</f>
        <v>10</v>
      </c>
      <c r="AD35" s="228" t="s">
        <v>422</v>
      </c>
      <c r="AE35" s="229" t="n">
        <v>1008047</v>
      </c>
      <c r="AF35" s="227" t="s">
        <v>105</v>
      </c>
      <c r="AG35" s="202" t="s">
        <v>423</v>
      </c>
      <c r="AH35" s="128" t="n">
        <v>536678688</v>
      </c>
      <c r="AI35" s="218" t="s">
        <v>424</v>
      </c>
      <c r="AJ35" s="162" t="n">
        <v>5</v>
      </c>
      <c r="AM35" s="128" t="n">
        <v>15</v>
      </c>
      <c r="AT35" s="128" t="n">
        <f aca="false">16</f>
        <v>16</v>
      </c>
      <c r="BD35" s="128" t="n">
        <f aca="false">22</f>
        <v>22</v>
      </c>
      <c r="BJ35" s="128" t="n">
        <f aca="false">36</f>
        <v>36</v>
      </c>
      <c r="BL35" s="128" t="n">
        <f aca="false">11+12</f>
        <v>23</v>
      </c>
      <c r="BM35" s="128" t="n">
        <f aca="false">4</f>
        <v>4</v>
      </c>
      <c r="BN35" s="128" t="n">
        <f aca="false">9+7</f>
        <v>16</v>
      </c>
      <c r="BO35" s="128" t="n">
        <f aca="false">2+3</f>
        <v>5</v>
      </c>
      <c r="BP35" s="128" t="n">
        <v>13</v>
      </c>
      <c r="BT35" s="128" t="n">
        <v>10</v>
      </c>
      <c r="BU35" s="128" t="n">
        <v>5</v>
      </c>
      <c r="BX35" s="205" t="n">
        <f aca="false">BV35*5+BW35*2</f>
        <v>0</v>
      </c>
      <c r="BY35" s="128" t="n">
        <v>6</v>
      </c>
      <c r="CB35" s="219" t="n">
        <f aca="false">36</f>
        <v>36</v>
      </c>
      <c r="CC35" s="219" t="n">
        <f aca="false">30</f>
        <v>30</v>
      </c>
    </row>
    <row r="36" customFormat="false" ht="15" hidden="false" customHeight="true" outlineLevel="0" collapsed="false">
      <c r="B36" s="127" t="n">
        <f aca="false">B35+D36-C36</f>
        <v>2789.01</v>
      </c>
      <c r="D36" s="146" t="n">
        <v>293.25</v>
      </c>
      <c r="E36" s="147" t="n">
        <v>29</v>
      </c>
      <c r="F36" s="147" t="n">
        <f aca="false">IFERROR(VLOOKUP(H36,$AD$1:$AE$301,2,0),"")</f>
        <v>1008006</v>
      </c>
      <c r="G36" s="147" t="str">
        <f aca="false">IFERROR(VLOOKUP(F36,$AE$2:$AF$290,2, 0),"")</f>
        <v>حقل</v>
      </c>
      <c r="H36" s="212" t="s">
        <v>302</v>
      </c>
      <c r="I36" s="183" t="n">
        <f aca="false">SUM(K36:R36)</f>
        <v>1</v>
      </c>
      <c r="J36" s="182" t="n">
        <v>45440</v>
      </c>
      <c r="K36" s="184"/>
      <c r="L36" s="185"/>
      <c r="M36" s="186" t="n">
        <v>1</v>
      </c>
      <c r="N36" s="187"/>
      <c r="O36" s="188"/>
      <c r="P36" s="189"/>
      <c r="Q36" s="190"/>
      <c r="R36" s="191"/>
      <c r="S36" s="192" t="n">
        <f aca="false">(K36+O36+Q36)*24 /1130+(L36+M36+P36+R36)*12/1130+(N36*30)/1130</f>
        <v>0.0106194690265487</v>
      </c>
      <c r="T36" s="193" t="n">
        <f aca="false">SUMIFS(K$3228:K$4138,$H$3228:$H$4138,$AD36)</f>
        <v>0</v>
      </c>
      <c r="U36" s="194" t="n">
        <f aca="false">SUMIFS(L$3228:L$4138,$H$3228:$H$4138,$AD36)</f>
        <v>0</v>
      </c>
      <c r="V36" s="195" t="n">
        <f aca="false">SUMIFS(M$3228:M$4138,$H$3228:$H$4138,$AD36)</f>
        <v>0</v>
      </c>
      <c r="W36" s="193" t="n">
        <f aca="false">SUMIFS(N$3228:N$4138,$H$3228:$H$4138,$AD36)</f>
        <v>0</v>
      </c>
      <c r="X36" s="193" t="n">
        <f aca="false">SUMIFS(O$3228:O$4138,$H$3228:$H$4138,$AD36)</f>
        <v>0</v>
      </c>
      <c r="Y36" s="196" t="n">
        <f aca="false">SUMIFS(P$3228:P$4138,$H$3228:$H$4138,$AD36)</f>
        <v>0</v>
      </c>
      <c r="Z36" s="193" t="n">
        <f aca="false">SUMIFS(Q$3228:Q$4138,$H$3228:$H$4138,$AD36)</f>
        <v>0</v>
      </c>
      <c r="AA36" s="195" t="n">
        <f aca="false">SUMIFS(R$3228:R$4138,$H$3228:$H$4138,$AD36)</f>
        <v>0</v>
      </c>
      <c r="AB36" s="197" t="n">
        <f aca="false">SUMIFS(S$3228:S$4138,$H$3228:$H$4138,$AD36)</f>
        <v>0</v>
      </c>
      <c r="AC36" s="198" t="n">
        <f aca="false">SUM(T36:AA36)</f>
        <v>0</v>
      </c>
      <c r="AD36" s="228" t="s">
        <v>110</v>
      </c>
      <c r="AE36" s="229" t="n">
        <v>1008048</v>
      </c>
      <c r="AF36" s="227" t="s">
        <v>105</v>
      </c>
      <c r="AG36" s="202" t="s">
        <v>425</v>
      </c>
      <c r="AH36" s="128" t="n">
        <v>500685329</v>
      </c>
      <c r="AI36" s="218" t="s">
        <v>426</v>
      </c>
      <c r="AO36" s="128" t="n">
        <v>23</v>
      </c>
      <c r="BL36" s="128" t="n">
        <f aca="false">5</f>
        <v>5</v>
      </c>
      <c r="BX36" s="205" t="n">
        <f aca="false">BV36*5+BW36*2</f>
        <v>0</v>
      </c>
      <c r="BY36" s="128" t="n">
        <f aca="false">4+2</f>
        <v>6</v>
      </c>
      <c r="CB36" s="219" t="n">
        <f aca="false">12+24</f>
        <v>36</v>
      </c>
      <c r="CC36" s="219" t="n">
        <f aca="false">30</f>
        <v>30</v>
      </c>
    </row>
    <row r="37" customFormat="false" ht="15" hidden="false" customHeight="true" outlineLevel="0" collapsed="false">
      <c r="B37" s="127" t="n">
        <f aca="false">B36+D37-C37</f>
        <v>1.00999999999931</v>
      </c>
      <c r="C37" s="127" t="n">
        <v>2788</v>
      </c>
      <c r="E37" s="212" t="s">
        <v>392</v>
      </c>
      <c r="F37" s="147" t="str">
        <f aca="false">IFERROR(VLOOKUP(H37,$AD$1:$AE$301,2,0),"")</f>
        <v/>
      </c>
      <c r="G37" s="147" t="str">
        <f aca="false">IFERROR(VLOOKUP(F37,$AE$2:$AF$290,2, 0),"")</f>
        <v/>
      </c>
      <c r="H37" s="212" t="s">
        <v>393</v>
      </c>
      <c r="I37" s="183" t="n">
        <f aca="false">SUM(K37:R37)</f>
        <v>0</v>
      </c>
      <c r="J37" s="182" t="n">
        <v>45441</v>
      </c>
      <c r="K37" s="184"/>
      <c r="L37" s="185"/>
      <c r="M37" s="186"/>
      <c r="N37" s="187"/>
      <c r="O37" s="188"/>
      <c r="P37" s="189"/>
      <c r="Q37" s="190"/>
      <c r="R37" s="191"/>
      <c r="S37" s="192" t="n">
        <f aca="false">(K37+O37+Q37)*24 /1130+(L37+M37+P37+R37)*12/1130+(N37*30)/1130</f>
        <v>0</v>
      </c>
      <c r="T37" s="193" t="n">
        <f aca="false">SUMIFS(K$3228:K$4138,$H$3228:$H$4138,$AD37)</f>
        <v>0</v>
      </c>
      <c r="U37" s="194" t="n">
        <f aca="false">SUMIFS(L$3228:L$4138,$H$3228:$H$4138,$AD37)</f>
        <v>0</v>
      </c>
      <c r="V37" s="195" t="n">
        <f aca="false">SUMIFS(M$3228:M$4138,$H$3228:$H$4138,$AD37)</f>
        <v>0</v>
      </c>
      <c r="W37" s="193" t="n">
        <f aca="false">SUMIFS(N$3228:N$4138,$H$3228:$H$4138,$AD37)</f>
        <v>0</v>
      </c>
      <c r="X37" s="193" t="n">
        <f aca="false">SUMIFS(O$3228:O$4138,$H$3228:$H$4138,$AD37)</f>
        <v>0</v>
      </c>
      <c r="Y37" s="196" t="n">
        <f aca="false">SUMIFS(P$3228:P$4138,$H$3228:$H$4138,$AD37)</f>
        <v>0</v>
      </c>
      <c r="Z37" s="193" t="n">
        <f aca="false">SUMIFS(Q$3228:Q$4138,$H$3228:$H$4138,$AD37)</f>
        <v>0</v>
      </c>
      <c r="AA37" s="195" t="n">
        <f aca="false">SUMIFS(R$3228:R$4138,$H$3228:$H$4138,$AD37)</f>
        <v>0</v>
      </c>
      <c r="AB37" s="197" t="n">
        <f aca="false">SUMIFS(S$3228:S$4138,$H$3228:$H$4138,$AD37)</f>
        <v>0</v>
      </c>
      <c r="AC37" s="198" t="n">
        <f aca="false">SUM(T37:AA37)</f>
        <v>0</v>
      </c>
      <c r="AD37" s="228" t="s">
        <v>111</v>
      </c>
      <c r="AE37" s="229" t="n">
        <v>1008049</v>
      </c>
      <c r="AF37" s="227" t="s">
        <v>105</v>
      </c>
      <c r="AG37" s="128"/>
      <c r="AH37" s="128" t="n">
        <v>0</v>
      </c>
      <c r="AI37" s="203"/>
      <c r="BX37" s="205" t="n">
        <f aca="false">BV37*5+BW37*2</f>
        <v>0</v>
      </c>
      <c r="CB37" s="206" t="n">
        <v>12</v>
      </c>
    </row>
    <row r="38" customFormat="false" ht="15" hidden="false" customHeight="true" outlineLevel="0" collapsed="false">
      <c r="B38" s="127" t="n">
        <f aca="false">B37+D38-C38</f>
        <v>4106.51</v>
      </c>
      <c r="D38" s="146" t="n">
        <f aca="false">(327.75*10)+(276*3)</f>
        <v>4105.5</v>
      </c>
      <c r="E38" s="147" t="n">
        <v>30</v>
      </c>
      <c r="F38" s="147" t="n">
        <f aca="false">IFERROR(VLOOKUP(H38,$AD$1:$AE$301,2,0),"")</f>
        <v>1007979</v>
      </c>
      <c r="G38" s="147" t="str">
        <f aca="false">IFERROR(VLOOKUP(F38,$AE$2:$AF$290,2, 0),"")</f>
        <v>ضباء</v>
      </c>
      <c r="H38" s="212" t="s">
        <v>80</v>
      </c>
      <c r="I38" s="183" t="n">
        <f aca="false">SUM(K38:R38)</f>
        <v>13</v>
      </c>
      <c r="J38" s="182" t="n">
        <v>45447</v>
      </c>
      <c r="K38" s="184"/>
      <c r="L38" s="185"/>
      <c r="M38" s="186"/>
      <c r="N38" s="187" t="n">
        <v>10</v>
      </c>
      <c r="O38" s="188" t="n">
        <v>3</v>
      </c>
      <c r="P38" s="189"/>
      <c r="Q38" s="190"/>
      <c r="R38" s="191"/>
      <c r="S38" s="192" t="n">
        <f aca="false">(K38+O38+Q38)*24 /1130+(L38+M38+P38+R38)*12/1130+(N38*30)/1130</f>
        <v>0.329203539823009</v>
      </c>
      <c r="T38" s="193" t="n">
        <f aca="false">SUMIFS(K$3228:K$4138,$H$3228:$H$4138,$AD38)</f>
        <v>0</v>
      </c>
      <c r="U38" s="194" t="n">
        <f aca="false">SUMIFS(L$3228:L$4138,$H$3228:$H$4138,$AD38)</f>
        <v>0</v>
      </c>
      <c r="V38" s="195" t="n">
        <f aca="false">SUMIFS(M$3228:M$4138,$H$3228:$H$4138,$AD38)</f>
        <v>0</v>
      </c>
      <c r="W38" s="193" t="n">
        <f aca="false">SUMIFS(N$3228:N$4138,$H$3228:$H$4138,$AD38)</f>
        <v>0</v>
      </c>
      <c r="X38" s="193" t="n">
        <f aca="false">SUMIFS(O$3228:O$4138,$H$3228:$H$4138,$AD38)</f>
        <v>0</v>
      </c>
      <c r="Y38" s="196" t="n">
        <f aca="false">SUMIFS(P$3228:P$4138,$H$3228:$H$4138,$AD38)</f>
        <v>0</v>
      </c>
      <c r="Z38" s="193" t="n">
        <f aca="false">SUMIFS(Q$3228:Q$4138,$H$3228:$H$4138,$AD38)</f>
        <v>0</v>
      </c>
      <c r="AA38" s="195" t="n">
        <f aca="false">SUMIFS(R$3228:R$4138,$H$3228:$H$4138,$AD38)</f>
        <v>0</v>
      </c>
      <c r="AB38" s="197" t="n">
        <f aca="false">SUMIFS(S$3228:S$4138,$H$3228:$H$4138,$AD38)</f>
        <v>0</v>
      </c>
      <c r="AC38" s="198" t="n">
        <f aca="false">SUM(T38:AA38)</f>
        <v>0</v>
      </c>
      <c r="AD38" s="221" t="s">
        <v>112</v>
      </c>
      <c r="AE38" s="222" t="n">
        <v>1008054</v>
      </c>
      <c r="AF38" s="223" t="s">
        <v>105</v>
      </c>
      <c r="AG38" s="231" t="s">
        <v>427</v>
      </c>
      <c r="AH38" s="231" t="n">
        <v>579210442</v>
      </c>
      <c r="AI38" s="218" t="s">
        <v>428</v>
      </c>
      <c r="AO38" s="128" t="n">
        <v>3</v>
      </c>
      <c r="BM38" s="128" t="n">
        <f aca="false">5</f>
        <v>5</v>
      </c>
      <c r="BO38" s="128" t="n">
        <f aca="false">5</f>
        <v>5</v>
      </c>
      <c r="BX38" s="205" t="n">
        <f aca="false">BV38*5+BW38*2</f>
        <v>0</v>
      </c>
      <c r="BY38" s="230" t="n">
        <v>3</v>
      </c>
      <c r="CB38" s="206" t="n">
        <v>12</v>
      </c>
    </row>
    <row r="39" customFormat="false" ht="15" hidden="false" customHeight="true" outlineLevel="0" collapsed="false">
      <c r="B39" s="127" t="n">
        <f aca="false">B38+D39-C39</f>
        <v>7694.51</v>
      </c>
      <c r="D39" s="146" t="n">
        <f aca="false">(13*276)</f>
        <v>3588</v>
      </c>
      <c r="E39" s="147" t="n">
        <v>32</v>
      </c>
      <c r="F39" s="147" t="n">
        <f aca="false">IFERROR(VLOOKUP(H39,$AD$1:$AE$301,2,0),"")</f>
        <v>1008014</v>
      </c>
      <c r="G39" s="147" t="str">
        <f aca="false">IFERROR(VLOOKUP(F39,$AE$2:$AF$290,2, 0),"")</f>
        <v>البدع</v>
      </c>
      <c r="H39" s="212" t="s">
        <v>322</v>
      </c>
      <c r="I39" s="183" t="n">
        <f aca="false">SUM(K39:R39)</f>
        <v>13</v>
      </c>
      <c r="J39" s="182" t="n">
        <v>45447</v>
      </c>
      <c r="K39" s="184"/>
      <c r="L39" s="185"/>
      <c r="M39" s="186"/>
      <c r="N39" s="187"/>
      <c r="O39" s="188" t="n">
        <v>13</v>
      </c>
      <c r="P39" s="189"/>
      <c r="Q39" s="190"/>
      <c r="R39" s="191"/>
      <c r="S39" s="192" t="n">
        <f aca="false">(K39+O39+Q39)*24 /1130+(L39+M39+P39+R39)*12/1130+(N39*30)/1130</f>
        <v>0.276106194690266</v>
      </c>
      <c r="T39" s="193" t="n">
        <f aca="false">SUMIFS(K$3228:K$4138,$H$3228:$H$4138,$AD39)</f>
        <v>0</v>
      </c>
      <c r="U39" s="194" t="n">
        <f aca="false">SUMIFS(L$3228:L$4138,$H$3228:$H$4138,$AD39)</f>
        <v>0</v>
      </c>
      <c r="V39" s="195" t="n">
        <f aca="false">SUMIFS(M$3228:M$4138,$H$3228:$H$4138,$AD39)</f>
        <v>0</v>
      </c>
      <c r="W39" s="193" t="n">
        <f aca="false">SUMIFS(N$3228:N$4138,$H$3228:$H$4138,$AD39)</f>
        <v>0</v>
      </c>
      <c r="X39" s="193" t="n">
        <f aca="false">SUMIFS(O$3228:O$4138,$H$3228:$H$4138,$AD39)</f>
        <v>0</v>
      </c>
      <c r="Y39" s="196" t="n">
        <f aca="false">SUMIFS(P$3228:P$4138,$H$3228:$H$4138,$AD39)</f>
        <v>0</v>
      </c>
      <c r="Z39" s="193" t="n">
        <f aca="false">SUMIFS(Q$3228:Q$4138,$H$3228:$H$4138,$AD39)</f>
        <v>0</v>
      </c>
      <c r="AA39" s="195" t="n">
        <f aca="false">SUMIFS(R$3228:R$4138,$H$3228:$H$4138,$AD39)</f>
        <v>0</v>
      </c>
      <c r="AB39" s="197" t="n">
        <f aca="false">SUMIFS(S$3228:S$4138,$H$3228:$H$4138,$AD39)</f>
        <v>0</v>
      </c>
      <c r="AC39" s="198" t="n">
        <f aca="false">SUM(T39:AA39)</f>
        <v>0</v>
      </c>
      <c r="AD39" s="232" t="s">
        <v>113</v>
      </c>
      <c r="AE39" s="226" t="n">
        <v>1008051</v>
      </c>
      <c r="AF39" s="227" t="s">
        <v>105</v>
      </c>
      <c r="AG39" s="202" t="s">
        <v>429</v>
      </c>
      <c r="AH39" s="128" t="n">
        <v>553861401</v>
      </c>
      <c r="AI39" s="218" t="s">
        <v>430</v>
      </c>
      <c r="AO39" s="128" t="n">
        <v>4</v>
      </c>
      <c r="BX39" s="205" t="n">
        <f aca="false">BV39*5+BW39*2</f>
        <v>0</v>
      </c>
      <c r="BY39" s="230" t="n">
        <v>2</v>
      </c>
      <c r="CB39" s="219" t="n">
        <f aca="false">24</f>
        <v>24</v>
      </c>
      <c r="CC39" s="219" t="n">
        <v>30</v>
      </c>
    </row>
    <row r="40" customFormat="false" ht="15" hidden="false" customHeight="true" outlineLevel="0" collapsed="false">
      <c r="B40" s="127" t="n">
        <f aca="false">B39+D40-C40</f>
        <v>11644.76</v>
      </c>
      <c r="C40" s="233"/>
      <c r="D40" s="146" t="n">
        <f aca="false">(7*327.75)+(6*276)</f>
        <v>3950.25</v>
      </c>
      <c r="E40" s="147" t="n">
        <v>31</v>
      </c>
      <c r="F40" s="147" t="n">
        <f aca="false">IFERROR(VLOOKUP(H40,$AD$1:$AE$301,2,0),"")</f>
        <v>786</v>
      </c>
      <c r="G40" s="147" t="str">
        <f aca="false">IFERROR(VLOOKUP(F40,$AE$2:$AF$290,2, 0),"")</f>
        <v>البدع</v>
      </c>
      <c r="H40" s="212" t="s">
        <v>319</v>
      </c>
      <c r="I40" s="183" t="n">
        <f aca="false">SUM(K40:R40)</f>
        <v>13</v>
      </c>
      <c r="J40" s="182" t="n">
        <v>45447</v>
      </c>
      <c r="K40" s="184"/>
      <c r="L40" s="185"/>
      <c r="M40" s="186"/>
      <c r="N40" s="187" t="n">
        <v>7</v>
      </c>
      <c r="O40" s="188" t="n">
        <v>6</v>
      </c>
      <c r="P40" s="189"/>
      <c r="Q40" s="190"/>
      <c r="R40" s="191"/>
      <c r="S40" s="192" t="n">
        <f aca="false">(K40+O40+Q40)*24 /1130+(L40+M40+P40+R40)*12/1130+(N40*30)/1130</f>
        <v>0.313274336283186</v>
      </c>
      <c r="T40" s="193" t="n">
        <f aca="false">SUMIFS(K$3228:K$4138,$H$3228:$H$4138,$AD40)</f>
        <v>0</v>
      </c>
      <c r="U40" s="194" t="n">
        <f aca="false">SUMIFS(L$3228:L$4138,$H$3228:$H$4138,$AD40)</f>
        <v>0</v>
      </c>
      <c r="V40" s="195" t="n">
        <f aca="false">SUMIFS(M$3228:M$4138,$H$3228:$H$4138,$AD40)</f>
        <v>0</v>
      </c>
      <c r="W40" s="193" t="n">
        <f aca="false">SUMIFS(N$3228:N$4138,$H$3228:$H$4138,$AD40)</f>
        <v>0</v>
      </c>
      <c r="X40" s="193" t="n">
        <f aca="false">SUMIFS(O$3228:O$4138,$H$3228:$H$4138,$AD40)</f>
        <v>0</v>
      </c>
      <c r="Y40" s="196" t="n">
        <f aca="false">SUMIFS(P$3228:P$4138,$H$3228:$H$4138,$AD40)</f>
        <v>0</v>
      </c>
      <c r="Z40" s="193" t="n">
        <f aca="false">SUMIFS(Q$3228:Q$4138,$H$3228:$H$4138,$AD40)</f>
        <v>0</v>
      </c>
      <c r="AA40" s="195" t="n">
        <f aca="false">SUMIFS(R$3228:R$4138,$H$3228:$H$4138,$AD40)</f>
        <v>0</v>
      </c>
      <c r="AB40" s="197" t="n">
        <f aca="false">SUMIFS(S$3228:S$4138,$H$3228:$H$4138,$AD40)</f>
        <v>0</v>
      </c>
      <c r="AC40" s="198" t="n">
        <f aca="false">SUM(T40:AA40)</f>
        <v>0</v>
      </c>
      <c r="AD40" s="228" t="s">
        <v>114</v>
      </c>
      <c r="AE40" s="229" t="n">
        <v>1008267</v>
      </c>
      <c r="AF40" s="227" t="s">
        <v>105</v>
      </c>
      <c r="AG40" s="202" t="s">
        <v>431</v>
      </c>
      <c r="AH40" s="128" t="n">
        <v>508388517</v>
      </c>
      <c r="AI40" s="218" t="s">
        <v>432</v>
      </c>
      <c r="AK40" s="234"/>
      <c r="AO40" s="128" t="n">
        <v>5</v>
      </c>
      <c r="BU40" s="128" t="n">
        <v>81</v>
      </c>
      <c r="BX40" s="205" t="n">
        <f aca="false">BV40*5+BW40*2</f>
        <v>0</v>
      </c>
      <c r="BY40" s="230" t="n">
        <v>2</v>
      </c>
      <c r="CB40" s="219" t="n">
        <v>12</v>
      </c>
    </row>
    <row r="41" customFormat="false" ht="15" hidden="false" customHeight="true" outlineLevel="0" collapsed="false">
      <c r="B41" s="127" t="n">
        <f aca="false">B40+D41-C41</f>
        <v>517.759999999998</v>
      </c>
      <c r="C41" s="233" t="n">
        <v>11127</v>
      </c>
      <c r="E41" s="212" t="s">
        <v>392</v>
      </c>
      <c r="F41" s="147" t="str">
        <f aca="false">IFERROR(VLOOKUP(H41,$AD$1:$AE$301,2,0),"")</f>
        <v/>
      </c>
      <c r="G41" s="147" t="str">
        <f aca="false">IFERROR(VLOOKUP(F41,$AE$2:$AF$290,2, 0),"")</f>
        <v/>
      </c>
      <c r="H41" s="212" t="s">
        <v>393</v>
      </c>
      <c r="I41" s="183" t="n">
        <f aca="false">SUM(K41:R41)</f>
        <v>0</v>
      </c>
      <c r="J41" s="182" t="n">
        <v>45447</v>
      </c>
      <c r="K41" s="184"/>
      <c r="L41" s="185"/>
      <c r="M41" s="186"/>
      <c r="N41" s="187"/>
      <c r="O41" s="188"/>
      <c r="P41" s="189"/>
      <c r="Q41" s="190"/>
      <c r="R41" s="191"/>
      <c r="S41" s="192" t="n">
        <f aca="false">(K41+O41+Q41)*24 /1130+(L41+M41+P41+R41)*12/1130+(N41*30)/1130</f>
        <v>0</v>
      </c>
      <c r="T41" s="193" t="n">
        <f aca="false">SUMIFS(K$3228:K$4138,$H$3228:$H$4138,$AD41)</f>
        <v>0</v>
      </c>
      <c r="U41" s="194" t="n">
        <f aca="false">SUMIFS(L$3228:L$4138,$H$3228:$H$4138,$AD41)</f>
        <v>0</v>
      </c>
      <c r="V41" s="195" t="n">
        <f aca="false">SUMIFS(M$3228:M$4138,$H$3228:$H$4138,$AD41)</f>
        <v>0</v>
      </c>
      <c r="W41" s="193" t="n">
        <f aca="false">SUMIFS(N$3228:N$4138,$H$3228:$H$4138,$AD41)</f>
        <v>0</v>
      </c>
      <c r="X41" s="193" t="n">
        <f aca="false">SUMIFS(O$3228:O$4138,$H$3228:$H$4138,$AD41)</f>
        <v>0</v>
      </c>
      <c r="Y41" s="196" t="n">
        <f aca="false">SUMIFS(P$3228:P$4138,$H$3228:$H$4138,$AD41)</f>
        <v>0</v>
      </c>
      <c r="Z41" s="193" t="n">
        <f aca="false">SUMIFS(Q$3228:Q$4138,$H$3228:$H$4138,$AD41)</f>
        <v>0</v>
      </c>
      <c r="AA41" s="195" t="n">
        <f aca="false">SUMIFS(R$3228:R$4138,$H$3228:$H$4138,$AD41)</f>
        <v>0</v>
      </c>
      <c r="AB41" s="197" t="n">
        <f aca="false">SUMIFS(S$3228:S$4138,$H$3228:$H$4138,$AD41)</f>
        <v>0</v>
      </c>
      <c r="AC41" s="198" t="n">
        <f aca="false">SUM(T41:AA41)</f>
        <v>0</v>
      </c>
      <c r="AD41" s="228" t="s">
        <v>115</v>
      </c>
      <c r="AE41" s="229" t="n">
        <v>656</v>
      </c>
      <c r="AF41" s="227" t="s">
        <v>105</v>
      </c>
      <c r="AG41" s="202" t="s">
        <v>433</v>
      </c>
      <c r="AH41" s="128" t="n">
        <v>531290065</v>
      </c>
      <c r="AI41" s="218" t="s">
        <v>434</v>
      </c>
      <c r="AK41" s="234"/>
      <c r="BJ41" s="128" t="n">
        <f aca="false">4</f>
        <v>4</v>
      </c>
      <c r="BR41" s="128" t="n">
        <f aca="false">4</f>
        <v>4</v>
      </c>
      <c r="BV41" s="128" t="n">
        <v>4</v>
      </c>
      <c r="BX41" s="205" t="n">
        <f aca="false">BV41*5+BW41*2</f>
        <v>20</v>
      </c>
      <c r="BY41" s="230" t="n">
        <v>1</v>
      </c>
      <c r="CB41" s="219" t="n">
        <f aca="false">36-12</f>
        <v>24</v>
      </c>
      <c r="CC41" s="219" t="n">
        <v>30</v>
      </c>
    </row>
    <row r="42" customFormat="false" ht="15" hidden="false" customHeight="true" outlineLevel="0" collapsed="false">
      <c r="B42" s="127" t="n">
        <f aca="false">B41+D42-C42</f>
        <v>0.759999999998399</v>
      </c>
      <c r="C42" s="127" t="n">
        <v>517</v>
      </c>
      <c r="E42" s="212" t="s">
        <v>435</v>
      </c>
      <c r="F42" s="147" t="str">
        <f aca="false">IFERROR(VLOOKUP(H42,$AD$1:$AE$301,2,0),"")</f>
        <v/>
      </c>
      <c r="G42" s="147" t="str">
        <f aca="false">IFERROR(VLOOKUP(F42,$AE$2:$AF$290,2, 0),"")</f>
        <v/>
      </c>
      <c r="H42" s="212" t="s">
        <v>393</v>
      </c>
      <c r="I42" s="183" t="n">
        <f aca="false">SUM(K42:R42)</f>
        <v>0</v>
      </c>
      <c r="J42" s="182" t="n">
        <v>45448</v>
      </c>
      <c r="K42" s="184"/>
      <c r="L42" s="185"/>
      <c r="M42" s="186"/>
      <c r="N42" s="187"/>
      <c r="O42" s="188"/>
      <c r="P42" s="189"/>
      <c r="Q42" s="190"/>
      <c r="R42" s="191"/>
      <c r="S42" s="192" t="n">
        <f aca="false">(K42+O42+Q42)*24 /1130+(L42+M42+P42+R42)*12/1130+(N42*30)/1130</f>
        <v>0</v>
      </c>
      <c r="T42" s="193" t="n">
        <f aca="false">SUMIFS(K$3228:K$4138,$H$3228:$H$4138,$AD42)</f>
        <v>0</v>
      </c>
      <c r="U42" s="194" t="n">
        <f aca="false">SUMIFS(L$3228:L$4138,$H$3228:$H$4138,$AD42)</f>
        <v>0</v>
      </c>
      <c r="V42" s="195" t="n">
        <f aca="false">SUMIFS(M$3228:M$4138,$H$3228:$H$4138,$AD42)</f>
        <v>0</v>
      </c>
      <c r="W42" s="193" t="n">
        <f aca="false">SUMIFS(N$3228:N$4138,$H$3228:$H$4138,$AD42)</f>
        <v>0</v>
      </c>
      <c r="X42" s="193" t="n">
        <f aca="false">SUMIFS(O$3228:O$4138,$H$3228:$H$4138,$AD42)</f>
        <v>0</v>
      </c>
      <c r="Y42" s="196" t="n">
        <f aca="false">SUMIFS(P$3228:P$4138,$H$3228:$H$4138,$AD42)</f>
        <v>0</v>
      </c>
      <c r="Z42" s="193" t="n">
        <f aca="false">SUMIFS(Q$3228:Q$4138,$H$3228:$H$4138,$AD42)</f>
        <v>0</v>
      </c>
      <c r="AA42" s="195" t="n">
        <f aca="false">SUMIFS(R$3228:R$4138,$H$3228:$H$4138,$AD42)</f>
        <v>0</v>
      </c>
      <c r="AB42" s="197" t="n">
        <f aca="false">SUMIFS(S$3228:S$4138,$H$3228:$H$4138,$AD42)</f>
        <v>0</v>
      </c>
      <c r="AC42" s="198" t="n">
        <f aca="false">SUM(T42:AA42)</f>
        <v>0</v>
      </c>
      <c r="AD42" s="232" t="s">
        <v>116</v>
      </c>
      <c r="AE42" s="226" t="n">
        <v>1002</v>
      </c>
      <c r="AF42" s="227" t="s">
        <v>105</v>
      </c>
      <c r="AG42" s="202" t="s">
        <v>436</v>
      </c>
      <c r="AH42" s="128" t="n">
        <v>567804301</v>
      </c>
      <c r="AI42" s="218" t="s">
        <v>437</v>
      </c>
      <c r="AK42" s="234"/>
      <c r="BB42" s="128" t="n">
        <f aca="false">10</f>
        <v>10</v>
      </c>
      <c r="BL42" s="128" t="n">
        <f aca="false">70</f>
        <v>70</v>
      </c>
      <c r="BN42" s="128" t="n">
        <f aca="false">80</f>
        <v>80</v>
      </c>
      <c r="BP42" s="128" t="n">
        <v>102</v>
      </c>
      <c r="BQ42" s="128" t="n">
        <v>5</v>
      </c>
      <c r="BR42" s="128" t="n">
        <f aca="false">23+75</f>
        <v>98</v>
      </c>
      <c r="BS42" s="128" t="n">
        <f aca="false">7</f>
        <v>7</v>
      </c>
      <c r="BT42" s="128" t="n">
        <f aca="false">55+11</f>
        <v>66</v>
      </c>
      <c r="BV42" s="128" t="n">
        <v>10</v>
      </c>
      <c r="BX42" s="205" t="n">
        <f aca="false">BV42*5+BW42*2</f>
        <v>50</v>
      </c>
      <c r="BZ42" s="162" t="n">
        <v>1</v>
      </c>
    </row>
    <row r="43" customFormat="false" ht="15" hidden="false" customHeight="true" outlineLevel="0" collapsed="false">
      <c r="B43" s="127" t="n">
        <f aca="false">B42+D43-C43</f>
        <v>316.759999999998</v>
      </c>
      <c r="D43" s="146" t="n">
        <v>316</v>
      </c>
      <c r="E43" s="147" t="n">
        <v>34</v>
      </c>
      <c r="F43" s="147" t="n">
        <f aca="false">IFERROR(VLOOKUP(H43,$AD$1:$AE$301,2,0),"")</f>
        <v>1008030</v>
      </c>
      <c r="G43" s="147" t="str">
        <f aca="false">IFERROR(VLOOKUP(F43,$AE$2:$AF$290,2, 0),"")</f>
        <v>البير</v>
      </c>
      <c r="H43" s="212" t="s">
        <v>298</v>
      </c>
      <c r="I43" s="183" t="n">
        <f aca="false">SUM(K43:R43)</f>
        <v>1</v>
      </c>
      <c r="J43" s="182" t="n">
        <v>45448</v>
      </c>
      <c r="K43" s="184" t="n">
        <v>1</v>
      </c>
      <c r="L43" s="185"/>
      <c r="M43" s="186"/>
      <c r="N43" s="187"/>
      <c r="O43" s="188"/>
      <c r="P43" s="189"/>
      <c r="Q43" s="190"/>
      <c r="R43" s="191"/>
      <c r="S43" s="192" t="n">
        <f aca="false">(K43+O43+Q43)*24 /1130+(L43+M43+P43+R43)*12/1130+(N43*30)/1130</f>
        <v>0.0212389380530973</v>
      </c>
      <c r="T43" s="193" t="n">
        <f aca="false">SUMIFS(K$3228:K$4138,$H$3228:$H$4138,$AD43)</f>
        <v>0</v>
      </c>
      <c r="U43" s="194" t="n">
        <f aca="false">SUMIFS(L$3228:L$4138,$H$3228:$H$4138,$AD43)</f>
        <v>0</v>
      </c>
      <c r="V43" s="195" t="n">
        <f aca="false">SUMIFS(M$3228:M$4138,$H$3228:$H$4138,$AD43)</f>
        <v>0</v>
      </c>
      <c r="W43" s="193" t="n">
        <f aca="false">SUMIFS(N$3228:N$4138,$H$3228:$H$4138,$AD43)</f>
        <v>3</v>
      </c>
      <c r="X43" s="193" t="n">
        <f aca="false">SUMIFS(O$3228:O$4138,$H$3228:$H$4138,$AD43)</f>
        <v>0</v>
      </c>
      <c r="Y43" s="196" t="n">
        <f aca="false">SUMIFS(P$3228:P$4138,$H$3228:$H$4138,$AD43)</f>
        <v>0</v>
      </c>
      <c r="Z43" s="193" t="n">
        <f aca="false">SUMIFS(Q$3228:Q$4138,$H$3228:$H$4138,$AD43)</f>
        <v>0</v>
      </c>
      <c r="AA43" s="195" t="n">
        <f aca="false">SUMIFS(R$3228:R$4138,$H$3228:$H$4138,$AD43)</f>
        <v>0</v>
      </c>
      <c r="AB43" s="197" t="n">
        <f aca="false">SUMIFS(S$3228:S$4138,$H$3228:$H$4138,$AD43)</f>
        <v>0.079646017699115</v>
      </c>
      <c r="AC43" s="198" t="n">
        <f aca="false">SUM(T43:AA43)</f>
        <v>3</v>
      </c>
      <c r="AD43" s="232" t="s">
        <v>117</v>
      </c>
      <c r="AE43" s="235" t="n">
        <v>1033</v>
      </c>
      <c r="AF43" s="227" t="s">
        <v>105</v>
      </c>
      <c r="AG43" s="202" t="s">
        <v>438</v>
      </c>
      <c r="AH43" s="128" t="n">
        <v>532637209</v>
      </c>
      <c r="AI43" s="218" t="s">
        <v>439</v>
      </c>
      <c r="BX43" s="205" t="n">
        <f aca="false">BV43*5+BW43*2</f>
        <v>0</v>
      </c>
      <c r="CO43" s="128" t="n">
        <f aca="false">3</f>
        <v>3</v>
      </c>
      <c r="CP43" s="128" t="n">
        <f aca="false">2</f>
        <v>2</v>
      </c>
      <c r="CQ43" s="128" t="n">
        <f aca="false">3</f>
        <v>3</v>
      </c>
    </row>
    <row r="44" customFormat="false" ht="15" hidden="false" customHeight="true" outlineLevel="0" collapsed="false">
      <c r="B44" s="127" t="n">
        <f aca="false">B43+D44-C44</f>
        <v>529.509999999998</v>
      </c>
      <c r="D44" s="146" t="n">
        <v>212.75</v>
      </c>
      <c r="E44" s="236" t="n">
        <v>33</v>
      </c>
      <c r="F44" s="147" t="n">
        <f aca="false">IFERROR(VLOOKUP(H44,$AD$1:$AE$301,2,0),"")</f>
        <v>1007961</v>
      </c>
      <c r="G44" s="147" t="str">
        <f aca="false">IFERROR(VLOOKUP(F44,$AE$2:$AF$290,2, 0),"")</f>
        <v>البير</v>
      </c>
      <c r="H44" s="212" t="s">
        <v>285</v>
      </c>
      <c r="I44" s="183" t="n">
        <f aca="false">SUM(K44:R44)</f>
        <v>1</v>
      </c>
      <c r="J44" s="182" t="n">
        <v>45448</v>
      </c>
      <c r="K44" s="184"/>
      <c r="L44" s="185"/>
      <c r="M44" s="186"/>
      <c r="N44" s="187"/>
      <c r="O44" s="188"/>
      <c r="P44" s="189"/>
      <c r="Q44" s="190" t="n">
        <v>1</v>
      </c>
      <c r="R44" s="191"/>
      <c r="S44" s="192" t="n">
        <f aca="false">(K44+O44+Q44)*24 /1130+(L44+M44+P44+R44)*12/1130+(N44*30)/1130</f>
        <v>0.0212389380530973</v>
      </c>
      <c r="T44" s="193" t="n">
        <f aca="false">SUMIFS(K$3228:K$4138,$H$3228:$H$4138,$AD44)</f>
        <v>0</v>
      </c>
      <c r="U44" s="194" t="n">
        <f aca="false">SUMIFS(L$3228:L$4138,$H$3228:$H$4138,$AD44)</f>
        <v>0</v>
      </c>
      <c r="V44" s="195" t="n">
        <f aca="false">SUMIFS(M$3228:M$4138,$H$3228:$H$4138,$AD44)</f>
        <v>0</v>
      </c>
      <c r="W44" s="193" t="n">
        <f aca="false">SUMIFS(N$3228:N$4138,$H$3228:$H$4138,$AD44)</f>
        <v>0</v>
      </c>
      <c r="X44" s="193" t="n">
        <f aca="false">SUMIFS(O$3228:O$4138,$H$3228:$H$4138,$AD44)</f>
        <v>0</v>
      </c>
      <c r="Y44" s="196" t="n">
        <f aca="false">SUMIFS(P$3228:P$4138,$H$3228:$H$4138,$AD44)</f>
        <v>0</v>
      </c>
      <c r="Z44" s="193" t="n">
        <f aca="false">SUMIFS(Q$3228:Q$4138,$H$3228:$H$4138,$AD44)</f>
        <v>0</v>
      </c>
      <c r="AA44" s="195" t="n">
        <f aca="false">SUMIFS(R$3228:R$4138,$H$3228:$H$4138,$AD44)</f>
        <v>0</v>
      </c>
      <c r="AB44" s="197" t="n">
        <f aca="false">SUMIFS(S$3228:S$4138,$H$3228:$H$4138,$AD44)</f>
        <v>0</v>
      </c>
      <c r="AC44" s="198" t="n">
        <f aca="false">SUM(T44:AA44)</f>
        <v>0</v>
      </c>
      <c r="AD44" s="237" t="s">
        <v>118</v>
      </c>
      <c r="AE44" s="238" t="n">
        <v>1008037</v>
      </c>
      <c r="AF44" s="239" t="s">
        <v>119</v>
      </c>
      <c r="AG44" s="128"/>
      <c r="AH44" s="128" t="n">
        <v>0</v>
      </c>
      <c r="AI44" s="203"/>
      <c r="BX44" s="205" t="n">
        <f aca="false">BV44*5+BW44*2</f>
        <v>0</v>
      </c>
    </row>
    <row r="45" customFormat="false" ht="15" hidden="false" customHeight="true" outlineLevel="0" collapsed="false">
      <c r="B45" s="127" t="n">
        <f aca="false">B44+D45-C45</f>
        <v>1748.51</v>
      </c>
      <c r="D45" s="146" t="n">
        <f aca="false">(2*316.5)+(2*293)</f>
        <v>1219</v>
      </c>
      <c r="E45" s="147" t="n">
        <v>35</v>
      </c>
      <c r="F45" s="147" t="n">
        <f aca="false">IFERROR(VLOOKUP(H45,$AD$1:$AE$301,2,0),"")</f>
        <v>1007999</v>
      </c>
      <c r="G45" s="147" t="str">
        <f aca="false">IFERROR(VLOOKUP(F45,$AE$2:$AF$290,2, 0),"")</f>
        <v>حقل</v>
      </c>
      <c r="H45" s="212" t="s">
        <v>312</v>
      </c>
      <c r="I45" s="183" t="n">
        <f aca="false">SUM(K45:R45)</f>
        <v>4</v>
      </c>
      <c r="J45" s="182" t="n">
        <v>45448</v>
      </c>
      <c r="K45" s="184" t="n">
        <v>2</v>
      </c>
      <c r="L45" s="185"/>
      <c r="M45" s="186" t="n">
        <v>2</v>
      </c>
      <c r="N45" s="187"/>
      <c r="O45" s="188"/>
      <c r="P45" s="189"/>
      <c r="Q45" s="190"/>
      <c r="R45" s="191"/>
      <c r="S45" s="192" t="n">
        <f aca="false">(K45+O45+Q45)*24 /1130+(L45+M45+P45+R45)*12/1130+(N45*30)/1130</f>
        <v>0.063716814159292</v>
      </c>
      <c r="T45" s="193" t="n">
        <f aca="false">SUMIFS(K$3228:K$4138,$H$3228:$H$4138,$AD45)</f>
        <v>0</v>
      </c>
      <c r="U45" s="194" t="n">
        <f aca="false">SUMIFS(L$3228:L$4138,$H$3228:$H$4138,$AD45)</f>
        <v>0</v>
      </c>
      <c r="V45" s="195" t="n">
        <f aca="false">SUMIFS(M$3228:M$4138,$H$3228:$H$4138,$AD45)</f>
        <v>0</v>
      </c>
      <c r="W45" s="193" t="n">
        <f aca="false">SUMIFS(N$3228:N$4138,$H$3228:$H$4138,$AD45)</f>
        <v>0</v>
      </c>
      <c r="X45" s="193" t="n">
        <f aca="false">SUMIFS(O$3228:O$4138,$H$3228:$H$4138,$AD45)</f>
        <v>0</v>
      </c>
      <c r="Y45" s="196" t="n">
        <f aca="false">SUMIFS(P$3228:P$4138,$H$3228:$H$4138,$AD45)</f>
        <v>0</v>
      </c>
      <c r="Z45" s="193" t="n">
        <f aca="false">SUMIFS(Q$3228:Q$4138,$H$3228:$H$4138,$AD45)</f>
        <v>0</v>
      </c>
      <c r="AA45" s="195" t="n">
        <f aca="false">SUMIFS(R$3228:R$4138,$H$3228:$H$4138,$AD45)</f>
        <v>0</v>
      </c>
      <c r="AB45" s="197" t="n">
        <f aca="false">SUMIFS(S$3228:S$4138,$H$3228:$H$4138,$AD45)</f>
        <v>0</v>
      </c>
      <c r="AC45" s="198" t="n">
        <f aca="false">SUM(T45:AA45)</f>
        <v>0</v>
      </c>
      <c r="AD45" s="221" t="s">
        <v>120</v>
      </c>
      <c r="AE45" s="222" t="n">
        <v>1008038</v>
      </c>
      <c r="AF45" s="239" t="s">
        <v>119</v>
      </c>
      <c r="AG45" s="128"/>
      <c r="AH45" s="128" t="n">
        <v>0</v>
      </c>
      <c r="AI45" s="203"/>
      <c r="BX45" s="205" t="n">
        <f aca="false">BV45*5+BW45*2</f>
        <v>0</v>
      </c>
      <c r="BZ45" s="162" t="n">
        <v>3</v>
      </c>
    </row>
    <row r="46" customFormat="false" ht="15" hidden="false" customHeight="true" outlineLevel="0" collapsed="false">
      <c r="B46" s="127" t="n">
        <f aca="false">B45+D46-C46</f>
        <v>2898.51</v>
      </c>
      <c r="D46" s="146" t="n">
        <f aca="false">(3*293.25)+270.25</f>
        <v>1150</v>
      </c>
      <c r="E46" s="147" t="n">
        <v>36</v>
      </c>
      <c r="F46" s="147" t="n">
        <f aca="false">IFERROR(VLOOKUP(H46,$AD$1:$AE$301,2,0),"")</f>
        <v>1008004</v>
      </c>
      <c r="G46" s="147" t="str">
        <f aca="false">IFERROR(VLOOKUP(F46,$AE$2:$AF$290,2, 0),"")</f>
        <v>حقل</v>
      </c>
      <c r="H46" s="212" t="s">
        <v>316</v>
      </c>
      <c r="I46" s="183" t="n">
        <f aca="false">SUM(K46:R46)</f>
        <v>4</v>
      </c>
      <c r="J46" s="182" t="n">
        <v>45448</v>
      </c>
      <c r="K46" s="184"/>
      <c r="L46" s="185"/>
      <c r="M46" s="186" t="n">
        <v>4</v>
      </c>
      <c r="N46" s="187"/>
      <c r="O46" s="188"/>
      <c r="P46" s="189"/>
      <c r="Q46" s="190"/>
      <c r="R46" s="191"/>
      <c r="S46" s="192" t="n">
        <f aca="false">(K46+O46+Q46)*24 /1130+(L46+M46+P46+R46)*12/1130+(N46*30)/1130</f>
        <v>0.0424778761061947</v>
      </c>
      <c r="T46" s="193" t="n">
        <f aca="false">SUMIFS(K$3228:K$4138,$H$3228:$H$4138,$AD46)</f>
        <v>0</v>
      </c>
      <c r="U46" s="194" t="n">
        <f aca="false">SUMIFS(L$3228:L$4138,$H$3228:$H$4138,$AD46)</f>
        <v>0</v>
      </c>
      <c r="V46" s="195" t="n">
        <f aca="false">SUMIFS(M$3228:M$4138,$H$3228:$H$4138,$AD46)</f>
        <v>0</v>
      </c>
      <c r="W46" s="193" t="n">
        <f aca="false">SUMIFS(N$3228:N$4138,$H$3228:$H$4138,$AD46)</f>
        <v>0</v>
      </c>
      <c r="X46" s="193" t="n">
        <f aca="false">SUMIFS(O$3228:O$4138,$H$3228:$H$4138,$AD46)</f>
        <v>0</v>
      </c>
      <c r="Y46" s="196" t="n">
        <f aca="false">SUMIFS(P$3228:P$4138,$H$3228:$H$4138,$AD46)</f>
        <v>0</v>
      </c>
      <c r="Z46" s="193" t="n">
        <f aca="false">SUMIFS(Q$3228:Q$4138,$H$3228:$H$4138,$AD46)</f>
        <v>0</v>
      </c>
      <c r="AA46" s="195" t="n">
        <f aca="false">SUMIFS(R$3228:R$4138,$H$3228:$H$4138,$AD46)</f>
        <v>0</v>
      </c>
      <c r="AB46" s="197" t="n">
        <f aca="false">SUMIFS(S$3228:S$4138,$H$3228:$H$4138,$AD46)</f>
        <v>0</v>
      </c>
      <c r="AC46" s="198" t="n">
        <f aca="false">SUM(T46:AA46)</f>
        <v>0</v>
      </c>
      <c r="AD46" s="221" t="s">
        <v>121</v>
      </c>
      <c r="AE46" s="222" t="n">
        <v>1008039</v>
      </c>
      <c r="AF46" s="239" t="s">
        <v>119</v>
      </c>
      <c r="AG46" s="128"/>
      <c r="AH46" s="128" t="n">
        <v>0</v>
      </c>
      <c r="AI46" s="203"/>
      <c r="BX46" s="205" t="n">
        <f aca="false">BV46*5+BW46*2</f>
        <v>0</v>
      </c>
    </row>
    <row r="47" customFormat="false" ht="15" hidden="false" customHeight="true" outlineLevel="0" collapsed="false">
      <c r="B47" s="127" t="n">
        <f aca="false">B46+D47-C47</f>
        <v>3191.76</v>
      </c>
      <c r="D47" s="146" t="n">
        <v>293.25</v>
      </c>
      <c r="E47" s="147" t="n">
        <v>37</v>
      </c>
      <c r="F47" s="147" t="n">
        <f aca="false">IFERROR(VLOOKUP(H47,$AD$1:$AE$301,2,0),"")</f>
        <v>1008005</v>
      </c>
      <c r="G47" s="147" t="str">
        <f aca="false">IFERROR(VLOOKUP(F47,$AE$2:$AF$290,2, 0),"")</f>
        <v>حقل</v>
      </c>
      <c r="H47" s="212" t="s">
        <v>300</v>
      </c>
      <c r="I47" s="183" t="n">
        <f aca="false">SUM(K47:R47)</f>
        <v>1</v>
      </c>
      <c r="J47" s="182" t="n">
        <v>45448</v>
      </c>
      <c r="K47" s="184"/>
      <c r="L47" s="185"/>
      <c r="M47" s="186" t="n">
        <v>1</v>
      </c>
      <c r="N47" s="187"/>
      <c r="O47" s="188"/>
      <c r="P47" s="189"/>
      <c r="Q47" s="190"/>
      <c r="R47" s="191"/>
      <c r="S47" s="192" t="n">
        <f aca="false">(K47+O47+Q47)*24 /1130+(L47+M47+P47+R47)*12/1130+(N47*30)/1130</f>
        <v>0.0106194690265487</v>
      </c>
      <c r="T47" s="193" t="n">
        <f aca="false">SUMIFS(K$3228:K$4138,$H$3228:$H$4138,$AD47)</f>
        <v>0</v>
      </c>
      <c r="U47" s="194" t="n">
        <f aca="false">SUMIFS(L$3228:L$4138,$H$3228:$H$4138,$AD47)</f>
        <v>0</v>
      </c>
      <c r="V47" s="195" t="n">
        <f aca="false">SUMIFS(M$3228:M$4138,$H$3228:$H$4138,$AD47)</f>
        <v>0</v>
      </c>
      <c r="W47" s="193" t="n">
        <f aca="false">SUMIFS(N$3228:N$4138,$H$3228:$H$4138,$AD47)</f>
        <v>0</v>
      </c>
      <c r="X47" s="193" t="n">
        <f aca="false">SUMIFS(O$3228:O$4138,$H$3228:$H$4138,$AD47)</f>
        <v>0</v>
      </c>
      <c r="Y47" s="196" t="n">
        <f aca="false">SUMIFS(P$3228:P$4138,$H$3228:$H$4138,$AD47)</f>
        <v>0</v>
      </c>
      <c r="Z47" s="193" t="n">
        <f aca="false">SUMIFS(Q$3228:Q$4138,$H$3228:$H$4138,$AD47)</f>
        <v>0</v>
      </c>
      <c r="AA47" s="195" t="n">
        <f aca="false">SUMIFS(R$3228:R$4138,$H$3228:$H$4138,$AD47)</f>
        <v>0</v>
      </c>
      <c r="AB47" s="197" t="n">
        <f aca="false">SUMIFS(S$3228:S$4138,$H$3228:$H$4138,$AD47)</f>
        <v>0</v>
      </c>
      <c r="AC47" s="198" t="n">
        <f aca="false">SUM(T47:AA47)</f>
        <v>0</v>
      </c>
      <c r="AD47" s="237" t="s">
        <v>122</v>
      </c>
      <c r="AE47" s="238" t="n">
        <v>1007973</v>
      </c>
      <c r="AF47" s="239" t="s">
        <v>119</v>
      </c>
      <c r="AG47" s="128"/>
      <c r="AH47" s="128" t="n">
        <v>0</v>
      </c>
      <c r="AI47" s="203"/>
      <c r="BX47" s="205" t="n">
        <f aca="false">BV47*5+BW47*2</f>
        <v>0</v>
      </c>
      <c r="BZ47" s="162" t="n">
        <v>5</v>
      </c>
    </row>
    <row r="48" customFormat="false" ht="15" hidden="false" customHeight="true" outlineLevel="0" collapsed="false">
      <c r="B48" s="127" t="n">
        <f aca="false">B47+D48-C48</f>
        <v>3404.51</v>
      </c>
      <c r="D48" s="146" t="n">
        <v>212.75</v>
      </c>
      <c r="E48" s="147" t="n">
        <v>38</v>
      </c>
      <c r="F48" s="147" t="n">
        <f aca="false">IFERROR(VLOOKUP(H48,$AD$1:$AE$301,2,0),"")</f>
        <v>1008035</v>
      </c>
      <c r="G48" s="147" t="str">
        <f aca="false">IFERROR(VLOOKUP(F48,$AE$2:$AF$290,2, 0),"")</f>
        <v>حقل</v>
      </c>
      <c r="H48" s="212" t="s">
        <v>306</v>
      </c>
      <c r="I48" s="183" t="n">
        <f aca="false">SUM(K48:R48)</f>
        <v>1</v>
      </c>
      <c r="J48" s="182" t="n">
        <v>45448</v>
      </c>
      <c r="K48" s="184"/>
      <c r="L48" s="185"/>
      <c r="M48" s="186"/>
      <c r="N48" s="187"/>
      <c r="O48" s="188"/>
      <c r="P48" s="189"/>
      <c r="Q48" s="190" t="n">
        <v>1</v>
      </c>
      <c r="R48" s="191"/>
      <c r="S48" s="192" t="n">
        <f aca="false">(K48+O48+Q48)*24 /1130+(L48+M48+P48+R48)*12/1130+(N48*30)/1130</f>
        <v>0.0212389380530973</v>
      </c>
      <c r="T48" s="193" t="n">
        <f aca="false">SUMIFS(K$3228:K$4138,$H$3228:$H$4138,$AD48)</f>
        <v>0</v>
      </c>
      <c r="U48" s="194" t="n">
        <f aca="false">SUMIFS(L$3228:L$4138,$H$3228:$H$4138,$AD48)</f>
        <v>0</v>
      </c>
      <c r="V48" s="195" t="n">
        <f aca="false">SUMIFS(M$3228:M$4138,$H$3228:$H$4138,$AD48)</f>
        <v>0</v>
      </c>
      <c r="W48" s="193" t="n">
        <f aca="false">SUMIFS(N$3228:N$4138,$H$3228:$H$4138,$AD48)</f>
        <v>0</v>
      </c>
      <c r="X48" s="193" t="n">
        <f aca="false">SUMIFS(O$3228:O$4138,$H$3228:$H$4138,$AD48)</f>
        <v>0</v>
      </c>
      <c r="Y48" s="196" t="n">
        <f aca="false">SUMIFS(P$3228:P$4138,$H$3228:$H$4138,$AD48)</f>
        <v>0</v>
      </c>
      <c r="Z48" s="193" t="n">
        <f aca="false">SUMIFS(Q$3228:Q$4138,$H$3228:$H$4138,$AD48)</f>
        <v>0</v>
      </c>
      <c r="AA48" s="195" t="n">
        <f aca="false">SUMIFS(R$3228:R$4138,$H$3228:$H$4138,$AD48)</f>
        <v>0</v>
      </c>
      <c r="AB48" s="197" t="n">
        <f aca="false">SUMIFS(S$3228:S$4138,$H$3228:$H$4138,$AD48)</f>
        <v>0</v>
      </c>
      <c r="AC48" s="198" t="n">
        <f aca="false">SUM(T48:AA48)</f>
        <v>0</v>
      </c>
      <c r="AD48" s="237" t="s">
        <v>123</v>
      </c>
      <c r="AE48" s="238" t="n">
        <v>1007992</v>
      </c>
      <c r="AF48" s="239" t="s">
        <v>119</v>
      </c>
      <c r="AG48" s="128"/>
      <c r="AH48" s="128" t="n">
        <v>0</v>
      </c>
      <c r="AI48" s="203"/>
      <c r="BX48" s="205" t="n">
        <f aca="false">BV48*5+BW48*2</f>
        <v>0</v>
      </c>
      <c r="BZ48" s="162" t="n">
        <v>4</v>
      </c>
    </row>
    <row r="49" customFormat="false" ht="15" hidden="false" customHeight="true" outlineLevel="0" collapsed="false">
      <c r="B49" s="127" t="n">
        <f aca="false">B48+D49-C49</f>
        <v>0.509999999998399</v>
      </c>
      <c r="C49" s="127" t="n">
        <v>3404</v>
      </c>
      <c r="E49" s="212" t="s">
        <v>392</v>
      </c>
      <c r="F49" s="147" t="str">
        <f aca="false">IFERROR(VLOOKUP(H49,$AD$1:$AE$301,2,0),"")</f>
        <v/>
      </c>
      <c r="G49" s="147" t="str">
        <f aca="false">IFERROR(VLOOKUP(F49,$AE$2:$AF$290,2, 0),"")</f>
        <v/>
      </c>
      <c r="H49" s="212" t="s">
        <v>393</v>
      </c>
      <c r="I49" s="183" t="n">
        <f aca="false">SUM(K49:R49)</f>
        <v>0</v>
      </c>
      <c r="J49" s="182" t="n">
        <v>45449</v>
      </c>
      <c r="K49" s="184"/>
      <c r="L49" s="185"/>
      <c r="M49" s="186"/>
      <c r="N49" s="187"/>
      <c r="O49" s="188"/>
      <c r="P49" s="189"/>
      <c r="Q49" s="190"/>
      <c r="R49" s="191"/>
      <c r="S49" s="192" t="n">
        <f aca="false">(K49+O49+Q49)*24 /1130+(L49+M49+P49+R49)*12/1130+(N49*30)/1130</f>
        <v>0</v>
      </c>
      <c r="T49" s="193" t="n">
        <f aca="false">SUMIFS(K$3228:K$4138,$H$3228:$H$4138,$AD49)</f>
        <v>0</v>
      </c>
      <c r="U49" s="194" t="n">
        <f aca="false">SUMIFS(L$3228:L$4138,$H$3228:$H$4138,$AD49)</f>
        <v>0</v>
      </c>
      <c r="V49" s="195" t="n">
        <f aca="false">SUMIFS(M$3228:M$4138,$H$3228:$H$4138,$AD49)</f>
        <v>0</v>
      </c>
      <c r="W49" s="193" t="n">
        <f aca="false">SUMIFS(N$3228:N$4138,$H$3228:$H$4138,$AD49)</f>
        <v>0</v>
      </c>
      <c r="X49" s="193" t="n">
        <f aca="false">SUMIFS(O$3228:O$4138,$H$3228:$H$4138,$AD49)</f>
        <v>0</v>
      </c>
      <c r="Y49" s="196" t="n">
        <f aca="false">SUMIFS(P$3228:P$4138,$H$3228:$H$4138,$AD49)</f>
        <v>0</v>
      </c>
      <c r="Z49" s="193" t="n">
        <f aca="false">SUMIFS(Q$3228:Q$4138,$H$3228:$H$4138,$AD49)</f>
        <v>0</v>
      </c>
      <c r="AA49" s="195" t="n">
        <f aca="false">SUMIFS(R$3228:R$4138,$H$3228:$H$4138,$AD49)</f>
        <v>0</v>
      </c>
      <c r="AB49" s="197" t="n">
        <f aca="false">SUMIFS(S$3228:S$4138,$H$3228:$H$4138,$AD49)</f>
        <v>0</v>
      </c>
      <c r="AC49" s="198" t="n">
        <f aca="false">SUM(T49:AA49)</f>
        <v>0</v>
      </c>
      <c r="AD49" s="237" t="s">
        <v>124</v>
      </c>
      <c r="AE49" s="238" t="n">
        <v>1007993</v>
      </c>
      <c r="AF49" s="239" t="s">
        <v>119</v>
      </c>
      <c r="AG49" s="128"/>
      <c r="AH49" s="128" t="n">
        <v>0</v>
      </c>
      <c r="AI49" s="203"/>
      <c r="BX49" s="205" t="n">
        <f aca="false">BV49*5+BW49*2</f>
        <v>0</v>
      </c>
      <c r="BZ49" s="162" t="n">
        <v>4</v>
      </c>
    </row>
    <row r="50" customFormat="false" ht="15" hidden="false" customHeight="true" outlineLevel="0" collapsed="false">
      <c r="B50" s="127" t="n">
        <f aca="false">B49+D50-C50</f>
        <v>1380.51</v>
      </c>
      <c r="D50" s="146" t="n">
        <f aca="false">(293*2)+254+(2*270)</f>
        <v>1380</v>
      </c>
      <c r="E50" s="147" t="n">
        <v>42</v>
      </c>
      <c r="F50" s="147" t="n">
        <f aca="false">IFERROR(VLOOKUP(H50,$AD$1:$AE$301,2,0),"")</f>
        <v>1007988</v>
      </c>
      <c r="G50" s="147" t="str">
        <f aca="false">IFERROR(VLOOKUP(F50,$AE$2:$AF$290,2, 0),"")</f>
        <v>ضباء</v>
      </c>
      <c r="H50" s="212" t="s">
        <v>89</v>
      </c>
      <c r="I50" s="183" t="n">
        <f aca="false">SUM(K50:R50)</f>
        <v>5</v>
      </c>
      <c r="J50" s="182" t="n">
        <v>45449</v>
      </c>
      <c r="K50" s="184"/>
      <c r="L50" s="185"/>
      <c r="M50" s="186" t="n">
        <v>5</v>
      </c>
      <c r="N50" s="187"/>
      <c r="O50" s="188"/>
      <c r="P50" s="189"/>
      <c r="Q50" s="190"/>
      <c r="R50" s="191"/>
      <c r="S50" s="192" t="n">
        <f aca="false">(K50+O50+Q50)*24 /1130+(L50+M50+P50+R50)*12/1130+(N50*30)/1130</f>
        <v>0.0530973451327434</v>
      </c>
      <c r="T50" s="193" t="n">
        <f aca="false">SUMIFS(K$3228:K$4138,$H$3228:$H$4138,$AD50)</f>
        <v>0</v>
      </c>
      <c r="U50" s="194" t="n">
        <f aca="false">SUMIFS(L$3228:L$4138,$H$3228:$H$4138,$AD50)</f>
        <v>0</v>
      </c>
      <c r="V50" s="195" t="n">
        <f aca="false">SUMIFS(M$3228:M$4138,$H$3228:$H$4138,$AD50)</f>
        <v>0</v>
      </c>
      <c r="W50" s="193" t="n">
        <f aca="false">SUMIFS(N$3228:N$4138,$H$3228:$H$4138,$AD50)</f>
        <v>0</v>
      </c>
      <c r="X50" s="193" t="n">
        <f aca="false">SUMIFS(O$3228:O$4138,$H$3228:$H$4138,$AD50)</f>
        <v>0</v>
      </c>
      <c r="Y50" s="196" t="n">
        <f aca="false">SUMIFS(P$3228:P$4138,$H$3228:$H$4138,$AD50)</f>
        <v>0</v>
      </c>
      <c r="Z50" s="193" t="n">
        <f aca="false">SUMIFS(Q$3228:Q$4138,$H$3228:$H$4138,$AD50)</f>
        <v>0</v>
      </c>
      <c r="AA50" s="195" t="n">
        <f aca="false">SUMIFS(R$3228:R$4138,$H$3228:$H$4138,$AD50)</f>
        <v>0</v>
      </c>
      <c r="AB50" s="197" t="n">
        <f aca="false">SUMIFS(S$3228:S$4138,$H$3228:$H$4138,$AD50)</f>
        <v>0</v>
      </c>
      <c r="AC50" s="198" t="n">
        <f aca="false">SUM(T50:AA50)</f>
        <v>0</v>
      </c>
      <c r="AD50" s="237" t="s">
        <v>125</v>
      </c>
      <c r="AE50" s="238" t="n">
        <v>1007994</v>
      </c>
      <c r="AF50" s="239" t="s">
        <v>119</v>
      </c>
      <c r="AG50" s="128"/>
      <c r="AH50" s="128" t="n">
        <v>0</v>
      </c>
      <c r="AI50" s="203"/>
      <c r="BX50" s="205" t="n">
        <f aca="false">BV50*5+BW50*2</f>
        <v>0</v>
      </c>
    </row>
    <row r="51" customFormat="false" ht="15" hidden="false" customHeight="true" outlineLevel="0" collapsed="false">
      <c r="B51" s="127" t="n">
        <f aca="false">B50+D51-C51</f>
        <v>2013.01</v>
      </c>
      <c r="D51" s="146" t="n">
        <f aca="false">2*316.25</f>
        <v>632.5</v>
      </c>
      <c r="E51" s="147" t="n">
        <v>41</v>
      </c>
      <c r="F51" s="147" t="n">
        <f aca="false">IFERROR(VLOOKUP(H51,$AD$1:$AE$301,2,0),"")</f>
        <v>1008024</v>
      </c>
      <c r="G51" s="147" t="str">
        <f aca="false">IFERROR(VLOOKUP(F51,$AE$2:$AF$290,2, 0),"")</f>
        <v>ضباء</v>
      </c>
      <c r="H51" s="212" t="s">
        <v>96</v>
      </c>
      <c r="I51" s="183" t="n">
        <f aca="false">SUM(K51:R51)</f>
        <v>2</v>
      </c>
      <c r="J51" s="182" t="n">
        <v>45449</v>
      </c>
      <c r="K51" s="184" t="n">
        <v>2</v>
      </c>
      <c r="L51" s="185"/>
      <c r="M51" s="186"/>
      <c r="N51" s="187"/>
      <c r="O51" s="188"/>
      <c r="P51" s="189"/>
      <c r="Q51" s="190"/>
      <c r="R51" s="191"/>
      <c r="S51" s="192" t="n">
        <f aca="false">(K51+O51+Q51)*24 /1130+(L51+M51+P51+R51)*12/1130+(N51*30)/1130</f>
        <v>0.0424778761061947</v>
      </c>
      <c r="T51" s="193" t="n">
        <f aca="false">SUMIFS(K$3228:K$4138,$H$3228:$H$4138,$AD51)</f>
        <v>0</v>
      </c>
      <c r="U51" s="194" t="n">
        <f aca="false">SUMIFS(L$3228:L$4138,$H$3228:$H$4138,$AD51)</f>
        <v>0</v>
      </c>
      <c r="V51" s="195" t="n">
        <f aca="false">SUMIFS(M$3228:M$4138,$H$3228:$H$4138,$AD51)</f>
        <v>0</v>
      </c>
      <c r="W51" s="193" t="n">
        <f aca="false">SUMIFS(N$3228:N$4138,$H$3228:$H$4138,$AD51)</f>
        <v>0</v>
      </c>
      <c r="X51" s="193" t="n">
        <f aca="false">SUMIFS(O$3228:O$4138,$H$3228:$H$4138,$AD51)</f>
        <v>0</v>
      </c>
      <c r="Y51" s="196" t="n">
        <f aca="false">SUMIFS(P$3228:P$4138,$H$3228:$H$4138,$AD51)</f>
        <v>0</v>
      </c>
      <c r="Z51" s="193" t="n">
        <f aca="false">SUMIFS(Q$3228:Q$4138,$H$3228:$H$4138,$AD51)</f>
        <v>0</v>
      </c>
      <c r="AA51" s="195" t="n">
        <f aca="false">SUMIFS(R$3228:R$4138,$H$3228:$H$4138,$AD51)</f>
        <v>0</v>
      </c>
      <c r="AB51" s="197" t="n">
        <f aca="false">SUMIFS(S$3228:S$4138,$H$3228:$H$4138,$AD51)</f>
        <v>0</v>
      </c>
      <c r="AC51" s="198" t="n">
        <f aca="false">SUM(T51:AA51)</f>
        <v>0</v>
      </c>
      <c r="AD51" s="221" t="s">
        <v>126</v>
      </c>
      <c r="AE51" s="31" t="n">
        <v>1007971</v>
      </c>
      <c r="AF51" s="240" t="s">
        <v>127</v>
      </c>
      <c r="AG51" s="128"/>
      <c r="AH51" s="128" t="n">
        <v>0</v>
      </c>
      <c r="AI51" s="203"/>
      <c r="AK51" s="234"/>
      <c r="BX51" s="205" t="n">
        <f aca="false">BV51*5+BW51*2</f>
        <v>0</v>
      </c>
    </row>
    <row r="52" customFormat="false" ht="15" hidden="false" customHeight="true" outlineLevel="0" collapsed="false">
      <c r="B52" s="127" t="n">
        <f aca="false">B51+D52-C52</f>
        <v>2329.26</v>
      </c>
      <c r="D52" s="146" t="n">
        <v>316.25</v>
      </c>
      <c r="E52" s="147" t="n">
        <v>40</v>
      </c>
      <c r="F52" s="147" t="n">
        <f aca="false">IFERROR(VLOOKUP(H52,$AD$1:$AE$301,2,0),"")</f>
        <v>1007973</v>
      </c>
      <c r="G52" s="147" t="str">
        <f aca="false">IFERROR(VLOOKUP(F52,$AE$2:$AF$290,2, 0),"")</f>
        <v>المويلح</v>
      </c>
      <c r="H52" s="212" t="s">
        <v>122</v>
      </c>
      <c r="I52" s="183" t="n">
        <f aca="false">SUM(K52:R52)</f>
        <v>1</v>
      </c>
      <c r="J52" s="182" t="n">
        <v>45449</v>
      </c>
      <c r="K52" s="184" t="n">
        <v>1</v>
      </c>
      <c r="L52" s="185"/>
      <c r="M52" s="186"/>
      <c r="N52" s="187"/>
      <c r="O52" s="188"/>
      <c r="P52" s="189"/>
      <c r="Q52" s="190"/>
      <c r="R52" s="191"/>
      <c r="S52" s="192" t="n">
        <f aca="false">(K52+O52+Q52)*24 /1130+(L52+M52+P52+R52)*12/1130+(N52*30)/1130</f>
        <v>0.0212389380530973</v>
      </c>
      <c r="T52" s="193" t="n">
        <f aca="false">SUMIFS(K$3228:K$4138,$H$3228:$H$4138,$AD52)</f>
        <v>0</v>
      </c>
      <c r="U52" s="194" t="n">
        <f aca="false">SUMIFS(L$3228:L$4138,$H$3228:$H$4138,$AD52)</f>
        <v>0</v>
      </c>
      <c r="V52" s="195" t="n">
        <f aca="false">SUMIFS(M$3228:M$4138,$H$3228:$H$4138,$AD52)</f>
        <v>0</v>
      </c>
      <c r="W52" s="193" t="n">
        <f aca="false">SUMIFS(N$3228:N$4138,$H$3228:$H$4138,$AD52)</f>
        <v>0</v>
      </c>
      <c r="X52" s="193" t="n">
        <f aca="false">SUMIFS(O$3228:O$4138,$H$3228:$H$4138,$AD52)</f>
        <v>0</v>
      </c>
      <c r="Y52" s="196" t="n">
        <f aca="false">SUMIFS(P$3228:P$4138,$H$3228:$H$4138,$AD52)</f>
        <v>0</v>
      </c>
      <c r="Z52" s="193" t="n">
        <f aca="false">SUMIFS(Q$3228:Q$4138,$H$3228:$H$4138,$AD52)</f>
        <v>0</v>
      </c>
      <c r="AA52" s="195" t="n">
        <f aca="false">SUMIFS(R$3228:R$4138,$H$3228:$H$4138,$AD52)</f>
        <v>0</v>
      </c>
      <c r="AB52" s="197" t="n">
        <f aca="false">SUMIFS(S$3228:S$4138,$H$3228:$H$4138,$AD52)</f>
        <v>0</v>
      </c>
      <c r="AC52" s="198" t="n">
        <f aca="false">SUM(T52:AA52)</f>
        <v>0</v>
      </c>
      <c r="AD52" s="221" t="s">
        <v>128</v>
      </c>
      <c r="AE52" s="240" t="n">
        <v>1007972</v>
      </c>
      <c r="AF52" s="240" t="s">
        <v>127</v>
      </c>
      <c r="AG52" s="128"/>
      <c r="AH52" s="128" t="n">
        <v>0</v>
      </c>
      <c r="AI52" s="203"/>
      <c r="BX52" s="205" t="n">
        <f aca="false">BV52*5+BW52*2</f>
        <v>0</v>
      </c>
    </row>
    <row r="53" customFormat="false" ht="15" hidden="false" customHeight="true" outlineLevel="0" collapsed="false">
      <c r="B53" s="127" t="n">
        <f aca="false">B52+D53-C53</f>
        <v>3272.26</v>
      </c>
      <c r="D53" s="146" t="n">
        <f aca="false">(2*316.25)+(2*155.25)</f>
        <v>943</v>
      </c>
      <c r="E53" s="147" t="n">
        <v>43</v>
      </c>
      <c r="F53" s="147" t="n">
        <f aca="false">IFERROR(VLOOKUP(H53,$AD$1:$AE$301,2,0),"")</f>
        <v>1008022</v>
      </c>
      <c r="G53" s="147" t="str">
        <f aca="false">IFERROR(VLOOKUP(F53,$AE$2:$AF$290,2, 0),"")</f>
        <v>ضباء</v>
      </c>
      <c r="H53" s="212" t="s">
        <v>94</v>
      </c>
      <c r="I53" s="183" t="n">
        <f aca="false">SUM(K53:R53)</f>
        <v>4</v>
      </c>
      <c r="J53" s="182" t="n">
        <v>45449</v>
      </c>
      <c r="K53" s="184" t="n">
        <v>2</v>
      </c>
      <c r="L53" s="185"/>
      <c r="M53" s="186"/>
      <c r="N53" s="187"/>
      <c r="O53" s="188"/>
      <c r="P53" s="189"/>
      <c r="Q53" s="190"/>
      <c r="R53" s="191" t="n">
        <v>2</v>
      </c>
      <c r="S53" s="192" t="n">
        <f aca="false">(K53+O53+Q53)*24 /1130+(L53+M53+P53+R53)*12/1130+(N53*30)/1130</f>
        <v>0.063716814159292</v>
      </c>
      <c r="T53" s="193" t="n">
        <f aca="false">SUMIFS(K$3228:K$4138,$H$3228:$H$4138,$AD53)</f>
        <v>0</v>
      </c>
      <c r="U53" s="194" t="n">
        <f aca="false">SUMIFS(L$3228:L$4138,$H$3228:$H$4138,$AD53)</f>
        <v>0</v>
      </c>
      <c r="V53" s="195" t="n">
        <f aca="false">SUMIFS(M$3228:M$4138,$H$3228:$H$4138,$AD53)</f>
        <v>0</v>
      </c>
      <c r="W53" s="193" t="n">
        <f aca="false">SUMIFS(N$3228:N$4138,$H$3228:$H$4138,$AD53)</f>
        <v>0</v>
      </c>
      <c r="X53" s="193" t="n">
        <f aca="false">SUMIFS(O$3228:O$4138,$H$3228:$H$4138,$AD53)</f>
        <v>0</v>
      </c>
      <c r="Y53" s="196" t="n">
        <f aca="false">SUMIFS(P$3228:P$4138,$H$3228:$H$4138,$AD53)</f>
        <v>0</v>
      </c>
      <c r="Z53" s="193" t="n">
        <f aca="false">SUMIFS(Q$3228:Q$4138,$H$3228:$H$4138,$AD53)</f>
        <v>0</v>
      </c>
      <c r="AA53" s="195" t="n">
        <f aca="false">SUMIFS(R$3228:R$4138,$H$3228:$H$4138,$AD53)</f>
        <v>0</v>
      </c>
      <c r="AB53" s="197" t="n">
        <f aca="false">SUMIFS(S$3228:S$4138,$H$3228:$H$4138,$AD53)</f>
        <v>0</v>
      </c>
      <c r="AC53" s="198" t="n">
        <f aca="false">SUM(T53:AA53)</f>
        <v>0</v>
      </c>
      <c r="AD53" s="241" t="s">
        <v>129</v>
      </c>
      <c r="AE53" s="241" t="n">
        <v>1008059</v>
      </c>
      <c r="AF53" s="240" t="s">
        <v>127</v>
      </c>
      <c r="AG53" s="128"/>
      <c r="AH53" s="128" t="n">
        <v>0</v>
      </c>
      <c r="AI53" s="203"/>
      <c r="BX53" s="205" t="n">
        <f aca="false">BV53*5+BW53*2</f>
        <v>0</v>
      </c>
    </row>
    <row r="54" customFormat="false" ht="15" hidden="false" customHeight="true" outlineLevel="0" collapsed="false">
      <c r="B54" s="127" t="n">
        <f aca="false">B53+D54-C54</f>
        <v>1.2599999999984</v>
      </c>
      <c r="C54" s="127" t="n">
        <v>3271</v>
      </c>
      <c r="E54" s="212" t="s">
        <v>392</v>
      </c>
      <c r="F54" s="147" t="str">
        <f aca="false">IFERROR(VLOOKUP(H54,$AD$1:$AE$301,2,0),"")</f>
        <v/>
      </c>
      <c r="G54" s="147" t="str">
        <f aca="false">IFERROR(VLOOKUP(F54,$AE$2:$AF$290,2, 0),"")</f>
        <v/>
      </c>
      <c r="H54" s="212" t="s">
        <v>393</v>
      </c>
      <c r="I54" s="183" t="n">
        <f aca="false">SUM(K54:R54)</f>
        <v>0</v>
      </c>
      <c r="J54" s="182" t="n">
        <v>45452</v>
      </c>
      <c r="K54" s="184"/>
      <c r="L54" s="185"/>
      <c r="M54" s="186"/>
      <c r="N54" s="187"/>
      <c r="O54" s="188"/>
      <c r="P54" s="189"/>
      <c r="Q54" s="190"/>
      <c r="R54" s="191"/>
      <c r="S54" s="192" t="n">
        <f aca="false">(K54+O54+Q54)*24 /1130+(L54+M54+P54+R54)*12/1130+(N54*30)/1130</f>
        <v>0</v>
      </c>
      <c r="T54" s="193" t="n">
        <f aca="false">SUMIFS(K$3228:K$4138,$H$3228:$H$4138,$AD54)</f>
        <v>0</v>
      </c>
      <c r="U54" s="194" t="n">
        <f aca="false">SUMIFS(L$3228:L$4138,$H$3228:$H$4138,$AD54)</f>
        <v>0</v>
      </c>
      <c r="V54" s="195" t="n">
        <f aca="false">SUMIFS(M$3228:M$4138,$H$3228:$H$4138,$AD54)</f>
        <v>0</v>
      </c>
      <c r="W54" s="193" t="n">
        <f aca="false">SUMIFS(N$3228:N$4138,$H$3228:$H$4138,$AD54)</f>
        <v>0</v>
      </c>
      <c r="X54" s="193" t="n">
        <f aca="false">SUMIFS(O$3228:O$4138,$H$3228:$H$4138,$AD54)</f>
        <v>0</v>
      </c>
      <c r="Y54" s="196" t="n">
        <f aca="false">SUMIFS(P$3228:P$4138,$H$3228:$H$4138,$AD54)</f>
        <v>0</v>
      </c>
      <c r="Z54" s="193" t="n">
        <f aca="false">SUMIFS(Q$3228:Q$4138,$H$3228:$H$4138,$AD54)</f>
        <v>0</v>
      </c>
      <c r="AA54" s="195" t="n">
        <f aca="false">SUMIFS(R$3228:R$4138,$H$3228:$H$4138,$AD54)</f>
        <v>0</v>
      </c>
      <c r="AB54" s="197" t="n">
        <f aca="false">SUMIFS(S$3228:S$4138,$H$3228:$H$4138,$AD54)</f>
        <v>0</v>
      </c>
      <c r="AC54" s="198" t="n">
        <f aca="false">SUM(T54:AA54)</f>
        <v>0</v>
      </c>
      <c r="AD54" s="227"/>
      <c r="AE54" s="226"/>
      <c r="AF54" s="227"/>
      <c r="AI54" s="203"/>
      <c r="BX54" s="205" t="n">
        <f aca="false">BV54*5+BW54*2</f>
        <v>0</v>
      </c>
    </row>
    <row r="55" customFormat="false" ht="15" hidden="false" customHeight="true" outlineLevel="0" collapsed="false">
      <c r="B55" s="127" t="n">
        <f aca="false">B54+D55-C55</f>
        <v>4003.26</v>
      </c>
      <c r="D55" s="146" t="n">
        <f aca="false">(8*327.75)+(5*276)</f>
        <v>4002</v>
      </c>
      <c r="E55" s="147" t="n">
        <v>44</v>
      </c>
      <c r="F55" s="147" t="n">
        <f aca="false">IFERROR(VLOOKUP(H55,$AD$1:$AE$301,2,0),"")</f>
        <v>1008030</v>
      </c>
      <c r="G55" s="147" t="str">
        <f aca="false">IFERROR(VLOOKUP(F55,$AE$2:$AF$290,2, 0),"")</f>
        <v>البير</v>
      </c>
      <c r="H55" s="212" t="s">
        <v>298</v>
      </c>
      <c r="I55" s="183" t="n">
        <f aca="false">SUM(K55:R55)</f>
        <v>13</v>
      </c>
      <c r="J55" s="182" t="n">
        <v>45452</v>
      </c>
      <c r="K55" s="184"/>
      <c r="L55" s="185"/>
      <c r="M55" s="186"/>
      <c r="N55" s="187" t="n">
        <v>8</v>
      </c>
      <c r="O55" s="188" t="n">
        <v>5</v>
      </c>
      <c r="P55" s="189"/>
      <c r="Q55" s="190"/>
      <c r="R55" s="191"/>
      <c r="S55" s="192" t="n">
        <f aca="false">(K55+O55+Q55)*24 /1130+(L55+M55+P55+R55)*12/1130+(N55*30)/1130</f>
        <v>0.31858407079646</v>
      </c>
      <c r="T55" s="193" t="n">
        <f aca="false">SUMIFS(K$3228:K$4138,$H$3228:$H$4138,$AD55)</f>
        <v>0</v>
      </c>
      <c r="U55" s="194" t="n">
        <f aca="false">SUMIFS(L$3228:L$4138,$H$3228:$H$4138,$AD55)</f>
        <v>0</v>
      </c>
      <c r="V55" s="195" t="n">
        <f aca="false">SUMIFS(M$3228:M$4138,$H$3228:$H$4138,$AD55)</f>
        <v>0</v>
      </c>
      <c r="W55" s="193" t="n">
        <f aca="false">SUMIFS(N$3228:N$4138,$H$3228:$H$4138,$AD55)</f>
        <v>0</v>
      </c>
      <c r="X55" s="193" t="n">
        <f aca="false">SUMIFS(O$3228:O$4138,$H$3228:$H$4138,$AD55)</f>
        <v>0</v>
      </c>
      <c r="Y55" s="196" t="n">
        <f aca="false">SUMIFS(P$3228:P$4138,$H$3228:$H$4138,$AD55)</f>
        <v>0</v>
      </c>
      <c r="Z55" s="193" t="n">
        <f aca="false">SUMIFS(Q$3228:Q$4138,$H$3228:$H$4138,$AD55)</f>
        <v>0</v>
      </c>
      <c r="AA55" s="195" t="n">
        <f aca="false">SUMIFS(R$3228:R$4138,$H$3228:$H$4138,$AD55)</f>
        <v>0</v>
      </c>
      <c r="AB55" s="197" t="n">
        <f aca="false">SUMIFS(S$3228:S$4138,$H$3228:$H$4138,$AD55)</f>
        <v>0</v>
      </c>
      <c r="AC55" s="198" t="n">
        <f aca="false">SUM(T55:AA55)</f>
        <v>0</v>
      </c>
      <c r="AD55" s="240" t="s">
        <v>440</v>
      </c>
      <c r="AE55" s="240" t="n">
        <v>1008261</v>
      </c>
      <c r="AF55" s="240" t="s">
        <v>127</v>
      </c>
      <c r="AG55" s="242" t="s">
        <v>441</v>
      </c>
      <c r="AH55" s="160" t="n">
        <v>536344886</v>
      </c>
      <c r="AI55" s="218" t="s">
        <v>442</v>
      </c>
      <c r="AZ55" s="128" t="n">
        <f aca="false">24+12</f>
        <v>36</v>
      </c>
      <c r="BA55" s="128" t="n">
        <f aca="false">2</f>
        <v>2</v>
      </c>
      <c r="BL55" s="128" t="n">
        <f aca="false">14+17</f>
        <v>31</v>
      </c>
      <c r="BM55" s="128" t="n">
        <f aca="false">1</f>
        <v>1</v>
      </c>
      <c r="BP55" s="128" t="n">
        <f aca="false">14+34</f>
        <v>48</v>
      </c>
      <c r="BR55" s="128" t="n">
        <f aca="false">15</f>
        <v>15</v>
      </c>
      <c r="BV55" s="128" t="n">
        <v>42</v>
      </c>
      <c r="BX55" s="205" t="n">
        <f aca="false">BV55*5+BW55*2</f>
        <v>210</v>
      </c>
      <c r="BY55" s="128" t="n">
        <f aca="false">4</f>
        <v>4</v>
      </c>
      <c r="BZ55" s="162" t="n">
        <v>3</v>
      </c>
      <c r="CA55" s="206" t="n">
        <v>5</v>
      </c>
      <c r="CB55" s="219" t="n">
        <f aca="false">30</f>
        <v>30</v>
      </c>
      <c r="CC55" s="219" t="n">
        <v>30</v>
      </c>
    </row>
    <row r="56" customFormat="false" ht="15" hidden="false" customHeight="true" outlineLevel="0" collapsed="false">
      <c r="B56" s="127" t="n">
        <f aca="false">B55+D56-C56</f>
        <v>4256.26</v>
      </c>
      <c r="D56" s="146" t="n">
        <v>253</v>
      </c>
      <c r="E56" s="147" t="n">
        <v>47</v>
      </c>
      <c r="F56" s="147" t="n">
        <f aca="false">IFERROR(VLOOKUP(H56,$AD$1:$AE$301,2,0),"")</f>
        <v>1008038</v>
      </c>
      <c r="G56" s="147" t="str">
        <f aca="false">IFERROR(VLOOKUP(F56,$AE$2:$AF$290,2, 0),"")</f>
        <v>المويلح</v>
      </c>
      <c r="H56" s="212" t="s">
        <v>120</v>
      </c>
      <c r="I56" s="183" t="n">
        <f aca="false">SUM(K56:R56)</f>
        <v>1</v>
      </c>
      <c r="J56" s="182" t="n">
        <v>45452</v>
      </c>
      <c r="K56" s="184"/>
      <c r="L56" s="185"/>
      <c r="M56" s="186" t="n">
        <v>1</v>
      </c>
      <c r="N56" s="187"/>
      <c r="O56" s="188"/>
      <c r="P56" s="189"/>
      <c r="Q56" s="190"/>
      <c r="R56" s="191"/>
      <c r="S56" s="192" t="n">
        <f aca="false">(K56+O56+Q56)*24 /1130+(L56+M56+P56+R56)*12/1130+(N56*30)/1130</f>
        <v>0.0106194690265487</v>
      </c>
      <c r="T56" s="193" t="n">
        <f aca="false">SUMIFS(K$3228:K$4138,$H$3228:$H$4138,$AD56)</f>
        <v>0</v>
      </c>
      <c r="U56" s="194" t="n">
        <f aca="false">SUMIFS(L$3228:L$4138,$H$3228:$H$4138,$AD56)</f>
        <v>0</v>
      </c>
      <c r="V56" s="195" t="n">
        <f aca="false">SUMIFS(M$3228:M$4138,$H$3228:$H$4138,$AD56)</f>
        <v>0</v>
      </c>
      <c r="W56" s="193" t="n">
        <f aca="false">SUMIFS(N$3228:N$4138,$H$3228:$H$4138,$AD56)</f>
        <v>0</v>
      </c>
      <c r="X56" s="193" t="n">
        <f aca="false">SUMIFS(O$3228:O$4138,$H$3228:$H$4138,$AD56)</f>
        <v>0</v>
      </c>
      <c r="Y56" s="196" t="n">
        <f aca="false">SUMIFS(P$3228:P$4138,$H$3228:$H$4138,$AD56)</f>
        <v>0</v>
      </c>
      <c r="Z56" s="193" t="n">
        <f aca="false">SUMIFS(Q$3228:Q$4138,$H$3228:$H$4138,$AD56)</f>
        <v>0</v>
      </c>
      <c r="AA56" s="195" t="n">
        <f aca="false">SUMIFS(R$3228:R$4138,$H$3228:$H$4138,$AD56)</f>
        <v>0</v>
      </c>
      <c r="AB56" s="197" t="n">
        <f aca="false">SUMIFS(S$3228:S$4138,$H$3228:$H$4138,$AD56)</f>
        <v>0</v>
      </c>
      <c r="AC56" s="198" t="n">
        <f aca="false">SUM(T56:AA56)</f>
        <v>0</v>
      </c>
      <c r="AD56" s="221" t="s">
        <v>131</v>
      </c>
      <c r="AE56" s="240" t="n">
        <v>984</v>
      </c>
      <c r="AF56" s="240" t="s">
        <v>127</v>
      </c>
      <c r="AG56" s="242" t="s">
        <v>443</v>
      </c>
      <c r="AH56" s="160" t="n">
        <v>556585022</v>
      </c>
      <c r="AI56" s="203" t="s">
        <v>444</v>
      </c>
      <c r="BB56" s="128" t="n">
        <v>20</v>
      </c>
      <c r="BN56" s="128" t="n">
        <f aca="false">50</f>
        <v>50</v>
      </c>
      <c r="BP56" s="128" t="n">
        <f aca="false">6</f>
        <v>6</v>
      </c>
      <c r="BX56" s="205" t="n">
        <f aca="false">BV56*5+BW56*2</f>
        <v>0</v>
      </c>
    </row>
    <row r="57" customFormat="false" ht="15" hidden="false" customHeight="true" outlineLevel="0" collapsed="false">
      <c r="B57" s="127" t="n">
        <f aca="false">B56+D57-C57</f>
        <v>4572.51</v>
      </c>
      <c r="D57" s="146" t="n">
        <v>316.25</v>
      </c>
      <c r="E57" s="147" t="n">
        <v>46</v>
      </c>
      <c r="F57" s="147" t="n">
        <f aca="false">IFERROR(VLOOKUP(H57,$AD$1:$AE$301,2,0),"")</f>
        <v>1007996</v>
      </c>
      <c r="G57" s="147" t="str">
        <f aca="false">IFERROR(VLOOKUP(F57,$AE$2:$AF$290,2, 0),"")</f>
        <v>البير</v>
      </c>
      <c r="H57" s="212" t="s">
        <v>295</v>
      </c>
      <c r="I57" s="183" t="n">
        <f aca="false">SUM(K57:R57)</f>
        <v>1</v>
      </c>
      <c r="J57" s="182" t="n">
        <v>45452</v>
      </c>
      <c r="K57" s="184" t="n">
        <v>1</v>
      </c>
      <c r="L57" s="185"/>
      <c r="M57" s="186"/>
      <c r="N57" s="187"/>
      <c r="O57" s="188"/>
      <c r="P57" s="189"/>
      <c r="Q57" s="190"/>
      <c r="R57" s="191"/>
      <c r="S57" s="192" t="n">
        <f aca="false">(K57+O57+Q57)*24 /1130+(L57+M57+P57+R57)*12/1130+(N57*30)/1130</f>
        <v>0.0212389380530973</v>
      </c>
      <c r="T57" s="193" t="n">
        <f aca="false">SUMIFS(K$3228:K$4138,$H$3228:$H$4138,$AD57)</f>
        <v>0</v>
      </c>
      <c r="U57" s="194" t="n">
        <f aca="false">SUMIFS(L$3228:L$4138,$H$3228:$H$4138,$AD57)</f>
        <v>0</v>
      </c>
      <c r="V57" s="195" t="n">
        <f aca="false">SUMIFS(M$3228:M$4138,$H$3228:$H$4138,$AD57)</f>
        <v>0</v>
      </c>
      <c r="W57" s="193" t="n">
        <f aca="false">SUMIFS(N$3228:N$4138,$H$3228:$H$4138,$AD57)</f>
        <v>0</v>
      </c>
      <c r="X57" s="193" t="n">
        <f aca="false">SUMIFS(O$3228:O$4138,$H$3228:$H$4138,$AD57)</f>
        <v>0</v>
      </c>
      <c r="Y57" s="196" t="n">
        <f aca="false">SUMIFS(P$3228:P$4138,$H$3228:$H$4138,$AD57)</f>
        <v>0</v>
      </c>
      <c r="Z57" s="193" t="n">
        <f aca="false">SUMIFS(Q$3228:Q$4138,$H$3228:$H$4138,$AD57)</f>
        <v>0</v>
      </c>
      <c r="AA57" s="195" t="n">
        <f aca="false">SUMIFS(R$3228:R$4138,$H$3228:$H$4138,$AD57)</f>
        <v>0</v>
      </c>
      <c r="AB57" s="197" t="n">
        <f aca="false">SUMIFS(S$3228:S$4138,$H$3228:$H$4138,$AD57)</f>
        <v>0</v>
      </c>
      <c r="AC57" s="198" t="n">
        <f aca="false">SUM(T57:AA57)</f>
        <v>0</v>
      </c>
      <c r="AD57" s="221" t="s">
        <v>132</v>
      </c>
      <c r="AE57" s="240" t="n">
        <v>575</v>
      </c>
      <c r="AF57" s="240" t="s">
        <v>127</v>
      </c>
      <c r="AG57" s="242" t="s">
        <v>445</v>
      </c>
      <c r="AH57" s="160" t="n">
        <v>507491731</v>
      </c>
      <c r="AI57" s="218" t="s">
        <v>446</v>
      </c>
      <c r="BB57" s="128" t="n">
        <f aca="false">19+5</f>
        <v>24</v>
      </c>
      <c r="BC57" s="128" t="n">
        <f aca="false">8</f>
        <v>8</v>
      </c>
      <c r="BH57" s="128" t="n">
        <f aca="false">18</f>
        <v>18</v>
      </c>
      <c r="BI57" s="128" t="n">
        <f aca="false">4</f>
        <v>4</v>
      </c>
      <c r="BN57" s="128" t="n">
        <f aca="false">34</f>
        <v>34</v>
      </c>
      <c r="BT57" s="128" t="n">
        <v>63</v>
      </c>
      <c r="BX57" s="205" t="n">
        <f aca="false">BV57*5+BW57*2</f>
        <v>0</v>
      </c>
      <c r="BZ57" s="162" t="n">
        <v>2</v>
      </c>
      <c r="CA57" s="206" t="n">
        <f aca="false">2+3</f>
        <v>5</v>
      </c>
      <c r="CB57" s="219" t="n">
        <v>12</v>
      </c>
      <c r="CQ57" s="128" t="n">
        <f aca="false">3+2</f>
        <v>5</v>
      </c>
    </row>
    <row r="58" customFormat="false" ht="15" hidden="false" customHeight="true" outlineLevel="0" collapsed="false">
      <c r="B58" s="127" t="n">
        <f aca="false">B57+D58-C58</f>
        <v>5406.26</v>
      </c>
      <c r="D58" s="146" t="n">
        <f aca="false">(258.75*2)+316.25</f>
        <v>833.75</v>
      </c>
      <c r="E58" s="147" t="n">
        <v>45</v>
      </c>
      <c r="F58" s="147" t="n">
        <f aca="false">IFERROR(VLOOKUP(H58,$AD$1:$AE$301,2,0),"")</f>
        <v>1007965</v>
      </c>
      <c r="G58" s="147" t="str">
        <f aca="false">IFERROR(VLOOKUP(F58,$AE$2:$AF$290,2, 0),"")</f>
        <v>البير</v>
      </c>
      <c r="H58" s="212" t="s">
        <v>290</v>
      </c>
      <c r="I58" s="183" t="n">
        <f aca="false">SUM(K58:R58)</f>
        <v>3</v>
      </c>
      <c r="J58" s="182" t="n">
        <v>45452</v>
      </c>
      <c r="K58" s="184" t="n">
        <v>1</v>
      </c>
      <c r="L58" s="185"/>
      <c r="M58" s="186"/>
      <c r="N58" s="187"/>
      <c r="O58" s="188" t="n">
        <v>2</v>
      </c>
      <c r="P58" s="189"/>
      <c r="Q58" s="190"/>
      <c r="R58" s="191"/>
      <c r="S58" s="192" t="n">
        <f aca="false">(K58+O58+Q58)*24 /1130+(L58+M58+P58+R58)*12/1130+(N58*30)/1130</f>
        <v>0.063716814159292</v>
      </c>
      <c r="T58" s="193" t="n">
        <f aca="false">SUMIFS(K$3228:K$4138,$H$3228:$H$4138,$AD58)</f>
        <v>0</v>
      </c>
      <c r="U58" s="194" t="n">
        <f aca="false">SUMIFS(L$3228:L$4138,$H$3228:$H$4138,$AD58)</f>
        <v>0</v>
      </c>
      <c r="V58" s="195" t="n">
        <f aca="false">SUMIFS(M$3228:M$4138,$H$3228:$H$4138,$AD58)</f>
        <v>0</v>
      </c>
      <c r="W58" s="193" t="n">
        <f aca="false">SUMIFS(N$3228:N$4138,$H$3228:$H$4138,$AD58)</f>
        <v>0</v>
      </c>
      <c r="X58" s="193" t="n">
        <f aca="false">SUMIFS(O$3228:O$4138,$H$3228:$H$4138,$AD58)</f>
        <v>0</v>
      </c>
      <c r="Y58" s="196" t="n">
        <f aca="false">SUMIFS(P$3228:P$4138,$H$3228:$H$4138,$AD58)</f>
        <v>0</v>
      </c>
      <c r="Z58" s="193" t="n">
        <f aca="false">SUMIFS(Q$3228:Q$4138,$H$3228:$H$4138,$AD58)</f>
        <v>0</v>
      </c>
      <c r="AA58" s="195" t="n">
        <f aca="false">SUMIFS(R$3228:R$4138,$H$3228:$H$4138,$AD58)</f>
        <v>0</v>
      </c>
      <c r="AB58" s="197" t="n">
        <f aca="false">SUMIFS(S$3228:S$4138,$H$3228:$H$4138,$AD58)</f>
        <v>0</v>
      </c>
      <c r="AC58" s="198" t="n">
        <f aca="false">SUM(T58:AA58)</f>
        <v>0</v>
      </c>
      <c r="AD58" s="221" t="s">
        <v>133</v>
      </c>
      <c r="AE58" s="240" t="n">
        <v>560</v>
      </c>
      <c r="AF58" s="240" t="s">
        <v>127</v>
      </c>
      <c r="AG58" s="128"/>
      <c r="AH58" s="128" t="n">
        <v>0</v>
      </c>
      <c r="AI58" s="218" t="s">
        <v>447</v>
      </c>
      <c r="BX58" s="205" t="n">
        <f aca="false">BV58*5+BW58*2</f>
        <v>0</v>
      </c>
    </row>
    <row r="59" customFormat="false" ht="15" hidden="false" customHeight="true" outlineLevel="0" collapsed="false">
      <c r="B59" s="127" t="n">
        <f aca="false">B58+D59-C59</f>
        <v>1001.26</v>
      </c>
      <c r="C59" s="127" t="n">
        <v>4405</v>
      </c>
      <c r="E59" s="212" t="s">
        <v>392</v>
      </c>
      <c r="F59" s="147" t="str">
        <f aca="false">IFERROR(VLOOKUP(H59,$AD$1:$AE$301,2,0),"")</f>
        <v/>
      </c>
      <c r="G59" s="147" t="str">
        <f aca="false">IFERROR(VLOOKUP(F59,$AE$2:$AF$290,2, 0),"")</f>
        <v/>
      </c>
      <c r="H59" s="212" t="s">
        <v>393</v>
      </c>
      <c r="I59" s="183" t="n">
        <f aca="false">SUM(K59:R59)</f>
        <v>0</v>
      </c>
      <c r="J59" s="182" t="n">
        <v>45453</v>
      </c>
      <c r="K59" s="184"/>
      <c r="L59" s="185"/>
      <c r="M59" s="186"/>
      <c r="N59" s="187"/>
      <c r="O59" s="188"/>
      <c r="P59" s="189"/>
      <c r="Q59" s="190"/>
      <c r="R59" s="191"/>
      <c r="S59" s="192" t="n">
        <f aca="false">(K59+O59+Q59)*24 /1130+(L59+M59+P59+R59)*12/1130+(N59*30)/1130</f>
        <v>0</v>
      </c>
      <c r="T59" s="193" t="n">
        <f aca="false">SUMIFS(K$3228:K$4138,$H$3228:$H$4138,$AD59)</f>
        <v>0</v>
      </c>
      <c r="U59" s="194" t="n">
        <f aca="false">SUMIFS(L$3228:L$4138,$H$3228:$H$4138,$AD59)</f>
        <v>0</v>
      </c>
      <c r="V59" s="195" t="n">
        <f aca="false">SUMIFS(M$3228:M$4138,$H$3228:$H$4138,$AD59)</f>
        <v>0</v>
      </c>
      <c r="W59" s="193" t="n">
        <f aca="false">SUMIFS(N$3228:N$4138,$H$3228:$H$4138,$AD59)</f>
        <v>0</v>
      </c>
      <c r="X59" s="193" t="n">
        <f aca="false">SUMIFS(O$3228:O$4138,$H$3228:$H$4138,$AD59)</f>
        <v>0</v>
      </c>
      <c r="Y59" s="196" t="n">
        <f aca="false">SUMIFS(P$3228:P$4138,$H$3228:$H$4138,$AD59)</f>
        <v>0</v>
      </c>
      <c r="Z59" s="193" t="n">
        <f aca="false">SUMIFS(Q$3228:Q$4138,$H$3228:$H$4138,$AD59)</f>
        <v>0</v>
      </c>
      <c r="AA59" s="195" t="n">
        <f aca="false">SUMIFS(R$3228:R$4138,$H$3228:$H$4138,$AD59)</f>
        <v>0</v>
      </c>
      <c r="AB59" s="197" t="n">
        <f aca="false">SUMIFS(S$3228:S$4138,$H$3228:$H$4138,$AD59)</f>
        <v>0</v>
      </c>
      <c r="AC59" s="198" t="n">
        <f aca="false">SUM(T59:AA59)</f>
        <v>0</v>
      </c>
      <c r="AD59" s="221" t="s">
        <v>134</v>
      </c>
      <c r="AE59" s="240" t="n">
        <v>636</v>
      </c>
      <c r="AF59" s="240" t="s">
        <v>127</v>
      </c>
      <c r="AG59" s="202" t="s">
        <v>448</v>
      </c>
      <c r="AH59" s="128" t="n">
        <v>502862354</v>
      </c>
      <c r="AI59" s="218" t="s">
        <v>449</v>
      </c>
      <c r="AR59" s="128" t="n">
        <f aca="false">40+7+36</f>
        <v>83</v>
      </c>
      <c r="AT59" s="128" t="n">
        <f aca="false">60+11</f>
        <v>71</v>
      </c>
      <c r="AV59" s="128" t="n">
        <f aca="false">120</f>
        <v>120</v>
      </c>
      <c r="AX59" s="128" t="n">
        <f aca="false">34+83</f>
        <v>117</v>
      </c>
      <c r="BB59" s="128" t="n">
        <f aca="false">93</f>
        <v>93</v>
      </c>
      <c r="BH59" s="128" t="n">
        <f aca="false">99</f>
        <v>99</v>
      </c>
      <c r="BT59" s="128" t="n">
        <v>16</v>
      </c>
      <c r="BX59" s="205" t="n">
        <f aca="false">BV59*5+BW59*2</f>
        <v>0</v>
      </c>
      <c r="BY59" s="128" t="n">
        <f aca="false">2+2+2</f>
        <v>6</v>
      </c>
      <c r="CA59" s="206" t="n">
        <v>6</v>
      </c>
      <c r="CB59" s="219" t="n">
        <f aca="false">12+30</f>
        <v>42</v>
      </c>
      <c r="CC59" s="219" t="n">
        <f aca="false">30</f>
        <v>30</v>
      </c>
      <c r="CD59" s="157" t="n">
        <v>2</v>
      </c>
      <c r="CO59" s="128" t="n">
        <v>5</v>
      </c>
    </row>
    <row r="60" customFormat="false" ht="15" hidden="false" customHeight="true" outlineLevel="0" collapsed="false">
      <c r="B60" s="127" t="n">
        <f aca="false">B59+D60-C60</f>
        <v>1.2599999999984</v>
      </c>
      <c r="C60" s="127" t="n">
        <v>1000</v>
      </c>
      <c r="E60" s="212" t="s">
        <v>399</v>
      </c>
      <c r="F60" s="147" t="str">
        <f aca="false">IFERROR(VLOOKUP(H60,$AD$1:$AE$301,2,0),"")</f>
        <v/>
      </c>
      <c r="G60" s="147" t="str">
        <f aca="false">IFERROR(VLOOKUP(F60,$AE$2:$AF$290,2, 0),"")</f>
        <v/>
      </c>
      <c r="H60" s="212" t="s">
        <v>393</v>
      </c>
      <c r="I60" s="183" t="n">
        <f aca="false">SUM(K60:R60)</f>
        <v>0</v>
      </c>
      <c r="J60" s="182" t="n">
        <v>45453</v>
      </c>
      <c r="K60" s="184"/>
      <c r="L60" s="185"/>
      <c r="M60" s="186"/>
      <c r="N60" s="187"/>
      <c r="O60" s="188"/>
      <c r="P60" s="189"/>
      <c r="Q60" s="190"/>
      <c r="R60" s="191"/>
      <c r="S60" s="192" t="n">
        <f aca="false">(K60+O60+Q60)*24 /1130+(L60+M60+P60+R60)*12/1130+(N60*30)/1130</f>
        <v>0</v>
      </c>
      <c r="T60" s="193" t="n">
        <f aca="false">SUMIFS(K$3228:K$4138,$H$3228:$H$4138,$AD60)</f>
        <v>0</v>
      </c>
      <c r="U60" s="194" t="n">
        <f aca="false">SUMIFS(L$3228:L$4138,$H$3228:$H$4138,$AD60)</f>
        <v>0</v>
      </c>
      <c r="V60" s="195" t="n">
        <f aca="false">SUMIFS(M$3228:M$4138,$H$3228:$H$4138,$AD60)</f>
        <v>0</v>
      </c>
      <c r="W60" s="193" t="n">
        <f aca="false">SUMIFS(N$3228:N$4138,$H$3228:$H$4138,$AD60)</f>
        <v>0</v>
      </c>
      <c r="X60" s="193" t="n">
        <f aca="false">SUMIFS(O$3228:O$4138,$H$3228:$H$4138,$AD60)</f>
        <v>0</v>
      </c>
      <c r="Y60" s="196" t="n">
        <f aca="false">SUMIFS(P$3228:P$4138,$H$3228:$H$4138,$AD60)</f>
        <v>0</v>
      </c>
      <c r="Z60" s="193" t="n">
        <f aca="false">SUMIFS(Q$3228:Q$4138,$H$3228:$H$4138,$AD60)</f>
        <v>0</v>
      </c>
      <c r="AA60" s="195" t="n">
        <f aca="false">SUMIFS(R$3228:R$4138,$H$3228:$H$4138,$AD60)</f>
        <v>0</v>
      </c>
      <c r="AB60" s="197" t="n">
        <f aca="false">SUMIFS(S$3228:S$4138,$H$3228:$H$4138,$AD60)</f>
        <v>0</v>
      </c>
      <c r="AC60" s="198" t="n">
        <f aca="false">SUM(T60:AA60)</f>
        <v>0</v>
      </c>
      <c r="AD60" s="240" t="s">
        <v>135</v>
      </c>
      <c r="AE60" s="240" t="n">
        <v>1071</v>
      </c>
      <c r="AF60" s="240" t="s">
        <v>127</v>
      </c>
      <c r="AG60" s="202" t="s">
        <v>448</v>
      </c>
      <c r="AH60" s="128" t="n">
        <v>502862354</v>
      </c>
      <c r="AI60" s="218" t="s">
        <v>450</v>
      </c>
      <c r="BH60" s="128" t="n">
        <v>65</v>
      </c>
      <c r="BL60" s="128" t="n">
        <f aca="false">104</f>
        <v>104</v>
      </c>
      <c r="BP60" s="128" t="n">
        <f aca="false">140</f>
        <v>140</v>
      </c>
      <c r="BR60" s="128" t="n">
        <v>49</v>
      </c>
      <c r="BX60" s="205" t="n">
        <f aca="false">BV60*5+BW60*2</f>
        <v>0</v>
      </c>
    </row>
    <row r="61" customFormat="false" ht="15" hidden="false" customHeight="true" outlineLevel="0" collapsed="false">
      <c r="B61" s="127" t="n">
        <f aca="false">B60+D61-C61</f>
        <v>4687.51</v>
      </c>
      <c r="D61" s="146" t="n">
        <f aca="false">(327.75*13)+(2*212.75)</f>
        <v>4686.25</v>
      </c>
      <c r="E61" s="147" t="n">
        <v>50</v>
      </c>
      <c r="F61" s="147" t="n">
        <f aca="false">IFERROR(VLOOKUP(H61,$AD$1:$AE$301,2,0),"")</f>
        <v>1008014</v>
      </c>
      <c r="G61" s="147" t="str">
        <f aca="false">IFERROR(VLOOKUP(F61,$AE$2:$AF$290,2, 0),"")</f>
        <v>البدع</v>
      </c>
      <c r="H61" s="212" t="s">
        <v>322</v>
      </c>
      <c r="I61" s="183" t="n">
        <f aca="false">SUM(K61:R61)</f>
        <v>15</v>
      </c>
      <c r="J61" s="182" t="n">
        <v>45453</v>
      </c>
      <c r="K61" s="184"/>
      <c r="L61" s="185"/>
      <c r="M61" s="186"/>
      <c r="N61" s="187" t="n">
        <v>13</v>
      </c>
      <c r="O61" s="188"/>
      <c r="P61" s="189"/>
      <c r="Q61" s="190" t="n">
        <v>2</v>
      </c>
      <c r="R61" s="191"/>
      <c r="S61" s="192" t="n">
        <f aca="false">(K61+O61+Q61)*24 /1130+(L61+M61+P61+R61)*12/1130+(N61*30)/1130</f>
        <v>0.387610619469027</v>
      </c>
      <c r="T61" s="193" t="n">
        <f aca="false">SUMIFS(K$3228:K$4138,$H$3228:$H$4138,$AD61)</f>
        <v>0</v>
      </c>
      <c r="U61" s="194" t="n">
        <f aca="false">SUMIFS(L$3228:L$4138,$H$3228:$H$4138,$AD61)</f>
        <v>0</v>
      </c>
      <c r="V61" s="195" t="n">
        <f aca="false">SUMIFS(M$3228:M$4138,$H$3228:$H$4138,$AD61)</f>
        <v>0</v>
      </c>
      <c r="W61" s="193" t="n">
        <f aca="false">SUMIFS(N$3228:N$4138,$H$3228:$H$4138,$AD61)</f>
        <v>0</v>
      </c>
      <c r="X61" s="193" t="n">
        <f aca="false">SUMIFS(O$3228:O$4138,$H$3228:$H$4138,$AD61)</f>
        <v>0</v>
      </c>
      <c r="Y61" s="196" t="n">
        <f aca="false">SUMIFS(P$3228:P$4138,$H$3228:$H$4138,$AD61)</f>
        <v>0</v>
      </c>
      <c r="Z61" s="193" t="n">
        <f aca="false">SUMIFS(Q$3228:Q$4138,$H$3228:$H$4138,$AD61)</f>
        <v>0</v>
      </c>
      <c r="AA61" s="195" t="n">
        <f aca="false">SUMIFS(R$3228:R$4138,$H$3228:$H$4138,$AD61)</f>
        <v>0</v>
      </c>
      <c r="AB61" s="197" t="n">
        <f aca="false">SUMIFS(S$3228:S$4138,$H$3228:$H$4138,$AD61)</f>
        <v>0</v>
      </c>
      <c r="AC61" s="198" t="n">
        <f aca="false">SUM(T61:AA61)</f>
        <v>0</v>
      </c>
      <c r="AD61" s="221" t="s">
        <v>136</v>
      </c>
      <c r="AE61" s="240" t="n">
        <v>979</v>
      </c>
      <c r="AF61" s="240" t="s">
        <v>127</v>
      </c>
      <c r="AG61" s="202" t="s">
        <v>451</v>
      </c>
      <c r="AH61" s="128" t="n">
        <v>0</v>
      </c>
      <c r="AI61" s="218" t="s">
        <v>452</v>
      </c>
      <c r="BF61" s="157" t="n">
        <f aca="false">5</f>
        <v>5</v>
      </c>
      <c r="BX61" s="205" t="n">
        <f aca="false">BV61*5+BW61*2</f>
        <v>0</v>
      </c>
    </row>
    <row r="62" customFormat="false" ht="15" hidden="false" customHeight="true" outlineLevel="0" collapsed="false">
      <c r="B62" s="127" t="n">
        <f aca="false">B61+D62-C62</f>
        <v>4957.76</v>
      </c>
      <c r="D62" s="146" t="n">
        <v>270.25</v>
      </c>
      <c r="E62" s="147" t="n">
        <v>51</v>
      </c>
      <c r="F62" s="147" t="n">
        <f aca="false">IFERROR(VLOOKUP(H62,$AD$1:$AE$301,2,0),"")</f>
        <v>1008019</v>
      </c>
      <c r="G62" s="147" t="str">
        <f aca="false">IFERROR(VLOOKUP(F62,$AE$2:$AF$290,2, 0),"")</f>
        <v>البدع</v>
      </c>
      <c r="H62" s="212" t="s">
        <v>327</v>
      </c>
      <c r="I62" s="183" t="n">
        <f aca="false">SUM(K62:R62)</f>
        <v>1</v>
      </c>
      <c r="J62" s="182" t="n">
        <v>45453</v>
      </c>
      <c r="K62" s="184"/>
      <c r="L62" s="185"/>
      <c r="M62" s="186" t="n">
        <v>1</v>
      </c>
      <c r="N62" s="187"/>
      <c r="O62" s="188"/>
      <c r="P62" s="189"/>
      <c r="Q62" s="190"/>
      <c r="R62" s="191"/>
      <c r="S62" s="192" t="n">
        <f aca="false">(K62+O62+Q62)*24 /1130+(L62+M62+P62+R62)*12/1130+(N62*30)/1130</f>
        <v>0.0106194690265487</v>
      </c>
      <c r="T62" s="193" t="n">
        <f aca="false">SUMIFS(K$3228:K$4138,$H$3228:$H$4138,$AD62)</f>
        <v>0</v>
      </c>
      <c r="U62" s="194" t="n">
        <f aca="false">SUMIFS(L$3228:L$4138,$H$3228:$H$4138,$AD62)</f>
        <v>0</v>
      </c>
      <c r="V62" s="195" t="n">
        <f aca="false">SUMIFS(M$3228:M$4138,$H$3228:$H$4138,$AD62)</f>
        <v>0</v>
      </c>
      <c r="W62" s="193" t="n">
        <f aca="false">SUMIFS(N$3228:N$4138,$H$3228:$H$4138,$AD62)</f>
        <v>0</v>
      </c>
      <c r="X62" s="193" t="n">
        <f aca="false">SUMIFS(O$3228:O$4138,$H$3228:$H$4138,$AD62)</f>
        <v>0</v>
      </c>
      <c r="Y62" s="196" t="n">
        <f aca="false">SUMIFS(P$3228:P$4138,$H$3228:$H$4138,$AD62)</f>
        <v>0</v>
      </c>
      <c r="Z62" s="193" t="n">
        <f aca="false">SUMIFS(Q$3228:Q$4138,$H$3228:$H$4138,$AD62)</f>
        <v>0</v>
      </c>
      <c r="AA62" s="195" t="n">
        <f aca="false">SUMIFS(R$3228:R$4138,$H$3228:$H$4138,$AD62)</f>
        <v>0</v>
      </c>
      <c r="AB62" s="197" t="n">
        <f aca="false">SUMIFS(S$3228:S$4138,$H$3228:$H$4138,$AD62)</f>
        <v>0</v>
      </c>
      <c r="AC62" s="198" t="n">
        <f aca="false">SUM(T62:AA62)</f>
        <v>0</v>
      </c>
      <c r="AD62" s="243"/>
      <c r="AE62" s="240"/>
      <c r="AF62" s="240" t="s">
        <v>127</v>
      </c>
      <c r="AG62" s="244"/>
      <c r="AH62" s="244"/>
      <c r="AI62" s="203"/>
      <c r="BX62" s="205" t="n">
        <f aca="false">BV62*5+BW62*2</f>
        <v>0</v>
      </c>
    </row>
    <row r="63" customFormat="false" ht="15" hidden="false" customHeight="true" outlineLevel="0" collapsed="false">
      <c r="B63" s="127" t="n">
        <f aca="false">B62+D63-C63</f>
        <v>5360.26</v>
      </c>
      <c r="D63" s="146" t="n">
        <f aca="false">259+143.5</f>
        <v>402.5</v>
      </c>
      <c r="E63" s="147" t="n">
        <v>48</v>
      </c>
      <c r="F63" s="147" t="n">
        <f aca="false">IFERROR(VLOOKUP(H63,$AD$1:$AE$301,2,0),"")</f>
        <v>1008040</v>
      </c>
      <c r="G63" s="147" t="str">
        <f aca="false">IFERROR(VLOOKUP(F63,$AE$2:$AF$290,2, 0),"")</f>
        <v>البير</v>
      </c>
      <c r="H63" s="212" t="s">
        <v>292</v>
      </c>
      <c r="I63" s="183" t="n">
        <f aca="false">SUM(K63:R63)</f>
        <v>2</v>
      </c>
      <c r="J63" s="182" t="n">
        <v>45453</v>
      </c>
      <c r="K63" s="184"/>
      <c r="L63" s="185"/>
      <c r="M63" s="186"/>
      <c r="N63" s="187"/>
      <c r="O63" s="188" t="n">
        <v>1</v>
      </c>
      <c r="P63" s="189" t="n">
        <v>1</v>
      </c>
      <c r="Q63" s="190"/>
      <c r="R63" s="191"/>
      <c r="S63" s="192" t="n">
        <f aca="false">(K63+O63+Q63)*24 /1130+(L63+M63+P63+R63)*12/1130+(N63*30)/1130</f>
        <v>0.031858407079646</v>
      </c>
      <c r="T63" s="193" t="n">
        <f aca="false">SUMIFS(K$3228:K$4138,$H$3228:$H$4138,$AD63)</f>
        <v>0</v>
      </c>
      <c r="U63" s="194" t="n">
        <f aca="false">SUMIFS(L$3228:L$4138,$H$3228:$H$4138,$AD63)</f>
        <v>0</v>
      </c>
      <c r="V63" s="195" t="n">
        <f aca="false">SUMIFS(M$3228:M$4138,$H$3228:$H$4138,$AD63)</f>
        <v>0</v>
      </c>
      <c r="W63" s="193" t="n">
        <f aca="false">SUMIFS(N$3228:N$4138,$H$3228:$H$4138,$AD63)</f>
        <v>0</v>
      </c>
      <c r="X63" s="193" t="n">
        <f aca="false">SUMIFS(O$3228:O$4138,$H$3228:$H$4138,$AD63)</f>
        <v>0</v>
      </c>
      <c r="Y63" s="196" t="n">
        <f aca="false">SUMIFS(P$3228:P$4138,$H$3228:$H$4138,$AD63)</f>
        <v>0</v>
      </c>
      <c r="Z63" s="193" t="n">
        <f aca="false">SUMIFS(Q$3228:Q$4138,$H$3228:$H$4138,$AD63)</f>
        <v>0</v>
      </c>
      <c r="AA63" s="195" t="n">
        <f aca="false">SUMIFS(R$3228:R$4138,$H$3228:$H$4138,$AD63)</f>
        <v>0</v>
      </c>
      <c r="AB63" s="197" t="n">
        <f aca="false">SUMIFS(S$3228:S$4138,$H$3228:$H$4138,$AD63)</f>
        <v>0</v>
      </c>
      <c r="AC63" s="198" t="n">
        <f aca="false">SUM(T63:AA63)</f>
        <v>0</v>
      </c>
      <c r="AD63" s="221" t="s">
        <v>137</v>
      </c>
      <c r="AE63" s="240" t="n">
        <v>945</v>
      </c>
      <c r="AF63" s="240" t="s">
        <v>127</v>
      </c>
      <c r="AG63" s="128"/>
      <c r="AH63" s="128" t="n">
        <v>0</v>
      </c>
      <c r="AI63" s="203" t="s">
        <v>453</v>
      </c>
      <c r="BX63" s="205" t="n">
        <f aca="false">BV63*5+BW63*2</f>
        <v>0</v>
      </c>
      <c r="CB63" s="206" t="n">
        <v>12</v>
      </c>
    </row>
    <row r="64" customFormat="false" ht="15" hidden="false" customHeight="true" outlineLevel="0" collapsed="false">
      <c r="B64" s="127" t="n">
        <f aca="false">B63+D64-C64</f>
        <v>5676.51</v>
      </c>
      <c r="D64" s="146" t="n">
        <v>316.25</v>
      </c>
      <c r="E64" s="147" t="n">
        <v>49</v>
      </c>
      <c r="F64" s="147" t="n">
        <f aca="false">IFERROR(VLOOKUP(H64,$AD$1:$AE$301,2,0),"")</f>
        <v>1008012</v>
      </c>
      <c r="G64" s="147" t="str">
        <f aca="false">IFERROR(VLOOKUP(F64,$AE$2:$AF$290,2, 0),"")</f>
        <v>البدع</v>
      </c>
      <c r="H64" s="212" t="s">
        <v>320</v>
      </c>
      <c r="I64" s="183" t="n">
        <f aca="false">SUM(K64:R64)</f>
        <v>1</v>
      </c>
      <c r="J64" s="182" t="n">
        <v>45453</v>
      </c>
      <c r="K64" s="184" t="n">
        <v>1</v>
      </c>
      <c r="S64" s="192" t="n">
        <f aca="false">(K64+O64+Q64)*24 /1130+(L64+M64+P64+R64)*12/1130+(N64*30)/1130</f>
        <v>0.0212389380530973</v>
      </c>
      <c r="T64" s="193" t="n">
        <f aca="false">SUMIFS(K$3228:K$4138,$H$3228:$H$4138,$AD64)</f>
        <v>0</v>
      </c>
      <c r="U64" s="194" t="n">
        <f aca="false">SUMIFS(L$3228:L$4138,$H$3228:$H$4138,$AD64)</f>
        <v>0</v>
      </c>
      <c r="V64" s="195" t="n">
        <f aca="false">SUMIFS(M$3228:M$4138,$H$3228:$H$4138,$AD64)</f>
        <v>0</v>
      </c>
      <c r="W64" s="193" t="n">
        <f aca="false">SUMIFS(N$3228:N$4138,$H$3228:$H$4138,$AD64)</f>
        <v>0</v>
      </c>
      <c r="X64" s="193" t="n">
        <f aca="false">SUMIFS(O$3228:O$4138,$H$3228:$H$4138,$AD64)</f>
        <v>0</v>
      </c>
      <c r="Y64" s="196" t="n">
        <f aca="false">SUMIFS(P$3228:P$4138,$H$3228:$H$4138,$AD64)</f>
        <v>0</v>
      </c>
      <c r="Z64" s="193" t="n">
        <f aca="false">SUMIFS(Q$3228:Q$4138,$H$3228:$H$4138,$AD64)</f>
        <v>0</v>
      </c>
      <c r="AA64" s="195" t="n">
        <f aca="false">SUMIFS(R$3228:R$4138,$H$3228:$H$4138,$AD64)</f>
        <v>0</v>
      </c>
      <c r="AB64" s="197" t="n">
        <f aca="false">SUMIFS(S$3228:S$4138,$H$3228:$H$4138,$AD64)</f>
        <v>0</v>
      </c>
      <c r="AC64" s="198" t="n">
        <f aca="false">SUM(T64:AA64)</f>
        <v>0</v>
      </c>
      <c r="AD64" s="221" t="s">
        <v>138</v>
      </c>
      <c r="AE64" s="221" t="n">
        <v>1002906</v>
      </c>
      <c r="AF64" s="240" t="s">
        <v>127</v>
      </c>
      <c r="AG64" s="245" t="s">
        <v>454</v>
      </c>
      <c r="AH64" s="244" t="n">
        <v>558376707</v>
      </c>
      <c r="AI64" s="203" t="s">
        <v>455</v>
      </c>
      <c r="BN64" s="128" t="n">
        <f aca="false">20</f>
        <v>20</v>
      </c>
      <c r="BR64" s="128" t="n">
        <f aca="false">35+15</f>
        <v>50</v>
      </c>
      <c r="BX64" s="205" t="n">
        <f aca="false">BV64*5+BW64*2</f>
        <v>0</v>
      </c>
    </row>
    <row r="65" customFormat="false" ht="15" hidden="false" customHeight="true" outlineLevel="0" collapsed="false">
      <c r="B65" s="127" t="n">
        <f aca="false">B64+D65-C65</f>
        <v>5276.51</v>
      </c>
      <c r="C65" s="127" t="n">
        <v>400</v>
      </c>
      <c r="E65" s="212" t="s">
        <v>399</v>
      </c>
      <c r="F65" s="147" t="str">
        <f aca="false">IFERROR(VLOOKUP(H65,$AD$1:$AE$301,2,0),"")</f>
        <v/>
      </c>
      <c r="G65" s="147" t="str">
        <f aca="false">IFERROR(VLOOKUP(F65,$AE$2:$AF$290,2, 0),"")</f>
        <v/>
      </c>
      <c r="H65" s="212" t="s">
        <v>393</v>
      </c>
      <c r="I65" s="183" t="n">
        <f aca="false">SUM(K65:R65)</f>
        <v>0</v>
      </c>
      <c r="J65" s="182" t="n">
        <v>45454</v>
      </c>
      <c r="K65" s="184"/>
      <c r="S65" s="192" t="n">
        <f aca="false">(K65+O65+Q65)*24 /1130+(L65+M65+P65+R65)*12/1130+(N65*30)/1130</f>
        <v>0</v>
      </c>
      <c r="T65" s="193" t="n">
        <f aca="false">SUMIFS(K$3228:K$4138,$H$3228:$H$4138,$AD65)</f>
        <v>0</v>
      </c>
      <c r="U65" s="194" t="n">
        <f aca="false">SUMIFS(L$3228:L$4138,$H$3228:$H$4138,$AD65)</f>
        <v>0</v>
      </c>
      <c r="V65" s="195" t="n">
        <f aca="false">SUMIFS(M$3228:M$4138,$H$3228:$H$4138,$AD65)</f>
        <v>0</v>
      </c>
      <c r="W65" s="193" t="n">
        <f aca="false">SUMIFS(N$3228:N$4138,$H$3228:$H$4138,$AD65)</f>
        <v>0</v>
      </c>
      <c r="X65" s="193" t="n">
        <f aca="false">SUMIFS(O$3228:O$4138,$H$3228:$H$4138,$AD65)</f>
        <v>0</v>
      </c>
      <c r="Y65" s="196" t="n">
        <f aca="false">SUMIFS(P$3228:P$4138,$H$3228:$H$4138,$AD65)</f>
        <v>0</v>
      </c>
      <c r="Z65" s="193" t="n">
        <f aca="false">SUMIFS(Q$3228:Q$4138,$H$3228:$H$4138,$AD65)</f>
        <v>0</v>
      </c>
      <c r="AA65" s="195" t="n">
        <f aca="false">SUMIFS(R$3228:R$4138,$H$3228:$H$4138,$AD65)</f>
        <v>0</v>
      </c>
      <c r="AB65" s="197" t="n">
        <f aca="false">SUMIFS(S$3228:S$4138,$H$3228:$H$4138,$AD65)</f>
        <v>0</v>
      </c>
      <c r="AC65" s="198" t="n">
        <f aca="false">SUM(T65:AA65)</f>
        <v>0</v>
      </c>
      <c r="AD65" s="221" t="s">
        <v>139</v>
      </c>
      <c r="AE65" s="221" t="n">
        <v>1002919</v>
      </c>
      <c r="AF65" s="240" t="s">
        <v>127</v>
      </c>
      <c r="AG65" s="244"/>
      <c r="AH65" s="244"/>
      <c r="AI65" s="203" t="s">
        <v>456</v>
      </c>
      <c r="BX65" s="205" t="n">
        <f aca="false">BV65*5+BW65*2</f>
        <v>0</v>
      </c>
    </row>
    <row r="66" customFormat="false" ht="15" hidden="false" customHeight="true" outlineLevel="0" collapsed="false">
      <c r="B66" s="127" t="n">
        <f aca="false">B65+D66-C66</f>
        <v>0.509999999998399</v>
      </c>
      <c r="C66" s="127" t="n">
        <v>5276</v>
      </c>
      <c r="E66" s="212" t="s">
        <v>392</v>
      </c>
      <c r="F66" s="147" t="str">
        <f aca="false">IFERROR(VLOOKUP(H66,$AD$1:$AE$301,2,0),"")</f>
        <v/>
      </c>
      <c r="G66" s="147" t="str">
        <f aca="false">IFERROR(VLOOKUP(F66,$AE$2:$AF$290,2, 0),"")</f>
        <v/>
      </c>
      <c r="H66" s="212" t="s">
        <v>393</v>
      </c>
      <c r="I66" s="183" t="n">
        <f aca="false">SUM(K66:R66)</f>
        <v>0</v>
      </c>
      <c r="J66" s="182" t="n">
        <v>45454</v>
      </c>
      <c r="K66" s="184"/>
      <c r="S66" s="192" t="n">
        <f aca="false">(K66+O66+Q66)*24 /1130+(L66+M66+P66+R66)*12/1130+(N66*30)/1130</f>
        <v>0</v>
      </c>
      <c r="T66" s="193" t="n">
        <f aca="false">SUMIFS(K$3228:K$4138,$H$3228:$H$4138,$AD66)</f>
        <v>0</v>
      </c>
      <c r="U66" s="194" t="n">
        <f aca="false">SUMIFS(L$3228:L$4138,$H$3228:$H$4138,$AD66)</f>
        <v>0</v>
      </c>
      <c r="V66" s="195" t="n">
        <f aca="false">SUMIFS(M$3228:M$4138,$H$3228:$H$4138,$AD66)</f>
        <v>0</v>
      </c>
      <c r="W66" s="193" t="n">
        <f aca="false">SUMIFS(N$3228:N$4138,$H$3228:$H$4138,$AD66)</f>
        <v>0</v>
      </c>
      <c r="X66" s="193" t="n">
        <f aca="false">SUMIFS(O$3228:O$4138,$H$3228:$H$4138,$AD66)</f>
        <v>0</v>
      </c>
      <c r="Y66" s="196" t="n">
        <f aca="false">SUMIFS(P$3228:P$4138,$H$3228:$H$4138,$AD66)</f>
        <v>0</v>
      </c>
      <c r="Z66" s="193" t="n">
        <f aca="false">SUMIFS(Q$3228:Q$4138,$H$3228:$H$4138,$AD66)</f>
        <v>0</v>
      </c>
      <c r="AA66" s="195" t="n">
        <f aca="false">SUMIFS(R$3228:R$4138,$H$3228:$H$4138,$AD66)</f>
        <v>0</v>
      </c>
      <c r="AB66" s="197" t="n">
        <f aca="false">SUMIFS(S$3228:S$4138,$H$3228:$H$4138,$AD66)</f>
        <v>0</v>
      </c>
      <c r="AC66" s="198" t="n">
        <f aca="false">SUM(T66:AA66)</f>
        <v>0</v>
      </c>
      <c r="AD66" s="221" t="s">
        <v>140</v>
      </c>
      <c r="AE66" s="240" t="n">
        <v>1060</v>
      </c>
      <c r="AF66" s="240" t="s">
        <v>127</v>
      </c>
      <c r="AG66" s="128"/>
      <c r="AH66" s="128"/>
      <c r="AI66" s="203"/>
      <c r="BX66" s="205" t="n">
        <f aca="false">BV66*5+BW66*2</f>
        <v>0</v>
      </c>
    </row>
    <row r="67" customFormat="false" ht="15" hidden="false" customHeight="true" outlineLevel="0" collapsed="false">
      <c r="B67" s="127" t="n">
        <f aca="false">B66+D67-C67</f>
        <v>454.759999999998</v>
      </c>
      <c r="D67" s="146" t="n">
        <f aca="false">316.25+138</f>
        <v>454.25</v>
      </c>
      <c r="E67" s="147" t="n">
        <v>53</v>
      </c>
      <c r="F67" s="147" t="n">
        <f aca="false">IFERROR(VLOOKUP(H67,$AD$1:$AE$301,2,0),"")</f>
        <v>1008009</v>
      </c>
      <c r="G67" s="147" t="str">
        <f aca="false">IFERROR(VLOOKUP(F67,$AE$2:$AF$290,2, 0),"")</f>
        <v>حقل</v>
      </c>
      <c r="H67" s="212" t="s">
        <v>305</v>
      </c>
      <c r="I67" s="183" t="n">
        <f aca="false">SUM(K67:R67)</f>
        <v>2</v>
      </c>
      <c r="J67" s="182" t="n">
        <v>45454</v>
      </c>
      <c r="K67" s="184" t="n">
        <v>1</v>
      </c>
      <c r="Q67" s="154" t="n">
        <v>1</v>
      </c>
      <c r="S67" s="192" t="n">
        <f aca="false">(K67+O67+Q67)*24 /1130+(L67+M67+P67+R67)*12/1130+(N67*30)/1130</f>
        <v>0.0424778761061947</v>
      </c>
      <c r="T67" s="193" t="n">
        <f aca="false">SUMIFS(K$3228:K$4138,$H$3228:$H$4138,$AD67)</f>
        <v>0</v>
      </c>
      <c r="U67" s="194" t="n">
        <f aca="false">SUMIFS(L$3228:L$4138,$H$3228:$H$4138,$AD67)</f>
        <v>0</v>
      </c>
      <c r="V67" s="195" t="n">
        <f aca="false">SUMIFS(M$3228:M$4138,$H$3228:$H$4138,$AD67)</f>
        <v>0</v>
      </c>
      <c r="W67" s="193" t="n">
        <f aca="false">SUMIFS(N$3228:N$4138,$H$3228:$H$4138,$AD67)</f>
        <v>0</v>
      </c>
      <c r="X67" s="193" t="n">
        <f aca="false">SUMIFS(O$3228:O$4138,$H$3228:$H$4138,$AD67)</f>
        <v>0</v>
      </c>
      <c r="Y67" s="196" t="n">
        <f aca="false">SUMIFS(P$3228:P$4138,$H$3228:$H$4138,$AD67)</f>
        <v>0</v>
      </c>
      <c r="Z67" s="193" t="n">
        <f aca="false">SUMIFS(Q$3228:Q$4138,$H$3228:$H$4138,$AD67)</f>
        <v>0</v>
      </c>
      <c r="AA67" s="195" t="n">
        <f aca="false">SUMIFS(R$3228:R$4138,$H$3228:$H$4138,$AD67)</f>
        <v>0</v>
      </c>
      <c r="AB67" s="197" t="n">
        <f aca="false">SUMIFS(S$3228:S$4138,$H$3228:$H$4138,$AD67)</f>
        <v>0</v>
      </c>
      <c r="AC67" s="198" t="n">
        <f aca="false">SUM(T67:AA67)</f>
        <v>0</v>
      </c>
      <c r="AD67" s="221" t="s">
        <v>141</v>
      </c>
      <c r="AE67" s="240" t="n">
        <v>855</v>
      </c>
      <c r="AF67" s="240" t="s">
        <v>127</v>
      </c>
      <c r="AI67" s="218" t="s">
        <v>457</v>
      </c>
      <c r="BB67" s="128" t="n">
        <f aca="false">140</f>
        <v>140</v>
      </c>
      <c r="BD67" s="128" t="n">
        <f aca="false">5</f>
        <v>5</v>
      </c>
      <c r="BF67" s="157" t="n">
        <v>60</v>
      </c>
      <c r="BH67" s="128" t="n">
        <f aca="false">70</f>
        <v>70</v>
      </c>
      <c r="BJ67" s="128" t="n">
        <f aca="false">88+22+5</f>
        <v>115</v>
      </c>
      <c r="BK67" s="128" t="n">
        <f aca="false">4</f>
        <v>4</v>
      </c>
      <c r="BL67" s="128" t="n">
        <f aca="false">14+6+7+80+8+6</f>
        <v>121</v>
      </c>
      <c r="BM67" s="128" t="n">
        <f aca="false">8+5+120</f>
        <v>133</v>
      </c>
      <c r="BN67" s="128" t="n">
        <f aca="false">32</f>
        <v>32</v>
      </c>
      <c r="BO67" s="128" t="n">
        <f aca="false">170</f>
        <v>170</v>
      </c>
      <c r="BP67" s="128" t="n">
        <f aca="false">55+47</f>
        <v>102</v>
      </c>
      <c r="BQ67" s="128" t="n">
        <v>195</v>
      </c>
      <c r="BR67" s="128" t="n">
        <f aca="false">26+170+20</f>
        <v>216</v>
      </c>
      <c r="BS67" s="128" t="n">
        <f aca="false">8+350+75</f>
        <v>433</v>
      </c>
      <c r="BT67" s="128" t="n">
        <f aca="false">87+4</f>
        <v>91</v>
      </c>
      <c r="BU67" s="128" t="n">
        <v>3</v>
      </c>
      <c r="BX67" s="205" t="n">
        <f aca="false">BV67*5+BW67*2</f>
        <v>0</v>
      </c>
      <c r="BY67" s="128" t="n">
        <f aca="false">4+7</f>
        <v>11</v>
      </c>
      <c r="CB67" s="206" t="n">
        <v>12</v>
      </c>
      <c r="CP67" s="128" t="n">
        <v>11</v>
      </c>
      <c r="CQ67" s="128" t="n">
        <v>9</v>
      </c>
    </row>
    <row r="68" customFormat="false" ht="15" hidden="false" customHeight="true" outlineLevel="0" collapsed="false">
      <c r="B68" s="127" t="n">
        <f aca="false">B67+D68-C68</f>
        <v>4042.76</v>
      </c>
      <c r="D68" s="146" t="n">
        <f aca="false">(13*276)</f>
        <v>3588</v>
      </c>
      <c r="E68" s="147" t="n">
        <v>52</v>
      </c>
      <c r="F68" s="147" t="n">
        <f aca="false">IFERROR(VLOOKUP(H68,$AD$1:$AE$301,2,0),"")</f>
        <v>1008017</v>
      </c>
      <c r="G68" s="147" t="str">
        <f aca="false">IFERROR(VLOOKUP(F68,$AE$2:$AF$290,2, 0),"")</f>
        <v>البدع</v>
      </c>
      <c r="H68" s="212" t="s">
        <v>325</v>
      </c>
      <c r="I68" s="183" t="n">
        <f aca="false">SUM(K68:R68)</f>
        <v>13</v>
      </c>
      <c r="J68" s="182" t="n">
        <v>45454</v>
      </c>
      <c r="K68" s="184"/>
      <c r="O68" s="152" t="n">
        <v>13</v>
      </c>
      <c r="S68" s="192" t="n">
        <f aca="false">(K68+O68+Q68)*24 /1130+(L68+M68+P68+R68)*12/1130+(N68*30)/1130</f>
        <v>0.276106194690266</v>
      </c>
      <c r="T68" s="193" t="n">
        <f aca="false">SUMIFS(K$3228:K$4138,$H$3228:$H$4138,$AD68)</f>
        <v>0</v>
      </c>
      <c r="U68" s="194" t="n">
        <f aca="false">SUMIFS(L$3228:L$4138,$H$3228:$H$4138,$AD68)</f>
        <v>0</v>
      </c>
      <c r="V68" s="195" t="n">
        <f aca="false">SUMIFS(M$3228:M$4138,$H$3228:$H$4138,$AD68)</f>
        <v>0</v>
      </c>
      <c r="W68" s="193" t="n">
        <f aca="false">SUMIFS(N$3228:N$4138,$H$3228:$H$4138,$AD68)</f>
        <v>0</v>
      </c>
      <c r="X68" s="193" t="n">
        <f aca="false">SUMIFS(O$3228:O$4138,$H$3228:$H$4138,$AD68)</f>
        <v>0</v>
      </c>
      <c r="Y68" s="196" t="n">
        <f aca="false">SUMIFS(P$3228:P$4138,$H$3228:$H$4138,$AD68)</f>
        <v>0</v>
      </c>
      <c r="Z68" s="193" t="n">
        <f aca="false">SUMIFS(Q$3228:Q$4138,$H$3228:$H$4138,$AD68)</f>
        <v>0</v>
      </c>
      <c r="AA68" s="195" t="n">
        <f aca="false">SUMIFS(R$3228:R$4138,$H$3228:$H$4138,$AD68)</f>
        <v>0</v>
      </c>
      <c r="AB68" s="197" t="n">
        <f aca="false">SUMIFS(S$3228:S$4138,$H$3228:$H$4138,$AD68)</f>
        <v>0</v>
      </c>
      <c r="AC68" s="198" t="n">
        <f aca="false">SUM(T68:AA68)</f>
        <v>0</v>
      </c>
      <c r="AD68" s="221" t="s">
        <v>142</v>
      </c>
      <c r="AE68" s="221" t="n">
        <v>1045</v>
      </c>
      <c r="AF68" s="221" t="s">
        <v>127</v>
      </c>
      <c r="AG68" s="242" t="s">
        <v>458</v>
      </c>
      <c r="AH68" s="160" t="n">
        <v>508498450</v>
      </c>
      <c r="AI68" s="203"/>
      <c r="BF68" s="157" t="n">
        <f aca="false">12+12+12</f>
        <v>36</v>
      </c>
      <c r="BH68" s="128" t="n">
        <f aca="false">12</f>
        <v>12</v>
      </c>
      <c r="BJ68" s="128" t="n">
        <f aca="false">12+12</f>
        <v>24</v>
      </c>
      <c r="BL68" s="128" t="n">
        <f aca="false">14+8+2</f>
        <v>24</v>
      </c>
      <c r="BN68" s="128" t="n">
        <f aca="false">12+6</f>
        <v>18</v>
      </c>
      <c r="BP68" s="128" t="n">
        <v>12</v>
      </c>
      <c r="BX68" s="205" t="n">
        <f aca="false">BV68*5+BW68*2</f>
        <v>0</v>
      </c>
    </row>
    <row r="69" customFormat="false" ht="15" hidden="false" customHeight="true" outlineLevel="0" collapsed="false">
      <c r="B69" s="127" t="n">
        <f aca="false">B68+D69-C69</f>
        <v>4359.01</v>
      </c>
      <c r="D69" s="146" t="n">
        <v>316.25</v>
      </c>
      <c r="E69" s="147" t="n">
        <v>54</v>
      </c>
      <c r="F69" s="147" t="n">
        <f aca="false">IFERROR(VLOOKUP(H69,$AD$1:$AE$301,2,0),"")</f>
        <v>1008030</v>
      </c>
      <c r="G69" s="147" t="str">
        <f aca="false">IFERROR(VLOOKUP(F69,$AE$2:$AF$290,2, 0),"")</f>
        <v>البير</v>
      </c>
      <c r="H69" s="212" t="s">
        <v>298</v>
      </c>
      <c r="I69" s="183" t="n">
        <f aca="false">SUM(K69:R69)</f>
        <v>1</v>
      </c>
      <c r="J69" s="182" t="n">
        <v>45454</v>
      </c>
      <c r="K69" s="184" t="n">
        <v>1</v>
      </c>
      <c r="L69" s="185"/>
      <c r="M69" s="186"/>
      <c r="N69" s="187"/>
      <c r="O69" s="188"/>
      <c r="P69" s="189"/>
      <c r="S69" s="192" t="n">
        <f aca="false">(K69+O69+Q69)*24 /1130+(L69+M69+P69+R69)*12/1130+(N69*30)/1130</f>
        <v>0.0212389380530973</v>
      </c>
      <c r="T69" s="193" t="n">
        <f aca="false">SUMIFS(K$3228:K$4138,$H$3228:$H$4138,$AD69)</f>
        <v>0</v>
      </c>
      <c r="U69" s="194" t="n">
        <f aca="false">SUMIFS(L$3228:L$4138,$H$3228:$H$4138,$AD69)</f>
        <v>0</v>
      </c>
      <c r="V69" s="195" t="n">
        <f aca="false">SUMIFS(M$3228:M$4138,$H$3228:$H$4138,$AD69)</f>
        <v>0</v>
      </c>
      <c r="W69" s="193" t="n">
        <f aca="false">SUMIFS(N$3228:N$4138,$H$3228:$H$4138,$AD69)</f>
        <v>0</v>
      </c>
      <c r="X69" s="193" t="n">
        <f aca="false">SUMIFS(O$3228:O$4138,$H$3228:$H$4138,$AD69)</f>
        <v>0</v>
      </c>
      <c r="Y69" s="196" t="n">
        <f aca="false">SUMIFS(P$3228:P$4138,$H$3228:$H$4138,$AD69)</f>
        <v>0</v>
      </c>
      <c r="Z69" s="193" t="n">
        <f aca="false">SUMIFS(Q$3228:Q$4138,$H$3228:$H$4138,$AD69)</f>
        <v>0</v>
      </c>
      <c r="AA69" s="195" t="n">
        <f aca="false">SUMIFS(R$3228:R$4138,$H$3228:$H$4138,$AD69)</f>
        <v>0</v>
      </c>
      <c r="AB69" s="197" t="n">
        <f aca="false">SUMIFS(S$3228:S$4138,$H$3228:$H$4138,$AD69)</f>
        <v>0</v>
      </c>
      <c r="AC69" s="198" t="n">
        <f aca="false">SUM(T69:AA69)</f>
        <v>0</v>
      </c>
      <c r="AD69" s="241" t="s">
        <v>143</v>
      </c>
      <c r="AE69" s="241" t="n">
        <v>1008272</v>
      </c>
      <c r="AF69" s="240" t="s">
        <v>127</v>
      </c>
      <c r="AG69" s="242" t="s">
        <v>459</v>
      </c>
      <c r="AH69" s="160" t="n">
        <v>506881730</v>
      </c>
      <c r="AI69" s="218" t="s">
        <v>460</v>
      </c>
      <c r="BJ69" s="128" t="n">
        <f aca="false">20</f>
        <v>20</v>
      </c>
      <c r="BL69" s="128" t="n">
        <f aca="false">11</f>
        <v>11</v>
      </c>
      <c r="BP69" s="128" t="n">
        <v>25</v>
      </c>
      <c r="BR69" s="128" t="n">
        <f aca="false">6+5</f>
        <v>11</v>
      </c>
      <c r="BS69" s="128" t="n">
        <f aca="false">4</f>
        <v>4</v>
      </c>
      <c r="BV69" s="128" t="n">
        <f aca="false">13</f>
        <v>13</v>
      </c>
      <c r="BW69" s="128" t="n">
        <f aca="false">4</f>
        <v>4</v>
      </c>
      <c r="BX69" s="205" t="n">
        <f aca="false">BV69*5+BW69*2</f>
        <v>73</v>
      </c>
      <c r="CA69" s="157" t="n">
        <v>1</v>
      </c>
      <c r="CB69" s="219" t="n">
        <v>12</v>
      </c>
      <c r="CQ69" s="128" t="n">
        <f aca="false">2+2</f>
        <v>4</v>
      </c>
    </row>
    <row r="70" customFormat="false" ht="15" hidden="false" customHeight="true" outlineLevel="0" collapsed="false">
      <c r="B70" s="127" t="n">
        <f aca="false">B69+D70-C70</f>
        <v>1.0099999999984</v>
      </c>
      <c r="C70" s="127" t="n">
        <v>4358</v>
      </c>
      <c r="E70" s="212" t="s">
        <v>410</v>
      </c>
      <c r="F70" s="147" t="str">
        <f aca="false">IFERROR(VLOOKUP(H70,$AD$1:$AE$301,2,0),"")</f>
        <v/>
      </c>
      <c r="G70" s="147" t="str">
        <f aca="false">IFERROR(VLOOKUP(F70,$AE$2:$AF$290,2, 0),"")</f>
        <v/>
      </c>
      <c r="H70" s="212" t="s">
        <v>393</v>
      </c>
      <c r="I70" s="183" t="n">
        <f aca="false">SUM(K70:R70)</f>
        <v>0</v>
      </c>
      <c r="J70" s="182" t="n">
        <v>45455</v>
      </c>
      <c r="K70" s="184"/>
      <c r="L70" s="185"/>
      <c r="M70" s="186"/>
      <c r="N70" s="187"/>
      <c r="O70" s="188"/>
      <c r="P70" s="189"/>
      <c r="Q70" s="190"/>
      <c r="R70" s="191"/>
      <c r="S70" s="192" t="n">
        <f aca="false">(K70+O70+Q70)*24 /1130+(L70+M70+P70+R70)*12/1130+(N70*30)/1130</f>
        <v>0</v>
      </c>
      <c r="T70" s="193" t="n">
        <f aca="false">SUMIFS(K$3228:K$4138,$H$3228:$H$4138,$AD70)</f>
        <v>0</v>
      </c>
      <c r="U70" s="194" t="n">
        <f aca="false">SUMIFS(L$3228:L$4138,$H$3228:$H$4138,$AD70)</f>
        <v>0</v>
      </c>
      <c r="V70" s="195" t="n">
        <f aca="false">SUMIFS(M$3228:M$4138,$H$3228:$H$4138,$AD70)</f>
        <v>0</v>
      </c>
      <c r="W70" s="193" t="n">
        <f aca="false">SUMIFS(N$3228:N$4138,$H$3228:$H$4138,$AD70)</f>
        <v>0</v>
      </c>
      <c r="X70" s="193" t="n">
        <f aca="false">SUMIFS(O$3228:O$4138,$H$3228:$H$4138,$AD70)</f>
        <v>0</v>
      </c>
      <c r="Y70" s="196" t="n">
        <f aca="false">SUMIFS(P$3228:P$4138,$H$3228:$H$4138,$AD70)</f>
        <v>0</v>
      </c>
      <c r="Z70" s="193" t="n">
        <f aca="false">SUMIFS(Q$3228:Q$4138,$H$3228:$H$4138,$AD70)</f>
        <v>0</v>
      </c>
      <c r="AA70" s="195" t="n">
        <f aca="false">SUMIFS(R$3228:R$4138,$H$3228:$H$4138,$AD70)</f>
        <v>0</v>
      </c>
      <c r="AB70" s="197" t="n">
        <f aca="false">SUMIFS(S$3228:S$4138,$H$3228:$H$4138,$AD70)</f>
        <v>0</v>
      </c>
      <c r="AC70" s="198" t="n">
        <f aca="false">SUM(T70:AA70)</f>
        <v>0</v>
      </c>
      <c r="AD70" s="240" t="s">
        <v>144</v>
      </c>
      <c r="AE70" s="240" t="n">
        <v>1008273</v>
      </c>
      <c r="AF70" s="240" t="s">
        <v>127</v>
      </c>
      <c r="AG70" s="128"/>
      <c r="AH70" s="128" t="n">
        <v>0</v>
      </c>
      <c r="AI70" s="218" t="s">
        <v>461</v>
      </c>
      <c r="AM70" s="128" t="n">
        <v>9</v>
      </c>
      <c r="BX70" s="205" t="n">
        <f aca="false">BV70*5+BW70*2</f>
        <v>0</v>
      </c>
    </row>
    <row r="71" customFormat="false" ht="15" hidden="false" customHeight="true" outlineLevel="0" collapsed="false">
      <c r="B71" s="127" t="n">
        <f aca="false">B70+D71-C71</f>
        <v>4261.76</v>
      </c>
      <c r="D71" s="146" t="n">
        <f aca="false">13*327.75</f>
        <v>4260.75</v>
      </c>
      <c r="E71" s="147" t="n">
        <v>55</v>
      </c>
      <c r="F71" s="147" t="n">
        <f aca="false">IFERROR(VLOOKUP(H71,$AD$1:$AE$301,2,0),"")</f>
        <v>1008033</v>
      </c>
      <c r="G71" s="147" t="str">
        <f aca="false">IFERROR(VLOOKUP(F71,$AE$2:$AF$290,2, 0),"")</f>
        <v>ضباء</v>
      </c>
      <c r="H71" s="212" t="s">
        <v>102</v>
      </c>
      <c r="I71" s="183" t="n">
        <f aca="false">SUM(K71:R71)</f>
        <v>13</v>
      </c>
      <c r="J71" s="182" t="n">
        <v>45455</v>
      </c>
      <c r="K71" s="184"/>
      <c r="L71" s="185"/>
      <c r="M71" s="186"/>
      <c r="N71" s="187" t="n">
        <v>13</v>
      </c>
      <c r="O71" s="188"/>
      <c r="P71" s="189"/>
      <c r="Q71" s="190"/>
      <c r="R71" s="191"/>
      <c r="S71" s="192" t="n">
        <f aca="false">(K71+O71+Q71)*24 /1130+(L71+M71+P71+R71)*12/1130+(N71*30)/1130</f>
        <v>0.345132743362832</v>
      </c>
      <c r="T71" s="193" t="n">
        <f aca="false">SUMIFS(K$3228:K$4138,$H$3228:$H$4138,$AD71)</f>
        <v>4</v>
      </c>
      <c r="U71" s="194" t="n">
        <f aca="false">SUMIFS(L$3228:L$4138,$H$3228:$H$4138,$AD71)</f>
        <v>0</v>
      </c>
      <c r="V71" s="195" t="n">
        <f aca="false">SUMIFS(M$3228:M$4138,$H$3228:$H$4138,$AD71)</f>
        <v>0</v>
      </c>
      <c r="W71" s="193" t="n">
        <f aca="false">SUMIFS(N$3228:N$4138,$H$3228:$H$4138,$AD71)</f>
        <v>0</v>
      </c>
      <c r="X71" s="193" t="n">
        <f aca="false">SUMIFS(O$3228:O$4138,$H$3228:$H$4138,$AD71)</f>
        <v>0</v>
      </c>
      <c r="Y71" s="196" t="n">
        <f aca="false">SUMIFS(P$3228:P$4138,$H$3228:$H$4138,$AD71)</f>
        <v>0</v>
      </c>
      <c r="Z71" s="193" t="n">
        <f aca="false">SUMIFS(Q$3228:Q$4138,$H$3228:$H$4138,$AD71)</f>
        <v>0</v>
      </c>
      <c r="AA71" s="195" t="n">
        <f aca="false">SUMIFS(R$3228:R$4138,$H$3228:$H$4138,$AD71)</f>
        <v>0</v>
      </c>
      <c r="AB71" s="197" t="n">
        <f aca="false">SUMIFS(S$3228:S$4138,$H$3228:$H$4138,$AD71)</f>
        <v>0.0849557522123894</v>
      </c>
      <c r="AC71" s="198" t="n">
        <f aca="false">SUM(T71:AA71)</f>
        <v>4</v>
      </c>
      <c r="AD71" s="221" t="s">
        <v>145</v>
      </c>
      <c r="AE71" s="240" t="n">
        <v>1008276</v>
      </c>
      <c r="AF71" s="240" t="s">
        <v>127</v>
      </c>
      <c r="AG71" s="128"/>
      <c r="AH71" s="128" t="n">
        <v>0</v>
      </c>
      <c r="AI71" s="218" t="s">
        <v>462</v>
      </c>
      <c r="BX71" s="205" t="n">
        <f aca="false">BV71*5+BW71*2</f>
        <v>0</v>
      </c>
      <c r="BZ71" s="162" t="n">
        <v>4</v>
      </c>
      <c r="CB71" s="206" t="n">
        <v>12</v>
      </c>
    </row>
    <row r="72" customFormat="false" ht="15" hidden="false" customHeight="true" outlineLevel="0" collapsed="false">
      <c r="B72" s="127" t="n">
        <f aca="false">B71+D72-C72</f>
        <v>4578.01</v>
      </c>
      <c r="D72" s="146" t="n">
        <v>316.25</v>
      </c>
      <c r="E72" s="147" t="n">
        <v>56</v>
      </c>
      <c r="F72" s="147" t="n">
        <f aca="false">IFERROR(VLOOKUP(H72,$AD$1:$AE$301,2,0),"")</f>
        <v>1008032</v>
      </c>
      <c r="G72" s="147" t="str">
        <f aca="false">IFERROR(VLOOKUP(F72,$AE$2:$AF$290,2, 0),"")</f>
        <v>ضباء</v>
      </c>
      <c r="H72" s="212" t="s">
        <v>101</v>
      </c>
      <c r="I72" s="183" t="n">
        <f aca="false">SUM(K72:R72)</f>
        <v>1</v>
      </c>
      <c r="J72" s="182" t="n">
        <v>45455</v>
      </c>
      <c r="K72" s="184" t="n">
        <v>1</v>
      </c>
      <c r="L72" s="185"/>
      <c r="M72" s="186"/>
      <c r="N72" s="187"/>
      <c r="O72" s="188"/>
      <c r="P72" s="189"/>
      <c r="Q72" s="190"/>
      <c r="R72" s="191"/>
      <c r="S72" s="192" t="n">
        <f aca="false">(K72+O72+Q72)*24 /1130+(L72+M72+P72+R72)*12/1130+(N72*30)/1130</f>
        <v>0.0212389380530973</v>
      </c>
      <c r="T72" s="193" t="n">
        <f aca="false">SUMIFS(K$3228:K$4138,$H$3228:$H$4138,$AD72)</f>
        <v>0</v>
      </c>
      <c r="U72" s="194" t="n">
        <f aca="false">SUMIFS(L$3228:L$4138,$H$3228:$H$4138,$AD72)</f>
        <v>0</v>
      </c>
      <c r="V72" s="195" t="n">
        <f aca="false">SUMIFS(M$3228:M$4138,$H$3228:$H$4138,$AD72)</f>
        <v>0</v>
      </c>
      <c r="W72" s="193" t="n">
        <f aca="false">SUMIFS(N$3228:N$4138,$H$3228:$H$4138,$AD72)</f>
        <v>0</v>
      </c>
      <c r="X72" s="193" t="n">
        <f aca="false">SUMIFS(O$3228:O$4138,$H$3228:$H$4138,$AD72)</f>
        <v>0</v>
      </c>
      <c r="Y72" s="196" t="n">
        <f aca="false">SUMIFS(P$3228:P$4138,$H$3228:$H$4138,$AD72)</f>
        <v>0</v>
      </c>
      <c r="Z72" s="193" t="n">
        <f aca="false">SUMIFS(Q$3228:Q$4138,$H$3228:$H$4138,$AD72)</f>
        <v>0</v>
      </c>
      <c r="AA72" s="195" t="n">
        <f aca="false">SUMIFS(R$3228:R$4138,$H$3228:$H$4138,$AD72)</f>
        <v>0</v>
      </c>
      <c r="AB72" s="197" t="n">
        <f aca="false">SUMIFS(S$3228:S$4138,$H$3228:$H$4138,$AD72)</f>
        <v>0</v>
      </c>
      <c r="AC72" s="198" t="n">
        <f aca="false">SUM(T72:AA72)</f>
        <v>0</v>
      </c>
      <c r="AD72" s="241" t="s">
        <v>146</v>
      </c>
      <c r="AE72" s="241" t="n">
        <v>1008265</v>
      </c>
      <c r="AF72" s="240" t="s">
        <v>127</v>
      </c>
      <c r="AG72" s="128"/>
      <c r="AH72" s="128" t="n">
        <v>0</v>
      </c>
      <c r="AI72" s="218" t="s">
        <v>463</v>
      </c>
      <c r="BX72" s="205" t="n">
        <f aca="false">BV72*5+BW72*2</f>
        <v>0</v>
      </c>
      <c r="CA72" s="206" t="n">
        <f aca="false">4</f>
        <v>4</v>
      </c>
      <c r="CD72" s="157" t="n">
        <v>1</v>
      </c>
    </row>
    <row r="73" customFormat="false" ht="15" hidden="false" customHeight="true" outlineLevel="0" collapsed="false">
      <c r="B73" s="127" t="n">
        <f aca="false">B72+D73-C73</f>
        <v>5975.01</v>
      </c>
      <c r="D73" s="146" t="n">
        <f aca="false">(3*270)+(2*293.5)</f>
        <v>1397</v>
      </c>
      <c r="E73" s="147" t="n">
        <v>57</v>
      </c>
      <c r="F73" s="147" t="n">
        <f aca="false">IFERROR(VLOOKUP(H73,$AD$1:$AE$301,2,0),"")</f>
        <v>1007988</v>
      </c>
      <c r="G73" s="147" t="str">
        <f aca="false">IFERROR(VLOOKUP(F73,$AE$2:$AF$290,2, 0),"")</f>
        <v>ضباء</v>
      </c>
      <c r="H73" s="212" t="s">
        <v>89</v>
      </c>
      <c r="I73" s="183" t="n">
        <f aca="false">SUM(K73:R73)</f>
        <v>5</v>
      </c>
      <c r="J73" s="182" t="n">
        <v>45455</v>
      </c>
      <c r="K73" s="184"/>
      <c r="L73" s="185"/>
      <c r="M73" s="186" t="n">
        <v>5</v>
      </c>
      <c r="N73" s="187"/>
      <c r="O73" s="188"/>
      <c r="P73" s="189"/>
      <c r="Q73" s="190"/>
      <c r="R73" s="191"/>
      <c r="S73" s="192" t="n">
        <f aca="false">(K73+O73+Q73)*24 /1130+(L73+M73+P73+R73)*12/1130+(N73*30)/1130</f>
        <v>0.0530973451327434</v>
      </c>
      <c r="T73" s="193" t="n">
        <f aca="false">SUMIFS(K$3228:K$4138,$H$3228:$H$4138,$AD73)</f>
        <v>0</v>
      </c>
      <c r="U73" s="194" t="n">
        <f aca="false">SUMIFS(L$3228:L$4138,$H$3228:$H$4138,$AD73)</f>
        <v>0</v>
      </c>
      <c r="V73" s="195" t="n">
        <f aca="false">SUMIFS(M$3228:M$4138,$H$3228:$H$4138,$AD73)</f>
        <v>0</v>
      </c>
      <c r="W73" s="193" t="n">
        <f aca="false">SUMIFS(N$3228:N$4138,$H$3228:$H$4138,$AD73)</f>
        <v>0</v>
      </c>
      <c r="X73" s="193" t="n">
        <f aca="false">SUMIFS(O$3228:O$4138,$H$3228:$H$4138,$AD73)</f>
        <v>0</v>
      </c>
      <c r="Y73" s="196" t="n">
        <f aca="false">SUMIFS(P$3228:P$4138,$H$3228:$H$4138,$AD73)</f>
        <v>0</v>
      </c>
      <c r="Z73" s="193" t="n">
        <f aca="false">SUMIFS(Q$3228:Q$4138,$H$3228:$H$4138,$AD73)</f>
        <v>0</v>
      </c>
      <c r="AA73" s="195" t="n">
        <f aca="false">SUMIFS(R$3228:R$4138,$H$3228:$H$4138,$AD73)</f>
        <v>0</v>
      </c>
      <c r="AB73" s="197" t="n">
        <f aca="false">SUMIFS(S$3228:S$4138,$H$3228:$H$4138,$AD73)</f>
        <v>0</v>
      </c>
      <c r="AC73" s="198" t="n">
        <f aca="false">SUM(T73:AA73)</f>
        <v>0</v>
      </c>
      <c r="AD73" s="241" t="s">
        <v>147</v>
      </c>
      <c r="AE73" s="241" t="n">
        <v>1008274</v>
      </c>
      <c r="AF73" s="240" t="s">
        <v>127</v>
      </c>
      <c r="AG73" s="202" t="s">
        <v>464</v>
      </c>
      <c r="AH73" s="128" t="n">
        <v>500548269</v>
      </c>
      <c r="AI73" s="203"/>
      <c r="AX73" s="128" t="n">
        <f aca="false">2+12</f>
        <v>14</v>
      </c>
      <c r="BX73" s="205" t="n">
        <f aca="false">BV73*5+BW73*2</f>
        <v>0</v>
      </c>
      <c r="CA73" s="157" t="n">
        <v>2</v>
      </c>
      <c r="CB73" s="206" t="n">
        <v>12</v>
      </c>
    </row>
    <row r="74" customFormat="false" ht="15" hidden="false" customHeight="true" outlineLevel="0" collapsed="false">
      <c r="B74" s="127" t="n">
        <f aca="false">B73+D74-C74</f>
        <v>9770.01</v>
      </c>
      <c r="D74" s="146" t="n">
        <f aca="false">(4*327.75)+(9*276)</f>
        <v>3795</v>
      </c>
      <c r="E74" s="147" t="n">
        <v>58</v>
      </c>
      <c r="F74" s="147" t="n">
        <f aca="false">IFERROR(VLOOKUP(H74,$AD$1:$AE$301,2,0),"")</f>
        <v>1008022</v>
      </c>
      <c r="G74" s="147" t="str">
        <f aca="false">IFERROR(VLOOKUP(F74,$AE$2:$AF$290,2, 0),"")</f>
        <v>ضباء</v>
      </c>
      <c r="H74" s="212" t="s">
        <v>94</v>
      </c>
      <c r="I74" s="183" t="n">
        <f aca="false">SUM(K74:R74)</f>
        <v>13</v>
      </c>
      <c r="J74" s="182" t="n">
        <v>45455</v>
      </c>
      <c r="K74" s="184"/>
      <c r="L74" s="185"/>
      <c r="M74" s="186"/>
      <c r="N74" s="187" t="n">
        <v>4</v>
      </c>
      <c r="O74" s="188" t="n">
        <v>9</v>
      </c>
      <c r="P74" s="189"/>
      <c r="Q74" s="190"/>
      <c r="R74" s="191"/>
      <c r="S74" s="192" t="n">
        <f aca="false">(K74+O74+Q74)*24 /1130+(L74+M74+P74+R74)*12/1130+(N74*30)/1130</f>
        <v>0.297345132743363</v>
      </c>
      <c r="T74" s="193" t="n">
        <f aca="false">SUMIFS(K$3228:K$4138,$H$3228:$H$4138,$AD74)</f>
        <v>0</v>
      </c>
      <c r="U74" s="194" t="n">
        <f aca="false">SUMIFS(L$3228:L$4138,$H$3228:$H$4138,$AD74)</f>
        <v>0</v>
      </c>
      <c r="V74" s="195" t="n">
        <f aca="false">SUMIFS(M$3228:M$4138,$H$3228:$H$4138,$AD74)</f>
        <v>0</v>
      </c>
      <c r="W74" s="193" t="n">
        <f aca="false">SUMIFS(N$3228:N$4138,$H$3228:$H$4138,$AD74)</f>
        <v>0</v>
      </c>
      <c r="X74" s="193" t="n">
        <f aca="false">SUMIFS(O$3228:O$4138,$H$3228:$H$4138,$AD74)</f>
        <v>0</v>
      </c>
      <c r="Y74" s="196" t="n">
        <f aca="false">SUMIFS(P$3228:P$4138,$H$3228:$H$4138,$AD74)</f>
        <v>0</v>
      </c>
      <c r="Z74" s="193" t="n">
        <f aca="false">SUMIFS(Q$3228:Q$4138,$H$3228:$H$4138,$AD74)</f>
        <v>0</v>
      </c>
      <c r="AA74" s="195" t="n">
        <f aca="false">SUMIFS(R$3228:R$4138,$H$3228:$H$4138,$AD74)</f>
        <v>0</v>
      </c>
      <c r="AB74" s="197" t="n">
        <f aca="false">SUMIFS(S$3228:S$4138,$H$3228:$H$4138,$AD74)</f>
        <v>0</v>
      </c>
      <c r="AC74" s="198" t="n">
        <f aca="false">SUM(T74:AA74)</f>
        <v>0</v>
      </c>
      <c r="AD74" s="221" t="s">
        <v>148</v>
      </c>
      <c r="AE74" s="221" t="n">
        <v>1006466</v>
      </c>
      <c r="AF74" s="221" t="s">
        <v>127</v>
      </c>
      <c r="AG74" s="242" t="s">
        <v>465</v>
      </c>
      <c r="AH74" s="160" t="n">
        <v>506098012</v>
      </c>
      <c r="AI74" s="218" t="s">
        <v>466</v>
      </c>
      <c r="BV74" s="128" t="n">
        <v>10</v>
      </c>
      <c r="BW74" s="128" t="n">
        <v>20</v>
      </c>
      <c r="BX74" s="205" t="n">
        <f aca="false">BV74*5+BW74*2</f>
        <v>90</v>
      </c>
      <c r="CQ74" s="128" t="n">
        <v>3</v>
      </c>
    </row>
    <row r="75" customFormat="false" ht="15" hidden="false" customHeight="true" outlineLevel="0" collapsed="false">
      <c r="B75" s="127" t="n">
        <f aca="false">B74+D75-C75</f>
        <v>10086.26</v>
      </c>
      <c r="D75" s="146" t="n">
        <v>316.25</v>
      </c>
      <c r="E75" s="147" t="n">
        <v>59</v>
      </c>
      <c r="F75" s="147" t="n">
        <f aca="false">IFERROR(VLOOKUP(H75,$AD$1:$AE$301,2,0),"")</f>
        <v>1007981</v>
      </c>
      <c r="G75" s="147" t="str">
        <f aca="false">IFERROR(VLOOKUP(F75,$AE$2:$AF$290,2, 0),"")</f>
        <v>ضباء</v>
      </c>
      <c r="H75" s="212" t="s">
        <v>82</v>
      </c>
      <c r="I75" s="183" t="n">
        <f aca="false">SUM(K75:R75)</f>
        <v>1</v>
      </c>
      <c r="J75" s="182" t="n">
        <v>45455</v>
      </c>
      <c r="K75" s="184" t="n">
        <v>1</v>
      </c>
      <c r="L75" s="185"/>
      <c r="M75" s="186"/>
      <c r="N75" s="187"/>
      <c r="O75" s="188"/>
      <c r="P75" s="189"/>
      <c r="Q75" s="190"/>
      <c r="R75" s="191"/>
      <c r="S75" s="192" t="n">
        <f aca="false">(K75+O75+Q75)*24 /1130+(L75+M75+P75+R75)*12/1130+(N75*30)/1130</f>
        <v>0.0212389380530973</v>
      </c>
      <c r="T75" s="193" t="n">
        <f aca="false">SUMIFS(K$3228:K$4138,$H$3228:$H$4138,$AD75)</f>
        <v>0</v>
      </c>
      <c r="U75" s="194" t="n">
        <f aca="false">SUMIFS(L$3228:L$4138,$H$3228:$H$4138,$AD75)</f>
        <v>0</v>
      </c>
      <c r="V75" s="195" t="n">
        <f aca="false">SUMIFS(M$3228:M$4138,$H$3228:$H$4138,$AD75)</f>
        <v>0</v>
      </c>
      <c r="W75" s="193" t="n">
        <f aca="false">SUMIFS(N$3228:N$4138,$H$3228:$H$4138,$AD75)</f>
        <v>0</v>
      </c>
      <c r="X75" s="193" t="n">
        <f aca="false">SUMIFS(O$3228:O$4138,$H$3228:$H$4138,$AD75)</f>
        <v>0</v>
      </c>
      <c r="Y75" s="196" t="n">
        <f aca="false">SUMIFS(P$3228:P$4138,$H$3228:$H$4138,$AD75)</f>
        <v>0</v>
      </c>
      <c r="Z75" s="193" t="n">
        <f aca="false">SUMIFS(Q$3228:Q$4138,$H$3228:$H$4138,$AD75)</f>
        <v>0</v>
      </c>
      <c r="AA75" s="195" t="n">
        <f aca="false">SUMIFS(R$3228:R$4138,$H$3228:$H$4138,$AD75)</f>
        <v>0</v>
      </c>
      <c r="AB75" s="197" t="n">
        <f aca="false">SUMIFS(S$3228:S$4138,$H$3228:$H$4138,$AD75)</f>
        <v>0</v>
      </c>
      <c r="AC75" s="198" t="n">
        <f aca="false">SUM(T75:AA75)</f>
        <v>0</v>
      </c>
      <c r="AD75" s="221" t="s">
        <v>149</v>
      </c>
      <c r="AE75" s="221" t="n">
        <v>1002928</v>
      </c>
      <c r="AF75" s="221" t="s">
        <v>127</v>
      </c>
      <c r="AI75" s="208" t="s">
        <v>467</v>
      </c>
      <c r="BX75" s="205" t="n">
        <f aca="false">BV75*5+BW75*2</f>
        <v>0</v>
      </c>
    </row>
    <row r="76" customFormat="false" ht="15" hidden="false" customHeight="true" outlineLevel="0" collapsed="false">
      <c r="B76" s="127" t="n">
        <f aca="false">B75+D76-C76</f>
        <v>2796.26</v>
      </c>
      <c r="C76" s="127" t="n">
        <v>7290</v>
      </c>
      <c r="E76" s="212" t="s">
        <v>392</v>
      </c>
      <c r="F76" s="147" t="str">
        <f aca="false">IFERROR(VLOOKUP(H76,$AD$1:$AE$301,2,0),"")</f>
        <v/>
      </c>
      <c r="G76" s="147" t="str">
        <f aca="false">IFERROR(VLOOKUP(F76,$AE$2:$AF$290,2, 0),"")</f>
        <v/>
      </c>
      <c r="H76" s="212" t="s">
        <v>393</v>
      </c>
      <c r="I76" s="183" t="n">
        <f aca="false">SUM(K76:R76)</f>
        <v>0</v>
      </c>
      <c r="J76" s="182" t="n">
        <v>45456</v>
      </c>
      <c r="K76" s="184"/>
      <c r="L76" s="185"/>
      <c r="M76" s="186"/>
      <c r="N76" s="187"/>
      <c r="O76" s="188"/>
      <c r="P76" s="189"/>
      <c r="Q76" s="190"/>
      <c r="R76" s="191"/>
      <c r="S76" s="192" t="n">
        <f aca="false">(K76+O76+Q76)*24 /1130+(L76+M76+P76+R76)*12/1130+(N76*30)/1130</f>
        <v>0</v>
      </c>
      <c r="T76" s="193" t="n">
        <f aca="false">SUMIFS(K$3228:K$4138,$H$3228:$H$4138,$AD76)</f>
        <v>0</v>
      </c>
      <c r="U76" s="194" t="n">
        <f aca="false">SUMIFS(L$3228:L$4138,$H$3228:$H$4138,$AD76)</f>
        <v>0</v>
      </c>
      <c r="V76" s="195" t="n">
        <f aca="false">SUMIFS(M$3228:M$4138,$H$3228:$H$4138,$AD76)</f>
        <v>0</v>
      </c>
      <c r="W76" s="193" t="n">
        <f aca="false">SUMIFS(N$3228:N$4138,$H$3228:$H$4138,$AD76)</f>
        <v>0</v>
      </c>
      <c r="X76" s="193" t="n">
        <f aca="false">SUMIFS(O$3228:O$4138,$H$3228:$H$4138,$AD76)</f>
        <v>0</v>
      </c>
      <c r="Y76" s="196" t="n">
        <f aca="false">SUMIFS(P$3228:P$4138,$H$3228:$H$4138,$AD76)</f>
        <v>0</v>
      </c>
      <c r="Z76" s="193" t="n">
        <f aca="false">SUMIFS(Q$3228:Q$4138,$H$3228:$H$4138,$AD76)</f>
        <v>0</v>
      </c>
      <c r="AA76" s="195" t="n">
        <f aca="false">SUMIFS(R$3228:R$4138,$H$3228:$H$4138,$AD76)</f>
        <v>0</v>
      </c>
      <c r="AB76" s="197" t="n">
        <f aca="false">SUMIFS(S$3228:S$4138,$H$3228:$H$4138,$AD76)</f>
        <v>0</v>
      </c>
      <c r="AC76" s="198" t="n">
        <f aca="false">SUM(T76:AA76)</f>
        <v>0</v>
      </c>
      <c r="AD76" s="241" t="s">
        <v>150</v>
      </c>
      <c r="AE76" s="241" t="n">
        <v>553</v>
      </c>
      <c r="AF76" s="240" t="s">
        <v>127</v>
      </c>
      <c r="AG76" s="242" t="s">
        <v>468</v>
      </c>
      <c r="AH76" s="160" t="n">
        <v>500687469</v>
      </c>
      <c r="AI76" s="218" t="s">
        <v>469</v>
      </c>
      <c r="AM76" s="128" t="n">
        <v>42</v>
      </c>
      <c r="AT76" s="128" t="n">
        <f aca="false">7</f>
        <v>7</v>
      </c>
      <c r="AU76" s="128" t="n">
        <f aca="false">14</f>
        <v>14</v>
      </c>
      <c r="BR76" s="128" t="n">
        <f aca="false">13</f>
        <v>13</v>
      </c>
      <c r="BS76" s="128" t="n">
        <f aca="false">10</f>
        <v>10</v>
      </c>
      <c r="BX76" s="205" t="n">
        <f aca="false">BV76*5+BW76*2</f>
        <v>0</v>
      </c>
      <c r="CQ76" s="128" t="n">
        <v>3</v>
      </c>
    </row>
    <row r="77" customFormat="false" ht="15" hidden="false" customHeight="true" outlineLevel="0" collapsed="false">
      <c r="B77" s="127" t="n">
        <f aca="false">B76+D77-C77</f>
        <v>0</v>
      </c>
      <c r="C77" s="127" t="n">
        <v>2795</v>
      </c>
      <c r="D77" s="146" t="n">
        <v>-1.26</v>
      </c>
      <c r="E77" s="212" t="s">
        <v>470</v>
      </c>
      <c r="F77" s="147" t="str">
        <f aca="false">IFERROR(VLOOKUP(H77,$AD$1:$AE$301,2,0),"")</f>
        <v/>
      </c>
      <c r="G77" s="147" t="str">
        <f aca="false">IFERROR(VLOOKUP(F77,$AE$2:$AF$290,2, 0),"")</f>
        <v/>
      </c>
      <c r="H77" s="212" t="s">
        <v>393</v>
      </c>
      <c r="I77" s="183" t="n">
        <f aca="false">SUM(K77:R77)</f>
        <v>0</v>
      </c>
      <c r="J77" s="182" t="n">
        <v>45456</v>
      </c>
      <c r="K77" s="184"/>
      <c r="L77" s="185"/>
      <c r="M77" s="186"/>
      <c r="N77" s="187"/>
      <c r="O77" s="188"/>
      <c r="P77" s="189"/>
      <c r="Q77" s="190"/>
      <c r="R77" s="191"/>
      <c r="S77" s="192" t="n">
        <f aca="false">(K77+O77+Q77)*24 /1130+(L77+M77+P77+R77)*12/1130+(N77*30)/1130</f>
        <v>0</v>
      </c>
      <c r="T77" s="193" t="n">
        <f aca="false">SUMIFS(K$3228:K$4138,$H$3228:$H$4138,$AD77)</f>
        <v>0</v>
      </c>
      <c r="U77" s="194" t="n">
        <f aca="false">SUMIFS(L$3228:L$4138,$H$3228:$H$4138,$AD77)</f>
        <v>0</v>
      </c>
      <c r="V77" s="195" t="n">
        <f aca="false">SUMIFS(M$3228:M$4138,$H$3228:$H$4138,$AD77)</f>
        <v>0</v>
      </c>
      <c r="W77" s="193" t="n">
        <f aca="false">SUMIFS(N$3228:N$4138,$H$3228:$H$4138,$AD77)</f>
        <v>0</v>
      </c>
      <c r="X77" s="193" t="n">
        <f aca="false">SUMIFS(O$3228:O$4138,$H$3228:$H$4138,$AD77)</f>
        <v>0</v>
      </c>
      <c r="Y77" s="196" t="n">
        <f aca="false">SUMIFS(P$3228:P$4138,$H$3228:$H$4138,$AD77)</f>
        <v>0</v>
      </c>
      <c r="Z77" s="193" t="n">
        <f aca="false">SUMIFS(Q$3228:Q$4138,$H$3228:$H$4138,$AD77)</f>
        <v>0</v>
      </c>
      <c r="AA77" s="195" t="n">
        <f aca="false">SUMIFS(R$3228:R$4138,$H$3228:$H$4138,$AD77)</f>
        <v>0</v>
      </c>
      <c r="AB77" s="197" t="n">
        <f aca="false">SUMIFS(S$3228:S$4138,$H$3228:$H$4138,$AD77)</f>
        <v>0</v>
      </c>
      <c r="AC77" s="198" t="n">
        <f aca="false">SUM(T77:AA77)</f>
        <v>0</v>
      </c>
      <c r="BX77" s="205" t="n">
        <f aca="false">BV77*5+BW77*2</f>
        <v>0</v>
      </c>
    </row>
    <row r="78" customFormat="false" ht="15" hidden="false" customHeight="true" outlineLevel="0" collapsed="false">
      <c r="B78" s="127" t="n">
        <f aca="false">B77+D78-C78</f>
        <v>391</v>
      </c>
      <c r="D78" s="146" t="n">
        <f aca="false">138+253</f>
        <v>391</v>
      </c>
      <c r="E78" s="147" t="n">
        <v>62</v>
      </c>
      <c r="F78" s="147" t="n">
        <f aca="false">IFERROR(VLOOKUP(H78,$AD$1:$AE$301,2,0),"")</f>
        <v>1007996</v>
      </c>
      <c r="G78" s="147" t="str">
        <f aca="false">IFERROR(VLOOKUP(F78,$AE$2:$AF$290,2, 0),"")</f>
        <v>البير</v>
      </c>
      <c r="H78" s="212" t="s">
        <v>295</v>
      </c>
      <c r="I78" s="183" t="n">
        <f aca="false">SUM(K78:R78)</f>
        <v>2</v>
      </c>
      <c r="J78" s="182" t="n">
        <v>45456</v>
      </c>
      <c r="K78" s="184"/>
      <c r="L78" s="185"/>
      <c r="M78" s="186" t="n">
        <v>1</v>
      </c>
      <c r="N78" s="187"/>
      <c r="O78" s="188"/>
      <c r="P78" s="189"/>
      <c r="Q78" s="190" t="n">
        <v>1</v>
      </c>
      <c r="R78" s="191"/>
      <c r="S78" s="192" t="n">
        <f aca="false">(K78+O78+Q78)*24 /1130+(L78+M78+P78+R78)*12/1130+(N78*30)/1130</f>
        <v>0.031858407079646</v>
      </c>
      <c r="T78" s="193" t="n">
        <f aca="false">SUMIFS(K$3228:K$4138,$H$3228:$H$4138,$AD78)</f>
        <v>0</v>
      </c>
      <c r="U78" s="194" t="n">
        <f aca="false">SUMIFS(L$3228:L$4138,$H$3228:$H$4138,$AD78)</f>
        <v>0</v>
      </c>
      <c r="V78" s="195" t="n">
        <f aca="false">SUMIFS(M$3228:M$4138,$H$3228:$H$4138,$AD78)</f>
        <v>0</v>
      </c>
      <c r="W78" s="193" t="n">
        <f aca="false">SUMIFS(N$3228:N$4138,$H$3228:$H$4138,$AD78)</f>
        <v>0</v>
      </c>
      <c r="X78" s="193" t="n">
        <f aca="false">SUMIFS(O$3228:O$4138,$H$3228:$H$4138,$AD78)</f>
        <v>0</v>
      </c>
      <c r="Y78" s="196" t="n">
        <f aca="false">SUMIFS(P$3228:P$4138,$H$3228:$H$4138,$AD78)</f>
        <v>0</v>
      </c>
      <c r="Z78" s="193" t="n">
        <f aca="false">SUMIFS(Q$3228:Q$4138,$H$3228:$H$4138,$AD78)</f>
        <v>0</v>
      </c>
      <c r="AA78" s="195" t="n">
        <f aca="false">SUMIFS(R$3228:R$4138,$H$3228:$H$4138,$AD78)</f>
        <v>0</v>
      </c>
      <c r="AB78" s="197" t="n">
        <f aca="false">SUMIFS(S$3228:S$4138,$H$3228:$H$4138,$AD78)</f>
        <v>0</v>
      </c>
      <c r="AC78" s="198" t="n">
        <f aca="false">SUM(T78:AA78)</f>
        <v>0</v>
      </c>
      <c r="AD78" s="240" t="s">
        <v>151</v>
      </c>
      <c r="AE78" s="240" t="n">
        <v>548</v>
      </c>
      <c r="AF78" s="240" t="s">
        <v>127</v>
      </c>
      <c r="AG78" s="128"/>
      <c r="AH78" s="128" t="n">
        <v>0</v>
      </c>
      <c r="AI78" s="203"/>
      <c r="BX78" s="205" t="n">
        <f aca="false">BV78*5+BW78*2</f>
        <v>0</v>
      </c>
      <c r="BZ78" s="162" t="n">
        <v>1</v>
      </c>
    </row>
    <row r="79" customFormat="false" ht="15" hidden="false" customHeight="true" outlineLevel="0" collapsed="false">
      <c r="B79" s="127" t="n">
        <f aca="false">B78+D79-C79</f>
        <v>0</v>
      </c>
      <c r="C79" s="127" t="n">
        <v>391</v>
      </c>
      <c r="E79" s="212" t="s">
        <v>471</v>
      </c>
      <c r="F79" s="147" t="str">
        <f aca="false">IFERROR(VLOOKUP(H79,$AD$1:$AE$301,2,0),"")</f>
        <v/>
      </c>
      <c r="G79" s="147" t="str">
        <f aca="false">IFERROR(VLOOKUP(F79,$AE$2:$AF$290,2, 0),"")</f>
        <v/>
      </c>
      <c r="H79" s="212" t="s">
        <v>393</v>
      </c>
      <c r="I79" s="183" t="n">
        <f aca="false">SUM(K79:R79)</f>
        <v>0</v>
      </c>
      <c r="J79" s="182" t="n">
        <v>45456</v>
      </c>
      <c r="K79" s="184"/>
      <c r="L79" s="185"/>
      <c r="M79" s="186"/>
      <c r="N79" s="187"/>
      <c r="O79" s="188"/>
      <c r="P79" s="189"/>
      <c r="Q79" s="190"/>
      <c r="R79" s="191"/>
      <c r="S79" s="192" t="n">
        <f aca="false">(K79+O79+Q79)*24 /1130+(L79+M79+P79+R79)*12/1130+(N79*30)/1130</f>
        <v>0</v>
      </c>
      <c r="T79" s="193" t="n">
        <f aca="false">SUMIFS(K$3228:K$4138,$H$3228:$H$4138,$AD79)</f>
        <v>0</v>
      </c>
      <c r="U79" s="194" t="n">
        <f aca="false">SUMIFS(L$3228:L$4138,$H$3228:$H$4138,$AD79)</f>
        <v>0</v>
      </c>
      <c r="V79" s="195" t="n">
        <f aca="false">SUMIFS(M$3228:M$4138,$H$3228:$H$4138,$AD79)</f>
        <v>0</v>
      </c>
      <c r="W79" s="193" t="n">
        <f aca="false">SUMIFS(N$3228:N$4138,$H$3228:$H$4138,$AD79)</f>
        <v>0</v>
      </c>
      <c r="X79" s="193" t="n">
        <f aca="false">SUMIFS(O$3228:O$4138,$H$3228:$H$4138,$AD79)</f>
        <v>0</v>
      </c>
      <c r="Y79" s="196" t="n">
        <f aca="false">SUMIFS(P$3228:P$4138,$H$3228:$H$4138,$AD79)</f>
        <v>0</v>
      </c>
      <c r="Z79" s="193" t="n">
        <f aca="false">SUMIFS(Q$3228:Q$4138,$H$3228:$H$4138,$AD79)</f>
        <v>0</v>
      </c>
      <c r="AA79" s="195" t="n">
        <f aca="false">SUMIFS(R$3228:R$4138,$H$3228:$H$4138,$AD79)</f>
        <v>0</v>
      </c>
      <c r="AB79" s="197" t="n">
        <f aca="false">SUMIFS(S$3228:S$4138,$H$3228:$H$4138,$AD79)</f>
        <v>0</v>
      </c>
      <c r="AC79" s="198" t="n">
        <f aca="false">SUM(T79:AA79)</f>
        <v>0</v>
      </c>
      <c r="AD79" s="240"/>
      <c r="AE79" s="240"/>
      <c r="AF79" s="240"/>
      <c r="AI79" s="203"/>
      <c r="BX79" s="205" t="n">
        <f aca="false">BV79*5+BW79*2</f>
        <v>0</v>
      </c>
    </row>
    <row r="80" customFormat="false" ht="15" hidden="false" customHeight="true" outlineLevel="0" collapsed="false">
      <c r="B80" s="127" t="n">
        <f aca="false">B79+D80-C80</f>
        <v>316.25</v>
      </c>
      <c r="D80" s="146" t="n">
        <v>316.25</v>
      </c>
      <c r="E80" s="147" t="n">
        <v>61</v>
      </c>
      <c r="F80" s="147" t="n">
        <f aca="false">IFERROR(VLOOKUP(H80,$AD$1:$AE$301,2,0),"")</f>
        <v>1008029</v>
      </c>
      <c r="G80" s="147" t="str">
        <f aca="false">IFERROR(VLOOKUP(F80,$AE$2:$AF$290,2, 0),"")</f>
        <v>البير</v>
      </c>
      <c r="H80" s="212" t="s">
        <v>297</v>
      </c>
      <c r="I80" s="183" t="n">
        <f aca="false">SUM(K80:R80)</f>
        <v>1</v>
      </c>
      <c r="J80" s="182" t="n">
        <v>45456</v>
      </c>
      <c r="K80" s="184" t="n">
        <v>1</v>
      </c>
      <c r="L80" s="185"/>
      <c r="M80" s="186"/>
      <c r="N80" s="187"/>
      <c r="O80" s="188"/>
      <c r="P80" s="189"/>
      <c r="Q80" s="190"/>
      <c r="R80" s="191"/>
      <c r="S80" s="192" t="n">
        <f aca="false">(K80+O80+Q80)*24 /1130+(L80+M80+P80+R80)*12/1130+(N80*30)/1130</f>
        <v>0.0212389380530973</v>
      </c>
      <c r="T80" s="193" t="n">
        <f aca="false">SUMIFS(K$3228:K$4138,$H$3228:$H$4138,$AD80)</f>
        <v>0</v>
      </c>
      <c r="U80" s="194" t="n">
        <f aca="false">SUMIFS(L$3228:L$4138,$H$3228:$H$4138,$AD80)</f>
        <v>0</v>
      </c>
      <c r="V80" s="195" t="n">
        <f aca="false">SUMIFS(M$3228:M$4138,$H$3228:$H$4138,$AD80)</f>
        <v>0</v>
      </c>
      <c r="W80" s="193" t="n">
        <f aca="false">SUMIFS(N$3228:N$4138,$H$3228:$H$4138,$AD80)</f>
        <v>0</v>
      </c>
      <c r="X80" s="193" t="n">
        <f aca="false">SUMIFS(O$3228:O$4138,$H$3228:$H$4138,$AD80)</f>
        <v>0</v>
      </c>
      <c r="Y80" s="196" t="n">
        <f aca="false">SUMIFS(P$3228:P$4138,$H$3228:$H$4138,$AD80)</f>
        <v>0</v>
      </c>
      <c r="Z80" s="193" t="n">
        <f aca="false">SUMIFS(Q$3228:Q$4138,$H$3228:$H$4138,$AD80)</f>
        <v>0</v>
      </c>
      <c r="AA80" s="195" t="n">
        <f aca="false">SUMIFS(R$3228:R$4138,$H$3228:$H$4138,$AD80)</f>
        <v>0</v>
      </c>
      <c r="AB80" s="197" t="n">
        <f aca="false">SUMIFS(S$3228:S$4138,$H$3228:$H$4138,$AD80)</f>
        <v>0</v>
      </c>
      <c r="AC80" s="198" t="n">
        <f aca="false">SUM(T80:AA80)</f>
        <v>0</v>
      </c>
      <c r="AD80" s="221" t="s">
        <v>152</v>
      </c>
      <c r="AE80" s="240" t="n">
        <v>1002912</v>
      </c>
      <c r="AF80" s="240" t="s">
        <v>127</v>
      </c>
      <c r="AG80" s="202" t="s">
        <v>472</v>
      </c>
      <c r="AH80" s="128" t="n">
        <v>510321316</v>
      </c>
      <c r="AI80" s="218" t="s">
        <v>473</v>
      </c>
      <c r="BL80" s="128" t="n">
        <f aca="false">37</f>
        <v>37</v>
      </c>
      <c r="BM80" s="128" t="n">
        <f aca="false">29+145</f>
        <v>174</v>
      </c>
      <c r="BN80" s="128" t="n">
        <v>25</v>
      </c>
      <c r="BO80" s="128" t="n">
        <v>121</v>
      </c>
      <c r="BT80" s="128" t="n">
        <v>23</v>
      </c>
      <c r="BU80" s="128" t="n">
        <v>134</v>
      </c>
      <c r="BX80" s="205" t="n">
        <f aca="false">BV80*5+BW80*2</f>
        <v>0</v>
      </c>
      <c r="CE80" s="157" t="n">
        <v>10</v>
      </c>
    </row>
    <row r="81" customFormat="false" ht="15" hidden="false" customHeight="true" outlineLevel="0" collapsed="false">
      <c r="B81" s="127" t="n">
        <f aca="false">B80+D81-C81</f>
        <v>845.25</v>
      </c>
      <c r="D81" s="146" t="n">
        <f aca="false">316.25+212.75</f>
        <v>529</v>
      </c>
      <c r="E81" s="147" t="n">
        <v>60</v>
      </c>
      <c r="F81" s="147" t="n">
        <f aca="false">IFERROR(VLOOKUP(H81,$AD$1:$AE$301,2,0),"")</f>
        <v>1008021</v>
      </c>
      <c r="G81" s="147" t="str">
        <f aca="false">IFERROR(VLOOKUP(F81,$AE$2:$AF$290,2, 0),"")</f>
        <v>البير</v>
      </c>
      <c r="H81" s="212" t="s">
        <v>294</v>
      </c>
      <c r="I81" s="183" t="n">
        <f aca="false">SUM(K81:R81)</f>
        <v>2</v>
      </c>
      <c r="J81" s="182" t="n">
        <v>45456</v>
      </c>
      <c r="K81" s="184" t="n">
        <v>1</v>
      </c>
      <c r="L81" s="185"/>
      <c r="M81" s="186"/>
      <c r="N81" s="187"/>
      <c r="O81" s="188"/>
      <c r="P81" s="189"/>
      <c r="Q81" s="190" t="n">
        <v>1</v>
      </c>
      <c r="R81" s="191"/>
      <c r="S81" s="192" t="n">
        <f aca="false">(K81+O81+Q81)*24 /1130+(L81+M81+P81+R81)*12/1130+(N81*30)/1130</f>
        <v>0.0424778761061947</v>
      </c>
      <c r="T81" s="193" t="n">
        <f aca="false">SUMIFS(K$3228:K$4138,$H$3228:$H$4138,$AD81)</f>
        <v>0</v>
      </c>
      <c r="U81" s="194" t="n">
        <f aca="false">SUMIFS(L$3228:L$4138,$H$3228:$H$4138,$AD81)</f>
        <v>0</v>
      </c>
      <c r="V81" s="195" t="n">
        <f aca="false">SUMIFS(M$3228:M$4138,$H$3228:$H$4138,$AD81)</f>
        <v>0</v>
      </c>
      <c r="W81" s="193" t="n">
        <f aca="false">SUMIFS(N$3228:N$4138,$H$3228:$H$4138,$AD81)</f>
        <v>0</v>
      </c>
      <c r="X81" s="193" t="n">
        <f aca="false">SUMIFS(O$3228:O$4138,$H$3228:$H$4138,$AD81)</f>
        <v>0</v>
      </c>
      <c r="Y81" s="196" t="n">
        <f aca="false">SUMIFS(P$3228:P$4138,$H$3228:$H$4138,$AD81)</f>
        <v>0</v>
      </c>
      <c r="Z81" s="193" t="n">
        <f aca="false">SUMIFS(Q$3228:Q$4138,$H$3228:$H$4138,$AD81)</f>
        <v>0</v>
      </c>
      <c r="AA81" s="195" t="n">
        <f aca="false">SUMIFS(R$3228:R$4138,$H$3228:$H$4138,$AD81)</f>
        <v>0</v>
      </c>
      <c r="AB81" s="197" t="n">
        <f aca="false">SUMIFS(S$3228:S$4138,$H$3228:$H$4138,$AD81)</f>
        <v>0</v>
      </c>
      <c r="AC81" s="198" t="n">
        <f aca="false">SUM(T81:AA81)</f>
        <v>0</v>
      </c>
      <c r="AD81" s="221" t="s">
        <v>153</v>
      </c>
      <c r="AE81" s="240" t="n">
        <v>1002901</v>
      </c>
      <c r="AF81" s="240" t="s">
        <v>127</v>
      </c>
      <c r="AG81" s="128"/>
      <c r="AH81" s="128" t="n">
        <v>0</v>
      </c>
      <c r="AI81" s="203"/>
      <c r="AX81" s="128" t="n">
        <f aca="false">22</f>
        <v>22</v>
      </c>
      <c r="BX81" s="205" t="n">
        <f aca="false">BV81*5+BW81*2</f>
        <v>0</v>
      </c>
      <c r="CA81" s="206" t="n">
        <v>2</v>
      </c>
      <c r="CB81" s="219" t="n">
        <v>12</v>
      </c>
    </row>
    <row r="82" customFormat="false" ht="15" hidden="false" customHeight="true" outlineLevel="0" collapsed="false">
      <c r="B82" s="127" t="n">
        <f aca="false">B81+D82-C82</f>
        <v>645.25</v>
      </c>
      <c r="C82" s="127" t="n">
        <v>200</v>
      </c>
      <c r="E82" s="212" t="s">
        <v>474</v>
      </c>
      <c r="F82" s="147" t="str">
        <f aca="false">IFERROR(VLOOKUP(H82,$AD$1:$AE$301,2,0),"")</f>
        <v/>
      </c>
      <c r="G82" s="147" t="str">
        <f aca="false">IFERROR(VLOOKUP(F82,$AE$2:$AF$290,2, 0),"")</f>
        <v/>
      </c>
      <c r="H82" s="212" t="s">
        <v>393</v>
      </c>
      <c r="I82" s="183" t="n">
        <f aca="false">SUM(K82:R82)</f>
        <v>0</v>
      </c>
      <c r="J82" s="182" t="n">
        <v>45456</v>
      </c>
      <c r="K82" s="184"/>
      <c r="L82" s="185"/>
      <c r="M82" s="186"/>
      <c r="N82" s="187"/>
      <c r="O82" s="188"/>
      <c r="P82" s="189"/>
      <c r="Q82" s="190"/>
      <c r="R82" s="191"/>
      <c r="S82" s="192" t="n">
        <f aca="false">(K82+O82+Q82)*24 /1130+(L82+M82+P82+R82)*12/1130+(N82*30)/1130</f>
        <v>0</v>
      </c>
      <c r="T82" s="193" t="n">
        <f aca="false">SUMIFS(K$3228:K$4138,$H$3228:$H$4138,$AD82)</f>
        <v>0</v>
      </c>
      <c r="U82" s="194" t="n">
        <f aca="false">SUMIFS(L$3228:L$4138,$H$3228:$H$4138,$AD82)</f>
        <v>0</v>
      </c>
      <c r="V82" s="195" t="n">
        <f aca="false">SUMIFS(M$3228:M$4138,$H$3228:$H$4138,$AD82)</f>
        <v>0</v>
      </c>
      <c r="W82" s="193" t="n">
        <f aca="false">SUMIFS(N$3228:N$4138,$H$3228:$H$4138,$AD82)</f>
        <v>0</v>
      </c>
      <c r="X82" s="193" t="n">
        <f aca="false">SUMIFS(O$3228:O$4138,$H$3228:$H$4138,$AD82)</f>
        <v>0</v>
      </c>
      <c r="Y82" s="196" t="n">
        <f aca="false">SUMIFS(P$3228:P$4138,$H$3228:$H$4138,$AD82)</f>
        <v>0</v>
      </c>
      <c r="Z82" s="193" t="n">
        <f aca="false">SUMIFS(Q$3228:Q$4138,$H$3228:$H$4138,$AD82)</f>
        <v>0</v>
      </c>
      <c r="AA82" s="195" t="n">
        <f aca="false">SUMIFS(R$3228:R$4138,$H$3228:$H$4138,$AD82)</f>
        <v>0</v>
      </c>
      <c r="AB82" s="197" t="n">
        <f aca="false">SUMIFS(S$3228:S$4138,$H$3228:$H$4138,$AD82)</f>
        <v>0</v>
      </c>
      <c r="AC82" s="198" t="n">
        <f aca="false">SUM(T82:AA82)</f>
        <v>0</v>
      </c>
      <c r="AD82" s="221" t="s">
        <v>154</v>
      </c>
      <c r="AE82" s="240" t="n">
        <v>982</v>
      </c>
      <c r="AF82" s="240" t="s">
        <v>127</v>
      </c>
      <c r="AG82" s="128"/>
      <c r="AH82" s="128" t="n">
        <v>0</v>
      </c>
      <c r="AI82" s="218" t="s">
        <v>475</v>
      </c>
      <c r="BX82" s="205" t="n">
        <f aca="false">BV82*5+BW82*2</f>
        <v>0</v>
      </c>
      <c r="CE82" s="157" t="n">
        <v>4</v>
      </c>
      <c r="CQ82" s="128" t="n">
        <v>3</v>
      </c>
    </row>
    <row r="83" customFormat="false" ht="15" hidden="false" customHeight="true" outlineLevel="0" collapsed="false">
      <c r="B83" s="127" t="n">
        <f aca="false">B82+D83-C83</f>
        <v>445.25</v>
      </c>
      <c r="C83" s="127" t="n">
        <v>200</v>
      </c>
      <c r="E83" s="212" t="s">
        <v>470</v>
      </c>
      <c r="F83" s="147" t="str">
        <f aca="false">IFERROR(VLOOKUP(H83,$AD$1:$AE$301,2,0),"")</f>
        <v/>
      </c>
      <c r="G83" s="147" t="str">
        <f aca="false">IFERROR(VLOOKUP(F83,$AE$2:$AF$290,2, 0),"")</f>
        <v/>
      </c>
      <c r="H83" s="212" t="s">
        <v>393</v>
      </c>
      <c r="I83" s="183" t="n">
        <f aca="false">SUM(K83:R83)</f>
        <v>0</v>
      </c>
      <c r="J83" s="182" t="n">
        <v>45466</v>
      </c>
      <c r="K83" s="184"/>
      <c r="L83" s="185"/>
      <c r="M83" s="186"/>
      <c r="N83" s="187"/>
      <c r="O83" s="188"/>
      <c r="P83" s="189"/>
      <c r="Q83" s="190"/>
      <c r="R83" s="191"/>
      <c r="S83" s="192" t="n">
        <f aca="false">(K83+O83+Q83)*24 /1130+(L83+M83+P83+R83)*12/1130+(N83*30)/1130</f>
        <v>0</v>
      </c>
      <c r="T83" s="193" t="n">
        <f aca="false">SUMIFS(K$3228:K$4138,$H$3228:$H$4138,$AD83)</f>
        <v>12</v>
      </c>
      <c r="U83" s="194" t="n">
        <f aca="false">SUMIFS(L$3228:L$4138,$H$3228:$H$4138,$AD83)</f>
        <v>0</v>
      </c>
      <c r="V83" s="195" t="n">
        <f aca="false">SUMIFS(M$3228:M$4138,$H$3228:$H$4138,$AD83)</f>
        <v>0</v>
      </c>
      <c r="W83" s="193" t="n">
        <f aca="false">SUMIFS(N$3228:N$4138,$H$3228:$H$4138,$AD83)</f>
        <v>0</v>
      </c>
      <c r="X83" s="193" t="n">
        <f aca="false">SUMIFS(O$3228:O$4138,$H$3228:$H$4138,$AD83)</f>
        <v>0</v>
      </c>
      <c r="Y83" s="196" t="n">
        <f aca="false">SUMIFS(P$3228:P$4138,$H$3228:$H$4138,$AD83)</f>
        <v>0</v>
      </c>
      <c r="Z83" s="193" t="n">
        <f aca="false">SUMIFS(Q$3228:Q$4138,$H$3228:$H$4138,$AD83)</f>
        <v>0</v>
      </c>
      <c r="AA83" s="195" t="n">
        <f aca="false">SUMIFS(R$3228:R$4138,$H$3228:$H$4138,$AD83)</f>
        <v>0</v>
      </c>
      <c r="AB83" s="197" t="n">
        <f aca="false">SUMIFS(S$3228:S$4138,$H$3228:$H$4138,$AD83)</f>
        <v>0.254867256637168</v>
      </c>
      <c r="AC83" s="198" t="n">
        <f aca="false">SUM(T83:AA83)</f>
        <v>12</v>
      </c>
      <c r="AD83" s="221" t="s">
        <v>155</v>
      </c>
      <c r="AE83" s="221" t="n">
        <v>1002949</v>
      </c>
      <c r="AF83" s="240" t="s">
        <v>127</v>
      </c>
      <c r="AG83" s="245" t="s">
        <v>476</v>
      </c>
      <c r="AH83" s="244" t="n">
        <v>503807011</v>
      </c>
      <c r="AI83" s="218" t="s">
        <v>477</v>
      </c>
      <c r="BJ83" s="128" t="n">
        <f aca="false">19</f>
        <v>19</v>
      </c>
      <c r="BT83" s="128" t="n">
        <v>20</v>
      </c>
      <c r="BU83" s="128" t="n">
        <v>6</v>
      </c>
      <c r="BX83" s="205" t="n">
        <f aca="false">BV83*5+BW83*2</f>
        <v>0</v>
      </c>
      <c r="CE83" s="157" t="n">
        <v>6</v>
      </c>
      <c r="CQ83" s="128" t="n">
        <f aca="false">3+1</f>
        <v>4</v>
      </c>
    </row>
    <row r="84" customFormat="false" ht="15" hidden="false" customHeight="true" outlineLevel="0" collapsed="false">
      <c r="B84" s="127" t="n">
        <f aca="false">B83+D84-C84</f>
        <v>0.25</v>
      </c>
      <c r="C84" s="127" t="n">
        <v>445</v>
      </c>
      <c r="E84" s="212" t="s">
        <v>392</v>
      </c>
      <c r="F84" s="147" t="str">
        <f aca="false">IFERROR(VLOOKUP(H84,$AD$1:$AE$301,2,0),"")</f>
        <v/>
      </c>
      <c r="G84" s="147" t="str">
        <f aca="false">IFERROR(VLOOKUP(F84,$AE$2:$AF$290,2, 0),"")</f>
        <v/>
      </c>
      <c r="H84" s="212" t="s">
        <v>393</v>
      </c>
      <c r="I84" s="183" t="n">
        <f aca="false">SUM(K84:R84)</f>
        <v>0</v>
      </c>
      <c r="J84" s="182" t="n">
        <v>45456</v>
      </c>
      <c r="K84" s="184"/>
      <c r="L84" s="185"/>
      <c r="M84" s="186"/>
      <c r="N84" s="187"/>
      <c r="O84" s="188"/>
      <c r="P84" s="189"/>
      <c r="Q84" s="190"/>
      <c r="R84" s="191"/>
      <c r="S84" s="192" t="n">
        <f aca="false">(K84+O84+Q84)*24 /1130+(L84+M84+P84+R84)*12/1130+(N84*30)/1130</f>
        <v>0</v>
      </c>
      <c r="T84" s="193" t="n">
        <f aca="false">SUMIFS(K$3228:K$4138,$H$3228:$H$4138,$AD84)</f>
        <v>0</v>
      </c>
      <c r="U84" s="194" t="n">
        <f aca="false">SUMIFS(L$3228:L$4138,$H$3228:$H$4138,$AD84)</f>
        <v>0</v>
      </c>
      <c r="V84" s="195" t="n">
        <f aca="false">SUMIFS(M$3228:M$4138,$H$3228:$H$4138,$AD84)</f>
        <v>0</v>
      </c>
      <c r="W84" s="193" t="n">
        <f aca="false">SUMIFS(N$3228:N$4138,$H$3228:$H$4138,$AD84)</f>
        <v>0</v>
      </c>
      <c r="X84" s="193" t="n">
        <f aca="false">SUMIFS(O$3228:O$4138,$H$3228:$H$4138,$AD84)</f>
        <v>0</v>
      </c>
      <c r="Y84" s="196" t="n">
        <f aca="false">SUMIFS(P$3228:P$4138,$H$3228:$H$4138,$AD84)</f>
        <v>0</v>
      </c>
      <c r="Z84" s="193" t="n">
        <f aca="false">SUMIFS(Q$3228:Q$4138,$H$3228:$H$4138,$AD84)</f>
        <v>0</v>
      </c>
      <c r="AA84" s="195" t="n">
        <f aca="false">SUMIFS(R$3228:R$4138,$H$3228:$H$4138,$AD84)</f>
        <v>0</v>
      </c>
      <c r="AB84" s="197" t="n">
        <f aca="false">SUMIFS(S$3228:S$4138,$H$3228:$H$4138,$AD84)</f>
        <v>0</v>
      </c>
      <c r="AC84" s="198" t="n">
        <f aca="false">SUM(T84:AA84)</f>
        <v>0</v>
      </c>
      <c r="AD84" s="221" t="s">
        <v>156</v>
      </c>
      <c r="AE84" s="221" t="n">
        <v>1002899</v>
      </c>
      <c r="AF84" s="240" t="s">
        <v>127</v>
      </c>
      <c r="AG84" s="244"/>
      <c r="AH84" s="244"/>
      <c r="AI84" s="203"/>
      <c r="BX84" s="205" t="n">
        <f aca="false">BV84*5+BW84*2</f>
        <v>0</v>
      </c>
    </row>
    <row r="85" customFormat="false" ht="15" hidden="false" customHeight="true" outlineLevel="0" collapsed="false">
      <c r="B85" s="127" t="n">
        <f aca="false">B84+D85-C85</f>
        <v>316.25</v>
      </c>
      <c r="D85" s="146" t="n">
        <v>316</v>
      </c>
      <c r="E85" s="147" t="n">
        <v>66</v>
      </c>
      <c r="F85" s="147" t="n">
        <f aca="false">IFERROR(VLOOKUP(H85,$AD$1:$AE$301,2,0),"")</f>
        <v>1008001</v>
      </c>
      <c r="G85" s="147" t="str">
        <f aca="false">IFERROR(VLOOKUP(F85,$AE$2:$AF$290,2, 0),"")</f>
        <v>حقل</v>
      </c>
      <c r="H85" s="212" t="s">
        <v>314</v>
      </c>
      <c r="I85" s="183" t="n">
        <f aca="false">SUM(K85:R85)</f>
        <v>1</v>
      </c>
      <c r="J85" s="182" t="n">
        <v>45457</v>
      </c>
      <c r="K85" s="184" t="n">
        <v>1</v>
      </c>
      <c r="L85" s="185"/>
      <c r="M85" s="186"/>
      <c r="N85" s="187"/>
      <c r="O85" s="188"/>
      <c r="P85" s="189"/>
      <c r="Q85" s="190"/>
      <c r="R85" s="191"/>
      <c r="S85" s="192" t="n">
        <f aca="false">(K85+O85+Q85)*24 /1130+(L85+M85+P85+R85)*12/1130+(N85*30)/1130</f>
        <v>0.0212389380530973</v>
      </c>
      <c r="T85" s="193" t="n">
        <f aca="false">SUMIFS(K$3228:K$4138,$H$3228:$H$4138,$AD85)</f>
        <v>0</v>
      </c>
      <c r="U85" s="194" t="n">
        <f aca="false">SUMIFS(L$3228:L$4138,$H$3228:$H$4138,$AD85)</f>
        <v>0</v>
      </c>
      <c r="V85" s="195" t="n">
        <f aca="false">SUMIFS(M$3228:M$4138,$H$3228:$H$4138,$AD85)</f>
        <v>0</v>
      </c>
      <c r="W85" s="193" t="n">
        <f aca="false">SUMIFS(N$3228:N$4138,$H$3228:$H$4138,$AD85)</f>
        <v>0</v>
      </c>
      <c r="X85" s="193" t="n">
        <f aca="false">SUMIFS(O$3228:O$4138,$H$3228:$H$4138,$AD85)</f>
        <v>0</v>
      </c>
      <c r="Y85" s="196" t="n">
        <f aca="false">SUMIFS(P$3228:P$4138,$H$3228:$H$4138,$AD85)</f>
        <v>0</v>
      </c>
      <c r="Z85" s="193" t="n">
        <f aca="false">SUMIFS(Q$3228:Q$4138,$H$3228:$H$4138,$AD85)</f>
        <v>0</v>
      </c>
      <c r="AA85" s="195" t="n">
        <f aca="false">SUMIFS(R$3228:R$4138,$H$3228:$H$4138,$AD85)</f>
        <v>0</v>
      </c>
      <c r="AB85" s="197" t="n">
        <f aca="false">SUMIFS(S$3228:S$4138,$H$3228:$H$4138,$AD85)</f>
        <v>0</v>
      </c>
      <c r="AC85" s="198" t="n">
        <f aca="false">SUM(T85:AA85)</f>
        <v>0</v>
      </c>
      <c r="AD85" s="221" t="s">
        <v>157</v>
      </c>
      <c r="AE85" s="240" t="n">
        <v>635</v>
      </c>
      <c r="AF85" s="240" t="s">
        <v>127</v>
      </c>
      <c r="AG85" s="202" t="s">
        <v>478</v>
      </c>
      <c r="AH85" s="128" t="n">
        <v>504494592</v>
      </c>
      <c r="AI85" s="218" t="s">
        <v>479</v>
      </c>
      <c r="BX85" s="205" t="n">
        <f aca="false">BV85*5+BW85*2</f>
        <v>0</v>
      </c>
      <c r="CA85" s="206" t="n">
        <v>2</v>
      </c>
      <c r="CB85" s="219" t="n">
        <v>12</v>
      </c>
    </row>
    <row r="86" customFormat="false" ht="15" hidden="false" customHeight="true" outlineLevel="0" collapsed="false">
      <c r="B86" s="127" t="n">
        <f aca="false">B85+D86-C86</f>
        <v>483</v>
      </c>
      <c r="D86" s="146" t="n">
        <v>166.75</v>
      </c>
      <c r="E86" s="147" t="n">
        <v>65</v>
      </c>
      <c r="F86" s="147" t="n">
        <f aca="false">IFERROR(VLOOKUP(H86,$AD$1:$AE$301,2,0),"")</f>
        <v>1008006</v>
      </c>
      <c r="G86" s="147" t="str">
        <f aca="false">IFERROR(VLOOKUP(F86,$AE$2:$AF$290,2, 0),"")</f>
        <v>حقل</v>
      </c>
      <c r="H86" s="212" t="s">
        <v>302</v>
      </c>
      <c r="I86" s="183" t="n">
        <f aca="false">SUM(K86:R86)</f>
        <v>1</v>
      </c>
      <c r="J86" s="182" t="n">
        <v>45457</v>
      </c>
      <c r="K86" s="184"/>
      <c r="L86" s="185" t="n">
        <v>1</v>
      </c>
      <c r="M86" s="186"/>
      <c r="N86" s="187"/>
      <c r="O86" s="188"/>
      <c r="P86" s="189"/>
      <c r="Q86" s="190"/>
      <c r="R86" s="191"/>
      <c r="S86" s="192" t="n">
        <f aca="false">(K86+O86+Q86)*24 /1130+(L86+M86+P86+R86)*12/1130+(N86*30)/1130</f>
        <v>0.0106194690265487</v>
      </c>
      <c r="T86" s="193" t="n">
        <f aca="false">SUMIFS(K$3228:K$4138,$H$3228:$H$4138,$AD86)</f>
        <v>0</v>
      </c>
      <c r="U86" s="194" t="n">
        <f aca="false">SUMIFS(L$3228:L$4138,$H$3228:$H$4138,$AD86)</f>
        <v>0</v>
      </c>
      <c r="V86" s="195" t="n">
        <f aca="false">SUMIFS(M$3228:M$4138,$H$3228:$H$4138,$AD86)</f>
        <v>0</v>
      </c>
      <c r="W86" s="193" t="n">
        <f aca="false">SUMIFS(N$3228:N$4138,$H$3228:$H$4138,$AD86)</f>
        <v>0</v>
      </c>
      <c r="X86" s="193" t="n">
        <f aca="false">SUMIFS(O$3228:O$4138,$H$3228:$H$4138,$AD86)</f>
        <v>0</v>
      </c>
      <c r="Y86" s="196" t="n">
        <f aca="false">SUMIFS(P$3228:P$4138,$H$3228:$H$4138,$AD86)</f>
        <v>0</v>
      </c>
      <c r="Z86" s="193" t="n">
        <f aca="false">SUMIFS(Q$3228:Q$4138,$H$3228:$H$4138,$AD86)</f>
        <v>0</v>
      </c>
      <c r="AA86" s="195" t="n">
        <f aca="false">SUMIFS(R$3228:R$4138,$H$3228:$H$4138,$AD86)</f>
        <v>0</v>
      </c>
      <c r="AB86" s="197" t="n">
        <f aca="false">SUMIFS(S$3228:S$4138,$H$3228:$H$4138,$AD86)</f>
        <v>0</v>
      </c>
      <c r="AC86" s="198" t="n">
        <f aca="false">SUM(T86:AA86)</f>
        <v>0</v>
      </c>
      <c r="AD86" s="240" t="s">
        <v>158</v>
      </c>
      <c r="AE86" s="240" t="n">
        <v>1063</v>
      </c>
      <c r="AF86" s="240" t="s">
        <v>127</v>
      </c>
      <c r="AG86" s="202" t="s">
        <v>480</v>
      </c>
      <c r="AH86" s="128" t="n">
        <v>583493701</v>
      </c>
      <c r="AI86" s="218" t="s">
        <v>481</v>
      </c>
      <c r="BH86" s="128" t="n">
        <v>208</v>
      </c>
      <c r="BJ86" s="128" t="n">
        <f aca="false">390</f>
        <v>390</v>
      </c>
      <c r="BL86" s="128" t="n">
        <f aca="false">290+240+100</f>
        <v>630</v>
      </c>
      <c r="BN86" s="128" t="n">
        <f aca="false">890-186</f>
        <v>704</v>
      </c>
      <c r="BP86" s="128" t="n">
        <f aca="false">186+750</f>
        <v>936</v>
      </c>
      <c r="BR86" s="128" t="n">
        <f aca="false">520+65</f>
        <v>585</v>
      </c>
      <c r="BS86" s="128" t="n">
        <v>5</v>
      </c>
      <c r="BT86" s="128" t="n">
        <v>440</v>
      </c>
      <c r="BV86" s="128" t="n">
        <v>500</v>
      </c>
      <c r="BX86" s="205" t="n">
        <f aca="false">BV86*5+BW86*2</f>
        <v>2500</v>
      </c>
      <c r="CD86" s="157" t="n">
        <v>1</v>
      </c>
      <c r="CE86" s="157" t="n">
        <v>20</v>
      </c>
      <c r="CP86" s="128" t="n">
        <v>1</v>
      </c>
      <c r="CQ86" s="128" t="n">
        <f aca="false">16</f>
        <v>16</v>
      </c>
    </row>
    <row r="87" customFormat="false" ht="15" hidden="false" customHeight="true" outlineLevel="0" collapsed="false">
      <c r="B87" s="127" t="n">
        <f aca="false">B86+D87-C87</f>
        <v>954.5</v>
      </c>
      <c r="D87" s="146" t="n">
        <f aca="false">138+(2*166.75)</f>
        <v>471.5</v>
      </c>
      <c r="E87" s="147" t="n">
        <v>64</v>
      </c>
      <c r="F87" s="147" t="n">
        <f aca="false">IFERROR(VLOOKUP(H87,$AD$1:$AE$301,2,0),"")</f>
        <v>1008004</v>
      </c>
      <c r="G87" s="147" t="str">
        <f aca="false">IFERROR(VLOOKUP(F87,$AE$2:$AF$290,2, 0),"")</f>
        <v>حقل</v>
      </c>
      <c r="H87" s="212" t="s">
        <v>316</v>
      </c>
      <c r="I87" s="183" t="n">
        <f aca="false">SUM(K87:R87)</f>
        <v>3</v>
      </c>
      <c r="J87" s="182" t="n">
        <v>45457</v>
      </c>
      <c r="K87" s="184"/>
      <c r="L87" s="185" t="n">
        <v>2</v>
      </c>
      <c r="M87" s="186"/>
      <c r="N87" s="187"/>
      <c r="O87" s="188"/>
      <c r="P87" s="189"/>
      <c r="Q87" s="190" t="n">
        <v>1</v>
      </c>
      <c r="R87" s="191"/>
      <c r="S87" s="192" t="n">
        <f aca="false">(K87+O87+Q87)*24 /1130+(L87+M87+P87+R87)*12/1130+(N87*30)/1130</f>
        <v>0.0424778761061947</v>
      </c>
      <c r="T87" s="193" t="n">
        <f aca="false">SUMIFS(K$3228:K$4138,$H$3228:$H$4138,$AD87)</f>
        <v>0</v>
      </c>
      <c r="U87" s="194" t="n">
        <f aca="false">SUMIFS(L$3228:L$4138,$H$3228:$H$4138,$AD87)</f>
        <v>0</v>
      </c>
      <c r="V87" s="195" t="n">
        <f aca="false">SUMIFS(M$3228:M$4138,$H$3228:$H$4138,$AD87)</f>
        <v>0</v>
      </c>
      <c r="W87" s="193" t="n">
        <f aca="false">SUMIFS(N$3228:N$4138,$H$3228:$H$4138,$AD87)</f>
        <v>0</v>
      </c>
      <c r="X87" s="193" t="n">
        <f aca="false">SUMIFS(O$3228:O$4138,$H$3228:$H$4138,$AD87)</f>
        <v>0</v>
      </c>
      <c r="Y87" s="196" t="n">
        <f aca="false">SUMIFS(P$3228:P$4138,$H$3228:$H$4138,$AD87)</f>
        <v>0</v>
      </c>
      <c r="Z87" s="193" t="n">
        <f aca="false">SUMIFS(Q$3228:Q$4138,$H$3228:$H$4138,$AD87)</f>
        <v>0</v>
      </c>
      <c r="AA87" s="195" t="n">
        <f aca="false">SUMIFS(R$3228:R$4138,$H$3228:$H$4138,$AD87)</f>
        <v>0</v>
      </c>
      <c r="AB87" s="197" t="n">
        <f aca="false">SUMIFS(S$3228:S$4138,$H$3228:$H$4138,$AD87)</f>
        <v>0</v>
      </c>
      <c r="AC87" s="198" t="n">
        <f aca="false">SUM(T87:AA87)</f>
        <v>0</v>
      </c>
      <c r="AD87" s="221" t="s">
        <v>159</v>
      </c>
      <c r="AE87" s="240" t="n">
        <v>1002852</v>
      </c>
      <c r="AF87" s="240" t="s">
        <v>127</v>
      </c>
      <c r="AG87" s="242" t="s">
        <v>390</v>
      </c>
      <c r="AH87" s="160" t="n">
        <v>552473281</v>
      </c>
      <c r="AI87" s="208" t="s">
        <v>482</v>
      </c>
      <c r="AP87" s="128" t="n">
        <f aca="false">5+6</f>
        <v>11</v>
      </c>
      <c r="AQ87" s="128" t="n">
        <v>4</v>
      </c>
      <c r="AT87" s="128" t="n">
        <f aca="false">7</f>
        <v>7</v>
      </c>
      <c r="AV87" s="128" t="n">
        <f aca="false">12</f>
        <v>12</v>
      </c>
      <c r="AX87" s="128" t="n">
        <f aca="false">20</f>
        <v>20</v>
      </c>
      <c r="AZ87" s="128" t="n">
        <f aca="false">4</f>
        <v>4</v>
      </c>
      <c r="BB87" s="128" t="n">
        <f aca="false">24</f>
        <v>24</v>
      </c>
      <c r="BC87" s="128" t="n">
        <f aca="false">2</f>
        <v>2</v>
      </c>
      <c r="BL87" s="128" t="n">
        <f aca="false">11+4+4</f>
        <v>19</v>
      </c>
      <c r="BM87" s="128" t="n">
        <v>10</v>
      </c>
      <c r="BR87" s="128" t="n">
        <f aca="false">5</f>
        <v>5</v>
      </c>
      <c r="BV87" s="128" t="n">
        <v>6</v>
      </c>
      <c r="BX87" s="205" t="n">
        <f aca="false">BV87*5+BW87*2</f>
        <v>30</v>
      </c>
      <c r="BY87" s="128" t="n">
        <f aca="false">2+2</f>
        <v>4</v>
      </c>
      <c r="CA87" s="206" t="n">
        <v>5</v>
      </c>
      <c r="CB87" s="219" t="n">
        <f aca="false">36</f>
        <v>36</v>
      </c>
      <c r="CC87" s="219" t="n">
        <v>30</v>
      </c>
      <c r="CQ87" s="128" t="n">
        <f aca="false">1</f>
        <v>1</v>
      </c>
    </row>
    <row r="88" customFormat="false" ht="15" hidden="false" customHeight="true" outlineLevel="0" collapsed="false">
      <c r="B88" s="127" t="n">
        <f aca="false">B87+D88-C88</f>
        <v>1805.5</v>
      </c>
      <c r="D88" s="146" t="n">
        <f aca="false">4*212.75</f>
        <v>851</v>
      </c>
      <c r="E88" s="147" t="n">
        <v>63</v>
      </c>
      <c r="F88" s="147" t="n">
        <f aca="false">IFERROR(VLOOKUP(H88,$AD$1:$AE$301,2,0),"")</f>
        <v>1007999</v>
      </c>
      <c r="G88" s="147" t="str">
        <f aca="false">IFERROR(VLOOKUP(F88,$AE$2:$AF$290,2, 0),"")</f>
        <v>حقل</v>
      </c>
      <c r="H88" s="212" t="s">
        <v>312</v>
      </c>
      <c r="I88" s="183" t="n">
        <f aca="false">SUM(K88:R88)</f>
        <v>4</v>
      </c>
      <c r="J88" s="182" t="n">
        <v>45457</v>
      </c>
      <c r="K88" s="184"/>
      <c r="L88" s="185"/>
      <c r="M88" s="186"/>
      <c r="N88" s="187"/>
      <c r="O88" s="188"/>
      <c r="P88" s="189"/>
      <c r="Q88" s="190" t="n">
        <v>4</v>
      </c>
      <c r="R88" s="191"/>
      <c r="S88" s="192" t="n">
        <f aca="false">(K88+O88+Q88)*24 /1130+(L88+M88+P88+R88)*12/1130+(N88*30)/1130</f>
        <v>0.0849557522123894</v>
      </c>
      <c r="T88" s="193" t="n">
        <f aca="false">SUMIFS(K$3228:K$4138,$H$3228:$H$4138,$AD88)</f>
        <v>0</v>
      </c>
      <c r="U88" s="194" t="n">
        <f aca="false">SUMIFS(L$3228:L$4138,$H$3228:$H$4138,$AD88)</f>
        <v>0</v>
      </c>
      <c r="V88" s="195" t="n">
        <f aca="false">SUMIFS(M$3228:M$4138,$H$3228:$H$4138,$AD88)</f>
        <v>0</v>
      </c>
      <c r="W88" s="193" t="n">
        <f aca="false">SUMIFS(N$3228:N$4138,$H$3228:$H$4138,$AD88)</f>
        <v>0</v>
      </c>
      <c r="X88" s="193" t="n">
        <f aca="false">SUMIFS(O$3228:O$4138,$H$3228:$H$4138,$AD88)</f>
        <v>0</v>
      </c>
      <c r="Y88" s="196" t="n">
        <f aca="false">SUMIFS(P$3228:P$4138,$H$3228:$H$4138,$AD88)</f>
        <v>0</v>
      </c>
      <c r="Z88" s="193" t="n">
        <f aca="false">SUMIFS(Q$3228:Q$4138,$H$3228:$H$4138,$AD88)</f>
        <v>0</v>
      </c>
      <c r="AA88" s="195" t="n">
        <f aca="false">SUMIFS(R$3228:R$4138,$H$3228:$H$4138,$AD88)</f>
        <v>0</v>
      </c>
      <c r="AB88" s="197" t="n">
        <f aca="false">SUMIFS(S$3228:S$4138,$H$3228:$H$4138,$AD88)</f>
        <v>0</v>
      </c>
      <c r="AC88" s="198" t="n">
        <f aca="false">SUM(T88:AA88)</f>
        <v>0</v>
      </c>
      <c r="AD88" s="241" t="s">
        <v>160</v>
      </c>
      <c r="AE88" s="241" t="n">
        <v>1008264</v>
      </c>
      <c r="AF88" s="240" t="s">
        <v>127</v>
      </c>
      <c r="AG88" s="242" t="s">
        <v>483</v>
      </c>
      <c r="AH88" s="160" t="n">
        <v>578762845</v>
      </c>
      <c r="AI88" s="203"/>
      <c r="AL88" s="79"/>
      <c r="AM88" s="79" t="n">
        <v>9</v>
      </c>
      <c r="AV88" s="128" t="n">
        <f aca="false">16</f>
        <v>16</v>
      </c>
      <c r="AX88" s="128" t="n">
        <v>6</v>
      </c>
      <c r="AZ88" s="128" t="n">
        <f aca="false">12</f>
        <v>12</v>
      </c>
      <c r="BF88" s="157" t="n">
        <f aca="false">4</f>
        <v>4</v>
      </c>
      <c r="BJ88" s="128" t="n">
        <f aca="false">12+8</f>
        <v>20</v>
      </c>
      <c r="BK88" s="128" t="n">
        <f aca="false">15+2</f>
        <v>17</v>
      </c>
      <c r="BX88" s="205" t="n">
        <f aca="false">BV88*5+BW88*2</f>
        <v>0</v>
      </c>
      <c r="CA88" s="206" t="n">
        <v>2</v>
      </c>
    </row>
    <row r="89" customFormat="false" ht="15" hidden="false" customHeight="true" outlineLevel="0" collapsed="false">
      <c r="B89" s="127" t="n">
        <f aca="false">B88+D89-C89</f>
        <v>2443.75</v>
      </c>
      <c r="D89" s="146" t="n">
        <f aca="false">3*212.75</f>
        <v>638.25</v>
      </c>
      <c r="E89" s="147" t="n">
        <v>72</v>
      </c>
      <c r="F89" s="147" t="n">
        <f aca="false">IFERROR(VLOOKUP(H89,$AD$1:$AE$301,2,0),"")</f>
        <v>1007996</v>
      </c>
      <c r="G89" s="147" t="str">
        <f aca="false">IFERROR(VLOOKUP(F89,$AE$2:$AF$290,2, 0),"")</f>
        <v>البير</v>
      </c>
      <c r="H89" s="212" t="s">
        <v>295</v>
      </c>
      <c r="I89" s="183" t="n">
        <f aca="false">SUM(K89:R89)</f>
        <v>3</v>
      </c>
      <c r="J89" s="182" t="n">
        <v>45457</v>
      </c>
      <c r="K89" s="184"/>
      <c r="L89" s="185"/>
      <c r="M89" s="186"/>
      <c r="N89" s="187"/>
      <c r="O89" s="188"/>
      <c r="P89" s="189"/>
      <c r="Q89" s="190" t="n">
        <v>3</v>
      </c>
      <c r="R89" s="191"/>
      <c r="S89" s="192" t="n">
        <f aca="false">(K89+O89+Q89)*24 /1130+(L89+M89+P89+R89)*12/1130+(N89*30)/1130</f>
        <v>0.063716814159292</v>
      </c>
      <c r="T89" s="193" t="n">
        <f aca="false">SUMIFS(K$3228:K$4138,$H$3228:$H$4138,$AD89)</f>
        <v>0</v>
      </c>
      <c r="U89" s="194" t="n">
        <f aca="false">SUMIFS(L$3228:L$4138,$H$3228:$H$4138,$AD89)</f>
        <v>0</v>
      </c>
      <c r="V89" s="195" t="n">
        <f aca="false">SUMIFS(M$3228:M$4138,$H$3228:$H$4138,$AD89)</f>
        <v>0</v>
      </c>
      <c r="W89" s="193" t="n">
        <f aca="false">SUMIFS(N$3228:N$4138,$H$3228:$H$4138,$AD89)</f>
        <v>0</v>
      </c>
      <c r="X89" s="193" t="n">
        <f aca="false">SUMIFS(O$3228:O$4138,$H$3228:$H$4138,$AD89)</f>
        <v>0</v>
      </c>
      <c r="Y89" s="196" t="n">
        <f aca="false">SUMIFS(P$3228:P$4138,$H$3228:$H$4138,$AD89)</f>
        <v>0</v>
      </c>
      <c r="Z89" s="193" t="n">
        <f aca="false">SUMIFS(Q$3228:Q$4138,$H$3228:$H$4138,$AD89)</f>
        <v>0</v>
      </c>
      <c r="AA89" s="195" t="n">
        <f aca="false">SUMIFS(R$3228:R$4138,$H$3228:$H$4138,$AD89)</f>
        <v>5</v>
      </c>
      <c r="AB89" s="197" t="n">
        <f aca="false">SUMIFS(S$3228:S$4138,$H$3228:$H$4138,$AD89)</f>
        <v>0.0530973451327434</v>
      </c>
      <c r="AC89" s="198" t="n">
        <f aca="false">SUM(T89:AA89)</f>
        <v>5</v>
      </c>
      <c r="AD89" s="221" t="s">
        <v>161</v>
      </c>
      <c r="AE89" s="221" t="n">
        <v>1002875</v>
      </c>
      <c r="AF89" s="240" t="s">
        <v>127</v>
      </c>
      <c r="AG89" s="242" t="s">
        <v>484</v>
      </c>
      <c r="AH89" s="160" t="n">
        <v>500384560</v>
      </c>
      <c r="AI89" s="218" t="s">
        <v>485</v>
      </c>
      <c r="BN89" s="128" t="n">
        <v>110</v>
      </c>
      <c r="BO89" s="128" t="n">
        <v>12</v>
      </c>
      <c r="BP89" s="128" t="n">
        <v>47</v>
      </c>
      <c r="BQ89" s="128" t="n">
        <v>11</v>
      </c>
      <c r="BT89" s="128" t="n">
        <v>16</v>
      </c>
      <c r="BX89" s="205" t="n">
        <f aca="false">BV89*5+BW89*2</f>
        <v>0</v>
      </c>
      <c r="CE89" s="157" t="n">
        <v>13</v>
      </c>
      <c r="CQ89" s="128" t="n">
        <v>9</v>
      </c>
    </row>
    <row r="90" customFormat="false" ht="15" hidden="false" customHeight="true" outlineLevel="0" collapsed="false">
      <c r="B90" s="127" t="n">
        <f aca="false">B89+D90-C90</f>
        <v>-1092</v>
      </c>
      <c r="C90" s="127" t="n">
        <f aca="false">851+471.5+632+1581.25</f>
        <v>3535.75</v>
      </c>
      <c r="E90" s="212" t="s">
        <v>470</v>
      </c>
      <c r="F90" s="147" t="str">
        <f aca="false">IFERROR(VLOOKUP(H90,$AD$1:$AE$301,2,0),"")</f>
        <v/>
      </c>
      <c r="G90" s="147" t="str">
        <f aca="false">IFERROR(VLOOKUP(F90,$AE$2:$AF$290,2, 0),"")</f>
        <v/>
      </c>
      <c r="H90" s="212" t="s">
        <v>393</v>
      </c>
      <c r="I90" s="246" t="n">
        <f aca="false">SUM(K90:R90)</f>
        <v>0</v>
      </c>
      <c r="J90" s="182" t="n">
        <v>45457</v>
      </c>
      <c r="K90" s="184"/>
      <c r="L90" s="185"/>
      <c r="M90" s="186"/>
      <c r="N90" s="187"/>
      <c r="O90" s="188"/>
      <c r="P90" s="189"/>
      <c r="Q90" s="190"/>
      <c r="R90" s="191"/>
      <c r="S90" s="192" t="n">
        <f aca="false">(K90+O90+Q90)*24 /1130+(L90+M90+P90+R90)*12/1130+(N90*30)/1130</f>
        <v>0</v>
      </c>
      <c r="T90" s="193" t="n">
        <f aca="false">SUMIFS(K$3228:K$4138,$H$3228:$H$4138,$AD90)</f>
        <v>4</v>
      </c>
      <c r="U90" s="194" t="n">
        <f aca="false">SUMIFS(L$3228:L$4138,$H$3228:$H$4138,$AD90)</f>
        <v>0</v>
      </c>
      <c r="V90" s="195" t="n">
        <f aca="false">SUMIFS(M$3228:M$4138,$H$3228:$H$4138,$AD90)</f>
        <v>0</v>
      </c>
      <c r="W90" s="193" t="n">
        <f aca="false">SUMIFS(N$3228:N$4138,$H$3228:$H$4138,$AD90)</f>
        <v>0</v>
      </c>
      <c r="X90" s="193" t="n">
        <f aca="false">SUMIFS(O$3228:O$4138,$H$3228:$H$4138,$AD90)</f>
        <v>0</v>
      </c>
      <c r="Y90" s="196" t="n">
        <f aca="false">SUMIFS(P$3228:P$4138,$H$3228:$H$4138,$AD90)</f>
        <v>0</v>
      </c>
      <c r="Z90" s="193" t="n">
        <f aca="false">SUMIFS(Q$3228:Q$4138,$H$3228:$H$4138,$AD90)</f>
        <v>0</v>
      </c>
      <c r="AA90" s="195" t="n">
        <f aca="false">SUMIFS(R$3228:R$4138,$H$3228:$H$4138,$AD90)</f>
        <v>0</v>
      </c>
      <c r="AB90" s="197" t="n">
        <f aca="false">SUMIFS(S$3228:S$4138,$H$3228:$H$4138,$AD90)</f>
        <v>0.0849557522123894</v>
      </c>
      <c r="AC90" s="198" t="n">
        <f aca="false">SUM(T90:AA90)</f>
        <v>4</v>
      </c>
      <c r="AD90" s="240" t="s">
        <v>162</v>
      </c>
      <c r="AE90" s="240" t="n">
        <v>1002914</v>
      </c>
      <c r="AF90" s="240" t="s">
        <v>127</v>
      </c>
      <c r="AG90" s="245" t="s">
        <v>486</v>
      </c>
      <c r="AH90" s="244" t="n">
        <v>570684260</v>
      </c>
      <c r="AI90" s="218" t="s">
        <v>487</v>
      </c>
      <c r="BT90" s="128" t="n">
        <v>7</v>
      </c>
      <c r="BX90" s="205" t="n">
        <f aca="false">BV90*5+BW90*2</f>
        <v>0</v>
      </c>
    </row>
    <row r="91" customFormat="false" ht="15" hidden="false" customHeight="true" outlineLevel="0" collapsed="false">
      <c r="B91" s="127" t="n">
        <f aca="false">B90+D91-C91</f>
        <v>960.75</v>
      </c>
      <c r="D91" s="146" t="n">
        <f aca="false">293.25+(6*166.75)+(3*253)</f>
        <v>2052.75</v>
      </c>
      <c r="E91" s="147" t="n">
        <v>67</v>
      </c>
      <c r="F91" s="147" t="n">
        <f aca="false">IFERROR(VLOOKUP(H91,$AD$1:$AE$301,2,0),"")</f>
        <v>1006522</v>
      </c>
      <c r="G91" s="147" t="str">
        <f aca="false">IFERROR(VLOOKUP(F91,$AE$2:$AF$290,2, 0),"")</f>
        <v>البدع</v>
      </c>
      <c r="H91" s="212" t="s">
        <v>317</v>
      </c>
      <c r="I91" s="246" t="n">
        <f aca="false">SUM(K91:R91)</f>
        <v>10</v>
      </c>
      <c r="J91" s="182" t="n">
        <v>45457</v>
      </c>
      <c r="K91" s="184"/>
      <c r="L91" s="185" t="n">
        <v>6</v>
      </c>
      <c r="M91" s="186" t="n">
        <v>4</v>
      </c>
      <c r="N91" s="187"/>
      <c r="O91" s="188"/>
      <c r="P91" s="189"/>
      <c r="Q91" s="190"/>
      <c r="R91" s="191"/>
      <c r="S91" s="192" t="n">
        <f aca="false">(K91+O91+Q91)*24 /1130+(L91+M91+P91+R91)*12/1130+(N91*30)/1130</f>
        <v>0.106194690265487</v>
      </c>
      <c r="T91" s="193" t="n">
        <f aca="false">SUMIFS(K$3228:K$4138,$H$3228:$H$4138,$AD91)</f>
        <v>0</v>
      </c>
      <c r="U91" s="194" t="n">
        <f aca="false">SUMIFS(L$3228:L$4138,$H$3228:$H$4138,$AD91)</f>
        <v>0</v>
      </c>
      <c r="V91" s="195" t="n">
        <f aca="false">SUMIFS(M$3228:M$4138,$H$3228:$H$4138,$AD91)</f>
        <v>0</v>
      </c>
      <c r="W91" s="193" t="n">
        <f aca="false">SUMIFS(N$3228:N$4138,$H$3228:$H$4138,$AD91)</f>
        <v>0</v>
      </c>
      <c r="X91" s="193" t="n">
        <f aca="false">SUMIFS(O$3228:O$4138,$H$3228:$H$4138,$AD91)</f>
        <v>0</v>
      </c>
      <c r="Y91" s="196" t="n">
        <f aca="false">SUMIFS(P$3228:P$4138,$H$3228:$H$4138,$AD91)</f>
        <v>0</v>
      </c>
      <c r="Z91" s="193" t="n">
        <f aca="false">SUMIFS(Q$3228:Q$4138,$H$3228:$H$4138,$AD91)</f>
        <v>0</v>
      </c>
      <c r="AA91" s="195" t="n">
        <f aca="false">SUMIFS(R$3228:R$4138,$H$3228:$H$4138,$AD91)</f>
        <v>0</v>
      </c>
      <c r="AB91" s="197" t="n">
        <f aca="false">SUMIFS(S$3228:S$4138,$H$3228:$H$4138,$AD91)</f>
        <v>0</v>
      </c>
      <c r="AC91" s="198" t="n">
        <f aca="false">SUM(T91:AA91)</f>
        <v>0</v>
      </c>
      <c r="AD91" s="241" t="s">
        <v>163</v>
      </c>
      <c r="AE91" s="241" t="n">
        <v>541</v>
      </c>
      <c r="AF91" s="240" t="s">
        <v>127</v>
      </c>
      <c r="AG91" s="128"/>
      <c r="AH91" s="128" t="n">
        <v>0</v>
      </c>
      <c r="AI91" s="203"/>
      <c r="BX91" s="205" t="n">
        <f aca="false">BV91*5+BW91*2</f>
        <v>0</v>
      </c>
    </row>
    <row r="92" customFormat="false" ht="15" hidden="false" customHeight="true" outlineLevel="0" collapsed="false">
      <c r="B92" s="127" t="n">
        <f aca="false">B91+D92-C92</f>
        <v>1593.25</v>
      </c>
      <c r="D92" s="146" t="n">
        <f aca="false">(2*316.25)</f>
        <v>632.5</v>
      </c>
      <c r="E92" s="147" t="n">
        <v>68</v>
      </c>
      <c r="F92" s="147" t="n">
        <f aca="false">IFERROR(VLOOKUP(H92,$AD$1:$AE$301,2,0),"")</f>
        <v>1008012</v>
      </c>
      <c r="G92" s="147" t="str">
        <f aca="false">IFERROR(VLOOKUP(F92,$AE$2:$AF$290,2, 0),"")</f>
        <v>البدع</v>
      </c>
      <c r="H92" s="212" t="s">
        <v>320</v>
      </c>
      <c r="I92" s="246" t="n">
        <f aca="false">SUM(K92:R92)</f>
        <v>2</v>
      </c>
      <c r="J92" s="182" t="n">
        <v>45457</v>
      </c>
      <c r="K92" s="184" t="n">
        <v>2</v>
      </c>
      <c r="L92" s="185"/>
      <c r="M92" s="186"/>
      <c r="N92" s="187"/>
      <c r="O92" s="188"/>
      <c r="P92" s="189"/>
      <c r="Q92" s="190"/>
      <c r="R92" s="191"/>
      <c r="S92" s="192" t="n">
        <f aca="false">(K92+O92+Q92)*24 /1130+(L92+M92+P92+R92)*12/1130+(N92*30)/1130</f>
        <v>0.0424778761061947</v>
      </c>
      <c r="T92" s="193" t="n">
        <f aca="false">SUMIFS(K$3228:K$4138,$H$3228:$H$4138,$AD92)</f>
        <v>0</v>
      </c>
      <c r="U92" s="194" t="n">
        <f aca="false">SUMIFS(L$3228:L$4138,$H$3228:$H$4138,$AD92)</f>
        <v>0</v>
      </c>
      <c r="V92" s="195" t="n">
        <f aca="false">SUMIFS(M$3228:M$4138,$H$3228:$H$4138,$AD92)</f>
        <v>0</v>
      </c>
      <c r="W92" s="193" t="n">
        <f aca="false">SUMIFS(N$3228:N$4138,$H$3228:$H$4138,$AD92)</f>
        <v>0</v>
      </c>
      <c r="X92" s="193" t="n">
        <f aca="false">SUMIFS(O$3228:O$4138,$H$3228:$H$4138,$AD92)</f>
        <v>0</v>
      </c>
      <c r="Y92" s="196" t="n">
        <f aca="false">SUMIFS(P$3228:P$4138,$H$3228:$H$4138,$AD92)</f>
        <v>0</v>
      </c>
      <c r="Z92" s="193" t="n">
        <f aca="false">SUMIFS(Q$3228:Q$4138,$H$3228:$H$4138,$AD92)</f>
        <v>0</v>
      </c>
      <c r="AA92" s="195" t="n">
        <f aca="false">SUMIFS(R$3228:R$4138,$H$3228:$H$4138,$AD92)</f>
        <v>0</v>
      </c>
      <c r="AB92" s="197" t="n">
        <f aca="false">SUMIFS(S$3228:S$4138,$H$3228:$H$4138,$AD92)</f>
        <v>0</v>
      </c>
      <c r="AC92" s="198" t="n">
        <f aca="false">SUM(T92:AA92)</f>
        <v>0</v>
      </c>
      <c r="AD92" s="247" t="s">
        <v>164</v>
      </c>
      <c r="AE92" s="247" t="n">
        <v>543</v>
      </c>
      <c r="AF92" s="240" t="s">
        <v>127</v>
      </c>
      <c r="AG92" s="202" t="s">
        <v>488</v>
      </c>
      <c r="AH92" s="128" t="n">
        <v>531812717</v>
      </c>
      <c r="AI92" s="203"/>
      <c r="BT92" s="128" t="n">
        <v>28</v>
      </c>
      <c r="BU92" s="128" t="n">
        <v>60</v>
      </c>
      <c r="BX92" s="205" t="n">
        <f aca="false">BV92*5+BW92*2</f>
        <v>0</v>
      </c>
    </row>
    <row r="93" customFormat="false" ht="15" hidden="false" customHeight="true" outlineLevel="0" collapsed="false">
      <c r="B93" s="127" t="n">
        <f aca="false">B92+D93-C93</f>
        <v>3174.5</v>
      </c>
      <c r="D93" s="146" t="n">
        <f aca="false">(316.25*5)</f>
        <v>1581.25</v>
      </c>
      <c r="E93" s="147" t="n">
        <v>71</v>
      </c>
      <c r="F93" s="147" t="n">
        <f aca="false">IFERROR(VLOOKUP(H93,$AD$1:$AE$301,2,0),"")</f>
        <v>1008020</v>
      </c>
      <c r="G93" s="147" t="str">
        <f aca="false">IFERROR(VLOOKUP(F93,$AE$2:$AF$290,2, 0),"")</f>
        <v>البير</v>
      </c>
      <c r="H93" s="212" t="s">
        <v>293</v>
      </c>
      <c r="I93" s="246" t="n">
        <f aca="false">SUM(K93:R93)</f>
        <v>5</v>
      </c>
      <c r="J93" s="182" t="n">
        <v>45457</v>
      </c>
      <c r="K93" s="184" t="n">
        <v>5</v>
      </c>
      <c r="L93" s="185"/>
      <c r="M93" s="186"/>
      <c r="N93" s="187"/>
      <c r="O93" s="188"/>
      <c r="P93" s="189"/>
      <c r="Q93" s="190"/>
      <c r="R93" s="191"/>
      <c r="S93" s="192" t="n">
        <f aca="false">(K93+O93+Q93)*24 /1130+(L93+M93+P93+R93)*12/1130+(N93*30)/1130</f>
        <v>0.106194690265487</v>
      </c>
      <c r="T93" s="193" t="n">
        <f aca="false">SUMIFS(K$3228:K$4138,$H$3228:$H$4138,$AD93)</f>
        <v>0</v>
      </c>
      <c r="U93" s="194" t="n">
        <f aca="false">SUMIFS(L$3228:L$4138,$H$3228:$H$4138,$AD93)</f>
        <v>0</v>
      </c>
      <c r="V93" s="195" t="n">
        <f aca="false">SUMIFS(M$3228:M$4138,$H$3228:$H$4138,$AD93)</f>
        <v>0</v>
      </c>
      <c r="W93" s="193" t="n">
        <f aca="false">SUMIFS(N$3228:N$4138,$H$3228:$H$4138,$AD93)</f>
        <v>0</v>
      </c>
      <c r="X93" s="193" t="n">
        <f aca="false">SUMIFS(O$3228:O$4138,$H$3228:$H$4138,$AD93)</f>
        <v>0</v>
      </c>
      <c r="Y93" s="196" t="n">
        <f aca="false">SUMIFS(P$3228:P$4138,$H$3228:$H$4138,$AD93)</f>
        <v>0</v>
      </c>
      <c r="Z93" s="193" t="n">
        <f aca="false">SUMIFS(Q$3228:Q$4138,$H$3228:$H$4138,$AD93)</f>
        <v>0</v>
      </c>
      <c r="AA93" s="195" t="n">
        <f aca="false">SUMIFS(R$3228:R$4138,$H$3228:$H$4138,$AD93)</f>
        <v>0</v>
      </c>
      <c r="AB93" s="197" t="n">
        <f aca="false">SUMIFS(S$3228:S$4138,$H$3228:$H$4138,$AD93)</f>
        <v>0</v>
      </c>
      <c r="AC93" s="198" t="n">
        <f aca="false">SUM(T93:AA93)</f>
        <v>0</v>
      </c>
      <c r="AD93" s="221" t="s">
        <v>165</v>
      </c>
      <c r="AE93" s="221" t="n">
        <v>983</v>
      </c>
      <c r="AF93" s="221" t="s">
        <v>127</v>
      </c>
      <c r="AG93" s="128"/>
      <c r="AH93" s="128" t="n">
        <v>0</v>
      </c>
      <c r="AI93" s="248" t="s">
        <v>489</v>
      </c>
      <c r="BX93" s="205" t="n">
        <f aca="false">BV93*5+BW93*2</f>
        <v>0</v>
      </c>
      <c r="CA93" s="206" t="n">
        <f aca="false">1</f>
        <v>1</v>
      </c>
    </row>
    <row r="94" customFormat="false" ht="15" hidden="false" customHeight="true" outlineLevel="0" collapsed="false">
      <c r="B94" s="127" t="n">
        <f aca="false">B93+D94-C94</f>
        <v>3490.75</v>
      </c>
      <c r="D94" s="146" t="n">
        <v>316.25</v>
      </c>
      <c r="E94" s="147" t="n">
        <v>70</v>
      </c>
      <c r="F94" s="147" t="n">
        <f aca="false">IFERROR(VLOOKUP(H94,$AD$1:$AE$301,2,0),"")</f>
        <v>1008040</v>
      </c>
      <c r="G94" s="147" t="str">
        <f aca="false">IFERROR(VLOOKUP(F94,$AE$2:$AF$290,2, 0),"")</f>
        <v>البير</v>
      </c>
      <c r="H94" s="212" t="s">
        <v>292</v>
      </c>
      <c r="I94" s="246" t="n">
        <f aca="false">SUM(K94:R94)</f>
        <v>1</v>
      </c>
      <c r="J94" s="182" t="n">
        <v>45457</v>
      </c>
      <c r="K94" s="184" t="n">
        <v>1</v>
      </c>
      <c r="L94" s="185"/>
      <c r="M94" s="186"/>
      <c r="N94" s="187"/>
      <c r="O94" s="188"/>
      <c r="P94" s="189"/>
      <c r="Q94" s="190"/>
      <c r="R94" s="191"/>
      <c r="S94" s="192" t="n">
        <f aca="false">(K94+O94+Q94)*24 /1130+(L94+M94+P94+R94)*12/1130+(N94*30)/1130</f>
        <v>0.0212389380530973</v>
      </c>
      <c r="T94" s="193" t="n">
        <f aca="false">SUMIFS(K$3228:K$4138,$H$3228:$H$4138,$AD94)</f>
        <v>0</v>
      </c>
      <c r="U94" s="194" t="n">
        <f aca="false">SUMIFS(L$3228:L$4138,$H$3228:$H$4138,$AD94)</f>
        <v>0</v>
      </c>
      <c r="V94" s="195" t="n">
        <f aca="false">SUMIFS(M$3228:M$4138,$H$3228:$H$4138,$AD94)</f>
        <v>0</v>
      </c>
      <c r="W94" s="193" t="n">
        <f aca="false">SUMIFS(N$3228:N$4138,$H$3228:$H$4138,$AD94)</f>
        <v>0</v>
      </c>
      <c r="X94" s="193" t="n">
        <f aca="false">SUMIFS(O$3228:O$4138,$H$3228:$H$4138,$AD94)</f>
        <v>0</v>
      </c>
      <c r="Y94" s="196" t="n">
        <f aca="false">SUMIFS(P$3228:P$4138,$H$3228:$H$4138,$AD94)</f>
        <v>0</v>
      </c>
      <c r="Z94" s="193" t="n">
        <f aca="false">SUMIFS(Q$3228:Q$4138,$H$3228:$H$4138,$AD94)</f>
        <v>0</v>
      </c>
      <c r="AA94" s="195" t="n">
        <f aca="false">SUMIFS(R$3228:R$4138,$H$3228:$H$4138,$AD94)</f>
        <v>0</v>
      </c>
      <c r="AB94" s="197" t="n">
        <f aca="false">SUMIFS(S$3228:S$4138,$H$3228:$H$4138,$AD94)</f>
        <v>0</v>
      </c>
      <c r="AC94" s="198" t="n">
        <f aca="false">SUM(T94:AA94)</f>
        <v>0</v>
      </c>
      <c r="AD94" s="241" t="s">
        <v>166</v>
      </c>
      <c r="AE94" s="241" t="n">
        <v>1008269</v>
      </c>
      <c r="AF94" s="240" t="s">
        <v>127</v>
      </c>
      <c r="AG94" s="128"/>
      <c r="AH94" s="128" t="n">
        <v>0</v>
      </c>
      <c r="AI94" s="218" t="s">
        <v>490</v>
      </c>
      <c r="AR94" s="128" t="n">
        <f aca="false">8</f>
        <v>8</v>
      </c>
      <c r="AU94" s="128" t="n">
        <f aca="false">4</f>
        <v>4</v>
      </c>
      <c r="BG94" s="157" t="n">
        <f aca="false">5</f>
        <v>5</v>
      </c>
      <c r="BX94" s="205" t="n">
        <f aca="false">BV94*5+BW94*2</f>
        <v>0</v>
      </c>
    </row>
    <row r="95" customFormat="false" ht="15" hidden="false" customHeight="true" outlineLevel="0" collapsed="false">
      <c r="B95" s="127" t="n">
        <f aca="false">B94+D95-C95</f>
        <v>3646</v>
      </c>
      <c r="D95" s="146" t="n">
        <v>155.25</v>
      </c>
      <c r="E95" s="147" t="n">
        <v>69</v>
      </c>
      <c r="F95" s="147" t="n">
        <f aca="false">IFERROR(VLOOKUP(H95,$AD$1:$AE$301,2,0),"")</f>
        <v>1008042</v>
      </c>
      <c r="G95" s="147" t="str">
        <f aca="false">IFERROR(VLOOKUP(F95,$AE$2:$AF$290,2, 0),"")</f>
        <v>البدع</v>
      </c>
      <c r="H95" s="212" t="s">
        <v>329</v>
      </c>
      <c r="I95" s="246" t="n">
        <f aca="false">SUM(K95:R95)</f>
        <v>1</v>
      </c>
      <c r="J95" s="182" t="n">
        <v>45457</v>
      </c>
      <c r="K95" s="184"/>
      <c r="L95" s="185"/>
      <c r="M95" s="186"/>
      <c r="N95" s="187"/>
      <c r="O95" s="188"/>
      <c r="P95" s="189"/>
      <c r="Q95" s="190"/>
      <c r="R95" s="191" t="n">
        <v>1</v>
      </c>
      <c r="S95" s="192" t="n">
        <f aca="false">(K95+O95+Q95)*24 /1130+(L95+M95+P95+R95)*12/1130+(N95*30)/1130</f>
        <v>0.0106194690265487</v>
      </c>
      <c r="T95" s="193" t="n">
        <f aca="false">SUMIFS(K$3228:K$4138,$H$3228:$H$4138,$AD95)</f>
        <v>0</v>
      </c>
      <c r="U95" s="194" t="n">
        <f aca="false">SUMIFS(L$3228:L$4138,$H$3228:$H$4138,$AD95)</f>
        <v>0</v>
      </c>
      <c r="V95" s="195" t="n">
        <f aca="false">SUMIFS(M$3228:M$4138,$H$3228:$H$4138,$AD95)</f>
        <v>0</v>
      </c>
      <c r="W95" s="193" t="n">
        <f aca="false">SUMIFS(N$3228:N$4138,$H$3228:$H$4138,$AD95)</f>
        <v>0</v>
      </c>
      <c r="X95" s="193" t="n">
        <f aca="false">SUMIFS(O$3228:O$4138,$H$3228:$H$4138,$AD95)</f>
        <v>0</v>
      </c>
      <c r="Y95" s="196" t="n">
        <f aca="false">SUMIFS(P$3228:P$4138,$H$3228:$H$4138,$AD95)</f>
        <v>0</v>
      </c>
      <c r="Z95" s="193" t="n">
        <f aca="false">SUMIFS(Q$3228:Q$4138,$H$3228:$H$4138,$AD95)</f>
        <v>0</v>
      </c>
      <c r="AA95" s="195" t="n">
        <f aca="false">SUMIFS(R$3228:R$4138,$H$3228:$H$4138,$AD95)</f>
        <v>0</v>
      </c>
      <c r="AB95" s="197" t="n">
        <f aca="false">SUMIFS(S$3228:S$4138,$H$3228:$H$4138,$AD95)</f>
        <v>0</v>
      </c>
      <c r="AC95" s="198" t="n">
        <f aca="false">SUM(T95:AA95)</f>
        <v>0</v>
      </c>
      <c r="AD95" s="221" t="s">
        <v>167</v>
      </c>
      <c r="AE95" s="240" t="n">
        <v>1002940</v>
      </c>
      <c r="AF95" s="240" t="s">
        <v>127</v>
      </c>
      <c r="AG95" s="128"/>
      <c r="AH95" s="128" t="n">
        <v>0</v>
      </c>
      <c r="AI95" s="203"/>
      <c r="AL95" s="128" t="n">
        <v>6</v>
      </c>
      <c r="AN95" s="128" t="n">
        <f aca="false">20+6</f>
        <v>26</v>
      </c>
      <c r="AT95" s="128" t="n">
        <f aca="false">17</f>
        <v>17</v>
      </c>
      <c r="BX95" s="205" t="n">
        <f aca="false">BV95*5+BW95*2</f>
        <v>0</v>
      </c>
    </row>
    <row r="96" customFormat="false" ht="15" hidden="false" customHeight="true" outlineLevel="0" collapsed="false">
      <c r="B96" s="127" t="n">
        <f aca="false">B95+D96-C96</f>
        <v>0</v>
      </c>
      <c r="C96" s="127" t="n">
        <v>3646</v>
      </c>
      <c r="E96" s="212" t="s">
        <v>392</v>
      </c>
      <c r="F96" s="147" t="str">
        <f aca="false">IFERROR(VLOOKUP(H96,$AD$1:$AE$301,2,0),"")</f>
        <v/>
      </c>
      <c r="G96" s="147" t="str">
        <f aca="false">IFERROR(VLOOKUP(F96,$AE$2:$AF$290,2, 0),"")</f>
        <v/>
      </c>
      <c r="H96" s="212" t="s">
        <v>393</v>
      </c>
      <c r="I96" s="246" t="n">
        <f aca="false">SUM(K96:R96)</f>
        <v>0</v>
      </c>
      <c r="J96" s="182" t="n">
        <v>45457</v>
      </c>
      <c r="K96" s="184"/>
      <c r="L96" s="185"/>
      <c r="M96" s="186"/>
      <c r="N96" s="187"/>
      <c r="O96" s="188"/>
      <c r="P96" s="189"/>
      <c r="Q96" s="190"/>
      <c r="R96" s="191"/>
      <c r="S96" s="192" t="n">
        <f aca="false">(K96+O96+Q96)*24 /1130+(L96+M96+P96+R96)*12/1130+(N96*30)/1130</f>
        <v>0</v>
      </c>
      <c r="T96" s="193" t="n">
        <f aca="false">SUMIFS(K$3228:K$4138,$H$3228:$H$4138,$AD96)</f>
        <v>0</v>
      </c>
      <c r="U96" s="194" t="n">
        <f aca="false">SUMIFS(L$3228:L$4138,$H$3228:$H$4138,$AD96)</f>
        <v>0</v>
      </c>
      <c r="V96" s="195" t="n">
        <f aca="false">SUMIFS(M$3228:M$4138,$H$3228:$H$4138,$AD96)</f>
        <v>0</v>
      </c>
      <c r="W96" s="193" t="n">
        <f aca="false">SUMIFS(N$3228:N$4138,$H$3228:$H$4138,$AD96)</f>
        <v>0</v>
      </c>
      <c r="X96" s="193" t="n">
        <f aca="false">SUMIFS(O$3228:O$4138,$H$3228:$H$4138,$AD96)</f>
        <v>0</v>
      </c>
      <c r="Y96" s="196" t="n">
        <f aca="false">SUMIFS(P$3228:P$4138,$H$3228:$H$4138,$AD96)</f>
        <v>0</v>
      </c>
      <c r="Z96" s="193" t="n">
        <f aca="false">SUMIFS(Q$3228:Q$4138,$H$3228:$H$4138,$AD96)</f>
        <v>0</v>
      </c>
      <c r="AA96" s="195" t="n">
        <f aca="false">SUMIFS(R$3228:R$4138,$H$3228:$H$4138,$AD96)</f>
        <v>0</v>
      </c>
      <c r="AB96" s="197" t="n">
        <f aca="false">SUMIFS(S$3228:S$4138,$H$3228:$H$4138,$AD96)</f>
        <v>0</v>
      </c>
      <c r="AC96" s="198" t="n">
        <f aca="false">SUM(T96:AA96)</f>
        <v>0</v>
      </c>
      <c r="AD96" s="221" t="s">
        <v>168</v>
      </c>
      <c r="AE96" s="240" t="n">
        <v>566</v>
      </c>
      <c r="AF96" s="240" t="s">
        <v>127</v>
      </c>
      <c r="AG96" s="202" t="s">
        <v>491</v>
      </c>
      <c r="AH96" s="128" t="n">
        <v>559831330</v>
      </c>
      <c r="AI96" s="218" t="s">
        <v>492</v>
      </c>
      <c r="BL96" s="128" t="n">
        <f aca="false">10</f>
        <v>10</v>
      </c>
      <c r="BV96" s="128" t="n">
        <f aca="false">12+108</f>
        <v>120</v>
      </c>
      <c r="BX96" s="205" t="n">
        <f aca="false">BV96*5+BW96*2</f>
        <v>600</v>
      </c>
      <c r="BY96" s="157" t="n">
        <v>4</v>
      </c>
      <c r="CB96" s="219" t="n">
        <v>12</v>
      </c>
      <c r="CE96" s="157" t="n">
        <v>5</v>
      </c>
    </row>
    <row r="97" customFormat="false" ht="15" hidden="false" customHeight="true" outlineLevel="0" collapsed="false">
      <c r="B97" s="127" t="n">
        <f aca="false">B96+D97-C97</f>
        <v>1029.25</v>
      </c>
      <c r="D97" s="146" t="n">
        <f aca="false">(270.5*2)+155.25+(2*166.5)</f>
        <v>1029.25</v>
      </c>
      <c r="E97" s="147" t="n">
        <v>73</v>
      </c>
      <c r="F97" s="147" t="n">
        <f aca="false">IFERROR(VLOOKUP(H97,$AD$1:$AE$301,2,0),"")</f>
        <v>1008024</v>
      </c>
      <c r="G97" s="147" t="str">
        <f aca="false">IFERROR(VLOOKUP(F97,$AE$2:$AF$290,2, 0),"")</f>
        <v>ضباء</v>
      </c>
      <c r="H97" s="212" t="s">
        <v>96</v>
      </c>
      <c r="I97" s="246" t="n">
        <f aca="false">SUM(L97:R97)</f>
        <v>5</v>
      </c>
      <c r="J97" s="182" t="n">
        <v>45469</v>
      </c>
      <c r="L97" s="249" t="n">
        <v>2</v>
      </c>
      <c r="M97" s="186" t="n">
        <v>2</v>
      </c>
      <c r="N97" s="187"/>
      <c r="O97" s="188"/>
      <c r="P97" s="189"/>
      <c r="Q97" s="190"/>
      <c r="R97" s="191" t="n">
        <v>1</v>
      </c>
      <c r="S97" s="192" t="n">
        <f aca="false">(K97+O97+Q97)*24 /1130+(L97+M97+P97+R97)*12/1130+(N97*30)/1130</f>
        <v>0.0530973451327434</v>
      </c>
      <c r="T97" s="193" t="n">
        <f aca="false">SUMIFS(K$3228:K$4138,$H$3228:$H$4138,$AD97)</f>
        <v>0</v>
      </c>
      <c r="U97" s="194" t="n">
        <f aca="false">SUMIFS(L$3228:L$4138,$H$3228:$H$4138,$AD97)</f>
        <v>0</v>
      </c>
      <c r="V97" s="195" t="n">
        <f aca="false">SUMIFS(M$3228:M$4138,$H$3228:$H$4138,$AD97)</f>
        <v>0</v>
      </c>
      <c r="W97" s="193" t="n">
        <f aca="false">SUMIFS(N$3228:N$4138,$H$3228:$H$4138,$AD97)</f>
        <v>0</v>
      </c>
      <c r="X97" s="193" t="n">
        <f aca="false">SUMIFS(O$3228:O$4138,$H$3228:$H$4138,$AD97)</f>
        <v>2</v>
      </c>
      <c r="Y97" s="196" t="n">
        <f aca="false">SUMIFS(P$3228:P$4138,$H$3228:$H$4138,$AD97)</f>
        <v>0</v>
      </c>
      <c r="Z97" s="193" t="n">
        <f aca="false">SUMIFS(Q$3228:Q$4138,$H$3228:$H$4138,$AD97)</f>
        <v>0</v>
      </c>
      <c r="AA97" s="195" t="n">
        <f aca="false">SUMIFS(R$3228:R$4138,$H$3228:$H$4138,$AD97)</f>
        <v>0</v>
      </c>
      <c r="AB97" s="197" t="n">
        <f aca="false">SUMIFS(S$3228:S$4138,$H$3228:$H$4138,$AD97)</f>
        <v>0.0424778761061947</v>
      </c>
      <c r="AC97" s="198" t="n">
        <f aca="false">SUM(T97:AA97)</f>
        <v>2</v>
      </c>
      <c r="AD97" s="221" t="s">
        <v>169</v>
      </c>
      <c r="AE97" s="221" t="n">
        <v>1002949</v>
      </c>
      <c r="AF97" s="240" t="s">
        <v>127</v>
      </c>
      <c r="AG97" s="202" t="s">
        <v>493</v>
      </c>
      <c r="AH97" s="128" t="n">
        <v>531817222</v>
      </c>
      <c r="AI97" s="218" t="s">
        <v>494</v>
      </c>
      <c r="AV97" s="128" t="n">
        <f aca="false">10</f>
        <v>10</v>
      </c>
      <c r="AX97" s="128" t="n">
        <f aca="false">56</f>
        <v>56</v>
      </c>
      <c r="AZ97" s="128" t="n">
        <f aca="false">30</f>
        <v>30</v>
      </c>
      <c r="BB97" s="128" t="n">
        <f aca="false">10</f>
        <v>10</v>
      </c>
      <c r="BF97" s="157" t="n">
        <f aca="false">12</f>
        <v>12</v>
      </c>
      <c r="BJ97" s="128" t="n">
        <f aca="false">7</f>
        <v>7</v>
      </c>
      <c r="BX97" s="205" t="n">
        <f aca="false">BV97*5+BW97*2</f>
        <v>0</v>
      </c>
      <c r="BY97" s="128" t="n">
        <f aca="false">2</f>
        <v>2</v>
      </c>
      <c r="CB97" s="219" t="n">
        <v>12</v>
      </c>
    </row>
    <row r="98" customFormat="false" ht="15" hidden="false" customHeight="true" outlineLevel="0" collapsed="false">
      <c r="B98" s="127" t="n">
        <f aca="false">B97+D98-C98</f>
        <v>1742.25</v>
      </c>
      <c r="D98" s="146" t="n">
        <f aca="false">166.75+293.25+253</f>
        <v>713</v>
      </c>
      <c r="E98" s="147" t="n">
        <v>74</v>
      </c>
      <c r="F98" s="147" t="n">
        <f aca="false">IFERROR(VLOOKUP(H98,$AD$1:$AE$301,2,0),"")</f>
        <v>1008032</v>
      </c>
      <c r="G98" s="147" t="str">
        <f aca="false">IFERROR(VLOOKUP(F98,$AE$2:$AF$290,2, 0),"")</f>
        <v>ضباء</v>
      </c>
      <c r="H98" s="212" t="s">
        <v>101</v>
      </c>
      <c r="I98" s="246" t="n">
        <f aca="false">SUM(K98:R98)</f>
        <v>3</v>
      </c>
      <c r="J98" s="182" t="n">
        <v>45469</v>
      </c>
      <c r="K98" s="184"/>
      <c r="L98" s="185" t="n">
        <v>1</v>
      </c>
      <c r="M98" s="186" t="n">
        <v>2</v>
      </c>
      <c r="N98" s="187"/>
      <c r="O98" s="188"/>
      <c r="P98" s="189"/>
      <c r="Q98" s="190"/>
      <c r="R98" s="191"/>
      <c r="S98" s="192" t="n">
        <f aca="false">(K98+O98+Q98)*24 /1130+(L98+M98+P98+R98)*12/1130+(N98*30)/1130</f>
        <v>0.031858407079646</v>
      </c>
      <c r="T98" s="193" t="n">
        <f aca="false">SUMIFS(K$3228:K$4138,$H$3228:$H$4138,$AD98)</f>
        <v>0</v>
      </c>
      <c r="U98" s="194" t="n">
        <f aca="false">SUMIFS(L$3228:L$4138,$H$3228:$H$4138,$AD98)</f>
        <v>0</v>
      </c>
      <c r="V98" s="195" t="n">
        <f aca="false">SUMIFS(M$3228:M$4138,$H$3228:$H$4138,$AD98)</f>
        <v>0</v>
      </c>
      <c r="W98" s="193" t="n">
        <f aca="false">SUMIFS(N$3228:N$4138,$H$3228:$H$4138,$AD98)</f>
        <v>0</v>
      </c>
      <c r="X98" s="193" t="n">
        <f aca="false">SUMIFS(O$3228:O$4138,$H$3228:$H$4138,$AD98)</f>
        <v>0</v>
      </c>
      <c r="Y98" s="196" t="n">
        <f aca="false">SUMIFS(P$3228:P$4138,$H$3228:$H$4138,$AD98)</f>
        <v>0</v>
      </c>
      <c r="Z98" s="193" t="n">
        <f aca="false">SUMIFS(Q$3228:Q$4138,$H$3228:$H$4138,$AD98)</f>
        <v>0</v>
      </c>
      <c r="AA98" s="195" t="n">
        <f aca="false">SUMIFS(R$3228:R$4138,$H$3228:$H$4138,$AD98)</f>
        <v>0</v>
      </c>
      <c r="AB98" s="197" t="n">
        <f aca="false">SUMIFS(S$3228:S$4138,$H$3228:$H$4138,$AD98)</f>
        <v>0</v>
      </c>
      <c r="AC98" s="198" t="n">
        <f aca="false">SUM(T98:AA98)</f>
        <v>0</v>
      </c>
      <c r="AD98" s="250" t="s">
        <v>170</v>
      </c>
      <c r="AE98" s="251" t="n">
        <v>1002949</v>
      </c>
      <c r="AF98" s="240" t="s">
        <v>127</v>
      </c>
      <c r="AG98" s="128"/>
      <c r="AH98" s="128"/>
      <c r="AI98" s="218" t="s">
        <v>495</v>
      </c>
      <c r="BX98" s="205" t="n">
        <f aca="false">BV98*5+BW98*2</f>
        <v>0</v>
      </c>
    </row>
    <row r="99" customFormat="false" ht="15" hidden="false" customHeight="true" outlineLevel="0" collapsed="false">
      <c r="B99" s="127" t="n">
        <f aca="false">B98+D99-C99</f>
        <v>3162.5</v>
      </c>
      <c r="D99" s="146" t="n">
        <f aca="false">(3*293.25)+(2*270.25)</f>
        <v>1420.25</v>
      </c>
      <c r="E99" s="147" t="n">
        <v>75</v>
      </c>
      <c r="F99" s="147" t="n">
        <f aca="false">IFERROR(VLOOKUP(H99,$AD$1:$AE$301,2,0),"")</f>
        <v>1007988</v>
      </c>
      <c r="G99" s="147" t="str">
        <f aca="false">IFERROR(VLOOKUP(F99,$AE$2:$AF$290,2, 0),"")</f>
        <v>ضباء</v>
      </c>
      <c r="H99" s="212" t="s">
        <v>89</v>
      </c>
      <c r="I99" s="246" t="n">
        <f aca="false">SUM(K99:R99)</f>
        <v>5</v>
      </c>
      <c r="J99" s="182" t="n">
        <v>45469</v>
      </c>
      <c r="K99" s="184"/>
      <c r="L99" s="185"/>
      <c r="M99" s="186" t="n">
        <v>5</v>
      </c>
      <c r="N99" s="187"/>
      <c r="O99" s="188"/>
      <c r="P99" s="189"/>
      <c r="Q99" s="190"/>
      <c r="R99" s="191"/>
      <c r="S99" s="192" t="n">
        <f aca="false">(K99+O99+Q99)*24 /1130+(L99+M99+P99+R99)*12/1130+(N99*30)/1130</f>
        <v>0.0530973451327434</v>
      </c>
      <c r="T99" s="193" t="n">
        <f aca="false">SUMIFS(K$3228:K$4138,$H$3228:$H$4138,$AD99)</f>
        <v>0</v>
      </c>
      <c r="U99" s="194" t="n">
        <f aca="false">SUMIFS(L$3228:L$4138,$H$3228:$H$4138,$AD99)</f>
        <v>0</v>
      </c>
      <c r="V99" s="195" t="n">
        <f aca="false">SUMIFS(M$3228:M$4138,$H$3228:$H$4138,$AD99)</f>
        <v>0</v>
      </c>
      <c r="W99" s="193" t="n">
        <f aca="false">SUMIFS(N$3228:N$4138,$H$3228:$H$4138,$AD99)</f>
        <v>0</v>
      </c>
      <c r="X99" s="193" t="n">
        <f aca="false">SUMIFS(O$3228:O$4138,$H$3228:$H$4138,$AD99)</f>
        <v>0</v>
      </c>
      <c r="Y99" s="196" t="n">
        <f aca="false">SUMIFS(P$3228:P$4138,$H$3228:$H$4138,$AD99)</f>
        <v>0</v>
      </c>
      <c r="Z99" s="193" t="n">
        <f aca="false">SUMIFS(Q$3228:Q$4138,$H$3228:$H$4138,$AD99)</f>
        <v>0</v>
      </c>
      <c r="AA99" s="195" t="n">
        <f aca="false">SUMIFS(R$3228:R$4138,$H$3228:$H$4138,$AD99)</f>
        <v>0</v>
      </c>
      <c r="AB99" s="197" t="n">
        <f aca="false">SUMIFS(S$3228:S$4138,$H$3228:$H$4138,$AD99)</f>
        <v>0</v>
      </c>
      <c r="AC99" s="198" t="n">
        <f aca="false">SUM(T99:AA99)</f>
        <v>0</v>
      </c>
      <c r="AD99" s="221" t="s">
        <v>171</v>
      </c>
      <c r="AE99" s="221" t="n">
        <v>1002930</v>
      </c>
      <c r="AF99" s="240" t="s">
        <v>127</v>
      </c>
      <c r="AG99" s="242" t="s">
        <v>496</v>
      </c>
      <c r="AH99" s="160" t="n">
        <v>501749568</v>
      </c>
      <c r="AI99" s="218" t="s">
        <v>497</v>
      </c>
      <c r="BL99" s="128" t="n">
        <v>1</v>
      </c>
      <c r="BM99" s="128" t="n">
        <v>6</v>
      </c>
      <c r="BR99" s="128" t="n">
        <f aca="false">32</f>
        <v>32</v>
      </c>
      <c r="BT99" s="128" t="n">
        <v>1</v>
      </c>
      <c r="BU99" s="128" t="n">
        <v>14</v>
      </c>
      <c r="BX99" s="205" t="n">
        <f aca="false">BV99*5+BW99*2</f>
        <v>0</v>
      </c>
      <c r="CQ99" s="128" t="n">
        <v>4</v>
      </c>
    </row>
    <row r="100" customFormat="false" ht="15" hidden="false" customHeight="true" outlineLevel="0" collapsed="false">
      <c r="B100" s="127" t="n">
        <f aca="false">B99+D100-C100</f>
        <v>-1206.5</v>
      </c>
      <c r="C100" s="127" t="n">
        <f aca="false">1020+713+2236+400</f>
        <v>4369</v>
      </c>
      <c r="E100" s="212" t="s">
        <v>470</v>
      </c>
      <c r="F100" s="147" t="str">
        <f aca="false">IFERROR(VLOOKUP(H100,$AD$1:$AE$301,2,0),"")</f>
        <v/>
      </c>
      <c r="G100" s="147" t="str">
        <f aca="false">IFERROR(VLOOKUP(F100,$AE$2:$AF$290,2, 0),"")</f>
        <v/>
      </c>
      <c r="H100" s="212" t="s">
        <v>393</v>
      </c>
      <c r="I100" s="246" t="n">
        <f aca="false">SUM(K100:R100)</f>
        <v>0</v>
      </c>
      <c r="J100" s="182" t="n">
        <v>45469</v>
      </c>
      <c r="K100" s="184"/>
      <c r="L100" s="185"/>
      <c r="M100" s="186"/>
      <c r="N100" s="187"/>
      <c r="O100" s="188"/>
      <c r="P100" s="189"/>
      <c r="Q100" s="190"/>
      <c r="R100" s="191"/>
      <c r="S100" s="192" t="n">
        <f aca="false">(K100+O100+Q100)*24 /1130+(L100+M100+P100+R100)*12/1130+(N100*30)/1130</f>
        <v>0</v>
      </c>
      <c r="T100" s="193" t="n">
        <f aca="false">SUMIFS(K$3228:K$4138,$H$3228:$H$4138,$AD100)</f>
        <v>4</v>
      </c>
      <c r="U100" s="194" t="n">
        <f aca="false">SUMIFS(L$3228:L$4138,$H$3228:$H$4138,$AD100)</f>
        <v>0</v>
      </c>
      <c r="V100" s="195" t="n">
        <f aca="false">SUMIFS(M$3228:M$4138,$H$3228:$H$4138,$AD100)</f>
        <v>0</v>
      </c>
      <c r="W100" s="193" t="n">
        <f aca="false">SUMIFS(N$3228:N$4138,$H$3228:$H$4138,$AD100)</f>
        <v>0</v>
      </c>
      <c r="X100" s="193" t="n">
        <f aca="false">SUMIFS(O$3228:O$4138,$H$3228:$H$4138,$AD100)</f>
        <v>0</v>
      </c>
      <c r="Y100" s="196" t="n">
        <f aca="false">SUMIFS(P$3228:P$4138,$H$3228:$H$4138,$AD100)</f>
        <v>0</v>
      </c>
      <c r="Z100" s="193" t="n">
        <f aca="false">SUMIFS(Q$3228:Q$4138,$H$3228:$H$4138,$AD100)</f>
        <v>0</v>
      </c>
      <c r="AA100" s="195" t="n">
        <f aca="false">SUMIFS(R$3228:R$4138,$H$3228:$H$4138,$AD100)</f>
        <v>1</v>
      </c>
      <c r="AB100" s="197" t="n">
        <f aca="false">SUMIFS(S$3228:S$4138,$H$3228:$H$4138,$AD100)</f>
        <v>0.0955752212389381</v>
      </c>
      <c r="AC100" s="198" t="n">
        <f aca="false">SUM(T100:AA100)</f>
        <v>5</v>
      </c>
      <c r="AD100" s="221" t="s">
        <v>172</v>
      </c>
      <c r="AE100" s="240" t="n">
        <v>1002897</v>
      </c>
      <c r="AF100" s="240" t="s">
        <v>127</v>
      </c>
      <c r="AG100" s="202" t="s">
        <v>488</v>
      </c>
      <c r="AH100" s="128" t="n">
        <v>531812717</v>
      </c>
      <c r="AI100" s="218" t="s">
        <v>498</v>
      </c>
      <c r="BT100" s="128" t="n">
        <v>8</v>
      </c>
      <c r="BU100" s="128" t="n">
        <v>40</v>
      </c>
      <c r="BX100" s="205" t="n">
        <f aca="false">BV100*5+BW100*2</f>
        <v>0</v>
      </c>
      <c r="CQ100" s="128" t="n">
        <v>5</v>
      </c>
    </row>
    <row r="101" customFormat="false" ht="15" hidden="false" customHeight="true" outlineLevel="0" collapsed="false">
      <c r="B101" s="127" t="n">
        <f aca="false">B100+D101-C101</f>
        <v>1</v>
      </c>
      <c r="D101" s="146" t="n">
        <f aca="false">(316.25*2)+316.25+258.75</f>
        <v>1207.5</v>
      </c>
      <c r="E101" s="147" t="n">
        <v>76</v>
      </c>
      <c r="F101" s="147" t="n">
        <f aca="false">IFERROR(VLOOKUP(H101,$AD$1:$AE$301,2,0),"")</f>
        <v>1008027</v>
      </c>
      <c r="G101" s="147" t="str">
        <f aca="false">IFERROR(VLOOKUP(F101,$AE$2:$AF$290,2, 0),"")</f>
        <v>ضباء</v>
      </c>
      <c r="H101" s="212" t="s">
        <v>100</v>
      </c>
      <c r="I101" s="246" t="n">
        <f aca="false">SUM(K101:R101)</f>
        <v>4</v>
      </c>
      <c r="J101" s="182" t="n">
        <v>45469</v>
      </c>
      <c r="K101" s="184" t="n">
        <v>2</v>
      </c>
      <c r="L101" s="185"/>
      <c r="M101" s="186"/>
      <c r="N101" s="187" t="n">
        <v>1</v>
      </c>
      <c r="O101" s="188" t="n">
        <v>1</v>
      </c>
      <c r="P101" s="189"/>
      <c r="Q101" s="190"/>
      <c r="R101" s="191"/>
      <c r="S101" s="192" t="n">
        <f aca="false">(K101+O101+Q101)*24 /1130+(L101+M101+P101+R101)*12/1130+(N101*30)/1130</f>
        <v>0.0902654867256637</v>
      </c>
      <c r="T101" s="193" t="n">
        <f aca="false">SUMIFS(K$3228:K$4138,$H$3228:$H$4138,$AD101)</f>
        <v>0</v>
      </c>
      <c r="U101" s="194" t="n">
        <f aca="false">SUMIFS(L$3228:L$4138,$H$3228:$H$4138,$AD101)</f>
        <v>0</v>
      </c>
      <c r="V101" s="195" t="n">
        <f aca="false">SUMIFS(M$3228:M$4138,$H$3228:$H$4138,$AD101)</f>
        <v>0</v>
      </c>
      <c r="W101" s="193" t="n">
        <f aca="false">SUMIFS(N$3228:N$4138,$H$3228:$H$4138,$AD101)</f>
        <v>0</v>
      </c>
      <c r="X101" s="193" t="n">
        <f aca="false">SUMIFS(O$3228:O$4138,$H$3228:$H$4138,$AD101)</f>
        <v>0</v>
      </c>
      <c r="Y101" s="196" t="n">
        <f aca="false">SUMIFS(P$3228:P$4138,$H$3228:$H$4138,$AD101)</f>
        <v>0</v>
      </c>
      <c r="Z101" s="193" t="n">
        <f aca="false">SUMIFS(Q$3228:Q$4138,$H$3228:$H$4138,$AD101)</f>
        <v>0</v>
      </c>
      <c r="AA101" s="195" t="n">
        <f aca="false">SUMIFS(R$3228:R$4138,$H$3228:$H$4138,$AD101)</f>
        <v>0</v>
      </c>
      <c r="AB101" s="197" t="n">
        <f aca="false">SUMIFS(S$3228:S$4138,$H$3228:$H$4138,$AD101)</f>
        <v>0</v>
      </c>
      <c r="AC101" s="198" t="n">
        <f aca="false">SUM(T101:AA101)</f>
        <v>0</v>
      </c>
      <c r="AD101" s="240" t="s">
        <v>173</v>
      </c>
      <c r="AE101" s="240" t="n">
        <v>1002895</v>
      </c>
      <c r="AF101" s="221" t="s">
        <v>127</v>
      </c>
      <c r="AG101" s="242" t="s">
        <v>499</v>
      </c>
      <c r="AH101" s="160" t="n">
        <v>558509370</v>
      </c>
      <c r="AI101" s="218" t="s">
        <v>500</v>
      </c>
      <c r="BN101" s="128" t="n">
        <v>25</v>
      </c>
      <c r="BO101" s="128" t="n">
        <v>17</v>
      </c>
      <c r="BR101" s="128" t="n">
        <f aca="false">5</f>
        <v>5</v>
      </c>
      <c r="BS101" s="128" t="n">
        <f aca="false">6</f>
        <v>6</v>
      </c>
      <c r="BX101" s="205" t="n">
        <f aca="false">BV101*5+BW101*2</f>
        <v>0</v>
      </c>
    </row>
    <row r="102" customFormat="false" ht="15" hidden="false" customHeight="true" outlineLevel="0" collapsed="false">
      <c r="B102" s="127" t="n">
        <f aca="false">B101+D102-C102</f>
        <v>1</v>
      </c>
      <c r="E102" s="212" t="s">
        <v>399</v>
      </c>
      <c r="F102" s="147" t="str">
        <f aca="false">IFERROR(VLOOKUP(H102,$AD$1:$AE$301,2,0),"")</f>
        <v/>
      </c>
      <c r="G102" s="147" t="str">
        <f aca="false">IFERROR(VLOOKUP(F102,$AE$2:$AF$290,2, 0),"")</f>
        <v/>
      </c>
      <c r="H102" s="212" t="s">
        <v>393</v>
      </c>
      <c r="I102" s="246" t="n">
        <f aca="false">SUM(K102:R102)</f>
        <v>0</v>
      </c>
      <c r="J102" s="182" t="n">
        <v>45470</v>
      </c>
      <c r="K102" s="184"/>
      <c r="L102" s="185"/>
      <c r="M102" s="186"/>
      <c r="N102" s="187"/>
      <c r="O102" s="188"/>
      <c r="P102" s="189"/>
      <c r="Q102" s="190"/>
      <c r="R102" s="191"/>
      <c r="S102" s="192" t="n">
        <f aca="false">(K102+O102+Q102)*24 /1130+(L102+M102+P102+R102)*12/1130+(N102*30)/1130</f>
        <v>0</v>
      </c>
      <c r="T102" s="193" t="n">
        <f aca="false">SUMIFS(K$3228:K$4138,$H$3228:$H$4138,$AD102)</f>
        <v>0</v>
      </c>
      <c r="U102" s="194" t="n">
        <f aca="false">SUMIFS(L$3228:L$4138,$H$3228:$H$4138,$AD102)</f>
        <v>5</v>
      </c>
      <c r="V102" s="195" t="n">
        <f aca="false">SUMIFS(M$3228:M$4138,$H$3228:$H$4138,$AD102)</f>
        <v>0</v>
      </c>
      <c r="W102" s="193" t="n">
        <f aca="false">SUMIFS(N$3228:N$4138,$H$3228:$H$4138,$AD102)</f>
        <v>0</v>
      </c>
      <c r="X102" s="193" t="n">
        <f aca="false">SUMIFS(O$3228:O$4138,$H$3228:$H$4138,$AD102)</f>
        <v>0</v>
      </c>
      <c r="Y102" s="196" t="n">
        <f aca="false">SUMIFS(P$3228:P$4138,$H$3228:$H$4138,$AD102)</f>
        <v>0</v>
      </c>
      <c r="Z102" s="193" t="n">
        <f aca="false">SUMIFS(Q$3228:Q$4138,$H$3228:$H$4138,$AD102)</f>
        <v>0</v>
      </c>
      <c r="AA102" s="195" t="n">
        <f aca="false">SUMIFS(R$3228:R$4138,$H$3228:$H$4138,$AD102)</f>
        <v>0</v>
      </c>
      <c r="AB102" s="197" t="n">
        <f aca="false">SUMIFS(S$3228:S$4138,$H$3228:$H$4138,$AD102)</f>
        <v>0.0530973451327434</v>
      </c>
      <c r="AC102" s="198" t="n">
        <f aca="false">SUM(T102:AA102)</f>
        <v>5</v>
      </c>
      <c r="AD102" s="221" t="s">
        <v>174</v>
      </c>
      <c r="AE102" s="221" t="n">
        <v>1002947</v>
      </c>
      <c r="AF102" s="221" t="s">
        <v>127</v>
      </c>
      <c r="AG102" s="242" t="s">
        <v>501</v>
      </c>
      <c r="AH102" s="160" t="n">
        <v>558241822</v>
      </c>
      <c r="AI102" s="218" t="s">
        <v>502</v>
      </c>
      <c r="BP102" s="128" t="n">
        <v>50</v>
      </c>
      <c r="BQ102" s="128" t="n">
        <v>50</v>
      </c>
      <c r="BT102" s="128" t="n">
        <v>27</v>
      </c>
      <c r="BU102" s="128" t="n">
        <v>24</v>
      </c>
      <c r="BX102" s="205" t="n">
        <f aca="false">BV102*5+BW102*2</f>
        <v>0</v>
      </c>
      <c r="CE102" s="157" t="n">
        <v>4</v>
      </c>
    </row>
    <row r="103" customFormat="false" ht="15" hidden="false" customHeight="true" outlineLevel="0" collapsed="false">
      <c r="B103" s="127" t="n">
        <f aca="false">B102+D103-C103</f>
        <v>317.25</v>
      </c>
      <c r="D103" s="146" t="n">
        <v>316.25</v>
      </c>
      <c r="E103" s="147" t="n">
        <v>77</v>
      </c>
      <c r="F103" s="147" t="n">
        <f aca="false">IFERROR(VLOOKUP(H103,$AD$1:$AE$301,2,0),"")</f>
        <v>1007980</v>
      </c>
      <c r="G103" s="147" t="str">
        <f aca="false">IFERROR(VLOOKUP(F103,$AE$2:$AF$290,2, 0),"")</f>
        <v>ضباء</v>
      </c>
      <c r="H103" s="212" t="s">
        <v>81</v>
      </c>
      <c r="I103" s="246" t="n">
        <f aca="false">SUM(K103:R103)</f>
        <v>1</v>
      </c>
      <c r="J103" s="182" t="n">
        <v>45470</v>
      </c>
      <c r="K103" s="184" t="n">
        <v>1</v>
      </c>
      <c r="L103" s="185"/>
      <c r="M103" s="186"/>
      <c r="N103" s="187"/>
      <c r="O103" s="188"/>
      <c r="P103" s="189"/>
      <c r="Q103" s="190"/>
      <c r="R103" s="191"/>
      <c r="S103" s="192" t="n">
        <f aca="false">(K103+O103+Q103)*24 /1130+(L103+M103+P103+R103)*12/1130+(N103*30)/1130</f>
        <v>0.0212389380530973</v>
      </c>
      <c r="T103" s="193" t="n">
        <f aca="false">SUMIFS(K$3228:K$4138,$H$3228:$H$4138,$AD103)</f>
        <v>0</v>
      </c>
      <c r="U103" s="194" t="n">
        <f aca="false">SUMIFS(L$3228:L$4138,$H$3228:$H$4138,$AD103)</f>
        <v>5</v>
      </c>
      <c r="V103" s="195" t="n">
        <f aca="false">SUMIFS(M$3228:M$4138,$H$3228:$H$4138,$AD103)</f>
        <v>0</v>
      </c>
      <c r="W103" s="193" t="n">
        <f aca="false">SUMIFS(N$3228:N$4138,$H$3228:$H$4138,$AD103)</f>
        <v>0</v>
      </c>
      <c r="X103" s="193" t="n">
        <f aca="false">SUMIFS(O$3228:O$4138,$H$3228:$H$4138,$AD103)</f>
        <v>0</v>
      </c>
      <c r="Y103" s="196" t="n">
        <f aca="false">SUMIFS(P$3228:P$4138,$H$3228:$H$4138,$AD103)</f>
        <v>0</v>
      </c>
      <c r="Z103" s="193" t="n">
        <f aca="false">SUMIFS(Q$3228:Q$4138,$H$3228:$H$4138,$AD103)</f>
        <v>0</v>
      </c>
      <c r="AA103" s="195" t="n">
        <f aca="false">SUMIFS(R$3228:R$4138,$H$3228:$H$4138,$AD103)</f>
        <v>0</v>
      </c>
      <c r="AB103" s="197" t="n">
        <f aca="false">SUMIFS(S$3228:S$4138,$H$3228:$H$4138,$AD103)</f>
        <v>0.0530973451327434</v>
      </c>
      <c r="AC103" s="198" t="n">
        <f aca="false">SUM(T103:AA103)</f>
        <v>5</v>
      </c>
      <c r="AD103" s="221" t="s">
        <v>175</v>
      </c>
      <c r="AE103" s="221" t="n">
        <v>1002938</v>
      </c>
      <c r="AF103" s="240" t="s">
        <v>127</v>
      </c>
      <c r="AG103" s="252" t="s">
        <v>503</v>
      </c>
      <c r="AH103" s="252" t="n">
        <v>578607733</v>
      </c>
      <c r="AI103" s="218" t="s">
        <v>504</v>
      </c>
      <c r="BJ103" s="128" t="n">
        <f aca="false">6</f>
        <v>6</v>
      </c>
      <c r="BK103" s="128" t="n">
        <f aca="false">12</f>
        <v>12</v>
      </c>
      <c r="BL103" s="128" t="n">
        <f aca="false">10</f>
        <v>10</v>
      </c>
      <c r="BN103" s="128" t="n">
        <f aca="false">25</f>
        <v>25</v>
      </c>
      <c r="BO103" s="128" t="n">
        <f aca="false">2</f>
        <v>2</v>
      </c>
      <c r="BV103" s="128" t="n">
        <v>10</v>
      </c>
      <c r="BW103" s="128" t="n">
        <v>3</v>
      </c>
      <c r="BX103" s="205" t="n">
        <f aca="false">BV103*5+BW103*2</f>
        <v>56</v>
      </c>
      <c r="CE103" s="157" t="n">
        <v>4</v>
      </c>
    </row>
    <row r="104" customFormat="false" ht="15" hidden="false" customHeight="true" outlineLevel="0" collapsed="false">
      <c r="B104" s="127" t="n">
        <f aca="false">B103+D104-C104</f>
        <v>633.5</v>
      </c>
      <c r="D104" s="146" t="n">
        <v>316.25</v>
      </c>
      <c r="E104" s="147" t="n">
        <v>78</v>
      </c>
      <c r="F104" s="147" t="n">
        <f aca="false">IFERROR(VLOOKUP(H104,$AD$1:$AE$301,2,0),"")</f>
        <v>1007980</v>
      </c>
      <c r="G104" s="147" t="str">
        <f aca="false">IFERROR(VLOOKUP(F104,$AE$2:$AF$290,2, 0),"")</f>
        <v>ضباء</v>
      </c>
      <c r="H104" s="212" t="s">
        <v>81</v>
      </c>
      <c r="I104" s="246" t="n">
        <f aca="false">SUM(K104:R104)</f>
        <v>1</v>
      </c>
      <c r="J104" s="182" t="n">
        <v>45470</v>
      </c>
      <c r="K104" s="184"/>
      <c r="L104" s="185"/>
      <c r="M104" s="186"/>
      <c r="N104" s="187" t="n">
        <v>1</v>
      </c>
      <c r="O104" s="188"/>
      <c r="P104" s="189"/>
      <c r="Q104" s="190"/>
      <c r="R104" s="191"/>
      <c r="S104" s="192" t="n">
        <f aca="false">(K104+O104+Q104)*24 /1130+(L104+M104+P104+R104)*12/1130+(N104*30)/1130</f>
        <v>0.0265486725663717</v>
      </c>
      <c r="T104" s="193" t="n">
        <f aca="false">SUMIFS(K$3228:K$4138,$H$3228:$H$4138,$AD104)</f>
        <v>0</v>
      </c>
      <c r="U104" s="194" t="n">
        <f aca="false">SUMIFS(L$3228:L$4138,$H$3228:$H$4138,$AD104)</f>
        <v>0</v>
      </c>
      <c r="V104" s="195" t="n">
        <f aca="false">SUMIFS(M$3228:M$4138,$H$3228:$H$4138,$AD104)</f>
        <v>0</v>
      </c>
      <c r="W104" s="193" t="n">
        <f aca="false">SUMIFS(N$3228:N$4138,$H$3228:$H$4138,$AD104)</f>
        <v>0</v>
      </c>
      <c r="X104" s="193" t="n">
        <f aca="false">SUMIFS(O$3228:O$4138,$H$3228:$H$4138,$AD104)</f>
        <v>0</v>
      </c>
      <c r="Y104" s="196" t="n">
        <f aca="false">SUMIFS(P$3228:P$4138,$H$3228:$H$4138,$AD104)</f>
        <v>0</v>
      </c>
      <c r="Z104" s="193" t="n">
        <f aca="false">SUMIFS(Q$3228:Q$4138,$H$3228:$H$4138,$AD104)</f>
        <v>0</v>
      </c>
      <c r="AA104" s="195" t="n">
        <f aca="false">SUMIFS(R$3228:R$4138,$H$3228:$H$4138,$AD104)</f>
        <v>0</v>
      </c>
      <c r="AB104" s="197" t="n">
        <f aca="false">SUMIFS(S$3228:S$4138,$H$3228:$H$4138,$AD104)</f>
        <v>0</v>
      </c>
      <c r="AC104" s="198" t="n">
        <f aca="false">SUM(T104:AA104)</f>
        <v>0</v>
      </c>
      <c r="AD104" s="221" t="s">
        <v>176</v>
      </c>
      <c r="AE104" s="240" t="n">
        <v>1008262</v>
      </c>
      <c r="AF104" s="240" t="s">
        <v>127</v>
      </c>
      <c r="AG104" s="242" t="s">
        <v>505</v>
      </c>
      <c r="AH104" s="160" t="n">
        <v>532871348</v>
      </c>
      <c r="AI104" s="203"/>
      <c r="BX104" s="205" t="n">
        <f aca="false">BV104*5+BW104*2</f>
        <v>0</v>
      </c>
      <c r="BY104" s="128" t="n">
        <v>2</v>
      </c>
      <c r="CB104" s="219" t="n">
        <v>12</v>
      </c>
      <c r="CQ104" s="128" t="n">
        <f aca="false">2+2</f>
        <v>4</v>
      </c>
    </row>
    <row r="105" customFormat="false" ht="15" hidden="false" customHeight="true" outlineLevel="0" collapsed="false">
      <c r="B105" s="127" t="n">
        <f aca="false">B104+D105-C105</f>
        <v>0</v>
      </c>
      <c r="C105" s="127" t="n">
        <v>632.5</v>
      </c>
      <c r="D105" s="146" t="n">
        <v>-1</v>
      </c>
      <c r="E105" s="212" t="s">
        <v>470</v>
      </c>
      <c r="F105" s="147" t="str">
        <f aca="false">IFERROR(VLOOKUP(H105,$AD$1:$AE$301,2,0),"")</f>
        <v/>
      </c>
      <c r="G105" s="147" t="str">
        <f aca="false">IFERROR(VLOOKUP(F105,$AE$2:$AF$290,2, 0),"")</f>
        <v/>
      </c>
      <c r="H105" s="212" t="s">
        <v>393</v>
      </c>
      <c r="I105" s="246" t="n">
        <f aca="false">SUM(K105:R105)</f>
        <v>0</v>
      </c>
      <c r="J105" s="182" t="n">
        <v>45470</v>
      </c>
      <c r="K105" s="184"/>
      <c r="L105" s="185"/>
      <c r="M105" s="186"/>
      <c r="N105" s="187"/>
      <c r="O105" s="188"/>
      <c r="P105" s="189"/>
      <c r="Q105" s="190"/>
      <c r="R105" s="191"/>
      <c r="S105" s="192" t="n">
        <f aca="false">(K105+O105+Q105)*24 /1130+(L105+M105+P105+R105)*12/1130+(N105*30)/1130</f>
        <v>0</v>
      </c>
      <c r="T105" s="193" t="n">
        <f aca="false">SUMIFS(K$3228:K$4138,$H$3228:$H$4138,$AD105)</f>
        <v>0</v>
      </c>
      <c r="U105" s="194" t="n">
        <f aca="false">SUMIFS(L$3228:L$4138,$H$3228:$H$4138,$AD105)</f>
        <v>0</v>
      </c>
      <c r="V105" s="195" t="n">
        <f aca="false">SUMIFS(M$3228:M$4138,$H$3228:$H$4138,$AD105)</f>
        <v>0</v>
      </c>
      <c r="W105" s="193" t="n">
        <f aca="false">SUMIFS(N$3228:N$4138,$H$3228:$H$4138,$AD105)</f>
        <v>0</v>
      </c>
      <c r="X105" s="193" t="n">
        <f aca="false">SUMIFS(O$3228:O$4138,$H$3228:$H$4138,$AD105)</f>
        <v>0</v>
      </c>
      <c r="Y105" s="196" t="n">
        <f aca="false">SUMIFS(P$3228:P$4138,$H$3228:$H$4138,$AD105)</f>
        <v>0</v>
      </c>
      <c r="Z105" s="193" t="n">
        <f aca="false">SUMIFS(Q$3228:Q$4138,$H$3228:$H$4138,$AD105)</f>
        <v>0</v>
      </c>
      <c r="AA105" s="195" t="n">
        <f aca="false">SUMIFS(R$3228:R$4138,$H$3228:$H$4138,$AD105)</f>
        <v>0</v>
      </c>
      <c r="AB105" s="197" t="n">
        <f aca="false">SUMIFS(S$3228:S$4138,$H$3228:$H$4138,$AD105)</f>
        <v>0</v>
      </c>
      <c r="AC105" s="198" t="n">
        <f aca="false">SUM(T105:AA105)</f>
        <v>0</v>
      </c>
      <c r="AD105" s="221" t="s">
        <v>177</v>
      </c>
      <c r="AE105" s="240" t="n">
        <v>622</v>
      </c>
      <c r="AF105" s="240" t="s">
        <v>127</v>
      </c>
      <c r="AG105" s="128"/>
      <c r="AH105" s="128" t="n">
        <v>0</v>
      </c>
      <c r="AI105" s="203"/>
      <c r="BX105" s="205" t="n">
        <f aca="false">BV105*5+BW105*2</f>
        <v>0</v>
      </c>
      <c r="CB105" s="219" t="n">
        <v>12</v>
      </c>
    </row>
    <row r="106" customFormat="false" ht="15" hidden="false" customHeight="true" outlineLevel="0" collapsed="false">
      <c r="B106" s="127" t="n">
        <f aca="false">B105+D106-C106</f>
        <v>264.5</v>
      </c>
      <c r="D106" s="146" t="n">
        <v>264.5</v>
      </c>
      <c r="E106" s="147" t="n">
        <v>81</v>
      </c>
      <c r="F106" s="147" t="n">
        <f aca="false">IFERROR(VLOOKUP(H106,$AD$1:$AE$301,2,0),"")</f>
        <v>1007969</v>
      </c>
      <c r="G106" s="147" t="str">
        <f aca="false">IFERROR(VLOOKUP(F106,$AE$2:$AF$290,2, 0),"")</f>
        <v>حقل</v>
      </c>
      <c r="H106" s="212" t="s">
        <v>309</v>
      </c>
      <c r="I106" s="246" t="n">
        <f aca="false">SUM(K106:R106)</f>
        <v>1</v>
      </c>
      <c r="J106" s="182" t="n">
        <v>45474</v>
      </c>
      <c r="K106" s="184"/>
      <c r="L106" s="185"/>
      <c r="M106" s="186"/>
      <c r="N106" s="187"/>
      <c r="O106" s="188"/>
      <c r="P106" s="189"/>
      <c r="Q106" s="190"/>
      <c r="R106" s="191" t="n">
        <v>1</v>
      </c>
      <c r="S106" s="192" t="n">
        <f aca="false">(K106+O106+Q106)*24 /1130+(L106+M106+P106+R106)*12/1130+(N106*30)/1130</f>
        <v>0.0106194690265487</v>
      </c>
      <c r="T106" s="193" t="n">
        <f aca="false">SUMIFS(K$3228:K$4138,$H$3228:$H$4138,$AD106)</f>
        <v>0</v>
      </c>
      <c r="U106" s="194" t="n">
        <f aca="false">SUMIFS(L$3228:L$4138,$H$3228:$H$4138,$AD106)</f>
        <v>0</v>
      </c>
      <c r="V106" s="195" t="n">
        <f aca="false">SUMIFS(M$3228:M$4138,$H$3228:$H$4138,$AD106)</f>
        <v>0</v>
      </c>
      <c r="W106" s="193" t="n">
        <f aca="false">SUMIFS(N$3228:N$4138,$H$3228:$H$4138,$AD106)</f>
        <v>0</v>
      </c>
      <c r="X106" s="193" t="n">
        <f aca="false">SUMIFS(O$3228:O$4138,$H$3228:$H$4138,$AD106)</f>
        <v>0</v>
      </c>
      <c r="Y106" s="196" t="n">
        <f aca="false">SUMIFS(P$3228:P$4138,$H$3228:$H$4138,$AD106)</f>
        <v>0</v>
      </c>
      <c r="Z106" s="193" t="n">
        <f aca="false">SUMIFS(Q$3228:Q$4138,$H$3228:$H$4138,$AD106)</f>
        <v>0</v>
      </c>
      <c r="AA106" s="195" t="n">
        <f aca="false">SUMIFS(R$3228:R$4138,$H$3228:$H$4138,$AD106)</f>
        <v>0</v>
      </c>
      <c r="AB106" s="197" t="n">
        <f aca="false">SUMIFS(S$3228:S$4138,$H$3228:$H$4138,$AD106)</f>
        <v>0</v>
      </c>
      <c r="AC106" s="198" t="n">
        <f aca="false">SUM(T106:AA106)</f>
        <v>0</v>
      </c>
      <c r="AD106" s="241" t="s">
        <v>178</v>
      </c>
      <c r="AE106" s="241" t="n">
        <v>1008266</v>
      </c>
      <c r="AF106" s="240" t="s">
        <v>127</v>
      </c>
      <c r="AG106" s="242" t="s">
        <v>506</v>
      </c>
      <c r="AH106" s="160" t="n">
        <v>507510179</v>
      </c>
      <c r="AI106" s="218" t="s">
        <v>507</v>
      </c>
      <c r="AM106" s="128" t="n">
        <v>4</v>
      </c>
      <c r="AO106" s="128" t="n">
        <f aca="false">5+6+6</f>
        <v>17</v>
      </c>
      <c r="BB106" s="128" t="n">
        <f aca="false">10</f>
        <v>10</v>
      </c>
      <c r="BC106" s="128" t="n">
        <f aca="false">25</f>
        <v>25</v>
      </c>
      <c r="BJ106" s="128" t="n">
        <f aca="false">16</f>
        <v>16</v>
      </c>
      <c r="BK106" s="128" t="n">
        <f aca="false">30</f>
        <v>30</v>
      </c>
      <c r="BN106" s="128" t="n">
        <v>5</v>
      </c>
      <c r="BO106" s="128" t="n">
        <v>10</v>
      </c>
      <c r="BR106" s="128" t="n">
        <f aca="false">9</f>
        <v>9</v>
      </c>
      <c r="BX106" s="205" t="n">
        <f aca="false">BV106*5+BW106*2</f>
        <v>0</v>
      </c>
      <c r="CA106" s="206" t="n">
        <v>3</v>
      </c>
      <c r="CB106" s="219" t="n">
        <f aca="false">15</f>
        <v>15</v>
      </c>
      <c r="CC106" s="219" t="n">
        <v>15</v>
      </c>
    </row>
    <row r="107" customFormat="false" ht="15" hidden="false" customHeight="true" outlineLevel="0" collapsed="false">
      <c r="B107" s="127" t="n">
        <f aca="false">B106+D107-C107</f>
        <v>419.75</v>
      </c>
      <c r="D107" s="146" t="n">
        <v>155.25</v>
      </c>
      <c r="E107" s="147" t="n">
        <v>80</v>
      </c>
      <c r="F107" s="147" t="n">
        <f aca="false">IFERROR(VLOOKUP(H107,$AD$1:$AE$301,2,0),"")</f>
        <v>1008006</v>
      </c>
      <c r="G107" s="147" t="str">
        <f aca="false">IFERROR(VLOOKUP(F107,$AE$2:$AF$290,2, 0),"")</f>
        <v>حقل</v>
      </c>
      <c r="H107" s="212" t="s">
        <v>302</v>
      </c>
      <c r="I107" s="246" t="n">
        <f aca="false">SUM(K107:R107)</f>
        <v>1</v>
      </c>
      <c r="J107" s="182" t="n">
        <v>45474</v>
      </c>
      <c r="K107" s="184"/>
      <c r="L107" s="185"/>
      <c r="M107" s="186"/>
      <c r="N107" s="187"/>
      <c r="O107" s="188"/>
      <c r="P107" s="189"/>
      <c r="Q107" s="190"/>
      <c r="R107" s="191" t="n">
        <v>1</v>
      </c>
      <c r="S107" s="192" t="n">
        <f aca="false">(K107+O107+Q107)*24 /1130+(L107+M107+P107+R107)*12/1130+(N107*30)/1130</f>
        <v>0.0106194690265487</v>
      </c>
      <c r="T107" s="193" t="n">
        <f aca="false">SUMIFS(K$3228:K$4138,$H$3228:$H$4138,$AD107)</f>
        <v>0</v>
      </c>
      <c r="U107" s="194" t="n">
        <f aca="false">SUMIFS(L$3228:L$4138,$H$3228:$H$4138,$AD107)</f>
        <v>0</v>
      </c>
      <c r="V107" s="195" t="n">
        <f aca="false">SUMIFS(M$3228:M$4138,$H$3228:$H$4138,$AD107)</f>
        <v>0</v>
      </c>
      <c r="W107" s="193" t="n">
        <f aca="false">SUMIFS(N$3228:N$4138,$H$3228:$H$4138,$AD107)</f>
        <v>0</v>
      </c>
      <c r="X107" s="193" t="n">
        <f aca="false">SUMIFS(O$3228:O$4138,$H$3228:$H$4138,$AD107)</f>
        <v>0</v>
      </c>
      <c r="Y107" s="196" t="n">
        <f aca="false">SUMIFS(P$3228:P$4138,$H$3228:$H$4138,$AD107)</f>
        <v>0</v>
      </c>
      <c r="Z107" s="193" t="n">
        <f aca="false">SUMIFS(Q$3228:Q$4138,$H$3228:$H$4138,$AD107)</f>
        <v>0</v>
      </c>
      <c r="AA107" s="195" t="n">
        <f aca="false">SUMIFS(R$3228:R$4138,$H$3228:$H$4138,$AD107)</f>
        <v>0</v>
      </c>
      <c r="AB107" s="197" t="n">
        <f aca="false">SUMIFS(S$3228:S$4138,$H$3228:$H$4138,$AD107)</f>
        <v>0</v>
      </c>
      <c r="AC107" s="198" t="n">
        <f aca="false">SUM(T107:AA107)</f>
        <v>0</v>
      </c>
      <c r="AD107" s="221" t="s">
        <v>179</v>
      </c>
      <c r="AE107" s="240" t="n">
        <v>1008275</v>
      </c>
      <c r="AF107" s="240" t="s">
        <v>127</v>
      </c>
      <c r="AG107" s="242" t="s">
        <v>508</v>
      </c>
      <c r="AH107" s="160" t="n">
        <v>550684461</v>
      </c>
      <c r="AI107" s="218" t="s">
        <v>509</v>
      </c>
      <c r="AL107" s="128" t="n">
        <v>6</v>
      </c>
      <c r="AM107" s="128" t="n">
        <v>20</v>
      </c>
      <c r="AN107" s="128" t="n">
        <v>8</v>
      </c>
      <c r="AO107" s="128" t="n">
        <f aca="false">35+13</f>
        <v>48</v>
      </c>
      <c r="AP107" s="128" t="n">
        <f aca="false">7</f>
        <v>7</v>
      </c>
      <c r="AQ107" s="128" t="n">
        <f aca="false">22</f>
        <v>22</v>
      </c>
      <c r="AT107" s="128" t="n">
        <f aca="false">9</f>
        <v>9</v>
      </c>
      <c r="AU107" s="128" t="n">
        <v>6</v>
      </c>
      <c r="AV107" s="128" t="n">
        <f aca="false">4+21</f>
        <v>25</v>
      </c>
      <c r="AW107" s="128" t="n">
        <v>18</v>
      </c>
      <c r="AX107" s="128" t="n">
        <v>4</v>
      </c>
      <c r="AY107" s="128" t="n">
        <v>12</v>
      </c>
      <c r="AZ107" s="128" t="n">
        <f aca="false">25</f>
        <v>25</v>
      </c>
      <c r="BB107" s="128" t="n">
        <v>1</v>
      </c>
      <c r="BX107" s="205" t="n">
        <f aca="false">BV107*5+BW107*2</f>
        <v>0</v>
      </c>
      <c r="CA107" s="157" t="n">
        <v>2</v>
      </c>
    </row>
    <row r="108" customFormat="false" ht="15" hidden="false" customHeight="true" outlineLevel="0" collapsed="false">
      <c r="B108" s="127" t="n">
        <f aca="false">B107+D108-C108</f>
        <v>632.5</v>
      </c>
      <c r="D108" s="146" t="n">
        <v>212.75</v>
      </c>
      <c r="E108" s="147" t="n">
        <v>79</v>
      </c>
      <c r="F108" s="147" t="n">
        <f aca="false">IFERROR(VLOOKUP(H108,$AD$1:$AE$301,2,0),"")</f>
        <v>1007999</v>
      </c>
      <c r="G108" s="147" t="str">
        <f aca="false">IFERROR(VLOOKUP(F108,$AE$2:$AF$290,2, 0),"")</f>
        <v>حقل</v>
      </c>
      <c r="H108" s="212" t="s">
        <v>312</v>
      </c>
      <c r="I108" s="246" t="n">
        <f aca="false">SUM(K108:R108)</f>
        <v>1</v>
      </c>
      <c r="J108" s="182" t="n">
        <v>45474</v>
      </c>
      <c r="K108" s="184"/>
      <c r="L108" s="185"/>
      <c r="M108" s="186"/>
      <c r="N108" s="187"/>
      <c r="O108" s="188"/>
      <c r="P108" s="189"/>
      <c r="Q108" s="190" t="n">
        <v>1</v>
      </c>
      <c r="R108" s="191"/>
      <c r="S108" s="192" t="n">
        <f aca="false">(K108+O108+Q108)*24 /1130+(L108+M108+P108+R108)*12/1130+(N108*30)/1130</f>
        <v>0.0212389380530973</v>
      </c>
      <c r="T108" s="193" t="n">
        <f aca="false">SUMIFS(K$3228:K$4138,$H$3228:$H$4138,$AD108)</f>
        <v>0</v>
      </c>
      <c r="U108" s="194" t="n">
        <f aca="false">SUMIFS(L$3228:L$4138,$H$3228:$H$4138,$AD108)</f>
        <v>0</v>
      </c>
      <c r="V108" s="195" t="n">
        <f aca="false">SUMIFS(M$3228:M$4138,$H$3228:$H$4138,$AD108)</f>
        <v>0</v>
      </c>
      <c r="W108" s="193" t="n">
        <f aca="false">SUMIFS(N$3228:N$4138,$H$3228:$H$4138,$AD108)</f>
        <v>0</v>
      </c>
      <c r="X108" s="193" t="n">
        <f aca="false">SUMIFS(O$3228:O$4138,$H$3228:$H$4138,$AD108)</f>
        <v>0</v>
      </c>
      <c r="Y108" s="196" t="n">
        <f aca="false">SUMIFS(P$3228:P$4138,$H$3228:$H$4138,$AD108)</f>
        <v>0</v>
      </c>
      <c r="Z108" s="193" t="n">
        <f aca="false">SUMIFS(Q$3228:Q$4138,$H$3228:$H$4138,$AD108)</f>
        <v>0</v>
      </c>
      <c r="AA108" s="195" t="n">
        <f aca="false">SUMIFS(R$3228:R$4138,$H$3228:$H$4138,$AD108)</f>
        <v>0</v>
      </c>
      <c r="AB108" s="197" t="n">
        <f aca="false">SUMIFS(S$3228:S$4138,$H$3228:$H$4138,$AD108)</f>
        <v>0</v>
      </c>
      <c r="AC108" s="198" t="n">
        <f aca="false">SUM(T108:AA108)</f>
        <v>0</v>
      </c>
      <c r="AD108" s="221" t="s">
        <v>180</v>
      </c>
      <c r="AE108" s="240" t="n">
        <v>755</v>
      </c>
      <c r="AF108" s="240" t="s">
        <v>127</v>
      </c>
      <c r="AG108" s="202" t="s">
        <v>510</v>
      </c>
      <c r="AH108" s="128" t="n">
        <v>502673563</v>
      </c>
      <c r="AI108" s="218" t="s">
        <v>511</v>
      </c>
      <c r="AU108" s="128" t="n">
        <f aca="false">10</f>
        <v>10</v>
      </c>
      <c r="AY108" s="128" t="n">
        <v>9</v>
      </c>
      <c r="BA108" s="128" t="n">
        <f aca="false">10</f>
        <v>10</v>
      </c>
      <c r="BX108" s="205" t="n">
        <f aca="false">BV108*5+BW108*2</f>
        <v>0</v>
      </c>
      <c r="CA108" s="206" t="n">
        <v>3</v>
      </c>
      <c r="CB108" s="219" t="n">
        <v>12</v>
      </c>
      <c r="CC108" s="219" t="n">
        <v>15</v>
      </c>
    </row>
    <row r="109" customFormat="false" ht="15" hidden="false" customHeight="true" outlineLevel="0" collapsed="false">
      <c r="B109" s="127" t="n">
        <f aca="false">B108+D109-C109</f>
        <v>960.25</v>
      </c>
      <c r="D109" s="146" t="n">
        <v>327.75</v>
      </c>
      <c r="E109" s="147" t="n">
        <v>85</v>
      </c>
      <c r="F109" s="147" t="n">
        <f aca="false">IFERROR(VLOOKUP(H109,$AD$1:$AE$301,2,0),"")</f>
        <v>1006522</v>
      </c>
      <c r="G109" s="147" t="str">
        <f aca="false">IFERROR(VLOOKUP(F109,$AE$2:$AF$290,2, 0),"")</f>
        <v>البدع</v>
      </c>
      <c r="H109" s="212" t="s">
        <v>317</v>
      </c>
      <c r="I109" s="246" t="n">
        <f aca="false">SUM(K109:R109)</f>
        <v>1</v>
      </c>
      <c r="J109" s="182" t="n">
        <v>45474</v>
      </c>
      <c r="K109" s="184" t="n">
        <v>1</v>
      </c>
      <c r="L109" s="185"/>
      <c r="M109" s="186"/>
      <c r="N109" s="187"/>
      <c r="O109" s="188"/>
      <c r="P109" s="189"/>
      <c r="Q109" s="190"/>
      <c r="R109" s="191"/>
      <c r="S109" s="192" t="n">
        <f aca="false">(K109+O109+Q109)*24 /1130+(L109+M109+P109+R109)*12/1130+(N109*30)/1130</f>
        <v>0.0212389380530973</v>
      </c>
      <c r="T109" s="193" t="n">
        <f aca="false">SUMIFS(K$3228:K$4138,$H$3228:$H$4138,$AD109)</f>
        <v>0</v>
      </c>
      <c r="U109" s="194" t="n">
        <f aca="false">SUMIFS(L$3228:L$4138,$H$3228:$H$4138,$AD109)</f>
        <v>0</v>
      </c>
      <c r="V109" s="195" t="n">
        <f aca="false">SUMIFS(M$3228:M$4138,$H$3228:$H$4138,$AD109)</f>
        <v>0</v>
      </c>
      <c r="W109" s="193" t="n">
        <f aca="false">SUMIFS(N$3228:N$4138,$H$3228:$H$4138,$AD109)</f>
        <v>0</v>
      </c>
      <c r="X109" s="193" t="n">
        <f aca="false">SUMIFS(O$3228:O$4138,$H$3228:$H$4138,$AD109)</f>
        <v>0</v>
      </c>
      <c r="Y109" s="196" t="n">
        <f aca="false">SUMIFS(P$3228:P$4138,$H$3228:$H$4138,$AD109)</f>
        <v>0</v>
      </c>
      <c r="Z109" s="193" t="n">
        <f aca="false">SUMIFS(Q$3228:Q$4138,$H$3228:$H$4138,$AD109)</f>
        <v>0</v>
      </c>
      <c r="AA109" s="195" t="n">
        <f aca="false">SUMIFS(R$3228:R$4138,$H$3228:$H$4138,$AD109)</f>
        <v>0</v>
      </c>
      <c r="AB109" s="197" t="n">
        <f aca="false">SUMIFS(S$3228:S$4138,$H$3228:$H$4138,$AD109)</f>
        <v>0</v>
      </c>
      <c r="AC109" s="198" t="n">
        <f aca="false">SUM(T109:AA109)</f>
        <v>0</v>
      </c>
      <c r="AD109" s="221" t="s">
        <v>181</v>
      </c>
      <c r="AE109" s="240" t="n">
        <v>1004</v>
      </c>
      <c r="AF109" s="221" t="s">
        <v>127</v>
      </c>
      <c r="AG109" s="202" t="s">
        <v>512</v>
      </c>
      <c r="AH109" s="128"/>
      <c r="AI109" s="208" t="s">
        <v>513</v>
      </c>
      <c r="BX109" s="205" t="n">
        <f aca="false">BV109*5+BW109*2</f>
        <v>0</v>
      </c>
    </row>
    <row r="110" customFormat="false" ht="15" hidden="false" customHeight="true" outlineLevel="0" collapsed="false">
      <c r="B110" s="127" t="n">
        <f aca="false">B109+D110-C110</f>
        <v>-980.25</v>
      </c>
      <c r="C110" s="127" t="n">
        <f aca="false">212.75+1592.75+135</f>
        <v>1940.5</v>
      </c>
      <c r="E110" s="212" t="s">
        <v>470</v>
      </c>
      <c r="F110" s="147" t="str">
        <f aca="false">IFERROR(VLOOKUP(H110,$AD$1:$AE$301,2,0),"")</f>
        <v/>
      </c>
      <c r="G110" s="147" t="str">
        <f aca="false">IFERROR(VLOOKUP(F110,$AE$2:$AF$290,2, 0),"")</f>
        <v/>
      </c>
      <c r="H110" s="212" t="s">
        <v>393</v>
      </c>
      <c r="I110" s="246" t="n">
        <f aca="false">SUM(K110:R110)</f>
        <v>0</v>
      </c>
      <c r="J110" s="182" t="n">
        <v>45474</v>
      </c>
      <c r="K110" s="184"/>
      <c r="L110" s="185"/>
      <c r="M110" s="186"/>
      <c r="N110" s="187"/>
      <c r="O110" s="188"/>
      <c r="P110" s="189"/>
      <c r="Q110" s="190"/>
      <c r="R110" s="191"/>
      <c r="S110" s="192" t="n">
        <f aca="false">(K110+O110+Q110)*24 /1130+(L110+M110+P110+R110)*12/1130+(N110*30)/1130</f>
        <v>0</v>
      </c>
      <c r="T110" s="193" t="n">
        <f aca="false">SUMIFS(K$3228:K$4138,$H$3228:$H$4138,$AD110)</f>
        <v>0</v>
      </c>
      <c r="U110" s="194" t="n">
        <f aca="false">SUMIFS(L$3228:L$4138,$H$3228:$H$4138,$AD110)</f>
        <v>0</v>
      </c>
      <c r="V110" s="195" t="n">
        <f aca="false">SUMIFS(M$3228:M$4138,$H$3228:$H$4138,$AD110)</f>
        <v>0</v>
      </c>
      <c r="W110" s="193" t="n">
        <f aca="false">SUMIFS(N$3228:N$4138,$H$3228:$H$4138,$AD110)</f>
        <v>0</v>
      </c>
      <c r="X110" s="193" t="n">
        <f aca="false">SUMIFS(O$3228:O$4138,$H$3228:$H$4138,$AD110)</f>
        <v>0</v>
      </c>
      <c r="Y110" s="196" t="n">
        <f aca="false">SUMIFS(P$3228:P$4138,$H$3228:$H$4138,$AD110)</f>
        <v>0</v>
      </c>
      <c r="Z110" s="193" t="n">
        <f aca="false">SUMIFS(Q$3228:Q$4138,$H$3228:$H$4138,$AD110)</f>
        <v>0</v>
      </c>
      <c r="AA110" s="195" t="n">
        <f aca="false">SUMIFS(R$3228:R$4138,$H$3228:$H$4138,$AD110)</f>
        <v>0</v>
      </c>
      <c r="AB110" s="197" t="n">
        <f aca="false">SUMIFS(S$3228:S$4138,$H$3228:$H$4138,$AD110)</f>
        <v>0</v>
      </c>
      <c r="AC110" s="198" t="n">
        <f aca="false">SUM(T110:AA110)</f>
        <v>0</v>
      </c>
      <c r="AD110" s="240" t="s">
        <v>182</v>
      </c>
      <c r="AE110" s="240" t="n">
        <v>827</v>
      </c>
      <c r="AF110" s="240" t="s">
        <v>127</v>
      </c>
      <c r="AG110" s="202" t="s">
        <v>514</v>
      </c>
      <c r="AH110" s="128" t="n">
        <v>508761357</v>
      </c>
      <c r="AI110" s="218" t="s">
        <v>515</v>
      </c>
      <c r="AZ110" s="128" t="n">
        <f aca="false">22</f>
        <v>22</v>
      </c>
      <c r="BD110" s="128" t="n">
        <f aca="false">16</f>
        <v>16</v>
      </c>
      <c r="BH110" s="128" t="n">
        <f aca="false">14</f>
        <v>14</v>
      </c>
      <c r="BJ110" s="128" t="n">
        <f aca="false">36</f>
        <v>36</v>
      </c>
      <c r="BK110" s="128" t="n">
        <f aca="false">3</f>
        <v>3</v>
      </c>
      <c r="BL110" s="128" t="n">
        <v>27</v>
      </c>
      <c r="BR110" s="128" t="n">
        <f aca="false">16+11</f>
        <v>27</v>
      </c>
      <c r="BS110" s="128" t="n">
        <v>1</v>
      </c>
      <c r="BT110" s="128" t="n">
        <f aca="false">6+29+6</f>
        <v>41</v>
      </c>
      <c r="BU110" s="128" t="n">
        <f aca="false">5+5+5</f>
        <v>15</v>
      </c>
      <c r="BV110" s="128" t="n">
        <f aca="false">5+11</f>
        <v>16</v>
      </c>
      <c r="BW110" s="128" t="n">
        <f aca="false">6+1</f>
        <v>7</v>
      </c>
      <c r="BX110" s="205" t="n">
        <f aca="false">BV110*5+BW110*2</f>
        <v>94</v>
      </c>
      <c r="BY110" s="128" t="n">
        <f aca="false">5+2</f>
        <v>7</v>
      </c>
      <c r="CA110" s="206" t="n">
        <v>1</v>
      </c>
      <c r="CB110" s="219" t="n">
        <f aca="false">36</f>
        <v>36</v>
      </c>
      <c r="CC110" s="219" t="n">
        <f aca="false">30</f>
        <v>30</v>
      </c>
    </row>
    <row r="111" customFormat="false" ht="15" hidden="false" customHeight="true" outlineLevel="0" collapsed="false">
      <c r="B111" s="127" t="n">
        <f aca="false">B110+D111-C111</f>
        <v>612.5</v>
      </c>
      <c r="D111" s="146" t="n">
        <f aca="false">(2*178.25)+316.25+(2*258.75)+258.75+143.75</f>
        <v>1592.75</v>
      </c>
      <c r="E111" s="147" t="n">
        <v>82</v>
      </c>
      <c r="F111" s="147" t="n">
        <f aca="false">IFERROR(VLOOKUP(H111,$AD$1:$AE$301,2,0),"")</f>
        <v>1008004</v>
      </c>
      <c r="G111" s="147" t="str">
        <f aca="false">IFERROR(VLOOKUP(F111,$AE$2:$AF$290,2, 0),"")</f>
        <v>حقل</v>
      </c>
      <c r="H111" s="212" t="s">
        <v>316</v>
      </c>
      <c r="I111" s="246" t="n">
        <f aca="false">SUM(K111:R111)</f>
        <v>7</v>
      </c>
      <c r="J111" s="182" t="n">
        <v>45474</v>
      </c>
      <c r="K111" s="184"/>
      <c r="L111" s="185" t="n">
        <v>2</v>
      </c>
      <c r="M111" s="186"/>
      <c r="N111" s="187" t="n">
        <v>1</v>
      </c>
      <c r="O111" s="188" t="n">
        <v>3</v>
      </c>
      <c r="P111" s="189" t="n">
        <v>1</v>
      </c>
      <c r="Q111" s="190"/>
      <c r="R111" s="191"/>
      <c r="S111" s="192" t="n">
        <f aca="false">(K111+O111+Q111)*24 /1130+(L111+M111+P111+R111)*12/1130+(N111*30)/1130</f>
        <v>0.12212389380531</v>
      </c>
      <c r="T111" s="193" t="n">
        <f aca="false">SUMIFS(K$3228:K$4138,$H$3228:$H$4138,$AD111)</f>
        <v>4</v>
      </c>
      <c r="U111" s="194" t="n">
        <f aca="false">SUMIFS(L$3228:L$4138,$H$3228:$H$4138,$AD111)</f>
        <v>0</v>
      </c>
      <c r="V111" s="195" t="n">
        <f aca="false">SUMIFS(M$3228:M$4138,$H$3228:$H$4138,$AD111)</f>
        <v>0</v>
      </c>
      <c r="W111" s="193" t="n">
        <f aca="false">SUMIFS(N$3228:N$4138,$H$3228:$H$4138,$AD111)</f>
        <v>0</v>
      </c>
      <c r="X111" s="193" t="n">
        <f aca="false">SUMIFS(O$3228:O$4138,$H$3228:$H$4138,$AD111)</f>
        <v>0</v>
      </c>
      <c r="Y111" s="196" t="n">
        <f aca="false">SUMIFS(P$3228:P$4138,$H$3228:$H$4138,$AD111)</f>
        <v>0</v>
      </c>
      <c r="Z111" s="193" t="n">
        <f aca="false">SUMIFS(Q$3228:Q$4138,$H$3228:$H$4138,$AD111)</f>
        <v>0</v>
      </c>
      <c r="AA111" s="195" t="n">
        <f aca="false">SUMIFS(R$3228:R$4138,$H$3228:$H$4138,$AD111)</f>
        <v>1</v>
      </c>
      <c r="AB111" s="197" t="n">
        <f aca="false">SUMIFS(S$3228:S$4138,$H$3228:$H$4138,$AD111)</f>
        <v>0.0955752212389381</v>
      </c>
      <c r="AC111" s="198" t="n">
        <f aca="false">SUM(T111:AA111)</f>
        <v>5</v>
      </c>
      <c r="AD111" s="221" t="s">
        <v>183</v>
      </c>
      <c r="AE111" s="240" t="n">
        <v>721</v>
      </c>
      <c r="AF111" s="240" t="s">
        <v>127</v>
      </c>
      <c r="AG111" s="202" t="s">
        <v>516</v>
      </c>
      <c r="AH111" s="128" t="n">
        <v>502708959</v>
      </c>
      <c r="AI111" s="218" t="s">
        <v>517</v>
      </c>
      <c r="BL111" s="128" t="n">
        <f aca="false">10</f>
        <v>10</v>
      </c>
      <c r="BM111" s="128" t="n">
        <f aca="false">24+3+2</f>
        <v>29</v>
      </c>
      <c r="BN111" s="128" t="n">
        <f aca="false">8</f>
        <v>8</v>
      </c>
      <c r="BX111" s="205" t="n">
        <f aca="false">BV111*5+BW111*2</f>
        <v>0</v>
      </c>
      <c r="CB111" s="206" t="n">
        <v>12</v>
      </c>
    </row>
    <row r="112" customFormat="false" ht="15" hidden="false" customHeight="true" outlineLevel="0" collapsed="false">
      <c r="B112" s="127" t="n">
        <f aca="false">B111+D112-C112</f>
        <v>940.25</v>
      </c>
      <c r="D112" s="146" t="n">
        <v>327.75</v>
      </c>
      <c r="E112" s="147" t="n">
        <v>83</v>
      </c>
      <c r="F112" s="147" t="n">
        <f aca="false">IFERROR(VLOOKUP(H112,$AD$1:$AE$301,2,0),"")</f>
        <v>1008007</v>
      </c>
      <c r="G112" s="147" t="str">
        <f aca="false">IFERROR(VLOOKUP(F112,$AE$2:$AF$290,2, 0),"")</f>
        <v>حقل</v>
      </c>
      <c r="H112" s="212" t="s">
        <v>303</v>
      </c>
      <c r="I112" s="246" t="n">
        <f aca="false">SUM(K112:R112)</f>
        <v>1</v>
      </c>
      <c r="J112" s="182" t="n">
        <v>45474</v>
      </c>
      <c r="K112" s="184" t="n">
        <v>1</v>
      </c>
      <c r="L112" s="185"/>
      <c r="M112" s="186"/>
      <c r="N112" s="187"/>
      <c r="O112" s="188"/>
      <c r="P112" s="189"/>
      <c r="Q112" s="190"/>
      <c r="R112" s="191"/>
      <c r="S112" s="192" t="n">
        <f aca="false">(K112+O112+Q112)*24 /1130+(L112+M112+P112+R112)*12/1130+(N112*30)/1130</f>
        <v>0.0212389380530973</v>
      </c>
      <c r="T112" s="193" t="n">
        <f aca="false">SUMIFS(K$3228:K$4138,$H$3228:$H$4138,$AD112)</f>
        <v>4</v>
      </c>
      <c r="U112" s="194" t="n">
        <f aca="false">SUMIFS(L$3228:L$4138,$H$3228:$H$4138,$AD112)</f>
        <v>0</v>
      </c>
      <c r="V112" s="195" t="n">
        <f aca="false">SUMIFS(M$3228:M$4138,$H$3228:$H$4138,$AD112)</f>
        <v>0</v>
      </c>
      <c r="W112" s="193" t="n">
        <f aca="false">SUMIFS(N$3228:N$4138,$H$3228:$H$4138,$AD112)</f>
        <v>0</v>
      </c>
      <c r="X112" s="193" t="n">
        <f aca="false">SUMIFS(O$3228:O$4138,$H$3228:$H$4138,$AD112)</f>
        <v>0</v>
      </c>
      <c r="Y112" s="196" t="n">
        <f aca="false">SUMIFS(P$3228:P$4138,$H$3228:$H$4138,$AD112)</f>
        <v>0</v>
      </c>
      <c r="Z112" s="193" t="n">
        <f aca="false">SUMIFS(Q$3228:Q$4138,$H$3228:$H$4138,$AD112)</f>
        <v>0</v>
      </c>
      <c r="AA112" s="195" t="n">
        <f aca="false">SUMIFS(R$3228:R$4138,$H$3228:$H$4138,$AD112)</f>
        <v>0</v>
      </c>
      <c r="AB112" s="197" t="n">
        <f aca="false">SUMIFS(S$3228:S$4138,$H$3228:$H$4138,$AD112)</f>
        <v>0.0849557522123894</v>
      </c>
      <c r="AC112" s="198" t="n">
        <f aca="false">SUM(T112:AA112)</f>
        <v>4</v>
      </c>
      <c r="AD112" s="221" t="s">
        <v>184</v>
      </c>
      <c r="AE112" s="241" t="n">
        <v>1008260</v>
      </c>
      <c r="AF112" s="240" t="s">
        <v>127</v>
      </c>
      <c r="AG112" s="202" t="s">
        <v>518</v>
      </c>
      <c r="AH112" s="128" t="n">
        <v>557373298</v>
      </c>
      <c r="AI112" s="218" t="s">
        <v>519</v>
      </c>
      <c r="BD112" s="128" t="n">
        <f aca="false">5</f>
        <v>5</v>
      </c>
      <c r="BF112" s="157" t="n">
        <f aca="false">10</f>
        <v>10</v>
      </c>
      <c r="BJ112" s="128" t="n">
        <f aca="false">4</f>
        <v>4</v>
      </c>
      <c r="BL112" s="128" t="n">
        <f aca="false">5</f>
        <v>5</v>
      </c>
      <c r="BN112" s="128" t="n">
        <f aca="false">14+6</f>
        <v>20</v>
      </c>
      <c r="BO112" s="128" t="n">
        <f aca="false">4</f>
        <v>4</v>
      </c>
      <c r="BR112" s="128" t="n">
        <f aca="false">3+5+10</f>
        <v>18</v>
      </c>
      <c r="BT112" s="128" t="n">
        <f aca="false">11</f>
        <v>11</v>
      </c>
      <c r="BV112" s="128" t="n">
        <v>7</v>
      </c>
      <c r="BX112" s="205" t="n">
        <f aca="false">BV112*5+BW112*2</f>
        <v>35</v>
      </c>
      <c r="CB112" s="206" t="n">
        <f aca="false">2+12</f>
        <v>14</v>
      </c>
      <c r="CQ112" s="128" t="n">
        <v>4</v>
      </c>
    </row>
    <row r="113" customFormat="false" ht="15" hidden="false" customHeight="true" outlineLevel="0" collapsed="false">
      <c r="B113" s="127" t="n">
        <f aca="false">B112+D113-C113</f>
        <v>2044.25</v>
      </c>
      <c r="D113" s="146" t="n">
        <f aca="false">327.75+327.75+293.25+155.25</f>
        <v>1104</v>
      </c>
      <c r="E113" s="147" t="n">
        <v>84</v>
      </c>
      <c r="F113" s="147" t="n">
        <f aca="false">IFERROR(VLOOKUP(H113,$AD$1:$AE$301,2,0),"")</f>
        <v>1007998</v>
      </c>
      <c r="G113" s="147" t="str">
        <f aca="false">IFERROR(VLOOKUP(F113,$AE$2:$AF$290,2, 0),"")</f>
        <v>حقل</v>
      </c>
      <c r="H113" s="212" t="s">
        <v>311</v>
      </c>
      <c r="I113" s="246" t="n">
        <f aca="false">SUM(K113:R113)</f>
        <v>4</v>
      </c>
      <c r="J113" s="182" t="n">
        <v>45474</v>
      </c>
      <c r="K113" s="184" t="n">
        <v>2</v>
      </c>
      <c r="L113" s="185"/>
      <c r="M113" s="186" t="n">
        <v>1</v>
      </c>
      <c r="N113" s="187"/>
      <c r="O113" s="188"/>
      <c r="P113" s="189"/>
      <c r="Q113" s="190"/>
      <c r="R113" s="191" t="n">
        <v>1</v>
      </c>
      <c r="S113" s="192" t="n">
        <f aca="false">(K113+O113+Q113)*24 /1130+(L113+M113+P113+R113)*12/1130+(N113*30)/1130</f>
        <v>0.063716814159292</v>
      </c>
      <c r="T113" s="193" t="n">
        <f aca="false">SUMIFS(K$3228:K$4138,$H$3228:$H$4138,$AD113)</f>
        <v>0</v>
      </c>
      <c r="U113" s="194" t="n">
        <f aca="false">SUMIFS(L$3228:L$4138,$H$3228:$H$4138,$AD113)</f>
        <v>0</v>
      </c>
      <c r="V113" s="195" t="n">
        <f aca="false">SUMIFS(M$3228:M$4138,$H$3228:$H$4138,$AD113)</f>
        <v>0</v>
      </c>
      <c r="W113" s="193" t="n">
        <f aca="false">SUMIFS(N$3228:N$4138,$H$3228:$H$4138,$AD113)</f>
        <v>0</v>
      </c>
      <c r="X113" s="193" t="n">
        <f aca="false">SUMIFS(O$3228:O$4138,$H$3228:$H$4138,$AD113)</f>
        <v>0</v>
      </c>
      <c r="Y113" s="196" t="n">
        <f aca="false">SUMIFS(P$3228:P$4138,$H$3228:$H$4138,$AD113)</f>
        <v>0</v>
      </c>
      <c r="Z113" s="193" t="n">
        <f aca="false">SUMIFS(Q$3228:Q$4138,$H$3228:$H$4138,$AD113)</f>
        <v>0</v>
      </c>
      <c r="AA113" s="195" t="n">
        <f aca="false">SUMIFS(R$3228:R$4138,$H$3228:$H$4138,$AD113)</f>
        <v>0</v>
      </c>
      <c r="AB113" s="197" t="n">
        <f aca="false">SUMIFS(S$3228:S$4138,$H$3228:$H$4138,$AD113)</f>
        <v>0</v>
      </c>
      <c r="AC113" s="198" t="n">
        <f aca="false">SUM(T113:AA113)</f>
        <v>0</v>
      </c>
      <c r="AD113" s="221" t="s">
        <v>185</v>
      </c>
      <c r="AE113" s="221" t="n">
        <v>1002936</v>
      </c>
      <c r="AF113" s="240" t="s">
        <v>127</v>
      </c>
      <c r="AG113" s="252" t="s">
        <v>520</v>
      </c>
      <c r="AH113" s="252" t="n">
        <v>560701611</v>
      </c>
      <c r="AI113" s="203"/>
      <c r="BJ113" s="128" t="n">
        <f aca="false">15</f>
        <v>15</v>
      </c>
      <c r="BK113" s="128" t="n">
        <f aca="false">3</f>
        <v>3</v>
      </c>
      <c r="BL113" s="128" t="n">
        <f aca="false">26</f>
        <v>26</v>
      </c>
      <c r="BN113" s="128" t="n">
        <f aca="false">11</f>
        <v>11</v>
      </c>
      <c r="BX113" s="205" t="n">
        <f aca="false">BV113*5+BW113*2</f>
        <v>0</v>
      </c>
    </row>
    <row r="114" customFormat="false" ht="15" hidden="false" customHeight="true" outlineLevel="0" collapsed="false">
      <c r="B114" s="127" t="n">
        <f aca="false">B113+D114-C114</f>
        <v>2337.5</v>
      </c>
      <c r="D114" s="146" t="n">
        <f aca="false">155.25+138</f>
        <v>293.25</v>
      </c>
      <c r="E114" s="147" t="n">
        <v>86</v>
      </c>
      <c r="F114" s="147" t="n">
        <f aca="false">IFERROR(VLOOKUP(H114,$AD$1:$AE$301,2,0),"")</f>
        <v>1008019</v>
      </c>
      <c r="G114" s="147" t="str">
        <f aca="false">IFERROR(VLOOKUP(F114,$AE$2:$AF$290,2, 0),"")</f>
        <v>البدع</v>
      </c>
      <c r="H114" s="212" t="s">
        <v>327</v>
      </c>
      <c r="I114" s="246" t="n">
        <f aca="false">SUM(K114:R114)</f>
        <v>2</v>
      </c>
      <c r="J114" s="182" t="n">
        <v>45474</v>
      </c>
      <c r="K114" s="184"/>
      <c r="L114" s="185"/>
      <c r="M114" s="186"/>
      <c r="N114" s="187"/>
      <c r="O114" s="188"/>
      <c r="P114" s="189"/>
      <c r="Q114" s="190" t="n">
        <v>1</v>
      </c>
      <c r="R114" s="191" t="n">
        <v>1</v>
      </c>
      <c r="S114" s="192" t="n">
        <f aca="false">(K114+O114+Q114)*24 /1130+(L114+M114+P114+R114)*12/1130+(N114*30)/1130</f>
        <v>0.031858407079646</v>
      </c>
      <c r="T114" s="193" t="n">
        <f aca="false">SUMIFS(K$3228:K$4138,$H$3228:$H$4138,$AD114)</f>
        <v>4</v>
      </c>
      <c r="U114" s="194" t="n">
        <f aca="false">SUMIFS(L$3228:L$4138,$H$3228:$H$4138,$AD114)</f>
        <v>0</v>
      </c>
      <c r="V114" s="195" t="n">
        <f aca="false">SUMIFS(M$3228:M$4138,$H$3228:$H$4138,$AD114)</f>
        <v>0</v>
      </c>
      <c r="W114" s="193" t="n">
        <f aca="false">SUMIFS(N$3228:N$4138,$H$3228:$H$4138,$AD114)</f>
        <v>0</v>
      </c>
      <c r="X114" s="193" t="n">
        <f aca="false">SUMIFS(O$3228:O$4138,$H$3228:$H$4138,$AD114)</f>
        <v>0</v>
      </c>
      <c r="Y114" s="196" t="n">
        <f aca="false">SUMIFS(P$3228:P$4138,$H$3228:$H$4138,$AD114)</f>
        <v>0</v>
      </c>
      <c r="Z114" s="193" t="n">
        <f aca="false">SUMIFS(Q$3228:Q$4138,$H$3228:$H$4138,$AD114)</f>
        <v>0</v>
      </c>
      <c r="AA114" s="195" t="n">
        <f aca="false">SUMIFS(R$3228:R$4138,$H$3228:$H$4138,$AD114)</f>
        <v>0</v>
      </c>
      <c r="AB114" s="197" t="n">
        <f aca="false">SUMIFS(S$3228:S$4138,$H$3228:$H$4138,$AD114)</f>
        <v>0.0849557522123894</v>
      </c>
      <c r="AC114" s="198" t="n">
        <f aca="false">SUM(T114:AA114)</f>
        <v>4</v>
      </c>
      <c r="AD114" s="221" t="s">
        <v>186</v>
      </c>
      <c r="AE114" s="221" t="n">
        <v>1350</v>
      </c>
      <c r="AF114" s="223" t="s">
        <v>127</v>
      </c>
      <c r="AG114" s="253" t="s">
        <v>521</v>
      </c>
      <c r="AH114" s="253" t="n">
        <v>552548700</v>
      </c>
      <c r="AI114" s="254" t="s">
        <v>522</v>
      </c>
      <c r="BX114" s="205" t="n">
        <f aca="false">BV114*5+BW114*2</f>
        <v>0</v>
      </c>
    </row>
    <row r="115" customFormat="false" ht="15" hidden="false" customHeight="true" outlineLevel="0" collapsed="false">
      <c r="B115" s="127" t="n">
        <f aca="false">B114+D115-C115</f>
        <v>8662.5</v>
      </c>
      <c r="D115" s="146" t="n">
        <f aca="false">20*316.25</f>
        <v>6325</v>
      </c>
      <c r="E115" s="147" t="n">
        <v>87</v>
      </c>
      <c r="F115" s="147" t="n">
        <f aca="false">IFERROR(VLOOKUP(H115,$AD$1:$AE$301,2,0),"")</f>
        <v>1006469</v>
      </c>
      <c r="G115" s="147" t="str">
        <f aca="false">IFERROR(VLOOKUP(F115,$AE$2:$AF$290,2, 0),"")</f>
        <v>تبوك</v>
      </c>
      <c r="H115" s="212" t="s">
        <v>282</v>
      </c>
      <c r="I115" s="246" t="n">
        <f aca="false">SUM(K115:R115)</f>
        <v>20</v>
      </c>
      <c r="J115" s="182" t="n">
        <v>45474</v>
      </c>
      <c r="K115" s="184"/>
      <c r="L115" s="185"/>
      <c r="M115" s="186"/>
      <c r="N115" s="187" t="n">
        <v>20</v>
      </c>
      <c r="O115" s="188"/>
      <c r="P115" s="189"/>
      <c r="Q115" s="190"/>
      <c r="R115" s="191"/>
      <c r="S115" s="192" t="n">
        <f aca="false">(K115+O115+Q115)*24 /1130+(L115+M115+P115+R115)*12/1130+(N115*30)/1130</f>
        <v>0.530973451327434</v>
      </c>
      <c r="T115" s="193" t="n">
        <f aca="false">SUMIFS(K$3228:K$4138,$H$3228:$H$4138,$AD115)</f>
        <v>0</v>
      </c>
      <c r="U115" s="194" t="n">
        <f aca="false">SUMIFS(L$3228:L$4138,$H$3228:$H$4138,$AD115)</f>
        <v>0</v>
      </c>
      <c r="V115" s="195" t="n">
        <f aca="false">SUMIFS(M$3228:M$4138,$H$3228:$H$4138,$AD115)</f>
        <v>0</v>
      </c>
      <c r="W115" s="193" t="n">
        <f aca="false">SUMIFS(N$3228:N$4138,$H$3228:$H$4138,$AD115)</f>
        <v>0</v>
      </c>
      <c r="X115" s="193" t="n">
        <f aca="false">SUMIFS(O$3228:O$4138,$H$3228:$H$4138,$AD115)</f>
        <v>0</v>
      </c>
      <c r="Y115" s="196" t="n">
        <f aca="false">SUMIFS(P$3228:P$4138,$H$3228:$H$4138,$AD115)</f>
        <v>0</v>
      </c>
      <c r="Z115" s="193" t="n">
        <f aca="false">SUMIFS(Q$3228:Q$4138,$H$3228:$H$4138,$AD115)</f>
        <v>0</v>
      </c>
      <c r="AA115" s="195" t="n">
        <f aca="false">SUMIFS(R$3228:R$4138,$H$3228:$H$4138,$AD115)</f>
        <v>0</v>
      </c>
      <c r="AB115" s="197" t="n">
        <f aca="false">SUMIFS(S$3228:S$4138,$H$3228:$H$4138,$AD115)</f>
        <v>0</v>
      </c>
      <c r="AC115" s="198" t="n">
        <f aca="false">SUM(T115:AA115)</f>
        <v>0</v>
      </c>
      <c r="AD115" s="221" t="s">
        <v>523</v>
      </c>
      <c r="AE115" s="221" t="n">
        <v>1002896</v>
      </c>
      <c r="AF115" s="221" t="s">
        <v>127</v>
      </c>
      <c r="AG115" s="242" t="s">
        <v>524</v>
      </c>
      <c r="AH115" s="160" t="n">
        <v>577568572</v>
      </c>
      <c r="AI115" s="218" t="s">
        <v>525</v>
      </c>
      <c r="BL115" s="128" t="n">
        <f aca="false">19</f>
        <v>19</v>
      </c>
      <c r="BM115" s="128" t="n">
        <f aca="false">1</f>
        <v>1</v>
      </c>
      <c r="BN115" s="128" t="n">
        <v>10</v>
      </c>
      <c r="BO115" s="128" t="n">
        <v>5</v>
      </c>
      <c r="BX115" s="205" t="n">
        <f aca="false">BV115*5+BW115*2</f>
        <v>0</v>
      </c>
    </row>
    <row r="116" customFormat="false" ht="15" hidden="false" customHeight="true" outlineLevel="0" collapsed="false">
      <c r="B116" s="127" t="n">
        <f aca="false">B115+D116-C116</f>
        <v>2337.5</v>
      </c>
      <c r="C116" s="127" t="n">
        <v>6325</v>
      </c>
      <c r="E116" s="212" t="s">
        <v>526</v>
      </c>
      <c r="F116" s="147" t="str">
        <f aca="false">IFERROR(VLOOKUP(H116,$AD$1:$AE$301,2,0),"")</f>
        <v/>
      </c>
      <c r="G116" s="147" t="str">
        <f aca="false">IFERROR(VLOOKUP(F116,$AE$2:$AF$290,2, 0),"")</f>
        <v/>
      </c>
      <c r="H116" s="212" t="s">
        <v>393</v>
      </c>
      <c r="I116" s="246" t="n">
        <f aca="false">SUM(K116:R116)</f>
        <v>0</v>
      </c>
      <c r="J116" s="182" t="n">
        <v>45476</v>
      </c>
      <c r="K116" s="184"/>
      <c r="L116" s="185"/>
      <c r="M116" s="186"/>
      <c r="N116" s="187"/>
      <c r="O116" s="188"/>
      <c r="P116" s="189"/>
      <c r="Q116" s="190"/>
      <c r="R116" s="191"/>
      <c r="S116" s="192" t="n">
        <f aca="false">(K116+O116+Q116)*24 /1130+(L116+M116+P116+R116)*12/1130+(N116*30)/1130</f>
        <v>0</v>
      </c>
      <c r="T116" s="193" t="n">
        <f aca="false">SUMIFS(K$3228:K$4138,$H$3228:$H$4138,$AD116)</f>
        <v>0</v>
      </c>
      <c r="U116" s="194" t="n">
        <f aca="false">SUMIFS(L$3228:L$4138,$H$3228:$H$4138,$AD116)</f>
        <v>0</v>
      </c>
      <c r="V116" s="195" t="n">
        <f aca="false">SUMIFS(M$3228:M$4138,$H$3228:$H$4138,$AD116)</f>
        <v>0</v>
      </c>
      <c r="W116" s="193" t="n">
        <f aca="false">SUMIFS(N$3228:N$4138,$H$3228:$H$4138,$AD116)</f>
        <v>0</v>
      </c>
      <c r="X116" s="193" t="n">
        <f aca="false">SUMIFS(O$3228:O$4138,$H$3228:$H$4138,$AD116)</f>
        <v>0</v>
      </c>
      <c r="Y116" s="196" t="n">
        <f aca="false">SUMIFS(P$3228:P$4138,$H$3228:$H$4138,$AD116)</f>
        <v>0</v>
      </c>
      <c r="Z116" s="193" t="n">
        <f aca="false">SUMIFS(Q$3228:Q$4138,$H$3228:$H$4138,$AD116)</f>
        <v>0</v>
      </c>
      <c r="AA116" s="195" t="n">
        <f aca="false">SUMIFS(R$3228:R$4138,$H$3228:$H$4138,$AD116)</f>
        <v>0</v>
      </c>
      <c r="AB116" s="197" t="n">
        <f aca="false">SUMIFS(S$3228:S$4138,$H$3228:$H$4138,$AD116)</f>
        <v>0</v>
      </c>
      <c r="AC116" s="198" t="n">
        <f aca="false">SUM(T116:AA116)</f>
        <v>0</v>
      </c>
      <c r="AD116" s="221" t="s">
        <v>188</v>
      </c>
      <c r="AE116" s="240" t="n">
        <v>1002924</v>
      </c>
      <c r="AF116" s="240" t="s">
        <v>127</v>
      </c>
      <c r="AG116" s="202" t="s">
        <v>527</v>
      </c>
      <c r="AH116" s="128" t="n">
        <v>501455356</v>
      </c>
      <c r="AI116" s="218" t="s">
        <v>528</v>
      </c>
      <c r="BR116" s="128" t="n">
        <f aca="false">34</f>
        <v>34</v>
      </c>
      <c r="BV116" s="128" t="n">
        <f aca="false">18</f>
        <v>18</v>
      </c>
      <c r="BX116" s="205" t="n">
        <f aca="false">BV116*5+BW116*2</f>
        <v>90</v>
      </c>
    </row>
    <row r="117" customFormat="false" ht="15" hidden="false" customHeight="true" outlineLevel="0" collapsed="false">
      <c r="B117" s="127" t="n">
        <f aca="false">B116+D117-C117</f>
        <v>0.5</v>
      </c>
      <c r="C117" s="127" t="n">
        <v>2337</v>
      </c>
      <c r="E117" s="212" t="s">
        <v>529</v>
      </c>
      <c r="F117" s="147" t="str">
        <f aca="false">IFERROR(VLOOKUP(H117,$AD$1:$AE$301,2,0),"")</f>
        <v/>
      </c>
      <c r="G117" s="147" t="str">
        <f aca="false">IFERROR(VLOOKUP(F117,$AE$2:$AF$290,2, 0),"")</f>
        <v/>
      </c>
      <c r="H117" s="212" t="s">
        <v>393</v>
      </c>
      <c r="I117" s="246" t="n">
        <f aca="false">SUM(K117:R117)</f>
        <v>0</v>
      </c>
      <c r="J117" s="182" t="n">
        <v>45476</v>
      </c>
      <c r="K117" s="184"/>
      <c r="L117" s="185"/>
      <c r="M117" s="186"/>
      <c r="N117" s="187"/>
      <c r="O117" s="188"/>
      <c r="P117" s="189"/>
      <c r="Q117" s="190"/>
      <c r="R117" s="191"/>
      <c r="S117" s="192" t="n">
        <f aca="false">(K117+O117+Q117)*24 /1130+(L117+M117+P117+R117)*12/1130+(N117*30)/1130</f>
        <v>0</v>
      </c>
      <c r="T117" s="193" t="n">
        <f aca="false">SUMIFS(K$3228:K$4138,$H$3228:$H$4138,$AD117)</f>
        <v>0</v>
      </c>
      <c r="U117" s="194" t="n">
        <f aca="false">SUMIFS(L$3228:L$4138,$H$3228:$H$4138,$AD117)</f>
        <v>0</v>
      </c>
      <c r="V117" s="195" t="n">
        <f aca="false">SUMIFS(M$3228:M$4138,$H$3228:$H$4138,$AD117)</f>
        <v>0</v>
      </c>
      <c r="W117" s="193" t="n">
        <f aca="false">SUMIFS(N$3228:N$4138,$H$3228:$H$4138,$AD117)</f>
        <v>0</v>
      </c>
      <c r="X117" s="193" t="n">
        <f aca="false">SUMIFS(O$3228:O$4138,$H$3228:$H$4138,$AD117)</f>
        <v>0</v>
      </c>
      <c r="Y117" s="196" t="n">
        <f aca="false">SUMIFS(P$3228:P$4138,$H$3228:$H$4138,$AD117)</f>
        <v>0</v>
      </c>
      <c r="Z117" s="193" t="n">
        <f aca="false">SUMIFS(Q$3228:Q$4138,$H$3228:$H$4138,$AD117)</f>
        <v>0</v>
      </c>
      <c r="AA117" s="195" t="n">
        <f aca="false">SUMIFS(R$3228:R$4138,$H$3228:$H$4138,$AD117)</f>
        <v>0</v>
      </c>
      <c r="AB117" s="197" t="n">
        <f aca="false">SUMIFS(S$3228:S$4138,$H$3228:$H$4138,$AD117)</f>
        <v>0</v>
      </c>
      <c r="AC117" s="198" t="n">
        <f aca="false">SUM(T117:AA117)</f>
        <v>0</v>
      </c>
      <c r="AD117" s="221" t="s">
        <v>189</v>
      </c>
      <c r="AE117" s="240" t="n">
        <v>1002907</v>
      </c>
      <c r="AF117" s="240" t="s">
        <v>127</v>
      </c>
      <c r="AG117" s="221" t="s">
        <v>530</v>
      </c>
      <c r="AH117" s="240" t="n">
        <v>509828692</v>
      </c>
      <c r="AI117" s="218" t="s">
        <v>531</v>
      </c>
      <c r="BL117" s="128" t="n">
        <v>4</v>
      </c>
      <c r="BM117" s="128" t="n">
        <v>4</v>
      </c>
      <c r="BP117" s="128" t="n">
        <v>9</v>
      </c>
      <c r="BQ117" s="128" t="n">
        <v>14</v>
      </c>
      <c r="BT117" s="128" t="n">
        <v>11</v>
      </c>
      <c r="BU117" s="128" t="n">
        <v>5</v>
      </c>
      <c r="BX117" s="205" t="n">
        <f aca="false">BV117*5+BW117*2</f>
        <v>0</v>
      </c>
    </row>
    <row r="118" customFormat="false" ht="15" hidden="false" customHeight="true" outlineLevel="0" collapsed="false">
      <c r="B118" s="127" t="n">
        <f aca="false">B117+D118-C118</f>
        <v>328.25</v>
      </c>
      <c r="D118" s="146" t="n">
        <v>327.75</v>
      </c>
      <c r="E118" s="147" t="n">
        <v>88</v>
      </c>
      <c r="F118" s="147" t="n">
        <f aca="false">IFERROR(VLOOKUP(H118,$AD$1:$AE$301,2,0),"")</f>
        <v>1008025</v>
      </c>
      <c r="G118" s="147" t="str">
        <f aca="false">IFERROR(VLOOKUP(F118,$AE$2:$AF$290,2, 0),"")</f>
        <v>ضباء</v>
      </c>
      <c r="H118" s="212" t="s">
        <v>97</v>
      </c>
      <c r="I118" s="246" t="n">
        <f aca="false">SUM(K118:R118)</f>
        <v>1</v>
      </c>
      <c r="J118" s="182" t="n">
        <v>45476</v>
      </c>
      <c r="K118" s="184" t="n">
        <v>1</v>
      </c>
      <c r="L118" s="185"/>
      <c r="M118" s="186"/>
      <c r="N118" s="187"/>
      <c r="O118" s="188"/>
      <c r="P118" s="189"/>
      <c r="Q118" s="190"/>
      <c r="R118" s="191"/>
      <c r="S118" s="192" t="n">
        <f aca="false">(K118+O118+Q118)*24 /1130+(L118+M118+P118+R118)*12/1130+(N118*30)/1130</f>
        <v>0.0212389380530973</v>
      </c>
      <c r="T118" s="193" t="n">
        <f aca="false">SUMIFS(K$3228:K$4138,$H$3228:$H$4138,$AD118)</f>
        <v>0</v>
      </c>
      <c r="U118" s="194" t="n">
        <f aca="false">SUMIFS(L$3228:L$4138,$H$3228:$H$4138,$AD118)</f>
        <v>0</v>
      </c>
      <c r="V118" s="195" t="n">
        <f aca="false">SUMIFS(M$3228:M$4138,$H$3228:$H$4138,$AD118)</f>
        <v>0</v>
      </c>
      <c r="W118" s="193" t="n">
        <f aca="false">SUMIFS(N$3228:N$4138,$H$3228:$H$4138,$AD118)</f>
        <v>0</v>
      </c>
      <c r="X118" s="193" t="n">
        <f aca="false">SUMIFS(O$3228:O$4138,$H$3228:$H$4138,$AD118)</f>
        <v>0</v>
      </c>
      <c r="Y118" s="196" t="n">
        <f aca="false">SUMIFS(P$3228:P$4138,$H$3228:$H$4138,$AD118)</f>
        <v>0</v>
      </c>
      <c r="Z118" s="193" t="n">
        <f aca="false">SUMIFS(Q$3228:Q$4138,$H$3228:$H$4138,$AD118)</f>
        <v>0</v>
      </c>
      <c r="AA118" s="195" t="n">
        <f aca="false">SUMIFS(R$3228:R$4138,$H$3228:$H$4138,$AD118)</f>
        <v>0</v>
      </c>
      <c r="AB118" s="197" t="n">
        <f aca="false">SUMIFS(S$3228:S$4138,$H$3228:$H$4138,$AD118)</f>
        <v>0</v>
      </c>
      <c r="AC118" s="198" t="n">
        <f aca="false">SUM(T118:AA118)</f>
        <v>0</v>
      </c>
      <c r="AD118" s="221" t="s">
        <v>190</v>
      </c>
      <c r="AE118" s="240" t="n">
        <v>1002911</v>
      </c>
      <c r="AF118" s="240" t="s">
        <v>127</v>
      </c>
      <c r="AG118" s="221"/>
      <c r="AH118" s="240"/>
      <c r="AI118" s="203"/>
      <c r="BX118" s="205" t="n">
        <f aca="false">BV118*5+BW118*2</f>
        <v>0</v>
      </c>
    </row>
    <row r="119" customFormat="false" ht="15" hidden="false" customHeight="true" outlineLevel="0" collapsed="false">
      <c r="B119" s="127" t="n">
        <f aca="false">B118+D119-C119</f>
        <v>1455.25</v>
      </c>
      <c r="D119" s="146" t="n">
        <f aca="false">(2*293.25)+(2*270.25)</f>
        <v>1127</v>
      </c>
      <c r="E119" s="147" t="n">
        <v>90</v>
      </c>
      <c r="F119" s="147" t="n">
        <f aca="false">IFERROR(VLOOKUP(H119,$AD$1:$AE$301,2,0),"")</f>
        <v>1008022</v>
      </c>
      <c r="G119" s="147" t="str">
        <f aca="false">IFERROR(VLOOKUP(F119,$AE$2:$AF$290,2, 0),"")</f>
        <v>ضباء</v>
      </c>
      <c r="H119" s="212" t="s">
        <v>94</v>
      </c>
      <c r="I119" s="246" t="n">
        <f aca="false">SUM(K119:R119)</f>
        <v>4</v>
      </c>
      <c r="J119" s="182" t="n">
        <v>45476</v>
      </c>
      <c r="K119" s="184"/>
      <c r="L119" s="185"/>
      <c r="M119" s="186" t="n">
        <v>4</v>
      </c>
      <c r="N119" s="187"/>
      <c r="O119" s="188"/>
      <c r="P119" s="189"/>
      <c r="Q119" s="190"/>
      <c r="R119" s="191"/>
      <c r="S119" s="192" t="n">
        <f aca="false">(K119+O119+Q119)*24 /1130+(L119+M119+P119+R119)*12/1130+(N119*30)/1130</f>
        <v>0.0424778761061947</v>
      </c>
      <c r="T119" s="193" t="n">
        <f aca="false">SUMIFS(K$3228:K$4138,$H$3228:$H$4138,$AD119)</f>
        <v>0</v>
      </c>
      <c r="U119" s="194" t="n">
        <f aca="false">SUMIFS(L$3228:L$4138,$H$3228:$H$4138,$AD119)</f>
        <v>0</v>
      </c>
      <c r="V119" s="195" t="n">
        <f aca="false">SUMIFS(M$3228:M$4138,$H$3228:$H$4138,$AD119)</f>
        <v>0</v>
      </c>
      <c r="W119" s="193" t="n">
        <f aca="false">SUMIFS(N$3228:N$4138,$H$3228:$H$4138,$AD119)</f>
        <v>0</v>
      </c>
      <c r="X119" s="193" t="n">
        <f aca="false">SUMIFS(O$3228:O$4138,$H$3228:$H$4138,$AD119)</f>
        <v>0</v>
      </c>
      <c r="Y119" s="196" t="n">
        <f aca="false">SUMIFS(P$3228:P$4138,$H$3228:$H$4138,$AD119)</f>
        <v>0</v>
      </c>
      <c r="Z119" s="193" t="n">
        <f aca="false">SUMIFS(Q$3228:Q$4138,$H$3228:$H$4138,$AD119)</f>
        <v>0</v>
      </c>
      <c r="AA119" s="195" t="n">
        <f aca="false">SUMIFS(R$3228:R$4138,$H$3228:$H$4138,$AD119)</f>
        <v>0</v>
      </c>
      <c r="AB119" s="197" t="n">
        <f aca="false">SUMIFS(S$3228:S$4138,$H$3228:$H$4138,$AD119)</f>
        <v>0</v>
      </c>
      <c r="AC119" s="198" t="n">
        <f aca="false">SUM(T119:AA119)</f>
        <v>0</v>
      </c>
      <c r="AD119" s="221" t="s">
        <v>191</v>
      </c>
      <c r="AE119" s="240" t="n">
        <v>1212</v>
      </c>
      <c r="AF119" s="240" t="s">
        <v>127</v>
      </c>
      <c r="AG119" s="221" t="s">
        <v>532</v>
      </c>
      <c r="AH119" s="240" t="n">
        <v>556979410</v>
      </c>
      <c r="AI119" s="218" t="s">
        <v>533</v>
      </c>
      <c r="BR119" s="128" t="n">
        <f aca="false">6</f>
        <v>6</v>
      </c>
      <c r="BX119" s="205" t="n">
        <f aca="false">BV119*5+BW119*2</f>
        <v>0</v>
      </c>
    </row>
    <row r="120" customFormat="false" ht="15" hidden="false" customHeight="true" outlineLevel="0" collapsed="false">
      <c r="B120" s="127" t="n">
        <f aca="false">B119+D120-C120</f>
        <v>2110.75</v>
      </c>
      <c r="D120" s="146" t="n">
        <f aca="false">2*327.75</f>
        <v>655.5</v>
      </c>
      <c r="E120" s="147" t="n">
        <v>91</v>
      </c>
      <c r="F120" s="147" t="n">
        <f aca="false">IFERROR(VLOOKUP(H120,$AD$1:$AE$301,2,0),"")</f>
        <v>1008028</v>
      </c>
      <c r="G120" s="147" t="str">
        <f aca="false">IFERROR(VLOOKUP(F120,$AE$2:$AF$290,2, 0),"")</f>
        <v>ضباء</v>
      </c>
      <c r="H120" s="212" t="s">
        <v>99</v>
      </c>
      <c r="I120" s="246" t="n">
        <f aca="false">SUM(K120:R120)</f>
        <v>2</v>
      </c>
      <c r="J120" s="182" t="n">
        <v>45476</v>
      </c>
      <c r="K120" s="184" t="n">
        <v>2</v>
      </c>
      <c r="L120" s="185"/>
      <c r="M120" s="186"/>
      <c r="N120" s="187"/>
      <c r="O120" s="188"/>
      <c r="P120" s="189"/>
      <c r="Q120" s="190"/>
      <c r="R120" s="191"/>
      <c r="S120" s="192" t="n">
        <f aca="false">(K120+O120+Q120)*24 /1130+(L120+M120+P120+R120)*12/1130+(N120*30)/1130</f>
        <v>0.0424778761061947</v>
      </c>
      <c r="T120" s="193" t="n">
        <f aca="false">SUMIFS(K$3228:K$4138,$H$3228:$H$4138,$AD120)</f>
        <v>0</v>
      </c>
      <c r="U120" s="194" t="n">
        <f aca="false">SUMIFS(L$3228:L$4138,$H$3228:$H$4138,$AD120)</f>
        <v>0</v>
      </c>
      <c r="V120" s="195" t="n">
        <f aca="false">SUMIFS(M$3228:M$4138,$H$3228:$H$4138,$AD120)</f>
        <v>0</v>
      </c>
      <c r="W120" s="193" t="n">
        <f aca="false">SUMIFS(N$3228:N$4138,$H$3228:$H$4138,$AD120)</f>
        <v>0</v>
      </c>
      <c r="X120" s="193" t="n">
        <f aca="false">SUMIFS(O$3228:O$4138,$H$3228:$H$4138,$AD120)</f>
        <v>0</v>
      </c>
      <c r="Y120" s="196" t="n">
        <f aca="false">SUMIFS(P$3228:P$4138,$H$3228:$H$4138,$AD120)</f>
        <v>0</v>
      </c>
      <c r="Z120" s="193" t="n">
        <f aca="false">SUMIFS(Q$3228:Q$4138,$H$3228:$H$4138,$AD120)</f>
        <v>0</v>
      </c>
      <c r="AA120" s="195" t="n">
        <f aca="false">SUMIFS(R$3228:R$4138,$H$3228:$H$4138,$AD120)</f>
        <v>0</v>
      </c>
      <c r="AB120" s="197" t="n">
        <f aca="false">SUMIFS(S$3228:S$4138,$H$3228:$H$4138,$AD120)</f>
        <v>0</v>
      </c>
      <c r="AC120" s="198" t="n">
        <f aca="false">SUM(T120:AA120)</f>
        <v>0</v>
      </c>
      <c r="AD120" s="221" t="s">
        <v>534</v>
      </c>
      <c r="AE120" s="240" t="n">
        <v>1002882</v>
      </c>
      <c r="AF120" s="240" t="s">
        <v>127</v>
      </c>
      <c r="AG120" s="202" t="s">
        <v>535</v>
      </c>
      <c r="AH120" s="128" t="n">
        <v>536015753</v>
      </c>
      <c r="AI120" s="218" t="s">
        <v>536</v>
      </c>
      <c r="BT120" s="128" t="n">
        <f aca="false">44+5</f>
        <v>49</v>
      </c>
      <c r="BU120" s="128" t="n">
        <v>1</v>
      </c>
      <c r="BX120" s="205" t="n">
        <f aca="false">BV120*5+BW120*2</f>
        <v>0</v>
      </c>
      <c r="CQ120" s="128" t="n">
        <v>5</v>
      </c>
    </row>
    <row r="121" customFormat="false" ht="15" hidden="false" customHeight="true" outlineLevel="0" collapsed="false">
      <c r="B121" s="127" t="n">
        <f aca="false">B120+D121-C121</f>
        <v>3025</v>
      </c>
      <c r="D121" s="146" t="n">
        <f aca="false">327.75+327.75+258.75</f>
        <v>914.25</v>
      </c>
      <c r="E121" s="147" t="n">
        <v>89</v>
      </c>
      <c r="F121" s="147" t="n">
        <f aca="false">IFERROR(VLOOKUP(H121,$AD$1:$AE$301,2,0),"")</f>
        <v>1007989</v>
      </c>
      <c r="G121" s="147" t="str">
        <f aca="false">IFERROR(VLOOKUP(F121,$AE$2:$AF$290,2, 0),"")</f>
        <v>ضباء</v>
      </c>
      <c r="H121" s="212" t="s">
        <v>90</v>
      </c>
      <c r="I121" s="246" t="n">
        <f aca="false">SUM(K121:R121)</f>
        <v>3</v>
      </c>
      <c r="J121" s="182" t="n">
        <v>45476</v>
      </c>
      <c r="K121" s="184" t="n">
        <v>2</v>
      </c>
      <c r="L121" s="185"/>
      <c r="M121" s="186"/>
      <c r="N121" s="187"/>
      <c r="O121" s="188" t="n">
        <v>1</v>
      </c>
      <c r="P121" s="189"/>
      <c r="Q121" s="190"/>
      <c r="R121" s="191"/>
      <c r="S121" s="192" t="n">
        <f aca="false">(K121+O121+Q121)*24 /1130+(L121+M121+P121+R121)*12/1130+(N121*30)/1130</f>
        <v>0.063716814159292</v>
      </c>
      <c r="T121" s="193" t="n">
        <f aca="false">SUMIFS(K$3228:K$4138,$H$3228:$H$4138,$AD121)</f>
        <v>0</v>
      </c>
      <c r="U121" s="194" t="n">
        <f aca="false">SUMIFS(L$3228:L$4138,$H$3228:$H$4138,$AD121)</f>
        <v>0</v>
      </c>
      <c r="V121" s="195" t="n">
        <f aca="false">SUMIFS(M$3228:M$4138,$H$3228:$H$4138,$AD121)</f>
        <v>0</v>
      </c>
      <c r="W121" s="193" t="n">
        <f aca="false">SUMIFS(N$3228:N$4138,$H$3228:$H$4138,$AD121)</f>
        <v>0</v>
      </c>
      <c r="X121" s="193" t="n">
        <f aca="false">SUMIFS(O$3228:O$4138,$H$3228:$H$4138,$AD121)</f>
        <v>0</v>
      </c>
      <c r="Y121" s="196" t="n">
        <f aca="false">SUMIFS(P$3228:P$4138,$H$3228:$H$4138,$AD121)</f>
        <v>0</v>
      </c>
      <c r="Z121" s="193" t="n">
        <f aca="false">SUMIFS(Q$3228:Q$4138,$H$3228:$H$4138,$AD121)</f>
        <v>0</v>
      </c>
      <c r="AA121" s="195" t="n">
        <f aca="false">SUMIFS(R$3228:R$4138,$H$3228:$H$4138,$AD121)</f>
        <v>0</v>
      </c>
      <c r="AB121" s="197" t="n">
        <f aca="false">SUMIFS(S$3228:S$4138,$H$3228:$H$4138,$AD121)</f>
        <v>0</v>
      </c>
      <c r="AC121" s="198" t="n">
        <f aca="false">SUM(T121:AA121)</f>
        <v>0</v>
      </c>
      <c r="AD121" s="241" t="s">
        <v>193</v>
      </c>
      <c r="AE121" s="241" t="n">
        <v>1008058</v>
      </c>
      <c r="AF121" s="240" t="s">
        <v>127</v>
      </c>
      <c r="AG121" s="128"/>
      <c r="AH121" s="128" t="n">
        <v>0</v>
      </c>
      <c r="AI121" s="203"/>
      <c r="BX121" s="205" t="n">
        <f aca="false">BV121*5+BW121*2</f>
        <v>0</v>
      </c>
    </row>
    <row r="122" customFormat="false" ht="15" hidden="false" customHeight="true" outlineLevel="0" collapsed="false">
      <c r="B122" s="127" t="n">
        <f aca="false">B121+D122-C122</f>
        <v>-3547.25</v>
      </c>
      <c r="C122" s="127" t="n">
        <f aca="false">914+327.75+655.5+155+3692+100+728</f>
        <v>6572.25</v>
      </c>
      <c r="E122" s="212" t="s">
        <v>470</v>
      </c>
      <c r="F122" s="147" t="str">
        <f aca="false">IFERROR(VLOOKUP(H122,$AD$1:$AE$301,2,0),"")</f>
        <v/>
      </c>
      <c r="G122" s="147" t="str">
        <f aca="false">IFERROR(VLOOKUP(F122,$AE$2:$AF$290,2, 0),"")</f>
        <v/>
      </c>
      <c r="H122" s="212" t="s">
        <v>393</v>
      </c>
      <c r="I122" s="246" t="n">
        <f aca="false">SUM(K122:R122)</f>
        <v>0</v>
      </c>
      <c r="J122" s="182" t="n">
        <v>45476</v>
      </c>
      <c r="K122" s="184"/>
      <c r="L122" s="185"/>
      <c r="M122" s="186"/>
      <c r="N122" s="187"/>
      <c r="O122" s="188"/>
      <c r="P122" s="189"/>
      <c r="Q122" s="190"/>
      <c r="R122" s="191"/>
      <c r="S122" s="192" t="n">
        <f aca="false">(K122+O122+Q122)*24 /1130+(L122+M122+P122+R122)*12/1130+(N122*30)/1130</f>
        <v>0</v>
      </c>
      <c r="T122" s="193" t="n">
        <f aca="false">SUMIFS(K$3228:K$4138,$H$3228:$H$4138,$AD122)</f>
        <v>0</v>
      </c>
      <c r="U122" s="194" t="n">
        <f aca="false">SUMIFS(L$3228:L$4138,$H$3228:$H$4138,$AD122)</f>
        <v>0</v>
      </c>
      <c r="V122" s="195" t="n">
        <f aca="false">SUMIFS(M$3228:M$4138,$H$3228:$H$4138,$AD122)</f>
        <v>0</v>
      </c>
      <c r="W122" s="193" t="n">
        <f aca="false">SUMIFS(N$3228:N$4138,$H$3228:$H$4138,$AD122)</f>
        <v>0</v>
      </c>
      <c r="X122" s="193" t="n">
        <f aca="false">SUMIFS(O$3228:O$4138,$H$3228:$H$4138,$AD122)</f>
        <v>0</v>
      </c>
      <c r="Y122" s="196" t="n">
        <f aca="false">SUMIFS(P$3228:P$4138,$H$3228:$H$4138,$AD122)</f>
        <v>0</v>
      </c>
      <c r="Z122" s="193" t="n">
        <f aca="false">SUMIFS(Q$3228:Q$4138,$H$3228:$H$4138,$AD122)</f>
        <v>0</v>
      </c>
      <c r="AA122" s="195" t="n">
        <f aca="false">SUMIFS(R$3228:R$4138,$H$3228:$H$4138,$AD122)</f>
        <v>0</v>
      </c>
      <c r="AB122" s="197" t="n">
        <f aca="false">SUMIFS(S$3228:S$4138,$H$3228:$H$4138,$AD122)</f>
        <v>0</v>
      </c>
      <c r="AC122" s="198" t="n">
        <f aca="false">SUM(T122:AA122)</f>
        <v>0</v>
      </c>
      <c r="AD122" s="221" t="s">
        <v>537</v>
      </c>
      <c r="AE122" s="221" t="n">
        <v>1002879</v>
      </c>
      <c r="AF122" s="240" t="s">
        <v>127</v>
      </c>
      <c r="AG122" s="252" t="s">
        <v>538</v>
      </c>
      <c r="AH122" s="252" t="n">
        <v>536806024</v>
      </c>
      <c r="AI122" s="218" t="s">
        <v>539</v>
      </c>
      <c r="BJ122" s="128" t="n">
        <f aca="false">15</f>
        <v>15</v>
      </c>
      <c r="BK122" s="128" t="n">
        <f aca="false">15</f>
        <v>15</v>
      </c>
      <c r="BN122" s="128" t="n">
        <v>7</v>
      </c>
      <c r="BO122" s="128" t="n">
        <v>121</v>
      </c>
      <c r="BT122" s="128" t="n">
        <v>68</v>
      </c>
      <c r="BU122" s="128" t="n">
        <f aca="false">87+31</f>
        <v>118</v>
      </c>
      <c r="BX122" s="205" t="n">
        <f aca="false">BV122*5+BW122*2</f>
        <v>0</v>
      </c>
      <c r="CQ122" s="128" t="n">
        <v>9</v>
      </c>
    </row>
    <row r="123" customFormat="false" ht="15" hidden="false" customHeight="true" outlineLevel="0" collapsed="false">
      <c r="B123" s="127" t="n">
        <f aca="false">B122+D123-C123</f>
        <v>-3219.5</v>
      </c>
      <c r="D123" s="146" t="n">
        <v>327.75</v>
      </c>
      <c r="E123" s="147" t="n">
        <v>92</v>
      </c>
      <c r="F123" s="147" t="n">
        <f aca="false">IFERROR(VLOOKUP(H123,$AD$1:$AE$301,2,0),"")</f>
        <v>1008032</v>
      </c>
      <c r="G123" s="147" t="str">
        <f aca="false">IFERROR(VLOOKUP(F123,$AE$2:$AF$290,2, 0),"")</f>
        <v>ضباء</v>
      </c>
      <c r="H123" s="212" t="s">
        <v>101</v>
      </c>
      <c r="I123" s="246" t="n">
        <f aca="false">SUM(K123:R123)</f>
        <v>1</v>
      </c>
      <c r="J123" s="182" t="n">
        <v>45476</v>
      </c>
      <c r="K123" s="184" t="n">
        <v>1</v>
      </c>
      <c r="L123" s="185"/>
      <c r="M123" s="186"/>
      <c r="N123" s="187"/>
      <c r="O123" s="188"/>
      <c r="P123" s="189"/>
      <c r="Q123" s="190"/>
      <c r="R123" s="191"/>
      <c r="S123" s="192" t="n">
        <f aca="false">(K123+O123+Q123)*24 /1130+(L123+M123+P123+R123)*12/1130+(N123*30)/1130</f>
        <v>0.0212389380530973</v>
      </c>
      <c r="T123" s="193" t="n">
        <f aca="false">SUMIFS(K$3228:K$4138,$H$3228:$H$4138,$AD123)</f>
        <v>0</v>
      </c>
      <c r="U123" s="194" t="n">
        <f aca="false">SUMIFS(L$3228:L$4138,$H$3228:$H$4138,$AD123)</f>
        <v>0</v>
      </c>
      <c r="V123" s="195" t="n">
        <f aca="false">SUMIFS(M$3228:M$4138,$H$3228:$H$4138,$AD123)</f>
        <v>0</v>
      </c>
      <c r="W123" s="193" t="n">
        <f aca="false">SUMIFS(N$3228:N$4138,$H$3228:$H$4138,$AD123)</f>
        <v>0</v>
      </c>
      <c r="X123" s="193" t="n">
        <f aca="false">SUMIFS(O$3228:O$4138,$H$3228:$H$4138,$AD123)</f>
        <v>0</v>
      </c>
      <c r="Y123" s="196" t="n">
        <f aca="false">SUMIFS(P$3228:P$4138,$H$3228:$H$4138,$AD123)</f>
        <v>0</v>
      </c>
      <c r="Z123" s="193" t="n">
        <f aca="false">SUMIFS(Q$3228:Q$4138,$H$3228:$H$4138,$AD123)</f>
        <v>0</v>
      </c>
      <c r="AA123" s="195" t="n">
        <f aca="false">SUMIFS(R$3228:R$4138,$H$3228:$H$4138,$AD123)</f>
        <v>0</v>
      </c>
      <c r="AB123" s="197" t="n">
        <f aca="false">SUMIFS(S$3228:S$4138,$H$3228:$H$4138,$AD123)</f>
        <v>0</v>
      </c>
      <c r="AC123" s="198" t="n">
        <f aca="false">SUM(T123:AA123)</f>
        <v>0</v>
      </c>
      <c r="AD123" s="221" t="s">
        <v>195</v>
      </c>
      <c r="AE123" s="221" t="n">
        <v>1002898</v>
      </c>
      <c r="AF123" s="240" t="s">
        <v>127</v>
      </c>
      <c r="AG123" s="245" t="s">
        <v>540</v>
      </c>
      <c r="AH123" s="244" t="n">
        <v>533596513</v>
      </c>
      <c r="AI123" s="218" t="s">
        <v>541</v>
      </c>
      <c r="BM123" s="128" t="n">
        <f aca="false">10</f>
        <v>10</v>
      </c>
      <c r="BX123" s="205" t="n">
        <f aca="false">BV123*5+BW123*2</f>
        <v>0</v>
      </c>
      <c r="CQ123" s="128" t="n">
        <v>7</v>
      </c>
    </row>
    <row r="124" customFormat="false" ht="15" hidden="false" customHeight="true" outlineLevel="0" collapsed="false">
      <c r="B124" s="127" t="n">
        <f aca="false">B123+D124-C124</f>
        <v>-2564</v>
      </c>
      <c r="D124" s="146" t="n">
        <f aca="false">327.75*2</f>
        <v>655.5</v>
      </c>
      <c r="E124" s="147" t="n">
        <v>93</v>
      </c>
      <c r="F124" s="147" t="n">
        <f aca="false">IFERROR(VLOOKUP(H124,$AD$1:$AE$301,2,0),"")</f>
        <v>1008045</v>
      </c>
      <c r="G124" s="147" t="str">
        <f aca="false">IFERROR(VLOOKUP(F124,$AE$2:$AF$290,2, 0),"")</f>
        <v>الوجه</v>
      </c>
      <c r="H124" s="212" t="s">
        <v>107</v>
      </c>
      <c r="I124" s="246" t="n">
        <f aca="false">SUM(K124:R124)</f>
        <v>2</v>
      </c>
      <c r="J124" s="182" t="n">
        <v>45476</v>
      </c>
      <c r="K124" s="184" t="n">
        <v>2</v>
      </c>
      <c r="L124" s="185"/>
      <c r="M124" s="186"/>
      <c r="N124" s="187"/>
      <c r="O124" s="188"/>
      <c r="P124" s="189"/>
      <c r="Q124" s="190"/>
      <c r="R124" s="191"/>
      <c r="S124" s="192" t="n">
        <f aca="false">(K124+O124+Q124)*24 /1130+(L124+M124+P124+R124)*12/1130+(N124*30)/1130</f>
        <v>0.0424778761061947</v>
      </c>
      <c r="T124" s="193" t="n">
        <f aca="false">SUMIFS(K$3228:K$4138,$H$3228:$H$4138,$AD124)</f>
        <v>0</v>
      </c>
      <c r="U124" s="194" t="n">
        <f aca="false">SUMIFS(L$3228:L$4138,$H$3228:$H$4138,$AD124)</f>
        <v>0</v>
      </c>
      <c r="V124" s="195" t="n">
        <f aca="false">SUMIFS(M$3228:M$4138,$H$3228:$H$4138,$AD124)</f>
        <v>0</v>
      </c>
      <c r="W124" s="193" t="n">
        <f aca="false">SUMIFS(N$3228:N$4138,$H$3228:$H$4138,$AD124)</f>
        <v>0</v>
      </c>
      <c r="X124" s="193" t="n">
        <f aca="false">SUMIFS(O$3228:O$4138,$H$3228:$H$4138,$AD124)</f>
        <v>0</v>
      </c>
      <c r="Y124" s="196" t="n">
        <f aca="false">SUMIFS(P$3228:P$4138,$H$3228:$H$4138,$AD124)</f>
        <v>0</v>
      </c>
      <c r="Z124" s="193" t="n">
        <f aca="false">SUMIFS(Q$3228:Q$4138,$H$3228:$H$4138,$AD124)</f>
        <v>0</v>
      </c>
      <c r="AA124" s="195" t="n">
        <f aca="false">SUMIFS(R$3228:R$4138,$H$3228:$H$4138,$AD124)</f>
        <v>0</v>
      </c>
      <c r="AB124" s="197" t="n">
        <f aca="false">SUMIFS(S$3228:S$4138,$H$3228:$H$4138,$AD124)</f>
        <v>0</v>
      </c>
      <c r="AC124" s="198" t="n">
        <f aca="false">SUM(T124:AA124)</f>
        <v>0</v>
      </c>
      <c r="AD124" s="221" t="s">
        <v>196</v>
      </c>
      <c r="AE124" s="240" t="n">
        <v>826</v>
      </c>
      <c r="AF124" s="240" t="s">
        <v>127</v>
      </c>
      <c r="AG124" s="202" t="s">
        <v>542</v>
      </c>
      <c r="AH124" s="128" t="n">
        <v>535829342</v>
      </c>
      <c r="AI124" s="203"/>
      <c r="BD124" s="128" t="n">
        <f aca="false">9</f>
        <v>9</v>
      </c>
      <c r="BJ124" s="128" t="n">
        <f aca="false">7</f>
        <v>7</v>
      </c>
      <c r="BX124" s="205" t="n">
        <f aca="false">BV124*5+BW124*2</f>
        <v>0</v>
      </c>
      <c r="CB124" s="206" t="n">
        <v>12</v>
      </c>
      <c r="CD124" s="157" t="n">
        <v>2</v>
      </c>
    </row>
    <row r="125" customFormat="false" ht="15" hidden="false" customHeight="true" outlineLevel="0" collapsed="false">
      <c r="B125" s="127" t="n">
        <f aca="false">B124+D125-C125</f>
        <v>-982.75</v>
      </c>
      <c r="D125" s="146" t="n">
        <f aca="false">(327.75*3)+327.75+270.25</f>
        <v>1581.25</v>
      </c>
      <c r="E125" s="147" t="n">
        <v>94</v>
      </c>
      <c r="F125" s="147" t="n">
        <f aca="false">IFERROR(VLOOKUP(H125,$AD$1:$AE$301,2,0),"")</f>
        <v>1008047</v>
      </c>
      <c r="G125" s="147" t="str">
        <f aca="false">IFERROR(VLOOKUP(F125,$AE$2:$AF$290,2, 0),"")</f>
        <v>الوجه</v>
      </c>
      <c r="H125" s="212" t="s">
        <v>422</v>
      </c>
      <c r="I125" s="246" t="n">
        <f aca="false">SUM(K125:R125)</f>
        <v>5</v>
      </c>
      <c r="J125" s="182" t="n">
        <v>45476</v>
      </c>
      <c r="K125" s="184" t="n">
        <v>4</v>
      </c>
      <c r="L125" s="185"/>
      <c r="M125" s="186" t="n">
        <v>1</v>
      </c>
      <c r="N125" s="187"/>
      <c r="O125" s="188"/>
      <c r="P125" s="189"/>
      <c r="Q125" s="190"/>
      <c r="R125" s="191"/>
      <c r="S125" s="192" t="n">
        <f aca="false">(K125+O125+Q125)*24 /1130+(L125+M125+P125+R125)*12/1130+(N125*30)/1130</f>
        <v>0.0955752212389381</v>
      </c>
      <c r="T125" s="193" t="n">
        <f aca="false">SUMIFS(K$3228:K$4138,$H$3228:$H$4138,$AD125)</f>
        <v>0</v>
      </c>
      <c r="U125" s="194" t="n">
        <f aca="false">SUMIFS(L$3228:L$4138,$H$3228:$H$4138,$AD125)</f>
        <v>0</v>
      </c>
      <c r="V125" s="195" t="n">
        <f aca="false">SUMIFS(M$3228:M$4138,$H$3228:$H$4138,$AD125)</f>
        <v>0</v>
      </c>
      <c r="W125" s="193" t="n">
        <f aca="false">SUMIFS(N$3228:N$4138,$H$3228:$H$4138,$AD125)</f>
        <v>0</v>
      </c>
      <c r="X125" s="193" t="n">
        <f aca="false">SUMIFS(O$3228:O$4138,$H$3228:$H$4138,$AD125)</f>
        <v>0</v>
      </c>
      <c r="Y125" s="196" t="n">
        <f aca="false">SUMIFS(P$3228:P$4138,$H$3228:$H$4138,$AD125)</f>
        <v>0</v>
      </c>
      <c r="Z125" s="193" t="n">
        <f aca="false">SUMIFS(Q$3228:Q$4138,$H$3228:$H$4138,$AD125)</f>
        <v>0</v>
      </c>
      <c r="AA125" s="195" t="n">
        <f aca="false">SUMIFS(R$3228:R$4138,$H$3228:$H$4138,$AD125)</f>
        <v>0</v>
      </c>
      <c r="AB125" s="197" t="n">
        <f aca="false">SUMIFS(S$3228:S$4138,$H$3228:$H$4138,$AD125)</f>
        <v>0</v>
      </c>
      <c r="AC125" s="198" t="n">
        <f aca="false">SUM(T125:AA125)</f>
        <v>0</v>
      </c>
      <c r="AD125" s="221" t="s">
        <v>197</v>
      </c>
      <c r="AE125" s="221" t="n">
        <v>1002910</v>
      </c>
      <c r="AF125" s="240" t="s">
        <v>127</v>
      </c>
      <c r="AG125" s="245" t="s">
        <v>543</v>
      </c>
      <c r="AH125" s="244" t="n">
        <v>535275357</v>
      </c>
      <c r="AI125" s="218" t="s">
        <v>544</v>
      </c>
      <c r="BR125" s="128" t="n">
        <f aca="false">6</f>
        <v>6</v>
      </c>
      <c r="BW125" s="128" t="n">
        <v>28</v>
      </c>
      <c r="BX125" s="205" t="n">
        <f aca="false">BV125*5+BW125*2</f>
        <v>56</v>
      </c>
      <c r="CQ125" s="128" t="n">
        <v>2</v>
      </c>
    </row>
    <row r="126" customFormat="false" ht="15" hidden="false" customHeight="true" outlineLevel="0" collapsed="false">
      <c r="B126" s="127" t="n">
        <f aca="false">B125+D126-C126</f>
        <v>-154.5</v>
      </c>
      <c r="D126" s="146" t="n">
        <f aca="false">230+270.5+327.75</f>
        <v>828.25</v>
      </c>
      <c r="E126" s="147" t="n">
        <v>95</v>
      </c>
      <c r="F126" s="147" t="n">
        <f aca="false">IFERROR(VLOOKUP(H126,$AD$1:$AE$301,2,0),"")</f>
        <v>1007988</v>
      </c>
      <c r="G126" s="147" t="str">
        <f aca="false">IFERROR(VLOOKUP(F126,$AE$2:$AF$290,2, 0),"")</f>
        <v>ضباء</v>
      </c>
      <c r="H126" s="212" t="s">
        <v>89</v>
      </c>
      <c r="I126" s="246" t="n">
        <f aca="false">SUM(K126:R126)</f>
        <v>3</v>
      </c>
      <c r="J126" s="182" t="n">
        <v>45476</v>
      </c>
      <c r="K126" s="184" t="n">
        <v>1</v>
      </c>
      <c r="L126" s="185"/>
      <c r="M126" s="186" t="n">
        <v>2</v>
      </c>
      <c r="N126" s="187"/>
      <c r="O126" s="188"/>
      <c r="P126" s="189"/>
      <c r="Q126" s="190"/>
      <c r="R126" s="191"/>
      <c r="S126" s="192" t="n">
        <f aca="false">(K126+O126+Q126)*24 /1130+(L126+M126+P126+R126)*12/1130+(N126*30)/1130</f>
        <v>0.0424778761061947</v>
      </c>
      <c r="T126" s="193" t="n">
        <f aca="false">SUMIFS(K$3228:K$4138,$H$3228:$H$4138,$AD126)</f>
        <v>4</v>
      </c>
      <c r="U126" s="194" t="n">
        <f aca="false">SUMIFS(L$3228:L$4138,$H$3228:$H$4138,$AD126)</f>
        <v>0</v>
      </c>
      <c r="V126" s="195" t="n">
        <f aca="false">SUMIFS(M$3228:M$4138,$H$3228:$H$4138,$AD126)</f>
        <v>0</v>
      </c>
      <c r="W126" s="193" t="n">
        <f aca="false">SUMIFS(N$3228:N$4138,$H$3228:$H$4138,$AD126)</f>
        <v>0</v>
      </c>
      <c r="X126" s="193" t="n">
        <f aca="false">SUMIFS(O$3228:O$4138,$H$3228:$H$4138,$AD126)</f>
        <v>0</v>
      </c>
      <c r="Y126" s="196" t="n">
        <f aca="false">SUMIFS(P$3228:P$4138,$H$3228:$H$4138,$AD126)</f>
        <v>0</v>
      </c>
      <c r="Z126" s="193" t="n">
        <f aca="false">SUMIFS(Q$3228:Q$4138,$H$3228:$H$4138,$AD126)</f>
        <v>0</v>
      </c>
      <c r="AA126" s="195" t="n">
        <f aca="false">SUMIFS(R$3228:R$4138,$H$3228:$H$4138,$AD126)</f>
        <v>0</v>
      </c>
      <c r="AB126" s="197" t="n">
        <f aca="false">SUMIFS(S$3228:S$4138,$H$3228:$H$4138,$AD126)</f>
        <v>0.0849557522123894</v>
      </c>
      <c r="AC126" s="198" t="n">
        <f aca="false">SUM(T126:AA126)</f>
        <v>4</v>
      </c>
      <c r="AD126" s="221" t="s">
        <v>198</v>
      </c>
      <c r="AE126" s="221" t="n">
        <v>1002883</v>
      </c>
      <c r="AF126" s="240" t="s">
        <v>127</v>
      </c>
      <c r="AG126" s="202" t="s">
        <v>545</v>
      </c>
      <c r="AH126" s="128" t="n">
        <v>559785685</v>
      </c>
      <c r="AI126" s="218" t="s">
        <v>546</v>
      </c>
      <c r="BD126" s="128" t="n">
        <v>15</v>
      </c>
      <c r="BJ126" s="128" t="n">
        <f aca="false">12</f>
        <v>12</v>
      </c>
      <c r="BT126" s="128" t="n">
        <v>92</v>
      </c>
      <c r="BX126" s="205" t="n">
        <f aca="false">BV126*5+BW126*2</f>
        <v>0</v>
      </c>
    </row>
    <row r="127" customFormat="false" ht="15" hidden="false" customHeight="true" outlineLevel="0" collapsed="false">
      <c r="B127" s="127" t="n">
        <f aca="false">B126+D127-C127</f>
        <v>0.5</v>
      </c>
      <c r="D127" s="146" t="n">
        <v>155</v>
      </c>
      <c r="E127" s="147" t="n">
        <v>96</v>
      </c>
      <c r="F127" s="147" t="n">
        <f aca="false">IFERROR(VLOOKUP(H127,$AD$1:$AE$301,2,0),"")</f>
        <v>1007980</v>
      </c>
      <c r="G127" s="147" t="str">
        <f aca="false">IFERROR(VLOOKUP(F127,$AE$2:$AF$290,2, 0),"")</f>
        <v>ضباء</v>
      </c>
      <c r="H127" s="212" t="s">
        <v>81</v>
      </c>
      <c r="I127" s="246" t="n">
        <f aca="false">SUM(K127:R127)</f>
        <v>1</v>
      </c>
      <c r="J127" s="182" t="n">
        <v>45476</v>
      </c>
      <c r="K127" s="184"/>
      <c r="L127" s="185"/>
      <c r="M127" s="186"/>
      <c r="N127" s="187"/>
      <c r="O127" s="188"/>
      <c r="P127" s="189"/>
      <c r="Q127" s="190"/>
      <c r="R127" s="191" t="n">
        <v>1</v>
      </c>
      <c r="S127" s="192" t="n">
        <f aca="false">(K127+O127+Q127)*24 /1130+(L127+M127+P127+R127)*12/1130+(N127*30)/1130</f>
        <v>0.0106194690265487</v>
      </c>
      <c r="T127" s="193" t="n">
        <f aca="false">SUMIFS(K$3228:K$4138,$H$3228:$H$4138,$AD127)</f>
        <v>0</v>
      </c>
      <c r="U127" s="194" t="n">
        <f aca="false">SUMIFS(L$3228:L$4138,$H$3228:$H$4138,$AD127)</f>
        <v>0</v>
      </c>
      <c r="V127" s="195" t="n">
        <f aca="false">SUMIFS(M$3228:M$4138,$H$3228:$H$4138,$AD127)</f>
        <v>0</v>
      </c>
      <c r="W127" s="193" t="n">
        <f aca="false">SUMIFS(N$3228:N$4138,$H$3228:$H$4138,$AD127)</f>
        <v>0</v>
      </c>
      <c r="X127" s="193" t="n">
        <f aca="false">SUMIFS(O$3228:O$4138,$H$3228:$H$4138,$AD127)</f>
        <v>0</v>
      </c>
      <c r="Y127" s="196" t="n">
        <f aca="false">SUMIFS(P$3228:P$4138,$H$3228:$H$4138,$AD127)</f>
        <v>0</v>
      </c>
      <c r="Z127" s="193" t="n">
        <f aca="false">SUMIFS(Q$3228:Q$4138,$H$3228:$H$4138,$AD127)</f>
        <v>0</v>
      </c>
      <c r="AA127" s="195" t="n">
        <f aca="false">SUMIFS(R$3228:R$4138,$H$3228:$H$4138,$AD127)</f>
        <v>0</v>
      </c>
      <c r="AB127" s="197" t="n">
        <f aca="false">SUMIFS(S$3228:S$4138,$H$3228:$H$4138,$AD127)</f>
        <v>0</v>
      </c>
      <c r="AC127" s="198" t="n">
        <f aca="false">SUM(T127:AA127)</f>
        <v>0</v>
      </c>
      <c r="AD127" s="221" t="s">
        <v>199</v>
      </c>
      <c r="AE127" s="240" t="n">
        <v>954</v>
      </c>
      <c r="AF127" s="240" t="s">
        <v>127</v>
      </c>
      <c r="AG127" s="202" t="s">
        <v>547</v>
      </c>
      <c r="AH127" s="128" t="n">
        <v>554524132</v>
      </c>
      <c r="AI127" s="218" t="s">
        <v>548</v>
      </c>
      <c r="BB127" s="128" t="n">
        <f aca="false">28</f>
        <v>28</v>
      </c>
      <c r="BF127" s="157" t="n">
        <f aca="false">24</f>
        <v>24</v>
      </c>
      <c r="BH127" s="128" t="n">
        <f aca="false">16</f>
        <v>16</v>
      </c>
      <c r="BJ127" s="128" t="n">
        <f aca="false">10</f>
        <v>10</v>
      </c>
      <c r="BX127" s="205" t="n">
        <f aca="false">BV127*5+BW127*2</f>
        <v>0</v>
      </c>
      <c r="CB127" s="219" t="n">
        <f aca="false">30</f>
        <v>30</v>
      </c>
      <c r="CC127" s="219" t="n">
        <v>30</v>
      </c>
      <c r="CQ127" s="128" t="n">
        <v>2</v>
      </c>
    </row>
    <row r="128" customFormat="false" ht="15" hidden="false" customHeight="true" outlineLevel="0" collapsed="false">
      <c r="B128" s="127" t="n">
        <f aca="false">B127+D128-C128</f>
        <v>357</v>
      </c>
      <c r="D128" s="146" t="n">
        <f aca="false">178.25*2</f>
        <v>356.5</v>
      </c>
      <c r="E128" s="147" t="n">
        <v>97</v>
      </c>
      <c r="F128" s="147" t="n">
        <f aca="false">IFERROR(VLOOKUP(H128,$AD$1:$AE$301,2,0),"")</f>
        <v>1008030</v>
      </c>
      <c r="G128" s="147" t="str">
        <f aca="false">IFERROR(VLOOKUP(F128,$AE$2:$AF$290,2, 0),"")</f>
        <v>البير</v>
      </c>
      <c r="H128" s="212" t="s">
        <v>298</v>
      </c>
      <c r="I128" s="246" t="n">
        <f aca="false">SUM(K128:R128)</f>
        <v>2</v>
      </c>
      <c r="J128" s="182" t="n">
        <v>45477</v>
      </c>
      <c r="K128" s="184"/>
      <c r="L128" s="185" t="n">
        <v>2</v>
      </c>
      <c r="M128" s="186"/>
      <c r="N128" s="187"/>
      <c r="O128" s="188"/>
      <c r="P128" s="189"/>
      <c r="Q128" s="190"/>
      <c r="R128" s="191"/>
      <c r="S128" s="192" t="n">
        <f aca="false">(K128+O128+Q128)*24 /1130+(L128+M128+P128+R128)*12/1130+(N128*30)/1130</f>
        <v>0.0212389380530973</v>
      </c>
      <c r="T128" s="193" t="n">
        <f aca="false">SUMIFS(K$3228:K$4138,$H$3228:$H$4138,$AD128)</f>
        <v>0</v>
      </c>
      <c r="U128" s="194" t="n">
        <f aca="false">SUMIFS(L$3228:L$4138,$H$3228:$H$4138,$AD128)</f>
        <v>0</v>
      </c>
      <c r="V128" s="195" t="n">
        <f aca="false">SUMIFS(M$3228:M$4138,$H$3228:$H$4138,$AD128)</f>
        <v>0</v>
      </c>
      <c r="W128" s="193" t="n">
        <f aca="false">SUMIFS(N$3228:N$4138,$H$3228:$H$4138,$AD128)</f>
        <v>0</v>
      </c>
      <c r="X128" s="193" t="n">
        <f aca="false">SUMIFS(O$3228:O$4138,$H$3228:$H$4138,$AD128)</f>
        <v>0</v>
      </c>
      <c r="Y128" s="196" t="n">
        <f aca="false">SUMIFS(P$3228:P$4138,$H$3228:$H$4138,$AD128)</f>
        <v>0</v>
      </c>
      <c r="Z128" s="193" t="n">
        <f aca="false">SUMIFS(Q$3228:Q$4138,$H$3228:$H$4138,$AD128)</f>
        <v>0</v>
      </c>
      <c r="AA128" s="195" t="n">
        <f aca="false">SUMIFS(R$3228:R$4138,$H$3228:$H$4138,$AD128)</f>
        <v>0</v>
      </c>
      <c r="AB128" s="197" t="n">
        <f aca="false">SUMIFS(S$3228:S$4138,$H$3228:$H$4138,$AD128)</f>
        <v>0</v>
      </c>
      <c r="AC128" s="198" t="n">
        <f aca="false">SUM(T128:AA128)</f>
        <v>0</v>
      </c>
      <c r="AD128" s="240"/>
      <c r="AE128" s="240"/>
      <c r="AF128" s="240"/>
      <c r="AG128" s="128"/>
      <c r="AH128" s="128"/>
      <c r="AI128" s="203"/>
      <c r="BX128" s="205" t="n">
        <f aca="false">BV128*5+BW128*2</f>
        <v>0</v>
      </c>
    </row>
    <row r="129" customFormat="false" ht="15" hidden="false" customHeight="true" outlineLevel="0" collapsed="false">
      <c r="B129" s="127" t="n">
        <f aca="false">B128+D129-C129</f>
        <v>684.75</v>
      </c>
      <c r="D129" s="146" t="n">
        <v>327.75</v>
      </c>
      <c r="E129" s="147" t="n">
        <v>98</v>
      </c>
      <c r="F129" s="147" t="n">
        <f aca="false">IFERROR(VLOOKUP(H129,$AD$1:$AE$301,2,0),"")</f>
        <v>1007964</v>
      </c>
      <c r="G129" s="147" t="str">
        <f aca="false">IFERROR(VLOOKUP(F129,$AE$2:$AF$290,2, 0),"")</f>
        <v>البير</v>
      </c>
      <c r="H129" s="212" t="s">
        <v>289</v>
      </c>
      <c r="I129" s="246" t="n">
        <f aca="false">SUM(K129:R129)</f>
        <v>1</v>
      </c>
      <c r="J129" s="182" t="n">
        <v>45477</v>
      </c>
      <c r="K129" s="184" t="n">
        <v>1</v>
      </c>
      <c r="L129" s="185"/>
      <c r="M129" s="186"/>
      <c r="N129" s="187"/>
      <c r="O129" s="188"/>
      <c r="P129" s="189"/>
      <c r="Q129" s="190"/>
      <c r="R129" s="191"/>
      <c r="S129" s="192" t="n">
        <f aca="false">(K129+O129+Q129)*24 /1130+(L129+M129+P129+R129)*12/1130+(N129*30)/1130</f>
        <v>0.0212389380530973</v>
      </c>
      <c r="T129" s="193" t="n">
        <f aca="false">SUMIFS(K$3228:K$4138,$H$3228:$H$4138,$AD129)</f>
        <v>0</v>
      </c>
      <c r="U129" s="194" t="n">
        <f aca="false">SUMIFS(L$3228:L$4138,$H$3228:$H$4138,$AD129)</f>
        <v>0</v>
      </c>
      <c r="V129" s="195" t="n">
        <f aca="false">SUMIFS(M$3228:M$4138,$H$3228:$H$4138,$AD129)</f>
        <v>0</v>
      </c>
      <c r="W129" s="193" t="n">
        <f aca="false">SUMIFS(N$3228:N$4138,$H$3228:$H$4138,$AD129)</f>
        <v>0</v>
      </c>
      <c r="X129" s="193" t="n">
        <f aca="false">SUMIFS(O$3228:O$4138,$H$3228:$H$4138,$AD129)</f>
        <v>0</v>
      </c>
      <c r="Y129" s="196" t="n">
        <f aca="false">SUMIFS(P$3228:P$4138,$H$3228:$H$4138,$AD129)</f>
        <v>0</v>
      </c>
      <c r="Z129" s="193" t="n">
        <f aca="false">SUMIFS(Q$3228:Q$4138,$H$3228:$H$4138,$AD129)</f>
        <v>0</v>
      </c>
      <c r="AA129" s="195" t="n">
        <f aca="false">SUMIFS(R$3228:R$4138,$H$3228:$H$4138,$AD129)</f>
        <v>0</v>
      </c>
      <c r="AB129" s="197" t="n">
        <f aca="false">SUMIFS(S$3228:S$4138,$H$3228:$H$4138,$AD129)</f>
        <v>0</v>
      </c>
      <c r="AC129" s="198" t="n">
        <f aca="false">SUM(T129:AA129)</f>
        <v>0</v>
      </c>
      <c r="AD129" s="240" t="s">
        <v>200</v>
      </c>
      <c r="AE129" s="240" t="n">
        <v>1002909</v>
      </c>
      <c r="AF129" s="240" t="s">
        <v>127</v>
      </c>
      <c r="AG129" s="244"/>
      <c r="AH129" s="244"/>
      <c r="AI129" s="203"/>
      <c r="BX129" s="205" t="n">
        <f aca="false">BV129*5+BW129*2</f>
        <v>0</v>
      </c>
    </row>
    <row r="130" customFormat="false" ht="15" hidden="false" customHeight="true" outlineLevel="0" collapsed="false">
      <c r="B130" s="127" t="n">
        <f aca="false">B129+D130-C130</f>
        <v>0.75</v>
      </c>
      <c r="C130" s="127" t="n">
        <f aca="false">356.5+327</f>
        <v>683.5</v>
      </c>
      <c r="D130" s="146" t="n">
        <v>-0.5</v>
      </c>
      <c r="E130" s="212" t="s">
        <v>470</v>
      </c>
      <c r="F130" s="147" t="str">
        <f aca="false">IFERROR(VLOOKUP(H130,$AD$1:$AE$301,2,0),"")</f>
        <v/>
      </c>
      <c r="G130" s="147" t="str">
        <f aca="false">IFERROR(VLOOKUP(F130,$AE$2:$AF$290,2, 0),"")</f>
        <v/>
      </c>
      <c r="H130" s="212" t="s">
        <v>393</v>
      </c>
      <c r="I130" s="246" t="n">
        <f aca="false">SUM(K130:R130)</f>
        <v>0</v>
      </c>
      <c r="J130" s="182" t="n">
        <v>45477</v>
      </c>
      <c r="K130" s="184"/>
      <c r="L130" s="185"/>
      <c r="M130" s="186"/>
      <c r="N130" s="187"/>
      <c r="O130" s="188"/>
      <c r="P130" s="189"/>
      <c r="Q130" s="190"/>
      <c r="R130" s="191"/>
      <c r="S130" s="192" t="n">
        <f aca="false">(K130+O130+Q130)*24 /1130+(L130+M130+P130+R130)*12/1130+(N130*30)/1130</f>
        <v>0</v>
      </c>
      <c r="T130" s="193" t="n">
        <f aca="false">SUMIFS(K$3228:K$4138,$H$3228:$H$4138,$AD130)</f>
        <v>5</v>
      </c>
      <c r="U130" s="194" t="n">
        <f aca="false">SUMIFS(L$3228:L$4138,$H$3228:$H$4138,$AD130)</f>
        <v>0</v>
      </c>
      <c r="V130" s="195" t="n">
        <f aca="false">SUMIFS(M$3228:M$4138,$H$3228:$H$4138,$AD130)</f>
        <v>0</v>
      </c>
      <c r="W130" s="193" t="n">
        <f aca="false">SUMIFS(N$3228:N$4138,$H$3228:$H$4138,$AD130)</f>
        <v>0</v>
      </c>
      <c r="X130" s="193" t="n">
        <f aca="false">SUMIFS(O$3228:O$4138,$H$3228:$H$4138,$AD130)</f>
        <v>0</v>
      </c>
      <c r="Y130" s="196" t="n">
        <f aca="false">SUMIFS(P$3228:P$4138,$H$3228:$H$4138,$AD130)</f>
        <v>0</v>
      </c>
      <c r="Z130" s="193" t="n">
        <f aca="false">SUMIFS(Q$3228:Q$4138,$H$3228:$H$4138,$AD130)</f>
        <v>0</v>
      </c>
      <c r="AA130" s="195" t="n">
        <f aca="false">SUMIFS(R$3228:R$4138,$H$3228:$H$4138,$AD130)</f>
        <v>1</v>
      </c>
      <c r="AB130" s="197" t="n">
        <f aca="false">SUMIFS(S$3228:S$4138,$H$3228:$H$4138,$AD130)</f>
        <v>0.116814159292035</v>
      </c>
      <c r="AC130" s="198" t="n">
        <f aca="false">SUM(T130:AA130)</f>
        <v>6</v>
      </c>
      <c r="AD130" s="240" t="s">
        <v>201</v>
      </c>
      <c r="AE130" s="240" t="n">
        <v>1002891</v>
      </c>
      <c r="AF130" s="240" t="s">
        <v>127</v>
      </c>
      <c r="AG130" s="202" t="s">
        <v>549</v>
      </c>
      <c r="AH130" s="128" t="n">
        <v>556964957</v>
      </c>
      <c r="AI130" s="218" t="s">
        <v>550</v>
      </c>
      <c r="BL130" s="128" t="n">
        <f aca="false">26</f>
        <v>26</v>
      </c>
      <c r="BR130" s="128" t="n">
        <v>6</v>
      </c>
      <c r="BV130" s="128" t="n">
        <f aca="false">61</f>
        <v>61</v>
      </c>
      <c r="BX130" s="205" t="n">
        <f aca="false">BV130*5+BW130*2</f>
        <v>305</v>
      </c>
    </row>
    <row r="131" customFormat="false" ht="15" hidden="false" customHeight="true" outlineLevel="0" collapsed="false">
      <c r="B131" s="127" t="n">
        <f aca="false">B130+D131-C131</f>
        <v>2128.25</v>
      </c>
      <c r="D131" s="146" t="n">
        <f aca="false">10*212.75</f>
        <v>2127.5</v>
      </c>
      <c r="E131" s="147" t="n">
        <v>100</v>
      </c>
      <c r="F131" s="147" t="n">
        <f aca="false">IFERROR(VLOOKUP(H131,$AD$1:$AE$301,2,0),"")</f>
        <v>1007997</v>
      </c>
      <c r="G131" s="147" t="str">
        <f aca="false">IFERROR(VLOOKUP(F131,$AE$2:$AF$290,2, 0),"")</f>
        <v>البير</v>
      </c>
      <c r="H131" s="212" t="s">
        <v>296</v>
      </c>
      <c r="I131" s="246" t="n">
        <f aca="false">SUM(K131:R131)</f>
        <v>10</v>
      </c>
      <c r="J131" s="182" t="n">
        <v>45480</v>
      </c>
      <c r="K131" s="184"/>
      <c r="L131" s="185"/>
      <c r="M131" s="186"/>
      <c r="N131" s="187"/>
      <c r="O131" s="188"/>
      <c r="P131" s="189"/>
      <c r="Q131" s="190" t="n">
        <v>10</v>
      </c>
      <c r="R131" s="191"/>
      <c r="S131" s="192" t="n">
        <f aca="false">(K131+O131+Q131)*24 /1130+(L131+M131+P131+R131)*12/1130+(N131*30)/1130</f>
        <v>0.212389380530973</v>
      </c>
      <c r="T131" s="193" t="n">
        <f aca="false">SUMIFS(K$3228:K$4138,$H$3228:$H$4138,$AD131)</f>
        <v>0</v>
      </c>
      <c r="U131" s="194" t="n">
        <f aca="false">SUMIFS(L$3228:L$4138,$H$3228:$H$4138,$AD131)</f>
        <v>0</v>
      </c>
      <c r="V131" s="195" t="n">
        <f aca="false">SUMIFS(M$3228:M$4138,$H$3228:$H$4138,$AD131)</f>
        <v>0</v>
      </c>
      <c r="W131" s="193" t="n">
        <f aca="false">SUMIFS(N$3228:N$4138,$H$3228:$H$4138,$AD131)</f>
        <v>0</v>
      </c>
      <c r="X131" s="193" t="n">
        <f aca="false">SUMIFS(O$3228:O$4138,$H$3228:$H$4138,$AD131)</f>
        <v>0</v>
      </c>
      <c r="Y131" s="196" t="n">
        <f aca="false">SUMIFS(P$3228:P$4138,$H$3228:$H$4138,$AD131)</f>
        <v>0</v>
      </c>
      <c r="Z131" s="193" t="n">
        <f aca="false">SUMIFS(Q$3228:Q$4138,$H$3228:$H$4138,$AD131)</f>
        <v>0</v>
      </c>
      <c r="AA131" s="195" t="n">
        <f aca="false">SUMIFS(R$3228:R$4138,$H$3228:$H$4138,$AD131)</f>
        <v>0</v>
      </c>
      <c r="AB131" s="197" t="n">
        <f aca="false">SUMIFS(S$3228:S$4138,$H$3228:$H$4138,$AD131)</f>
        <v>0</v>
      </c>
      <c r="AC131" s="198" t="n">
        <f aca="false">SUM(T131:AA131)</f>
        <v>0</v>
      </c>
      <c r="AD131" s="221" t="s">
        <v>202</v>
      </c>
      <c r="AE131" s="240" t="n">
        <v>1192</v>
      </c>
      <c r="AF131" s="240" t="s">
        <v>127</v>
      </c>
      <c r="AI131" s="203" t="s">
        <v>551</v>
      </c>
      <c r="BX131" s="205" t="n">
        <f aca="false">BV131*5+BW131*2</f>
        <v>0</v>
      </c>
      <c r="CA131" s="206"/>
      <c r="CB131" s="219"/>
      <c r="CC131" s="219"/>
    </row>
    <row r="132" customFormat="false" ht="15" hidden="false" customHeight="true" outlineLevel="0" collapsed="false">
      <c r="B132" s="127" t="n">
        <f aca="false">B131+D132-C132</f>
        <v>2783.75</v>
      </c>
      <c r="D132" s="146" t="n">
        <f aca="false">2*327.75</f>
        <v>655.5</v>
      </c>
      <c r="E132" s="147" t="n">
        <v>99</v>
      </c>
      <c r="F132" s="147" t="n">
        <f aca="false">IFERROR(VLOOKUP(H132,$AD$1:$AE$301,2,0),"")</f>
        <v>1007965</v>
      </c>
      <c r="G132" s="147" t="str">
        <f aca="false">IFERROR(VLOOKUP(F132,$AE$2:$AF$290,2, 0),"")</f>
        <v>البير</v>
      </c>
      <c r="H132" s="212" t="s">
        <v>290</v>
      </c>
      <c r="I132" s="246" t="n">
        <f aca="false">SUM(K132:R132)</f>
        <v>2</v>
      </c>
      <c r="J132" s="182" t="n">
        <v>45480</v>
      </c>
      <c r="K132" s="184" t="n">
        <v>2</v>
      </c>
      <c r="L132" s="185"/>
      <c r="M132" s="186"/>
      <c r="N132" s="187"/>
      <c r="O132" s="188"/>
      <c r="P132" s="189"/>
      <c r="Q132" s="190"/>
      <c r="R132" s="191"/>
      <c r="S132" s="192" t="n">
        <f aca="false">(K132+O132+Q132)*24 /1130+(L132+M132+P132+R132)*12/1130+(N132*30)/1130</f>
        <v>0.0424778761061947</v>
      </c>
      <c r="T132" s="193" t="n">
        <f aca="false">SUMIFS(K$3228:K$4138,$H$3228:$H$4138,$AD132)</f>
        <v>4</v>
      </c>
      <c r="U132" s="194" t="n">
        <f aca="false">SUMIFS(L$3228:L$4138,$H$3228:$H$4138,$AD132)</f>
        <v>0</v>
      </c>
      <c r="V132" s="195" t="n">
        <f aca="false">SUMIFS(M$3228:M$4138,$H$3228:$H$4138,$AD132)</f>
        <v>0</v>
      </c>
      <c r="W132" s="193" t="n">
        <f aca="false">SUMIFS(N$3228:N$4138,$H$3228:$H$4138,$AD132)</f>
        <v>0</v>
      </c>
      <c r="X132" s="193" t="n">
        <f aca="false">SUMIFS(O$3228:O$4138,$H$3228:$H$4138,$AD132)</f>
        <v>0</v>
      </c>
      <c r="Y132" s="196" t="n">
        <f aca="false">SUMIFS(P$3228:P$4138,$H$3228:$H$4138,$AD132)</f>
        <v>0</v>
      </c>
      <c r="Z132" s="193" t="n">
        <f aca="false">SUMIFS(Q$3228:Q$4138,$H$3228:$H$4138,$AD132)</f>
        <v>0</v>
      </c>
      <c r="AA132" s="195" t="n">
        <f aca="false">SUMIFS(R$3228:R$4138,$H$3228:$H$4138,$AD132)</f>
        <v>0</v>
      </c>
      <c r="AB132" s="197" t="n">
        <f aca="false">SUMIFS(S$3228:S$4138,$H$3228:$H$4138,$AD132)</f>
        <v>0.0849557522123894</v>
      </c>
      <c r="AC132" s="198" t="n">
        <f aca="false">SUM(T132:AA132)</f>
        <v>4</v>
      </c>
      <c r="AD132" s="240" t="s">
        <v>203</v>
      </c>
      <c r="AE132" s="240" t="n">
        <v>1224</v>
      </c>
      <c r="AF132" s="240" t="s">
        <v>127</v>
      </c>
      <c r="AG132" s="242" t="s">
        <v>552</v>
      </c>
      <c r="AH132" s="160" t="n">
        <v>535878038</v>
      </c>
      <c r="AI132" s="218" t="s">
        <v>553</v>
      </c>
      <c r="AL132" s="79"/>
      <c r="AM132" s="79"/>
      <c r="BN132" s="255"/>
      <c r="BX132" s="205" t="n">
        <f aca="false">BV132*5+BW132*2</f>
        <v>0</v>
      </c>
      <c r="CA132" s="206"/>
    </row>
    <row r="133" customFormat="false" ht="15" hidden="false" customHeight="true" outlineLevel="0" collapsed="false">
      <c r="B133" s="127" t="n">
        <f aca="false">B132+D133-C133</f>
        <v>3111.5</v>
      </c>
      <c r="D133" s="146" t="n">
        <v>327.75</v>
      </c>
      <c r="E133" s="147" t="n">
        <v>101</v>
      </c>
      <c r="F133" s="147" t="n">
        <f aca="false">IFERROR(VLOOKUP(H133,$AD$1:$AE$301,2,0),"")</f>
        <v>1008030</v>
      </c>
      <c r="G133" s="147" t="str">
        <f aca="false">IFERROR(VLOOKUP(F133,$AE$2:$AF$290,2, 0),"")</f>
        <v>البير</v>
      </c>
      <c r="H133" s="212" t="s">
        <v>298</v>
      </c>
      <c r="I133" s="246" t="n">
        <f aca="false">SUM(K133:R133)</f>
        <v>1</v>
      </c>
      <c r="J133" s="182" t="n">
        <v>45480</v>
      </c>
      <c r="K133" s="184" t="n">
        <v>1</v>
      </c>
      <c r="L133" s="185"/>
      <c r="M133" s="186"/>
      <c r="N133" s="187"/>
      <c r="O133" s="188"/>
      <c r="P133" s="189"/>
      <c r="Q133" s="190"/>
      <c r="R133" s="191"/>
      <c r="S133" s="192" t="n">
        <f aca="false">(K133+O133+Q133)*24 /1130+(L133+M133+P133+R133)*12/1130+(N133*30)/1130</f>
        <v>0.0212389380530973</v>
      </c>
      <c r="T133" s="193" t="n">
        <f aca="false">SUMIFS(K$3228:K$4138,$H$3228:$H$4138,$AD133)</f>
        <v>0</v>
      </c>
      <c r="U133" s="194" t="n">
        <f aca="false">SUMIFS(L$3228:L$4138,$H$3228:$H$4138,$AD133)</f>
        <v>0</v>
      </c>
      <c r="V133" s="195" t="n">
        <f aca="false">SUMIFS(M$3228:M$4138,$H$3228:$H$4138,$AD133)</f>
        <v>0</v>
      </c>
      <c r="W133" s="193" t="n">
        <f aca="false">SUMIFS(N$3228:N$4138,$H$3228:$H$4138,$AD133)</f>
        <v>0</v>
      </c>
      <c r="X133" s="193" t="n">
        <f aca="false">SUMIFS(O$3228:O$4138,$H$3228:$H$4138,$AD133)</f>
        <v>0</v>
      </c>
      <c r="Y133" s="196" t="n">
        <f aca="false">SUMIFS(P$3228:P$4138,$H$3228:$H$4138,$AD133)</f>
        <v>0</v>
      </c>
      <c r="Z133" s="193" t="n">
        <f aca="false">SUMIFS(Q$3228:Q$4138,$H$3228:$H$4138,$AD133)</f>
        <v>0</v>
      </c>
      <c r="AA133" s="195" t="n">
        <f aca="false">SUMIFS(R$3228:R$4138,$H$3228:$H$4138,$AD133)</f>
        <v>0</v>
      </c>
      <c r="AB133" s="197" t="n">
        <f aca="false">SUMIFS(S$3228:S$4138,$H$3228:$H$4138,$AD133)</f>
        <v>0</v>
      </c>
      <c r="AC133" s="198" t="n">
        <f aca="false">SUM(T133:AA133)</f>
        <v>0</v>
      </c>
      <c r="AD133" s="240"/>
      <c r="AE133" s="240"/>
      <c r="AF133" s="240" t="s">
        <v>127</v>
      </c>
      <c r="AI133" s="203"/>
      <c r="BN133" s="255"/>
      <c r="BX133" s="205" t="n">
        <f aca="false">BV133*5+BW133*2</f>
        <v>0</v>
      </c>
    </row>
    <row r="134" customFormat="false" ht="15" hidden="false" customHeight="true" outlineLevel="0" collapsed="false">
      <c r="B134" s="127" t="n">
        <f aca="false">B133+D134-C134</f>
        <v>0.5</v>
      </c>
      <c r="C134" s="127" t="n">
        <v>3111</v>
      </c>
      <c r="E134" s="212" t="s">
        <v>529</v>
      </c>
      <c r="F134" s="147" t="str">
        <f aca="false">IFERROR(VLOOKUP(H134,$AD$1:$AE$301,2,0),"")</f>
        <v/>
      </c>
      <c r="G134" s="147" t="str">
        <f aca="false">IFERROR(VLOOKUP(F134,$AE$2:$AF$290,2, 0),"")</f>
        <v/>
      </c>
      <c r="H134" s="212" t="s">
        <v>393</v>
      </c>
      <c r="I134" s="246" t="n">
        <f aca="false">SUM(K134:R134)</f>
        <v>0</v>
      </c>
      <c r="J134" s="182" t="n">
        <v>45481</v>
      </c>
      <c r="K134" s="184"/>
      <c r="L134" s="185"/>
      <c r="M134" s="186"/>
      <c r="N134" s="187"/>
      <c r="O134" s="188"/>
      <c r="P134" s="189"/>
      <c r="Q134" s="190"/>
      <c r="R134" s="191"/>
      <c r="S134" s="192" t="n">
        <f aca="false">(K134+O134+Q134)*24 /1130+(L134+M134+P134+R134)*12/1130+(N134*30)/1130</f>
        <v>0</v>
      </c>
      <c r="T134" s="193" t="n">
        <f aca="false">SUMIFS(K$3228:K$4138,$H$3228:$H$4138,$AD134)</f>
        <v>0</v>
      </c>
      <c r="U134" s="194" t="n">
        <f aca="false">SUMIFS(L$3228:L$4138,$H$3228:$H$4138,$AD134)</f>
        <v>0</v>
      </c>
      <c r="V134" s="195" t="n">
        <f aca="false">SUMIFS(M$3228:M$4138,$H$3228:$H$4138,$AD134)</f>
        <v>0</v>
      </c>
      <c r="W134" s="193" t="n">
        <f aca="false">SUMIFS(N$3228:N$4138,$H$3228:$H$4138,$AD134)</f>
        <v>0</v>
      </c>
      <c r="X134" s="193" t="n">
        <f aca="false">SUMIFS(O$3228:O$4138,$H$3228:$H$4138,$AD134)</f>
        <v>0</v>
      </c>
      <c r="Y134" s="196" t="n">
        <f aca="false">SUMIFS(P$3228:P$4138,$H$3228:$H$4138,$AD134)</f>
        <v>0</v>
      </c>
      <c r="Z134" s="193" t="n">
        <f aca="false">SUMIFS(Q$3228:Q$4138,$H$3228:$H$4138,$AD134)</f>
        <v>0</v>
      </c>
      <c r="AA134" s="195" t="n">
        <f aca="false">SUMIFS(R$3228:R$4138,$H$3228:$H$4138,$AD134)</f>
        <v>0</v>
      </c>
      <c r="AB134" s="197" t="n">
        <f aca="false">SUMIFS(S$3228:S$4138,$H$3228:$H$4138,$AD134)</f>
        <v>0</v>
      </c>
      <c r="AC134" s="198" t="n">
        <f aca="false">SUM(T134:AA134)</f>
        <v>0</v>
      </c>
      <c r="AD134" s="221" t="s">
        <v>204</v>
      </c>
      <c r="AE134" s="240" t="n">
        <v>946</v>
      </c>
      <c r="AF134" s="240" t="s">
        <v>127</v>
      </c>
      <c r="AG134" s="128"/>
      <c r="AH134" s="128" t="n">
        <v>0</v>
      </c>
      <c r="AI134" s="203"/>
      <c r="BN134" s="255"/>
      <c r="BP134" s="255"/>
      <c r="BX134" s="205" t="n">
        <f aca="false">BV134*5+BW134*2</f>
        <v>0</v>
      </c>
      <c r="CB134" s="206" t="n">
        <v>12</v>
      </c>
      <c r="CC134" s="157" t="n">
        <v>12</v>
      </c>
    </row>
    <row r="135" customFormat="false" ht="15" hidden="false" customHeight="true" outlineLevel="0" collapsed="false">
      <c r="B135" s="127" t="n">
        <f aca="false">B134+D135-C135</f>
        <v>155.75</v>
      </c>
      <c r="D135" s="146" t="n">
        <v>155.25</v>
      </c>
      <c r="E135" s="147" t="n">
        <v>105</v>
      </c>
      <c r="F135" s="147" t="n">
        <f aca="false">IFERROR(VLOOKUP(H135,$AD$1:$AE$301,2,0),"")</f>
        <v>1008009</v>
      </c>
      <c r="G135" s="147" t="str">
        <f aca="false">IFERROR(VLOOKUP(F135,$AE$2:$AF$290,2, 0),"")</f>
        <v>حقل</v>
      </c>
      <c r="H135" s="212" t="s">
        <v>305</v>
      </c>
      <c r="I135" s="246" t="n">
        <f aca="false">SUM(K135:R135)</f>
        <v>1</v>
      </c>
      <c r="J135" s="182" t="n">
        <v>45481</v>
      </c>
      <c r="K135" s="184"/>
      <c r="L135" s="185"/>
      <c r="M135" s="186"/>
      <c r="N135" s="187"/>
      <c r="O135" s="188"/>
      <c r="P135" s="189"/>
      <c r="Q135" s="190"/>
      <c r="R135" s="191" t="n">
        <v>1</v>
      </c>
      <c r="S135" s="192" t="n">
        <f aca="false">(K135+O135+Q135)*24 /1130+(L135+M135+P135+R135)*12/1130+(N135*30)/1130</f>
        <v>0.0106194690265487</v>
      </c>
      <c r="T135" s="193" t="n">
        <f aca="false">SUMIFS(K$3228:K$4138,$H$3228:$H$4138,$AD135)</f>
        <v>0</v>
      </c>
      <c r="U135" s="194" t="n">
        <f aca="false">SUMIFS(L$3228:L$4138,$H$3228:$H$4138,$AD135)</f>
        <v>0</v>
      </c>
      <c r="V135" s="195" t="n">
        <f aca="false">SUMIFS(M$3228:M$4138,$H$3228:$H$4138,$AD135)</f>
        <v>0</v>
      </c>
      <c r="W135" s="193" t="n">
        <f aca="false">SUMIFS(N$3228:N$4138,$H$3228:$H$4138,$AD135)</f>
        <v>0</v>
      </c>
      <c r="X135" s="193" t="n">
        <f aca="false">SUMIFS(O$3228:O$4138,$H$3228:$H$4138,$AD135)</f>
        <v>0</v>
      </c>
      <c r="Y135" s="196" t="n">
        <f aca="false">SUMIFS(P$3228:P$4138,$H$3228:$H$4138,$AD135)</f>
        <v>0</v>
      </c>
      <c r="Z135" s="193" t="n">
        <f aca="false">SUMIFS(Q$3228:Q$4138,$H$3228:$H$4138,$AD135)</f>
        <v>0</v>
      </c>
      <c r="AA135" s="195" t="n">
        <f aca="false">SUMIFS(R$3228:R$4138,$H$3228:$H$4138,$AD135)</f>
        <v>0</v>
      </c>
      <c r="AB135" s="197" t="n">
        <f aca="false">SUMIFS(S$3228:S$4138,$H$3228:$H$4138,$AD135)</f>
        <v>0</v>
      </c>
      <c r="AC135" s="198" t="n">
        <f aca="false">SUM(T135:AA135)</f>
        <v>0</v>
      </c>
      <c r="AD135" s="240" t="s">
        <v>205</v>
      </c>
      <c r="AE135" s="240" t="n">
        <v>1307</v>
      </c>
      <c r="AF135" s="223" t="s">
        <v>127</v>
      </c>
      <c r="AG135" s="231" t="s">
        <v>554</v>
      </c>
      <c r="AH135" s="231" t="n">
        <v>562241691</v>
      </c>
      <c r="AI135" s="218" t="s">
        <v>555</v>
      </c>
      <c r="BN135" s="255"/>
      <c r="BP135" s="255"/>
      <c r="BW135" s="128" t="n">
        <v>10</v>
      </c>
      <c r="BX135" s="205" t="n">
        <f aca="false">BV135*5+BW135*2</f>
        <v>20</v>
      </c>
    </row>
    <row r="136" customFormat="false" ht="15" hidden="false" customHeight="true" outlineLevel="0" collapsed="false">
      <c r="B136" s="127" t="n">
        <f aca="false">B135+D136-C136</f>
        <v>483.5</v>
      </c>
      <c r="D136" s="146" t="n">
        <v>327.75</v>
      </c>
      <c r="E136" s="147" t="n">
        <v>104</v>
      </c>
      <c r="F136" s="147" t="n">
        <f aca="false">IFERROR(VLOOKUP(H136,$AD$1:$AE$301,2,0),"")</f>
        <v>1008003</v>
      </c>
      <c r="G136" s="147" t="str">
        <f aca="false">IFERROR(VLOOKUP(F136,$AE$2:$AF$290,2, 0),"")</f>
        <v>حقل</v>
      </c>
      <c r="H136" s="212" t="s">
        <v>315</v>
      </c>
      <c r="I136" s="246" t="n">
        <f aca="false">SUM(K136:R136)</f>
        <v>1</v>
      </c>
      <c r="J136" s="182" t="n">
        <v>45481</v>
      </c>
      <c r="K136" s="184" t="n">
        <v>1</v>
      </c>
      <c r="L136" s="185"/>
      <c r="M136" s="186"/>
      <c r="N136" s="187"/>
      <c r="O136" s="188"/>
      <c r="P136" s="189"/>
      <c r="Q136" s="190"/>
      <c r="R136" s="191"/>
      <c r="S136" s="192" t="n">
        <f aca="false">(K136+O136+Q136)*24 /1130+(L136+M136+P136+R136)*12/1130+(N136*30)/1130</f>
        <v>0.0212389380530973</v>
      </c>
      <c r="T136" s="193" t="n">
        <f aca="false">SUMIFS(K$3228:K$4138,$H$3228:$H$4138,$AD136)</f>
        <v>0</v>
      </c>
      <c r="U136" s="194" t="n">
        <f aca="false">SUMIFS(L$3228:L$4138,$H$3228:$H$4138,$AD136)</f>
        <v>0</v>
      </c>
      <c r="V136" s="195" t="n">
        <f aca="false">SUMIFS(M$3228:M$4138,$H$3228:$H$4138,$AD136)</f>
        <v>0</v>
      </c>
      <c r="W136" s="193" t="n">
        <f aca="false">SUMIFS(N$3228:N$4138,$H$3228:$H$4138,$AD136)</f>
        <v>0</v>
      </c>
      <c r="X136" s="193" t="n">
        <f aca="false">SUMIFS(O$3228:O$4138,$H$3228:$H$4138,$AD136)</f>
        <v>0</v>
      </c>
      <c r="Y136" s="196" t="n">
        <f aca="false">SUMIFS(P$3228:P$4138,$H$3228:$H$4138,$AD136)</f>
        <v>0</v>
      </c>
      <c r="Z136" s="193" t="n">
        <f aca="false">SUMIFS(Q$3228:Q$4138,$H$3228:$H$4138,$AD136)</f>
        <v>0</v>
      </c>
      <c r="AA136" s="195" t="n">
        <f aca="false">SUMIFS(R$3228:R$4138,$H$3228:$H$4138,$AD136)</f>
        <v>0</v>
      </c>
      <c r="AB136" s="197" t="n">
        <f aca="false">SUMIFS(S$3228:S$4138,$H$3228:$H$4138,$AD136)</f>
        <v>0</v>
      </c>
      <c r="AC136" s="198" t="n">
        <f aca="false">SUM(T136:AA136)</f>
        <v>0</v>
      </c>
      <c r="BX136" s="205" t="n">
        <f aca="false">BV136*5+BW136*2</f>
        <v>0</v>
      </c>
    </row>
    <row r="137" customFormat="false" ht="15" hidden="false" customHeight="true" outlineLevel="0" collapsed="false">
      <c r="B137" s="127" t="n">
        <f aca="false">B136+D137-C137</f>
        <v>983.75</v>
      </c>
      <c r="D137" s="146" t="n">
        <f aca="false">(178.25*2)+143.75</f>
        <v>500.25</v>
      </c>
      <c r="E137" s="147" t="n">
        <v>103</v>
      </c>
      <c r="F137" s="147" t="n">
        <f aca="false">IFERROR(VLOOKUP(H137,$AD$1:$AE$301,2,0),"")</f>
        <v>1008004</v>
      </c>
      <c r="G137" s="147" t="str">
        <f aca="false">IFERROR(VLOOKUP(F137,$AE$2:$AF$290,2, 0),"")</f>
        <v>حقل</v>
      </c>
      <c r="H137" s="212" t="s">
        <v>316</v>
      </c>
      <c r="I137" s="246" t="n">
        <f aca="false">SUM(K137:R137)</f>
        <v>3</v>
      </c>
      <c r="J137" s="182" t="n">
        <v>45481</v>
      </c>
      <c r="K137" s="184"/>
      <c r="L137" s="185" t="n">
        <v>2</v>
      </c>
      <c r="M137" s="186"/>
      <c r="N137" s="187"/>
      <c r="O137" s="188"/>
      <c r="P137" s="189" t="n">
        <v>1</v>
      </c>
      <c r="Q137" s="190"/>
      <c r="R137" s="191"/>
      <c r="S137" s="192" t="n">
        <f aca="false">(K137+O137+Q137)*24 /1130+(L137+M137+P137+R137)*12/1130+(N137*30)/1130</f>
        <v>0.031858407079646</v>
      </c>
      <c r="T137" s="193" t="n">
        <f aca="false">SUMIFS(K$3228:K$4138,$H$3228:$H$4138,$AD137)</f>
        <v>4</v>
      </c>
      <c r="U137" s="194" t="n">
        <f aca="false">SUMIFS(L$3228:L$4138,$H$3228:$H$4138,$AD137)</f>
        <v>0</v>
      </c>
      <c r="V137" s="195" t="n">
        <f aca="false">SUMIFS(M$3228:M$4138,$H$3228:$H$4138,$AD137)</f>
        <v>0</v>
      </c>
      <c r="W137" s="193" t="n">
        <f aca="false">SUMIFS(N$3228:N$4138,$H$3228:$H$4138,$AD137)</f>
        <v>3</v>
      </c>
      <c r="X137" s="193" t="n">
        <f aca="false">SUMIFS(O$3228:O$4138,$H$3228:$H$4138,$AD137)</f>
        <v>0</v>
      </c>
      <c r="Y137" s="196" t="n">
        <f aca="false">SUMIFS(P$3228:P$4138,$H$3228:$H$4138,$AD137)</f>
        <v>0</v>
      </c>
      <c r="Z137" s="193" t="n">
        <f aca="false">SUMIFS(Q$3228:Q$4138,$H$3228:$H$4138,$AD137)</f>
        <v>0</v>
      </c>
      <c r="AA137" s="195" t="n">
        <f aca="false">SUMIFS(R$3228:R$4138,$H$3228:$H$4138,$AD137)</f>
        <v>0</v>
      </c>
      <c r="AB137" s="197" t="n">
        <f aca="false">SUMIFS(S$3228:S$4138,$H$3228:$H$4138,$AD137)</f>
        <v>0.164601769911504</v>
      </c>
      <c r="AC137" s="198" t="n">
        <f aca="false">SUM(T137:AA137)</f>
        <v>7</v>
      </c>
      <c r="AD137" s="240" t="s">
        <v>556</v>
      </c>
      <c r="AE137" s="240" t="n">
        <v>1297</v>
      </c>
      <c r="AF137" s="256" t="s">
        <v>127</v>
      </c>
      <c r="AG137" s="231" t="s">
        <v>505</v>
      </c>
      <c r="AH137" s="231" t="n">
        <v>594627278</v>
      </c>
      <c r="AI137" s="218" t="s">
        <v>557</v>
      </c>
      <c r="BN137" s="255"/>
      <c r="BP137" s="255"/>
      <c r="BX137" s="205" t="n">
        <f aca="false">BV137*5+BW137*2</f>
        <v>0</v>
      </c>
    </row>
    <row r="138" customFormat="false" ht="15" hidden="false" customHeight="true" outlineLevel="0" collapsed="false">
      <c r="B138" s="127" t="n">
        <f aca="false">B137+D138-C138</f>
        <v>1834.75</v>
      </c>
      <c r="D138" s="146" t="n">
        <f aca="false">4*212.75</f>
        <v>851</v>
      </c>
      <c r="E138" s="147" t="n">
        <v>102</v>
      </c>
      <c r="F138" s="147" t="n">
        <f aca="false">IFERROR(VLOOKUP(H138,$AD$1:$AE$301,2,0),"")</f>
        <v>1007999</v>
      </c>
      <c r="G138" s="147" t="str">
        <f aca="false">IFERROR(VLOOKUP(F138,$AE$2:$AF$290,2, 0),"")</f>
        <v>حقل</v>
      </c>
      <c r="H138" s="212" t="s">
        <v>312</v>
      </c>
      <c r="I138" s="246" t="n">
        <f aca="false">SUM(K138:R138)</f>
        <v>4</v>
      </c>
      <c r="J138" s="182" t="n">
        <v>45481</v>
      </c>
      <c r="K138" s="184"/>
      <c r="L138" s="185"/>
      <c r="M138" s="186"/>
      <c r="N138" s="187"/>
      <c r="O138" s="188"/>
      <c r="P138" s="189"/>
      <c r="Q138" s="190" t="n">
        <v>4</v>
      </c>
      <c r="R138" s="191"/>
      <c r="S138" s="192" t="n">
        <f aca="false">(K138+O138+Q138)*24 /1130+(L138+M138+P138+R138)*12/1130+(N138*30)/1130</f>
        <v>0.0849557522123894</v>
      </c>
      <c r="T138" s="193" t="n">
        <f aca="false">SUMIFS(K$3228:K$4138,$H$3228:$H$4138,$AD138)</f>
        <v>0</v>
      </c>
      <c r="U138" s="194" t="n">
        <f aca="false">SUMIFS(L$3228:L$4138,$H$3228:$H$4138,$AD138)</f>
        <v>0</v>
      </c>
      <c r="V138" s="195" t="n">
        <f aca="false">SUMIFS(M$3228:M$4138,$H$3228:$H$4138,$AD138)</f>
        <v>0</v>
      </c>
      <c r="W138" s="193" t="n">
        <f aca="false">SUMIFS(N$3228:N$4138,$H$3228:$H$4138,$AD138)</f>
        <v>0</v>
      </c>
      <c r="X138" s="193" t="n">
        <f aca="false">SUMIFS(O$3228:O$4138,$H$3228:$H$4138,$AD138)</f>
        <v>0</v>
      </c>
      <c r="Y138" s="196" t="n">
        <f aca="false">SUMIFS(P$3228:P$4138,$H$3228:$H$4138,$AD138)</f>
        <v>0</v>
      </c>
      <c r="Z138" s="193" t="n">
        <f aca="false">SUMIFS(Q$3228:Q$4138,$H$3228:$H$4138,$AD138)</f>
        <v>0</v>
      </c>
      <c r="AA138" s="195" t="n">
        <f aca="false">SUMIFS(R$3228:R$4138,$H$3228:$H$4138,$AD138)</f>
        <v>0</v>
      </c>
      <c r="AB138" s="197" t="n">
        <f aca="false">SUMIFS(S$3228:S$4138,$H$3228:$H$4138,$AD138)</f>
        <v>0</v>
      </c>
      <c r="AC138" s="198" t="n">
        <f aca="false">SUM(T138:AA138)</f>
        <v>0</v>
      </c>
      <c r="AD138" s="240" t="s">
        <v>207</v>
      </c>
      <c r="AE138" s="240" t="n">
        <v>1282</v>
      </c>
      <c r="AF138" s="223" t="s">
        <v>127</v>
      </c>
      <c r="AG138" s="231" t="s">
        <v>558</v>
      </c>
      <c r="AH138" s="231" t="n">
        <v>537096613</v>
      </c>
      <c r="AI138" s="208" t="s">
        <v>559</v>
      </c>
      <c r="BN138" s="255"/>
      <c r="BP138" s="255"/>
      <c r="BX138" s="205" t="n">
        <f aca="false">BV138*5+BW138*2</f>
        <v>0</v>
      </c>
    </row>
    <row r="139" customFormat="false" ht="15" hidden="false" customHeight="true" outlineLevel="0" collapsed="false">
      <c r="B139" s="127" t="n">
        <f aca="false">B138+D139-C139</f>
        <v>428.75</v>
      </c>
      <c r="C139" s="127" t="n">
        <f aca="false">D138+155+200+200</f>
        <v>1406</v>
      </c>
      <c r="E139" s="212" t="s">
        <v>470</v>
      </c>
      <c r="F139" s="147" t="str">
        <f aca="false">IFERROR(VLOOKUP(H139,$AD$1:$AE$301,2,0),"")</f>
        <v/>
      </c>
      <c r="G139" s="147" t="str">
        <f aca="false">IFERROR(VLOOKUP(F139,$AE$2:$AF$290,2, 0),"")</f>
        <v/>
      </c>
      <c r="H139" s="212" t="s">
        <v>393</v>
      </c>
      <c r="I139" s="246" t="n">
        <f aca="false">SUM(K139:R139)</f>
        <v>0</v>
      </c>
      <c r="J139" s="182" t="n">
        <v>45481</v>
      </c>
      <c r="K139" s="184"/>
      <c r="L139" s="185"/>
      <c r="M139" s="186"/>
      <c r="N139" s="187"/>
      <c r="O139" s="188"/>
      <c r="P139" s="189"/>
      <c r="Q139" s="190"/>
      <c r="R139" s="191"/>
      <c r="S139" s="192" t="n">
        <f aca="false">(K139+O139+Q139)*24 /1130+(L139+M139+P139+R139)*12/1130+(N139*30)/1130</f>
        <v>0</v>
      </c>
      <c r="T139" s="193" t="n">
        <f aca="false">SUMIFS(K$3228:K$4138,$H$3228:$H$4138,$AD139)</f>
        <v>0</v>
      </c>
      <c r="U139" s="194" t="n">
        <f aca="false">SUMIFS(L$3228:L$4138,$H$3228:$H$4138,$AD139)</f>
        <v>25</v>
      </c>
      <c r="V139" s="195" t="n">
        <f aca="false">SUMIFS(M$3228:M$4138,$H$3228:$H$4138,$AD139)</f>
        <v>0</v>
      </c>
      <c r="W139" s="193" t="n">
        <f aca="false">SUMIFS(N$3228:N$4138,$H$3228:$H$4138,$AD139)</f>
        <v>0</v>
      </c>
      <c r="X139" s="193" t="n">
        <f aca="false">SUMIFS(O$3228:O$4138,$H$3228:$H$4138,$AD139)</f>
        <v>0</v>
      </c>
      <c r="Y139" s="196" t="n">
        <f aca="false">SUMIFS(P$3228:P$4138,$H$3228:$H$4138,$AD139)</f>
        <v>0</v>
      </c>
      <c r="Z139" s="193" t="n">
        <f aca="false">SUMIFS(Q$3228:Q$4138,$H$3228:$H$4138,$AD139)</f>
        <v>2</v>
      </c>
      <c r="AA139" s="195" t="n">
        <f aca="false">SUMIFS(R$3228:R$4138,$H$3228:$H$4138,$AD139)</f>
        <v>0</v>
      </c>
      <c r="AB139" s="197" t="n">
        <f aca="false">SUMIFS(S$3228:S$4138,$H$3228:$H$4138,$AD139)</f>
        <v>0.307964601769912</v>
      </c>
      <c r="AC139" s="198" t="n">
        <f aca="false">SUM(T139:AA139)</f>
        <v>27</v>
      </c>
      <c r="AD139" s="240" t="s">
        <v>560</v>
      </c>
      <c r="AE139" s="240" t="n">
        <v>1293</v>
      </c>
      <c r="AF139" s="223" t="s">
        <v>127</v>
      </c>
      <c r="AG139" s="231" t="s">
        <v>561</v>
      </c>
      <c r="AH139" s="231" t="n">
        <v>530863384</v>
      </c>
      <c r="AI139" s="218" t="s">
        <v>562</v>
      </c>
      <c r="BN139" s="255"/>
      <c r="BP139" s="255"/>
      <c r="BT139" s="128" t="n">
        <f aca="false">90+27+17</f>
        <v>134</v>
      </c>
      <c r="BU139" s="128" t="n">
        <f aca="false">226+35+8</f>
        <v>269</v>
      </c>
      <c r="BV139" s="128" t="n">
        <f aca="false">112+38</f>
        <v>150</v>
      </c>
      <c r="BW139" s="128" t="n">
        <f aca="false">120+155</f>
        <v>275</v>
      </c>
      <c r="BX139" s="205" t="n">
        <f aca="false">BV139*5+BW139*2</f>
        <v>1300</v>
      </c>
    </row>
    <row r="140" customFormat="false" ht="15" hidden="false" customHeight="true" outlineLevel="0" collapsed="false">
      <c r="B140" s="127" t="n">
        <f aca="false">B139+D140-C140</f>
        <v>2556.25</v>
      </c>
      <c r="D140" s="146" t="n">
        <f aca="false">10*212.75</f>
        <v>2127.5</v>
      </c>
      <c r="E140" s="147" t="n">
        <v>108</v>
      </c>
      <c r="F140" s="147" t="n">
        <f aca="false">IFERROR(VLOOKUP(H140,$AD$1:$AE$301,2,0),"")</f>
        <v>1007997</v>
      </c>
      <c r="G140" s="147" t="str">
        <f aca="false">IFERROR(VLOOKUP(F140,$AE$2:$AF$290,2, 0),"")</f>
        <v>البير</v>
      </c>
      <c r="H140" s="212" t="s">
        <v>296</v>
      </c>
      <c r="I140" s="246" t="n">
        <f aca="false">SUM(K140:R140)</f>
        <v>10</v>
      </c>
      <c r="J140" s="182" t="n">
        <v>45481</v>
      </c>
      <c r="K140" s="184"/>
      <c r="L140" s="185"/>
      <c r="M140" s="186"/>
      <c r="N140" s="187"/>
      <c r="O140" s="188"/>
      <c r="P140" s="189"/>
      <c r="Q140" s="190" t="n">
        <v>10</v>
      </c>
      <c r="R140" s="191"/>
      <c r="S140" s="192" t="n">
        <f aca="false">(K140+O140+Q140)*24 /1130+(L140+M140+P140+R140)*12/1130+(N140*30)/1130</f>
        <v>0.212389380530973</v>
      </c>
      <c r="T140" s="193" t="n">
        <f aca="false">SUMIFS(K$3228:K$4138,$H$3228:$H$4138,$AD140)</f>
        <v>0</v>
      </c>
      <c r="U140" s="194" t="n">
        <f aca="false">SUMIFS(L$3228:L$4138,$H$3228:$H$4138,$AD140)</f>
        <v>0</v>
      </c>
      <c r="V140" s="195" t="n">
        <f aca="false">SUMIFS(M$3228:M$4138,$H$3228:$H$4138,$AD140)</f>
        <v>0</v>
      </c>
      <c r="W140" s="193" t="n">
        <f aca="false">SUMIFS(N$3228:N$4138,$H$3228:$H$4138,$AD140)</f>
        <v>0</v>
      </c>
      <c r="X140" s="193" t="n">
        <f aca="false">SUMIFS(O$3228:O$4138,$H$3228:$H$4138,$AD140)</f>
        <v>0</v>
      </c>
      <c r="Y140" s="196" t="n">
        <f aca="false">SUMIFS(P$3228:P$4138,$H$3228:$H$4138,$AD140)</f>
        <v>0</v>
      </c>
      <c r="Z140" s="193" t="n">
        <f aca="false">SUMIFS(Q$3228:Q$4138,$H$3228:$H$4138,$AD140)</f>
        <v>0</v>
      </c>
      <c r="AA140" s="195" t="n">
        <f aca="false">SUMIFS(R$3228:R$4138,$H$3228:$H$4138,$AD140)</f>
        <v>0</v>
      </c>
      <c r="AB140" s="197" t="n">
        <f aca="false">SUMIFS(S$3228:S$4138,$H$3228:$H$4138,$AD140)</f>
        <v>0</v>
      </c>
      <c r="AC140" s="198" t="n">
        <f aca="false">SUM(T140:AA140)</f>
        <v>0</v>
      </c>
      <c r="AD140" s="240" t="s">
        <v>209</v>
      </c>
      <c r="AE140" s="240" t="n">
        <v>1283</v>
      </c>
      <c r="AF140" s="223" t="s">
        <v>210</v>
      </c>
      <c r="AG140" s="231"/>
      <c r="AH140" s="231"/>
      <c r="AI140" s="203"/>
      <c r="BN140" s="255"/>
      <c r="BP140" s="255"/>
      <c r="BX140" s="205" t="n">
        <f aca="false">BV140*5+BW140*2</f>
        <v>0</v>
      </c>
    </row>
    <row r="141" customFormat="false" ht="15" hidden="false" customHeight="true" outlineLevel="0" collapsed="false">
      <c r="B141" s="127" t="n">
        <f aca="false">B140+D141-C141</f>
        <v>2884</v>
      </c>
      <c r="D141" s="146" t="n">
        <v>327.75</v>
      </c>
      <c r="E141" s="147" t="n">
        <v>107</v>
      </c>
      <c r="F141" s="147" t="n">
        <f aca="false">IFERROR(VLOOKUP(H141,$AD$1:$AE$301,2,0),"")</f>
        <v>1008040</v>
      </c>
      <c r="G141" s="147" t="str">
        <f aca="false">IFERROR(VLOOKUP(F141,$AE$2:$AF$290,2, 0),"")</f>
        <v>البير</v>
      </c>
      <c r="H141" s="212" t="s">
        <v>292</v>
      </c>
      <c r="I141" s="246" t="n">
        <f aca="false">SUM(K141:R141)</f>
        <v>1</v>
      </c>
      <c r="J141" s="182" t="n">
        <v>45481</v>
      </c>
      <c r="K141" s="184" t="n">
        <v>1</v>
      </c>
      <c r="L141" s="185"/>
      <c r="M141" s="186"/>
      <c r="N141" s="187"/>
      <c r="O141" s="188"/>
      <c r="P141" s="189"/>
      <c r="Q141" s="190"/>
      <c r="R141" s="191"/>
      <c r="S141" s="192" t="n">
        <f aca="false">(K141+O141+Q141)*24 /1130+(L141+M141+P141+R141)*12/1130+(N141*30)/1130</f>
        <v>0.0212389380530973</v>
      </c>
      <c r="T141" s="193" t="n">
        <f aca="false">SUMIFS(K$3228:K$4138,$H$3228:$H$4138,$AD141)</f>
        <v>0</v>
      </c>
      <c r="U141" s="194" t="n">
        <f aca="false">SUMIFS(L$3228:L$4138,$H$3228:$H$4138,$AD141)</f>
        <v>0</v>
      </c>
      <c r="V141" s="195" t="n">
        <f aca="false">SUMIFS(M$3228:M$4138,$H$3228:$H$4138,$AD141)</f>
        <v>0</v>
      </c>
      <c r="W141" s="193" t="n">
        <f aca="false">SUMIFS(N$3228:N$4138,$H$3228:$H$4138,$AD141)</f>
        <v>0</v>
      </c>
      <c r="X141" s="193" t="n">
        <f aca="false">SUMIFS(O$3228:O$4138,$H$3228:$H$4138,$AD141)</f>
        <v>0</v>
      </c>
      <c r="Y141" s="196" t="n">
        <f aca="false">SUMIFS(P$3228:P$4138,$H$3228:$H$4138,$AD141)</f>
        <v>0</v>
      </c>
      <c r="Z141" s="193" t="n">
        <f aca="false">SUMIFS(Q$3228:Q$4138,$H$3228:$H$4138,$AD141)</f>
        <v>0</v>
      </c>
      <c r="AA141" s="195" t="n">
        <f aca="false">SUMIFS(R$3228:R$4138,$H$3228:$H$4138,$AD141)</f>
        <v>0</v>
      </c>
      <c r="AB141" s="197" t="n">
        <f aca="false">SUMIFS(S$3228:S$4138,$H$3228:$H$4138,$AD141)</f>
        <v>0</v>
      </c>
      <c r="AC141" s="198" t="n">
        <f aca="false">SUM(T141:AA141)</f>
        <v>0</v>
      </c>
      <c r="AD141" s="240" t="s">
        <v>211</v>
      </c>
      <c r="AE141" s="240" t="n">
        <v>1284</v>
      </c>
      <c r="AF141" s="223" t="s">
        <v>210</v>
      </c>
      <c r="AG141" s="231"/>
      <c r="AH141" s="231"/>
      <c r="AI141" s="203"/>
      <c r="BN141" s="255"/>
      <c r="BP141" s="255"/>
      <c r="BX141" s="205" t="n">
        <f aca="false">BV141*5+BW141*2</f>
        <v>0</v>
      </c>
    </row>
    <row r="142" customFormat="false" ht="15" hidden="false" customHeight="true" outlineLevel="0" collapsed="false">
      <c r="B142" s="127" t="n">
        <f aca="false">B141+D142-C142</f>
        <v>4034</v>
      </c>
      <c r="D142" s="146" t="n">
        <f aca="false">(2*258.5)+(2*316.5)</f>
        <v>1150</v>
      </c>
      <c r="E142" s="147" t="n">
        <v>106</v>
      </c>
      <c r="F142" s="147" t="n">
        <f aca="false">IFERROR(VLOOKUP(H142,$AD$1:$AE$301,2,0),"")</f>
        <v>1006522</v>
      </c>
      <c r="G142" s="147" t="str">
        <f aca="false">IFERROR(VLOOKUP(F142,$AE$2:$AF$290,2, 0),"")</f>
        <v>البدع</v>
      </c>
      <c r="H142" s="212" t="s">
        <v>317</v>
      </c>
      <c r="I142" s="246" t="n">
        <f aca="false">SUM(K142:R142)</f>
        <v>4</v>
      </c>
      <c r="J142" s="182" t="n">
        <v>45481</v>
      </c>
      <c r="K142" s="184"/>
      <c r="L142" s="185"/>
      <c r="M142" s="186"/>
      <c r="N142" s="187" t="n">
        <v>2</v>
      </c>
      <c r="O142" s="188" t="n">
        <v>2</v>
      </c>
      <c r="P142" s="189"/>
      <c r="Q142" s="190"/>
      <c r="R142" s="191"/>
      <c r="S142" s="192" t="n">
        <f aca="false">(K142+O142+Q142)*24 /1130+(L142+M142+P142+R142)*12/1130+(N142*30)/1130</f>
        <v>0.0955752212389381</v>
      </c>
      <c r="T142" s="193" t="n">
        <f aca="false">SUMIFS(K$3228:K$4138,$H$3228:$H$4138,$AD142)</f>
        <v>0</v>
      </c>
      <c r="U142" s="194" t="n">
        <f aca="false">SUMIFS(L$3228:L$4138,$H$3228:$H$4138,$AD142)</f>
        <v>0</v>
      </c>
      <c r="V142" s="195" t="n">
        <f aca="false">SUMIFS(M$3228:M$4138,$H$3228:$H$4138,$AD142)</f>
        <v>0</v>
      </c>
      <c r="W142" s="193" t="n">
        <f aca="false">SUMIFS(N$3228:N$4138,$H$3228:$H$4138,$AD142)</f>
        <v>0</v>
      </c>
      <c r="X142" s="193" t="n">
        <f aca="false">SUMIFS(O$3228:O$4138,$H$3228:$H$4138,$AD142)</f>
        <v>0</v>
      </c>
      <c r="Y142" s="196" t="n">
        <f aca="false">SUMIFS(P$3228:P$4138,$H$3228:$H$4138,$AD142)</f>
        <v>0</v>
      </c>
      <c r="Z142" s="193" t="n">
        <f aca="false">SUMIFS(Q$3228:Q$4138,$H$3228:$H$4138,$AD142)</f>
        <v>0</v>
      </c>
      <c r="AA142" s="195" t="n">
        <f aca="false">SUMIFS(R$3228:R$4138,$H$3228:$H$4138,$AD142)</f>
        <v>0</v>
      </c>
      <c r="AB142" s="197" t="n">
        <f aca="false">SUMIFS(S$3228:S$4138,$H$3228:$H$4138,$AD142)</f>
        <v>0</v>
      </c>
      <c r="AC142" s="198" t="n">
        <f aca="false">SUM(T142:AA142)</f>
        <v>0</v>
      </c>
      <c r="AD142" s="240" t="s">
        <v>212</v>
      </c>
      <c r="AE142" s="240" t="n">
        <v>1285</v>
      </c>
      <c r="AF142" s="223" t="s">
        <v>210</v>
      </c>
      <c r="AG142" s="231"/>
      <c r="AH142" s="231"/>
      <c r="AI142" s="203"/>
      <c r="BN142" s="255"/>
      <c r="BP142" s="255"/>
      <c r="BX142" s="205" t="n">
        <f aca="false">BV142*5+BW142*2</f>
        <v>0</v>
      </c>
    </row>
    <row r="143" customFormat="false" ht="15" hidden="false" customHeight="true" outlineLevel="0" collapsed="false">
      <c r="B143" s="127" t="n">
        <f aca="false">B142+D143-C143</f>
        <v>0</v>
      </c>
      <c r="C143" s="127" t="n">
        <v>4033</v>
      </c>
      <c r="D143" s="146" t="n">
        <v>-1</v>
      </c>
      <c r="E143" s="212" t="s">
        <v>392</v>
      </c>
      <c r="F143" s="147" t="str">
        <f aca="false">IFERROR(VLOOKUP(H143,$AD$1:$AE$301,2,0),"")</f>
        <v/>
      </c>
      <c r="G143" s="147" t="str">
        <f aca="false">IFERROR(VLOOKUP(F143,$AE$2:$AF$290,2, 0),"")</f>
        <v/>
      </c>
      <c r="H143" s="212" t="s">
        <v>393</v>
      </c>
      <c r="I143" s="246" t="n">
        <f aca="false">SUM(K143:R143)</f>
        <v>0</v>
      </c>
      <c r="J143" s="182" t="n">
        <v>45482</v>
      </c>
      <c r="K143" s="184"/>
      <c r="L143" s="185"/>
      <c r="M143" s="186"/>
      <c r="N143" s="187"/>
      <c r="O143" s="188"/>
      <c r="P143" s="189"/>
      <c r="Q143" s="190"/>
      <c r="R143" s="191"/>
      <c r="S143" s="192" t="n">
        <f aca="false">(K143+O143+Q143)*24 /1130+(L143+M143+P143+R143)*12/1130+(N143*30)/1130</f>
        <v>0</v>
      </c>
      <c r="T143" s="193" t="n">
        <f aca="false">SUMIFS(K$3228:K$4138,$H$3228:$H$4138,$AD143)</f>
        <v>0</v>
      </c>
      <c r="U143" s="194" t="n">
        <f aca="false">SUMIFS(L$3228:L$4138,$H$3228:$H$4138,$AD143)</f>
        <v>0</v>
      </c>
      <c r="V143" s="195" t="n">
        <f aca="false">SUMIFS(M$3228:M$4138,$H$3228:$H$4138,$AD143)</f>
        <v>0</v>
      </c>
      <c r="W143" s="193" t="n">
        <f aca="false">SUMIFS(N$3228:N$4138,$H$3228:$H$4138,$AD143)</f>
        <v>0</v>
      </c>
      <c r="X143" s="193" t="n">
        <f aca="false">SUMIFS(O$3228:O$4138,$H$3228:$H$4138,$AD143)</f>
        <v>0</v>
      </c>
      <c r="Y143" s="196" t="n">
        <f aca="false">SUMIFS(P$3228:P$4138,$H$3228:$H$4138,$AD143)</f>
        <v>0</v>
      </c>
      <c r="Z143" s="193" t="n">
        <f aca="false">SUMIFS(Q$3228:Q$4138,$H$3228:$H$4138,$AD143)</f>
        <v>0</v>
      </c>
      <c r="AA143" s="195" t="n">
        <f aca="false">SUMIFS(R$3228:R$4138,$H$3228:$H$4138,$AD143)</f>
        <v>0</v>
      </c>
      <c r="AB143" s="197" t="n">
        <f aca="false">SUMIFS(S$3228:S$4138,$H$3228:$H$4138,$AD143)</f>
        <v>0</v>
      </c>
      <c r="AC143" s="198" t="n">
        <f aca="false">SUM(T143:AA143)</f>
        <v>0</v>
      </c>
      <c r="AD143" s="240" t="s">
        <v>213</v>
      </c>
      <c r="AE143" s="240" t="n">
        <v>1286</v>
      </c>
      <c r="AF143" s="223" t="s">
        <v>210</v>
      </c>
      <c r="AG143" s="231"/>
      <c r="AH143" s="231"/>
      <c r="AI143" s="203"/>
      <c r="BN143" s="255"/>
      <c r="BP143" s="255"/>
      <c r="BX143" s="205" t="n">
        <f aca="false">BV143*5+BW143*2</f>
        <v>0</v>
      </c>
    </row>
    <row r="144" customFormat="false" ht="15" hidden="false" customHeight="true" outlineLevel="0" collapsed="false">
      <c r="B144" s="127" t="n">
        <f aca="false">B143+D144-C144</f>
        <v>1644.5</v>
      </c>
      <c r="D144" s="257" t="n">
        <f aca="false">(2*258.75)+(2*293)+(2*270.5)</f>
        <v>1644.5</v>
      </c>
      <c r="E144" s="147" t="n">
        <v>110</v>
      </c>
      <c r="F144" s="147" t="n">
        <f aca="false">IFERROR(VLOOKUP(H144,$AD$1:$AE$301,2,0),"")</f>
        <v>1007988</v>
      </c>
      <c r="G144" s="147" t="str">
        <f aca="false">IFERROR(VLOOKUP(F144,$AE$2:$AF$290,2, 0),"")</f>
        <v>ضباء</v>
      </c>
      <c r="H144" s="212" t="s">
        <v>89</v>
      </c>
      <c r="I144" s="246" t="n">
        <f aca="false">SUM(K144:R144)</f>
        <v>6</v>
      </c>
      <c r="J144" s="182" t="n">
        <v>45483</v>
      </c>
      <c r="K144" s="184"/>
      <c r="L144" s="185"/>
      <c r="M144" s="186" t="n">
        <v>4</v>
      </c>
      <c r="N144" s="187"/>
      <c r="O144" s="188" t="n">
        <v>2</v>
      </c>
      <c r="P144" s="189"/>
      <c r="Q144" s="190"/>
      <c r="R144" s="191"/>
      <c r="S144" s="192" t="n">
        <f aca="false">(K144+O144+Q144)*24 /1130+(L144+M144+P144+R144)*12/1130+(N144*30)/1130</f>
        <v>0.0849557522123894</v>
      </c>
      <c r="T144" s="193" t="n">
        <f aca="false">SUMIFS(K$3228:K$4138,$H$3228:$H$4138,$AD144)</f>
        <v>0</v>
      </c>
      <c r="U144" s="194" t="n">
        <f aca="false">SUMIFS(L$3228:L$4138,$H$3228:$H$4138,$AD144)</f>
        <v>0</v>
      </c>
      <c r="V144" s="195" t="n">
        <f aca="false">SUMIFS(M$3228:M$4138,$H$3228:$H$4138,$AD144)</f>
        <v>0</v>
      </c>
      <c r="W144" s="193" t="n">
        <f aca="false">SUMIFS(N$3228:N$4138,$H$3228:$H$4138,$AD144)</f>
        <v>0</v>
      </c>
      <c r="X144" s="193" t="n">
        <f aca="false">SUMIFS(O$3228:O$4138,$H$3228:$H$4138,$AD144)</f>
        <v>0</v>
      </c>
      <c r="Y144" s="196" t="n">
        <f aca="false">SUMIFS(P$3228:P$4138,$H$3228:$H$4138,$AD144)</f>
        <v>0</v>
      </c>
      <c r="Z144" s="193" t="n">
        <f aca="false">SUMIFS(Q$3228:Q$4138,$H$3228:$H$4138,$AD144)</f>
        <v>0</v>
      </c>
      <c r="AA144" s="195" t="n">
        <f aca="false">SUMIFS(R$3228:R$4138,$H$3228:$H$4138,$AD144)</f>
        <v>0</v>
      </c>
      <c r="AB144" s="197" t="n">
        <f aca="false">SUMIFS(S$3228:S$4138,$H$3228:$H$4138,$AD144)</f>
        <v>0</v>
      </c>
      <c r="AC144" s="198" t="n">
        <f aca="false">SUM(T144:AA144)</f>
        <v>0</v>
      </c>
      <c r="AD144" s="240" t="s">
        <v>214</v>
      </c>
      <c r="AE144" s="240" t="n">
        <v>1292</v>
      </c>
      <c r="AF144" s="223" t="s">
        <v>210</v>
      </c>
      <c r="AG144" s="231"/>
      <c r="AH144" s="231"/>
      <c r="AI144" s="203"/>
      <c r="BN144" s="255"/>
      <c r="BP144" s="255"/>
      <c r="BX144" s="205" t="n">
        <f aca="false">BV144*5+BW144*2</f>
        <v>0</v>
      </c>
    </row>
    <row r="145" customFormat="false" ht="15" hidden="false" customHeight="true" outlineLevel="0" collapsed="false">
      <c r="B145" s="127" t="n">
        <f aca="false">B144+D145-C145</f>
        <v>-2207.25</v>
      </c>
      <c r="C145" s="127" t="n">
        <f aca="false">828+1403+27.75+D149+500+1300</f>
        <v>4317.5</v>
      </c>
      <c r="D145" s="146" t="n">
        <f aca="false">3*155.25</f>
        <v>465.75</v>
      </c>
      <c r="E145" s="147" t="n">
        <v>109</v>
      </c>
      <c r="F145" s="147" t="n">
        <f aca="false">IFERROR(VLOOKUP(H145,$AD$1:$AE$301,2,0),"")</f>
        <v>1008024</v>
      </c>
      <c r="G145" s="147" t="str">
        <f aca="false">IFERROR(VLOOKUP(F145,$AE$2:$AF$290,2, 0),"")</f>
        <v>ضباء</v>
      </c>
      <c r="H145" s="212" t="s">
        <v>96</v>
      </c>
      <c r="I145" s="246" t="n">
        <f aca="false">SUM(K145:R145)</f>
        <v>3</v>
      </c>
      <c r="J145" s="182" t="n">
        <v>45483</v>
      </c>
      <c r="K145" s="184"/>
      <c r="L145" s="185"/>
      <c r="M145" s="186"/>
      <c r="N145" s="187"/>
      <c r="O145" s="188"/>
      <c r="P145" s="189"/>
      <c r="Q145" s="190"/>
      <c r="R145" s="191" t="n">
        <v>3</v>
      </c>
      <c r="S145" s="192" t="n">
        <f aca="false">(K145+O145+Q145)*24 /1130+(L145+M145+P145+R145)*12/1130+(N145*30)/1130</f>
        <v>0.031858407079646</v>
      </c>
      <c r="T145" s="193" t="n">
        <f aca="false">SUMIFS(K$3228:K$4138,$H$3228:$H$4138,$AD145)</f>
        <v>0</v>
      </c>
      <c r="U145" s="194" t="n">
        <f aca="false">SUMIFS(L$3228:L$4138,$H$3228:$H$4138,$AD145)</f>
        <v>0</v>
      </c>
      <c r="V145" s="195" t="n">
        <f aca="false">SUMIFS(M$3228:M$4138,$H$3228:$H$4138,$AD145)</f>
        <v>0</v>
      </c>
      <c r="W145" s="193" t="n">
        <f aca="false">SUMIFS(N$3228:N$4138,$H$3228:$H$4138,$AD145)</f>
        <v>0</v>
      </c>
      <c r="X145" s="193" t="n">
        <f aca="false">SUMIFS(O$3228:O$4138,$H$3228:$H$4138,$AD145)</f>
        <v>0</v>
      </c>
      <c r="Y145" s="196" t="n">
        <f aca="false">SUMIFS(P$3228:P$4138,$H$3228:$H$4138,$AD145)</f>
        <v>0</v>
      </c>
      <c r="Z145" s="193" t="n">
        <f aca="false">SUMIFS(Q$3228:Q$4138,$H$3228:$H$4138,$AD145)</f>
        <v>0</v>
      </c>
      <c r="AA145" s="195" t="n">
        <f aca="false">SUMIFS(R$3228:R$4138,$H$3228:$H$4138,$AD145)</f>
        <v>0</v>
      </c>
      <c r="AB145" s="197" t="n">
        <f aca="false">SUMIFS(S$3228:S$4138,$H$3228:$H$4138,$AD145)</f>
        <v>0</v>
      </c>
      <c r="AC145" s="198" t="n">
        <f aca="false">SUM(T145:AA145)</f>
        <v>0</v>
      </c>
      <c r="AD145" s="240" t="s">
        <v>215</v>
      </c>
      <c r="AE145" s="240" t="n">
        <v>1311</v>
      </c>
      <c r="AF145" s="223" t="s">
        <v>210</v>
      </c>
      <c r="AG145" s="231"/>
      <c r="AH145" s="231"/>
      <c r="AI145" s="203"/>
      <c r="BN145" s="255"/>
      <c r="BP145" s="255"/>
      <c r="BX145" s="205" t="n">
        <f aca="false">BV145*5+BW145*2</f>
        <v>0</v>
      </c>
    </row>
    <row r="146" customFormat="false" ht="15" hidden="false" customHeight="true" outlineLevel="0" collapsed="false">
      <c r="B146" s="127" t="n">
        <f aca="false">B145+D146-C146</f>
        <v>-1850.75</v>
      </c>
      <c r="D146" s="146" t="n">
        <f aca="false">2*178.25</f>
        <v>356.5</v>
      </c>
      <c r="E146" s="147" t="n">
        <v>112</v>
      </c>
      <c r="F146" s="147" t="n">
        <f aca="false">IFERROR(VLOOKUP(H146,$AD$1:$AE$301,2,0),"")</f>
        <v>1008032</v>
      </c>
      <c r="G146" s="147" t="str">
        <f aca="false">IFERROR(VLOOKUP(F146,$AE$2:$AF$290,2, 0),"")</f>
        <v>ضباء</v>
      </c>
      <c r="H146" s="212" t="s">
        <v>101</v>
      </c>
      <c r="I146" s="246" t="n">
        <f aca="false">SUM(K146:R146)</f>
        <v>2</v>
      </c>
      <c r="J146" s="182" t="n">
        <v>45483</v>
      </c>
      <c r="K146" s="184"/>
      <c r="L146" s="185" t="n">
        <v>2</v>
      </c>
      <c r="M146" s="186"/>
      <c r="N146" s="187"/>
      <c r="O146" s="188"/>
      <c r="P146" s="189"/>
      <c r="Q146" s="190"/>
      <c r="R146" s="191"/>
      <c r="S146" s="192" t="n">
        <f aca="false">(K146+O146+Q146)*24 /1130+(L146+M146+P146+R146)*12/1130+(N146*30)/1130</f>
        <v>0.0212389380530973</v>
      </c>
      <c r="T146" s="193" t="n">
        <f aca="false">SUMIFS(K$3228:K$4138,$H$3228:$H$4138,$AD146)</f>
        <v>0</v>
      </c>
      <c r="U146" s="194" t="n">
        <f aca="false">SUMIFS(L$3228:L$4138,$H$3228:$H$4138,$AD146)</f>
        <v>0</v>
      </c>
      <c r="V146" s="195" t="n">
        <f aca="false">SUMIFS(M$3228:M$4138,$H$3228:$H$4138,$AD146)</f>
        <v>0</v>
      </c>
      <c r="W146" s="193" t="n">
        <f aca="false">SUMIFS(N$3228:N$4138,$H$3228:$H$4138,$AD146)</f>
        <v>0</v>
      </c>
      <c r="X146" s="193" t="n">
        <f aca="false">SUMIFS(O$3228:O$4138,$H$3228:$H$4138,$AD146)</f>
        <v>0</v>
      </c>
      <c r="Y146" s="196" t="n">
        <f aca="false">SUMIFS(P$3228:P$4138,$H$3228:$H$4138,$AD146)</f>
        <v>0</v>
      </c>
      <c r="Z146" s="193" t="n">
        <f aca="false">SUMIFS(Q$3228:Q$4138,$H$3228:$H$4138,$AD146)</f>
        <v>0</v>
      </c>
      <c r="AA146" s="195" t="n">
        <f aca="false">SUMIFS(R$3228:R$4138,$H$3228:$H$4138,$AD146)</f>
        <v>0</v>
      </c>
      <c r="AB146" s="197" t="n">
        <f aca="false">SUMIFS(S$3228:S$4138,$H$3228:$H$4138,$AD146)</f>
        <v>0</v>
      </c>
      <c r="AC146" s="198" t="n">
        <f aca="false">SUM(T146:AA146)</f>
        <v>0</v>
      </c>
      <c r="AD146" s="240" t="s">
        <v>216</v>
      </c>
      <c r="AE146" s="240" t="n">
        <v>1312</v>
      </c>
      <c r="AF146" s="223" t="s">
        <v>210</v>
      </c>
      <c r="AG146" s="231"/>
      <c r="AH146" s="231"/>
      <c r="AI146" s="203"/>
      <c r="BN146" s="255"/>
      <c r="BP146" s="255"/>
      <c r="BX146" s="205" t="n">
        <f aca="false">BV146*5+BW146*2</f>
        <v>0</v>
      </c>
    </row>
    <row r="147" customFormat="false" ht="15" hidden="false" customHeight="true" outlineLevel="0" collapsed="false">
      <c r="B147" s="127" t="n">
        <f aca="false">B146+D147-C147</f>
        <v>-1580.5</v>
      </c>
      <c r="D147" s="146" t="n">
        <v>270.25</v>
      </c>
      <c r="E147" s="147" t="n">
        <v>113</v>
      </c>
      <c r="F147" s="147" t="n">
        <f aca="false">IFERROR(VLOOKUP(H147,$AD$1:$AE$301,2,0),"")</f>
        <v>1008032</v>
      </c>
      <c r="G147" s="147" t="str">
        <f aca="false">IFERROR(VLOOKUP(F147,$AE$2:$AF$290,2, 0),"")</f>
        <v>ضباء</v>
      </c>
      <c r="H147" s="212" t="s">
        <v>101</v>
      </c>
      <c r="I147" s="246" t="n">
        <f aca="false">SUM(K147:R147)</f>
        <v>1</v>
      </c>
      <c r="J147" s="182" t="n">
        <v>45483</v>
      </c>
      <c r="K147" s="184"/>
      <c r="L147" s="185"/>
      <c r="M147" s="186" t="n">
        <v>1</v>
      </c>
      <c r="N147" s="187"/>
      <c r="O147" s="188"/>
      <c r="P147" s="189"/>
      <c r="Q147" s="190"/>
      <c r="R147" s="191"/>
      <c r="S147" s="192" t="n">
        <f aca="false">(K147+O147+Q147)*24 /1130+(L147+M147+P147+R147)*12/1130+(N147*30)/1130</f>
        <v>0.0106194690265487</v>
      </c>
      <c r="T147" s="193" t="n">
        <f aca="false">SUMIFS(K$3228:K$4138,$H$3228:$H$4138,$AD147)</f>
        <v>0</v>
      </c>
      <c r="U147" s="194" t="n">
        <f aca="false">SUMIFS(L$3228:L$4138,$H$3228:$H$4138,$AD147)</f>
        <v>0</v>
      </c>
      <c r="V147" s="195" t="n">
        <f aca="false">SUMIFS(M$3228:M$4138,$H$3228:$H$4138,$AD147)</f>
        <v>0</v>
      </c>
      <c r="W147" s="193" t="n">
        <f aca="false">SUMIFS(N$3228:N$4138,$H$3228:$H$4138,$AD147)</f>
        <v>0</v>
      </c>
      <c r="X147" s="193" t="n">
        <f aca="false">SUMIFS(O$3228:O$4138,$H$3228:$H$4138,$AD147)</f>
        <v>0</v>
      </c>
      <c r="Y147" s="196" t="n">
        <f aca="false">SUMIFS(P$3228:P$4138,$H$3228:$H$4138,$AD147)</f>
        <v>0</v>
      </c>
      <c r="Z147" s="193" t="n">
        <f aca="false">SUMIFS(Q$3228:Q$4138,$H$3228:$H$4138,$AD147)</f>
        <v>0</v>
      </c>
      <c r="AA147" s="195" t="n">
        <f aca="false">SUMIFS(R$3228:R$4138,$H$3228:$H$4138,$AD147)</f>
        <v>0</v>
      </c>
      <c r="AB147" s="197" t="n">
        <f aca="false">SUMIFS(S$3228:S$4138,$H$3228:$H$4138,$AD147)</f>
        <v>0</v>
      </c>
      <c r="AC147" s="198" t="n">
        <f aca="false">SUM(T147:AA147)</f>
        <v>0</v>
      </c>
      <c r="AD147" s="240" t="s">
        <v>217</v>
      </c>
      <c r="AE147" s="240" t="n">
        <v>1316</v>
      </c>
      <c r="AF147" s="223" t="s">
        <v>127</v>
      </c>
      <c r="AG147" s="231" t="s">
        <v>563</v>
      </c>
      <c r="AH147" s="231" t="n">
        <v>547667297</v>
      </c>
      <c r="AI147" s="218" t="s">
        <v>564</v>
      </c>
      <c r="BN147" s="255"/>
      <c r="BP147" s="255"/>
      <c r="BX147" s="205" t="n">
        <f aca="false">BV147*5+BW147*2</f>
        <v>0</v>
      </c>
    </row>
    <row r="148" customFormat="false" ht="15" hidden="false" customHeight="true" outlineLevel="0" collapsed="false">
      <c r="B148" s="127" t="n">
        <f aca="false">B147+D148-C148</f>
        <v>-1270</v>
      </c>
      <c r="D148" s="146" t="n">
        <f aca="false">2*155.25</f>
        <v>310.5</v>
      </c>
      <c r="E148" s="147" t="n">
        <v>111</v>
      </c>
      <c r="F148" s="147" t="n">
        <f aca="false">IFERROR(VLOOKUP(H148,$AD$1:$AE$301,2,0),"")</f>
        <v>1008025</v>
      </c>
      <c r="G148" s="147" t="str">
        <f aca="false">IFERROR(VLOOKUP(F148,$AE$2:$AF$290,2, 0),"")</f>
        <v>ضباء</v>
      </c>
      <c r="H148" s="212" t="s">
        <v>97</v>
      </c>
      <c r="I148" s="246" t="n">
        <f aca="false">SUM(K148:R148)</f>
        <v>2</v>
      </c>
      <c r="J148" s="182" t="n">
        <v>45483</v>
      </c>
      <c r="K148" s="184"/>
      <c r="L148" s="185"/>
      <c r="M148" s="186"/>
      <c r="N148" s="187"/>
      <c r="O148" s="188"/>
      <c r="P148" s="189"/>
      <c r="Q148" s="190"/>
      <c r="R148" s="191" t="n">
        <v>2</v>
      </c>
      <c r="S148" s="192" t="n">
        <f aca="false">(K148+O148+Q148)*24 /1130+(L148+M148+P148+R148)*12/1130+(N148*30)/1130</f>
        <v>0.0212389380530973</v>
      </c>
      <c r="T148" s="193" t="n">
        <f aca="false">SUMIFS(K$3228:K$4138,$H$3228:$H$4138,$AD148)</f>
        <v>0</v>
      </c>
      <c r="U148" s="194" t="n">
        <f aca="false">SUMIFS(L$3228:L$4138,$H$3228:$H$4138,$AD148)</f>
        <v>0</v>
      </c>
      <c r="V148" s="195" t="n">
        <f aca="false">SUMIFS(M$3228:M$4138,$H$3228:$H$4138,$AD148)</f>
        <v>0</v>
      </c>
      <c r="W148" s="193" t="n">
        <f aca="false">SUMIFS(N$3228:N$4138,$H$3228:$H$4138,$AD148)</f>
        <v>0</v>
      </c>
      <c r="X148" s="193" t="n">
        <f aca="false">SUMIFS(O$3228:O$4138,$H$3228:$H$4138,$AD148)</f>
        <v>0</v>
      </c>
      <c r="Y148" s="196" t="n">
        <f aca="false">SUMIFS(P$3228:P$4138,$H$3228:$H$4138,$AD148)</f>
        <v>0</v>
      </c>
      <c r="Z148" s="193" t="n">
        <f aca="false">SUMIFS(Q$3228:Q$4138,$H$3228:$H$4138,$AD148)</f>
        <v>0</v>
      </c>
      <c r="AA148" s="195" t="n">
        <f aca="false">SUMIFS(R$3228:R$4138,$H$3228:$H$4138,$AD148)</f>
        <v>0</v>
      </c>
      <c r="AB148" s="197" t="n">
        <f aca="false">SUMIFS(S$3228:S$4138,$H$3228:$H$4138,$AD148)</f>
        <v>0</v>
      </c>
      <c r="AC148" s="198" t="n">
        <f aca="false">SUM(T148:AA148)</f>
        <v>0</v>
      </c>
      <c r="AD148" s="240" t="s">
        <v>218</v>
      </c>
      <c r="AE148" s="240" t="n">
        <v>1315</v>
      </c>
      <c r="AF148" s="223" t="s">
        <v>127</v>
      </c>
      <c r="AG148" s="231" t="s">
        <v>565</v>
      </c>
      <c r="AH148" s="231" t="n">
        <v>507964983</v>
      </c>
      <c r="AI148" s="218" t="s">
        <v>566</v>
      </c>
      <c r="BN148" s="255"/>
      <c r="BP148" s="255"/>
      <c r="BX148" s="205" t="n">
        <f aca="false">BV148*5+BW148*2</f>
        <v>0</v>
      </c>
    </row>
    <row r="149" customFormat="false" ht="15" hidden="false" customHeight="true" outlineLevel="0" collapsed="false">
      <c r="B149" s="127" t="n">
        <f aca="false">B148+D149-C149</f>
        <v>-1011.25</v>
      </c>
      <c r="D149" s="146" t="n">
        <v>258.75</v>
      </c>
      <c r="E149" s="147" t="n">
        <v>114</v>
      </c>
      <c r="F149" s="147" t="n">
        <f aca="false">IFERROR(VLOOKUP(H149,$AD$1:$AE$301,2,0),"")</f>
        <v>1008050</v>
      </c>
      <c r="G149" s="147" t="str">
        <f aca="false">IFERROR(VLOOKUP(F149,$AE$2:$AF$290,2, 0),"")</f>
        <v>ضباء</v>
      </c>
      <c r="H149" s="212" t="s">
        <v>92</v>
      </c>
      <c r="I149" s="246" t="n">
        <f aca="false">SUM(K149:R149)</f>
        <v>1</v>
      </c>
      <c r="J149" s="182" t="n">
        <v>45483</v>
      </c>
      <c r="K149" s="184"/>
      <c r="L149" s="185"/>
      <c r="M149" s="186"/>
      <c r="N149" s="187"/>
      <c r="O149" s="188" t="n">
        <v>1</v>
      </c>
      <c r="P149" s="189"/>
      <c r="Q149" s="190"/>
      <c r="R149" s="191"/>
      <c r="S149" s="192" t="n">
        <f aca="false">(K149+O149+Q149)*24 /1130+(L149+M149+P149+R149)*12/1130+(N149*30)/1130</f>
        <v>0.0212389380530973</v>
      </c>
      <c r="T149" s="193" t="n">
        <f aca="false">SUMIFS(K$3228:K$4138,$H$3228:$H$4138,$AD149)</f>
        <v>0</v>
      </c>
      <c r="U149" s="194" t="n">
        <f aca="false">SUMIFS(L$3228:L$4138,$H$3228:$H$4138,$AD149)</f>
        <v>0</v>
      </c>
      <c r="V149" s="195" t="n">
        <f aca="false">SUMIFS(M$3228:M$4138,$H$3228:$H$4138,$AD149)</f>
        <v>0</v>
      </c>
      <c r="W149" s="193" t="n">
        <f aca="false">SUMIFS(N$3228:N$4138,$H$3228:$H$4138,$AD149)</f>
        <v>0</v>
      </c>
      <c r="X149" s="193" t="n">
        <f aca="false">SUMIFS(O$3228:O$4138,$H$3228:$H$4138,$AD149)</f>
        <v>0</v>
      </c>
      <c r="Y149" s="196" t="n">
        <f aca="false">SUMIFS(P$3228:P$4138,$H$3228:$H$4138,$AD149)</f>
        <v>0</v>
      </c>
      <c r="Z149" s="193" t="n">
        <f aca="false">SUMIFS(Q$3228:Q$4138,$H$3228:$H$4138,$AD149)</f>
        <v>0</v>
      </c>
      <c r="AA149" s="195" t="n">
        <f aca="false">SUMIFS(R$3228:R$4138,$H$3228:$H$4138,$AD149)</f>
        <v>0</v>
      </c>
      <c r="AB149" s="197" t="n">
        <f aca="false">SUMIFS(S$3228:S$4138,$H$3228:$H$4138,$AD149)</f>
        <v>0</v>
      </c>
      <c r="AC149" s="198" t="n">
        <f aca="false">SUM(T149:AA149)</f>
        <v>0</v>
      </c>
      <c r="AD149" s="221" t="s">
        <v>219</v>
      </c>
      <c r="AE149" s="221" t="n">
        <v>1064</v>
      </c>
      <c r="AF149" s="240" t="s">
        <v>127</v>
      </c>
      <c r="AG149" s="244"/>
      <c r="AH149" s="244"/>
      <c r="AI149" s="203" t="s">
        <v>567</v>
      </c>
      <c r="BX149" s="205" t="n">
        <f aca="false">BV149*5+BW149*2</f>
        <v>0</v>
      </c>
    </row>
    <row r="150" customFormat="false" ht="15" hidden="false" customHeight="true" outlineLevel="0" collapsed="false">
      <c r="B150" s="127" t="n">
        <f aca="false">B149+D150-C150</f>
        <v>-683.5</v>
      </c>
      <c r="D150" s="146" t="n">
        <v>327.75</v>
      </c>
      <c r="E150" s="147" t="n">
        <v>115</v>
      </c>
      <c r="F150" s="147" t="n">
        <f aca="false">IFERROR(VLOOKUP(H150,$AD$1:$AE$301,2,0),"")</f>
        <v>1008051</v>
      </c>
      <c r="G150" s="147" t="str">
        <f aca="false">IFERROR(VLOOKUP(F150,$AE$2:$AF$290,2, 0),"")</f>
        <v>الوجه</v>
      </c>
      <c r="H150" s="212" t="s">
        <v>113</v>
      </c>
      <c r="I150" s="246" t="n">
        <f aca="false">SUM(K150:R150)</f>
        <v>1</v>
      </c>
      <c r="J150" s="182" t="n">
        <v>45483</v>
      </c>
      <c r="K150" s="184" t="n">
        <v>1</v>
      </c>
      <c r="L150" s="185"/>
      <c r="M150" s="186"/>
      <c r="N150" s="187"/>
      <c r="O150" s="188"/>
      <c r="P150" s="189"/>
      <c r="Q150" s="190"/>
      <c r="R150" s="191"/>
      <c r="S150" s="192" t="n">
        <f aca="false">(K150+O150+Q150)*24 /1130+(L150+M150+P150+R150)*12/1130+(N150*30)/1130</f>
        <v>0.0212389380530973</v>
      </c>
      <c r="T150" s="193" t="n">
        <f aca="false">SUMIFS(K$3228:K$4138,$H$3228:$H$4138,$AD150)</f>
        <v>0</v>
      </c>
      <c r="U150" s="194" t="n">
        <f aca="false">SUMIFS(L$3228:L$4138,$H$3228:$H$4138,$AD150)</f>
        <v>0</v>
      </c>
      <c r="V150" s="195" t="n">
        <f aca="false">SUMIFS(M$3228:M$4138,$H$3228:$H$4138,$AD150)</f>
        <v>0</v>
      </c>
      <c r="W150" s="193" t="n">
        <f aca="false">SUMIFS(N$3228:N$4138,$H$3228:$H$4138,$AD150)</f>
        <v>0</v>
      </c>
      <c r="X150" s="193" t="n">
        <f aca="false">SUMIFS(O$3228:O$4138,$H$3228:$H$4138,$AD150)</f>
        <v>0</v>
      </c>
      <c r="Y150" s="196" t="n">
        <f aca="false">SUMIFS(P$3228:P$4138,$H$3228:$H$4138,$AD150)</f>
        <v>0</v>
      </c>
      <c r="Z150" s="193" t="n">
        <f aca="false">SUMIFS(Q$3228:Q$4138,$H$3228:$H$4138,$AD150)</f>
        <v>0</v>
      </c>
      <c r="AA150" s="195" t="n">
        <f aca="false">SUMIFS(R$3228:R$4138,$H$3228:$H$4138,$AD150)</f>
        <v>0</v>
      </c>
      <c r="AB150" s="197" t="n">
        <f aca="false">SUMIFS(S$3228:S$4138,$H$3228:$H$4138,$AD150)</f>
        <v>0</v>
      </c>
      <c r="AC150" s="198" t="n">
        <f aca="false">SUM(T150:AA150)</f>
        <v>0</v>
      </c>
      <c r="AD150" s="221" t="s">
        <v>220</v>
      </c>
      <c r="AE150" s="221" t="n">
        <v>1002851</v>
      </c>
      <c r="AF150" s="256" t="s">
        <v>127</v>
      </c>
      <c r="AG150" s="224" t="s">
        <v>568</v>
      </c>
      <c r="AH150" s="231" t="n">
        <v>532520433</v>
      </c>
      <c r="AI150" s="218" t="s">
        <v>569</v>
      </c>
      <c r="BN150" s="255"/>
      <c r="BP150" s="255"/>
      <c r="BX150" s="205" t="n">
        <f aca="false">BV150*5+BW150*2</f>
        <v>0</v>
      </c>
    </row>
    <row r="151" customFormat="false" ht="15" hidden="false" customHeight="true" outlineLevel="0" collapsed="false">
      <c r="B151" s="127" t="n">
        <f aca="false">B150+D151-C151</f>
        <v>-327</v>
      </c>
      <c r="D151" s="146" t="n">
        <f aca="false">2*178.25</f>
        <v>356.5</v>
      </c>
      <c r="E151" s="147" t="n">
        <v>117</v>
      </c>
      <c r="F151" s="147" t="n">
        <f aca="false">IFERROR(VLOOKUP(H151,$AD$1:$AE$301,2,0),"")</f>
        <v>1008043</v>
      </c>
      <c r="G151" s="147" t="str">
        <f aca="false">IFERROR(VLOOKUP(F151,$AE$2:$AF$290,2, 0),"")</f>
        <v>الوجه</v>
      </c>
      <c r="H151" s="212" t="s">
        <v>104</v>
      </c>
      <c r="I151" s="246" t="n">
        <f aca="false">SUM(K151:R151)</f>
        <v>2</v>
      </c>
      <c r="J151" s="182" t="n">
        <v>45483</v>
      </c>
      <c r="K151" s="184"/>
      <c r="L151" s="185" t="n">
        <v>2</v>
      </c>
      <c r="M151" s="186"/>
      <c r="N151" s="187"/>
      <c r="O151" s="188"/>
      <c r="P151" s="189"/>
      <c r="Q151" s="190"/>
      <c r="R151" s="191"/>
      <c r="S151" s="192" t="n">
        <f aca="false">(K151+O151+Q151)*24 /1130+(L151+M151+P151+R151)*12/1130+(N151*30)/1130</f>
        <v>0.0212389380530973</v>
      </c>
      <c r="T151" s="193" t="n">
        <f aca="false">SUMIFS(K$3228:K$4138,$H$3228:$H$4138,$AD151)</f>
        <v>0</v>
      </c>
      <c r="U151" s="194" t="n">
        <f aca="false">SUMIFS(L$3228:L$4138,$H$3228:$H$4138,$AD151)</f>
        <v>0</v>
      </c>
      <c r="V151" s="195" t="n">
        <f aca="false">SUMIFS(M$3228:M$4138,$H$3228:$H$4138,$AD151)</f>
        <v>0</v>
      </c>
      <c r="W151" s="193" t="n">
        <f aca="false">SUMIFS(N$3228:N$4138,$H$3228:$H$4138,$AD151)</f>
        <v>0</v>
      </c>
      <c r="X151" s="193" t="n">
        <f aca="false">SUMIFS(O$3228:O$4138,$H$3228:$H$4138,$AD151)</f>
        <v>0</v>
      </c>
      <c r="Y151" s="196" t="n">
        <f aca="false">SUMIFS(P$3228:P$4138,$H$3228:$H$4138,$AD151)</f>
        <v>0</v>
      </c>
      <c r="Z151" s="193" t="n">
        <f aca="false">SUMIFS(Q$3228:Q$4138,$H$3228:$H$4138,$AD151)</f>
        <v>0</v>
      </c>
      <c r="AA151" s="195" t="n">
        <f aca="false">SUMIFS(R$3228:R$4138,$H$3228:$H$4138,$AD151)</f>
        <v>0</v>
      </c>
      <c r="AB151" s="197" t="n">
        <f aca="false">SUMIFS(S$3228:S$4138,$H$3228:$H$4138,$AD151)</f>
        <v>0</v>
      </c>
      <c r="AC151" s="198" t="n">
        <f aca="false">SUM(T151:AA151)</f>
        <v>0</v>
      </c>
      <c r="AD151" s="240" t="s">
        <v>221</v>
      </c>
      <c r="AE151" s="240" t="n">
        <v>1002904</v>
      </c>
      <c r="AF151" s="223" t="s">
        <v>127</v>
      </c>
      <c r="AG151" s="231" t="s">
        <v>570</v>
      </c>
      <c r="AH151" s="231" t="n">
        <v>556417484</v>
      </c>
      <c r="AI151" s="218" t="s">
        <v>571</v>
      </c>
      <c r="BN151" s="255"/>
      <c r="BP151" s="255"/>
      <c r="BX151" s="205" t="n">
        <f aca="false">BV151*5+BW151*2</f>
        <v>0</v>
      </c>
    </row>
    <row r="152" customFormat="false" ht="15" hidden="false" customHeight="true" outlineLevel="0" collapsed="false">
      <c r="B152" s="127" t="n">
        <f aca="false">B151+D152-C152</f>
        <v>0.75</v>
      </c>
      <c r="D152" s="146" t="n">
        <v>327.75</v>
      </c>
      <c r="E152" s="147" t="n">
        <v>116</v>
      </c>
      <c r="F152" s="147" t="n">
        <f aca="false">IFERROR(VLOOKUP(H152,$AD$1:$AE$301,2,0),"")</f>
        <v>1008045</v>
      </c>
      <c r="G152" s="147" t="str">
        <f aca="false">IFERROR(VLOOKUP(F152,$AE$2:$AF$290,2, 0),"")</f>
        <v>الوجه</v>
      </c>
      <c r="H152" s="212" t="s">
        <v>107</v>
      </c>
      <c r="I152" s="246" t="n">
        <f aca="false">SUM(K152:R152)</f>
        <v>1</v>
      </c>
      <c r="J152" s="182" t="n">
        <v>45483</v>
      </c>
      <c r="K152" s="184" t="n">
        <v>1</v>
      </c>
      <c r="L152" s="185"/>
      <c r="M152" s="186"/>
      <c r="N152" s="187"/>
      <c r="O152" s="188"/>
      <c r="P152" s="189"/>
      <c r="Q152" s="190"/>
      <c r="R152" s="258"/>
      <c r="S152" s="192" t="n">
        <f aca="false">(K152+O152+Q152)*24 /1130+(L152+M152+P152+R152)*12/1130+(N152*30)/1130</f>
        <v>0.0212389380530973</v>
      </c>
      <c r="T152" s="193" t="n">
        <f aca="false">SUMIFS(K$3228:K$4138,$H$3228:$H$4138,$AD152)</f>
        <v>0</v>
      </c>
      <c r="U152" s="194" t="n">
        <f aca="false">SUMIFS(L$3228:L$4138,$H$3228:$H$4138,$AD152)</f>
        <v>0</v>
      </c>
      <c r="V152" s="195" t="n">
        <f aca="false">SUMIFS(M$3228:M$4138,$H$3228:$H$4138,$AD152)</f>
        <v>0</v>
      </c>
      <c r="W152" s="193" t="n">
        <f aca="false">SUMIFS(N$3228:N$4138,$H$3228:$H$4138,$AD152)</f>
        <v>0</v>
      </c>
      <c r="X152" s="193" t="n">
        <f aca="false">SUMIFS(O$3228:O$4138,$H$3228:$H$4138,$AD152)</f>
        <v>0</v>
      </c>
      <c r="Y152" s="196" t="n">
        <f aca="false">SUMIFS(P$3228:P$4138,$H$3228:$H$4138,$AD152)</f>
        <v>0</v>
      </c>
      <c r="Z152" s="193" t="n">
        <f aca="false">SUMIFS(Q$3228:Q$4138,$H$3228:$H$4138,$AD152)</f>
        <v>0</v>
      </c>
      <c r="AA152" s="195" t="n">
        <f aca="false">SUMIFS(R$3228:R$4138,$H$3228:$H$4138,$AD152)</f>
        <v>0</v>
      </c>
      <c r="AB152" s="197" t="n">
        <f aca="false">SUMIFS(S$3228:S$4138,$H$3228:$H$4138,$AD152)</f>
        <v>0</v>
      </c>
      <c r="AC152" s="198" t="n">
        <f aca="false">SUM(T152:AA152)</f>
        <v>0</v>
      </c>
      <c r="AD152" s="221" t="s">
        <v>222</v>
      </c>
      <c r="AE152" s="240" t="n">
        <v>540</v>
      </c>
      <c r="AF152" s="240" t="s">
        <v>127</v>
      </c>
      <c r="AG152" s="202" t="s">
        <v>572</v>
      </c>
      <c r="AH152" s="128" t="n">
        <v>0</v>
      </c>
      <c r="AI152" s="218" t="s">
        <v>573</v>
      </c>
      <c r="AP152" s="128" t="n">
        <f aca="false">10+10</f>
        <v>20</v>
      </c>
      <c r="AQ152" s="128" t="n">
        <v>18</v>
      </c>
      <c r="AR152" s="128" t="n">
        <v>24</v>
      </c>
      <c r="BX152" s="205" t="n">
        <f aca="false">BV152*5+BW152*2</f>
        <v>0</v>
      </c>
    </row>
    <row r="153" customFormat="false" ht="15" hidden="false" customHeight="true" outlineLevel="0" collapsed="false">
      <c r="B153" s="127" t="n">
        <f aca="false">B152+D153-C153</f>
        <v>328.5</v>
      </c>
      <c r="D153" s="146" t="n">
        <v>327.75</v>
      </c>
      <c r="E153" s="147" t="n">
        <v>118</v>
      </c>
      <c r="F153" s="147" t="n">
        <f aca="false">IFERROR(VLOOKUP(H153,$AD$1:$AE$301,2,0),"")</f>
        <v>1008030</v>
      </c>
      <c r="G153" s="147" t="str">
        <f aca="false">IFERROR(VLOOKUP(F153,$AE$2:$AF$290,2, 0),"")</f>
        <v>البير</v>
      </c>
      <c r="H153" s="212" t="s">
        <v>298</v>
      </c>
      <c r="I153" s="246" t="n">
        <f aca="false">SUM(K153:R153)</f>
        <v>1</v>
      </c>
      <c r="J153" s="182" t="n">
        <v>45483</v>
      </c>
      <c r="K153" s="184" t="n">
        <v>1</v>
      </c>
      <c r="L153" s="185"/>
      <c r="M153" s="186"/>
      <c r="N153" s="187"/>
      <c r="O153" s="188"/>
      <c r="P153" s="189"/>
      <c r="Q153" s="190"/>
      <c r="R153" s="259"/>
      <c r="S153" s="192" t="n">
        <f aca="false">(K153+O153+Q153)*24 /1130+(L153+M153+P153+R153)*12/1130+(N153*30)/1130</f>
        <v>0.0212389380530973</v>
      </c>
      <c r="T153" s="193" t="n">
        <f aca="false">SUMIFS(K$3228:K$4138,$H$3228:$H$4138,$AD153)</f>
        <v>0</v>
      </c>
      <c r="U153" s="194" t="n">
        <f aca="false">SUMIFS(L$3228:L$4138,$H$3228:$H$4138,$AD153)</f>
        <v>0</v>
      </c>
      <c r="V153" s="195" t="n">
        <f aca="false">SUMIFS(M$3228:M$4138,$H$3228:$H$4138,$AD153)</f>
        <v>0</v>
      </c>
      <c r="W153" s="193" t="n">
        <f aca="false">SUMIFS(N$3228:N$4138,$H$3228:$H$4138,$AD153)</f>
        <v>0</v>
      </c>
      <c r="X153" s="193" t="n">
        <f aca="false">SUMIFS(O$3228:O$4138,$H$3228:$H$4138,$AD153)</f>
        <v>0</v>
      </c>
      <c r="Y153" s="196" t="n">
        <f aca="false">SUMIFS(P$3228:P$4138,$H$3228:$H$4138,$AD153)</f>
        <v>0</v>
      </c>
      <c r="Z153" s="193" t="n">
        <f aca="false">SUMIFS(Q$3228:Q$4138,$H$3228:$H$4138,$AD153)</f>
        <v>0</v>
      </c>
      <c r="AA153" s="195" t="n">
        <f aca="false">SUMIFS(R$3228:R$4138,$H$3228:$H$4138,$AD153)</f>
        <v>0</v>
      </c>
      <c r="AB153" s="197" t="n">
        <f aca="false">SUMIFS(S$3228:S$4138,$H$3228:$H$4138,$AD153)</f>
        <v>0</v>
      </c>
      <c r="AC153" s="198" t="n">
        <f aca="false">SUM(T153:AA153)</f>
        <v>0</v>
      </c>
      <c r="AD153" s="240"/>
      <c r="AE153" s="240"/>
      <c r="AF153" s="240"/>
      <c r="AG153" s="128"/>
      <c r="AH153" s="128"/>
      <c r="AI153" s="203"/>
      <c r="BN153" s="255"/>
      <c r="BP153" s="255"/>
      <c r="BX153" s="205" t="n">
        <f aca="false">BV153*5+BW153*2</f>
        <v>0</v>
      </c>
    </row>
    <row r="154" customFormat="false" ht="15" hidden="false" customHeight="true" outlineLevel="0" collapsed="false">
      <c r="B154" s="127" t="n">
        <f aca="false">B153+D154-C154</f>
        <v>466.5</v>
      </c>
      <c r="D154" s="146" t="n">
        <v>138</v>
      </c>
      <c r="E154" s="147" t="n">
        <v>119</v>
      </c>
      <c r="F154" s="147" t="n">
        <f aca="false">IFERROR(VLOOKUP(H154,$AD$1:$AE$301,2,0),"")</f>
        <v>1007996</v>
      </c>
      <c r="G154" s="147" t="str">
        <f aca="false">IFERROR(VLOOKUP(F154,$AE$2:$AF$290,2, 0),"")</f>
        <v>البير</v>
      </c>
      <c r="H154" s="212" t="s">
        <v>295</v>
      </c>
      <c r="I154" s="246" t="n">
        <f aca="false">SUM(K154:R154)</f>
        <v>1</v>
      </c>
      <c r="J154" s="182" t="n">
        <v>45483</v>
      </c>
      <c r="K154" s="184"/>
      <c r="L154" s="185"/>
      <c r="M154" s="186"/>
      <c r="N154" s="187"/>
      <c r="O154" s="188"/>
      <c r="P154" s="189"/>
      <c r="Q154" s="190" t="n">
        <v>1</v>
      </c>
      <c r="R154" s="259"/>
      <c r="S154" s="192" t="n">
        <f aca="false">(K154+O154+Q154)*24 /1130+(L154+M154+P154+R154)*12/1130+(N154*30)/1130</f>
        <v>0.0212389380530973</v>
      </c>
      <c r="T154" s="193" t="n">
        <f aca="false">SUMIFS(K$3228:K$4138,$H$3228:$H$4138,$AD154)</f>
        <v>0</v>
      </c>
      <c r="U154" s="194" t="n">
        <f aca="false">SUMIFS(L$3228:L$4138,$H$3228:$H$4138,$AD154)</f>
        <v>0</v>
      </c>
      <c r="V154" s="195" t="n">
        <f aca="false">SUMIFS(M$3228:M$4138,$H$3228:$H$4138,$AD154)</f>
        <v>0</v>
      </c>
      <c r="W154" s="193" t="n">
        <f aca="false">SUMIFS(N$3228:N$4138,$H$3228:$H$4138,$AD154)</f>
        <v>0</v>
      </c>
      <c r="X154" s="193" t="n">
        <f aca="false">SUMIFS(O$3228:O$4138,$H$3228:$H$4138,$AD154)</f>
        <v>0</v>
      </c>
      <c r="Y154" s="196" t="n">
        <f aca="false">SUMIFS(P$3228:P$4138,$H$3228:$H$4138,$AD154)</f>
        <v>0</v>
      </c>
      <c r="Z154" s="193" t="n">
        <f aca="false">SUMIFS(Q$3228:Q$4138,$H$3228:$H$4138,$AD154)</f>
        <v>0</v>
      </c>
      <c r="AA154" s="195" t="n">
        <f aca="false">SUMIFS(R$3228:R$4138,$H$3228:$H$4138,$AD154)</f>
        <v>0</v>
      </c>
      <c r="AB154" s="197" t="n">
        <f aca="false">SUMIFS(S$3228:S$4138,$H$3228:$H$4138,$AD154)</f>
        <v>0</v>
      </c>
      <c r="AC154" s="198" t="n">
        <f aca="false">SUM(T154:AA154)</f>
        <v>0</v>
      </c>
      <c r="AD154" s="240"/>
      <c r="AE154" s="240"/>
      <c r="AF154" s="240"/>
      <c r="AG154" s="128"/>
      <c r="AH154" s="128"/>
      <c r="AI154" s="203"/>
      <c r="BN154" s="255"/>
      <c r="BP154" s="255"/>
      <c r="BX154" s="205" t="n">
        <f aca="false">BV154*5+BW154*2</f>
        <v>0</v>
      </c>
    </row>
    <row r="155" customFormat="false" ht="15" hidden="false" customHeight="true" outlineLevel="0" collapsed="false">
      <c r="B155" s="127" t="n">
        <f aca="false">B154+D155-C155</f>
        <v>0.75</v>
      </c>
      <c r="C155" s="127" t="n">
        <f aca="false">D153+D154</f>
        <v>465.75</v>
      </c>
      <c r="E155" s="212" t="s">
        <v>470</v>
      </c>
      <c r="F155" s="147" t="str">
        <f aca="false">IFERROR(VLOOKUP(H155,$AD$1:$AE$301,2,0),"")</f>
        <v/>
      </c>
      <c r="G155" s="147" t="str">
        <f aca="false">IFERROR(VLOOKUP(F155,$AE$2:$AF$290,2, 0),"")</f>
        <v/>
      </c>
      <c r="H155" s="212" t="s">
        <v>393</v>
      </c>
      <c r="I155" s="246" t="n">
        <f aca="false">SUM(K155:R155)</f>
        <v>0</v>
      </c>
      <c r="J155" s="182" t="n">
        <v>45483</v>
      </c>
      <c r="K155" s="184"/>
      <c r="L155" s="185"/>
      <c r="M155" s="186"/>
      <c r="N155" s="187"/>
      <c r="O155" s="188"/>
      <c r="P155" s="189"/>
      <c r="Q155" s="190"/>
      <c r="R155" s="191"/>
      <c r="S155" s="192" t="n">
        <f aca="false">(K155+O155+Q155)*24 /1130+(L155+M155+P155+R155)*12/1130+(N155*30)/1130</f>
        <v>0</v>
      </c>
      <c r="T155" s="193" t="n">
        <f aca="false">SUMIFS(K$3228:K$4138,$H$3228:$H$4138,$AD155)</f>
        <v>0</v>
      </c>
      <c r="U155" s="194" t="n">
        <f aca="false">SUMIFS(L$3228:L$4138,$H$3228:$H$4138,$AD155)</f>
        <v>0</v>
      </c>
      <c r="V155" s="195" t="n">
        <f aca="false">SUMIFS(M$3228:M$4138,$H$3228:$H$4138,$AD155)</f>
        <v>0</v>
      </c>
      <c r="W155" s="193" t="n">
        <f aca="false">SUMIFS(N$3228:N$4138,$H$3228:$H$4138,$AD155)</f>
        <v>0</v>
      </c>
      <c r="X155" s="193" t="n">
        <f aca="false">SUMIFS(O$3228:O$4138,$H$3228:$H$4138,$AD155)</f>
        <v>0</v>
      </c>
      <c r="Y155" s="196" t="n">
        <f aca="false">SUMIFS(P$3228:P$4138,$H$3228:$H$4138,$AD155)</f>
        <v>0</v>
      </c>
      <c r="Z155" s="193" t="n">
        <f aca="false">SUMIFS(Q$3228:Q$4138,$H$3228:$H$4138,$AD155)</f>
        <v>0</v>
      </c>
      <c r="AA155" s="195" t="n">
        <f aca="false">SUMIFS(R$3228:R$4138,$H$3228:$H$4138,$AD155)</f>
        <v>0</v>
      </c>
      <c r="AB155" s="197" t="n">
        <f aca="false">SUMIFS(S$3228:S$4138,$H$3228:$H$4138,$AD155)</f>
        <v>0</v>
      </c>
      <c r="AC155" s="198" t="n">
        <f aca="false">SUM(T155:AA155)</f>
        <v>0</v>
      </c>
      <c r="AD155" s="240"/>
      <c r="AE155" s="240"/>
      <c r="AF155" s="240"/>
      <c r="AG155" s="128"/>
      <c r="AH155" s="128"/>
      <c r="AI155" s="203"/>
      <c r="BN155" s="255"/>
      <c r="BP155" s="255"/>
      <c r="BX155" s="205" t="n">
        <f aca="false">BV155*5+BW155*2</f>
        <v>0</v>
      </c>
    </row>
    <row r="156" customFormat="false" ht="15" hidden="false" customHeight="true" outlineLevel="0" collapsed="false">
      <c r="B156" s="127" t="n">
        <f aca="false">B155+D156-C156</f>
        <v>328.5</v>
      </c>
      <c r="D156" s="146" t="n">
        <v>327.75</v>
      </c>
      <c r="E156" s="147" t="n">
        <v>120</v>
      </c>
      <c r="F156" s="147" t="n">
        <f aca="false">IFERROR(VLOOKUP(H156,$AD$1:$AE$301,2,0),"")</f>
        <v>1008012</v>
      </c>
      <c r="G156" s="147" t="str">
        <f aca="false">IFERROR(VLOOKUP(F156,$AE$2:$AF$290,2, 0),"")</f>
        <v>البدع</v>
      </c>
      <c r="H156" s="212" t="s">
        <v>320</v>
      </c>
      <c r="I156" s="246" t="n">
        <f aca="false">SUM(K156:R156)</f>
        <v>1</v>
      </c>
      <c r="J156" s="182" t="n">
        <v>45488</v>
      </c>
      <c r="K156" s="184" t="n">
        <v>1</v>
      </c>
      <c r="L156" s="185"/>
      <c r="M156" s="186"/>
      <c r="N156" s="187"/>
      <c r="O156" s="188"/>
      <c r="P156" s="189"/>
      <c r="Q156" s="190"/>
      <c r="R156" s="191"/>
      <c r="S156" s="192" t="n">
        <f aca="false">(K156+O156+Q156)*24 /1130+(L156+M156+P156+R156)*12/1130+(N156*30)/1130</f>
        <v>0.0212389380530973</v>
      </c>
      <c r="T156" s="193" t="n">
        <f aca="false">SUMIFS(K$3228:K$4138,$H$3228:$H$4138,$AD156)</f>
        <v>0</v>
      </c>
      <c r="U156" s="194" t="n">
        <f aca="false">SUMIFS(L$3228:L$4138,$H$3228:$H$4138,$AD156)</f>
        <v>0</v>
      </c>
      <c r="V156" s="195" t="n">
        <f aca="false">SUMIFS(M$3228:M$4138,$H$3228:$H$4138,$AD156)</f>
        <v>0</v>
      </c>
      <c r="W156" s="193" t="n">
        <f aca="false">SUMIFS(N$3228:N$4138,$H$3228:$H$4138,$AD156)</f>
        <v>0</v>
      </c>
      <c r="X156" s="193" t="n">
        <f aca="false">SUMIFS(O$3228:O$4138,$H$3228:$H$4138,$AD156)</f>
        <v>0</v>
      </c>
      <c r="Y156" s="196" t="n">
        <f aca="false">SUMIFS(P$3228:P$4138,$H$3228:$H$4138,$AD156)</f>
        <v>0</v>
      </c>
      <c r="Z156" s="193" t="n">
        <f aca="false">SUMIFS(Q$3228:Q$4138,$H$3228:$H$4138,$AD156)</f>
        <v>0</v>
      </c>
      <c r="AA156" s="195" t="n">
        <f aca="false">SUMIFS(R$3228:R$4138,$H$3228:$H$4138,$AD156)</f>
        <v>0</v>
      </c>
      <c r="AB156" s="197" t="n">
        <f aca="false">SUMIFS(S$3228:S$4138,$H$3228:$H$4138,$AD156)</f>
        <v>0</v>
      </c>
      <c r="AC156" s="198" t="n">
        <f aca="false">SUM(T156:AA156)</f>
        <v>0</v>
      </c>
      <c r="AD156" s="240"/>
      <c r="AE156" s="240"/>
      <c r="AF156" s="240"/>
      <c r="AG156" s="128"/>
      <c r="AH156" s="128"/>
      <c r="AI156" s="203"/>
      <c r="BN156" s="255"/>
      <c r="BP156" s="255"/>
      <c r="BX156" s="205" t="n">
        <f aca="false">BV156*5+BW156*2</f>
        <v>0</v>
      </c>
    </row>
    <row r="157" customFormat="false" ht="15" hidden="false" customHeight="true" outlineLevel="0" collapsed="false">
      <c r="B157" s="127" t="n">
        <f aca="false">B156+D157-C157</f>
        <v>-1482.25</v>
      </c>
      <c r="C157" s="127" t="n">
        <f aca="false">D156+500+983</f>
        <v>1810.75</v>
      </c>
      <c r="E157" s="212" t="s">
        <v>470</v>
      </c>
      <c r="F157" s="147" t="str">
        <f aca="false">IFERROR(VLOOKUP(H157,$AD$1:$AE$301,2,0),"")</f>
        <v/>
      </c>
      <c r="G157" s="147" t="str">
        <f aca="false">IFERROR(VLOOKUP(F157,$AE$2:$AF$290,2, 0),"")</f>
        <v/>
      </c>
      <c r="H157" s="212" t="s">
        <v>393</v>
      </c>
      <c r="I157" s="246" t="n">
        <f aca="false">SUM(K157:R157)</f>
        <v>0</v>
      </c>
      <c r="J157" s="182" t="n">
        <v>45488</v>
      </c>
      <c r="K157" s="184"/>
      <c r="L157" s="185"/>
      <c r="M157" s="186"/>
      <c r="N157" s="187"/>
      <c r="O157" s="188"/>
      <c r="P157" s="189"/>
      <c r="Q157" s="190"/>
      <c r="R157" s="191"/>
      <c r="S157" s="192" t="n">
        <f aca="false">(K157+O157+Q157)*24 /1130+(L157+M157+P157+R157)*12/1130+(N157*30)/1130</f>
        <v>0</v>
      </c>
      <c r="T157" s="193" t="n">
        <f aca="false">SUMIFS(K$3228:K$4138,$H$3228:$H$4138,$AD157)</f>
        <v>0</v>
      </c>
      <c r="U157" s="194" t="n">
        <f aca="false">SUMIFS(L$3228:L$4138,$H$3228:$H$4138,$AD157)</f>
        <v>0</v>
      </c>
      <c r="V157" s="195" t="n">
        <f aca="false">SUMIFS(M$3228:M$4138,$H$3228:$H$4138,$AD157)</f>
        <v>0</v>
      </c>
      <c r="W157" s="193" t="n">
        <f aca="false">SUMIFS(N$3228:N$4138,$H$3228:$H$4138,$AD157)</f>
        <v>0</v>
      </c>
      <c r="X157" s="193" t="n">
        <f aca="false">SUMIFS(O$3228:O$4138,$H$3228:$H$4138,$AD157)</f>
        <v>0</v>
      </c>
      <c r="Y157" s="196" t="n">
        <f aca="false">SUMIFS(P$3228:P$4138,$H$3228:$H$4138,$AD157)</f>
        <v>0</v>
      </c>
      <c r="Z157" s="193" t="n">
        <f aca="false">SUMIFS(Q$3228:Q$4138,$H$3228:$H$4138,$AD157)</f>
        <v>0</v>
      </c>
      <c r="AA157" s="195" t="n">
        <f aca="false">SUMIFS(R$3228:R$4138,$H$3228:$H$4138,$AD157)</f>
        <v>0</v>
      </c>
      <c r="AB157" s="197" t="n">
        <f aca="false">SUMIFS(S$3228:S$4138,$H$3228:$H$4138,$AD157)</f>
        <v>0</v>
      </c>
      <c r="AC157" s="198" t="n">
        <f aca="false">SUM(T157:AA157)</f>
        <v>0</v>
      </c>
      <c r="AD157" s="240"/>
      <c r="AE157" s="240"/>
      <c r="AF157" s="240"/>
      <c r="AG157" s="128"/>
      <c r="AH157" s="128"/>
      <c r="AI157" s="203"/>
      <c r="BN157" s="255"/>
      <c r="BP157" s="255"/>
      <c r="BX157" s="205" t="n">
        <f aca="false">BV157*5+BW157*2</f>
        <v>0</v>
      </c>
    </row>
    <row r="158" customFormat="false" ht="15" hidden="false" customHeight="true" outlineLevel="0" collapsed="false">
      <c r="B158" s="127" t="n">
        <f aca="false">B157+D158-C158</f>
        <v>-849.75</v>
      </c>
      <c r="D158" s="146" t="n">
        <f aca="false">316.25*2</f>
        <v>632.5</v>
      </c>
      <c r="E158" s="147" t="n">
        <v>122</v>
      </c>
      <c r="F158" s="147" t="n">
        <f aca="false">IFERROR(VLOOKUP(H158,$AD$1:$AE$301,2,0),"")</f>
        <v>1008010</v>
      </c>
      <c r="G158" s="147" t="str">
        <f aca="false">IFERROR(VLOOKUP(F158,$AE$2:$AF$290,2, 0),"")</f>
        <v>البدع</v>
      </c>
      <c r="H158" s="212" t="s">
        <v>318</v>
      </c>
      <c r="I158" s="246" t="n">
        <f aca="false">SUM(K158:R158)</f>
        <v>2</v>
      </c>
      <c r="J158" s="182" t="n">
        <v>45488</v>
      </c>
      <c r="K158" s="184"/>
      <c r="L158" s="185"/>
      <c r="M158" s="186"/>
      <c r="N158" s="187" t="n">
        <v>2</v>
      </c>
      <c r="O158" s="188"/>
      <c r="P158" s="189"/>
      <c r="Q158" s="190"/>
      <c r="R158" s="191"/>
      <c r="S158" s="192" t="n">
        <f aca="false">(K158+O158+Q158)*24 /1130+(L158+M158+P158+R158)*12/1130+(N158*30)/1130</f>
        <v>0.0530973451327434</v>
      </c>
      <c r="T158" s="193" t="n">
        <f aca="false">SUMIFS(K$3228:K$4138,$H$3228:$H$4138,$AD158)</f>
        <v>0</v>
      </c>
      <c r="U158" s="194" t="n">
        <f aca="false">SUMIFS(L$3228:L$4138,$H$3228:$H$4138,$AD158)</f>
        <v>0</v>
      </c>
      <c r="V158" s="195" t="n">
        <f aca="false">SUMIFS(M$3228:M$4138,$H$3228:$H$4138,$AD158)</f>
        <v>0</v>
      </c>
      <c r="W158" s="193" t="n">
        <f aca="false">SUMIFS(N$3228:N$4138,$H$3228:$H$4138,$AD158)</f>
        <v>0</v>
      </c>
      <c r="X158" s="193" t="n">
        <f aca="false">SUMIFS(O$3228:O$4138,$H$3228:$H$4138,$AD158)</f>
        <v>0</v>
      </c>
      <c r="Y158" s="196" t="n">
        <f aca="false">SUMIFS(P$3228:P$4138,$H$3228:$H$4138,$AD158)</f>
        <v>0</v>
      </c>
      <c r="Z158" s="193" t="n">
        <f aca="false">SUMIFS(Q$3228:Q$4138,$H$3228:$H$4138,$AD158)</f>
        <v>0</v>
      </c>
      <c r="AA158" s="195" t="n">
        <f aca="false">SUMIFS(R$3228:R$4138,$H$3228:$H$4138,$AD158)</f>
        <v>0</v>
      </c>
      <c r="AB158" s="197" t="n">
        <f aca="false">SUMIFS(S$3228:S$4138,$H$3228:$H$4138,$AD158)</f>
        <v>0</v>
      </c>
      <c r="AC158" s="198" t="n">
        <f aca="false">SUM(T158:AA158)</f>
        <v>0</v>
      </c>
      <c r="AD158" s="240"/>
      <c r="AE158" s="240"/>
      <c r="AF158" s="240"/>
      <c r="AG158" s="128"/>
      <c r="AH158" s="128"/>
      <c r="AI158" s="203"/>
      <c r="BN158" s="255"/>
      <c r="BP158" s="255"/>
      <c r="BX158" s="205" t="n">
        <f aca="false">BV158*5+BW158*2</f>
        <v>0</v>
      </c>
    </row>
    <row r="159" customFormat="false" ht="15" hidden="false" customHeight="true" outlineLevel="0" collapsed="false">
      <c r="B159" s="127" t="n">
        <f aca="false">B158+D159-C159</f>
        <v>133.5</v>
      </c>
      <c r="D159" s="146" t="n">
        <f aca="false">3*327.75</f>
        <v>983.25</v>
      </c>
      <c r="E159" s="147" t="n">
        <v>123</v>
      </c>
      <c r="F159" s="147" t="n">
        <f aca="false">IFERROR(VLOOKUP(H159,$AD$1:$AE$301,2,0),"")</f>
        <v>1008020</v>
      </c>
      <c r="G159" s="147" t="str">
        <f aca="false">IFERROR(VLOOKUP(F159,$AE$2:$AF$290,2, 0),"")</f>
        <v>البير</v>
      </c>
      <c r="H159" s="212" t="s">
        <v>293</v>
      </c>
      <c r="I159" s="246" t="n">
        <f aca="false">SUM(K159:R159)</f>
        <v>3</v>
      </c>
      <c r="J159" s="182" t="n">
        <v>45488</v>
      </c>
      <c r="K159" s="184" t="n">
        <v>3</v>
      </c>
      <c r="L159" s="185"/>
      <c r="M159" s="186"/>
      <c r="N159" s="187"/>
      <c r="O159" s="188"/>
      <c r="P159" s="189"/>
      <c r="Q159" s="190"/>
      <c r="R159" s="191"/>
      <c r="S159" s="192" t="n">
        <f aca="false">(K159+O159+Q159)*24 /1130+(L159+M159+P159+R159)*12/1130+(N159*30)/1130</f>
        <v>0.063716814159292</v>
      </c>
      <c r="T159" s="193" t="n">
        <f aca="false">SUMIFS(K$3228:K$4138,$H$3228:$H$4138,$AD159)</f>
        <v>0</v>
      </c>
      <c r="U159" s="194" t="n">
        <f aca="false">SUMIFS(L$3228:L$4138,$H$3228:$H$4138,$AD159)</f>
        <v>0</v>
      </c>
      <c r="V159" s="195" t="n">
        <f aca="false">SUMIFS(M$3228:M$4138,$H$3228:$H$4138,$AD159)</f>
        <v>0</v>
      </c>
      <c r="W159" s="193" t="n">
        <f aca="false">SUMIFS(N$3228:N$4138,$H$3228:$H$4138,$AD159)</f>
        <v>0</v>
      </c>
      <c r="X159" s="193" t="n">
        <f aca="false">SUMIFS(O$3228:O$4138,$H$3228:$H$4138,$AD159)</f>
        <v>0</v>
      </c>
      <c r="Y159" s="196" t="n">
        <f aca="false">SUMIFS(P$3228:P$4138,$H$3228:$H$4138,$AD159)</f>
        <v>0</v>
      </c>
      <c r="Z159" s="193" t="n">
        <f aca="false">SUMIFS(Q$3228:Q$4138,$H$3228:$H$4138,$AD159)</f>
        <v>0</v>
      </c>
      <c r="AA159" s="195" t="n">
        <f aca="false">SUMIFS(R$3228:R$4138,$H$3228:$H$4138,$AD159)</f>
        <v>0</v>
      </c>
      <c r="AB159" s="197" t="n">
        <f aca="false">SUMIFS(S$3228:S$4138,$H$3228:$H$4138,$AD159)</f>
        <v>0</v>
      </c>
      <c r="AC159" s="198" t="n">
        <f aca="false">SUM(T159:AA159)</f>
        <v>0</v>
      </c>
      <c r="AD159" s="240"/>
      <c r="AE159" s="240"/>
      <c r="AF159" s="240"/>
      <c r="AG159" s="128"/>
      <c r="AH159" s="128"/>
      <c r="AI159" s="203"/>
      <c r="BN159" s="255"/>
      <c r="BP159" s="255"/>
      <c r="BX159" s="205" t="n">
        <f aca="false">BV159*5+BW159*2</f>
        <v>0</v>
      </c>
    </row>
    <row r="160" customFormat="false" ht="15" hidden="false" customHeight="true" outlineLevel="0" collapsed="false">
      <c r="B160" s="127" t="n">
        <f aca="false">B159+D160-C160</f>
        <v>789</v>
      </c>
      <c r="D160" s="146" t="n">
        <f aca="false">2*327.75</f>
        <v>655.5</v>
      </c>
      <c r="E160" s="147" t="n">
        <v>121</v>
      </c>
      <c r="F160" s="147" t="n">
        <f aca="false">IFERROR(VLOOKUP(H160,$AD$1:$AE$301,2,0),"")</f>
        <v>1006522</v>
      </c>
      <c r="G160" s="147" t="str">
        <f aca="false">IFERROR(VLOOKUP(F160,$AE$2:$AF$290,2, 0),"")</f>
        <v>البدع</v>
      </c>
      <c r="H160" s="212" t="s">
        <v>317</v>
      </c>
      <c r="I160" s="246" t="n">
        <f aca="false">SUM(K160:R160)</f>
        <v>2</v>
      </c>
      <c r="J160" s="182" t="n">
        <v>45488</v>
      </c>
      <c r="K160" s="184" t="n">
        <v>2</v>
      </c>
      <c r="L160" s="185"/>
      <c r="M160" s="186"/>
      <c r="N160" s="187"/>
      <c r="O160" s="188"/>
      <c r="P160" s="189"/>
      <c r="Q160" s="190"/>
      <c r="R160" s="191"/>
      <c r="S160" s="192" t="n">
        <f aca="false">(K160+O160+Q160)*24 /1130+(L160+M160+P160+R160)*12/1130+(N160*30)/1130</f>
        <v>0.0424778761061947</v>
      </c>
      <c r="T160" s="193" t="n">
        <f aca="false">SUMIFS(K$3228:K$4138,$H$3228:$H$4138,$AD160)</f>
        <v>0</v>
      </c>
      <c r="U160" s="194" t="n">
        <f aca="false">SUMIFS(L$3228:L$4138,$H$3228:$H$4138,$AD160)</f>
        <v>0</v>
      </c>
      <c r="V160" s="195" t="n">
        <f aca="false">SUMIFS(M$3228:M$4138,$H$3228:$H$4138,$AD160)</f>
        <v>0</v>
      </c>
      <c r="W160" s="193" t="n">
        <f aca="false">SUMIFS(N$3228:N$4138,$H$3228:$H$4138,$AD160)</f>
        <v>0</v>
      </c>
      <c r="X160" s="193" t="n">
        <f aca="false">SUMIFS(O$3228:O$4138,$H$3228:$H$4138,$AD160)</f>
        <v>0</v>
      </c>
      <c r="Y160" s="196" t="n">
        <f aca="false">SUMIFS(P$3228:P$4138,$H$3228:$H$4138,$AD160)</f>
        <v>0</v>
      </c>
      <c r="Z160" s="193" t="n">
        <f aca="false">SUMIFS(Q$3228:Q$4138,$H$3228:$H$4138,$AD160)</f>
        <v>0</v>
      </c>
      <c r="AA160" s="195" t="n">
        <f aca="false">SUMIFS(R$3228:R$4138,$H$3228:$H$4138,$AD160)</f>
        <v>0</v>
      </c>
      <c r="AB160" s="197" t="n">
        <f aca="false">SUMIFS(S$3228:S$4138,$H$3228:$H$4138,$AD160)</f>
        <v>0</v>
      </c>
      <c r="AC160" s="198" t="n">
        <f aca="false">SUM(T160:AA160)</f>
        <v>0</v>
      </c>
      <c r="AD160" s="240"/>
      <c r="AE160" s="240"/>
      <c r="AF160" s="240"/>
      <c r="AG160" s="128"/>
      <c r="AH160" s="128"/>
      <c r="AI160" s="203"/>
      <c r="BN160" s="255"/>
      <c r="BP160" s="255"/>
      <c r="BX160" s="205" t="n">
        <f aca="false">BV160*5+BW160*2</f>
        <v>0</v>
      </c>
    </row>
    <row r="161" customFormat="false" ht="15" hidden="false" customHeight="true" outlineLevel="0" collapsed="false">
      <c r="B161" s="127" t="n">
        <f aca="false">B160+D161-C161</f>
        <v>0</v>
      </c>
      <c r="C161" s="127" t="n">
        <v>789</v>
      </c>
      <c r="E161" s="212" t="s">
        <v>529</v>
      </c>
      <c r="F161" s="147" t="str">
        <f aca="false">IFERROR(VLOOKUP(H161,$AD$1:$AE$301,2,0),"")</f>
        <v/>
      </c>
      <c r="G161" s="147" t="str">
        <f aca="false">IFERROR(VLOOKUP(F161,$AE$2:$AF$290,2, 0),"")</f>
        <v/>
      </c>
      <c r="H161" s="212" t="s">
        <v>393</v>
      </c>
      <c r="I161" s="246" t="n">
        <f aca="false">SUM(K161:R161)</f>
        <v>0</v>
      </c>
      <c r="J161" s="182" t="n">
        <v>45489</v>
      </c>
      <c r="K161" s="184"/>
      <c r="L161" s="185"/>
      <c r="M161" s="186"/>
      <c r="N161" s="187"/>
      <c r="O161" s="188"/>
      <c r="P161" s="189"/>
      <c r="Q161" s="190"/>
      <c r="R161" s="191"/>
      <c r="S161" s="192" t="n">
        <f aca="false">(K161+O161+Q161)*24 /1130+(L161+M161+P161+R161)*12/1130+(N161*30)/1130</f>
        <v>0</v>
      </c>
      <c r="T161" s="193" t="n">
        <f aca="false">SUMIFS(K$3228:K$4138,$H$3228:$H$4138,$AD161)</f>
        <v>0</v>
      </c>
      <c r="U161" s="194" t="n">
        <f aca="false">SUMIFS(L$3228:L$4138,$H$3228:$H$4138,$AD161)</f>
        <v>0</v>
      </c>
      <c r="V161" s="195" t="n">
        <f aca="false">SUMIFS(M$3228:M$4138,$H$3228:$H$4138,$AD161)</f>
        <v>0</v>
      </c>
      <c r="W161" s="193" t="n">
        <f aca="false">SUMIFS(N$3228:N$4138,$H$3228:$H$4138,$AD161)</f>
        <v>0</v>
      </c>
      <c r="X161" s="193" t="n">
        <f aca="false">SUMIFS(O$3228:O$4138,$H$3228:$H$4138,$AD161)</f>
        <v>0</v>
      </c>
      <c r="Y161" s="196" t="n">
        <f aca="false">SUMIFS(P$3228:P$4138,$H$3228:$H$4138,$AD161)</f>
        <v>0</v>
      </c>
      <c r="Z161" s="193" t="n">
        <f aca="false">SUMIFS(Q$3228:Q$4138,$H$3228:$H$4138,$AD161)</f>
        <v>0</v>
      </c>
      <c r="AA161" s="195" t="n">
        <f aca="false">SUMIFS(R$3228:R$4138,$H$3228:$H$4138,$AD161)</f>
        <v>0</v>
      </c>
      <c r="AB161" s="197" t="n">
        <f aca="false">SUMIFS(S$3228:S$4138,$H$3228:$H$4138,$AD161)</f>
        <v>0</v>
      </c>
      <c r="AC161" s="198" t="n">
        <f aca="false">SUM(T161:AA161)</f>
        <v>0</v>
      </c>
      <c r="AD161" s="240"/>
      <c r="AE161" s="240"/>
      <c r="AF161" s="240"/>
      <c r="AG161" s="128"/>
      <c r="AH161" s="128"/>
      <c r="AI161" s="203"/>
      <c r="BN161" s="255"/>
      <c r="BP161" s="255"/>
      <c r="BX161" s="205" t="n">
        <f aca="false">BV161*5+BW161*2</f>
        <v>0</v>
      </c>
    </row>
    <row r="162" customFormat="false" ht="15" hidden="true" customHeight="true" outlineLevel="0" collapsed="false">
      <c r="B162" s="127" t="n">
        <f aca="false">B161+D162-C162</f>
        <v>327.75</v>
      </c>
      <c r="D162" s="146" t="n">
        <v>327.75</v>
      </c>
      <c r="E162" s="147" t="n">
        <v>127</v>
      </c>
      <c r="F162" s="147" t="n">
        <f aca="false">IFERROR(VLOOKUP(H162,$AD$1:$AE$301,2,0),"")</f>
        <v>1008052</v>
      </c>
      <c r="G162" s="147" t="str">
        <f aca="false">IFERROR(VLOOKUP(F162,$AE$2:$AF$290,2, 0),"")</f>
        <v>ضباء</v>
      </c>
      <c r="H162" s="212" t="s">
        <v>93</v>
      </c>
      <c r="I162" s="246" t="n">
        <f aca="false">SUM(K162:R162)</f>
        <v>1</v>
      </c>
      <c r="J162" s="182" t="n">
        <v>45490</v>
      </c>
      <c r="K162" s="184" t="n">
        <v>1</v>
      </c>
      <c r="L162" s="185"/>
      <c r="M162" s="186"/>
      <c r="N162" s="187"/>
      <c r="O162" s="188"/>
      <c r="P162" s="189"/>
      <c r="Q162" s="190"/>
      <c r="R162" s="191"/>
      <c r="S162" s="192" t="n">
        <f aca="false">(K162+O162+Q162)*24 /1130+(L162+M162+P162+R162)*12/1130+(N162*30)/1130</f>
        <v>0.0212389380530973</v>
      </c>
      <c r="T162" s="193" t="n">
        <f aca="false">SUMIFS(K$3228:K$4138,$H$3228:$H$4138,$AD162)</f>
        <v>0</v>
      </c>
      <c r="U162" s="194" t="n">
        <f aca="false">SUMIFS(L$3228:L$4138,$H$3228:$H$4138,$AD162)</f>
        <v>0</v>
      </c>
      <c r="V162" s="195" t="n">
        <f aca="false">SUMIFS(M$3228:M$4138,$H$3228:$H$4138,$AD162)</f>
        <v>0</v>
      </c>
      <c r="W162" s="193" t="n">
        <f aca="false">SUMIFS(N$3228:N$4138,$H$3228:$H$4138,$AD162)</f>
        <v>0</v>
      </c>
      <c r="X162" s="193" t="n">
        <f aca="false">SUMIFS(O$3228:O$4138,$H$3228:$H$4138,$AD162)</f>
        <v>0</v>
      </c>
      <c r="Y162" s="196" t="n">
        <f aca="false">SUMIFS(P$3228:P$4138,$H$3228:$H$4138,$AD162)</f>
        <v>0</v>
      </c>
      <c r="Z162" s="193" t="n">
        <f aca="false">SUMIFS(Q$3228:Q$4138,$H$3228:$H$4138,$AD162)</f>
        <v>0</v>
      </c>
      <c r="AA162" s="195" t="n">
        <f aca="false">SUMIFS(R$3228:R$4138,$H$3228:$H$4138,$AD162)</f>
        <v>0</v>
      </c>
      <c r="AB162" s="197" t="n">
        <f aca="false">SUMIFS(S$3228:S$4138,$H$3228:$H$4138,$AD162)</f>
        <v>0</v>
      </c>
      <c r="AC162" s="198" t="n">
        <f aca="false">SUM(T162:AA162)</f>
        <v>0</v>
      </c>
      <c r="AD162" s="240"/>
      <c r="AE162" s="240"/>
      <c r="AF162" s="240"/>
      <c r="AG162" s="128"/>
      <c r="AH162" s="128"/>
      <c r="AI162" s="203"/>
      <c r="BN162" s="255"/>
      <c r="BP162" s="255"/>
      <c r="BX162" s="205" t="n">
        <f aca="false">BV162*5+BW162*2</f>
        <v>0</v>
      </c>
    </row>
    <row r="163" customFormat="false" ht="15" hidden="true" customHeight="true" outlineLevel="0" collapsed="false">
      <c r="B163" s="127" t="n">
        <f aca="false">B162+D163-C163</f>
        <v>879.75</v>
      </c>
      <c r="D163" s="146" t="n">
        <v>552</v>
      </c>
      <c r="E163" s="147" t="n">
        <v>126</v>
      </c>
      <c r="F163" s="147" t="n">
        <f aca="false">IFERROR(VLOOKUP(H163,$AD$1:$AE$301,2,0),"")</f>
        <v>1007989</v>
      </c>
      <c r="G163" s="147" t="str">
        <f aca="false">IFERROR(VLOOKUP(F163,$AE$2:$AF$290,2, 0),"")</f>
        <v>ضباء</v>
      </c>
      <c r="H163" s="212" t="s">
        <v>90</v>
      </c>
      <c r="I163" s="246" t="n">
        <f aca="false">SUM(K163:R163)</f>
        <v>2</v>
      </c>
      <c r="J163" s="182" t="n">
        <v>45490</v>
      </c>
      <c r="K163" s="184"/>
      <c r="L163" s="185"/>
      <c r="M163" s="186"/>
      <c r="N163" s="187" t="n">
        <v>1</v>
      </c>
      <c r="O163" s="188" t="n">
        <v>1</v>
      </c>
      <c r="P163" s="189"/>
      <c r="Q163" s="190"/>
      <c r="R163" s="191"/>
      <c r="S163" s="192" t="n">
        <f aca="false">(K163+O163+Q163)*24 /1130+(L163+M163+P163+R163)*12/1130+(N163*30)/1130</f>
        <v>0.047787610619469</v>
      </c>
      <c r="T163" s="193" t="n">
        <f aca="false">SUMIFS(K$3228:K$4138,$H$3228:$H$4138,$AD163)</f>
        <v>0</v>
      </c>
      <c r="U163" s="194" t="n">
        <f aca="false">SUMIFS(L$3228:L$4138,$H$3228:$H$4138,$AD163)</f>
        <v>0</v>
      </c>
      <c r="V163" s="195" t="n">
        <f aca="false">SUMIFS(M$3228:M$4138,$H$3228:$H$4138,$AD163)</f>
        <v>0</v>
      </c>
      <c r="W163" s="193" t="n">
        <f aca="false">SUMIFS(N$3228:N$4138,$H$3228:$H$4138,$AD163)</f>
        <v>0</v>
      </c>
      <c r="X163" s="193" t="n">
        <f aca="false">SUMIFS(O$3228:O$4138,$H$3228:$H$4138,$AD163)</f>
        <v>0</v>
      </c>
      <c r="Y163" s="196" t="n">
        <f aca="false">SUMIFS(P$3228:P$4138,$H$3228:$H$4138,$AD163)</f>
        <v>0</v>
      </c>
      <c r="Z163" s="193" t="n">
        <f aca="false">SUMIFS(Q$3228:Q$4138,$H$3228:$H$4138,$AD163)</f>
        <v>0</v>
      </c>
      <c r="AA163" s="195" t="n">
        <f aca="false">SUMIFS(R$3228:R$4138,$H$3228:$H$4138,$AD163)</f>
        <v>0</v>
      </c>
      <c r="AB163" s="197" t="n">
        <f aca="false">SUMIFS(S$3228:S$4138,$H$3228:$H$4138,$AD163)</f>
        <v>0</v>
      </c>
      <c r="AC163" s="198" t="n">
        <f aca="false">SUM(T163:AA163)</f>
        <v>0</v>
      </c>
      <c r="AD163" s="240"/>
      <c r="AE163" s="240"/>
      <c r="AF163" s="240"/>
      <c r="AG163" s="128"/>
      <c r="AH163" s="128"/>
      <c r="AI163" s="203"/>
      <c r="BN163" s="255"/>
      <c r="BP163" s="255"/>
      <c r="BX163" s="205" t="n">
        <f aca="false">BV163*5+BW163*2</f>
        <v>0</v>
      </c>
    </row>
    <row r="164" customFormat="false" ht="15" hidden="true" customHeight="true" outlineLevel="0" collapsed="false">
      <c r="B164" s="127" t="n">
        <f aca="false">B163+D164-C164</f>
        <v>1805.5</v>
      </c>
      <c r="D164" s="146" t="n">
        <f aca="false">270.25+(2*327.75)</f>
        <v>925.75</v>
      </c>
      <c r="E164" s="147" t="n">
        <v>125</v>
      </c>
      <c r="F164" s="147" t="n">
        <f aca="false">IFERROR(VLOOKUP(H164,$AD$1:$AE$301,2,0),"")</f>
        <v>1008022</v>
      </c>
      <c r="G164" s="147" t="str">
        <f aca="false">IFERROR(VLOOKUP(F164,$AE$2:$AF$290,2, 0),"")</f>
        <v>ضباء</v>
      </c>
      <c r="H164" s="212" t="s">
        <v>94</v>
      </c>
      <c r="I164" s="246" t="n">
        <f aca="false">SUM(K164:R164)</f>
        <v>3</v>
      </c>
      <c r="J164" s="182" t="n">
        <v>45490</v>
      </c>
      <c r="K164" s="184" t="n">
        <v>2</v>
      </c>
      <c r="L164" s="185"/>
      <c r="M164" s="186" t="n">
        <v>1</v>
      </c>
      <c r="N164" s="187"/>
      <c r="O164" s="188"/>
      <c r="P164" s="189"/>
      <c r="Q164" s="190"/>
      <c r="R164" s="191"/>
      <c r="S164" s="192" t="n">
        <f aca="false">(K164+O164+Q164)*24 /1130+(L164+M164+P164+R164)*12/1130+(N164*30)/1130</f>
        <v>0.0530973451327434</v>
      </c>
      <c r="T164" s="193" t="n">
        <f aca="false">SUMIFS(K$3228:K$4138,$H$3228:$H$4138,$AD164)</f>
        <v>0</v>
      </c>
      <c r="U164" s="194" t="n">
        <f aca="false">SUMIFS(L$3228:L$4138,$H$3228:$H$4138,$AD164)</f>
        <v>0</v>
      </c>
      <c r="V164" s="195" t="n">
        <f aca="false">SUMIFS(M$3228:M$4138,$H$3228:$H$4138,$AD164)</f>
        <v>0</v>
      </c>
      <c r="W164" s="193" t="n">
        <f aca="false">SUMIFS(N$3228:N$4138,$H$3228:$H$4138,$AD164)</f>
        <v>0</v>
      </c>
      <c r="X164" s="193" t="n">
        <f aca="false">SUMIFS(O$3228:O$4138,$H$3228:$H$4138,$AD164)</f>
        <v>0</v>
      </c>
      <c r="Y164" s="196" t="n">
        <f aca="false">SUMIFS(P$3228:P$4138,$H$3228:$H$4138,$AD164)</f>
        <v>0</v>
      </c>
      <c r="Z164" s="193" t="n">
        <f aca="false">SUMIFS(Q$3228:Q$4138,$H$3228:$H$4138,$AD164)</f>
        <v>0</v>
      </c>
      <c r="AA164" s="195" t="n">
        <f aca="false">SUMIFS(R$3228:R$4138,$H$3228:$H$4138,$AD164)</f>
        <v>0</v>
      </c>
      <c r="AB164" s="197" t="n">
        <f aca="false">SUMIFS(S$3228:S$4138,$H$3228:$H$4138,$AD164)</f>
        <v>0</v>
      </c>
      <c r="AC164" s="198" t="n">
        <f aca="false">SUM(T164:AA164)</f>
        <v>0</v>
      </c>
      <c r="AD164" s="240"/>
      <c r="AE164" s="240"/>
      <c r="AF164" s="240"/>
      <c r="AG164" s="128"/>
      <c r="AH164" s="128"/>
      <c r="AI164" s="203"/>
      <c r="BN164" s="255"/>
      <c r="BP164" s="255"/>
      <c r="BX164" s="205" t="n">
        <f aca="false">BV164*5+BW164*2</f>
        <v>0</v>
      </c>
    </row>
    <row r="165" customFormat="false" ht="15" hidden="true" customHeight="true" outlineLevel="0" collapsed="false">
      <c r="B165" s="127" t="n">
        <f aca="false">B164+D165-C165</f>
        <v>2461</v>
      </c>
      <c r="D165" s="146" t="n">
        <f aca="false">327.75*2</f>
        <v>655.5</v>
      </c>
      <c r="E165" s="147" t="n">
        <v>124</v>
      </c>
      <c r="F165" s="147" t="n">
        <f aca="false">IFERROR(VLOOKUP(H165,$AD$1:$AE$301,2,0),"")</f>
        <v>1008027</v>
      </c>
      <c r="G165" s="147" t="str">
        <f aca="false">IFERROR(VLOOKUP(F165,$AE$2:$AF$290,2, 0),"")</f>
        <v>ضباء</v>
      </c>
      <c r="H165" s="212" t="s">
        <v>100</v>
      </c>
      <c r="I165" s="246" t="n">
        <f aca="false">SUM(K165:R165)</f>
        <v>2</v>
      </c>
      <c r="J165" s="182" t="n">
        <v>45490</v>
      </c>
      <c r="K165" s="184" t="n">
        <v>2</v>
      </c>
      <c r="L165" s="185"/>
      <c r="M165" s="186"/>
      <c r="N165" s="187"/>
      <c r="O165" s="188"/>
      <c r="P165" s="189"/>
      <c r="Q165" s="190"/>
      <c r="R165" s="191"/>
      <c r="S165" s="192" t="n">
        <f aca="false">(K165+O165+Q165)*24 /1130+(L165+M165+P165+R165)*12/1130+(N165*30)/1130</f>
        <v>0.0424778761061947</v>
      </c>
      <c r="T165" s="193" t="n">
        <f aca="false">SUMIFS(K$3228:K$4138,$H$3228:$H$4138,$AD165)</f>
        <v>0</v>
      </c>
      <c r="U165" s="194" t="n">
        <f aca="false">SUMIFS(L$3228:L$4138,$H$3228:$H$4138,$AD165)</f>
        <v>0</v>
      </c>
      <c r="V165" s="195" t="n">
        <f aca="false">SUMIFS(M$3228:M$4138,$H$3228:$H$4138,$AD165)</f>
        <v>0</v>
      </c>
      <c r="W165" s="193" t="n">
        <f aca="false">SUMIFS(N$3228:N$4138,$H$3228:$H$4138,$AD165)</f>
        <v>0</v>
      </c>
      <c r="X165" s="193" t="n">
        <f aca="false">SUMIFS(O$3228:O$4138,$H$3228:$H$4138,$AD165)</f>
        <v>0</v>
      </c>
      <c r="Y165" s="196" t="n">
        <f aca="false">SUMIFS(P$3228:P$4138,$H$3228:$H$4138,$AD165)</f>
        <v>0</v>
      </c>
      <c r="Z165" s="193" t="n">
        <f aca="false">SUMIFS(Q$3228:Q$4138,$H$3228:$H$4138,$AD165)</f>
        <v>0</v>
      </c>
      <c r="AA165" s="195" t="n">
        <f aca="false">SUMIFS(R$3228:R$4138,$H$3228:$H$4138,$AD165)</f>
        <v>0</v>
      </c>
      <c r="AB165" s="197" t="n">
        <f aca="false">SUMIFS(S$3228:S$4138,$H$3228:$H$4138,$AD165)</f>
        <v>0</v>
      </c>
      <c r="AC165" s="198" t="n">
        <f aca="false">SUM(T165:AA165)</f>
        <v>0</v>
      </c>
      <c r="AD165" s="240"/>
      <c r="AE165" s="240"/>
      <c r="AF165" s="240"/>
      <c r="AG165" s="128"/>
      <c r="AH165" s="128"/>
      <c r="AI165" s="203"/>
      <c r="BN165" s="255"/>
      <c r="BP165" s="255"/>
      <c r="BX165" s="205" t="n">
        <f aca="false">BV165*5+BW165*2</f>
        <v>0</v>
      </c>
    </row>
    <row r="166" customFormat="false" ht="15" hidden="true" customHeight="true" outlineLevel="0" collapsed="false">
      <c r="B166" s="127" t="n">
        <f aca="false">B165+D166-C166</f>
        <v>-1782.5</v>
      </c>
      <c r="C166" s="127" t="n">
        <f aca="false">D163+(D144/2)+D164+0.5+1250+693</f>
        <v>4243.5</v>
      </c>
      <c r="E166" s="212" t="s">
        <v>470</v>
      </c>
      <c r="F166" s="147" t="str">
        <f aca="false">IFERROR(VLOOKUP(H166,$AD$1:$AE$301,2,0),"")</f>
        <v/>
      </c>
      <c r="G166" s="147" t="str">
        <f aca="false">IFERROR(VLOOKUP(F166,$AE$2:$AF$290,2, 0),"")</f>
        <v/>
      </c>
      <c r="H166" s="212" t="s">
        <v>393</v>
      </c>
      <c r="I166" s="246" t="n">
        <f aca="false">SUM(K166:R166)</f>
        <v>0</v>
      </c>
      <c r="J166" s="182" t="n">
        <v>45490</v>
      </c>
      <c r="K166" s="184"/>
      <c r="L166" s="185"/>
      <c r="M166" s="186"/>
      <c r="N166" s="187"/>
      <c r="O166" s="188"/>
      <c r="P166" s="189"/>
      <c r="Q166" s="190"/>
      <c r="R166" s="191"/>
      <c r="S166" s="192" t="n">
        <f aca="false">(K166+O166+Q166)*24 /1130+(L166+M166+P166+R166)*12/1130+(N166*30)/1130</f>
        <v>0</v>
      </c>
      <c r="T166" s="193" t="n">
        <f aca="false">SUMIFS(K$3228:K$4138,$H$3228:$H$4138,$AD166)</f>
        <v>0</v>
      </c>
      <c r="U166" s="194" t="n">
        <f aca="false">SUMIFS(L$3228:L$4138,$H$3228:$H$4138,$AD166)</f>
        <v>0</v>
      </c>
      <c r="V166" s="195" t="n">
        <f aca="false">SUMIFS(M$3228:M$4138,$H$3228:$H$4138,$AD166)</f>
        <v>0</v>
      </c>
      <c r="W166" s="193" t="n">
        <f aca="false">SUMIFS(N$3228:N$4138,$H$3228:$H$4138,$AD166)</f>
        <v>0</v>
      </c>
      <c r="X166" s="193" t="n">
        <f aca="false">SUMIFS(O$3228:O$4138,$H$3228:$H$4138,$AD166)</f>
        <v>0</v>
      </c>
      <c r="Y166" s="196" t="n">
        <f aca="false">SUMIFS(P$3228:P$4138,$H$3228:$H$4138,$AD166)</f>
        <v>0</v>
      </c>
      <c r="Z166" s="193" t="n">
        <f aca="false">SUMIFS(Q$3228:Q$4138,$H$3228:$H$4138,$AD166)</f>
        <v>0</v>
      </c>
      <c r="AA166" s="195" t="n">
        <f aca="false">SUMIFS(R$3228:R$4138,$H$3228:$H$4138,$AD166)</f>
        <v>0</v>
      </c>
      <c r="AB166" s="197" t="n">
        <f aca="false">SUMIFS(S$3228:S$4138,$H$3228:$H$4138,$AD166)</f>
        <v>0</v>
      </c>
      <c r="AC166" s="198" t="n">
        <f aca="false">SUM(T166:AA166)</f>
        <v>0</v>
      </c>
      <c r="AD166" s="240"/>
      <c r="AE166" s="240"/>
      <c r="AF166" s="240"/>
      <c r="AG166" s="128"/>
      <c r="AH166" s="128"/>
      <c r="AI166" s="203"/>
      <c r="BN166" s="255"/>
      <c r="BP166" s="255"/>
      <c r="BX166" s="205" t="n">
        <f aca="false">BV166*5+BW166*2</f>
        <v>0</v>
      </c>
    </row>
    <row r="167" customFormat="false" ht="15" hidden="true" customHeight="true" outlineLevel="0" collapsed="false">
      <c r="B167" s="127" t="n">
        <f aca="false">B166+D167-C167</f>
        <v>-799.25</v>
      </c>
      <c r="D167" s="146" t="n">
        <f aca="false">3*327.75</f>
        <v>983.25</v>
      </c>
      <c r="E167" s="147" t="n">
        <v>128</v>
      </c>
      <c r="F167" s="147" t="n">
        <f aca="false">IFERROR(VLOOKUP(H167,$AD$1:$AE$301,2,0),"")</f>
        <v>1008047</v>
      </c>
      <c r="G167" s="147" t="str">
        <f aca="false">IFERROR(VLOOKUP(F167,$AE$2:$AF$290,2, 0),"")</f>
        <v>الوجه</v>
      </c>
      <c r="H167" s="212" t="s">
        <v>422</v>
      </c>
      <c r="I167" s="246" t="n">
        <f aca="false">SUM(K167:R167)</f>
        <v>3</v>
      </c>
      <c r="J167" s="182" t="n">
        <v>45490</v>
      </c>
      <c r="K167" s="184" t="n">
        <v>3</v>
      </c>
      <c r="L167" s="185"/>
      <c r="M167" s="186"/>
      <c r="N167" s="187"/>
      <c r="O167" s="188"/>
      <c r="P167" s="189"/>
      <c r="Q167" s="190"/>
      <c r="R167" s="191"/>
      <c r="S167" s="192" t="n">
        <f aca="false">(K167+O167+Q167)*24 /1130+(L167+M167+P167+R167)*12/1130+(N167*30)/1130</f>
        <v>0.063716814159292</v>
      </c>
      <c r="T167" s="193" t="n">
        <f aca="false">SUMIFS(K$3228:K$4138,$H$3228:$H$4138,$AD167)</f>
        <v>0</v>
      </c>
      <c r="U167" s="194" t="n">
        <f aca="false">SUMIFS(L$3228:L$4138,$H$3228:$H$4138,$AD167)</f>
        <v>0</v>
      </c>
      <c r="V167" s="195" t="n">
        <f aca="false">SUMIFS(M$3228:M$4138,$H$3228:$H$4138,$AD167)</f>
        <v>0</v>
      </c>
      <c r="W167" s="193" t="n">
        <f aca="false">SUMIFS(N$3228:N$4138,$H$3228:$H$4138,$AD167)</f>
        <v>0</v>
      </c>
      <c r="X167" s="193" t="n">
        <f aca="false">SUMIFS(O$3228:O$4138,$H$3228:$H$4138,$AD167)</f>
        <v>0</v>
      </c>
      <c r="Y167" s="196" t="n">
        <f aca="false">SUMIFS(P$3228:P$4138,$H$3228:$H$4138,$AD167)</f>
        <v>0</v>
      </c>
      <c r="Z167" s="193" t="n">
        <f aca="false">SUMIFS(Q$3228:Q$4138,$H$3228:$H$4138,$AD167)</f>
        <v>0</v>
      </c>
      <c r="AA167" s="195" t="n">
        <f aca="false">SUMIFS(R$3228:R$4138,$H$3228:$H$4138,$AD167)</f>
        <v>0</v>
      </c>
      <c r="AB167" s="197" t="n">
        <f aca="false">SUMIFS(S$3228:S$4138,$H$3228:$H$4138,$AD167)</f>
        <v>0</v>
      </c>
      <c r="AC167" s="198" t="n">
        <f aca="false">SUM(T167:AA167)</f>
        <v>0</v>
      </c>
      <c r="AD167" s="240"/>
      <c r="AE167" s="240"/>
      <c r="AF167" s="240"/>
      <c r="AG167" s="128"/>
      <c r="AH167" s="128"/>
      <c r="AI167" s="203"/>
      <c r="BN167" s="255"/>
      <c r="BP167" s="255"/>
      <c r="BX167" s="205" t="n">
        <f aca="false">BV167*5+BW167*2</f>
        <v>0</v>
      </c>
    </row>
    <row r="168" customFormat="false" ht="15" hidden="true" customHeight="true" outlineLevel="0" collapsed="false">
      <c r="B168" s="127" t="n">
        <f aca="false">B167+D168-C168</f>
        <v>-552</v>
      </c>
      <c r="D168" s="146" t="n">
        <v>247.25</v>
      </c>
      <c r="E168" s="147" t="n">
        <v>129</v>
      </c>
      <c r="F168" s="147" t="n">
        <f aca="false">IFERROR(VLOOKUP(H168,$AD$1:$AE$301,2,0),"")</f>
        <v>1007980</v>
      </c>
      <c r="G168" s="147" t="str">
        <f aca="false">IFERROR(VLOOKUP(F168,$AE$2:$AF$290,2, 0),"")</f>
        <v>ضباء</v>
      </c>
      <c r="H168" s="212" t="s">
        <v>81</v>
      </c>
      <c r="I168" s="246" t="n">
        <f aca="false">SUM(K168:R168)</f>
        <v>1</v>
      </c>
      <c r="J168" s="182" t="n">
        <v>45490</v>
      </c>
      <c r="K168" s="184"/>
      <c r="L168" s="185"/>
      <c r="M168" s="186"/>
      <c r="N168" s="187"/>
      <c r="O168" s="188" t="n">
        <v>1</v>
      </c>
      <c r="P168" s="189"/>
      <c r="Q168" s="190"/>
      <c r="R168" s="191"/>
      <c r="S168" s="192" t="n">
        <f aca="false">(K168+O168+Q168)*24 /1130+(L168+M168+P168+R168)*12/1130+(N168*30)/1130</f>
        <v>0.0212389380530973</v>
      </c>
      <c r="T168" s="193" t="n">
        <f aca="false">SUMIFS(K$3228:K$4138,$H$3228:$H$4138,$AD168)</f>
        <v>0</v>
      </c>
      <c r="U168" s="194" t="n">
        <f aca="false">SUMIFS(L$3228:L$4138,$H$3228:$H$4138,$AD168)</f>
        <v>0</v>
      </c>
      <c r="V168" s="195" t="n">
        <f aca="false">SUMIFS(M$3228:M$4138,$H$3228:$H$4138,$AD168)</f>
        <v>0</v>
      </c>
      <c r="W168" s="193" t="n">
        <f aca="false">SUMIFS(N$3228:N$4138,$H$3228:$H$4138,$AD168)</f>
        <v>0</v>
      </c>
      <c r="X168" s="193" t="n">
        <f aca="false">SUMIFS(O$3228:O$4138,$H$3228:$H$4138,$AD168)</f>
        <v>0</v>
      </c>
      <c r="Y168" s="196" t="n">
        <f aca="false">SUMIFS(P$3228:P$4138,$H$3228:$H$4138,$AD168)</f>
        <v>0</v>
      </c>
      <c r="Z168" s="193" t="n">
        <f aca="false">SUMIFS(Q$3228:Q$4138,$H$3228:$H$4138,$AD168)</f>
        <v>0</v>
      </c>
      <c r="AA168" s="195" t="n">
        <f aca="false">SUMIFS(R$3228:R$4138,$H$3228:$H$4138,$AD168)</f>
        <v>0</v>
      </c>
      <c r="AB168" s="197" t="n">
        <f aca="false">SUMIFS(S$3228:S$4138,$H$3228:$H$4138,$AD168)</f>
        <v>0</v>
      </c>
      <c r="AC168" s="198" t="n">
        <f aca="false">SUM(T168:AA168)</f>
        <v>0</v>
      </c>
      <c r="AD168" s="240"/>
      <c r="AE168" s="240"/>
      <c r="AF168" s="240"/>
      <c r="AG168" s="128"/>
      <c r="AH168" s="128"/>
      <c r="AI168" s="203"/>
      <c r="BN168" s="255"/>
      <c r="BP168" s="255"/>
      <c r="BX168" s="205" t="n">
        <f aca="false">BV168*5+BW168*2</f>
        <v>0</v>
      </c>
    </row>
    <row r="169" customFormat="false" ht="15" hidden="true" customHeight="true" outlineLevel="0" collapsed="false">
      <c r="B169" s="127" t="n">
        <f aca="false">B168+D169-C169</f>
        <v>0</v>
      </c>
      <c r="D169" s="146" t="n">
        <f aca="false">303.6+248.4</f>
        <v>552</v>
      </c>
      <c r="E169" s="147" t="n">
        <v>130</v>
      </c>
      <c r="F169" s="147" t="n">
        <f aca="false">IFERROR(VLOOKUP(H169,$AD$1:$AE$301,2,0),"")</f>
        <v>1007974</v>
      </c>
      <c r="G169" s="147" t="str">
        <f aca="false">IFERROR(VLOOKUP(F169,$AE$2:$AF$290,2, 0),"")</f>
        <v>ضباء</v>
      </c>
      <c r="H169" s="212" t="s">
        <v>74</v>
      </c>
      <c r="I169" s="246" t="n">
        <f aca="false">SUM(K169:R169)</f>
        <v>2</v>
      </c>
      <c r="J169" s="182" t="n">
        <v>45490</v>
      </c>
      <c r="K169" s="184"/>
      <c r="L169" s="185"/>
      <c r="M169" s="186"/>
      <c r="N169" s="187" t="n">
        <v>1</v>
      </c>
      <c r="O169" s="188" t="n">
        <v>1</v>
      </c>
      <c r="P169" s="189"/>
      <c r="Q169" s="190"/>
      <c r="R169" s="191"/>
      <c r="S169" s="192" t="n">
        <f aca="false">(K169+O169+Q169)*24 /1130+(L169+M169+P169+R169)*12/1130+(N169*30)/1130</f>
        <v>0.047787610619469</v>
      </c>
      <c r="T169" s="193" t="n">
        <f aca="false">SUMIFS(K$3228:K$4138,$H$3228:$H$4138,$AD169)</f>
        <v>0</v>
      </c>
      <c r="U169" s="194" t="n">
        <f aca="false">SUMIFS(L$3228:L$4138,$H$3228:$H$4138,$AD169)</f>
        <v>0</v>
      </c>
      <c r="V169" s="195" t="n">
        <f aca="false">SUMIFS(M$3228:M$4138,$H$3228:$H$4138,$AD169)</f>
        <v>0</v>
      </c>
      <c r="W169" s="193" t="n">
        <f aca="false">SUMIFS(N$3228:N$4138,$H$3228:$H$4138,$AD169)</f>
        <v>0</v>
      </c>
      <c r="X169" s="193" t="n">
        <f aca="false">SUMIFS(O$3228:O$4138,$H$3228:$H$4138,$AD169)</f>
        <v>0</v>
      </c>
      <c r="Y169" s="196" t="n">
        <f aca="false">SUMIFS(P$3228:P$4138,$H$3228:$H$4138,$AD169)</f>
        <v>0</v>
      </c>
      <c r="Z169" s="193" t="n">
        <f aca="false">SUMIFS(Q$3228:Q$4138,$H$3228:$H$4138,$AD169)</f>
        <v>0</v>
      </c>
      <c r="AA169" s="195" t="n">
        <f aca="false">SUMIFS(R$3228:R$4138,$H$3228:$H$4138,$AD169)</f>
        <v>0</v>
      </c>
      <c r="AB169" s="197" t="n">
        <f aca="false">SUMIFS(S$3228:S$4138,$H$3228:$H$4138,$AD169)</f>
        <v>0</v>
      </c>
      <c r="AC169" s="198" t="n">
        <f aca="false">SUM(T169:AA169)</f>
        <v>0</v>
      </c>
      <c r="AD169" s="240"/>
      <c r="AE169" s="240"/>
      <c r="AF169" s="240"/>
      <c r="AG169" s="128"/>
      <c r="AH169" s="128"/>
      <c r="AI169" s="203"/>
      <c r="BN169" s="255"/>
      <c r="BP169" s="255"/>
      <c r="BX169" s="205" t="n">
        <f aca="false">BV169*5+BW169*2</f>
        <v>0</v>
      </c>
    </row>
    <row r="170" customFormat="false" ht="15" hidden="true" customHeight="true" outlineLevel="0" collapsed="false">
      <c r="B170" s="127" t="n">
        <f aca="false">B169+D170-C170</f>
        <v>155.25</v>
      </c>
      <c r="D170" s="146" t="n">
        <v>155.25</v>
      </c>
      <c r="E170" s="147" t="n">
        <v>131</v>
      </c>
      <c r="F170" s="147" t="n">
        <f aca="false">IFERROR(VLOOKUP(H170,$AD$1:$AE$301,2,0),"")</f>
        <v>1002899</v>
      </c>
      <c r="G170" s="147" t="str">
        <f aca="false">IFERROR(VLOOKUP(F170,$AE$2:$AF$290,2, 0),"")</f>
        <v>تبوك</v>
      </c>
      <c r="H170" s="212" t="s">
        <v>156</v>
      </c>
      <c r="I170" s="246" t="n">
        <f aca="false">SUM(K170:R170)</f>
        <v>1</v>
      </c>
      <c r="J170" s="182" t="n">
        <v>45494</v>
      </c>
      <c r="K170" s="184"/>
      <c r="L170" s="185"/>
      <c r="M170" s="186"/>
      <c r="N170" s="187"/>
      <c r="O170" s="188"/>
      <c r="P170" s="189"/>
      <c r="Q170" s="190"/>
      <c r="R170" s="191" t="n">
        <v>1</v>
      </c>
      <c r="S170" s="192" t="n">
        <f aca="false">(K170+O170+Q170)*24 /1130+(L170+M170+P170+R170)*12/1130+(N170*30)/1130</f>
        <v>0.0106194690265487</v>
      </c>
      <c r="T170" s="193" t="n">
        <f aca="false">SUMIFS(K$3228:K$4138,$H$3228:$H$4138,$AD170)</f>
        <v>0</v>
      </c>
      <c r="U170" s="194" t="n">
        <f aca="false">SUMIFS(L$3228:L$4138,$H$3228:$H$4138,$AD170)</f>
        <v>0</v>
      </c>
      <c r="V170" s="195" t="n">
        <f aca="false">SUMIFS(M$3228:M$4138,$H$3228:$H$4138,$AD170)</f>
        <v>0</v>
      </c>
      <c r="W170" s="193" t="n">
        <f aca="false">SUMIFS(N$3228:N$4138,$H$3228:$H$4138,$AD170)</f>
        <v>0</v>
      </c>
      <c r="X170" s="193" t="n">
        <f aca="false">SUMIFS(O$3228:O$4138,$H$3228:$H$4138,$AD170)</f>
        <v>0</v>
      </c>
      <c r="Y170" s="196" t="n">
        <f aca="false">SUMIFS(P$3228:P$4138,$H$3228:$H$4138,$AD170)</f>
        <v>0</v>
      </c>
      <c r="Z170" s="193" t="n">
        <f aca="false">SUMIFS(Q$3228:Q$4138,$H$3228:$H$4138,$AD170)</f>
        <v>0</v>
      </c>
      <c r="AA170" s="195" t="n">
        <f aca="false">SUMIFS(R$3228:R$4138,$H$3228:$H$4138,$AD170)</f>
        <v>0</v>
      </c>
      <c r="AB170" s="197" t="n">
        <f aca="false">SUMIFS(S$3228:S$4138,$H$3228:$H$4138,$AD170)</f>
        <v>0</v>
      </c>
      <c r="AC170" s="198" t="n">
        <f aca="false">SUM(T170:AA170)</f>
        <v>0</v>
      </c>
      <c r="AD170" s="240"/>
      <c r="AE170" s="240"/>
      <c r="AF170" s="240"/>
      <c r="AG170" s="128"/>
      <c r="AH170" s="128"/>
      <c r="AI170" s="203"/>
      <c r="BN170" s="255"/>
      <c r="BP170" s="255"/>
      <c r="BX170" s="205" t="n">
        <f aca="false">BV170*5+BW170*2</f>
        <v>0</v>
      </c>
    </row>
    <row r="171" customFormat="false" ht="15" hidden="true" customHeight="true" outlineLevel="0" collapsed="false">
      <c r="B171" s="127" t="n">
        <f aca="false">B170+D171-C171</f>
        <v>0</v>
      </c>
      <c r="C171" s="127" t="n">
        <v>155</v>
      </c>
      <c r="D171" s="146" t="n">
        <v>-0.25</v>
      </c>
      <c r="E171" s="212" t="s">
        <v>470</v>
      </c>
      <c r="F171" s="147" t="str">
        <f aca="false">IFERROR(VLOOKUP(H171,$AD$1:$AE$301,2,0),"")</f>
        <v/>
      </c>
      <c r="G171" s="147" t="str">
        <f aca="false">IFERROR(VLOOKUP(F171,$AE$2:$AF$290,2, 0),"")</f>
        <v/>
      </c>
      <c r="H171" s="212" t="s">
        <v>393</v>
      </c>
      <c r="I171" s="246" t="n">
        <f aca="false">SUM(K171:R171)</f>
        <v>0</v>
      </c>
      <c r="J171" s="182" t="n">
        <v>45494</v>
      </c>
      <c r="K171" s="184"/>
      <c r="L171" s="185"/>
      <c r="M171" s="186"/>
      <c r="N171" s="187"/>
      <c r="O171" s="188"/>
      <c r="P171" s="189"/>
      <c r="Q171" s="190"/>
      <c r="R171" s="191"/>
      <c r="S171" s="192" t="n">
        <f aca="false">(K171+O171+Q171)*24 /1130+(L171+M171+P171+R171)*12/1130+(N171*30)/1130</f>
        <v>0</v>
      </c>
      <c r="T171" s="193" t="n">
        <f aca="false">SUMIFS(K$3228:K$4138,$H$3228:$H$4138,$AD171)</f>
        <v>0</v>
      </c>
      <c r="U171" s="194" t="n">
        <f aca="false">SUMIFS(L$3228:L$4138,$H$3228:$H$4138,$AD171)</f>
        <v>0</v>
      </c>
      <c r="V171" s="195" t="n">
        <f aca="false">SUMIFS(M$3228:M$4138,$H$3228:$H$4138,$AD171)</f>
        <v>0</v>
      </c>
      <c r="W171" s="193" t="n">
        <f aca="false">SUMIFS(N$3228:N$4138,$H$3228:$H$4138,$AD171)</f>
        <v>0</v>
      </c>
      <c r="X171" s="193" t="n">
        <f aca="false">SUMIFS(O$3228:O$4138,$H$3228:$H$4138,$AD171)</f>
        <v>0</v>
      </c>
      <c r="Y171" s="196" t="n">
        <f aca="false">SUMIFS(P$3228:P$4138,$H$3228:$H$4138,$AD171)</f>
        <v>0</v>
      </c>
      <c r="Z171" s="193" t="n">
        <f aca="false">SUMIFS(Q$3228:Q$4138,$H$3228:$H$4138,$AD171)</f>
        <v>0</v>
      </c>
      <c r="AA171" s="195" t="n">
        <f aca="false">SUMIFS(R$3228:R$4138,$H$3228:$H$4138,$AD171)</f>
        <v>0</v>
      </c>
      <c r="AB171" s="197" t="n">
        <f aca="false">SUMIFS(S$3228:S$4138,$H$3228:$H$4138,$AD171)</f>
        <v>0</v>
      </c>
      <c r="AC171" s="198" t="n">
        <f aca="false">SUM(T171:AA171)</f>
        <v>0</v>
      </c>
      <c r="AD171" s="240"/>
      <c r="AE171" s="240"/>
      <c r="AF171" s="240"/>
      <c r="AG171" s="128"/>
      <c r="AH171" s="128"/>
      <c r="AI171" s="203"/>
      <c r="BN171" s="255"/>
      <c r="BP171" s="255"/>
      <c r="BX171" s="205" t="n">
        <f aca="false">BV171*5+BW171*2</f>
        <v>0</v>
      </c>
    </row>
    <row r="172" customFormat="false" ht="15" hidden="true" customHeight="true" outlineLevel="0" collapsed="false">
      <c r="B172" s="127" t="n">
        <f aca="false">B171+D172-C172</f>
        <v>138</v>
      </c>
      <c r="D172" s="146" t="n">
        <v>138</v>
      </c>
      <c r="E172" s="147" t="n">
        <v>133</v>
      </c>
      <c r="F172" s="147" t="n">
        <f aca="false">IFERROR(VLOOKUP(H172,$AD$1:$AE$301,2,0),"")</f>
        <v>1008004</v>
      </c>
      <c r="G172" s="147" t="str">
        <f aca="false">IFERROR(VLOOKUP(F172,$AE$2:$AF$290,2, 0),"")</f>
        <v>حقل</v>
      </c>
      <c r="H172" s="212" t="s">
        <v>316</v>
      </c>
      <c r="I172" s="246" t="n">
        <f aca="false">SUM(K172:R172)</f>
        <v>1</v>
      </c>
      <c r="J172" s="182" t="n">
        <v>45495</v>
      </c>
      <c r="K172" s="184"/>
      <c r="L172" s="185"/>
      <c r="M172" s="186"/>
      <c r="N172" s="187"/>
      <c r="O172" s="188"/>
      <c r="P172" s="189"/>
      <c r="Q172" s="190" t="n">
        <v>1</v>
      </c>
      <c r="R172" s="191"/>
      <c r="S172" s="192" t="n">
        <f aca="false">(K172+O172+Q172)*24 /1130+(L172+M172+P172+R172)*12/1130+(N172*30)/1130</f>
        <v>0.0212389380530973</v>
      </c>
      <c r="T172" s="193" t="n">
        <f aca="false">SUMIFS(K$3228:K$4138,$H$3228:$H$4138,$AD172)</f>
        <v>0</v>
      </c>
      <c r="U172" s="194" t="n">
        <f aca="false">SUMIFS(L$3228:L$4138,$H$3228:$H$4138,$AD172)</f>
        <v>0</v>
      </c>
      <c r="V172" s="195" t="n">
        <f aca="false">SUMIFS(M$3228:M$4138,$H$3228:$H$4138,$AD172)</f>
        <v>0</v>
      </c>
      <c r="W172" s="193" t="n">
        <f aca="false">SUMIFS(N$3228:N$4138,$H$3228:$H$4138,$AD172)</f>
        <v>0</v>
      </c>
      <c r="X172" s="193" t="n">
        <f aca="false">SUMIFS(O$3228:O$4138,$H$3228:$H$4138,$AD172)</f>
        <v>0</v>
      </c>
      <c r="Y172" s="196" t="n">
        <f aca="false">SUMIFS(P$3228:P$4138,$H$3228:$H$4138,$AD172)</f>
        <v>0</v>
      </c>
      <c r="Z172" s="193" t="n">
        <f aca="false">SUMIFS(Q$3228:Q$4138,$H$3228:$H$4138,$AD172)</f>
        <v>0</v>
      </c>
      <c r="AA172" s="195" t="n">
        <f aca="false">SUMIFS(R$3228:R$4138,$H$3228:$H$4138,$AD172)</f>
        <v>0</v>
      </c>
      <c r="AB172" s="197" t="n">
        <f aca="false">SUMIFS(S$3228:S$4138,$H$3228:$H$4138,$AD172)</f>
        <v>0</v>
      </c>
      <c r="AC172" s="198" t="n">
        <f aca="false">SUM(T172:AA172)</f>
        <v>0</v>
      </c>
      <c r="AD172" s="240"/>
      <c r="AE172" s="240"/>
      <c r="AF172" s="240"/>
      <c r="AG172" s="128"/>
      <c r="AH172" s="128"/>
      <c r="AI172" s="203"/>
      <c r="BN172" s="255"/>
      <c r="BP172" s="255"/>
      <c r="BX172" s="205" t="n">
        <f aca="false">BV172*5+BW172*2</f>
        <v>0</v>
      </c>
    </row>
    <row r="173" customFormat="false" ht="15" hidden="true" customHeight="true" outlineLevel="0" collapsed="false">
      <c r="B173" s="127" t="n">
        <f aca="false">B172+D173-C173</f>
        <v>465.75</v>
      </c>
      <c r="D173" s="146" t="n">
        <v>327.75</v>
      </c>
      <c r="E173" s="147" t="n">
        <v>132</v>
      </c>
      <c r="F173" s="147" t="n">
        <f aca="false">IFERROR(VLOOKUP(H173,$AD$1:$AE$301,2,0),"")</f>
        <v>1007999</v>
      </c>
      <c r="G173" s="147" t="str">
        <f aca="false">IFERROR(VLOOKUP(F173,$AE$2:$AF$290,2, 0),"")</f>
        <v>حقل</v>
      </c>
      <c r="H173" s="212" t="s">
        <v>312</v>
      </c>
      <c r="I173" s="246" t="n">
        <f aca="false">SUM(K173:R173)</f>
        <v>1</v>
      </c>
      <c r="J173" s="182" t="n">
        <v>45495</v>
      </c>
      <c r="K173" s="184" t="n">
        <v>1</v>
      </c>
      <c r="L173" s="185"/>
      <c r="M173" s="186"/>
      <c r="N173" s="187"/>
      <c r="O173" s="188"/>
      <c r="P173" s="189"/>
      <c r="Q173" s="190"/>
      <c r="R173" s="191"/>
      <c r="S173" s="192" t="n">
        <f aca="false">(K173+O173+Q173)*24 /1130+(L173+M173+P173+R173)*12/1130+(N173*30)/1130</f>
        <v>0.0212389380530973</v>
      </c>
      <c r="T173" s="193" t="n">
        <f aca="false">SUMIFS(K$3228:K$4138,$H$3228:$H$4138,$AD173)</f>
        <v>0</v>
      </c>
      <c r="U173" s="194" t="n">
        <f aca="false">SUMIFS(L$3228:L$4138,$H$3228:$H$4138,$AD173)</f>
        <v>0</v>
      </c>
      <c r="V173" s="195" t="n">
        <f aca="false">SUMIFS(M$3228:M$4138,$H$3228:$H$4138,$AD173)</f>
        <v>0</v>
      </c>
      <c r="W173" s="193" t="n">
        <f aca="false">SUMIFS(N$3228:N$4138,$H$3228:$H$4138,$AD173)</f>
        <v>0</v>
      </c>
      <c r="X173" s="193" t="n">
        <f aca="false">SUMIFS(O$3228:O$4138,$H$3228:$H$4138,$AD173)</f>
        <v>0</v>
      </c>
      <c r="Y173" s="196" t="n">
        <f aca="false">SUMIFS(P$3228:P$4138,$H$3228:$H$4138,$AD173)</f>
        <v>0</v>
      </c>
      <c r="Z173" s="193" t="n">
        <f aca="false">SUMIFS(Q$3228:Q$4138,$H$3228:$H$4138,$AD173)</f>
        <v>0</v>
      </c>
      <c r="AA173" s="195" t="n">
        <f aca="false">SUMIFS(R$3228:R$4138,$H$3228:$H$4138,$AD173)</f>
        <v>0</v>
      </c>
      <c r="AB173" s="197" t="n">
        <f aca="false">SUMIFS(S$3228:S$4138,$H$3228:$H$4138,$AD173)</f>
        <v>0</v>
      </c>
      <c r="AC173" s="198" t="n">
        <f aca="false">SUM(T173:AA173)</f>
        <v>0</v>
      </c>
      <c r="AD173" s="240"/>
      <c r="AE173" s="240"/>
      <c r="AF173" s="240"/>
      <c r="AG173" s="128"/>
      <c r="AH173" s="128"/>
      <c r="AI173" s="203"/>
      <c r="BN173" s="255"/>
      <c r="BP173" s="255"/>
      <c r="BX173" s="205" t="n">
        <f aca="false">BV173*5+BW173*2</f>
        <v>0</v>
      </c>
    </row>
    <row r="174" customFormat="false" ht="15" hidden="true" customHeight="true" outlineLevel="0" collapsed="false">
      <c r="B174" s="127" t="n">
        <f aca="false">B173+D174-C174</f>
        <v>741.75</v>
      </c>
      <c r="D174" s="146" t="n">
        <f aca="false">2*138</f>
        <v>276</v>
      </c>
      <c r="E174" s="147" t="n">
        <v>134</v>
      </c>
      <c r="F174" s="147" t="n">
        <f aca="false">IFERROR(VLOOKUP(H174,$AD$1:$AE$301,2,0),"")</f>
        <v>1008042</v>
      </c>
      <c r="G174" s="147" t="str">
        <f aca="false">IFERROR(VLOOKUP(F174,$AE$2:$AF$290,2, 0),"")</f>
        <v>البدع</v>
      </c>
      <c r="H174" s="212" t="s">
        <v>329</v>
      </c>
      <c r="I174" s="246" t="n">
        <f aca="false">SUM(K174:R174)</f>
        <v>2</v>
      </c>
      <c r="J174" s="182" t="n">
        <v>45495</v>
      </c>
      <c r="K174" s="184"/>
      <c r="L174" s="185"/>
      <c r="M174" s="186"/>
      <c r="N174" s="187"/>
      <c r="O174" s="188"/>
      <c r="P174" s="189"/>
      <c r="Q174" s="190" t="n">
        <v>2</v>
      </c>
      <c r="R174" s="191"/>
      <c r="S174" s="192" t="n">
        <f aca="false">(K174+O174+Q174)*24 /1130+(L174+M174+P174+R174)*12/1130+(N174*30)/1130</f>
        <v>0.0424778761061947</v>
      </c>
      <c r="T174" s="193" t="n">
        <f aca="false">SUMIFS(K$3228:K$4138,$H$3228:$H$4138,$AD174)</f>
        <v>0</v>
      </c>
      <c r="U174" s="194" t="n">
        <f aca="false">SUMIFS(L$3228:L$4138,$H$3228:$H$4138,$AD174)</f>
        <v>0</v>
      </c>
      <c r="V174" s="195" t="n">
        <f aca="false">SUMIFS(M$3228:M$4138,$H$3228:$H$4138,$AD174)</f>
        <v>0</v>
      </c>
      <c r="W174" s="193" t="n">
        <f aca="false">SUMIFS(N$3228:N$4138,$H$3228:$H$4138,$AD174)</f>
        <v>0</v>
      </c>
      <c r="X174" s="193" t="n">
        <f aca="false">SUMIFS(O$3228:O$4138,$H$3228:$H$4138,$AD174)</f>
        <v>0</v>
      </c>
      <c r="Y174" s="196" t="n">
        <f aca="false">SUMIFS(P$3228:P$4138,$H$3228:$H$4138,$AD174)</f>
        <v>0</v>
      </c>
      <c r="Z174" s="193" t="n">
        <f aca="false">SUMIFS(Q$3228:Q$4138,$H$3228:$H$4138,$AD174)</f>
        <v>0</v>
      </c>
      <c r="AA174" s="195" t="n">
        <f aca="false">SUMIFS(R$3228:R$4138,$H$3228:$H$4138,$AD174)</f>
        <v>0</v>
      </c>
      <c r="AB174" s="197" t="n">
        <f aca="false">SUMIFS(S$3228:S$4138,$H$3228:$H$4138,$AD174)</f>
        <v>0</v>
      </c>
      <c r="AC174" s="198" t="n">
        <f aca="false">SUM(T174:AA174)</f>
        <v>0</v>
      </c>
      <c r="AD174" s="240"/>
      <c r="AE174" s="240"/>
      <c r="AF174" s="240"/>
      <c r="AG174" s="128"/>
      <c r="AH174" s="128"/>
      <c r="AI174" s="203"/>
      <c r="BN174" s="255"/>
      <c r="BP174" s="255"/>
      <c r="BX174" s="205" t="n">
        <f aca="false">BV174*5+BW174*2</f>
        <v>0</v>
      </c>
    </row>
    <row r="175" customFormat="false" ht="15" hidden="true" customHeight="true" outlineLevel="0" collapsed="false">
      <c r="B175" s="127" t="n">
        <f aca="false">B174+D175-C175</f>
        <v>-127.75</v>
      </c>
      <c r="C175" s="127" t="n">
        <f aca="false">D172+D173+76+D176</f>
        <v>869.5</v>
      </c>
      <c r="E175" s="212" t="s">
        <v>470</v>
      </c>
      <c r="F175" s="147" t="str">
        <f aca="false">IFERROR(VLOOKUP(H175,$AD$1:$AE$301,2,0),"")</f>
        <v/>
      </c>
      <c r="G175" s="147" t="str">
        <f aca="false">IFERROR(VLOOKUP(F175,$AE$2:$AF$290,2, 0),"")</f>
        <v/>
      </c>
      <c r="H175" s="212" t="s">
        <v>393</v>
      </c>
      <c r="I175" s="246" t="n">
        <f aca="false">SUM(K175:R175)</f>
        <v>0</v>
      </c>
      <c r="J175" s="182" t="n">
        <v>45495</v>
      </c>
      <c r="K175" s="184"/>
      <c r="L175" s="185"/>
      <c r="M175" s="186"/>
      <c r="N175" s="187"/>
      <c r="O175" s="188"/>
      <c r="P175" s="189"/>
      <c r="Q175" s="190"/>
      <c r="R175" s="191"/>
      <c r="S175" s="192" t="n">
        <f aca="false">(K175+O175+Q175)*24 /1130+(L175+M175+P175+R175)*12/1130+(N175*30)/1130</f>
        <v>0</v>
      </c>
      <c r="T175" s="193" t="n">
        <f aca="false">SUMIFS(K$3228:K$4138,$H$3228:$H$4138,$AD175)</f>
        <v>0</v>
      </c>
      <c r="U175" s="194" t="n">
        <f aca="false">SUMIFS(L$3228:L$4138,$H$3228:$H$4138,$AD175)</f>
        <v>0</v>
      </c>
      <c r="V175" s="195" t="n">
        <f aca="false">SUMIFS(M$3228:M$4138,$H$3228:$H$4138,$AD175)</f>
        <v>0</v>
      </c>
      <c r="W175" s="193" t="n">
        <f aca="false">SUMIFS(N$3228:N$4138,$H$3228:$H$4138,$AD175)</f>
        <v>0</v>
      </c>
      <c r="X175" s="193" t="n">
        <f aca="false">SUMIFS(O$3228:O$4138,$H$3228:$H$4138,$AD175)</f>
        <v>0</v>
      </c>
      <c r="Y175" s="196" t="n">
        <f aca="false">SUMIFS(P$3228:P$4138,$H$3228:$H$4138,$AD175)</f>
        <v>0</v>
      </c>
      <c r="Z175" s="193" t="n">
        <f aca="false">SUMIFS(Q$3228:Q$4138,$H$3228:$H$4138,$AD175)</f>
        <v>0</v>
      </c>
      <c r="AA175" s="195" t="n">
        <f aca="false">SUMIFS(R$3228:R$4138,$H$3228:$H$4138,$AD175)</f>
        <v>0</v>
      </c>
      <c r="AB175" s="197" t="n">
        <f aca="false">SUMIFS(S$3228:S$4138,$H$3228:$H$4138,$AD175)</f>
        <v>0</v>
      </c>
      <c r="AC175" s="198" t="n">
        <f aca="false">SUM(T175:AA175)</f>
        <v>0</v>
      </c>
      <c r="AD175" s="240"/>
      <c r="AE175" s="240"/>
      <c r="AF175" s="240"/>
      <c r="AG175" s="128"/>
      <c r="AH175" s="128"/>
      <c r="AI175" s="203"/>
      <c r="BN175" s="255"/>
      <c r="BP175" s="255"/>
      <c r="BX175" s="205" t="n">
        <f aca="false">BV175*5+BW175*2</f>
        <v>0</v>
      </c>
    </row>
    <row r="176" customFormat="false" ht="15" hidden="true" customHeight="true" outlineLevel="0" collapsed="false">
      <c r="B176" s="127" t="n">
        <f aca="false">B175+D176-C176</f>
        <v>200</v>
      </c>
      <c r="D176" s="146" t="n">
        <v>327.75</v>
      </c>
      <c r="E176" s="147" t="n">
        <v>137</v>
      </c>
      <c r="F176" s="147" t="n">
        <f aca="false">IFERROR(VLOOKUP(H176,$AD$1:$AE$301,2,0),"")</f>
        <v>1007996</v>
      </c>
      <c r="G176" s="147" t="str">
        <f aca="false">IFERROR(VLOOKUP(F176,$AE$2:$AF$290,2, 0),"")</f>
        <v>البير</v>
      </c>
      <c r="H176" s="212" t="s">
        <v>295</v>
      </c>
      <c r="I176" s="246" t="n">
        <f aca="false">SUM(K176:R176)</f>
        <v>1</v>
      </c>
      <c r="J176" s="182" t="n">
        <v>45495</v>
      </c>
      <c r="K176" s="184" t="n">
        <v>1</v>
      </c>
      <c r="L176" s="185"/>
      <c r="M176" s="186"/>
      <c r="N176" s="187"/>
      <c r="O176" s="188"/>
      <c r="P176" s="189"/>
      <c r="Q176" s="190"/>
      <c r="R176" s="191"/>
      <c r="S176" s="192" t="n">
        <f aca="false">(K176+O176+Q176)*24 /1130+(L176+M176+P176+R176)*12/1130+(N176*30)/1130</f>
        <v>0.0212389380530973</v>
      </c>
      <c r="T176" s="193" t="n">
        <f aca="false">SUMIFS(K$3228:K$4138,$H$3228:$H$4138,$AD176)</f>
        <v>0</v>
      </c>
      <c r="U176" s="194" t="n">
        <f aca="false">SUMIFS(L$3228:L$4138,$H$3228:$H$4138,$AD176)</f>
        <v>0</v>
      </c>
      <c r="V176" s="195" t="n">
        <f aca="false">SUMIFS(M$3228:M$4138,$H$3228:$H$4138,$AD176)</f>
        <v>0</v>
      </c>
      <c r="W176" s="193" t="n">
        <f aca="false">SUMIFS(N$3228:N$4138,$H$3228:$H$4138,$AD176)</f>
        <v>0</v>
      </c>
      <c r="X176" s="193" t="n">
        <f aca="false">SUMIFS(O$3228:O$4138,$H$3228:$H$4138,$AD176)</f>
        <v>0</v>
      </c>
      <c r="Y176" s="196" t="n">
        <f aca="false">SUMIFS(P$3228:P$4138,$H$3228:$H$4138,$AD176)</f>
        <v>0</v>
      </c>
      <c r="Z176" s="193" t="n">
        <f aca="false">SUMIFS(Q$3228:Q$4138,$H$3228:$H$4138,$AD176)</f>
        <v>0</v>
      </c>
      <c r="AA176" s="195" t="n">
        <f aca="false">SUMIFS(R$3228:R$4138,$H$3228:$H$4138,$AD176)</f>
        <v>0</v>
      </c>
      <c r="AB176" s="197" t="n">
        <f aca="false">SUMIFS(S$3228:S$4138,$H$3228:$H$4138,$AD176)</f>
        <v>0</v>
      </c>
      <c r="AC176" s="198" t="n">
        <f aca="false">SUM(T176:AA176)</f>
        <v>0</v>
      </c>
      <c r="AD176" s="240"/>
      <c r="AE176" s="240"/>
      <c r="AF176" s="240"/>
      <c r="AG176" s="128"/>
      <c r="AH176" s="128"/>
      <c r="AI176" s="203"/>
      <c r="BN176" s="255"/>
      <c r="BP176" s="255"/>
      <c r="BX176" s="205" t="n">
        <f aca="false">BV176*5+BW176*2</f>
        <v>0</v>
      </c>
    </row>
    <row r="177" customFormat="false" ht="15" hidden="true" customHeight="true" outlineLevel="0" collapsed="false">
      <c r="B177" s="127" t="n">
        <f aca="false">B176+D177-C177</f>
        <v>752</v>
      </c>
      <c r="D177" s="146" t="n">
        <f aca="false">248.4+303.6</f>
        <v>552</v>
      </c>
      <c r="E177" s="147" t="n">
        <v>136</v>
      </c>
      <c r="F177" s="147" t="n">
        <f aca="false">IFERROR(VLOOKUP(H177,$AD$1:$AE$301,2,0),"")</f>
        <v>1007997</v>
      </c>
      <c r="G177" s="147" t="str">
        <f aca="false">IFERROR(VLOOKUP(F177,$AE$2:$AF$290,2, 0),"")</f>
        <v>البير</v>
      </c>
      <c r="H177" s="212" t="s">
        <v>296</v>
      </c>
      <c r="I177" s="246" t="n">
        <f aca="false">SUM(K177:R177)</f>
        <v>2</v>
      </c>
      <c r="J177" s="182" t="n">
        <v>45495</v>
      </c>
      <c r="K177" s="184"/>
      <c r="L177" s="185"/>
      <c r="M177" s="186"/>
      <c r="N177" s="187" t="n">
        <v>1</v>
      </c>
      <c r="O177" s="188" t="n">
        <v>1</v>
      </c>
      <c r="P177" s="189"/>
      <c r="Q177" s="190"/>
      <c r="R177" s="258"/>
      <c r="S177" s="192" t="n">
        <f aca="false">(K177+O177+Q177)*24 /1130+(L177+M177+P177+R177)*12/1130+(N177*30)/1130</f>
        <v>0.047787610619469</v>
      </c>
      <c r="T177" s="193" t="n">
        <f aca="false">SUMIFS(K$3228:K$4138,$H$3228:$H$4138,$AD177)</f>
        <v>0</v>
      </c>
      <c r="U177" s="194" t="n">
        <f aca="false">SUMIFS(L$3228:L$4138,$H$3228:$H$4138,$AD177)</f>
        <v>0</v>
      </c>
      <c r="V177" s="195" t="n">
        <f aca="false">SUMIFS(M$3228:M$4138,$H$3228:$H$4138,$AD177)</f>
        <v>0</v>
      </c>
      <c r="W177" s="193" t="n">
        <f aca="false">SUMIFS(N$3228:N$4138,$H$3228:$H$4138,$AD177)</f>
        <v>0</v>
      </c>
      <c r="X177" s="193" t="n">
        <f aca="false">SUMIFS(O$3228:O$4138,$H$3228:$H$4138,$AD177)</f>
        <v>0</v>
      </c>
      <c r="Y177" s="196" t="n">
        <f aca="false">SUMIFS(P$3228:P$4138,$H$3228:$H$4138,$AD177)</f>
        <v>0</v>
      </c>
      <c r="Z177" s="193" t="n">
        <f aca="false">SUMIFS(Q$3228:Q$4138,$H$3228:$H$4138,$AD177)</f>
        <v>0</v>
      </c>
      <c r="AA177" s="195" t="n">
        <f aca="false">SUMIFS(R$3228:R$4138,$H$3228:$H$4138,$AD177)</f>
        <v>0</v>
      </c>
      <c r="AB177" s="197" t="n">
        <f aca="false">SUMIFS(S$3228:S$4138,$H$3228:$H$4138,$AD177)</f>
        <v>0</v>
      </c>
      <c r="AC177" s="198" t="n">
        <f aca="false">SUM(T177:AA177)</f>
        <v>0</v>
      </c>
      <c r="AD177" s="221" t="s">
        <v>223</v>
      </c>
      <c r="AE177" s="240" t="n">
        <v>590</v>
      </c>
      <c r="AF177" s="240" t="s">
        <v>224</v>
      </c>
      <c r="AG177" s="128"/>
      <c r="AH177" s="128" t="n">
        <v>0</v>
      </c>
      <c r="AI177" s="203"/>
      <c r="BN177" s="255"/>
      <c r="BP177" s="255"/>
      <c r="BX177" s="205" t="n">
        <f aca="false">BV177*5+BW177*2</f>
        <v>0</v>
      </c>
    </row>
    <row r="178" customFormat="false" ht="15" hidden="true" customHeight="true" outlineLevel="0" collapsed="false">
      <c r="B178" s="127" t="n">
        <f aca="false">B177+D178-C178</f>
        <v>1660.5</v>
      </c>
      <c r="D178" s="146" t="n">
        <f aca="false">327.75+265.49+315.26</f>
        <v>908.5</v>
      </c>
      <c r="E178" s="147" t="n">
        <v>135</v>
      </c>
      <c r="F178" s="147" t="n">
        <f aca="false">IFERROR(VLOOKUP(H178,$AD$1:$AE$301,2,0),"")</f>
        <v>1007965</v>
      </c>
      <c r="G178" s="147" t="str">
        <f aca="false">IFERROR(VLOOKUP(F178,$AE$2:$AF$290,2, 0),"")</f>
        <v>البير</v>
      </c>
      <c r="H178" s="212" t="s">
        <v>290</v>
      </c>
      <c r="I178" s="246" t="n">
        <f aca="false">SUM(K178:R178)</f>
        <v>3</v>
      </c>
      <c r="J178" s="182" t="n">
        <v>45495</v>
      </c>
      <c r="K178" s="184" t="n">
        <v>1</v>
      </c>
      <c r="L178" s="185"/>
      <c r="M178" s="186"/>
      <c r="N178" s="187" t="n">
        <v>1</v>
      </c>
      <c r="O178" s="188" t="n">
        <v>1</v>
      </c>
      <c r="P178" s="189"/>
      <c r="Q178" s="190"/>
      <c r="R178" s="191"/>
      <c r="S178" s="192" t="n">
        <f aca="false">(K178+O178+Q178)*24 /1130+(L178+M178+P178+R178)*12/1130+(N178*30)/1130</f>
        <v>0.0690265486725664</v>
      </c>
      <c r="T178" s="193" t="n">
        <f aca="false">SUMIFS(K$3228:K$4138,$H$3228:$H$4138,$AD178)</f>
        <v>0</v>
      </c>
      <c r="U178" s="194" t="n">
        <f aca="false">SUMIFS(L$3228:L$4138,$H$3228:$H$4138,$AD178)</f>
        <v>0</v>
      </c>
      <c r="V178" s="195" t="n">
        <f aca="false">SUMIFS(M$3228:M$4138,$H$3228:$H$4138,$AD178)</f>
        <v>0</v>
      </c>
      <c r="W178" s="193" t="n">
        <f aca="false">SUMIFS(N$3228:N$4138,$H$3228:$H$4138,$AD178)</f>
        <v>0</v>
      </c>
      <c r="X178" s="193" t="n">
        <f aca="false">SUMIFS(O$3228:O$4138,$H$3228:$H$4138,$AD178)</f>
        <v>0</v>
      </c>
      <c r="Y178" s="196" t="n">
        <f aca="false">SUMIFS(P$3228:P$4138,$H$3228:$H$4138,$AD178)</f>
        <v>0</v>
      </c>
      <c r="Z178" s="193" t="n">
        <f aca="false">SUMIFS(Q$3228:Q$4138,$H$3228:$H$4138,$AD178)</f>
        <v>0</v>
      </c>
      <c r="AA178" s="195" t="n">
        <f aca="false">SUMIFS(R$3228:R$4138,$H$3228:$H$4138,$AD178)</f>
        <v>0</v>
      </c>
      <c r="AB178" s="197" t="n">
        <f aca="false">SUMIFS(S$3228:S$4138,$H$3228:$H$4138,$AD178)</f>
        <v>0</v>
      </c>
      <c r="AC178" s="198" t="n">
        <f aca="false">SUM(T178:AA178)</f>
        <v>0</v>
      </c>
      <c r="AD178" s="221" t="s">
        <v>225</v>
      </c>
      <c r="AE178" s="221" t="n">
        <v>750</v>
      </c>
      <c r="AF178" s="221" t="s">
        <v>127</v>
      </c>
      <c r="AG178" s="242" t="s">
        <v>574</v>
      </c>
      <c r="AH178" s="160" t="n">
        <v>530320041</v>
      </c>
      <c r="AI178" s="203"/>
      <c r="BD178" s="128" t="n">
        <f aca="false">4</f>
        <v>4</v>
      </c>
      <c r="BF178" s="157" t="n">
        <f aca="false">49</f>
        <v>49</v>
      </c>
      <c r="BJ178" s="128" t="n">
        <f aca="false">13</f>
        <v>13</v>
      </c>
      <c r="BK178" s="128" t="n">
        <f aca="false">8</f>
        <v>8</v>
      </c>
      <c r="BN178" s="255"/>
      <c r="BP178" s="255"/>
      <c r="BX178" s="205" t="n">
        <f aca="false">BV178*5+BW178*2</f>
        <v>0</v>
      </c>
    </row>
    <row r="179" customFormat="false" ht="15" hidden="true" customHeight="true" outlineLevel="0" collapsed="false">
      <c r="B179" s="127" t="n">
        <f aca="false">B178+D179-C179</f>
        <v>0</v>
      </c>
      <c r="C179" s="127" t="n">
        <v>1660</v>
      </c>
      <c r="D179" s="146" t="n">
        <v>-0.5</v>
      </c>
      <c r="E179" s="212" t="s">
        <v>529</v>
      </c>
      <c r="F179" s="147" t="str">
        <f aca="false">IFERROR(VLOOKUP(H179,$AD$1:$AE$301,2,0),"")</f>
        <v/>
      </c>
      <c r="G179" s="147" t="str">
        <f aca="false">IFERROR(VLOOKUP(F179,$AE$2:$AF$290,2, 0),"")</f>
        <v/>
      </c>
      <c r="H179" s="212" t="s">
        <v>393</v>
      </c>
      <c r="I179" s="246" t="n">
        <f aca="false">SUM(K179:R179)</f>
        <v>0</v>
      </c>
      <c r="J179" s="182" t="n">
        <v>45496</v>
      </c>
      <c r="K179" s="184"/>
      <c r="L179" s="185"/>
      <c r="M179" s="186"/>
      <c r="N179" s="187"/>
      <c r="O179" s="188"/>
      <c r="P179" s="189"/>
      <c r="Q179" s="190"/>
      <c r="R179" s="191"/>
      <c r="S179" s="192" t="n">
        <f aca="false">(K179+O179+Q179)*24 /1130+(L179+M179+P179+R179)*12/1130+(N179*30)/1130</f>
        <v>0</v>
      </c>
      <c r="T179" s="193" t="n">
        <f aca="false">SUMIFS(K$3228:K$4138,$H$3228:$H$4138,$AD179)</f>
        <v>0</v>
      </c>
      <c r="U179" s="194" t="n">
        <f aca="false">SUMIFS(L$3228:L$4138,$H$3228:$H$4138,$AD179)</f>
        <v>0</v>
      </c>
      <c r="V179" s="195" t="n">
        <f aca="false">SUMIFS(M$3228:M$4138,$H$3228:$H$4138,$AD179)</f>
        <v>0</v>
      </c>
      <c r="W179" s="193" t="n">
        <f aca="false">SUMIFS(N$3228:N$4138,$H$3228:$H$4138,$AD179)</f>
        <v>0</v>
      </c>
      <c r="X179" s="193" t="n">
        <f aca="false">SUMIFS(O$3228:O$4138,$H$3228:$H$4138,$AD179)</f>
        <v>0</v>
      </c>
      <c r="Y179" s="196" t="n">
        <f aca="false">SUMIFS(P$3228:P$4138,$H$3228:$H$4138,$AD179)</f>
        <v>0</v>
      </c>
      <c r="Z179" s="193" t="n">
        <f aca="false">SUMIFS(Q$3228:Q$4138,$H$3228:$H$4138,$AD179)</f>
        <v>0</v>
      </c>
      <c r="AA179" s="195" t="n">
        <f aca="false">SUMIFS(R$3228:R$4138,$H$3228:$H$4138,$AD179)</f>
        <v>0</v>
      </c>
      <c r="AB179" s="197" t="n">
        <f aca="false">SUMIFS(S$3228:S$4138,$H$3228:$H$4138,$AD179)</f>
        <v>0</v>
      </c>
      <c r="AC179" s="198" t="n">
        <f aca="false">SUM(T179:AA179)</f>
        <v>0</v>
      </c>
      <c r="AD179" s="221" t="s">
        <v>226</v>
      </c>
      <c r="AE179" s="240" t="n">
        <v>587</v>
      </c>
      <c r="AF179" s="240" t="s">
        <v>127</v>
      </c>
      <c r="AG179" s="128"/>
      <c r="AH179" s="128" t="n">
        <v>0</v>
      </c>
      <c r="AI179" s="203"/>
      <c r="BN179" s="255"/>
      <c r="BP179" s="255"/>
      <c r="BX179" s="205" t="n">
        <f aca="false">BV179*5+BW179*2</f>
        <v>0</v>
      </c>
      <c r="CA179" s="206" t="n">
        <f aca="false">4</f>
        <v>4</v>
      </c>
      <c r="CB179" s="219" t="n">
        <f aca="false">12+24</f>
        <v>36</v>
      </c>
      <c r="CC179" s="206" t="n">
        <f aca="false">30</f>
        <v>30</v>
      </c>
      <c r="CD179" s="157" t="n">
        <v>1</v>
      </c>
    </row>
    <row r="180" customFormat="false" ht="15" hidden="true" customHeight="true" outlineLevel="0" collapsed="false">
      <c r="B180" s="127" t="n">
        <f aca="false">B179+D180-C180</f>
        <v>247.25</v>
      </c>
      <c r="D180" s="146" t="n">
        <v>247.25</v>
      </c>
      <c r="E180" s="147" t="n">
        <v>141</v>
      </c>
      <c r="F180" s="147" t="n">
        <f aca="false">IFERROR(VLOOKUP(H180,$AD$1:$AE$301,2,0),"")</f>
        <v>1008050</v>
      </c>
      <c r="G180" s="147" t="str">
        <f aca="false">IFERROR(VLOOKUP(F180,$AE$2:$AF$290,2, 0),"")</f>
        <v>ضباء</v>
      </c>
      <c r="H180" s="212" t="s">
        <v>92</v>
      </c>
      <c r="I180" s="246" t="n">
        <f aca="false">SUM(K180:R180)</f>
        <v>1</v>
      </c>
      <c r="J180" s="182" t="n">
        <v>45496</v>
      </c>
      <c r="K180" s="184"/>
      <c r="L180" s="185"/>
      <c r="M180" s="186"/>
      <c r="N180" s="187"/>
      <c r="O180" s="188" t="n">
        <v>1</v>
      </c>
      <c r="P180" s="189"/>
      <c r="Q180" s="190"/>
      <c r="R180" s="191"/>
      <c r="S180" s="192" t="n">
        <f aca="false">(K180+O180+Q180)*24 /1130+(L180+M180+P180+R180)*12/1130+(N180*30)/1130</f>
        <v>0.0212389380530973</v>
      </c>
      <c r="T180" s="193" t="n">
        <f aca="false">SUMIFS(K$3228:K$4138,$H$3228:$H$4138,$AD180)</f>
        <v>0</v>
      </c>
      <c r="U180" s="194" t="n">
        <f aca="false">SUMIFS(L$3228:L$4138,$H$3228:$H$4138,$AD180)</f>
        <v>0</v>
      </c>
      <c r="V180" s="195" t="n">
        <f aca="false">SUMIFS(M$3228:M$4138,$H$3228:$H$4138,$AD180)</f>
        <v>0</v>
      </c>
      <c r="W180" s="193" t="n">
        <f aca="false">SUMIFS(N$3228:N$4138,$H$3228:$H$4138,$AD180)</f>
        <v>0</v>
      </c>
      <c r="X180" s="193" t="n">
        <f aca="false">SUMIFS(O$3228:O$4138,$H$3228:$H$4138,$AD180)</f>
        <v>0</v>
      </c>
      <c r="Y180" s="196" t="n">
        <f aca="false">SUMIFS(P$3228:P$4138,$H$3228:$H$4138,$AD180)</f>
        <v>0</v>
      </c>
      <c r="Z180" s="193" t="n">
        <f aca="false">SUMIFS(Q$3228:Q$4138,$H$3228:$H$4138,$AD180)</f>
        <v>0</v>
      </c>
      <c r="AA180" s="195" t="n">
        <f aca="false">SUMIFS(R$3228:R$4138,$H$3228:$H$4138,$AD180)</f>
        <v>0</v>
      </c>
      <c r="AB180" s="197" t="n">
        <f aca="false">SUMIFS(S$3228:S$4138,$H$3228:$H$4138,$AD180)</f>
        <v>0</v>
      </c>
      <c r="AC180" s="198" t="n">
        <f aca="false">SUM(T180:AA180)</f>
        <v>0</v>
      </c>
      <c r="AD180" s="221" t="s">
        <v>227</v>
      </c>
      <c r="AE180" s="221" t="n">
        <v>759</v>
      </c>
      <c r="AF180" s="221" t="s">
        <v>127</v>
      </c>
      <c r="AG180" s="128"/>
      <c r="AH180" s="128" t="n">
        <v>0</v>
      </c>
      <c r="AI180" s="203"/>
      <c r="BN180" s="255"/>
      <c r="BP180" s="255"/>
      <c r="BX180" s="205" t="n">
        <f aca="false">BV180*5+BW180*2</f>
        <v>0</v>
      </c>
      <c r="CB180" s="206" t="n">
        <f aca="false">12+12</f>
        <v>24</v>
      </c>
      <c r="CC180" s="206" t="n">
        <v>2</v>
      </c>
    </row>
    <row r="181" customFormat="false" ht="15" hidden="true" customHeight="true" outlineLevel="0" collapsed="false">
      <c r="B181" s="127" t="n">
        <f aca="false">B180+D181-C181</f>
        <v>-3260</v>
      </c>
      <c r="C181" s="127" t="n">
        <f aca="false">247+247+950+158+822+1411</f>
        <v>3835</v>
      </c>
      <c r="D181" s="146" t="n">
        <v>327.75</v>
      </c>
      <c r="E181" s="147" t="n">
        <v>140</v>
      </c>
      <c r="F181" s="147" t="n">
        <f aca="false">IFERROR(VLOOKUP(H181,$AD$1:$AE$301,2,0),"")</f>
        <v>1008032</v>
      </c>
      <c r="G181" s="147" t="str">
        <f aca="false">IFERROR(VLOOKUP(F181,$AE$2:$AF$290,2, 0),"")</f>
        <v>ضباء</v>
      </c>
      <c r="H181" s="212" t="s">
        <v>101</v>
      </c>
      <c r="I181" s="246" t="n">
        <f aca="false">SUM(K181:R181)</f>
        <v>1</v>
      </c>
      <c r="J181" s="182" t="n">
        <v>45496</v>
      </c>
      <c r="K181" s="184" t="n">
        <v>1</v>
      </c>
      <c r="L181" s="185"/>
      <c r="M181" s="186"/>
      <c r="N181" s="187"/>
      <c r="O181" s="188"/>
      <c r="P181" s="189"/>
      <c r="Q181" s="190"/>
      <c r="R181" s="258"/>
      <c r="S181" s="192" t="n">
        <f aca="false">(K181+O181+Q181)*24 /1130+(L181+M181+P181+R181)*12/1130+(N181*30)/1130</f>
        <v>0.0212389380530973</v>
      </c>
      <c r="T181" s="193" t="n">
        <f aca="false">SUMIFS(K$3228:K$4138,$H$3228:$H$4138,$AD181)</f>
        <v>0</v>
      </c>
      <c r="U181" s="194" t="n">
        <f aca="false">SUMIFS(L$3228:L$4138,$H$3228:$H$4138,$AD181)</f>
        <v>0</v>
      </c>
      <c r="V181" s="195" t="n">
        <f aca="false">SUMIFS(M$3228:M$4138,$H$3228:$H$4138,$AD181)</f>
        <v>0</v>
      </c>
      <c r="W181" s="193" t="n">
        <f aca="false">SUMIFS(N$3228:N$4138,$H$3228:$H$4138,$AD181)</f>
        <v>0</v>
      </c>
      <c r="X181" s="193" t="n">
        <f aca="false">SUMIFS(O$3228:O$4138,$H$3228:$H$4138,$AD181)</f>
        <v>0</v>
      </c>
      <c r="Y181" s="196" t="n">
        <f aca="false">SUMIFS(P$3228:P$4138,$H$3228:$H$4138,$AD181)</f>
        <v>0</v>
      </c>
      <c r="Z181" s="193" t="n">
        <f aca="false">SUMIFS(Q$3228:Q$4138,$H$3228:$H$4138,$AD181)</f>
        <v>0</v>
      </c>
      <c r="AA181" s="195" t="n">
        <f aca="false">SUMIFS(R$3228:R$4138,$H$3228:$H$4138,$AD181)</f>
        <v>0</v>
      </c>
      <c r="AB181" s="197" t="n">
        <f aca="false">SUMIFS(S$3228:S$4138,$H$3228:$H$4138,$AD181)</f>
        <v>0</v>
      </c>
      <c r="AC181" s="198" t="n">
        <f aca="false">SUM(T181:AA181)</f>
        <v>0</v>
      </c>
      <c r="AD181" s="221" t="s">
        <v>228</v>
      </c>
      <c r="AE181" s="221" t="n">
        <v>811</v>
      </c>
      <c r="AF181" s="221" t="s">
        <v>127</v>
      </c>
      <c r="AG181" s="128"/>
      <c r="AH181" s="128" t="n">
        <v>0</v>
      </c>
      <c r="AI181" s="203"/>
      <c r="BN181" s="255"/>
      <c r="BP181" s="255"/>
      <c r="BX181" s="205" t="n">
        <f aca="false">BV181*5+BW181*2</f>
        <v>0</v>
      </c>
    </row>
    <row r="182" customFormat="false" ht="15" hidden="true" customHeight="true" outlineLevel="0" collapsed="false">
      <c r="B182" s="127" t="n">
        <f aca="false">B181+D182-C182</f>
        <v>-3012.75</v>
      </c>
      <c r="D182" s="146" t="n">
        <v>247.25</v>
      </c>
      <c r="E182" s="147" t="n">
        <v>139</v>
      </c>
      <c r="F182" s="147" t="n">
        <f aca="false">IFERROR(VLOOKUP(H182,$AD$1:$AE$301,2,0),"")</f>
        <v>1007989</v>
      </c>
      <c r="G182" s="147" t="str">
        <f aca="false">IFERROR(VLOOKUP(F182,$AE$2:$AF$290,2, 0),"")</f>
        <v>ضباء</v>
      </c>
      <c r="H182" s="212" t="s">
        <v>90</v>
      </c>
      <c r="I182" s="246" t="n">
        <f aca="false">SUM(K182:R182)</f>
        <v>1</v>
      </c>
      <c r="J182" s="182" t="n">
        <v>45496</v>
      </c>
      <c r="K182" s="184"/>
      <c r="L182" s="185"/>
      <c r="M182" s="186"/>
      <c r="N182" s="187"/>
      <c r="O182" s="188" t="n">
        <v>1</v>
      </c>
      <c r="P182" s="189"/>
      <c r="Q182" s="190"/>
      <c r="R182" s="191"/>
      <c r="S182" s="192" t="n">
        <f aca="false">(K182+O182+Q182)*24 /1130+(L182+M182+P182+R182)*12/1130+(N182*30)/1130</f>
        <v>0.0212389380530973</v>
      </c>
      <c r="T182" s="193" t="n">
        <f aca="false">SUMIFS(K$3228:K$4138,$H$3228:$H$4138,$AD182)</f>
        <v>0</v>
      </c>
      <c r="U182" s="194" t="n">
        <f aca="false">SUMIFS(L$3228:L$4138,$H$3228:$H$4138,$AD182)</f>
        <v>0</v>
      </c>
      <c r="V182" s="195" t="n">
        <f aca="false">SUMIFS(M$3228:M$4138,$H$3228:$H$4138,$AD182)</f>
        <v>0</v>
      </c>
      <c r="W182" s="193" t="n">
        <f aca="false">SUMIFS(N$3228:N$4138,$H$3228:$H$4138,$AD182)</f>
        <v>0</v>
      </c>
      <c r="X182" s="193" t="n">
        <f aca="false">SUMIFS(O$3228:O$4138,$H$3228:$H$4138,$AD182)</f>
        <v>0</v>
      </c>
      <c r="Y182" s="196" t="n">
        <f aca="false">SUMIFS(P$3228:P$4138,$H$3228:$H$4138,$AD182)</f>
        <v>0</v>
      </c>
      <c r="Z182" s="193" t="n">
        <f aca="false">SUMIFS(Q$3228:Q$4138,$H$3228:$H$4138,$AD182)</f>
        <v>0</v>
      </c>
      <c r="AA182" s="195" t="n">
        <f aca="false">SUMIFS(R$3228:R$4138,$H$3228:$H$4138,$AD182)</f>
        <v>0</v>
      </c>
      <c r="AB182" s="197" t="n">
        <f aca="false">SUMIFS(S$3228:S$4138,$H$3228:$H$4138,$AD182)</f>
        <v>0</v>
      </c>
      <c r="AC182" s="198" t="n">
        <f aca="false">SUM(T182:AA182)</f>
        <v>0</v>
      </c>
      <c r="AD182" s="221" t="s">
        <v>229</v>
      </c>
      <c r="AE182" s="221" t="n">
        <v>813</v>
      </c>
      <c r="AF182" s="221" t="s">
        <v>127</v>
      </c>
      <c r="AG182" s="128"/>
      <c r="AH182" s="128" t="n">
        <v>0</v>
      </c>
      <c r="AI182" s="203"/>
      <c r="BN182" s="255"/>
      <c r="BP182" s="255"/>
      <c r="BX182" s="205" t="n">
        <f aca="false">BV182*5+BW182*2</f>
        <v>0</v>
      </c>
      <c r="CB182" s="219" t="n">
        <v>12</v>
      </c>
    </row>
    <row r="183" customFormat="false" ht="15" hidden="true" customHeight="true" outlineLevel="0" collapsed="false">
      <c r="B183" s="127" t="n">
        <f aca="false">B182+D183-C183</f>
        <v>-1569.5</v>
      </c>
      <c r="D183" s="146" t="n">
        <f aca="false">(2*327.75)+247.25+(2*270.25)</f>
        <v>1443.25</v>
      </c>
      <c r="E183" s="147" t="n">
        <v>138</v>
      </c>
      <c r="F183" s="147" t="n">
        <f aca="false">IFERROR(VLOOKUP(H183,$AD$1:$AE$301,2,0),"")</f>
        <v>1007988</v>
      </c>
      <c r="G183" s="147" t="str">
        <f aca="false">IFERROR(VLOOKUP(F183,$AE$2:$AF$290,2, 0),"")</f>
        <v>ضباء</v>
      </c>
      <c r="H183" s="212" t="s">
        <v>89</v>
      </c>
      <c r="I183" s="246" t="n">
        <f aca="false">SUM(K183:R183)</f>
        <v>5</v>
      </c>
      <c r="J183" s="182" t="n">
        <v>45496</v>
      </c>
      <c r="K183" s="184" t="n">
        <v>2</v>
      </c>
      <c r="L183" s="185"/>
      <c r="M183" s="186" t="n">
        <v>2</v>
      </c>
      <c r="N183" s="187"/>
      <c r="O183" s="188" t="n">
        <v>1</v>
      </c>
      <c r="P183" s="189"/>
      <c r="Q183" s="190"/>
      <c r="R183" s="191"/>
      <c r="S183" s="192" t="n">
        <f aca="false">(K183+O183+Q183)*24 /1130+(L183+M183+P183+R183)*12/1130+(N183*30)/1130</f>
        <v>0.0849557522123894</v>
      </c>
      <c r="T183" s="193" t="n">
        <f aca="false">SUMIFS(K$3228:K$4138,$H$3228:$H$4138,$AD183)</f>
        <v>0</v>
      </c>
      <c r="U183" s="194" t="n">
        <f aca="false">SUMIFS(L$3228:L$4138,$H$3228:$H$4138,$AD183)</f>
        <v>0</v>
      </c>
      <c r="V183" s="195" t="n">
        <f aca="false">SUMIFS(M$3228:M$4138,$H$3228:$H$4138,$AD183)</f>
        <v>0</v>
      </c>
      <c r="W183" s="193" t="n">
        <f aca="false">SUMIFS(N$3228:N$4138,$H$3228:$H$4138,$AD183)</f>
        <v>0</v>
      </c>
      <c r="X183" s="193" t="n">
        <f aca="false">SUMIFS(O$3228:O$4138,$H$3228:$H$4138,$AD183)</f>
        <v>0</v>
      </c>
      <c r="Y183" s="196" t="n">
        <f aca="false">SUMIFS(P$3228:P$4138,$H$3228:$H$4138,$AD183)</f>
        <v>0</v>
      </c>
      <c r="Z183" s="193" t="n">
        <f aca="false">SUMIFS(Q$3228:Q$4138,$H$3228:$H$4138,$AD183)</f>
        <v>0</v>
      </c>
      <c r="AA183" s="195" t="n">
        <f aca="false">SUMIFS(R$3228:R$4138,$H$3228:$H$4138,$AD183)</f>
        <v>0</v>
      </c>
      <c r="AB183" s="197" t="n">
        <f aca="false">SUMIFS(S$3228:S$4138,$H$3228:$H$4138,$AD183)</f>
        <v>0</v>
      </c>
      <c r="AC183" s="198" t="n">
        <f aca="false">SUM(T183:AA183)</f>
        <v>0</v>
      </c>
      <c r="AD183" s="221" t="s">
        <v>230</v>
      </c>
      <c r="AE183" s="240" t="n">
        <v>633</v>
      </c>
      <c r="AF183" s="240" t="s">
        <v>127</v>
      </c>
      <c r="AG183" s="128"/>
      <c r="AH183" s="128" t="n">
        <v>0</v>
      </c>
      <c r="AI183" s="203"/>
      <c r="BN183" s="255"/>
      <c r="BP183" s="255"/>
      <c r="BX183" s="205" t="n">
        <f aca="false">BV183*5+BW183*2</f>
        <v>0</v>
      </c>
    </row>
    <row r="184" customFormat="false" ht="15" hidden="true" customHeight="true" outlineLevel="0" collapsed="false">
      <c r="B184" s="127" t="n">
        <f aca="false">B183+D184-C184</f>
        <v>-258.5</v>
      </c>
      <c r="D184" s="146" t="n">
        <f aca="false">4*327.75</f>
        <v>1311</v>
      </c>
      <c r="E184" s="147" t="n">
        <v>142</v>
      </c>
      <c r="F184" s="147" t="n">
        <f aca="false">IFERROR(VLOOKUP(H184,$AD$1:$AE$301,2,0),"")</f>
        <v>1008047</v>
      </c>
      <c r="G184" s="147" t="str">
        <f aca="false">IFERROR(VLOOKUP(F184,$AE$2:$AF$290,2, 0),"")</f>
        <v>الوجه</v>
      </c>
      <c r="H184" s="212" t="s">
        <v>422</v>
      </c>
      <c r="I184" s="246" t="n">
        <f aca="false">SUM(K184:R184)</f>
        <v>4</v>
      </c>
      <c r="J184" s="182" t="n">
        <v>45496</v>
      </c>
      <c r="K184" s="184" t="n">
        <v>4</v>
      </c>
      <c r="L184" s="185"/>
      <c r="M184" s="186"/>
      <c r="N184" s="187"/>
      <c r="O184" s="188"/>
      <c r="P184" s="189"/>
      <c r="Q184" s="190"/>
      <c r="R184" s="191"/>
      <c r="S184" s="192" t="n">
        <f aca="false">(K184+O184+Q184)*24 /1130+(L184+M184+P184+R184)*12/1130+(N184*30)/1130</f>
        <v>0.0849557522123894</v>
      </c>
      <c r="T184" s="193" t="n">
        <f aca="false">SUMIFS(K$3228:K$4138,$H$3228:$H$4138,$AD184)</f>
        <v>0</v>
      </c>
      <c r="U184" s="194" t="n">
        <f aca="false">SUMIFS(L$3228:L$4138,$H$3228:$H$4138,$AD184)</f>
        <v>0</v>
      </c>
      <c r="V184" s="195" t="n">
        <f aca="false">SUMIFS(M$3228:M$4138,$H$3228:$H$4138,$AD184)</f>
        <v>0</v>
      </c>
      <c r="W184" s="193" t="n">
        <f aca="false">SUMIFS(N$3228:N$4138,$H$3228:$H$4138,$AD184)</f>
        <v>0</v>
      </c>
      <c r="X184" s="193" t="n">
        <f aca="false">SUMIFS(O$3228:O$4138,$H$3228:$H$4138,$AD184)</f>
        <v>0</v>
      </c>
      <c r="Y184" s="196" t="n">
        <f aca="false">SUMIFS(P$3228:P$4138,$H$3228:$H$4138,$AD184)</f>
        <v>0</v>
      </c>
      <c r="Z184" s="193" t="n">
        <f aca="false">SUMIFS(Q$3228:Q$4138,$H$3228:$H$4138,$AD184)</f>
        <v>0</v>
      </c>
      <c r="AA184" s="195" t="n">
        <f aca="false">SUMIFS(R$3228:R$4138,$H$3228:$H$4138,$AD184)</f>
        <v>0</v>
      </c>
      <c r="AB184" s="197" t="n">
        <f aca="false">SUMIFS(S$3228:S$4138,$H$3228:$H$4138,$AD184)</f>
        <v>0</v>
      </c>
      <c r="AC184" s="198" t="n">
        <f aca="false">SUM(T184:AA184)</f>
        <v>0</v>
      </c>
      <c r="AD184" s="221" t="s">
        <v>231</v>
      </c>
      <c r="AE184" s="240" t="n">
        <v>810</v>
      </c>
      <c r="AF184" s="240" t="s">
        <v>127</v>
      </c>
      <c r="AG184" s="128"/>
      <c r="AH184" s="128" t="n">
        <v>0</v>
      </c>
      <c r="AI184" s="203"/>
      <c r="BN184" s="255"/>
      <c r="BP184" s="255"/>
      <c r="BX184" s="205" t="n">
        <f aca="false">BV184*5+BW184*2</f>
        <v>0</v>
      </c>
    </row>
    <row r="185" customFormat="false" ht="15" hidden="true" customHeight="true" outlineLevel="0" collapsed="false">
      <c r="B185" s="127" t="n">
        <f aca="false">B184+D185-C185</f>
        <v>0.25</v>
      </c>
      <c r="D185" s="146" t="n">
        <v>258.75</v>
      </c>
      <c r="E185" s="147" t="n">
        <v>143</v>
      </c>
      <c r="F185" s="147" t="n">
        <f aca="false">IFERROR(VLOOKUP(H185,$AD$1:$AE$301,2,0),"")</f>
        <v>1007980</v>
      </c>
      <c r="G185" s="147" t="str">
        <f aca="false">IFERROR(VLOOKUP(F185,$AE$2:$AF$290,2, 0),"")</f>
        <v>ضباء</v>
      </c>
      <c r="H185" s="212" t="s">
        <v>81</v>
      </c>
      <c r="I185" s="246" t="n">
        <f aca="false">SUM(K185:R185)</f>
        <v>1</v>
      </c>
      <c r="J185" s="182" t="n">
        <v>45496</v>
      </c>
      <c r="K185" s="184"/>
      <c r="L185" s="185"/>
      <c r="M185" s="186"/>
      <c r="N185" s="187"/>
      <c r="O185" s="188"/>
      <c r="P185" s="189"/>
      <c r="Q185" s="190" t="n">
        <v>1</v>
      </c>
      <c r="R185" s="258"/>
      <c r="S185" s="192" t="n">
        <f aca="false">(K185+O185+Q185)*24 /1130+(L185+M185+P185+R185)*12/1130+(N185*30)/1130</f>
        <v>0.0212389380530973</v>
      </c>
      <c r="T185" s="193" t="n">
        <f aca="false">SUMIFS(K$3228:K$4138,$H$3228:$H$4138,$AD185)</f>
        <v>0</v>
      </c>
      <c r="U185" s="194" t="n">
        <f aca="false">SUMIFS(L$3228:L$4138,$H$3228:$H$4138,$AD185)</f>
        <v>0</v>
      </c>
      <c r="V185" s="195" t="n">
        <f aca="false">SUMIFS(M$3228:M$4138,$H$3228:$H$4138,$AD185)</f>
        <v>0</v>
      </c>
      <c r="W185" s="193" t="n">
        <f aca="false">SUMIFS(N$3228:N$4138,$H$3228:$H$4138,$AD185)</f>
        <v>0</v>
      </c>
      <c r="X185" s="193" t="n">
        <f aca="false">SUMIFS(O$3228:O$4138,$H$3228:$H$4138,$AD185)</f>
        <v>0</v>
      </c>
      <c r="Y185" s="196" t="n">
        <f aca="false">SUMIFS(P$3228:P$4138,$H$3228:$H$4138,$AD185)</f>
        <v>0</v>
      </c>
      <c r="Z185" s="193" t="n">
        <f aca="false">SUMIFS(Q$3228:Q$4138,$H$3228:$H$4138,$AD185)</f>
        <v>0</v>
      </c>
      <c r="AA185" s="195" t="n">
        <f aca="false">SUMIFS(R$3228:R$4138,$H$3228:$H$4138,$AD185)</f>
        <v>0</v>
      </c>
      <c r="AB185" s="197" t="n">
        <f aca="false">SUMIFS(S$3228:S$4138,$H$3228:$H$4138,$AD185)</f>
        <v>0</v>
      </c>
      <c r="AC185" s="198" t="n">
        <f aca="false">SUM(T185:AA185)</f>
        <v>0</v>
      </c>
      <c r="AD185" s="221" t="s">
        <v>232</v>
      </c>
      <c r="AE185" s="240" t="n">
        <v>1002885</v>
      </c>
      <c r="AF185" s="240" t="s">
        <v>127</v>
      </c>
      <c r="AG185" s="128"/>
      <c r="AH185" s="128" t="n">
        <v>0</v>
      </c>
      <c r="AI185" s="203"/>
      <c r="BN185" s="255"/>
      <c r="BP185" s="255"/>
      <c r="BX185" s="205" t="n">
        <f aca="false">BV185*5+BW185*2</f>
        <v>0</v>
      </c>
    </row>
    <row r="186" customFormat="false" ht="15" hidden="true" customHeight="true" outlineLevel="0" collapsed="false">
      <c r="B186" s="127" t="n">
        <f aca="false">B185+D186-C186</f>
        <v>690.25</v>
      </c>
      <c r="D186" s="146" t="n">
        <f aca="false">5*138</f>
        <v>690</v>
      </c>
      <c r="E186" s="147" t="n">
        <v>145</v>
      </c>
      <c r="F186" s="147" t="n">
        <f aca="false">IFERROR(VLOOKUP(H186,$AD$1:$AE$301,2,0),"")</f>
        <v>1008053</v>
      </c>
      <c r="G186" s="147" t="str">
        <f aca="false">IFERROR(VLOOKUP(F186,$AE$2:$AF$290,2, 0),"")</f>
        <v>تبوك</v>
      </c>
      <c r="H186" s="212" t="s">
        <v>254</v>
      </c>
      <c r="I186" s="246" t="n">
        <f aca="false">SUM(K186:R186)</f>
        <v>5</v>
      </c>
      <c r="J186" s="182" t="n">
        <v>45496</v>
      </c>
      <c r="K186" s="184"/>
      <c r="L186" s="185"/>
      <c r="M186" s="186"/>
      <c r="N186" s="187"/>
      <c r="O186" s="188"/>
      <c r="P186" s="189"/>
      <c r="Q186" s="190" t="n">
        <v>5</v>
      </c>
      <c r="R186" s="259"/>
      <c r="S186" s="192" t="n">
        <f aca="false">(K186+O186+Q186)*24 /1130+(L186+M186+P186+R186)*12/1130+(N186*30)/1130</f>
        <v>0.106194690265487</v>
      </c>
      <c r="T186" s="193" t="n">
        <f aca="false">SUMIFS(K$3228:K$4138,$H$3228:$H$4138,$AD186)</f>
        <v>0</v>
      </c>
      <c r="U186" s="194" t="n">
        <f aca="false">SUMIFS(L$3228:L$4138,$H$3228:$H$4138,$AD186)</f>
        <v>0</v>
      </c>
      <c r="V186" s="195" t="n">
        <f aca="false">SUMIFS(M$3228:M$4138,$H$3228:$H$4138,$AD186)</f>
        <v>0</v>
      </c>
      <c r="W186" s="193" t="n">
        <f aca="false">SUMIFS(N$3228:N$4138,$H$3228:$H$4138,$AD186)</f>
        <v>0</v>
      </c>
      <c r="X186" s="193" t="n">
        <f aca="false">SUMIFS(O$3228:O$4138,$H$3228:$H$4138,$AD186)</f>
        <v>0</v>
      </c>
      <c r="Y186" s="196" t="n">
        <f aca="false">SUMIFS(P$3228:P$4138,$H$3228:$H$4138,$AD186)</f>
        <v>0</v>
      </c>
      <c r="Z186" s="193" t="n">
        <f aca="false">SUMIFS(Q$3228:Q$4138,$H$3228:$H$4138,$AD186)</f>
        <v>0</v>
      </c>
      <c r="AA186" s="195" t="n">
        <f aca="false">SUMIFS(R$3228:R$4138,$H$3228:$H$4138,$AD186)</f>
        <v>0</v>
      </c>
      <c r="AB186" s="197" t="n">
        <f aca="false">SUMIFS(S$3228:S$4138,$H$3228:$H$4138,$AD186)</f>
        <v>0</v>
      </c>
      <c r="AC186" s="198" t="n">
        <f aca="false">SUM(T186:AA186)</f>
        <v>0</v>
      </c>
      <c r="AD186" s="221" t="s">
        <v>233</v>
      </c>
      <c r="AE186" s="240" t="n">
        <v>1008277</v>
      </c>
      <c r="AF186" s="240" t="s">
        <v>127</v>
      </c>
      <c r="AG186" s="202" t="s">
        <v>575</v>
      </c>
      <c r="AH186" s="128" t="n">
        <v>507267349</v>
      </c>
      <c r="AI186" s="203"/>
      <c r="AN186" s="128" t="n">
        <v>14</v>
      </c>
      <c r="AP186" s="128" t="n">
        <v>17</v>
      </c>
      <c r="AQ186" s="128" t="n">
        <v>1</v>
      </c>
      <c r="AT186" s="128" t="n">
        <f aca="false">12</f>
        <v>12</v>
      </c>
      <c r="AX186" s="128" t="n">
        <f aca="false">16</f>
        <v>16</v>
      </c>
      <c r="BN186" s="255"/>
      <c r="BP186" s="255"/>
      <c r="BX186" s="205" t="n">
        <f aca="false">BV186*5+BW186*2</f>
        <v>0</v>
      </c>
    </row>
    <row r="187" customFormat="false" ht="15" hidden="true" customHeight="true" outlineLevel="0" collapsed="false">
      <c r="B187" s="127" t="n">
        <f aca="false">B186+D187-C187</f>
        <v>1483.75</v>
      </c>
      <c r="D187" s="146" t="n">
        <f aca="false">327.75+327.75+138</f>
        <v>793.5</v>
      </c>
      <c r="E187" s="147" t="n">
        <v>144</v>
      </c>
      <c r="F187" s="147" t="n">
        <f aca="false">IFERROR(VLOOKUP(H187,$AD$1:$AE$301,2,0),"")</f>
        <v>1002920</v>
      </c>
      <c r="G187" s="147" t="str">
        <f aca="false">IFERROR(VLOOKUP(F187,$AE$2:$AF$290,2, 0),"")</f>
        <v>تبوك</v>
      </c>
      <c r="H187" s="212" t="s">
        <v>251</v>
      </c>
      <c r="I187" s="246" t="n">
        <f aca="false">SUM(K187:R187)</f>
        <v>3</v>
      </c>
      <c r="J187" s="182" t="n">
        <v>45496</v>
      </c>
      <c r="K187" s="184" t="n">
        <v>2</v>
      </c>
      <c r="L187" s="185"/>
      <c r="M187" s="186"/>
      <c r="N187" s="187"/>
      <c r="O187" s="188"/>
      <c r="P187" s="189"/>
      <c r="Q187" s="190" t="n">
        <v>1</v>
      </c>
      <c r="R187" s="259"/>
      <c r="S187" s="192" t="n">
        <f aca="false">(K187+O187+Q187)*24 /1130+(L187+M187+P187+R187)*12/1130+(N187*30)/1130</f>
        <v>0.063716814159292</v>
      </c>
      <c r="T187" s="193" t="n">
        <f aca="false">SUMIFS(K$3228:K$4138,$H$3228:$H$4138,$AD187)</f>
        <v>0</v>
      </c>
      <c r="U187" s="194" t="n">
        <f aca="false">SUMIFS(L$3228:L$4138,$H$3228:$H$4138,$AD187)</f>
        <v>0</v>
      </c>
      <c r="V187" s="195" t="n">
        <f aca="false">SUMIFS(M$3228:M$4138,$H$3228:$H$4138,$AD187)</f>
        <v>0</v>
      </c>
      <c r="W187" s="193" t="n">
        <f aca="false">SUMIFS(N$3228:N$4138,$H$3228:$H$4138,$AD187)</f>
        <v>0</v>
      </c>
      <c r="X187" s="193" t="n">
        <f aca="false">SUMIFS(O$3228:O$4138,$H$3228:$H$4138,$AD187)</f>
        <v>0</v>
      </c>
      <c r="Y187" s="196" t="n">
        <f aca="false">SUMIFS(P$3228:P$4138,$H$3228:$H$4138,$AD187)</f>
        <v>0</v>
      </c>
      <c r="Z187" s="193" t="n">
        <f aca="false">SUMIFS(Q$3228:Q$4138,$H$3228:$H$4138,$AD187)</f>
        <v>0</v>
      </c>
      <c r="AA187" s="195" t="n">
        <f aca="false">SUMIFS(R$3228:R$4138,$H$3228:$H$4138,$AD187)</f>
        <v>0</v>
      </c>
      <c r="AB187" s="197" t="n">
        <f aca="false">SUMIFS(S$3228:S$4138,$H$3228:$H$4138,$AD187)</f>
        <v>0</v>
      </c>
      <c r="AC187" s="198" t="n">
        <f aca="false">SUM(T187:AA187)</f>
        <v>0</v>
      </c>
      <c r="AD187" s="221" t="s">
        <v>234</v>
      </c>
      <c r="AE187" s="240" t="n">
        <v>562</v>
      </c>
      <c r="AF187" s="240" t="s">
        <v>127</v>
      </c>
      <c r="AG187" s="242" t="s">
        <v>576</v>
      </c>
      <c r="AH187" s="160" t="n">
        <v>590826431</v>
      </c>
      <c r="AI187" s="203"/>
      <c r="AN187" s="260" t="n">
        <f aca="false">8</f>
        <v>8</v>
      </c>
      <c r="AO187" s="260" t="n">
        <f aca="false">3</f>
        <v>3</v>
      </c>
      <c r="AP187" s="128" t="n">
        <v>9</v>
      </c>
      <c r="AQ187" s="128" t="n">
        <f aca="false">5</f>
        <v>5</v>
      </c>
      <c r="AV187" s="128" t="n">
        <f aca="false">11</f>
        <v>11</v>
      </c>
      <c r="AW187" s="128" t="n">
        <f aca="false">2</f>
        <v>2</v>
      </c>
      <c r="BB187" s="128" t="n">
        <f aca="false">17</f>
        <v>17</v>
      </c>
      <c r="BF187" s="157" t="n">
        <f aca="false">5</f>
        <v>5</v>
      </c>
      <c r="BN187" s="255"/>
      <c r="BP187" s="255"/>
      <c r="BX187" s="205" t="n">
        <f aca="false">BV187*5+BW187*2</f>
        <v>0</v>
      </c>
    </row>
    <row r="188" customFormat="false" ht="15" hidden="true" customHeight="true" outlineLevel="0" collapsed="false">
      <c r="B188" s="127" t="n">
        <f aca="false">B187+D188-C188</f>
        <v>0</v>
      </c>
      <c r="C188" s="127" t="n">
        <f aca="false">D186+D187</f>
        <v>1483.5</v>
      </c>
      <c r="D188" s="146" t="n">
        <v>-0.25</v>
      </c>
      <c r="E188" s="212" t="s">
        <v>470</v>
      </c>
      <c r="F188" s="147" t="str">
        <f aca="false">IFERROR(VLOOKUP(H188,$AD$1:$AE$301,2,0),"")</f>
        <v/>
      </c>
      <c r="G188" s="147" t="str">
        <f aca="false">IFERROR(VLOOKUP(F188,$AE$2:$AF$290,2, 0),"")</f>
        <v/>
      </c>
      <c r="H188" s="212" t="s">
        <v>393</v>
      </c>
      <c r="I188" s="246" t="n">
        <f aca="false">SUM(K188:R188)</f>
        <v>0</v>
      </c>
      <c r="J188" s="182" t="n">
        <v>45496</v>
      </c>
      <c r="K188" s="184"/>
      <c r="L188" s="185"/>
      <c r="M188" s="186"/>
      <c r="N188" s="187"/>
      <c r="O188" s="188"/>
      <c r="P188" s="189"/>
      <c r="Q188" s="190"/>
      <c r="R188" s="191"/>
      <c r="S188" s="192" t="n">
        <f aca="false">(K188+O188+Q188)*24 /1130+(L188+M188+P188+R188)*12/1130+(N188*30)/1130</f>
        <v>0</v>
      </c>
      <c r="T188" s="193" t="n">
        <f aca="false">SUMIFS(K$3228:K$4138,$H$3228:$H$4138,$AD188)</f>
        <v>0</v>
      </c>
      <c r="U188" s="194" t="n">
        <f aca="false">SUMIFS(L$3228:L$4138,$H$3228:$H$4138,$AD188)</f>
        <v>0</v>
      </c>
      <c r="V188" s="195" t="n">
        <f aca="false">SUMIFS(M$3228:M$4138,$H$3228:$H$4138,$AD188)</f>
        <v>0</v>
      </c>
      <c r="W188" s="193" t="n">
        <f aca="false">SUMIFS(N$3228:N$4138,$H$3228:$H$4138,$AD188)</f>
        <v>0</v>
      </c>
      <c r="X188" s="193" t="n">
        <f aca="false">SUMIFS(O$3228:O$4138,$H$3228:$H$4138,$AD188)</f>
        <v>0</v>
      </c>
      <c r="Y188" s="196" t="n">
        <f aca="false">SUMIFS(P$3228:P$4138,$H$3228:$H$4138,$AD188)</f>
        <v>0</v>
      </c>
      <c r="Z188" s="193" t="n">
        <f aca="false">SUMIFS(Q$3228:Q$4138,$H$3228:$H$4138,$AD188)</f>
        <v>0</v>
      </c>
      <c r="AA188" s="195" t="n">
        <f aca="false">SUMIFS(R$3228:R$4138,$H$3228:$H$4138,$AD188)</f>
        <v>0</v>
      </c>
      <c r="AB188" s="197" t="n">
        <f aca="false">SUMIFS(S$3228:S$4138,$H$3228:$H$4138,$AD188)</f>
        <v>0</v>
      </c>
      <c r="AC188" s="198" t="n">
        <f aca="false">SUM(T188:AA188)</f>
        <v>0</v>
      </c>
      <c r="AD188" s="241" t="s">
        <v>235</v>
      </c>
      <c r="AE188" s="241" t="n">
        <v>1008268</v>
      </c>
      <c r="AF188" s="240" t="s">
        <v>127</v>
      </c>
      <c r="AI188" s="203"/>
      <c r="BN188" s="255"/>
      <c r="BP188" s="255"/>
      <c r="BX188" s="205" t="n">
        <f aca="false">BV188*5+BW188*2</f>
        <v>0</v>
      </c>
    </row>
    <row r="189" customFormat="false" ht="15" hidden="true" customHeight="true" outlineLevel="0" collapsed="false">
      <c r="B189" s="127" t="n">
        <f aca="false">B188+D189-C189</f>
        <v>1782.5</v>
      </c>
      <c r="D189" s="146" t="n">
        <v>1782.5</v>
      </c>
      <c r="E189" s="147" t="n">
        <v>148</v>
      </c>
      <c r="F189" s="147" t="n">
        <f aca="false">IFERROR(VLOOKUP(H189,$AD$1:$AE$301,2,0),"")</f>
        <v>1006522</v>
      </c>
      <c r="G189" s="147" t="str">
        <f aca="false">IFERROR(VLOOKUP(F189,$AE$2:$AF$290,2, 0),"")</f>
        <v>البدع</v>
      </c>
      <c r="H189" s="212" t="s">
        <v>317</v>
      </c>
      <c r="I189" s="246" t="n">
        <f aca="false">SUM(K189:R189)</f>
        <v>10</v>
      </c>
      <c r="J189" s="182" t="n">
        <v>45496</v>
      </c>
      <c r="K189" s="184"/>
      <c r="L189" s="185" t="n">
        <v>10</v>
      </c>
      <c r="M189" s="186"/>
      <c r="N189" s="187"/>
      <c r="O189" s="188"/>
      <c r="P189" s="189"/>
      <c r="Q189" s="190"/>
      <c r="R189" s="191"/>
      <c r="S189" s="192" t="n">
        <f aca="false">(K189+O189+Q189)*24 /1130+(L189+M189+P189+R189)*12/1130+(N189*30)/1130</f>
        <v>0.106194690265487</v>
      </c>
      <c r="T189" s="193" t="n">
        <f aca="false">SUMIFS(K$3228:K$4138,$H$3228:$H$4138,$AD189)</f>
        <v>0</v>
      </c>
      <c r="U189" s="194" t="n">
        <f aca="false">SUMIFS(L$3228:L$4138,$H$3228:$H$4138,$AD189)</f>
        <v>0</v>
      </c>
      <c r="V189" s="195" t="n">
        <f aca="false">SUMIFS(M$3228:M$4138,$H$3228:$H$4138,$AD189)</f>
        <v>0</v>
      </c>
      <c r="W189" s="193" t="n">
        <f aca="false">SUMIFS(N$3228:N$4138,$H$3228:$H$4138,$AD189)</f>
        <v>0</v>
      </c>
      <c r="X189" s="193" t="n">
        <f aca="false">SUMIFS(O$3228:O$4138,$H$3228:$H$4138,$AD189)</f>
        <v>0</v>
      </c>
      <c r="Y189" s="196" t="n">
        <f aca="false">SUMIFS(P$3228:P$4138,$H$3228:$H$4138,$AD189)</f>
        <v>0</v>
      </c>
      <c r="Z189" s="193" t="n">
        <f aca="false">SUMIFS(Q$3228:Q$4138,$H$3228:$H$4138,$AD189)</f>
        <v>0</v>
      </c>
      <c r="AA189" s="195" t="n">
        <f aca="false">SUMIFS(R$3228:R$4138,$H$3228:$H$4138,$AD189)</f>
        <v>0</v>
      </c>
      <c r="AB189" s="197" t="n">
        <f aca="false">SUMIFS(S$3228:S$4138,$H$3228:$H$4138,$AD189)</f>
        <v>0</v>
      </c>
      <c r="AC189" s="198" t="n">
        <f aca="false">SUM(T189:AA189)</f>
        <v>0</v>
      </c>
      <c r="AD189" s="241" t="s">
        <v>236</v>
      </c>
      <c r="AE189" s="241" t="n">
        <v>1008270</v>
      </c>
      <c r="AF189" s="240" t="s">
        <v>127</v>
      </c>
      <c r="AG189" s="128"/>
      <c r="AH189" s="128" t="n">
        <v>0</v>
      </c>
      <c r="AI189" s="203"/>
      <c r="BN189" s="255"/>
      <c r="BP189" s="255"/>
      <c r="BX189" s="205" t="n">
        <f aca="false">BV189*5+BW189*2</f>
        <v>0</v>
      </c>
    </row>
    <row r="190" customFormat="false" ht="15" hidden="true" customHeight="true" outlineLevel="0" collapsed="false">
      <c r="B190" s="127" t="n">
        <f aca="false">B189+D190-C190</f>
        <v>2369</v>
      </c>
      <c r="D190" s="146" t="n">
        <f aca="false">2*293.25</f>
        <v>586.5</v>
      </c>
      <c r="E190" s="147" t="n">
        <v>147</v>
      </c>
      <c r="F190" s="147" t="n">
        <f aca="false">IFERROR(VLOOKUP(H190,$AD$1:$AE$301,2,0),"")</f>
        <v>1008004</v>
      </c>
      <c r="G190" s="147" t="str">
        <f aca="false">IFERROR(VLOOKUP(F190,$AE$2:$AF$290,2, 0),"")</f>
        <v>حقل</v>
      </c>
      <c r="H190" s="212" t="s">
        <v>316</v>
      </c>
      <c r="I190" s="246" t="n">
        <f aca="false">SUM(K190:R190)</f>
        <v>2</v>
      </c>
      <c r="J190" s="182" t="n">
        <v>45496</v>
      </c>
      <c r="K190" s="184"/>
      <c r="L190" s="185"/>
      <c r="M190" s="186" t="n">
        <v>2</v>
      </c>
      <c r="N190" s="187"/>
      <c r="O190" s="188"/>
      <c r="P190" s="189"/>
      <c r="Q190" s="190"/>
      <c r="R190" s="191"/>
      <c r="S190" s="192" t="n">
        <f aca="false">(K190+O190+Q190)*24 /1130+(L190+M190+P190+R190)*12/1130+(N190*30)/1130</f>
        <v>0.0212389380530973</v>
      </c>
      <c r="T190" s="193" t="n">
        <f aca="false">SUMIFS(K$3228:K$4138,$H$3228:$H$4138,$AD190)</f>
        <v>0</v>
      </c>
      <c r="U190" s="194" t="n">
        <f aca="false">SUMIFS(L$3228:L$4138,$H$3228:$H$4138,$AD190)</f>
        <v>0</v>
      </c>
      <c r="V190" s="195" t="n">
        <f aca="false">SUMIFS(M$3228:M$4138,$H$3228:$H$4138,$AD190)</f>
        <v>0</v>
      </c>
      <c r="W190" s="193" t="n">
        <f aca="false">SUMIFS(N$3228:N$4138,$H$3228:$H$4138,$AD190)</f>
        <v>0</v>
      </c>
      <c r="X190" s="193" t="n">
        <f aca="false">SUMIFS(O$3228:O$4138,$H$3228:$H$4138,$AD190)</f>
        <v>0</v>
      </c>
      <c r="Y190" s="196" t="n">
        <f aca="false">SUMIFS(P$3228:P$4138,$H$3228:$H$4138,$AD190)</f>
        <v>0</v>
      </c>
      <c r="Z190" s="193" t="n">
        <f aca="false">SUMIFS(Q$3228:Q$4138,$H$3228:$H$4138,$AD190)</f>
        <v>0</v>
      </c>
      <c r="AA190" s="195" t="n">
        <f aca="false">SUMIFS(R$3228:R$4138,$H$3228:$H$4138,$AD190)</f>
        <v>0</v>
      </c>
      <c r="AB190" s="197" t="n">
        <f aca="false">SUMIFS(S$3228:S$4138,$H$3228:$H$4138,$AD190)</f>
        <v>0</v>
      </c>
      <c r="AC190" s="198" t="n">
        <f aca="false">SUM(T190:AA190)</f>
        <v>0</v>
      </c>
      <c r="AD190" s="241" t="s">
        <v>237</v>
      </c>
      <c r="AE190" s="241" t="n">
        <v>539</v>
      </c>
      <c r="AF190" s="240" t="s">
        <v>127</v>
      </c>
      <c r="AG190" s="128"/>
      <c r="AH190" s="128" t="n">
        <v>0</v>
      </c>
      <c r="AI190" s="203"/>
      <c r="BN190" s="255"/>
      <c r="BP190" s="255"/>
      <c r="BX190" s="205" t="n">
        <f aca="false">BV190*5+BW190*2</f>
        <v>0</v>
      </c>
    </row>
    <row r="191" customFormat="false" ht="15" hidden="true" customHeight="true" outlineLevel="0" collapsed="false">
      <c r="B191" s="127" t="n">
        <f aca="false">B190+D191-C191</f>
        <v>2645</v>
      </c>
      <c r="D191" s="146" t="n">
        <f aca="false">2*138</f>
        <v>276</v>
      </c>
      <c r="E191" s="147" t="n">
        <v>146</v>
      </c>
      <c r="F191" s="147" t="n">
        <f aca="false">IFERROR(VLOOKUP(H191,$AD$1:$AE$301,2,0),"")</f>
        <v>1008004</v>
      </c>
      <c r="G191" s="147" t="str">
        <f aca="false">IFERROR(VLOOKUP(F191,$AE$2:$AF$290,2, 0),"")</f>
        <v>حقل</v>
      </c>
      <c r="H191" s="212" t="s">
        <v>316</v>
      </c>
      <c r="I191" s="246" t="n">
        <f aca="false">SUM(K191:R191)</f>
        <v>2</v>
      </c>
      <c r="J191" s="182" t="n">
        <v>45496</v>
      </c>
      <c r="K191" s="184"/>
      <c r="L191" s="185"/>
      <c r="M191" s="186"/>
      <c r="N191" s="187"/>
      <c r="O191" s="188"/>
      <c r="P191" s="189"/>
      <c r="Q191" s="190" t="n">
        <v>2</v>
      </c>
      <c r="S191" s="192" t="n">
        <f aca="false">(K191+O191+Q191)*24 /1130+(L191+M191+P191+R191)*12/1130+(N191*30)/1130</f>
        <v>0.0424778761061947</v>
      </c>
      <c r="T191" s="193" t="n">
        <f aca="false">SUMIFS(K$3228:K$4138,$H$3228:$H$4138,$AD191)</f>
        <v>0</v>
      </c>
      <c r="U191" s="194" t="n">
        <f aca="false">SUMIFS(L$3228:L$4138,$H$3228:$H$4138,$AD191)</f>
        <v>0</v>
      </c>
      <c r="V191" s="195" t="n">
        <f aca="false">SUMIFS(M$3228:M$4138,$H$3228:$H$4138,$AD191)</f>
        <v>0</v>
      </c>
      <c r="W191" s="193" t="n">
        <f aca="false">SUMIFS(N$3228:N$4138,$H$3228:$H$4138,$AD191)</f>
        <v>0</v>
      </c>
      <c r="X191" s="193" t="n">
        <f aca="false">SUMIFS(O$3228:O$4138,$H$3228:$H$4138,$AD191)</f>
        <v>0</v>
      </c>
      <c r="Y191" s="196" t="n">
        <f aca="false">SUMIFS(P$3228:P$4138,$H$3228:$H$4138,$AD191)</f>
        <v>0</v>
      </c>
      <c r="Z191" s="193" t="n">
        <f aca="false">SUMIFS(Q$3228:Q$4138,$H$3228:$H$4138,$AD191)</f>
        <v>0</v>
      </c>
      <c r="AA191" s="195" t="n">
        <f aca="false">SUMIFS(R$3228:R$4138,$H$3228:$H$4138,$AD191)</f>
        <v>0</v>
      </c>
      <c r="AB191" s="197" t="n">
        <f aca="false">SUMIFS(S$3228:S$4138,$H$3228:$H$4138,$AD191)</f>
        <v>0</v>
      </c>
      <c r="AC191" s="198" t="n">
        <f aca="false">SUM(T191:AA191)</f>
        <v>0</v>
      </c>
      <c r="AD191" s="221" t="s">
        <v>238</v>
      </c>
      <c r="AE191" s="240" t="n">
        <v>549</v>
      </c>
      <c r="AF191" s="240" t="s">
        <v>127</v>
      </c>
      <c r="AG191" s="242" t="s">
        <v>577</v>
      </c>
      <c r="AH191" s="160" t="n">
        <v>507202641</v>
      </c>
      <c r="AI191" s="203"/>
      <c r="AL191" s="128" t="n">
        <v>4</v>
      </c>
      <c r="AN191" s="128" t="n">
        <f aca="false">7+4</f>
        <v>11</v>
      </c>
      <c r="AR191" s="128" t="n">
        <f aca="false">8+9</f>
        <v>17</v>
      </c>
      <c r="AT191" s="128" t="n">
        <f aca="false">6+11</f>
        <v>17</v>
      </c>
      <c r="AU191" s="128" t="n">
        <f aca="false">1</f>
        <v>1</v>
      </c>
      <c r="AX191" s="128" t="n">
        <f aca="false">40</f>
        <v>40</v>
      </c>
      <c r="AY191" s="128" t="n">
        <f aca="false">1</f>
        <v>1</v>
      </c>
      <c r="AZ191" s="128" t="n">
        <f aca="false">20</f>
        <v>20</v>
      </c>
      <c r="BB191" s="128" t="n">
        <f aca="false">4+4+3</f>
        <v>11</v>
      </c>
      <c r="BD191" s="128" t="n">
        <f aca="false">4*5</f>
        <v>20</v>
      </c>
      <c r="BN191" s="255"/>
      <c r="BP191" s="255"/>
      <c r="BX191" s="205" t="n">
        <f aca="false">BV191*5+BW191*2</f>
        <v>0</v>
      </c>
      <c r="CA191" s="206" t="n">
        <f aca="false">1+1+2</f>
        <v>4</v>
      </c>
      <c r="CB191" s="206" t="n">
        <v>12</v>
      </c>
    </row>
    <row r="192" customFormat="false" ht="15" hidden="true" customHeight="true" outlineLevel="0" collapsed="false">
      <c r="B192" s="127" t="n">
        <f aca="false">B191+D192-C192</f>
        <v>-902</v>
      </c>
      <c r="C192" s="127" t="n">
        <f aca="false">800+982+62.5+793.5+909</f>
        <v>3547</v>
      </c>
      <c r="E192" s="212" t="s">
        <v>470</v>
      </c>
      <c r="F192" s="147" t="str">
        <f aca="false">IFERROR(VLOOKUP(H192,$AD$1:$AE$301,2,0),"")</f>
        <v/>
      </c>
      <c r="G192" s="147" t="str">
        <f aca="false">IFERROR(VLOOKUP(F192,$AE$2:$AF$290,2, 0),"")</f>
        <v/>
      </c>
      <c r="H192" s="212" t="s">
        <v>393</v>
      </c>
      <c r="I192" s="246" t="n">
        <f aca="false">SUM(K192:R192)</f>
        <v>0</v>
      </c>
      <c r="J192" s="182" t="n">
        <v>45496</v>
      </c>
      <c r="K192" s="184"/>
      <c r="L192" s="185"/>
      <c r="M192" s="186"/>
      <c r="N192" s="187"/>
      <c r="O192" s="188"/>
      <c r="P192" s="189"/>
      <c r="Q192" s="190"/>
      <c r="S192" s="192" t="n">
        <f aca="false">(K192+O192+Q192)*24 /1130+(L192+M192+P192+R192)*12/1130+(N192*30)/1130</f>
        <v>0</v>
      </c>
      <c r="T192" s="193" t="n">
        <f aca="false">SUMIFS(K$3228:K$4138,$H$3228:$H$4138,$AD192)</f>
        <v>0</v>
      </c>
      <c r="U192" s="194" t="n">
        <f aca="false">SUMIFS(L$3228:L$4138,$H$3228:$H$4138,$AD192)</f>
        <v>0</v>
      </c>
      <c r="V192" s="195" t="n">
        <f aca="false">SUMIFS(M$3228:M$4138,$H$3228:$H$4138,$AD192)</f>
        <v>0</v>
      </c>
      <c r="W192" s="193" t="n">
        <f aca="false">SUMIFS(N$3228:N$4138,$H$3228:$H$4138,$AD192)</f>
        <v>0</v>
      </c>
      <c r="X192" s="193" t="n">
        <f aca="false">SUMIFS(O$3228:O$4138,$H$3228:$H$4138,$AD192)</f>
        <v>0</v>
      </c>
      <c r="Y192" s="196" t="n">
        <f aca="false">SUMIFS(P$3228:P$4138,$H$3228:$H$4138,$AD192)</f>
        <v>0</v>
      </c>
      <c r="Z192" s="193" t="n">
        <f aca="false">SUMIFS(Q$3228:Q$4138,$H$3228:$H$4138,$AD192)</f>
        <v>0</v>
      </c>
      <c r="AA192" s="195" t="n">
        <f aca="false">SUMIFS(R$3228:R$4138,$H$3228:$H$4138,$AD192)</f>
        <v>0</v>
      </c>
      <c r="AB192" s="197" t="n">
        <f aca="false">SUMIFS(S$3228:S$4138,$H$3228:$H$4138,$AD192)</f>
        <v>0</v>
      </c>
      <c r="AC192" s="198" t="n">
        <f aca="false">SUM(T192:AA192)</f>
        <v>0</v>
      </c>
      <c r="AD192" s="241" t="s">
        <v>239</v>
      </c>
      <c r="AE192" s="241" t="n">
        <v>1008263</v>
      </c>
      <c r="AF192" s="240" t="s">
        <v>127</v>
      </c>
      <c r="AG192" s="128"/>
      <c r="AH192" s="128" t="n">
        <v>0</v>
      </c>
      <c r="AI192" s="203"/>
      <c r="BN192" s="255"/>
      <c r="BP192" s="255"/>
      <c r="BX192" s="205" t="n">
        <f aca="false">BV192*5+BW192*2</f>
        <v>0</v>
      </c>
    </row>
    <row r="193" customFormat="false" ht="15" hidden="true" customHeight="true" outlineLevel="0" collapsed="false">
      <c r="B193" s="127" t="n">
        <f aca="false">B192+D193-C193</f>
        <v>-654.75</v>
      </c>
      <c r="D193" s="146" t="n">
        <v>247.25</v>
      </c>
      <c r="E193" s="147" t="n">
        <v>149</v>
      </c>
      <c r="F193" s="147" t="n">
        <f aca="false">IFERROR(VLOOKUP(H193,$AD$1:$AE$301,2,0),"")</f>
        <v>1008040</v>
      </c>
      <c r="G193" s="147" t="str">
        <f aca="false">IFERROR(VLOOKUP(F193,$AE$2:$AF$290,2, 0),"")</f>
        <v>البير</v>
      </c>
      <c r="H193" s="212" t="s">
        <v>292</v>
      </c>
      <c r="I193" s="246" t="n">
        <f aca="false">SUM(K193:R193)</f>
        <v>1</v>
      </c>
      <c r="J193" s="182" t="n">
        <v>45496</v>
      </c>
      <c r="K193" s="184"/>
      <c r="L193" s="185"/>
      <c r="M193" s="186"/>
      <c r="N193" s="187"/>
      <c r="O193" s="188" t="n">
        <v>1</v>
      </c>
      <c r="P193" s="189"/>
      <c r="Q193" s="190"/>
      <c r="S193" s="192" t="n">
        <f aca="false">(K193+O193+Q193)*24 /1130+(L193+M193+P193+R193)*12/1130+(N193*30)/1130</f>
        <v>0.0212389380530973</v>
      </c>
      <c r="T193" s="193" t="n">
        <f aca="false">SUMIFS(K$3228:K$4138,$H$3228:$H$4138,$AD193)</f>
        <v>0</v>
      </c>
      <c r="U193" s="194" t="n">
        <f aca="false">SUMIFS(L$3228:L$4138,$H$3228:$H$4138,$AD193)</f>
        <v>0</v>
      </c>
      <c r="V193" s="195" t="n">
        <f aca="false">SUMIFS(M$3228:M$4138,$H$3228:$H$4138,$AD193)</f>
        <v>0</v>
      </c>
      <c r="W193" s="193" t="n">
        <f aca="false">SUMIFS(N$3228:N$4138,$H$3228:$H$4138,$AD193)</f>
        <v>0</v>
      </c>
      <c r="X193" s="193" t="n">
        <f aca="false">SUMIFS(O$3228:O$4138,$H$3228:$H$4138,$AD193)</f>
        <v>0</v>
      </c>
      <c r="Y193" s="196" t="n">
        <f aca="false">SUMIFS(P$3228:P$4138,$H$3228:$H$4138,$AD193)</f>
        <v>0</v>
      </c>
      <c r="Z193" s="193" t="n">
        <f aca="false">SUMIFS(Q$3228:Q$4138,$H$3228:$H$4138,$AD193)</f>
        <v>0</v>
      </c>
      <c r="AA193" s="195" t="n">
        <f aca="false">SUMIFS(R$3228:R$4138,$H$3228:$H$4138,$AD193)</f>
        <v>0</v>
      </c>
      <c r="AB193" s="197" t="n">
        <f aca="false">SUMIFS(S$3228:S$4138,$H$3228:$H$4138,$AD193)</f>
        <v>0</v>
      </c>
      <c r="AC193" s="198" t="n">
        <f aca="false">SUM(T193:AA193)</f>
        <v>0</v>
      </c>
      <c r="AD193" s="241" t="s">
        <v>578</v>
      </c>
      <c r="AE193" s="241" t="n">
        <v>1008055</v>
      </c>
      <c r="AF193" s="240" t="s">
        <v>127</v>
      </c>
      <c r="AG193" s="128"/>
      <c r="AH193" s="128" t="n">
        <v>0</v>
      </c>
      <c r="AI193" s="203"/>
      <c r="BN193" s="255"/>
      <c r="BP193" s="255"/>
      <c r="BX193" s="205" t="n">
        <f aca="false">BV193*5+BW193*2</f>
        <v>0</v>
      </c>
    </row>
    <row r="194" customFormat="false" ht="15" hidden="true" customHeight="true" outlineLevel="0" collapsed="false">
      <c r="B194" s="127" t="n">
        <f aca="false">B193+D194-C194</f>
        <v>0.75</v>
      </c>
      <c r="D194" s="146" t="n">
        <f aca="false">327.75*2</f>
        <v>655.5</v>
      </c>
      <c r="E194" s="147" t="n">
        <v>150</v>
      </c>
      <c r="F194" s="147" t="n">
        <f aca="false">IFERROR(VLOOKUP(H194,$AD$1:$AE$301,2,0),"")</f>
        <v>1002949</v>
      </c>
      <c r="G194" s="147" t="str">
        <f aca="false">IFERROR(VLOOKUP(F194,$AE$2:$AF$290,2, 0),"")</f>
        <v>تبوك</v>
      </c>
      <c r="H194" s="212" t="s">
        <v>155</v>
      </c>
      <c r="I194" s="246" t="n">
        <f aca="false">SUM(K194:R194)</f>
        <v>6</v>
      </c>
      <c r="J194" s="182" t="n">
        <v>45496</v>
      </c>
      <c r="K194" s="184" t="n">
        <v>2</v>
      </c>
      <c r="L194" s="185"/>
      <c r="M194" s="186"/>
      <c r="N194" s="187"/>
      <c r="O194" s="188"/>
      <c r="P194" s="189"/>
      <c r="Q194" s="190"/>
      <c r="R194" s="155" t="n">
        <f aca="false">4</f>
        <v>4</v>
      </c>
      <c r="S194" s="192" t="n">
        <f aca="false">(K194+O194+Q194)*24 /1130+(L194+M194+P194+R194)*12/1130+(N194*30)/1130</f>
        <v>0.0849557522123894</v>
      </c>
      <c r="T194" s="193" t="n">
        <f aca="false">SUMIFS(K$3228:K$4138,$H$3228:$H$4138,$AD194)</f>
        <v>0</v>
      </c>
      <c r="U194" s="194" t="n">
        <f aca="false">SUMIFS(L$3228:L$4138,$H$3228:$H$4138,$AD194)</f>
        <v>0</v>
      </c>
      <c r="V194" s="195" t="n">
        <f aca="false">SUMIFS(M$3228:M$4138,$H$3228:$H$4138,$AD194)</f>
        <v>0</v>
      </c>
      <c r="W194" s="193" t="n">
        <f aca="false">SUMIFS(N$3228:N$4138,$H$3228:$H$4138,$AD194)</f>
        <v>0</v>
      </c>
      <c r="X194" s="193" t="n">
        <f aca="false">SUMIFS(O$3228:O$4138,$H$3228:$H$4138,$AD194)</f>
        <v>0</v>
      </c>
      <c r="Y194" s="196" t="n">
        <f aca="false">SUMIFS(P$3228:P$4138,$H$3228:$H$4138,$AD194)</f>
        <v>0</v>
      </c>
      <c r="Z194" s="193" t="n">
        <f aca="false">SUMIFS(Q$3228:Q$4138,$H$3228:$H$4138,$AD194)</f>
        <v>0</v>
      </c>
      <c r="AA194" s="195" t="n">
        <f aca="false">SUMIFS(R$3228:R$4138,$H$3228:$H$4138,$AD194)</f>
        <v>0</v>
      </c>
      <c r="AB194" s="197" t="n">
        <f aca="false">SUMIFS(S$3228:S$4138,$H$3228:$H$4138,$AD194)</f>
        <v>0</v>
      </c>
      <c r="AC194" s="198" t="n">
        <f aca="false">SUM(T194:AA194)</f>
        <v>0</v>
      </c>
      <c r="AD194" s="241" t="s">
        <v>241</v>
      </c>
      <c r="AE194" s="241" t="n">
        <v>1008056</v>
      </c>
      <c r="AF194" s="240" t="s">
        <v>127</v>
      </c>
      <c r="AG194" s="128"/>
      <c r="AH194" s="128" t="n">
        <v>0</v>
      </c>
      <c r="AI194" s="203"/>
      <c r="BN194" s="255"/>
      <c r="BP194" s="255"/>
      <c r="BX194" s="205" t="n">
        <f aca="false">BV194*5+BW194*2</f>
        <v>0</v>
      </c>
    </row>
    <row r="195" customFormat="false" ht="15" hidden="true" customHeight="true" outlineLevel="0" collapsed="false">
      <c r="B195" s="127" t="n">
        <f aca="false">B194+D195-C195</f>
        <v>794.25</v>
      </c>
      <c r="D195" s="146" t="n">
        <f aca="false">327.75+327.75+138</f>
        <v>793.5</v>
      </c>
      <c r="E195" s="147" t="n">
        <v>151</v>
      </c>
      <c r="F195" s="147" t="str">
        <f aca="false">IFERROR(VLOOKUP(H195,$AD$1:$AE$301,2,0),"")</f>
        <v/>
      </c>
      <c r="G195" s="147" t="str">
        <f aca="false">IFERROR(VLOOKUP(F195,$AE$2:$AF$290,2, 0),"")</f>
        <v/>
      </c>
      <c r="H195" s="212" t="s">
        <v>579</v>
      </c>
      <c r="I195" s="246" t="n">
        <f aca="false">SUM(K195:R195)</f>
        <v>3</v>
      </c>
      <c r="J195" s="182" t="n">
        <v>45504</v>
      </c>
      <c r="K195" s="184" t="n">
        <v>2</v>
      </c>
      <c r="L195" s="185"/>
      <c r="M195" s="186"/>
      <c r="N195" s="187"/>
      <c r="O195" s="188"/>
      <c r="P195" s="189"/>
      <c r="Q195" s="190" t="n">
        <v>1</v>
      </c>
      <c r="R195" s="191"/>
      <c r="S195" s="192" t="n">
        <f aca="false">(K195+O195+Q195)*24 /1130+(L195+M195+P195+R195)*12/1130+(N195*30)/1130</f>
        <v>0.063716814159292</v>
      </c>
      <c r="T195" s="193" t="n">
        <f aca="false">SUMIFS(K$3228:K$4138,$H$3228:$H$4138,$AD195)</f>
        <v>0</v>
      </c>
      <c r="U195" s="194" t="n">
        <f aca="false">SUMIFS(L$3228:L$4138,$H$3228:$H$4138,$AD195)</f>
        <v>0</v>
      </c>
      <c r="V195" s="195" t="n">
        <f aca="false">SUMIFS(M$3228:M$4138,$H$3228:$H$4138,$AD195)</f>
        <v>0</v>
      </c>
      <c r="W195" s="193" t="n">
        <f aca="false">SUMIFS(N$3228:N$4138,$H$3228:$H$4138,$AD195)</f>
        <v>0</v>
      </c>
      <c r="X195" s="193" t="n">
        <f aca="false">SUMIFS(O$3228:O$4138,$H$3228:$H$4138,$AD195)</f>
        <v>0</v>
      </c>
      <c r="Y195" s="196" t="n">
        <f aca="false">SUMIFS(P$3228:P$4138,$H$3228:$H$4138,$AD195)</f>
        <v>0</v>
      </c>
      <c r="Z195" s="193" t="n">
        <f aca="false">SUMIFS(Q$3228:Q$4138,$H$3228:$H$4138,$AD195)</f>
        <v>0</v>
      </c>
      <c r="AA195" s="195" t="n">
        <f aca="false">SUMIFS(R$3228:R$4138,$H$3228:$H$4138,$AD195)</f>
        <v>0</v>
      </c>
      <c r="AB195" s="197" t="n">
        <f aca="false">SUMIFS(S$3228:S$4138,$H$3228:$H$4138,$AD195)</f>
        <v>0</v>
      </c>
      <c r="AC195" s="198" t="n">
        <f aca="false">SUM(T195:AA195)</f>
        <v>0</v>
      </c>
      <c r="AD195" s="241" t="s">
        <v>242</v>
      </c>
      <c r="AE195" s="241" t="n">
        <v>1008057</v>
      </c>
      <c r="AF195" s="240" t="s">
        <v>127</v>
      </c>
      <c r="AG195" s="202" t="s">
        <v>547</v>
      </c>
      <c r="AH195" s="128" t="n">
        <v>554524132</v>
      </c>
      <c r="AI195" s="203"/>
      <c r="AJ195" s="162" t="n">
        <v>6</v>
      </c>
      <c r="AP195" s="128" t="n">
        <f aca="false">4</f>
        <v>4</v>
      </c>
      <c r="AQ195" s="128" t="n">
        <v>6</v>
      </c>
      <c r="AR195" s="128" t="n">
        <f aca="false">3</f>
        <v>3</v>
      </c>
      <c r="AT195" s="128" t="n">
        <v>3</v>
      </c>
      <c r="BB195" s="128" t="n">
        <f aca="false">10</f>
        <v>10</v>
      </c>
      <c r="BD195" s="128" t="n">
        <f aca="false">6</f>
        <v>6</v>
      </c>
      <c r="BN195" s="255"/>
      <c r="BP195" s="255"/>
      <c r="BX195" s="205" t="n">
        <f aca="false">BV195*5+BW195*2</f>
        <v>0</v>
      </c>
    </row>
    <row r="196" customFormat="false" ht="15" hidden="true" customHeight="true" outlineLevel="0" collapsed="false">
      <c r="B196" s="127" t="n">
        <f aca="false">B195+D196-C196</f>
        <v>0.25</v>
      </c>
      <c r="C196" s="127" t="n">
        <f aca="false">D195+0.5</f>
        <v>794</v>
      </c>
      <c r="E196" s="212" t="s">
        <v>470</v>
      </c>
      <c r="F196" s="147" t="str">
        <f aca="false">IFERROR(VLOOKUP(H196,$AD$1:$AE$301,2,0),"")</f>
        <v/>
      </c>
      <c r="G196" s="147" t="str">
        <f aca="false">IFERROR(VLOOKUP(F196,$AE$2:$AF$290,2, 0),"")</f>
        <v/>
      </c>
      <c r="H196" s="212" t="s">
        <v>393</v>
      </c>
      <c r="I196" s="246" t="n">
        <f aca="false">SUM(K196:R196)</f>
        <v>0</v>
      </c>
      <c r="J196" s="182" t="n">
        <v>45504</v>
      </c>
      <c r="K196" s="184"/>
      <c r="L196" s="185"/>
      <c r="M196" s="186"/>
      <c r="N196" s="187"/>
      <c r="O196" s="188"/>
      <c r="P196" s="189"/>
      <c r="Q196" s="190"/>
      <c r="R196" s="261"/>
      <c r="S196" s="192" t="n">
        <f aca="false">(K196+O196+Q196)*24 /1130+(L196+M196+P196+R196)*12/1130+(N196*30)/1130</f>
        <v>0</v>
      </c>
      <c r="T196" s="193" t="n">
        <f aca="false">SUMIFS(K$3228:K$4138,$H$3228:$H$4138,$AD196)</f>
        <v>0</v>
      </c>
      <c r="U196" s="194" t="n">
        <f aca="false">SUMIFS(L$3228:L$4138,$H$3228:$H$4138,$AD196)</f>
        <v>0</v>
      </c>
      <c r="V196" s="195" t="n">
        <f aca="false">SUMIFS(M$3228:M$4138,$H$3228:$H$4138,$AD196)</f>
        <v>0</v>
      </c>
      <c r="W196" s="193" t="n">
        <f aca="false">SUMIFS(N$3228:N$4138,$H$3228:$H$4138,$AD196)</f>
        <v>0</v>
      </c>
      <c r="X196" s="193" t="n">
        <f aca="false">SUMIFS(O$3228:O$4138,$H$3228:$H$4138,$AD196)</f>
        <v>0</v>
      </c>
      <c r="Y196" s="196" t="n">
        <f aca="false">SUMIFS(P$3228:P$4138,$H$3228:$H$4138,$AD196)</f>
        <v>0</v>
      </c>
      <c r="Z196" s="193" t="n">
        <f aca="false">SUMIFS(Q$3228:Q$4138,$H$3228:$H$4138,$AD196)</f>
        <v>0</v>
      </c>
      <c r="AA196" s="195" t="n">
        <f aca="false">SUMIFS(R$3228:R$4138,$H$3228:$H$4138,$AD196)</f>
        <v>0</v>
      </c>
      <c r="AB196" s="197" t="n">
        <f aca="false">SUMIFS(S$3228:S$4138,$H$3228:$H$4138,$AD196)</f>
        <v>0</v>
      </c>
      <c r="AC196" s="198" t="n">
        <f aca="false">SUM(T196:AA196)</f>
        <v>0</v>
      </c>
      <c r="AD196" s="221" t="s">
        <v>243</v>
      </c>
      <c r="AE196" s="221" t="n">
        <v>1002934</v>
      </c>
      <c r="AF196" s="221" t="s">
        <v>127</v>
      </c>
      <c r="AI196" s="203"/>
      <c r="BN196" s="255"/>
      <c r="BP196" s="255"/>
      <c r="BX196" s="205" t="n">
        <f aca="false">BV196*5+BW196*2</f>
        <v>0</v>
      </c>
    </row>
    <row r="197" customFormat="false" ht="15" hidden="true" customHeight="true" outlineLevel="0" collapsed="false">
      <c r="B197" s="127" t="n">
        <f aca="false">B196+D197-C197</f>
        <v>1489.5</v>
      </c>
      <c r="D197" s="146" t="n">
        <f aca="false">(4*327.75)+178.25</f>
        <v>1489.25</v>
      </c>
      <c r="E197" s="147" t="n">
        <v>156</v>
      </c>
      <c r="F197" s="147" t="n">
        <f aca="false">IFERROR(VLOOKUP(H197,$AD$1:$AE$301,2,0),"")</f>
        <v>1008024</v>
      </c>
      <c r="G197" s="147" t="str">
        <f aca="false">IFERROR(VLOOKUP(F197,$AE$2:$AF$290,2, 0),"")</f>
        <v>ضباء</v>
      </c>
      <c r="H197" s="212" t="s">
        <v>96</v>
      </c>
      <c r="I197" s="246" t="n">
        <f aca="false">SUM(K197:R197)</f>
        <v>5</v>
      </c>
      <c r="J197" s="182" t="n">
        <v>45508</v>
      </c>
      <c r="K197" s="184" t="n">
        <v>4</v>
      </c>
      <c r="L197" s="185" t="n">
        <v>1</v>
      </c>
      <c r="M197" s="186"/>
      <c r="N197" s="187"/>
      <c r="O197" s="188"/>
      <c r="P197" s="189"/>
      <c r="Q197" s="190"/>
      <c r="R197" s="191"/>
      <c r="S197" s="192" t="n">
        <f aca="false">(K197+O197+Q197)*24 /1130+(L197+M197+P197+R197)*12/1130+(N197*30)/1130</f>
        <v>0.0955752212389381</v>
      </c>
      <c r="T197" s="193" t="n">
        <f aca="false">SUMIFS(K$3228:K$4138,$H$3228:$H$4138,$AD197)</f>
        <v>0</v>
      </c>
      <c r="U197" s="194" t="n">
        <f aca="false">SUMIFS(L$3228:L$4138,$H$3228:$H$4138,$AD197)</f>
        <v>0</v>
      </c>
      <c r="V197" s="195" t="n">
        <f aca="false">SUMIFS(M$3228:M$4138,$H$3228:$H$4138,$AD197)</f>
        <v>0</v>
      </c>
      <c r="W197" s="193" t="n">
        <f aca="false">SUMIFS(N$3228:N$4138,$H$3228:$H$4138,$AD197)</f>
        <v>0</v>
      </c>
      <c r="X197" s="193" t="n">
        <f aca="false">SUMIFS(O$3228:O$4138,$H$3228:$H$4138,$AD197)</f>
        <v>0</v>
      </c>
      <c r="Y197" s="196" t="n">
        <f aca="false">SUMIFS(P$3228:P$4138,$H$3228:$H$4138,$AD197)</f>
        <v>0</v>
      </c>
      <c r="Z197" s="193" t="n">
        <f aca="false">SUMIFS(Q$3228:Q$4138,$H$3228:$H$4138,$AD197)</f>
        <v>0</v>
      </c>
      <c r="AA197" s="195" t="n">
        <f aca="false">SUMIFS(R$3228:R$4138,$H$3228:$H$4138,$AD197)</f>
        <v>0</v>
      </c>
      <c r="AB197" s="197" t="n">
        <f aca="false">SUMIFS(S$3228:S$4138,$H$3228:$H$4138,$AD197)</f>
        <v>0</v>
      </c>
      <c r="AC197" s="198" t="n">
        <f aca="false">SUM(T197:AA197)</f>
        <v>0</v>
      </c>
      <c r="AD197" s="221" t="s">
        <v>244</v>
      </c>
      <c r="AE197" s="221" t="n">
        <v>1076</v>
      </c>
      <c r="AF197" s="221" t="s">
        <v>127</v>
      </c>
      <c r="AG197" s="242" t="s">
        <v>580</v>
      </c>
      <c r="AH197" s="160" t="n">
        <v>559974498</v>
      </c>
      <c r="AI197" s="203"/>
      <c r="AP197" s="128" t="n">
        <v>79</v>
      </c>
      <c r="AT197" s="128" t="n">
        <f aca="false">40</f>
        <v>40</v>
      </c>
      <c r="AX197" s="128" t="n">
        <f aca="false">69</f>
        <v>69</v>
      </c>
      <c r="AZ197" s="128" t="n">
        <f aca="false">90</f>
        <v>90</v>
      </c>
      <c r="BD197" s="128" t="n">
        <v>46</v>
      </c>
      <c r="BF197" s="157" t="n">
        <f aca="false">80</f>
        <v>80</v>
      </c>
      <c r="BN197" s="255"/>
      <c r="BP197" s="255"/>
      <c r="BX197" s="205" t="n">
        <f aca="false">BV197*5+BW197*2</f>
        <v>0</v>
      </c>
      <c r="BY197" s="128" t="n">
        <v>6</v>
      </c>
      <c r="CA197" s="206" t="n">
        <v>6</v>
      </c>
      <c r="CB197" s="219" t="n">
        <f aca="false">60</f>
        <v>60</v>
      </c>
      <c r="CC197" s="219" t="n">
        <f aca="false">60</f>
        <v>60</v>
      </c>
      <c r="CD197" s="157" t="n">
        <f aca="false">2</f>
        <v>2</v>
      </c>
    </row>
    <row r="198" customFormat="false" ht="15" hidden="true" customHeight="true" outlineLevel="0" collapsed="false">
      <c r="B198" s="127" t="n">
        <f aca="false">B197+D198-C198</f>
        <v>2070.25</v>
      </c>
      <c r="D198" s="146" t="n">
        <f aca="false">327.75+253</f>
        <v>580.75</v>
      </c>
      <c r="E198" s="147" t="n">
        <v>155</v>
      </c>
      <c r="F198" s="147" t="n">
        <f aca="false">IFERROR(VLOOKUP(H198,$AD$1:$AE$301,2,0),"")</f>
        <v>1008022</v>
      </c>
      <c r="G198" s="147" t="str">
        <f aca="false">IFERROR(VLOOKUP(F198,$AE$2:$AF$290,2, 0),"")</f>
        <v>ضباء</v>
      </c>
      <c r="H198" s="212" t="s">
        <v>94</v>
      </c>
      <c r="I198" s="246" t="n">
        <f aca="false">SUM(K198:R198)</f>
        <v>2</v>
      </c>
      <c r="J198" s="182" t="n">
        <v>45508</v>
      </c>
      <c r="K198" s="184" t="n">
        <v>1</v>
      </c>
      <c r="L198" s="185"/>
      <c r="M198" s="186" t="n">
        <v>1</v>
      </c>
      <c r="N198" s="187"/>
      <c r="O198" s="188"/>
      <c r="P198" s="189"/>
      <c r="Q198" s="190"/>
      <c r="R198" s="191"/>
      <c r="S198" s="192" t="n">
        <f aca="false">(K198+O198+Q198)*24 /1130+(L198+M198+P198+R198)*12/1130+(N198*30)/1130</f>
        <v>0.031858407079646</v>
      </c>
      <c r="T198" s="193" t="n">
        <f aca="false">SUMIFS(K$3228:K$4138,$H$3228:$H$4138,$AD198)</f>
        <v>0</v>
      </c>
      <c r="U198" s="194" t="n">
        <f aca="false">SUMIFS(L$3228:L$4138,$H$3228:$H$4138,$AD198)</f>
        <v>0</v>
      </c>
      <c r="V198" s="195" t="n">
        <f aca="false">SUMIFS(M$3228:M$4138,$H$3228:$H$4138,$AD198)</f>
        <v>0</v>
      </c>
      <c r="W198" s="193" t="n">
        <f aca="false">SUMIFS(N$3228:N$4138,$H$3228:$H$4138,$AD198)</f>
        <v>0</v>
      </c>
      <c r="X198" s="193" t="n">
        <f aca="false">SUMIFS(O$3228:O$4138,$H$3228:$H$4138,$AD198)</f>
        <v>0</v>
      </c>
      <c r="Y198" s="196" t="n">
        <f aca="false">SUMIFS(P$3228:P$4138,$H$3228:$H$4138,$AD198)</f>
        <v>0</v>
      </c>
      <c r="Z198" s="193" t="n">
        <f aca="false">SUMIFS(Q$3228:Q$4138,$H$3228:$H$4138,$AD198)</f>
        <v>0</v>
      </c>
      <c r="AA198" s="195" t="n">
        <f aca="false">SUMIFS(R$3228:R$4138,$H$3228:$H$4138,$AD198)</f>
        <v>0</v>
      </c>
      <c r="AB198" s="197" t="n">
        <f aca="false">SUMIFS(S$3228:S$4138,$H$3228:$H$4138,$AD198)</f>
        <v>0</v>
      </c>
      <c r="AC198" s="198" t="n">
        <f aca="false">SUM(T198:AA198)</f>
        <v>0</v>
      </c>
      <c r="AD198" s="240" t="s">
        <v>581</v>
      </c>
      <c r="AE198" s="240" t="n">
        <v>1002918</v>
      </c>
      <c r="AF198" s="240" t="s">
        <v>127</v>
      </c>
      <c r="AG198" s="244"/>
      <c r="AH198" s="244"/>
      <c r="AI198" s="203"/>
      <c r="BN198" s="255"/>
      <c r="BP198" s="255"/>
      <c r="BX198" s="205" t="n">
        <f aca="false">BV198*5+BW198*2</f>
        <v>0</v>
      </c>
    </row>
    <row r="199" customFormat="false" ht="15" hidden="true" customHeight="true" outlineLevel="0" collapsed="false">
      <c r="B199" s="127" t="n">
        <f aca="false">B198+D199-C199</f>
        <v>2398</v>
      </c>
      <c r="D199" s="146" t="n">
        <v>327.75</v>
      </c>
      <c r="E199" s="147" t="n">
        <v>157</v>
      </c>
      <c r="F199" s="147" t="n">
        <f aca="false">IFERROR(VLOOKUP(H199,$AD$1:$AE$301,2,0),"")</f>
        <v>1008025</v>
      </c>
      <c r="G199" s="147" t="str">
        <f aca="false">IFERROR(VLOOKUP(F199,$AE$2:$AF$290,2, 0),"")</f>
        <v>ضباء</v>
      </c>
      <c r="H199" s="212" t="s">
        <v>97</v>
      </c>
      <c r="I199" s="246" t="n">
        <f aca="false">SUM(K199:R199)</f>
        <v>1</v>
      </c>
      <c r="J199" s="182" t="n">
        <v>45508</v>
      </c>
      <c r="K199" s="184" t="n">
        <v>1</v>
      </c>
      <c r="L199" s="185"/>
      <c r="M199" s="186"/>
      <c r="N199" s="187"/>
      <c r="O199" s="188"/>
      <c r="P199" s="189"/>
      <c r="Q199" s="190"/>
      <c r="R199" s="191"/>
      <c r="S199" s="192" t="n">
        <f aca="false">(K199+O199+Q199)*24 /1130+(L199+M199+P199+R199)*12/1130+(N199*30)/1130</f>
        <v>0.0212389380530973</v>
      </c>
      <c r="T199" s="193" t="n">
        <f aca="false">SUMIFS(K$3228:K$4138,$H$3228:$H$4138,$AD199)</f>
        <v>0</v>
      </c>
      <c r="U199" s="194" t="n">
        <f aca="false">SUMIFS(L$3228:L$4138,$H$3228:$H$4138,$AD199)</f>
        <v>0</v>
      </c>
      <c r="V199" s="195" t="n">
        <f aca="false">SUMIFS(M$3228:M$4138,$H$3228:$H$4138,$AD199)</f>
        <v>0</v>
      </c>
      <c r="W199" s="193" t="n">
        <f aca="false">SUMIFS(N$3228:N$4138,$H$3228:$H$4138,$AD199)</f>
        <v>0</v>
      </c>
      <c r="X199" s="193" t="n">
        <f aca="false">SUMIFS(O$3228:O$4138,$H$3228:$H$4138,$AD199)</f>
        <v>0</v>
      </c>
      <c r="Y199" s="196" t="n">
        <f aca="false">SUMIFS(P$3228:P$4138,$H$3228:$H$4138,$AD199)</f>
        <v>0</v>
      </c>
      <c r="Z199" s="193" t="n">
        <f aca="false">SUMIFS(Q$3228:Q$4138,$H$3228:$H$4138,$AD199)</f>
        <v>0</v>
      </c>
      <c r="AA199" s="195" t="n">
        <f aca="false">SUMIFS(R$3228:R$4138,$H$3228:$H$4138,$AD199)</f>
        <v>0</v>
      </c>
      <c r="AB199" s="197" t="n">
        <f aca="false">SUMIFS(S$3228:S$4138,$H$3228:$H$4138,$AD199)</f>
        <v>0</v>
      </c>
      <c r="AC199" s="198" t="n">
        <f aca="false">SUM(T199:AA199)</f>
        <v>0</v>
      </c>
      <c r="AD199" s="221" t="s">
        <v>246</v>
      </c>
      <c r="AE199" s="221" t="n">
        <v>629</v>
      </c>
      <c r="AF199" s="221" t="s">
        <v>127</v>
      </c>
      <c r="AG199" s="242" t="s">
        <v>582</v>
      </c>
      <c r="AH199" s="160" t="n">
        <v>552538381</v>
      </c>
      <c r="AI199" s="203"/>
      <c r="BD199" s="128" t="n">
        <f aca="false">70</f>
        <v>70</v>
      </c>
      <c r="BF199" s="157" t="n">
        <f aca="false">171</f>
        <v>171</v>
      </c>
      <c r="BN199" s="255"/>
      <c r="BP199" s="255"/>
      <c r="BX199" s="205" t="n">
        <f aca="false">BV199*5+BW199*2</f>
        <v>0</v>
      </c>
    </row>
    <row r="200" customFormat="false" ht="15" hidden="true" customHeight="true" outlineLevel="0" collapsed="false">
      <c r="B200" s="127" t="n">
        <f aca="false">B199+D200-C200</f>
        <v>-2299.75</v>
      </c>
      <c r="C200" s="127" t="n">
        <f aca="false">1489+327.75+1443+1000+438</f>
        <v>4697.75</v>
      </c>
      <c r="F200" s="147" t="str">
        <f aca="false">IFERROR(VLOOKUP(H200,$AD$1:$AE$301,2,0),"")</f>
        <v/>
      </c>
      <c r="G200" s="147" t="str">
        <f aca="false">IFERROR(VLOOKUP(F200,$AE$2:$AF$290,2, 0),"")</f>
        <v/>
      </c>
      <c r="H200" s="212" t="s">
        <v>393</v>
      </c>
      <c r="I200" s="246" t="n">
        <f aca="false">SUM(K200:R200)</f>
        <v>0</v>
      </c>
      <c r="J200" s="182" t="n">
        <v>45508</v>
      </c>
      <c r="K200" s="184"/>
      <c r="L200" s="185"/>
      <c r="M200" s="186"/>
      <c r="N200" s="187"/>
      <c r="O200" s="188"/>
      <c r="P200" s="189"/>
      <c r="Q200" s="190"/>
      <c r="R200" s="191"/>
      <c r="S200" s="192" t="n">
        <f aca="false">(K200+O200+Q200)*24 /1130+(L200+M200+P200+R200)*12/1130+(N200*30)/1130</f>
        <v>0</v>
      </c>
      <c r="T200" s="193" t="n">
        <f aca="false">SUMIFS(K$3228:K$4138,$H$3228:$H$4138,$AD200)</f>
        <v>0</v>
      </c>
      <c r="U200" s="194" t="n">
        <f aca="false">SUMIFS(L$3228:L$4138,$H$3228:$H$4138,$AD200)</f>
        <v>0</v>
      </c>
      <c r="V200" s="195" t="n">
        <f aca="false">SUMIFS(M$3228:M$4138,$H$3228:$H$4138,$AD200)</f>
        <v>0</v>
      </c>
      <c r="W200" s="193" t="n">
        <f aca="false">SUMIFS(N$3228:N$4138,$H$3228:$H$4138,$AD200)</f>
        <v>0</v>
      </c>
      <c r="X200" s="193" t="n">
        <f aca="false">SUMIFS(O$3228:O$4138,$H$3228:$H$4138,$AD200)</f>
        <v>0</v>
      </c>
      <c r="Y200" s="196" t="n">
        <f aca="false">SUMIFS(P$3228:P$4138,$H$3228:$H$4138,$AD200)</f>
        <v>0</v>
      </c>
      <c r="Z200" s="193" t="n">
        <f aca="false">SUMIFS(Q$3228:Q$4138,$H$3228:$H$4138,$AD200)</f>
        <v>0</v>
      </c>
      <c r="AA200" s="195" t="n">
        <f aca="false">SUMIFS(R$3228:R$4138,$H$3228:$H$4138,$AD200)</f>
        <v>0</v>
      </c>
      <c r="AB200" s="197" t="n">
        <f aca="false">SUMIFS(S$3228:S$4138,$H$3228:$H$4138,$AD200)</f>
        <v>0</v>
      </c>
      <c r="AC200" s="198" t="n">
        <f aca="false">SUM(T200:AA200)</f>
        <v>0</v>
      </c>
      <c r="AD200" s="221" t="s">
        <v>247</v>
      </c>
      <c r="AE200" s="240" t="n">
        <v>1002890</v>
      </c>
      <c r="AF200" s="240" t="s">
        <v>127</v>
      </c>
      <c r="AI200" s="203"/>
      <c r="BN200" s="255"/>
      <c r="BP200" s="255"/>
      <c r="BX200" s="205" t="n">
        <f aca="false">BV200*5+BW200*2</f>
        <v>0</v>
      </c>
    </row>
    <row r="201" customFormat="false" ht="15" hidden="true" customHeight="true" outlineLevel="0" collapsed="false">
      <c r="B201" s="127" t="n">
        <f aca="false">B200+D201-C201</f>
        <v>-1793.75</v>
      </c>
      <c r="D201" s="146" t="n">
        <f aca="false">253*2</f>
        <v>506</v>
      </c>
      <c r="E201" s="147" t="n">
        <v>158</v>
      </c>
      <c r="F201" s="147" t="n">
        <f aca="false">IFERROR(VLOOKUP(H201,$AD$1:$AE$301,2,0),"")</f>
        <v>1007988</v>
      </c>
      <c r="G201" s="147" t="str">
        <f aca="false">IFERROR(VLOOKUP(F201,$AE$2:$AF$290,2, 0),"")</f>
        <v>ضباء</v>
      </c>
      <c r="H201" s="212" t="s">
        <v>89</v>
      </c>
      <c r="I201" s="246" t="n">
        <f aca="false">SUM(K201:R201)</f>
        <v>2</v>
      </c>
      <c r="J201" s="182" t="n">
        <v>45508</v>
      </c>
      <c r="K201" s="184"/>
      <c r="L201" s="185"/>
      <c r="M201" s="186" t="n">
        <v>2</v>
      </c>
      <c r="N201" s="187"/>
      <c r="O201" s="188"/>
      <c r="P201" s="189"/>
      <c r="Q201" s="190"/>
      <c r="R201" s="191"/>
      <c r="S201" s="192" t="n">
        <f aca="false">(K201+O201+Q201)*24 /1130+(L201+M201+P201+R201)*12/1130+(N201*30)/1130</f>
        <v>0.0212389380530973</v>
      </c>
      <c r="T201" s="193" t="n">
        <f aca="false">SUMIFS(K$3228:K$4138,$H$3228:$H$4138,$AD201)</f>
        <v>0</v>
      </c>
      <c r="U201" s="194" t="n">
        <f aca="false">SUMIFS(L$3228:L$4138,$H$3228:$H$4138,$AD201)</f>
        <v>0</v>
      </c>
      <c r="V201" s="195" t="n">
        <f aca="false">SUMIFS(M$3228:M$4138,$H$3228:$H$4138,$AD201)</f>
        <v>0</v>
      </c>
      <c r="W201" s="193" t="n">
        <f aca="false">SUMIFS(N$3228:N$4138,$H$3228:$H$4138,$AD201)</f>
        <v>0</v>
      </c>
      <c r="X201" s="193" t="n">
        <f aca="false">SUMIFS(O$3228:O$4138,$H$3228:$H$4138,$AD201)</f>
        <v>0</v>
      </c>
      <c r="Y201" s="196" t="n">
        <f aca="false">SUMIFS(P$3228:P$4138,$H$3228:$H$4138,$AD201)</f>
        <v>0</v>
      </c>
      <c r="Z201" s="193" t="n">
        <f aca="false">SUMIFS(Q$3228:Q$4138,$H$3228:$H$4138,$AD201)</f>
        <v>0</v>
      </c>
      <c r="AA201" s="195" t="n">
        <f aca="false">SUMIFS(R$3228:R$4138,$H$3228:$H$4138,$AD201)</f>
        <v>0</v>
      </c>
      <c r="AB201" s="197" t="n">
        <f aca="false">SUMIFS(S$3228:S$4138,$H$3228:$H$4138,$AD201)</f>
        <v>0</v>
      </c>
      <c r="AC201" s="198" t="n">
        <f aca="false">SUM(T201:AA201)</f>
        <v>0</v>
      </c>
      <c r="AD201" s="221" t="s">
        <v>248</v>
      </c>
      <c r="AE201" s="240" t="n">
        <v>1002931</v>
      </c>
      <c r="AF201" s="240" t="s">
        <v>127</v>
      </c>
      <c r="AG201" s="202" t="s">
        <v>583</v>
      </c>
      <c r="AH201" s="128" t="n">
        <v>535225725</v>
      </c>
      <c r="AI201" s="203"/>
      <c r="BD201" s="128" t="n">
        <f aca="false">170</f>
        <v>170</v>
      </c>
      <c r="BE201" s="128" t="n">
        <f aca="false">7</f>
        <v>7</v>
      </c>
      <c r="BF201" s="157" t="n">
        <f aca="false">22+85+5</f>
        <v>112</v>
      </c>
      <c r="BG201" s="157" t="n">
        <v>5</v>
      </c>
      <c r="BN201" s="255"/>
      <c r="BP201" s="255"/>
      <c r="BX201" s="205" t="n">
        <f aca="false">BV201*5+BW201*2</f>
        <v>0</v>
      </c>
    </row>
    <row r="202" customFormat="false" ht="15" hidden="true" customHeight="true" outlineLevel="0" collapsed="false">
      <c r="B202" s="127" t="n">
        <f aca="false">B201+D202-C202</f>
        <v>-1466</v>
      </c>
      <c r="D202" s="146" t="n">
        <v>327.75</v>
      </c>
      <c r="E202" s="147" t="n">
        <v>154</v>
      </c>
      <c r="F202" s="147" t="n">
        <f aca="false">IFERROR(VLOOKUP(H202,$AD$1:$AE$301,2,0),"")</f>
        <v>1008045</v>
      </c>
      <c r="G202" s="147" t="str">
        <f aca="false">IFERROR(VLOOKUP(F202,$AE$2:$AF$290,2, 0),"")</f>
        <v>الوجه</v>
      </c>
      <c r="H202" s="212" t="s">
        <v>107</v>
      </c>
      <c r="I202" s="246" t="n">
        <f aca="false">SUM(K202:R202)</f>
        <v>1</v>
      </c>
      <c r="J202" s="182" t="n">
        <v>45508</v>
      </c>
      <c r="K202" s="184" t="n">
        <v>1</v>
      </c>
      <c r="L202" s="185"/>
      <c r="M202" s="186"/>
      <c r="N202" s="187"/>
      <c r="O202" s="188"/>
      <c r="P202" s="189"/>
      <c r="Q202" s="190"/>
      <c r="R202" s="191"/>
      <c r="S202" s="192" t="n">
        <f aca="false">(K202+O202+Q202)*24 /1130+(L202+M202+P202+R202)*12/1130+(N202*30)/1130</f>
        <v>0.0212389380530973</v>
      </c>
      <c r="T202" s="193" t="n">
        <f aca="false">SUMIFS(K$3228:K$4138,$H$3228:$H$4138,$AD202)</f>
        <v>0</v>
      </c>
      <c r="U202" s="194" t="n">
        <f aca="false">SUMIFS(L$3228:L$4138,$H$3228:$H$4138,$AD202)</f>
        <v>0</v>
      </c>
      <c r="V202" s="195" t="n">
        <f aca="false">SUMIFS(M$3228:M$4138,$H$3228:$H$4138,$AD202)</f>
        <v>0</v>
      </c>
      <c r="W202" s="193" t="n">
        <f aca="false">SUMIFS(N$3228:N$4138,$H$3228:$H$4138,$AD202)</f>
        <v>0</v>
      </c>
      <c r="X202" s="193" t="n">
        <f aca="false">SUMIFS(O$3228:O$4138,$H$3228:$H$4138,$AD202)</f>
        <v>0</v>
      </c>
      <c r="Y202" s="196" t="n">
        <f aca="false">SUMIFS(P$3228:P$4138,$H$3228:$H$4138,$AD202)</f>
        <v>0</v>
      </c>
      <c r="Z202" s="193" t="n">
        <f aca="false">SUMIFS(Q$3228:Q$4138,$H$3228:$H$4138,$AD202)</f>
        <v>0</v>
      </c>
      <c r="AA202" s="195" t="n">
        <f aca="false">SUMIFS(R$3228:R$4138,$H$3228:$H$4138,$AD202)</f>
        <v>0</v>
      </c>
      <c r="AB202" s="197" t="n">
        <f aca="false">SUMIFS(S$3228:S$4138,$H$3228:$H$4138,$AD202)</f>
        <v>0</v>
      </c>
      <c r="AC202" s="198" t="n">
        <f aca="false">SUM(T202:AA202)</f>
        <v>0</v>
      </c>
      <c r="AD202" s="221" t="s">
        <v>249</v>
      </c>
      <c r="AE202" s="240"/>
      <c r="AF202" s="240" t="s">
        <v>127</v>
      </c>
      <c r="AG202" s="202" t="s">
        <v>583</v>
      </c>
      <c r="AH202" s="128" t="n">
        <v>535225726</v>
      </c>
      <c r="AI202" s="203"/>
      <c r="BX202" s="205" t="n">
        <f aca="false">BV202*5+BW202*2</f>
        <v>0</v>
      </c>
    </row>
    <row r="203" customFormat="false" ht="15" hidden="true" customHeight="true" outlineLevel="0" collapsed="false">
      <c r="B203" s="127" t="n">
        <f aca="false">B202+D203-C203</f>
        <v>-482.75</v>
      </c>
      <c r="D203" s="146" t="n">
        <f aca="false">3*327.75</f>
        <v>983.25</v>
      </c>
      <c r="E203" s="147" t="n">
        <v>152</v>
      </c>
      <c r="F203" s="147" t="n">
        <f aca="false">IFERROR(VLOOKUP(H203,$AD$1:$AE$301,2,0),"")</f>
        <v>1008043</v>
      </c>
      <c r="G203" s="147" t="str">
        <f aca="false">IFERROR(VLOOKUP(F203,$AE$2:$AF$290,2, 0),"")</f>
        <v>الوجه</v>
      </c>
      <c r="H203" s="212" t="s">
        <v>104</v>
      </c>
      <c r="I203" s="246" t="n">
        <f aca="false">SUM(K203:R203)</f>
        <v>3</v>
      </c>
      <c r="J203" s="182" t="n">
        <v>45508</v>
      </c>
      <c r="K203" s="184" t="n">
        <v>3</v>
      </c>
      <c r="L203" s="185"/>
      <c r="M203" s="186"/>
      <c r="N203" s="187"/>
      <c r="O203" s="188"/>
      <c r="P203" s="189"/>
      <c r="Q203" s="190"/>
      <c r="R203" s="191"/>
      <c r="S203" s="192" t="n">
        <f aca="false">(K203+O203+Q203)*24 /1130+(L203+M203+P203+R203)*12/1130+(N203*30)/1130</f>
        <v>0.063716814159292</v>
      </c>
      <c r="T203" s="193" t="n">
        <f aca="false">SUMIFS(K$3228:K$4138,$H$3228:$H$4138,$AD203)</f>
        <v>0</v>
      </c>
      <c r="U203" s="194" t="n">
        <f aca="false">SUMIFS(L$3228:L$4138,$H$3228:$H$4138,$AD203)</f>
        <v>0</v>
      </c>
      <c r="V203" s="195" t="n">
        <f aca="false">SUMIFS(M$3228:M$4138,$H$3228:$H$4138,$AD203)</f>
        <v>0</v>
      </c>
      <c r="W203" s="193" t="n">
        <f aca="false">SUMIFS(N$3228:N$4138,$H$3228:$H$4138,$AD203)</f>
        <v>0</v>
      </c>
      <c r="X203" s="193" t="n">
        <f aca="false">SUMIFS(O$3228:O$4138,$H$3228:$H$4138,$AD203)</f>
        <v>0</v>
      </c>
      <c r="Y203" s="196" t="n">
        <f aca="false">SUMIFS(P$3228:P$4138,$H$3228:$H$4138,$AD203)</f>
        <v>0</v>
      </c>
      <c r="Z203" s="193" t="n">
        <f aca="false">SUMIFS(Q$3228:Q$4138,$H$3228:$H$4138,$AD203)</f>
        <v>0</v>
      </c>
      <c r="AA203" s="195" t="n">
        <f aca="false">SUMIFS(R$3228:R$4138,$H$3228:$H$4138,$AD203)</f>
        <v>0</v>
      </c>
      <c r="AB203" s="197" t="n">
        <f aca="false">SUMIFS(S$3228:S$4138,$H$3228:$H$4138,$AD203)</f>
        <v>0</v>
      </c>
      <c r="AC203" s="198" t="n">
        <f aca="false">SUM(T203:AA203)</f>
        <v>0</v>
      </c>
      <c r="AD203" s="221" t="s">
        <v>584</v>
      </c>
      <c r="AE203" s="240"/>
      <c r="AF203" s="240" t="s">
        <v>127</v>
      </c>
      <c r="AG203" s="202" t="s">
        <v>583</v>
      </c>
      <c r="AH203" s="128" t="n">
        <v>535225727</v>
      </c>
      <c r="AI203" s="203"/>
      <c r="BX203" s="205" t="n">
        <f aca="false">BV203*5+BW203*2</f>
        <v>0</v>
      </c>
    </row>
    <row r="204" customFormat="false" ht="15" hidden="true" customHeight="true" outlineLevel="0" collapsed="false">
      <c r="B204" s="127" t="n">
        <f aca="false">B203+D204-C204</f>
        <v>-155</v>
      </c>
      <c r="D204" s="146" t="n">
        <v>327.75</v>
      </c>
      <c r="E204" s="147" t="n">
        <v>153</v>
      </c>
      <c r="F204" s="147" t="n">
        <f aca="false">IFERROR(VLOOKUP(H204,$AD$1:$AE$301,2,0),"")</f>
        <v>1008051</v>
      </c>
      <c r="G204" s="147" t="str">
        <f aca="false">IFERROR(VLOOKUP(F204,$AE$2:$AF$290,2, 0),"")</f>
        <v>الوجه</v>
      </c>
      <c r="H204" s="212" t="s">
        <v>113</v>
      </c>
      <c r="I204" s="246" t="n">
        <f aca="false">SUM(K204:R204)</f>
        <v>1</v>
      </c>
      <c r="J204" s="182" t="n">
        <v>45508</v>
      </c>
      <c r="K204" s="184" t="n">
        <v>1</v>
      </c>
      <c r="L204" s="185"/>
      <c r="M204" s="186"/>
      <c r="N204" s="187"/>
      <c r="O204" s="188"/>
      <c r="P204" s="189"/>
      <c r="Q204" s="190"/>
      <c r="R204" s="191"/>
      <c r="S204" s="192" t="n">
        <f aca="false">(K204+O204+Q204)*24 /1130+(L204+M204+P204+R204)*12/1130+(N204*30)/1130</f>
        <v>0.0212389380530973</v>
      </c>
      <c r="T204" s="193" t="n">
        <f aca="false">SUMIFS(K$3228:K$4138,$H$3228:$H$4138,$AD204)</f>
        <v>0</v>
      </c>
      <c r="U204" s="194" t="n">
        <f aca="false">SUMIFS(L$3228:L$4138,$H$3228:$H$4138,$AD204)</f>
        <v>0</v>
      </c>
      <c r="V204" s="195" t="n">
        <f aca="false">SUMIFS(M$3228:M$4138,$H$3228:$H$4138,$AD204)</f>
        <v>0</v>
      </c>
      <c r="W204" s="193" t="n">
        <f aca="false">SUMIFS(N$3228:N$4138,$H$3228:$H$4138,$AD204)</f>
        <v>0</v>
      </c>
      <c r="X204" s="193" t="n">
        <f aca="false">SUMIFS(O$3228:O$4138,$H$3228:$H$4138,$AD204)</f>
        <v>0</v>
      </c>
      <c r="Y204" s="196" t="n">
        <f aca="false">SUMIFS(P$3228:P$4138,$H$3228:$H$4138,$AD204)</f>
        <v>0</v>
      </c>
      <c r="Z204" s="193" t="n">
        <f aca="false">SUMIFS(Q$3228:Q$4138,$H$3228:$H$4138,$AD204)</f>
        <v>0</v>
      </c>
      <c r="AA204" s="195" t="n">
        <f aca="false">SUMIFS(R$3228:R$4138,$H$3228:$H$4138,$AD204)</f>
        <v>0</v>
      </c>
      <c r="AB204" s="197" t="n">
        <f aca="false">SUMIFS(S$3228:S$4138,$H$3228:$H$4138,$AD204)</f>
        <v>0</v>
      </c>
      <c r="AC204" s="198" t="n">
        <f aca="false">SUM(T204:AA204)</f>
        <v>0</v>
      </c>
      <c r="AD204" s="221" t="s">
        <v>251</v>
      </c>
      <c r="AE204" s="221" t="n">
        <v>1002920</v>
      </c>
      <c r="AF204" s="221" t="s">
        <v>127</v>
      </c>
      <c r="AI204" s="203"/>
      <c r="BN204" s="255"/>
      <c r="BP204" s="255"/>
      <c r="BX204" s="205" t="n">
        <f aca="false">BV204*5+BW204*2</f>
        <v>0</v>
      </c>
    </row>
    <row r="205" customFormat="false" ht="15" hidden="true" customHeight="true" outlineLevel="0" collapsed="false">
      <c r="B205" s="127" t="n">
        <f aca="false">B204+D205-C205</f>
        <v>0</v>
      </c>
      <c r="D205" s="146" t="n">
        <v>155</v>
      </c>
      <c r="E205" s="147" t="n">
        <v>159</v>
      </c>
      <c r="F205" s="147" t="n">
        <f aca="false">IFERROR(VLOOKUP(H205,$AD$1:$AE$301,2,0),"")</f>
        <v>1007980</v>
      </c>
      <c r="G205" s="147" t="str">
        <f aca="false">IFERROR(VLOOKUP(F205,$AE$2:$AF$290,2, 0),"")</f>
        <v>ضباء</v>
      </c>
      <c r="H205" s="212" t="s">
        <v>81</v>
      </c>
      <c r="I205" s="246" t="n">
        <f aca="false">SUM(K205:R205)</f>
        <v>1</v>
      </c>
      <c r="J205" s="182" t="n">
        <v>45508</v>
      </c>
      <c r="K205" s="184"/>
      <c r="L205" s="185"/>
      <c r="M205" s="186"/>
      <c r="N205" s="187"/>
      <c r="O205" s="188"/>
      <c r="P205" s="189"/>
      <c r="Q205" s="190"/>
      <c r="R205" s="191" t="n">
        <v>1</v>
      </c>
      <c r="S205" s="192" t="n">
        <f aca="false">(K205+O205+Q205)*24 /1130+(L205+M205+P205+R205)*12/1130+(N205*30)/1130</f>
        <v>0.0106194690265487</v>
      </c>
      <c r="T205" s="193" t="n">
        <f aca="false">SUMIFS(K$3228:K$4138,$H$3228:$H$4138,$AD205)</f>
        <v>0</v>
      </c>
      <c r="U205" s="194" t="n">
        <f aca="false">SUMIFS(L$3228:L$4138,$H$3228:$H$4138,$AD205)</f>
        <v>0</v>
      </c>
      <c r="V205" s="195" t="n">
        <f aca="false">SUMIFS(M$3228:M$4138,$H$3228:$H$4138,$AD205)</f>
        <v>0</v>
      </c>
      <c r="W205" s="193" t="n">
        <f aca="false">SUMIFS(N$3228:N$4138,$H$3228:$H$4138,$AD205)</f>
        <v>0</v>
      </c>
      <c r="X205" s="193" t="n">
        <f aca="false">SUMIFS(O$3228:O$4138,$H$3228:$H$4138,$AD205)</f>
        <v>0</v>
      </c>
      <c r="Y205" s="196" t="n">
        <f aca="false">SUMIFS(P$3228:P$4138,$H$3228:$H$4138,$AD205)</f>
        <v>0</v>
      </c>
      <c r="Z205" s="193" t="n">
        <f aca="false">SUMIFS(Q$3228:Q$4138,$H$3228:$H$4138,$AD205)</f>
        <v>0</v>
      </c>
      <c r="AA205" s="195" t="n">
        <f aca="false">SUMIFS(R$3228:R$4138,$H$3228:$H$4138,$AD205)</f>
        <v>0</v>
      </c>
      <c r="AB205" s="197" t="n">
        <f aca="false">SUMIFS(S$3228:S$4138,$H$3228:$H$4138,$AD205)</f>
        <v>0</v>
      </c>
      <c r="AC205" s="198" t="n">
        <f aca="false">SUM(T205:AA205)</f>
        <v>0</v>
      </c>
      <c r="AD205" s="221" t="s">
        <v>252</v>
      </c>
      <c r="AE205" s="221" t="n">
        <v>630</v>
      </c>
      <c r="AF205" s="221" t="s">
        <v>127</v>
      </c>
      <c r="AG205" s="128"/>
      <c r="AH205" s="128" t="n">
        <v>0</v>
      </c>
      <c r="AI205" s="203"/>
      <c r="BN205" s="255"/>
      <c r="BP205" s="255"/>
      <c r="BX205" s="205" t="n">
        <f aca="false">BV205*5+BW205*2</f>
        <v>0</v>
      </c>
    </row>
    <row r="206" customFormat="false" ht="15" hidden="true" customHeight="true" outlineLevel="0" collapsed="false">
      <c r="B206" s="127" t="n">
        <f aca="false">B205+D206-C206</f>
        <v>327.75</v>
      </c>
      <c r="D206" s="146" t="n">
        <v>327.75</v>
      </c>
      <c r="E206" s="147" t="n">
        <v>163</v>
      </c>
      <c r="F206" s="147" t="n">
        <f aca="false">IFERROR(VLOOKUP(H206,$AD$1:$AE$301,2,0),"")</f>
        <v>1008012</v>
      </c>
      <c r="G206" s="147" t="str">
        <f aca="false">IFERROR(VLOOKUP(F206,$AE$2:$AF$290,2, 0),"")</f>
        <v>البدع</v>
      </c>
      <c r="H206" s="212" t="s">
        <v>320</v>
      </c>
      <c r="I206" s="246" t="n">
        <f aca="false">SUM(K206:R206)</f>
        <v>1</v>
      </c>
      <c r="J206" s="182" t="n">
        <v>45511</v>
      </c>
      <c r="K206" s="184" t="n">
        <v>1</v>
      </c>
      <c r="L206" s="185"/>
      <c r="M206" s="186"/>
      <c r="N206" s="187"/>
      <c r="O206" s="188"/>
      <c r="P206" s="189"/>
      <c r="Q206" s="190"/>
      <c r="R206" s="191"/>
      <c r="S206" s="192" t="n">
        <f aca="false">(K206+O206+Q206)*24 /1130+(L206+M206+P206+R206)*12/1130+(N206*30)/1130</f>
        <v>0.0212389380530973</v>
      </c>
      <c r="T206" s="193" t="n">
        <f aca="false">SUMIFS(K$3228:K$4138,$H$3228:$H$4138,$AD206)</f>
        <v>0</v>
      </c>
      <c r="U206" s="194" t="n">
        <f aca="false">SUMIFS(L$3228:L$4138,$H$3228:$H$4138,$AD206)</f>
        <v>0</v>
      </c>
      <c r="V206" s="195" t="n">
        <f aca="false">SUMIFS(M$3228:M$4138,$H$3228:$H$4138,$AD206)</f>
        <v>0</v>
      </c>
      <c r="W206" s="193" t="n">
        <f aca="false">SUMIFS(N$3228:N$4138,$H$3228:$H$4138,$AD206)</f>
        <v>0</v>
      </c>
      <c r="X206" s="193" t="n">
        <f aca="false">SUMIFS(O$3228:O$4138,$H$3228:$H$4138,$AD206)</f>
        <v>0</v>
      </c>
      <c r="Y206" s="196" t="n">
        <f aca="false">SUMIFS(P$3228:P$4138,$H$3228:$H$4138,$AD206)</f>
        <v>0</v>
      </c>
      <c r="Z206" s="193" t="n">
        <f aca="false">SUMIFS(Q$3228:Q$4138,$H$3228:$H$4138,$AD206)</f>
        <v>0</v>
      </c>
      <c r="AA206" s="195" t="n">
        <f aca="false">SUMIFS(R$3228:R$4138,$H$3228:$H$4138,$AD206)</f>
        <v>0</v>
      </c>
      <c r="AB206" s="197" t="n">
        <f aca="false">SUMIFS(S$3228:S$4138,$H$3228:$H$4138,$AD206)</f>
        <v>0</v>
      </c>
      <c r="AC206" s="198" t="n">
        <f aca="false">SUM(T206:AA206)</f>
        <v>0</v>
      </c>
      <c r="AD206" s="221" t="s">
        <v>253</v>
      </c>
      <c r="AE206" s="240" t="n">
        <v>556</v>
      </c>
      <c r="AF206" s="240" t="s">
        <v>127</v>
      </c>
      <c r="AG206" s="128"/>
      <c r="AH206" s="128" t="n">
        <v>0</v>
      </c>
      <c r="AI206" s="203"/>
      <c r="BN206" s="255"/>
      <c r="BP206" s="255"/>
      <c r="BX206" s="205" t="n">
        <f aca="false">BV206*5+BW206*2</f>
        <v>0</v>
      </c>
    </row>
    <row r="207" customFormat="false" ht="15" hidden="true" customHeight="true" outlineLevel="0" collapsed="false">
      <c r="B207" s="127" t="n">
        <f aca="false">B206+D207-C207</f>
        <v>655.5</v>
      </c>
      <c r="D207" s="146" t="n">
        <v>327.75</v>
      </c>
      <c r="E207" s="147" t="n">
        <v>164</v>
      </c>
      <c r="F207" s="147" t="n">
        <f aca="false">IFERROR(VLOOKUP(H207,$AD$1:$AE$301,2,0),"")</f>
        <v>1008019</v>
      </c>
      <c r="G207" s="147" t="str">
        <f aca="false">IFERROR(VLOOKUP(F207,$AE$2:$AF$290,2, 0),"")</f>
        <v>البدع</v>
      </c>
      <c r="H207" s="212" t="s">
        <v>327</v>
      </c>
      <c r="I207" s="246" t="n">
        <f aca="false">SUM(K207:R207)</f>
        <v>1</v>
      </c>
      <c r="J207" s="182" t="n">
        <v>45511</v>
      </c>
      <c r="K207" s="184" t="n">
        <v>1</v>
      </c>
      <c r="L207" s="185"/>
      <c r="M207" s="186"/>
      <c r="N207" s="187"/>
      <c r="O207" s="188"/>
      <c r="P207" s="189"/>
      <c r="Q207" s="190"/>
      <c r="R207" s="191"/>
      <c r="S207" s="192" t="n">
        <f aca="false">(K207+O207+Q207)*24 /1130+(L207+M207+P207+R207)*12/1130+(N207*30)/1130</f>
        <v>0.0212389380530973</v>
      </c>
      <c r="T207" s="193" t="n">
        <f aca="false">SUMIFS(K$3228:K$4138,$H$3228:$H$4138,$AD207)</f>
        <v>0</v>
      </c>
      <c r="U207" s="194" t="n">
        <f aca="false">SUMIFS(L$3228:L$4138,$H$3228:$H$4138,$AD207)</f>
        <v>0</v>
      </c>
      <c r="V207" s="195" t="n">
        <f aca="false">SUMIFS(M$3228:M$4138,$H$3228:$H$4138,$AD207)</f>
        <v>0</v>
      </c>
      <c r="W207" s="193" t="n">
        <f aca="false">SUMIFS(N$3228:N$4138,$H$3228:$H$4138,$AD207)</f>
        <v>0</v>
      </c>
      <c r="X207" s="193" t="n">
        <f aca="false">SUMIFS(O$3228:O$4138,$H$3228:$H$4138,$AD207)</f>
        <v>0</v>
      </c>
      <c r="Y207" s="196" t="n">
        <f aca="false">SUMIFS(P$3228:P$4138,$H$3228:$H$4138,$AD207)</f>
        <v>0</v>
      </c>
      <c r="Z207" s="193" t="n">
        <f aca="false">SUMIFS(Q$3228:Q$4138,$H$3228:$H$4138,$AD207)</f>
        <v>0</v>
      </c>
      <c r="AA207" s="195" t="n">
        <f aca="false">SUMIFS(R$3228:R$4138,$H$3228:$H$4138,$AD207)</f>
        <v>0</v>
      </c>
      <c r="AB207" s="197" t="n">
        <f aca="false">SUMIFS(S$3228:S$4138,$H$3228:$H$4138,$AD207)</f>
        <v>0</v>
      </c>
      <c r="AC207" s="198" t="n">
        <f aca="false">SUM(T207:AA207)</f>
        <v>0</v>
      </c>
      <c r="AD207" s="221" t="s">
        <v>254</v>
      </c>
      <c r="AE207" s="240" t="n">
        <v>1008053</v>
      </c>
      <c r="AF207" s="240" t="s">
        <v>127</v>
      </c>
      <c r="AG207" s="128"/>
      <c r="AH207" s="128" t="n">
        <v>0</v>
      </c>
      <c r="AI207" s="203"/>
      <c r="BN207" s="255"/>
      <c r="BP207" s="255"/>
      <c r="BX207" s="205" t="n">
        <f aca="false">BV207*5+BW207*2</f>
        <v>0</v>
      </c>
    </row>
    <row r="208" customFormat="false" ht="15" hidden="true" customHeight="true" outlineLevel="0" collapsed="false">
      <c r="B208" s="127" t="n">
        <f aca="false">B207+D208-C208</f>
        <v>-1808.25</v>
      </c>
      <c r="C208" s="127" t="n">
        <f aca="false">D206+250+D213+D214+D215+D194</f>
        <v>2463.75</v>
      </c>
      <c r="E208" s="212" t="s">
        <v>470</v>
      </c>
      <c r="F208" s="147" t="str">
        <f aca="false">IFERROR(VLOOKUP(H208,$AD$1:$AE$301,2,0),"")</f>
        <v/>
      </c>
      <c r="G208" s="147" t="str">
        <f aca="false">IFERROR(VLOOKUP(F208,$AE$2:$AF$290,2, 0),"")</f>
        <v/>
      </c>
      <c r="H208" s="212" t="s">
        <v>393</v>
      </c>
      <c r="I208" s="246" t="n">
        <f aca="false">SUM(K208:R208)</f>
        <v>0</v>
      </c>
      <c r="J208" s="182" t="n">
        <v>45511</v>
      </c>
      <c r="K208" s="184"/>
      <c r="L208" s="185"/>
      <c r="M208" s="186"/>
      <c r="N208" s="187"/>
      <c r="O208" s="188"/>
      <c r="P208" s="189"/>
      <c r="Q208" s="190"/>
      <c r="R208" s="191"/>
      <c r="S208" s="192" t="n">
        <f aca="false">(K208+O208+Q208)*24 /1130+(L208+M208+P208+R208)*12/1130+(N208*30)/1130</f>
        <v>0</v>
      </c>
      <c r="T208" s="193" t="n">
        <f aca="false">SUMIFS(K$3228:K$4138,$H$3228:$H$4138,$AD208)</f>
        <v>0</v>
      </c>
      <c r="U208" s="194" t="n">
        <f aca="false">SUMIFS(L$3228:L$4138,$H$3228:$H$4138,$AD208)</f>
        <v>0</v>
      </c>
      <c r="V208" s="195" t="n">
        <f aca="false">SUMIFS(M$3228:M$4138,$H$3228:$H$4138,$AD208)</f>
        <v>0</v>
      </c>
      <c r="W208" s="193" t="n">
        <f aca="false">SUMIFS(N$3228:N$4138,$H$3228:$H$4138,$AD208)</f>
        <v>0</v>
      </c>
      <c r="X208" s="193" t="n">
        <f aca="false">SUMIFS(O$3228:O$4138,$H$3228:$H$4138,$AD208)</f>
        <v>0</v>
      </c>
      <c r="Y208" s="196" t="n">
        <f aca="false">SUMIFS(P$3228:P$4138,$H$3228:$H$4138,$AD208)</f>
        <v>0</v>
      </c>
      <c r="Z208" s="193" t="n">
        <f aca="false">SUMIFS(Q$3228:Q$4138,$H$3228:$H$4138,$AD208)</f>
        <v>0</v>
      </c>
      <c r="AA208" s="195" t="n">
        <f aca="false">SUMIFS(R$3228:R$4138,$H$3228:$H$4138,$AD208)</f>
        <v>0</v>
      </c>
      <c r="AB208" s="197" t="n">
        <f aca="false">SUMIFS(S$3228:S$4138,$H$3228:$H$4138,$AD208)</f>
        <v>0</v>
      </c>
      <c r="AC208" s="198" t="n">
        <f aca="false">SUM(T208:AA208)</f>
        <v>0</v>
      </c>
      <c r="AD208" s="240" t="s">
        <v>255</v>
      </c>
      <c r="AE208" s="241" t="n">
        <v>1008271</v>
      </c>
      <c r="AF208" s="240" t="s">
        <v>127</v>
      </c>
      <c r="AG208" s="128"/>
      <c r="AH208" s="128" t="n">
        <v>0</v>
      </c>
      <c r="AI208" s="203"/>
      <c r="BN208" s="255"/>
      <c r="BP208" s="255"/>
      <c r="BX208" s="205" t="n">
        <f aca="false">BV208*5+BW208*2</f>
        <v>0</v>
      </c>
    </row>
    <row r="209" customFormat="false" ht="15" hidden="true" customHeight="true" outlineLevel="0" collapsed="false">
      <c r="B209" s="127" t="n">
        <f aca="false">B208+D209-C209</f>
        <v>-1279.25</v>
      </c>
      <c r="D209" s="146" t="n">
        <f aca="false">2*264.5</f>
        <v>529</v>
      </c>
      <c r="E209" s="147" t="n">
        <v>165</v>
      </c>
      <c r="F209" s="147" t="n">
        <f aca="false">IFERROR(VLOOKUP(H209,$AD$1:$AE$301,2,0),"")</f>
        <v>1007965</v>
      </c>
      <c r="G209" s="147" t="str">
        <f aca="false">IFERROR(VLOOKUP(F209,$AE$2:$AF$290,2, 0),"")</f>
        <v>البير</v>
      </c>
      <c r="H209" s="212" t="s">
        <v>290</v>
      </c>
      <c r="I209" s="246" t="n">
        <f aca="false">SUM(K209:R209)</f>
        <v>2</v>
      </c>
      <c r="J209" s="182" t="n">
        <v>45511</v>
      </c>
      <c r="K209" s="184"/>
      <c r="L209" s="185"/>
      <c r="M209" s="186"/>
      <c r="N209" s="187"/>
      <c r="O209" s="188" t="n">
        <v>2</v>
      </c>
      <c r="P209" s="189"/>
      <c r="Q209" s="190"/>
      <c r="R209" s="191"/>
      <c r="S209" s="192" t="n">
        <f aca="false">(K209+O209+Q209)*24 /1130+(L209+M209+P209+R209)*12/1130+(N209*30)/1130</f>
        <v>0.0424778761061947</v>
      </c>
      <c r="T209" s="193" t="n">
        <f aca="false">SUMIFS(K$3228:K$4138,$H$3228:$H$4138,$AD209)</f>
        <v>0</v>
      </c>
      <c r="U209" s="194" t="n">
        <f aca="false">SUMIFS(L$3228:L$4138,$H$3228:$H$4138,$AD209)</f>
        <v>0</v>
      </c>
      <c r="V209" s="195" t="n">
        <f aca="false">SUMIFS(M$3228:M$4138,$H$3228:$H$4138,$AD209)</f>
        <v>0</v>
      </c>
      <c r="W209" s="193" t="n">
        <f aca="false">SUMIFS(N$3228:N$4138,$H$3228:$H$4138,$AD209)</f>
        <v>0</v>
      </c>
      <c r="X209" s="193" t="n">
        <f aca="false">SUMIFS(O$3228:O$4138,$H$3228:$H$4138,$AD209)</f>
        <v>0</v>
      </c>
      <c r="Y209" s="196" t="n">
        <f aca="false">SUMIFS(P$3228:P$4138,$H$3228:$H$4138,$AD209)</f>
        <v>0</v>
      </c>
      <c r="Z209" s="193" t="n">
        <f aca="false">SUMIFS(Q$3228:Q$4138,$H$3228:$H$4138,$AD209)</f>
        <v>0</v>
      </c>
      <c r="AA209" s="195" t="n">
        <f aca="false">SUMIFS(R$3228:R$4138,$H$3228:$H$4138,$AD209)</f>
        <v>0</v>
      </c>
      <c r="AB209" s="197" t="n">
        <f aca="false">SUMIFS(S$3228:S$4138,$H$3228:$H$4138,$AD209)</f>
        <v>0</v>
      </c>
      <c r="AC209" s="198" t="n">
        <f aca="false">SUM(T209:AA209)</f>
        <v>0</v>
      </c>
      <c r="AD209" s="221" t="s">
        <v>256</v>
      </c>
      <c r="AE209" s="240" t="n">
        <v>580</v>
      </c>
      <c r="AF209" s="240" t="s">
        <v>127</v>
      </c>
      <c r="AG209" s="128"/>
      <c r="AH209" s="128" t="n">
        <v>0</v>
      </c>
      <c r="AI209" s="203"/>
      <c r="BN209" s="255"/>
      <c r="BP209" s="255"/>
      <c r="BX209" s="205" t="n">
        <f aca="false">BV209*5+BW209*2</f>
        <v>0</v>
      </c>
    </row>
    <row r="210" customFormat="false" ht="15" hidden="true" customHeight="true" outlineLevel="0" collapsed="false">
      <c r="B210" s="127" t="n">
        <f aca="false">B209+D210-C210</f>
        <v>-1003.25</v>
      </c>
      <c r="D210" s="146" t="n">
        <f aca="false">276</f>
        <v>276</v>
      </c>
      <c r="E210" s="147" t="n">
        <v>167</v>
      </c>
      <c r="F210" s="147" t="n">
        <f aca="false">IFERROR(VLOOKUP(H210,$AD$1:$AE$301,2,0),"")</f>
        <v>1008030</v>
      </c>
      <c r="G210" s="147" t="str">
        <f aca="false">IFERROR(VLOOKUP(F210,$AE$2:$AF$290,2, 0),"")</f>
        <v>البير</v>
      </c>
      <c r="H210" s="212" t="s">
        <v>298</v>
      </c>
      <c r="I210" s="246" t="n">
        <f aca="false">SUM(K210:R210)</f>
        <v>1</v>
      </c>
      <c r="J210" s="182" t="n">
        <v>45511</v>
      </c>
      <c r="K210" s="184"/>
      <c r="L210" s="185"/>
      <c r="M210" s="186" t="n">
        <v>1</v>
      </c>
      <c r="N210" s="187"/>
      <c r="O210" s="188"/>
      <c r="P210" s="189"/>
      <c r="Q210" s="190"/>
      <c r="R210" s="191"/>
      <c r="S210" s="192" t="n">
        <f aca="false">(K210+O210+Q210)*24 /1130+(L210+M210+P210+R210)*12/1130+(N210*30)/1130</f>
        <v>0.0106194690265487</v>
      </c>
      <c r="T210" s="193" t="n">
        <f aca="false">SUMIFS(K$3228:K$4138,$H$3228:$H$4138,$AD210)</f>
        <v>0</v>
      </c>
      <c r="U210" s="194" t="n">
        <f aca="false">SUMIFS(L$3228:L$4138,$H$3228:$H$4138,$AD210)</f>
        <v>0</v>
      </c>
      <c r="V210" s="195" t="n">
        <f aca="false">SUMIFS(M$3228:M$4138,$H$3228:$H$4138,$AD210)</f>
        <v>0</v>
      </c>
      <c r="W210" s="193" t="n">
        <f aca="false">SUMIFS(N$3228:N$4138,$H$3228:$H$4138,$AD210)</f>
        <v>0</v>
      </c>
      <c r="X210" s="193" t="n">
        <f aca="false">SUMIFS(O$3228:O$4138,$H$3228:$H$4138,$AD210)</f>
        <v>0</v>
      </c>
      <c r="Y210" s="196" t="n">
        <f aca="false">SUMIFS(P$3228:P$4138,$H$3228:$H$4138,$AD210)</f>
        <v>0</v>
      </c>
      <c r="Z210" s="193" t="n">
        <f aca="false">SUMIFS(Q$3228:Q$4138,$H$3228:$H$4138,$AD210)</f>
        <v>0</v>
      </c>
      <c r="AA210" s="195" t="n">
        <f aca="false">SUMIFS(R$3228:R$4138,$H$3228:$H$4138,$AD210)</f>
        <v>0</v>
      </c>
      <c r="AB210" s="197" t="n">
        <f aca="false">SUMIFS(S$3228:S$4138,$H$3228:$H$4138,$AD210)</f>
        <v>0</v>
      </c>
      <c r="AC210" s="198" t="n">
        <f aca="false">SUM(T210:AA210)</f>
        <v>0</v>
      </c>
      <c r="AD210" s="221" t="s">
        <v>257</v>
      </c>
      <c r="AE210" s="221" t="n">
        <v>1002926</v>
      </c>
      <c r="AF210" s="240" t="s">
        <v>127</v>
      </c>
      <c r="AG210" s="244"/>
      <c r="AH210" s="244"/>
      <c r="AI210" s="203"/>
      <c r="BN210" s="255"/>
      <c r="BP210" s="255"/>
      <c r="BX210" s="205" t="n">
        <f aca="false">BV210*5+BW210*2</f>
        <v>0</v>
      </c>
    </row>
    <row r="211" customFormat="false" ht="15" hidden="true" customHeight="true" outlineLevel="0" collapsed="false">
      <c r="B211" s="127" t="n">
        <f aca="false">B210+D211-C211</f>
        <v>-675.5</v>
      </c>
      <c r="D211" s="146" t="n">
        <v>327.75</v>
      </c>
      <c r="E211" s="147" t="n">
        <v>168</v>
      </c>
      <c r="F211" s="147" t="n">
        <f aca="false">IFERROR(VLOOKUP(H211,$AD$1:$AE$301,2,0),"")</f>
        <v>1008030</v>
      </c>
      <c r="G211" s="147" t="str">
        <f aca="false">IFERROR(VLOOKUP(F211,$AE$2:$AF$290,2, 0),"")</f>
        <v>البير</v>
      </c>
      <c r="H211" s="212" t="s">
        <v>298</v>
      </c>
      <c r="I211" s="246" t="n">
        <f aca="false">SUM(K211:R211)</f>
        <v>1</v>
      </c>
      <c r="J211" s="182" t="n">
        <v>45511</v>
      </c>
      <c r="K211" s="184" t="n">
        <v>1</v>
      </c>
      <c r="L211" s="185"/>
      <c r="M211" s="186"/>
      <c r="N211" s="187"/>
      <c r="O211" s="188"/>
      <c r="P211" s="189"/>
      <c r="Q211" s="190"/>
      <c r="R211" s="191"/>
      <c r="S211" s="192" t="n">
        <f aca="false">(K211+O211+Q211)*24 /1130+(L211+M211+P211+R211)*12/1130+(N211*30)/1130</f>
        <v>0.0212389380530973</v>
      </c>
      <c r="T211" s="193" t="n">
        <f aca="false">SUMIFS(K$3228:K$4138,$H$3228:$H$4138,$AD211)</f>
        <v>0</v>
      </c>
      <c r="U211" s="194" t="n">
        <f aca="false">SUMIFS(L$3228:L$4138,$H$3228:$H$4138,$AD211)</f>
        <v>0</v>
      </c>
      <c r="V211" s="195" t="n">
        <f aca="false">SUMIFS(M$3228:M$4138,$H$3228:$H$4138,$AD211)</f>
        <v>0</v>
      </c>
      <c r="W211" s="193" t="n">
        <f aca="false">SUMIFS(N$3228:N$4138,$H$3228:$H$4138,$AD211)</f>
        <v>0</v>
      </c>
      <c r="X211" s="193" t="n">
        <f aca="false">SUMIFS(O$3228:O$4138,$H$3228:$H$4138,$AD211)</f>
        <v>0</v>
      </c>
      <c r="Y211" s="196" t="n">
        <f aca="false">SUMIFS(P$3228:P$4138,$H$3228:$H$4138,$AD211)</f>
        <v>0</v>
      </c>
      <c r="Z211" s="193" t="n">
        <f aca="false">SUMIFS(Q$3228:Q$4138,$H$3228:$H$4138,$AD211)</f>
        <v>0</v>
      </c>
      <c r="AA211" s="195" t="n">
        <f aca="false">SUMIFS(R$3228:R$4138,$H$3228:$H$4138,$AD211)</f>
        <v>0</v>
      </c>
      <c r="AB211" s="197" t="n">
        <f aca="false">SUMIFS(S$3228:S$4138,$H$3228:$H$4138,$AD211)</f>
        <v>0</v>
      </c>
      <c r="AC211" s="198" t="n">
        <f aca="false">SUM(T211:AA211)</f>
        <v>0</v>
      </c>
      <c r="AD211" s="221" t="s">
        <v>258</v>
      </c>
      <c r="AE211" s="240" t="n">
        <v>1002915</v>
      </c>
      <c r="AF211" s="240" t="s">
        <v>127</v>
      </c>
      <c r="AG211" s="242" t="s">
        <v>585</v>
      </c>
      <c r="AH211" s="160" t="n">
        <v>507645341</v>
      </c>
      <c r="AI211" s="203"/>
      <c r="BJ211" s="128" t="n">
        <f aca="false">36</f>
        <v>36</v>
      </c>
      <c r="BK211" s="128" t="n">
        <f aca="false">6</f>
        <v>6</v>
      </c>
      <c r="BN211" s="255"/>
      <c r="BP211" s="255"/>
      <c r="BX211" s="205" t="n">
        <f aca="false">BV211*5+BW211*2</f>
        <v>0</v>
      </c>
    </row>
    <row r="212" customFormat="false" ht="15" hidden="true" customHeight="true" outlineLevel="0" collapsed="false">
      <c r="B212" s="127" t="n">
        <f aca="false">B211+D212-C212</f>
        <v>175.5</v>
      </c>
      <c r="D212" s="146" t="n">
        <f aca="false">4*212.75</f>
        <v>851</v>
      </c>
      <c r="E212" s="147" t="n">
        <v>166</v>
      </c>
      <c r="F212" s="147" t="n">
        <f aca="false">IFERROR(VLOOKUP(H212,$AD$1:$AE$301,2,0),"")</f>
        <v>1007997</v>
      </c>
      <c r="G212" s="147" t="str">
        <f aca="false">IFERROR(VLOOKUP(F212,$AE$2:$AF$290,2, 0),"")</f>
        <v>البير</v>
      </c>
      <c r="H212" s="212" t="s">
        <v>296</v>
      </c>
      <c r="I212" s="246" t="n">
        <f aca="false">SUM(K212:R212)</f>
        <v>4</v>
      </c>
      <c r="J212" s="182" t="n">
        <v>45511</v>
      </c>
      <c r="K212" s="184"/>
      <c r="L212" s="185"/>
      <c r="M212" s="186"/>
      <c r="N212" s="187"/>
      <c r="O212" s="188"/>
      <c r="P212" s="189"/>
      <c r="Q212" s="190" t="n">
        <v>4</v>
      </c>
      <c r="R212" s="258"/>
      <c r="S212" s="192" t="n">
        <f aca="false">(K212+O212+Q212)*24 /1130+(L212+M212+P212+R212)*12/1130+(N212*30)/1130</f>
        <v>0.0849557522123894</v>
      </c>
      <c r="T212" s="193" t="n">
        <f aca="false">SUMIFS(K$3228:K$4138,$H$3228:$H$4138,$AD212)</f>
        <v>0</v>
      </c>
      <c r="U212" s="194" t="n">
        <f aca="false">SUMIFS(L$3228:L$4138,$H$3228:$H$4138,$AD212)</f>
        <v>0</v>
      </c>
      <c r="V212" s="195" t="n">
        <f aca="false">SUMIFS(M$3228:M$4138,$H$3228:$H$4138,$AD212)</f>
        <v>0</v>
      </c>
      <c r="W212" s="193" t="n">
        <f aca="false">SUMIFS(N$3228:N$4138,$H$3228:$H$4138,$AD212)</f>
        <v>0</v>
      </c>
      <c r="X212" s="193" t="n">
        <f aca="false">SUMIFS(O$3228:O$4138,$H$3228:$H$4138,$AD212)</f>
        <v>0</v>
      </c>
      <c r="Y212" s="196" t="n">
        <f aca="false">SUMIFS(P$3228:P$4138,$H$3228:$H$4138,$AD212)</f>
        <v>0</v>
      </c>
      <c r="Z212" s="193" t="n">
        <f aca="false">SUMIFS(Q$3228:Q$4138,$H$3228:$H$4138,$AD212)</f>
        <v>0</v>
      </c>
      <c r="AA212" s="195" t="n">
        <f aca="false">SUMIFS(R$3228:R$4138,$H$3228:$H$4138,$AD212)</f>
        <v>0</v>
      </c>
      <c r="AB212" s="197" t="n">
        <f aca="false">SUMIFS(S$3228:S$4138,$H$3228:$H$4138,$AD212)</f>
        <v>0</v>
      </c>
      <c r="AC212" s="198" t="n">
        <f aca="false">SUM(T212:AA212)</f>
        <v>0</v>
      </c>
      <c r="AD212" s="221" t="s">
        <v>259</v>
      </c>
      <c r="AE212" s="240" t="n">
        <v>943</v>
      </c>
      <c r="AF212" s="240" t="s">
        <v>127</v>
      </c>
      <c r="AG212" s="242" t="s">
        <v>586</v>
      </c>
      <c r="AH212" s="160" t="n">
        <v>558451931</v>
      </c>
      <c r="AI212" s="203"/>
      <c r="AV212" s="128" t="n">
        <f aca="false">39+6</f>
        <v>45</v>
      </c>
      <c r="AX212" s="128" t="n">
        <f aca="false">1+15</f>
        <v>16</v>
      </c>
      <c r="BH212" s="128" t="n">
        <f aca="false">12</f>
        <v>12</v>
      </c>
      <c r="BN212" s="255"/>
      <c r="BP212" s="255"/>
      <c r="BX212" s="205" t="n">
        <f aca="false">BV212*5+BW212*2</f>
        <v>0</v>
      </c>
      <c r="BZ212" s="162" t="n">
        <f aca="false">2+2</f>
        <v>4</v>
      </c>
      <c r="CA212" s="206" t="n">
        <f aca="false">2+4</f>
        <v>6</v>
      </c>
      <c r="CB212" s="206" t="n">
        <v>12</v>
      </c>
      <c r="CC212" s="206"/>
      <c r="CD212" s="157" t="n">
        <v>1</v>
      </c>
    </row>
    <row r="213" customFormat="false" ht="15" hidden="true" customHeight="true" outlineLevel="0" collapsed="false">
      <c r="B213" s="127" t="n">
        <f aca="false">B212+D213-C213</f>
        <v>704.5</v>
      </c>
      <c r="D213" s="146" t="n">
        <f aca="false">2*264.5</f>
        <v>529</v>
      </c>
      <c r="E213" s="147" t="n">
        <v>162</v>
      </c>
      <c r="F213" s="147" t="n">
        <f aca="false">IFERROR(VLOOKUP(H213,$AD$1:$AE$301,2,0),"")</f>
        <v>1008009</v>
      </c>
      <c r="G213" s="147" t="str">
        <f aca="false">IFERROR(VLOOKUP(F213,$AE$2:$AF$290,2, 0),"")</f>
        <v>حقل</v>
      </c>
      <c r="H213" s="212" t="s">
        <v>305</v>
      </c>
      <c r="I213" s="246" t="n">
        <f aca="false">SUM(K213:R213)</f>
        <v>2</v>
      </c>
      <c r="J213" s="182" t="n">
        <v>45511</v>
      </c>
      <c r="K213" s="184"/>
      <c r="L213" s="185"/>
      <c r="M213" s="186"/>
      <c r="N213" s="187"/>
      <c r="O213" s="188" t="n">
        <v>2</v>
      </c>
      <c r="P213" s="189"/>
      <c r="Q213" s="190"/>
      <c r="R213" s="191"/>
      <c r="S213" s="192" t="n">
        <f aca="false">(K213+O213+Q213)*24 /1130+(L213+M213+P213+R213)*12/1130+(N213*30)/1130</f>
        <v>0.0424778761061947</v>
      </c>
      <c r="T213" s="193" t="n">
        <f aca="false">SUMIFS(K$3228:K$4138,$H$3228:$H$4138,$AD213)</f>
        <v>0</v>
      </c>
      <c r="U213" s="194" t="n">
        <f aca="false">SUMIFS(L$3228:L$4138,$H$3228:$H$4138,$AD213)</f>
        <v>0</v>
      </c>
      <c r="V213" s="195" t="n">
        <f aca="false">SUMIFS(M$3228:M$4138,$H$3228:$H$4138,$AD213)</f>
        <v>0</v>
      </c>
      <c r="W213" s="193" t="n">
        <f aca="false">SUMIFS(N$3228:N$4138,$H$3228:$H$4138,$AD213)</f>
        <v>0</v>
      </c>
      <c r="X213" s="193" t="n">
        <f aca="false">SUMIFS(O$3228:O$4138,$H$3228:$H$4138,$AD213)</f>
        <v>0</v>
      </c>
      <c r="Y213" s="196" t="n">
        <f aca="false">SUMIFS(P$3228:P$4138,$H$3228:$H$4138,$AD213)</f>
        <v>0</v>
      </c>
      <c r="Z213" s="193" t="n">
        <f aca="false">SUMIFS(Q$3228:Q$4138,$H$3228:$H$4138,$AD213)</f>
        <v>0</v>
      </c>
      <c r="AA213" s="195" t="n">
        <f aca="false">SUMIFS(R$3228:R$4138,$H$3228:$H$4138,$AD213)</f>
        <v>0</v>
      </c>
      <c r="AB213" s="197" t="n">
        <f aca="false">SUMIFS(S$3228:S$4138,$H$3228:$H$4138,$AD213)</f>
        <v>0</v>
      </c>
      <c r="AC213" s="198" t="n">
        <f aca="false">SUM(T213:AA213)</f>
        <v>0</v>
      </c>
      <c r="AD213" s="221" t="s">
        <v>260</v>
      </c>
      <c r="AE213" s="240" t="n">
        <v>555</v>
      </c>
      <c r="AF213" s="240" t="s">
        <v>127</v>
      </c>
      <c r="AG213" s="242" t="s">
        <v>587</v>
      </c>
      <c r="AH213" s="160" t="n">
        <v>509892634</v>
      </c>
      <c r="AI213" s="203"/>
      <c r="AR213" s="128" t="n">
        <f aca="false">14</f>
        <v>14</v>
      </c>
      <c r="AU213" s="128" t="n">
        <f aca="false">4</f>
        <v>4</v>
      </c>
      <c r="AV213" s="128" t="n">
        <f aca="false">5</f>
        <v>5</v>
      </c>
      <c r="AW213" s="128" t="n">
        <f aca="false">5+1</f>
        <v>6</v>
      </c>
      <c r="AX213" s="128" t="n">
        <v>15</v>
      </c>
      <c r="BD213" s="128" t="n">
        <f aca="false">18</f>
        <v>18</v>
      </c>
      <c r="BN213" s="255"/>
      <c r="BP213" s="255"/>
      <c r="BX213" s="205" t="n">
        <f aca="false">BV213*5+BW213*2</f>
        <v>0</v>
      </c>
    </row>
    <row r="214" customFormat="false" ht="15" hidden="true" customHeight="true" outlineLevel="0" collapsed="false">
      <c r="B214" s="127" t="n">
        <f aca="false">B213+D214-C214</f>
        <v>1268</v>
      </c>
      <c r="D214" s="146" t="n">
        <f aca="false">235.75+327.75</f>
        <v>563.5</v>
      </c>
      <c r="E214" s="147" t="n">
        <v>160</v>
      </c>
      <c r="F214" s="147" t="n">
        <f aca="false">IFERROR(VLOOKUP(H214,$AD$1:$AE$301,2,0),"")</f>
        <v>1007999</v>
      </c>
      <c r="G214" s="147" t="str">
        <f aca="false">IFERROR(VLOOKUP(F214,$AE$2:$AF$290,2, 0),"")</f>
        <v>حقل</v>
      </c>
      <c r="H214" s="212" t="s">
        <v>312</v>
      </c>
      <c r="I214" s="246" t="n">
        <f aca="false">SUM(K214:R214)</f>
        <v>2</v>
      </c>
      <c r="J214" s="182" t="n">
        <v>45511</v>
      </c>
      <c r="K214" s="184" t="n">
        <v>1</v>
      </c>
      <c r="L214" s="185"/>
      <c r="M214" s="186" t="n">
        <v>1</v>
      </c>
      <c r="N214" s="187"/>
      <c r="O214" s="188"/>
      <c r="P214" s="189"/>
      <c r="Q214" s="190"/>
      <c r="R214" s="191"/>
      <c r="S214" s="192" t="n">
        <f aca="false">(K214+O214+Q214)*24 /1130+(L214+M214+P214+R214)*12/1130+(N214*30)/1130</f>
        <v>0.031858407079646</v>
      </c>
      <c r="T214" s="193" t="n">
        <f aca="false">SUMIFS(K$3228:K$4138,$H$3228:$H$4138,$AD214)</f>
        <v>0</v>
      </c>
      <c r="U214" s="194" t="n">
        <f aca="false">SUMIFS(L$3228:L$4138,$H$3228:$H$4138,$AD214)</f>
        <v>0</v>
      </c>
      <c r="V214" s="195" t="n">
        <f aca="false">SUMIFS(M$3228:M$4138,$H$3228:$H$4138,$AD214)</f>
        <v>0</v>
      </c>
      <c r="W214" s="193" t="n">
        <f aca="false">SUMIFS(N$3228:N$4138,$H$3228:$H$4138,$AD214)</f>
        <v>0</v>
      </c>
      <c r="X214" s="193" t="n">
        <f aca="false">SUMIFS(O$3228:O$4138,$H$3228:$H$4138,$AD214)</f>
        <v>0</v>
      </c>
      <c r="Y214" s="196" t="n">
        <f aca="false">SUMIFS(P$3228:P$4138,$H$3228:$H$4138,$AD214)</f>
        <v>0</v>
      </c>
      <c r="Z214" s="193" t="n">
        <f aca="false">SUMIFS(Q$3228:Q$4138,$H$3228:$H$4138,$AD214)</f>
        <v>0</v>
      </c>
      <c r="AA214" s="195" t="n">
        <f aca="false">SUMIFS(R$3228:R$4138,$H$3228:$H$4138,$AD214)</f>
        <v>0</v>
      </c>
      <c r="AB214" s="197" t="n">
        <f aca="false">SUMIFS(S$3228:S$4138,$H$3228:$H$4138,$AD214)</f>
        <v>0</v>
      </c>
      <c r="AC214" s="198" t="n">
        <f aca="false">SUM(T214:AA214)</f>
        <v>0</v>
      </c>
      <c r="AD214" s="241" t="s">
        <v>261</v>
      </c>
      <c r="AE214" s="241" t="n">
        <v>545</v>
      </c>
      <c r="AF214" s="240" t="s">
        <v>127</v>
      </c>
      <c r="AG214" s="128"/>
      <c r="AH214" s="128" t="n">
        <v>0</v>
      </c>
      <c r="AI214" s="203"/>
      <c r="AL214" s="128" t="n">
        <v>4</v>
      </c>
      <c r="AM214" s="128" t="n">
        <v>5</v>
      </c>
      <c r="BN214" s="255"/>
      <c r="BP214" s="255"/>
      <c r="BX214" s="205" t="n">
        <f aca="false">BV214*5+BW214*2</f>
        <v>0</v>
      </c>
    </row>
    <row r="215" customFormat="false" ht="15" hidden="true" customHeight="true" outlineLevel="0" collapsed="false">
      <c r="B215" s="127" t="n">
        <f aca="false">B214+D215-C215</f>
        <v>1406</v>
      </c>
      <c r="D215" s="146" t="n">
        <v>138</v>
      </c>
      <c r="E215" s="147" t="n">
        <v>161</v>
      </c>
      <c r="F215" s="147" t="n">
        <f aca="false">IFERROR(VLOOKUP(H215,$AD$1:$AE$301,2,0),"")</f>
        <v>1008004</v>
      </c>
      <c r="G215" s="147" t="str">
        <f aca="false">IFERROR(VLOOKUP(F215,$AE$2:$AF$290,2, 0),"")</f>
        <v>حقل</v>
      </c>
      <c r="H215" s="212" t="s">
        <v>316</v>
      </c>
      <c r="I215" s="246" t="n">
        <f aca="false">SUM(K215:R215)</f>
        <v>1</v>
      </c>
      <c r="J215" s="182" t="n">
        <v>45511</v>
      </c>
      <c r="K215" s="184"/>
      <c r="L215" s="185"/>
      <c r="M215" s="186"/>
      <c r="N215" s="187"/>
      <c r="O215" s="188"/>
      <c r="P215" s="189"/>
      <c r="Q215" s="190" t="n">
        <v>1</v>
      </c>
      <c r="R215" s="258"/>
      <c r="S215" s="192" t="n">
        <f aca="false">(K215+O215+Q215)*24 /1130+(L215+M215+P215+R215)*12/1130+(N215*30)/1130</f>
        <v>0.0212389380530973</v>
      </c>
      <c r="T215" s="193" t="n">
        <f aca="false">SUMIFS(K$3228:K$4138,$H$3228:$H$4138,$AD215)</f>
        <v>0</v>
      </c>
      <c r="U215" s="194" t="n">
        <f aca="false">SUMIFS(L$3228:L$4138,$H$3228:$H$4138,$AD215)</f>
        <v>0</v>
      </c>
      <c r="V215" s="195" t="n">
        <f aca="false">SUMIFS(M$3228:M$4138,$H$3228:$H$4138,$AD215)</f>
        <v>0</v>
      </c>
      <c r="W215" s="193" t="n">
        <f aca="false">SUMIFS(N$3228:N$4138,$H$3228:$H$4138,$AD215)</f>
        <v>0</v>
      </c>
      <c r="X215" s="193" t="n">
        <f aca="false">SUMIFS(O$3228:O$4138,$H$3228:$H$4138,$AD215)</f>
        <v>0</v>
      </c>
      <c r="Y215" s="196" t="n">
        <f aca="false">SUMIFS(P$3228:P$4138,$H$3228:$H$4138,$AD215)</f>
        <v>0</v>
      </c>
      <c r="Z215" s="193" t="n">
        <f aca="false">SUMIFS(Q$3228:Q$4138,$H$3228:$H$4138,$AD215)</f>
        <v>0</v>
      </c>
      <c r="AA215" s="195" t="n">
        <f aca="false">SUMIFS(R$3228:R$4138,$H$3228:$H$4138,$AD215)</f>
        <v>0</v>
      </c>
      <c r="AB215" s="197" t="n">
        <f aca="false">SUMIFS(S$3228:S$4138,$H$3228:$H$4138,$AD215)</f>
        <v>0</v>
      </c>
      <c r="AC215" s="198" t="n">
        <f aca="false">SUM(T215:AA215)</f>
        <v>0</v>
      </c>
      <c r="AD215" s="241" t="s">
        <v>262</v>
      </c>
      <c r="AE215" s="241" t="n">
        <v>546</v>
      </c>
      <c r="AF215" s="240" t="s">
        <v>127</v>
      </c>
      <c r="AG215" s="128"/>
      <c r="AH215" s="128" t="n">
        <v>0</v>
      </c>
      <c r="AI215" s="203"/>
      <c r="BN215" s="255"/>
      <c r="BP215" s="255"/>
      <c r="BX215" s="205" t="n">
        <f aca="false">BV215*5+BW215*2</f>
        <v>0</v>
      </c>
    </row>
    <row r="216" customFormat="false" ht="15" hidden="true" customHeight="true" outlineLevel="0" collapsed="false">
      <c r="B216" s="127" t="n">
        <f aca="false">B215+D216-C216</f>
        <v>0</v>
      </c>
      <c r="C216" s="127" t="n">
        <v>1406</v>
      </c>
      <c r="E216" s="212" t="s">
        <v>392</v>
      </c>
      <c r="F216" s="147" t="str">
        <f aca="false">IFERROR(VLOOKUP(H216,$AD$1:$AE$301,2,0),"")</f>
        <v/>
      </c>
      <c r="G216" s="147" t="str">
        <f aca="false">IFERROR(VLOOKUP(F216,$AE$2:$AF$290,2, 0),"")</f>
        <v/>
      </c>
      <c r="H216" s="212" t="s">
        <v>393</v>
      </c>
      <c r="I216" s="246" t="n">
        <f aca="false">SUM(K216:R216)</f>
        <v>0</v>
      </c>
      <c r="J216" s="182" t="n">
        <v>45512</v>
      </c>
      <c r="K216" s="184"/>
      <c r="L216" s="185"/>
      <c r="M216" s="186"/>
      <c r="N216" s="187"/>
      <c r="O216" s="188"/>
      <c r="P216" s="189"/>
      <c r="Q216" s="190"/>
      <c r="R216" s="191"/>
      <c r="S216" s="192" t="n">
        <f aca="false">(K216+O216+Q216)*24 /1130+(L216+M216+P216+R216)*12/1130+(N216*30)/1130</f>
        <v>0</v>
      </c>
      <c r="T216" s="193" t="n">
        <f aca="false">SUMIFS(K$3228:K$4138,$H$3228:$H$4138,$AD216)</f>
        <v>0</v>
      </c>
      <c r="U216" s="194" t="n">
        <f aca="false">SUMIFS(L$3228:L$4138,$H$3228:$H$4138,$AD216)</f>
        <v>0</v>
      </c>
      <c r="V216" s="195" t="n">
        <f aca="false">SUMIFS(M$3228:M$4138,$H$3228:$H$4138,$AD216)</f>
        <v>0</v>
      </c>
      <c r="W216" s="193" t="n">
        <f aca="false">SUMIFS(N$3228:N$4138,$H$3228:$H$4138,$AD216)</f>
        <v>0</v>
      </c>
      <c r="X216" s="193" t="n">
        <f aca="false">SUMIFS(O$3228:O$4138,$H$3228:$H$4138,$AD216)</f>
        <v>0</v>
      </c>
      <c r="Y216" s="196" t="n">
        <f aca="false">SUMIFS(P$3228:P$4138,$H$3228:$H$4138,$AD216)</f>
        <v>0</v>
      </c>
      <c r="Z216" s="193" t="n">
        <f aca="false">SUMIFS(Q$3228:Q$4138,$H$3228:$H$4138,$AD216)</f>
        <v>0</v>
      </c>
      <c r="AA216" s="195" t="n">
        <f aca="false">SUMIFS(R$3228:R$4138,$H$3228:$H$4138,$AD216)</f>
        <v>0</v>
      </c>
      <c r="AB216" s="197" t="n">
        <f aca="false">SUMIFS(S$3228:S$4138,$H$3228:$H$4138,$AD216)</f>
        <v>0</v>
      </c>
      <c r="AC216" s="198" t="n">
        <f aca="false">SUM(T216:AA216)</f>
        <v>0</v>
      </c>
      <c r="AD216" s="221" t="s">
        <v>263</v>
      </c>
      <c r="AE216" s="221" t="n">
        <v>652</v>
      </c>
      <c r="AF216" s="221" t="s">
        <v>127</v>
      </c>
      <c r="AG216" s="128"/>
      <c r="AH216" s="128" t="n">
        <v>0</v>
      </c>
      <c r="AI216" s="203"/>
      <c r="BB216" s="230"/>
      <c r="BN216" s="255"/>
      <c r="BP216" s="255"/>
      <c r="BX216" s="205" t="n">
        <f aca="false">BV216*5+BW216*2</f>
        <v>0</v>
      </c>
      <c r="CB216" s="219" t="n">
        <v>12</v>
      </c>
    </row>
    <row r="217" customFormat="false" ht="15" hidden="true" customHeight="true" outlineLevel="0" collapsed="false">
      <c r="B217" s="127" t="n">
        <f aca="false">B216+D217-C217</f>
        <v>327.75</v>
      </c>
      <c r="D217" s="146" t="n">
        <v>327.75</v>
      </c>
      <c r="E217" s="147" t="n">
        <v>169</v>
      </c>
      <c r="F217" s="147" t="n">
        <f aca="false">IFERROR(VLOOKUP(H217,$AD$1:$AE$301,2,0),"")</f>
        <v>1008032</v>
      </c>
      <c r="G217" s="147" t="str">
        <f aca="false">IFERROR(VLOOKUP(F217,$AE$2:$AF$290,2, 0),"")</f>
        <v>ضباء</v>
      </c>
      <c r="H217" s="212" t="s">
        <v>101</v>
      </c>
      <c r="I217" s="246" t="n">
        <f aca="false">SUM(K217:R217)</f>
        <v>1</v>
      </c>
      <c r="J217" s="182" t="n">
        <v>45516</v>
      </c>
      <c r="K217" s="184" t="n">
        <v>1</v>
      </c>
      <c r="L217" s="185"/>
      <c r="M217" s="186"/>
      <c r="N217" s="187"/>
      <c r="O217" s="188"/>
      <c r="P217" s="189"/>
      <c r="Q217" s="190"/>
      <c r="R217" s="258"/>
      <c r="S217" s="192" t="n">
        <f aca="false">(K217+O217+Q217)*24 /1130+(L217+M217+P217+R217)*12/1130+(N217*30)/1130</f>
        <v>0.0212389380530973</v>
      </c>
      <c r="T217" s="193" t="n">
        <f aca="false">SUMIFS(K$3228:K$4138,$H$3228:$H$4138,$AD217)</f>
        <v>0</v>
      </c>
      <c r="U217" s="194" t="n">
        <f aca="false">SUMIFS(L$3228:L$4138,$H$3228:$H$4138,$AD217)</f>
        <v>0</v>
      </c>
      <c r="V217" s="195" t="n">
        <f aca="false">SUMIFS(M$3228:M$4138,$H$3228:$H$4138,$AD217)</f>
        <v>0</v>
      </c>
      <c r="W217" s="193" t="n">
        <f aca="false">SUMIFS(N$3228:N$4138,$H$3228:$H$4138,$AD217)</f>
        <v>0</v>
      </c>
      <c r="X217" s="193" t="n">
        <f aca="false">SUMIFS(O$3228:O$4138,$H$3228:$H$4138,$AD217)</f>
        <v>0</v>
      </c>
      <c r="Y217" s="196" t="n">
        <f aca="false">SUMIFS(P$3228:P$4138,$H$3228:$H$4138,$AD217)</f>
        <v>0</v>
      </c>
      <c r="Z217" s="193" t="n">
        <f aca="false">SUMIFS(Q$3228:Q$4138,$H$3228:$H$4138,$AD217)</f>
        <v>0</v>
      </c>
      <c r="AA217" s="195" t="n">
        <f aca="false">SUMIFS(R$3228:R$4138,$H$3228:$H$4138,$AD217)</f>
        <v>0</v>
      </c>
      <c r="AB217" s="197" t="n">
        <f aca="false">SUMIFS(S$3228:S$4138,$H$3228:$H$4138,$AD217)</f>
        <v>0</v>
      </c>
      <c r="AC217" s="198" t="n">
        <f aca="false">SUM(T217:AA217)</f>
        <v>0</v>
      </c>
      <c r="AD217" s="221" t="s">
        <v>264</v>
      </c>
      <c r="AE217" s="221" t="n">
        <v>653</v>
      </c>
      <c r="AF217" s="221" t="s">
        <v>127</v>
      </c>
      <c r="AG217" s="242" t="s">
        <v>588</v>
      </c>
      <c r="AH217" s="160" t="n">
        <v>534606106</v>
      </c>
      <c r="AI217" s="203"/>
      <c r="AX217" s="128" t="n">
        <v>10</v>
      </c>
      <c r="AZ217" s="128" t="n">
        <f aca="false">5</f>
        <v>5</v>
      </c>
      <c r="BB217" s="128" t="n">
        <f aca="false">4</f>
        <v>4</v>
      </c>
      <c r="BF217" s="157" t="n">
        <f aca="false">5</f>
        <v>5</v>
      </c>
      <c r="BH217" s="128" t="n">
        <v>3</v>
      </c>
      <c r="BN217" s="255"/>
      <c r="BP217" s="255"/>
      <c r="BX217" s="205" t="n">
        <f aca="false">BV217*5+BW217*2</f>
        <v>0</v>
      </c>
      <c r="CA217" s="206" t="n">
        <v>4</v>
      </c>
      <c r="CB217" s="219" t="n">
        <f aca="false">36</f>
        <v>36</v>
      </c>
      <c r="CC217" s="219" t="n">
        <f aca="false">30-6</f>
        <v>24</v>
      </c>
      <c r="CD217" s="157" t="n">
        <v>1</v>
      </c>
    </row>
    <row r="218" customFormat="false" ht="15" hidden="true" customHeight="true" outlineLevel="0" collapsed="false">
      <c r="B218" s="127" t="n">
        <f aca="false">B217+D218-C218</f>
        <v>655.5</v>
      </c>
      <c r="D218" s="146" t="n">
        <v>327.75</v>
      </c>
      <c r="E218" s="147" t="n">
        <v>172</v>
      </c>
      <c r="F218" s="147" t="n">
        <f aca="false">IFERROR(VLOOKUP(H218,$AD$1:$AE$301,2,0),"")</f>
        <v>1008045</v>
      </c>
      <c r="G218" s="147" t="str">
        <f aca="false">IFERROR(VLOOKUP(F218,$AE$2:$AF$290,2, 0),"")</f>
        <v>الوجه</v>
      </c>
      <c r="H218" s="212" t="s">
        <v>107</v>
      </c>
      <c r="I218" s="246" t="n">
        <f aca="false">SUM(K218:R218)</f>
        <v>1</v>
      </c>
      <c r="J218" s="182" t="n">
        <v>45516</v>
      </c>
      <c r="K218" s="184" t="n">
        <v>1</v>
      </c>
      <c r="L218" s="185"/>
      <c r="M218" s="186"/>
      <c r="N218" s="187"/>
      <c r="O218" s="188"/>
      <c r="P218" s="189"/>
      <c r="Q218" s="190"/>
      <c r="R218" s="259"/>
      <c r="S218" s="192" t="n">
        <f aca="false">(K218+O218+Q218)*24 /1130+(L218+M218+P218+R218)*12/1130+(N218*30)/1130</f>
        <v>0.0212389380530973</v>
      </c>
      <c r="T218" s="193" t="n">
        <f aca="false">SUMIFS(K$3228:K$4138,$H$3228:$H$4138,$AD218)</f>
        <v>0</v>
      </c>
      <c r="U218" s="194" t="n">
        <f aca="false">SUMIFS(L$3228:L$4138,$H$3228:$H$4138,$AD218)</f>
        <v>0</v>
      </c>
      <c r="V218" s="195" t="n">
        <f aca="false">SUMIFS(M$3228:M$4138,$H$3228:$H$4138,$AD218)</f>
        <v>0</v>
      </c>
      <c r="W218" s="193" t="n">
        <f aca="false">SUMIFS(N$3228:N$4138,$H$3228:$H$4138,$AD218)</f>
        <v>0</v>
      </c>
      <c r="X218" s="193" t="n">
        <f aca="false">SUMIFS(O$3228:O$4138,$H$3228:$H$4138,$AD218)</f>
        <v>0</v>
      </c>
      <c r="Y218" s="196" t="n">
        <f aca="false">SUMIFS(P$3228:P$4138,$H$3228:$H$4138,$AD218)</f>
        <v>0</v>
      </c>
      <c r="Z218" s="193" t="n">
        <f aca="false">SUMIFS(Q$3228:Q$4138,$H$3228:$H$4138,$AD218)</f>
        <v>0</v>
      </c>
      <c r="AA218" s="195" t="n">
        <f aca="false">SUMIFS(R$3228:R$4138,$H$3228:$H$4138,$AD218)</f>
        <v>0</v>
      </c>
      <c r="AB218" s="197" t="n">
        <f aca="false">SUMIFS(S$3228:S$4138,$H$3228:$H$4138,$AD218)</f>
        <v>0</v>
      </c>
      <c r="AC218" s="198" t="n">
        <f aca="false">SUM(T218:AA218)</f>
        <v>0</v>
      </c>
      <c r="AD218" s="221" t="s">
        <v>265</v>
      </c>
      <c r="AE218" s="221" t="n">
        <v>659</v>
      </c>
      <c r="AF218" s="221" t="s">
        <v>127</v>
      </c>
      <c r="AG218" s="128"/>
      <c r="AH218" s="128" t="n">
        <v>0</v>
      </c>
      <c r="AI218" s="203"/>
      <c r="BN218" s="255"/>
      <c r="BP218" s="255"/>
      <c r="BX218" s="205" t="n">
        <f aca="false">BV218*5+BW218*2</f>
        <v>0</v>
      </c>
    </row>
    <row r="219" customFormat="false" ht="15" hidden="true" customHeight="true" outlineLevel="0" collapsed="false">
      <c r="B219" s="127" t="n">
        <f aca="false">B218+D219-C219</f>
        <v>1012</v>
      </c>
      <c r="D219" s="146" t="n">
        <f aca="false">2*178.25</f>
        <v>356.5</v>
      </c>
      <c r="E219" s="147" t="n">
        <v>171</v>
      </c>
      <c r="F219" s="147" t="n">
        <f aca="false">IFERROR(VLOOKUP(H219,$AD$1:$AE$301,2,0),"")</f>
        <v>1008054</v>
      </c>
      <c r="G219" s="147" t="str">
        <f aca="false">IFERROR(VLOOKUP(F219,$AE$2:$AF$290,2, 0),"")</f>
        <v>الوجه</v>
      </c>
      <c r="H219" s="212" t="s">
        <v>112</v>
      </c>
      <c r="I219" s="246" t="n">
        <f aca="false">SUM(K219:R219)</f>
        <v>2</v>
      </c>
      <c r="J219" s="182" t="n">
        <v>45516</v>
      </c>
      <c r="K219" s="184"/>
      <c r="L219" s="185" t="n">
        <v>2</v>
      </c>
      <c r="M219" s="186"/>
      <c r="N219" s="187"/>
      <c r="O219" s="188"/>
      <c r="P219" s="189"/>
      <c r="Q219" s="190"/>
      <c r="R219" s="259"/>
      <c r="S219" s="192" t="n">
        <f aca="false">(K219+O219+Q219)*24 /1130+(L219+M219+P219+R219)*12/1130+(N219*30)/1130</f>
        <v>0.0212389380530973</v>
      </c>
      <c r="T219" s="193" t="n">
        <f aca="false">SUMIFS(K$3228:K$4138,$H$3228:$H$4138,$AD219)</f>
        <v>0</v>
      </c>
      <c r="U219" s="194" t="n">
        <f aca="false">SUMIFS(L$3228:L$4138,$H$3228:$H$4138,$AD219)</f>
        <v>0</v>
      </c>
      <c r="V219" s="195" t="n">
        <f aca="false">SUMIFS(M$3228:M$4138,$H$3228:$H$4138,$AD219)</f>
        <v>0</v>
      </c>
      <c r="W219" s="193" t="n">
        <f aca="false">SUMIFS(N$3228:N$4138,$H$3228:$H$4138,$AD219)</f>
        <v>0</v>
      </c>
      <c r="X219" s="193" t="n">
        <f aca="false">SUMIFS(O$3228:O$4138,$H$3228:$H$4138,$AD219)</f>
        <v>0</v>
      </c>
      <c r="Y219" s="196" t="n">
        <f aca="false">SUMIFS(P$3228:P$4138,$H$3228:$H$4138,$AD219)</f>
        <v>0</v>
      </c>
      <c r="Z219" s="193" t="n">
        <f aca="false">SUMIFS(Q$3228:Q$4138,$H$3228:$H$4138,$AD219)</f>
        <v>0</v>
      </c>
      <c r="AA219" s="195" t="n">
        <f aca="false">SUMIFS(R$3228:R$4138,$H$3228:$H$4138,$AD219)</f>
        <v>0</v>
      </c>
      <c r="AB219" s="197" t="n">
        <f aca="false">SUMIFS(S$3228:S$4138,$H$3228:$H$4138,$AD219)</f>
        <v>0</v>
      </c>
      <c r="AC219" s="198" t="n">
        <f aca="false">SUM(T219:AA219)</f>
        <v>0</v>
      </c>
      <c r="AD219" s="221" t="s">
        <v>266</v>
      </c>
      <c r="AE219" s="221" t="n">
        <v>654</v>
      </c>
      <c r="AF219" s="221" t="s">
        <v>127</v>
      </c>
      <c r="AG219" s="128"/>
      <c r="AH219" s="128" t="n">
        <v>0</v>
      </c>
      <c r="AI219" s="203"/>
      <c r="BN219" s="255"/>
      <c r="BP219" s="255"/>
      <c r="BX219" s="205" t="n">
        <f aca="false">BV219*5+BW219*2</f>
        <v>0</v>
      </c>
    </row>
    <row r="220" customFormat="false" ht="15" hidden="true" customHeight="true" outlineLevel="0" collapsed="false">
      <c r="B220" s="127" t="n">
        <f aca="false">B219+D220-C220</f>
        <v>1368.5</v>
      </c>
      <c r="D220" s="146" t="n">
        <f aca="false">2*178.25</f>
        <v>356.5</v>
      </c>
      <c r="E220" s="147" t="n">
        <v>170</v>
      </c>
      <c r="F220" s="147" t="n">
        <f aca="false">IFERROR(VLOOKUP(H220,$AD$1:$AE$301,2,0),"")</f>
        <v>1008043</v>
      </c>
      <c r="G220" s="147" t="str">
        <f aca="false">IFERROR(VLOOKUP(F220,$AE$2:$AF$290,2, 0),"")</f>
        <v>الوجه</v>
      </c>
      <c r="H220" s="212" t="s">
        <v>104</v>
      </c>
      <c r="I220" s="246" t="n">
        <f aca="false">SUM(K220:R220)</f>
        <v>2</v>
      </c>
      <c r="J220" s="182" t="n">
        <v>45516</v>
      </c>
      <c r="K220" s="184"/>
      <c r="L220" s="185" t="n">
        <v>2</v>
      </c>
      <c r="M220" s="186"/>
      <c r="N220" s="187"/>
      <c r="O220" s="188"/>
      <c r="P220" s="189"/>
      <c r="Q220" s="190"/>
      <c r="R220" s="258"/>
      <c r="S220" s="192" t="n">
        <f aca="false">(K220+O220+Q220)*24 /1130+(L220+M220+P220+R220)*12/1130+(N220*30)/1130</f>
        <v>0.0212389380530973</v>
      </c>
      <c r="T220" s="193" t="n">
        <f aca="false">SUMIFS(K$3228:K$4138,$H$3228:$H$4138,$AD220)</f>
        <v>0</v>
      </c>
      <c r="U220" s="194" t="n">
        <f aca="false">SUMIFS(L$3228:L$4138,$H$3228:$H$4138,$AD220)</f>
        <v>0</v>
      </c>
      <c r="V220" s="195" t="n">
        <f aca="false">SUMIFS(M$3228:M$4138,$H$3228:$H$4138,$AD220)</f>
        <v>0</v>
      </c>
      <c r="W220" s="193" t="n">
        <f aca="false">SUMIFS(N$3228:N$4138,$H$3228:$H$4138,$AD220)</f>
        <v>0</v>
      </c>
      <c r="X220" s="193" t="n">
        <f aca="false">SUMIFS(O$3228:O$4138,$H$3228:$H$4138,$AD220)</f>
        <v>0</v>
      </c>
      <c r="Y220" s="196" t="n">
        <f aca="false">SUMIFS(P$3228:P$4138,$H$3228:$H$4138,$AD220)</f>
        <v>0</v>
      </c>
      <c r="Z220" s="193" t="n">
        <f aca="false">SUMIFS(Q$3228:Q$4138,$H$3228:$H$4138,$AD220)</f>
        <v>0</v>
      </c>
      <c r="AA220" s="195" t="n">
        <f aca="false">SUMIFS(R$3228:R$4138,$H$3228:$H$4138,$AD220)</f>
        <v>0</v>
      </c>
      <c r="AB220" s="197" t="n">
        <f aca="false">SUMIFS(S$3228:S$4138,$H$3228:$H$4138,$AD220)</f>
        <v>0</v>
      </c>
      <c r="AC220" s="198" t="n">
        <f aca="false">SUM(T220:AA220)</f>
        <v>0</v>
      </c>
      <c r="AD220" s="221" t="s">
        <v>267</v>
      </c>
      <c r="AE220" s="221" t="n">
        <v>668</v>
      </c>
      <c r="AF220" s="221" t="s">
        <v>127</v>
      </c>
      <c r="AG220" s="128"/>
      <c r="AH220" s="128" t="n">
        <v>0</v>
      </c>
      <c r="AI220" s="203"/>
      <c r="BN220" s="255"/>
      <c r="BP220" s="255"/>
      <c r="BX220" s="205" t="n">
        <f aca="false">BV220*5+BW220*2</f>
        <v>0</v>
      </c>
    </row>
    <row r="221" customFormat="false" ht="15" hidden="true" customHeight="true" outlineLevel="0" collapsed="false">
      <c r="B221" s="127" t="n">
        <f aca="false">B220+D221-C221</f>
        <v>-3163.75</v>
      </c>
      <c r="C221" s="127" t="n">
        <f aca="false">D219+D218+D217+D201+D225+1500+D226+250+350</f>
        <v>4532.25</v>
      </c>
      <c r="E221" s="212" t="s">
        <v>470</v>
      </c>
      <c r="F221" s="147" t="str">
        <f aca="false">IFERROR(VLOOKUP(H221,$AD$1:$AE$301,2,0),"")</f>
        <v/>
      </c>
      <c r="G221" s="147" t="str">
        <f aca="false">IFERROR(VLOOKUP(F221,$AE$2:$AF$290,2, 0),"")</f>
        <v/>
      </c>
      <c r="H221" s="212" t="s">
        <v>393</v>
      </c>
      <c r="I221" s="246" t="n">
        <f aca="false">SUM(K221:R221)</f>
        <v>0</v>
      </c>
      <c r="J221" s="182" t="n">
        <v>45516</v>
      </c>
      <c r="K221" s="184"/>
      <c r="L221" s="185"/>
      <c r="M221" s="186"/>
      <c r="N221" s="187"/>
      <c r="O221" s="188"/>
      <c r="P221" s="189"/>
      <c r="Q221" s="190"/>
      <c r="R221" s="259"/>
      <c r="S221" s="192" t="n">
        <f aca="false">(K221+O221+Q221)*24 /1130+(L221+M221+P221+R221)*12/1130+(N221*30)/1130</f>
        <v>0</v>
      </c>
      <c r="T221" s="193" t="n">
        <f aca="false">SUMIFS(K$3228:K$4138,$H$3228:$H$4138,$AD221)</f>
        <v>0</v>
      </c>
      <c r="U221" s="194" t="n">
        <f aca="false">SUMIFS(L$3228:L$4138,$H$3228:$H$4138,$AD221)</f>
        <v>0</v>
      </c>
      <c r="V221" s="195" t="n">
        <f aca="false">SUMIFS(M$3228:M$4138,$H$3228:$H$4138,$AD221)</f>
        <v>0</v>
      </c>
      <c r="W221" s="193" t="n">
        <f aca="false">SUMIFS(N$3228:N$4138,$H$3228:$H$4138,$AD221)</f>
        <v>0</v>
      </c>
      <c r="X221" s="193" t="n">
        <f aca="false">SUMIFS(O$3228:O$4138,$H$3228:$H$4138,$AD221)</f>
        <v>0</v>
      </c>
      <c r="Y221" s="196" t="n">
        <f aca="false">SUMIFS(P$3228:P$4138,$H$3228:$H$4138,$AD221)</f>
        <v>0</v>
      </c>
      <c r="Z221" s="193" t="n">
        <f aca="false">SUMIFS(Q$3228:Q$4138,$H$3228:$H$4138,$AD221)</f>
        <v>0</v>
      </c>
      <c r="AA221" s="195" t="n">
        <f aca="false">SUMIFS(R$3228:R$4138,$H$3228:$H$4138,$AD221)</f>
        <v>0</v>
      </c>
      <c r="AB221" s="197" t="n">
        <f aca="false">SUMIFS(S$3228:S$4138,$H$3228:$H$4138,$AD221)</f>
        <v>0</v>
      </c>
      <c r="AC221" s="198" t="n">
        <f aca="false">SUM(T221:AA221)</f>
        <v>0</v>
      </c>
      <c r="AD221" s="221" t="s">
        <v>268</v>
      </c>
      <c r="AE221" s="221" t="n">
        <v>681</v>
      </c>
      <c r="AF221" s="221" t="s">
        <v>127</v>
      </c>
      <c r="AG221" s="202" t="s">
        <v>589</v>
      </c>
      <c r="AH221" s="128" t="n">
        <v>557499306</v>
      </c>
      <c r="AI221" s="203"/>
      <c r="AR221" s="128" t="n">
        <v>30</v>
      </c>
      <c r="BN221" s="255"/>
      <c r="BP221" s="255"/>
      <c r="BX221" s="205" t="n">
        <f aca="false">BV221*5+BW221*2</f>
        <v>0</v>
      </c>
    </row>
    <row r="222" customFormat="false" ht="15" hidden="true" customHeight="true" outlineLevel="0" collapsed="false">
      <c r="B222" s="127" t="n">
        <f aca="false">B221+D222-C222</f>
        <v>-2180.5</v>
      </c>
      <c r="D222" s="146" t="n">
        <f aca="false">3*327.75</f>
        <v>983.25</v>
      </c>
      <c r="E222" s="147" t="n">
        <v>173</v>
      </c>
      <c r="F222" s="147" t="n">
        <f aca="false">IFERROR(VLOOKUP(H222,$AD$1:$AE$301,2,0),"")</f>
        <v>1008047</v>
      </c>
      <c r="G222" s="147" t="str">
        <f aca="false">IFERROR(VLOOKUP(F222,$AE$2:$AF$290,2, 0),"")</f>
        <v>الوجه</v>
      </c>
      <c r="H222" s="212" t="s">
        <v>422</v>
      </c>
      <c r="I222" s="246" t="n">
        <f aca="false">SUM(K222:R222)</f>
        <v>3</v>
      </c>
      <c r="J222" s="182" t="n">
        <v>45516</v>
      </c>
      <c r="K222" s="184" t="n">
        <v>3</v>
      </c>
      <c r="L222" s="185"/>
      <c r="M222" s="186"/>
      <c r="N222" s="187"/>
      <c r="O222" s="188"/>
      <c r="P222" s="189"/>
      <c r="Q222" s="190"/>
      <c r="R222" s="259"/>
      <c r="S222" s="192" t="n">
        <f aca="false">(K222+O222+Q222)*24 /1130+(L222+M222+P222+R222)*12/1130+(N222*30)/1130</f>
        <v>0.063716814159292</v>
      </c>
      <c r="T222" s="193" t="n">
        <f aca="false">SUMIFS(K$3228:K$4138,$H$3228:$H$4138,$AD222)</f>
        <v>0</v>
      </c>
      <c r="U222" s="194" t="n">
        <f aca="false">SUMIFS(L$3228:L$4138,$H$3228:$H$4138,$AD222)</f>
        <v>0</v>
      </c>
      <c r="V222" s="195" t="n">
        <f aca="false">SUMIFS(M$3228:M$4138,$H$3228:$H$4138,$AD222)</f>
        <v>0</v>
      </c>
      <c r="W222" s="193" t="n">
        <f aca="false">SUMIFS(N$3228:N$4138,$H$3228:$H$4138,$AD222)</f>
        <v>0</v>
      </c>
      <c r="X222" s="193" t="n">
        <f aca="false">SUMIFS(O$3228:O$4138,$H$3228:$H$4138,$AD222)</f>
        <v>0</v>
      </c>
      <c r="Y222" s="196" t="n">
        <f aca="false">SUMIFS(P$3228:P$4138,$H$3228:$H$4138,$AD222)</f>
        <v>0</v>
      </c>
      <c r="Z222" s="193" t="n">
        <f aca="false">SUMIFS(Q$3228:Q$4138,$H$3228:$H$4138,$AD222)</f>
        <v>0</v>
      </c>
      <c r="AA222" s="195" t="n">
        <f aca="false">SUMIFS(R$3228:R$4138,$H$3228:$H$4138,$AD222)</f>
        <v>0</v>
      </c>
      <c r="AB222" s="197" t="n">
        <f aca="false">SUMIFS(S$3228:S$4138,$H$3228:$H$4138,$AD222)</f>
        <v>0</v>
      </c>
      <c r="AC222" s="198" t="n">
        <f aca="false">SUM(T222:AA222)</f>
        <v>0</v>
      </c>
      <c r="AD222" s="262"/>
      <c r="AE222" s="263"/>
      <c r="AF222" s="264"/>
      <c r="AI222" s="203"/>
      <c r="BX222" s="205" t="n">
        <f aca="false">BV222*5+BW222*2</f>
        <v>0</v>
      </c>
    </row>
    <row r="223" customFormat="false" ht="15" hidden="true" customHeight="true" outlineLevel="0" collapsed="false">
      <c r="B223" s="127" t="n">
        <f aca="false">B222+D223-C223</f>
        <v>-1628.5</v>
      </c>
      <c r="D223" s="146" t="n">
        <f aca="false">303.6+248.4</f>
        <v>552</v>
      </c>
      <c r="E223" s="147" t="n">
        <v>176</v>
      </c>
      <c r="F223" s="147" t="n">
        <f aca="false">IFERROR(VLOOKUP(H223,$AD$1:$AE$301,2,0),"")</f>
        <v>1007989</v>
      </c>
      <c r="G223" s="147" t="str">
        <f aca="false">IFERROR(VLOOKUP(F223,$AE$2:$AF$290,2, 0),"")</f>
        <v>ضباء</v>
      </c>
      <c r="H223" s="212" t="s">
        <v>90</v>
      </c>
      <c r="I223" s="246" t="n">
        <f aca="false">SUM(K223:R223)</f>
        <v>2</v>
      </c>
      <c r="J223" s="182" t="n">
        <v>45516</v>
      </c>
      <c r="K223" s="184"/>
      <c r="L223" s="185"/>
      <c r="M223" s="186"/>
      <c r="N223" s="187" t="n">
        <v>1</v>
      </c>
      <c r="O223" s="188" t="n">
        <v>1</v>
      </c>
      <c r="P223" s="189"/>
      <c r="Q223" s="190"/>
      <c r="R223" s="258"/>
      <c r="S223" s="192" t="n">
        <f aca="false">(K223+O223+Q223)*24 /1130+(L223+M223+P223+R223)*12/1130+(N223*30)/1130</f>
        <v>0.047787610619469</v>
      </c>
      <c r="T223" s="193" t="n">
        <f aca="false">SUMIFS(K$3228:K$4138,$H$3228:$H$4138,$AD223)</f>
        <v>0</v>
      </c>
      <c r="U223" s="194" t="n">
        <f aca="false">SUMIFS(L$3228:L$4138,$H$3228:$H$4138,$AD223)</f>
        <v>0</v>
      </c>
      <c r="V223" s="195" t="n">
        <f aca="false">SUMIFS(M$3228:M$4138,$H$3228:$H$4138,$AD223)</f>
        <v>0</v>
      </c>
      <c r="W223" s="193" t="n">
        <f aca="false">SUMIFS(N$3228:N$4138,$H$3228:$H$4138,$AD223)</f>
        <v>0</v>
      </c>
      <c r="X223" s="193" t="n">
        <f aca="false">SUMIFS(O$3228:O$4138,$H$3228:$H$4138,$AD223)</f>
        <v>0</v>
      </c>
      <c r="Y223" s="196" t="n">
        <f aca="false">SUMIFS(P$3228:P$4138,$H$3228:$H$4138,$AD223)</f>
        <v>0</v>
      </c>
      <c r="Z223" s="193" t="n">
        <f aca="false">SUMIFS(Q$3228:Q$4138,$H$3228:$H$4138,$AD223)</f>
        <v>0</v>
      </c>
      <c r="AA223" s="195" t="n">
        <f aca="false">SUMIFS(R$3228:R$4138,$H$3228:$H$4138,$AD223)</f>
        <v>0</v>
      </c>
      <c r="AB223" s="197" t="n">
        <f aca="false">SUMIFS(S$3228:S$4138,$H$3228:$H$4138,$AD223)</f>
        <v>0</v>
      </c>
      <c r="AC223" s="198" t="n">
        <f aca="false">SUM(T223:AA223)</f>
        <v>0</v>
      </c>
      <c r="AD223" s="262"/>
      <c r="AE223" s="263"/>
      <c r="AF223" s="264"/>
      <c r="AI223" s="203"/>
      <c r="BX223" s="205" t="n">
        <f aca="false">BV223*5+BW223*2</f>
        <v>0</v>
      </c>
    </row>
    <row r="224" customFormat="false" ht="15" hidden="true" customHeight="true" outlineLevel="0" collapsed="false">
      <c r="B224" s="127" t="n">
        <f aca="false">B223+D224-C224</f>
        <v>-570.5</v>
      </c>
      <c r="D224" s="146" t="n">
        <f aca="false">(2*253.7)+(2*275.3)</f>
        <v>1058</v>
      </c>
      <c r="E224" s="147" t="n">
        <v>175</v>
      </c>
      <c r="F224" s="147" t="n">
        <f aca="false">IFERROR(VLOOKUP(H224,$AD$1:$AE$301,2,0),"")</f>
        <v>1007988</v>
      </c>
      <c r="G224" s="147" t="str">
        <f aca="false">IFERROR(VLOOKUP(F224,$AE$2:$AF$290,2, 0),"")</f>
        <v>ضباء</v>
      </c>
      <c r="H224" s="212" t="s">
        <v>89</v>
      </c>
      <c r="I224" s="246" t="n">
        <f aca="false">SUM(K224:R224)</f>
        <v>4</v>
      </c>
      <c r="J224" s="182" t="n">
        <v>45516</v>
      </c>
      <c r="K224" s="184"/>
      <c r="L224" s="185"/>
      <c r="M224" s="186" t="n">
        <v>4</v>
      </c>
      <c r="N224" s="187"/>
      <c r="O224" s="188"/>
      <c r="P224" s="189"/>
      <c r="Q224" s="190"/>
      <c r="R224" s="259"/>
      <c r="S224" s="192" t="n">
        <f aca="false">(K224+O224+Q224)*24 /1130+(L224+M224+P224+R224)*12/1130+(N224*30)/1130</f>
        <v>0.0424778761061947</v>
      </c>
      <c r="T224" s="193" t="n">
        <f aca="false">SUMIFS(K$3228:K$4138,$H$3228:$H$4138,$AD224)</f>
        <v>0</v>
      </c>
      <c r="U224" s="194" t="n">
        <f aca="false">SUMIFS(L$3228:L$4138,$H$3228:$H$4138,$AD224)</f>
        <v>0</v>
      </c>
      <c r="V224" s="195" t="n">
        <f aca="false">SUMIFS(M$3228:M$4138,$H$3228:$H$4138,$AD224)</f>
        <v>0</v>
      </c>
      <c r="W224" s="193" t="n">
        <f aca="false">SUMIFS(N$3228:N$4138,$H$3228:$H$4138,$AD224)</f>
        <v>0</v>
      </c>
      <c r="X224" s="193" t="n">
        <f aca="false">SUMIFS(O$3228:O$4138,$H$3228:$H$4138,$AD224)</f>
        <v>0</v>
      </c>
      <c r="Y224" s="196" t="n">
        <f aca="false">SUMIFS(P$3228:P$4138,$H$3228:$H$4138,$AD224)</f>
        <v>0</v>
      </c>
      <c r="Z224" s="193" t="n">
        <f aca="false">SUMIFS(Q$3228:Q$4138,$H$3228:$H$4138,$AD224)</f>
        <v>0</v>
      </c>
      <c r="AA224" s="195" t="n">
        <f aca="false">SUMIFS(R$3228:R$4138,$H$3228:$H$4138,$AD224)</f>
        <v>0</v>
      </c>
      <c r="AB224" s="197" t="n">
        <f aca="false">SUMIFS(S$3228:S$4138,$H$3228:$H$4138,$AD224)</f>
        <v>0</v>
      </c>
      <c r="AC224" s="198" t="n">
        <f aca="false">SUM(T224:AA224)</f>
        <v>0</v>
      </c>
      <c r="AD224" s="262"/>
      <c r="AE224" s="263"/>
      <c r="AF224" s="264"/>
      <c r="AI224" s="203"/>
      <c r="BX224" s="205" t="n">
        <f aca="false">BV224*5+BW224*2</f>
        <v>0</v>
      </c>
    </row>
    <row r="225" customFormat="false" ht="15" hidden="true" customHeight="true" outlineLevel="0" collapsed="false">
      <c r="B225" s="127" t="n">
        <f aca="false">B224+D225-C225</f>
        <v>85</v>
      </c>
      <c r="D225" s="146" t="n">
        <f aca="false">2*327.75</f>
        <v>655.5</v>
      </c>
      <c r="E225" s="147" t="n">
        <v>174</v>
      </c>
      <c r="F225" s="147" t="n">
        <f aca="false">IFERROR(VLOOKUP(H225,$AD$1:$AE$301,2,0),"")</f>
        <v>1008022</v>
      </c>
      <c r="G225" s="147" t="str">
        <f aca="false">IFERROR(VLOOKUP(F225,$AE$2:$AF$290,2, 0),"")</f>
        <v>ضباء</v>
      </c>
      <c r="H225" s="212" t="s">
        <v>94</v>
      </c>
      <c r="I225" s="246" t="n">
        <f aca="false">SUM(K225:R225)</f>
        <v>2</v>
      </c>
      <c r="J225" s="182" t="n">
        <v>45516</v>
      </c>
      <c r="K225" s="184" t="n">
        <v>2</v>
      </c>
      <c r="L225" s="185"/>
      <c r="M225" s="186"/>
      <c r="N225" s="187"/>
      <c r="O225" s="188"/>
      <c r="P225" s="189"/>
      <c r="Q225" s="190"/>
      <c r="R225" s="259"/>
      <c r="S225" s="192" t="n">
        <f aca="false">(K225+O225+Q225)*24 /1130+(L225+M225+P225+R225)*12/1130+(N225*30)/1130</f>
        <v>0.0424778761061947</v>
      </c>
      <c r="T225" s="193" t="n">
        <f aca="false">SUMIFS(K$3228:K$4138,$H$3228:$H$4138,$AD225)</f>
        <v>0</v>
      </c>
      <c r="U225" s="194" t="n">
        <f aca="false">SUMIFS(L$3228:L$4138,$H$3228:$H$4138,$AD225)</f>
        <v>0</v>
      </c>
      <c r="V225" s="195" t="n">
        <f aca="false">SUMIFS(M$3228:M$4138,$H$3228:$H$4138,$AD225)</f>
        <v>0</v>
      </c>
      <c r="W225" s="193" t="n">
        <f aca="false">SUMIFS(N$3228:N$4138,$H$3228:$H$4138,$AD225)</f>
        <v>0</v>
      </c>
      <c r="X225" s="193" t="n">
        <f aca="false">SUMIFS(O$3228:O$4138,$H$3228:$H$4138,$AD225)</f>
        <v>0</v>
      </c>
      <c r="Y225" s="196" t="n">
        <f aca="false">SUMIFS(P$3228:P$4138,$H$3228:$H$4138,$AD225)</f>
        <v>0</v>
      </c>
      <c r="Z225" s="193" t="n">
        <f aca="false">SUMIFS(Q$3228:Q$4138,$H$3228:$H$4138,$AD225)</f>
        <v>0</v>
      </c>
      <c r="AA225" s="195" t="n">
        <f aca="false">SUMIFS(R$3228:R$4138,$H$3228:$H$4138,$AD225)</f>
        <v>0</v>
      </c>
      <c r="AB225" s="197" t="n">
        <f aca="false">SUMIFS(S$3228:S$4138,$H$3228:$H$4138,$AD225)</f>
        <v>0</v>
      </c>
      <c r="AC225" s="198" t="n">
        <f aca="false">SUM(T225:AA225)</f>
        <v>0</v>
      </c>
      <c r="AD225" s="262"/>
      <c r="AE225" s="263"/>
      <c r="AF225" s="264"/>
      <c r="AI225" s="203"/>
      <c r="BX225" s="205" t="n">
        <f aca="false">BV225*5+BW225*2</f>
        <v>0</v>
      </c>
    </row>
    <row r="226" customFormat="false" ht="15" hidden="true" customHeight="true" outlineLevel="0" collapsed="false">
      <c r="B226" s="127" t="n">
        <f aca="false">B225+D226-C226</f>
        <v>343.75</v>
      </c>
      <c r="D226" s="146" t="n">
        <v>258.75</v>
      </c>
      <c r="E226" s="147" t="n">
        <v>177</v>
      </c>
      <c r="F226" s="147" t="n">
        <f aca="false">IFERROR(VLOOKUP(H226,$AD$1:$AE$301,2,0),"")</f>
        <v>1007980</v>
      </c>
      <c r="G226" s="147" t="str">
        <f aca="false">IFERROR(VLOOKUP(F226,$AE$2:$AF$290,2, 0),"")</f>
        <v>ضباء</v>
      </c>
      <c r="H226" s="212" t="s">
        <v>81</v>
      </c>
      <c r="I226" s="246" t="n">
        <f aca="false">SUM(K226:R226)</f>
        <v>1</v>
      </c>
      <c r="J226" s="182" t="n">
        <v>45516</v>
      </c>
      <c r="K226" s="184"/>
      <c r="L226" s="185"/>
      <c r="M226" s="186"/>
      <c r="N226" s="187"/>
      <c r="O226" s="188"/>
      <c r="P226" s="189"/>
      <c r="Q226" s="190" t="n">
        <v>1</v>
      </c>
      <c r="R226" s="258"/>
      <c r="S226" s="192" t="n">
        <f aca="false">(K226+O226+Q226)*24 /1130+(L226+M226+P226+R226)*12/1130+(N226*30)/1130</f>
        <v>0.0212389380530973</v>
      </c>
      <c r="T226" s="193" t="n">
        <f aca="false">SUMIFS(K$3228:K$4138,$H$3228:$H$4138,$AD226)</f>
        <v>0</v>
      </c>
      <c r="U226" s="194" t="n">
        <f aca="false">SUMIFS(L$3228:L$4138,$H$3228:$H$4138,$AD226)</f>
        <v>0</v>
      </c>
      <c r="V226" s="195" t="n">
        <f aca="false">SUMIFS(M$3228:M$4138,$H$3228:$H$4138,$AD226)</f>
        <v>0</v>
      </c>
      <c r="W226" s="193" t="n">
        <f aca="false">SUMIFS(N$3228:N$4138,$H$3228:$H$4138,$AD226)</f>
        <v>0</v>
      </c>
      <c r="X226" s="193" t="n">
        <f aca="false">SUMIFS(O$3228:O$4138,$H$3228:$H$4138,$AD226)</f>
        <v>0</v>
      </c>
      <c r="Y226" s="196" t="n">
        <f aca="false">SUMIFS(P$3228:P$4138,$H$3228:$H$4138,$AD226)</f>
        <v>0</v>
      </c>
      <c r="Z226" s="193" t="n">
        <f aca="false">SUMIFS(Q$3228:Q$4138,$H$3228:$H$4138,$AD226)</f>
        <v>0</v>
      </c>
      <c r="AA226" s="195" t="n">
        <f aca="false">SUMIFS(R$3228:R$4138,$H$3228:$H$4138,$AD226)</f>
        <v>0</v>
      </c>
      <c r="AB226" s="197" t="n">
        <f aca="false">SUMIFS(S$3228:S$4138,$H$3228:$H$4138,$AD226)</f>
        <v>0</v>
      </c>
      <c r="AC226" s="198" t="n">
        <f aca="false">SUM(T226:AA226)</f>
        <v>0</v>
      </c>
      <c r="AD226" s="262"/>
      <c r="AE226" s="263"/>
      <c r="AF226" s="264"/>
      <c r="AI226" s="203"/>
      <c r="BX226" s="205" t="n">
        <f aca="false">BV226*5+BW226*2</f>
        <v>0</v>
      </c>
    </row>
    <row r="227" customFormat="false" ht="15" hidden="true" customHeight="true" outlineLevel="0" collapsed="false">
      <c r="B227" s="127" t="n">
        <f aca="false">B226+D227-C227</f>
        <v>1867.5</v>
      </c>
      <c r="D227" s="146" t="n">
        <f aca="false">5*304.75</f>
        <v>1523.75</v>
      </c>
      <c r="E227" s="147" t="n">
        <v>178</v>
      </c>
      <c r="F227" s="147" t="n">
        <f aca="false">IFERROR(VLOOKUP(H227,$AD$1:$AE$301,2,0),"")</f>
        <v>1007979</v>
      </c>
      <c r="G227" s="147" t="str">
        <f aca="false">IFERROR(VLOOKUP(F227,$AE$2:$AF$290,2, 0),"")</f>
        <v>ضباء</v>
      </c>
      <c r="H227" s="212" t="s">
        <v>80</v>
      </c>
      <c r="I227" s="246" t="n">
        <f aca="false">SUM(K227:R227)</f>
        <v>5</v>
      </c>
      <c r="J227" s="182" t="n">
        <v>45516</v>
      </c>
      <c r="K227" s="184"/>
      <c r="L227" s="185"/>
      <c r="M227" s="186"/>
      <c r="N227" s="187" t="n">
        <v>5</v>
      </c>
      <c r="O227" s="188"/>
      <c r="P227" s="189"/>
      <c r="Q227" s="190"/>
      <c r="R227" s="259"/>
      <c r="S227" s="192" t="n">
        <f aca="false">(K227+O227+Q227)*24 /1130+(L227+M227+P227+R227)*12/1130+(N227*30)/1130</f>
        <v>0.132743362831858</v>
      </c>
      <c r="T227" s="193" t="n">
        <f aca="false">SUMIFS(K$3228:K$4138,$H$3228:$H$4138,$AD227)</f>
        <v>0</v>
      </c>
      <c r="U227" s="194" t="n">
        <f aca="false">SUMIFS(L$3228:L$4138,$H$3228:$H$4138,$AD227)</f>
        <v>0</v>
      </c>
      <c r="V227" s="195" t="n">
        <f aca="false">SUMIFS(M$3228:M$4138,$H$3228:$H$4138,$AD227)</f>
        <v>0</v>
      </c>
      <c r="W227" s="193" t="n">
        <f aca="false">SUMIFS(N$3228:N$4138,$H$3228:$H$4138,$AD227)</f>
        <v>0</v>
      </c>
      <c r="X227" s="193" t="n">
        <f aca="false">SUMIFS(O$3228:O$4138,$H$3228:$H$4138,$AD227)</f>
        <v>0</v>
      </c>
      <c r="Y227" s="196" t="n">
        <f aca="false">SUMIFS(P$3228:P$4138,$H$3228:$H$4138,$AD227)</f>
        <v>0</v>
      </c>
      <c r="Z227" s="193" t="n">
        <f aca="false">SUMIFS(Q$3228:Q$4138,$H$3228:$H$4138,$AD227)</f>
        <v>0</v>
      </c>
      <c r="AA227" s="195" t="n">
        <f aca="false">SUMIFS(R$3228:R$4138,$H$3228:$H$4138,$AD227)</f>
        <v>0</v>
      </c>
      <c r="AB227" s="197" t="n">
        <f aca="false">SUMIFS(S$3228:S$4138,$H$3228:$H$4138,$AD227)</f>
        <v>0</v>
      </c>
      <c r="AC227" s="198" t="n">
        <f aca="false">SUM(T227:AA227)</f>
        <v>0</v>
      </c>
      <c r="AD227" s="262"/>
      <c r="AE227" s="263"/>
      <c r="AF227" s="264"/>
      <c r="AI227" s="203"/>
      <c r="BX227" s="205" t="n">
        <f aca="false">BV227*5+BW227*2</f>
        <v>0</v>
      </c>
    </row>
    <row r="228" customFormat="false" ht="15" hidden="true" customHeight="true" outlineLevel="0" collapsed="false">
      <c r="B228" s="127" t="n">
        <f aca="false">B227+D228-C228</f>
        <v>0</v>
      </c>
      <c r="C228" s="127" t="n">
        <v>1867</v>
      </c>
      <c r="D228" s="146" t="n">
        <v>-0.5</v>
      </c>
      <c r="E228" s="212" t="s">
        <v>392</v>
      </c>
      <c r="F228" s="147" t="str">
        <f aca="false">IFERROR(VLOOKUP(H228,$AD$1:$AE$301,2,0),"")</f>
        <v/>
      </c>
      <c r="G228" s="147" t="str">
        <f aca="false">IFERROR(VLOOKUP(F228,$AE$2:$AF$290,2, 0),"")</f>
        <v/>
      </c>
      <c r="H228" s="212" t="s">
        <v>393</v>
      </c>
      <c r="I228" s="246" t="n">
        <f aca="false">SUM(K228:R228)</f>
        <v>0</v>
      </c>
      <c r="J228" s="182" t="n">
        <v>45517</v>
      </c>
      <c r="K228" s="184"/>
      <c r="L228" s="185"/>
      <c r="M228" s="186"/>
      <c r="N228" s="187"/>
      <c r="O228" s="188"/>
      <c r="P228" s="189"/>
      <c r="Q228" s="190"/>
      <c r="R228" s="259"/>
      <c r="S228" s="192" t="n">
        <f aca="false">(K228+O228+Q228)*24 /1130+(L228+M228+P228+R228)*12/1130+(N228*30)/1130</f>
        <v>0</v>
      </c>
      <c r="T228" s="193" t="n">
        <f aca="false">SUMIFS(K$3228:K$4138,$H$3228:$H$4138,$AD228)</f>
        <v>0</v>
      </c>
      <c r="U228" s="194" t="n">
        <f aca="false">SUMIFS(L$3228:L$4138,$H$3228:$H$4138,$AD228)</f>
        <v>0</v>
      </c>
      <c r="V228" s="195" t="n">
        <f aca="false">SUMIFS(M$3228:M$4138,$H$3228:$H$4138,$AD228)</f>
        <v>0</v>
      </c>
      <c r="W228" s="193" t="n">
        <f aca="false">SUMIFS(N$3228:N$4138,$H$3228:$H$4138,$AD228)</f>
        <v>0</v>
      </c>
      <c r="X228" s="193" t="n">
        <f aca="false">SUMIFS(O$3228:O$4138,$H$3228:$H$4138,$AD228)</f>
        <v>0</v>
      </c>
      <c r="Y228" s="196" t="n">
        <f aca="false">SUMIFS(P$3228:P$4138,$H$3228:$H$4138,$AD228)</f>
        <v>0</v>
      </c>
      <c r="Z228" s="193" t="n">
        <f aca="false">SUMIFS(Q$3228:Q$4138,$H$3228:$H$4138,$AD228)</f>
        <v>0</v>
      </c>
      <c r="AA228" s="195" t="n">
        <f aca="false">SUMIFS(R$3228:R$4138,$H$3228:$H$4138,$AD228)</f>
        <v>0</v>
      </c>
      <c r="AB228" s="197" t="n">
        <f aca="false">SUMIFS(S$3228:S$4138,$H$3228:$H$4138,$AD228)</f>
        <v>0</v>
      </c>
      <c r="AC228" s="198" t="n">
        <f aca="false">SUM(T228:AA228)</f>
        <v>0</v>
      </c>
      <c r="AD228" s="262"/>
      <c r="AE228" s="263"/>
      <c r="AF228" s="264"/>
      <c r="AI228" s="203"/>
      <c r="BX228" s="205" t="n">
        <f aca="false">BV228*5+BW228*2</f>
        <v>0</v>
      </c>
    </row>
    <row r="229" customFormat="false" ht="15" hidden="true" customHeight="true" outlineLevel="0" collapsed="false">
      <c r="B229" s="127" t="n">
        <f aca="false">B228+D229-C229</f>
        <v>552</v>
      </c>
      <c r="D229" s="146" t="n">
        <f aca="false">303.6+248.4</f>
        <v>552</v>
      </c>
      <c r="E229" s="147" t="n">
        <v>186</v>
      </c>
      <c r="F229" s="147" t="n">
        <f aca="false">IFERROR(VLOOKUP(H229,$AD$1:$AE$301,2,0),"")</f>
        <v>1007996</v>
      </c>
      <c r="G229" s="147" t="str">
        <f aca="false">IFERROR(VLOOKUP(F229,$AE$2:$AF$290,2, 0),"")</f>
        <v>البير</v>
      </c>
      <c r="H229" s="212" t="s">
        <v>295</v>
      </c>
      <c r="I229" s="246" t="n">
        <f aca="false">SUM(K229:R229)</f>
        <v>2</v>
      </c>
      <c r="J229" s="182" t="n">
        <v>45518</v>
      </c>
      <c r="K229" s="184"/>
      <c r="L229" s="185"/>
      <c r="M229" s="186"/>
      <c r="N229" s="187" t="n">
        <v>1</v>
      </c>
      <c r="O229" s="188" t="n">
        <v>1</v>
      </c>
      <c r="P229" s="189"/>
      <c r="Q229" s="190"/>
      <c r="R229" s="258"/>
      <c r="S229" s="192" t="n">
        <f aca="false">(K229+O229+Q229)*24 /1130+(L229+M229+P229+R229)*12/1130+(N229*30)/1130</f>
        <v>0.047787610619469</v>
      </c>
      <c r="T229" s="193" t="n">
        <f aca="false">SUMIFS(K$3228:K$4138,$H$3228:$H$4138,$AD229)</f>
        <v>0</v>
      </c>
      <c r="U229" s="194" t="n">
        <f aca="false">SUMIFS(L$3228:L$4138,$H$3228:$H$4138,$AD229)</f>
        <v>0</v>
      </c>
      <c r="V229" s="195" t="n">
        <f aca="false">SUMIFS(M$3228:M$4138,$H$3228:$H$4138,$AD229)</f>
        <v>0</v>
      </c>
      <c r="W229" s="193" t="n">
        <f aca="false">SUMIFS(N$3228:N$4138,$H$3228:$H$4138,$AD229)</f>
        <v>0</v>
      </c>
      <c r="X229" s="193" t="n">
        <f aca="false">SUMIFS(O$3228:O$4138,$H$3228:$H$4138,$AD229)</f>
        <v>0</v>
      </c>
      <c r="Y229" s="196" t="n">
        <f aca="false">SUMIFS(P$3228:P$4138,$H$3228:$H$4138,$AD229)</f>
        <v>0</v>
      </c>
      <c r="Z229" s="193" t="n">
        <f aca="false">SUMIFS(Q$3228:Q$4138,$H$3228:$H$4138,$AD229)</f>
        <v>0</v>
      </c>
      <c r="AA229" s="195" t="n">
        <f aca="false">SUMIFS(R$3228:R$4138,$H$3228:$H$4138,$AD229)</f>
        <v>0</v>
      </c>
      <c r="AB229" s="197" t="n">
        <f aca="false">SUMIFS(S$3228:S$4138,$H$3228:$H$4138,$AD229)</f>
        <v>0</v>
      </c>
      <c r="AC229" s="198" t="n">
        <f aca="false">SUM(T229:AA229)</f>
        <v>0</v>
      </c>
      <c r="AD229" s="221" t="s">
        <v>269</v>
      </c>
      <c r="AE229" s="221" t="n">
        <v>1002892</v>
      </c>
      <c r="AF229" s="240" t="s">
        <v>127</v>
      </c>
      <c r="AG229" s="252" t="s">
        <v>590</v>
      </c>
      <c r="AH229" s="252" t="n">
        <v>506201893</v>
      </c>
      <c r="AI229" s="203"/>
      <c r="BJ229" s="128" t="n">
        <f aca="false">8</f>
        <v>8</v>
      </c>
      <c r="BX229" s="205" t="n">
        <f aca="false">BV229*5+BW229*2</f>
        <v>0</v>
      </c>
    </row>
    <row r="230" customFormat="false" ht="15" hidden="true" customHeight="true" outlineLevel="0" collapsed="false">
      <c r="B230" s="127" t="n">
        <f aca="false">B229+D230-C230</f>
        <v>1207.5</v>
      </c>
      <c r="D230" s="146" t="n">
        <f aca="false">327.75*2</f>
        <v>655.5</v>
      </c>
      <c r="E230" s="147" t="n">
        <v>182</v>
      </c>
      <c r="F230" s="147" t="n">
        <f aca="false">IFERROR(VLOOKUP(H230,$AD$1:$AE$301,2,0),"")</f>
        <v>1008004</v>
      </c>
      <c r="G230" s="147" t="str">
        <f aca="false">IFERROR(VLOOKUP(F230,$AE$2:$AF$290,2, 0),"")</f>
        <v>حقل</v>
      </c>
      <c r="H230" s="212" t="s">
        <v>316</v>
      </c>
      <c r="I230" s="246" t="n">
        <f aca="false">SUM(K230:R230)</f>
        <v>2</v>
      </c>
      <c r="J230" s="182" t="n">
        <v>45518</v>
      </c>
      <c r="K230" s="184" t="n">
        <v>2</v>
      </c>
      <c r="L230" s="185"/>
      <c r="M230" s="186"/>
      <c r="N230" s="187"/>
      <c r="O230" s="188"/>
      <c r="P230" s="189"/>
      <c r="Q230" s="190"/>
      <c r="R230" s="259"/>
      <c r="S230" s="192" t="n">
        <f aca="false">(K230+O230+Q230)*24 /1130+(L230+M230+P230+R230)*12/1130+(N230*30)/1130</f>
        <v>0.0424778761061947</v>
      </c>
      <c r="T230" s="193" t="n">
        <f aca="false">SUMIFS(K$3228:K$4138,$H$3228:$H$4138,$AD230)</f>
        <v>0</v>
      </c>
      <c r="U230" s="194" t="n">
        <f aca="false">SUMIFS(L$3228:L$4138,$H$3228:$H$4138,$AD230)</f>
        <v>0</v>
      </c>
      <c r="V230" s="195" t="n">
        <f aca="false">SUMIFS(M$3228:M$4138,$H$3228:$H$4138,$AD230)</f>
        <v>0</v>
      </c>
      <c r="W230" s="193" t="n">
        <f aca="false">SUMIFS(N$3228:N$4138,$H$3228:$H$4138,$AD230)</f>
        <v>0</v>
      </c>
      <c r="X230" s="193" t="n">
        <f aca="false">SUMIFS(O$3228:O$4138,$H$3228:$H$4138,$AD230)</f>
        <v>0</v>
      </c>
      <c r="Y230" s="196" t="n">
        <f aca="false">SUMIFS(P$3228:P$4138,$H$3228:$H$4138,$AD230)</f>
        <v>0</v>
      </c>
      <c r="Z230" s="193" t="n">
        <f aca="false">SUMIFS(Q$3228:Q$4138,$H$3228:$H$4138,$AD230)</f>
        <v>0</v>
      </c>
      <c r="AA230" s="195" t="n">
        <f aca="false">SUMIFS(R$3228:R$4138,$H$3228:$H$4138,$AD230)</f>
        <v>0</v>
      </c>
      <c r="AB230" s="197" t="n">
        <f aca="false">SUMIFS(S$3228:S$4138,$H$3228:$H$4138,$AD230)</f>
        <v>0</v>
      </c>
      <c r="AC230" s="198" t="n">
        <f aca="false">SUM(T230:AA230)</f>
        <v>0</v>
      </c>
      <c r="AD230" s="221" t="s">
        <v>270</v>
      </c>
      <c r="AE230" s="240" t="n">
        <v>1002886</v>
      </c>
      <c r="AF230" s="240" t="s">
        <v>127</v>
      </c>
      <c r="AG230" s="244"/>
      <c r="AH230" s="244"/>
      <c r="AI230" s="203"/>
      <c r="BN230" s="255"/>
      <c r="BP230" s="255"/>
      <c r="BX230" s="205" t="n">
        <f aca="false">BV230*5+BW230*2</f>
        <v>0</v>
      </c>
    </row>
    <row r="231" customFormat="false" ht="15" hidden="true" customHeight="true" outlineLevel="0" collapsed="false">
      <c r="B231" s="127" t="n">
        <f aca="false">B230+D231-C231</f>
        <v>2846.25</v>
      </c>
      <c r="D231" s="146" t="n">
        <f aca="false">327.75*5</f>
        <v>1638.75</v>
      </c>
      <c r="E231" s="147" t="n">
        <v>185</v>
      </c>
      <c r="F231" s="147" t="n">
        <f aca="false">IFERROR(VLOOKUP(H231,$AD$1:$AE$301,2,0),"")</f>
        <v>1008014</v>
      </c>
      <c r="G231" s="147" t="str">
        <f aca="false">IFERROR(VLOOKUP(F231,$AE$2:$AF$290,2, 0),"")</f>
        <v>البدع</v>
      </c>
      <c r="H231" s="212" t="s">
        <v>322</v>
      </c>
      <c r="I231" s="246" t="n">
        <f aca="false">SUM(K231:R231)</f>
        <v>5</v>
      </c>
      <c r="J231" s="182" t="n">
        <v>45518</v>
      </c>
      <c r="K231" s="184" t="n">
        <v>5</v>
      </c>
      <c r="L231" s="185"/>
      <c r="M231" s="186"/>
      <c r="N231" s="187"/>
      <c r="O231" s="188"/>
      <c r="P231" s="189"/>
      <c r="Q231" s="190"/>
      <c r="R231" s="259"/>
      <c r="S231" s="192" t="n">
        <f aca="false">(K231+O231+Q231)*24 /1130+(L231+M231+P231+R231)*12/1130+(N231*30)/1130</f>
        <v>0.106194690265487</v>
      </c>
      <c r="T231" s="193" t="n">
        <f aca="false">SUMIFS(K$3228:K$4138,$H$3228:$H$4138,$AD231)</f>
        <v>0</v>
      </c>
      <c r="U231" s="194" t="n">
        <f aca="false">SUMIFS(L$3228:L$4138,$H$3228:$H$4138,$AD231)</f>
        <v>0</v>
      </c>
      <c r="V231" s="195" t="n">
        <f aca="false">SUMIFS(M$3228:M$4138,$H$3228:$H$4138,$AD231)</f>
        <v>0</v>
      </c>
      <c r="W231" s="193" t="n">
        <f aca="false">SUMIFS(N$3228:N$4138,$H$3228:$H$4138,$AD231)</f>
        <v>0</v>
      </c>
      <c r="X231" s="193" t="n">
        <f aca="false">SUMIFS(O$3228:O$4138,$H$3228:$H$4138,$AD231)</f>
        <v>0</v>
      </c>
      <c r="Y231" s="196" t="n">
        <f aca="false">SUMIFS(P$3228:P$4138,$H$3228:$H$4138,$AD231)</f>
        <v>0</v>
      </c>
      <c r="Z231" s="193" t="n">
        <f aca="false">SUMIFS(Q$3228:Q$4138,$H$3228:$H$4138,$AD231)</f>
        <v>0</v>
      </c>
      <c r="AA231" s="195" t="n">
        <f aca="false">SUMIFS(R$3228:R$4138,$H$3228:$H$4138,$AD231)</f>
        <v>0</v>
      </c>
      <c r="AB231" s="197" t="n">
        <f aca="false">SUMIFS(S$3228:S$4138,$H$3228:$H$4138,$AD231)</f>
        <v>0</v>
      </c>
      <c r="AC231" s="198" t="n">
        <f aca="false">SUM(T231:AA231)</f>
        <v>0</v>
      </c>
      <c r="AD231" s="221" t="s">
        <v>271</v>
      </c>
      <c r="AE231" s="240" t="n">
        <v>1006467</v>
      </c>
      <c r="AF231" s="240" t="s">
        <v>127</v>
      </c>
      <c r="AG231" s="244"/>
      <c r="AH231" s="244"/>
      <c r="AI231" s="203"/>
      <c r="BN231" s="255"/>
      <c r="BP231" s="255"/>
      <c r="BX231" s="205" t="n">
        <f aca="false">BV231*5+BW231*2</f>
        <v>0</v>
      </c>
    </row>
    <row r="232" customFormat="false" ht="15" hidden="true" customHeight="true" outlineLevel="0" collapsed="false">
      <c r="B232" s="127" t="n">
        <f aca="false">B231+D232-C232</f>
        <v>3501.75</v>
      </c>
      <c r="D232" s="146" t="n">
        <f aca="false">327.75*2</f>
        <v>655.5</v>
      </c>
      <c r="E232" s="147" t="n">
        <v>184</v>
      </c>
      <c r="F232" s="147" t="n">
        <f aca="false">IFERROR(VLOOKUP(H232,$AD$1:$AE$301,2,0),"")</f>
        <v>1006522</v>
      </c>
      <c r="G232" s="147" t="str">
        <f aca="false">IFERROR(VLOOKUP(F232,$AE$2:$AF$290,2, 0),"")</f>
        <v>البدع</v>
      </c>
      <c r="H232" s="212" t="s">
        <v>317</v>
      </c>
      <c r="I232" s="246" t="n">
        <f aca="false">SUM(K232:R232)</f>
        <v>2</v>
      </c>
      <c r="J232" s="182" t="n">
        <v>45518</v>
      </c>
      <c r="K232" s="184" t="n">
        <v>2</v>
      </c>
      <c r="L232" s="185"/>
      <c r="M232" s="186"/>
      <c r="N232" s="187"/>
      <c r="O232" s="188"/>
      <c r="P232" s="189"/>
      <c r="Q232" s="190"/>
      <c r="R232" s="258"/>
      <c r="S232" s="192" t="n">
        <f aca="false">(K232+O232+Q232)*24 /1130+(L232+M232+P232+R232)*12/1130+(N232*30)/1130</f>
        <v>0.0424778761061947</v>
      </c>
      <c r="T232" s="193" t="n">
        <f aca="false">SUMIFS(K$3228:K$4138,$H$3228:$H$4138,$AD232)</f>
        <v>0</v>
      </c>
      <c r="U232" s="194" t="n">
        <f aca="false">SUMIFS(L$3228:L$4138,$H$3228:$H$4138,$AD232)</f>
        <v>0</v>
      </c>
      <c r="V232" s="195" t="n">
        <f aca="false">SUMIFS(M$3228:M$4138,$H$3228:$H$4138,$AD232)</f>
        <v>0</v>
      </c>
      <c r="W232" s="193" t="n">
        <f aca="false">SUMIFS(N$3228:N$4138,$H$3228:$H$4138,$AD232)</f>
        <v>0</v>
      </c>
      <c r="X232" s="193" t="n">
        <f aca="false">SUMIFS(O$3228:O$4138,$H$3228:$H$4138,$AD232)</f>
        <v>0</v>
      </c>
      <c r="Y232" s="196" t="n">
        <f aca="false">SUMIFS(P$3228:P$4138,$H$3228:$H$4138,$AD232)</f>
        <v>0</v>
      </c>
      <c r="Z232" s="193" t="n">
        <f aca="false">SUMIFS(Q$3228:Q$4138,$H$3228:$H$4138,$AD232)</f>
        <v>0</v>
      </c>
      <c r="AA232" s="195" t="n">
        <f aca="false">SUMIFS(R$3228:R$4138,$H$3228:$H$4138,$AD232)</f>
        <v>0</v>
      </c>
      <c r="AB232" s="197" t="n">
        <f aca="false">SUMIFS(S$3228:S$4138,$H$3228:$H$4138,$AD232)</f>
        <v>0</v>
      </c>
      <c r="AC232" s="198" t="n">
        <f aca="false">SUM(T232:AA232)</f>
        <v>0</v>
      </c>
      <c r="AD232" s="221" t="s">
        <v>272</v>
      </c>
      <c r="AE232" s="240" t="n">
        <v>1006531</v>
      </c>
      <c r="AF232" s="240" t="s">
        <v>127</v>
      </c>
      <c r="AG232" s="252" t="s">
        <v>591</v>
      </c>
      <c r="AH232" s="252" t="n">
        <v>550943018</v>
      </c>
      <c r="AI232" s="203"/>
      <c r="BJ232" s="128" t="n">
        <f aca="false">17</f>
        <v>17</v>
      </c>
      <c r="BK232" s="128" t="n">
        <f aca="false">10</f>
        <v>10</v>
      </c>
      <c r="BN232" s="255"/>
      <c r="BP232" s="255"/>
      <c r="BX232" s="205" t="n">
        <f aca="false">BV232*5+BW232*2</f>
        <v>0</v>
      </c>
    </row>
    <row r="233" customFormat="false" ht="15" hidden="true" customHeight="true" outlineLevel="0" collapsed="false">
      <c r="B233" s="127" t="n">
        <f aca="false">B232+D233-C233</f>
        <v>555.5</v>
      </c>
      <c r="C233" s="127" t="n">
        <f aca="false">D229+D230+D231+100</f>
        <v>2946.25</v>
      </c>
      <c r="E233" s="212" t="s">
        <v>470</v>
      </c>
      <c r="F233" s="147" t="str">
        <f aca="false">IFERROR(VLOOKUP(H233,$AD$1:$AE$301,2,0),"")</f>
        <v/>
      </c>
      <c r="G233" s="147" t="str">
        <f aca="false">IFERROR(VLOOKUP(F233,$AE$2:$AF$290,2, 0),"")</f>
        <v/>
      </c>
      <c r="H233" s="212" t="s">
        <v>393</v>
      </c>
      <c r="I233" s="246" t="n">
        <f aca="false">SUM(K233:R233)</f>
        <v>0</v>
      </c>
      <c r="J233" s="182" t="n">
        <v>45518</v>
      </c>
      <c r="K233" s="184"/>
      <c r="L233" s="185"/>
      <c r="M233" s="186"/>
      <c r="N233" s="187"/>
      <c r="O233" s="188"/>
      <c r="P233" s="189"/>
      <c r="Q233" s="190"/>
      <c r="R233" s="259"/>
      <c r="S233" s="192" t="n">
        <f aca="false">(K233+O233+Q233)*24 /1130+(L233+M233+P233+R233)*12/1130+(N233*30)/1130</f>
        <v>0</v>
      </c>
      <c r="T233" s="193" t="n">
        <f aca="false">SUMIFS(K$3228:K$4138,$H$3228:$H$4138,$AD233)</f>
        <v>0</v>
      </c>
      <c r="U233" s="194" t="n">
        <f aca="false">SUMIFS(L$3228:L$4138,$H$3228:$H$4138,$AD233)</f>
        <v>0</v>
      </c>
      <c r="V233" s="195" t="n">
        <f aca="false">SUMIFS(M$3228:M$4138,$H$3228:$H$4138,$AD233)</f>
        <v>0</v>
      </c>
      <c r="W233" s="193" t="n">
        <f aca="false">SUMIFS(N$3228:N$4138,$H$3228:$H$4138,$AD233)</f>
        <v>0</v>
      </c>
      <c r="X233" s="193" t="n">
        <f aca="false">SUMIFS(O$3228:O$4138,$H$3228:$H$4138,$AD233)</f>
        <v>0</v>
      </c>
      <c r="Y233" s="196" t="n">
        <f aca="false">SUMIFS(P$3228:P$4138,$H$3228:$H$4138,$AD233)</f>
        <v>0</v>
      </c>
      <c r="Z233" s="193" t="n">
        <f aca="false">SUMIFS(Q$3228:Q$4138,$H$3228:$H$4138,$AD233)</f>
        <v>0</v>
      </c>
      <c r="AA233" s="195" t="n">
        <f aca="false">SUMIFS(R$3228:R$4138,$H$3228:$H$4138,$AD233)</f>
        <v>0</v>
      </c>
      <c r="AB233" s="197" t="n">
        <f aca="false">SUMIFS(S$3228:S$4138,$H$3228:$H$4138,$AD233)</f>
        <v>0</v>
      </c>
      <c r="AC233" s="198" t="n">
        <f aca="false">SUM(T233:AA233)</f>
        <v>0</v>
      </c>
      <c r="AD233" s="221" t="s">
        <v>273</v>
      </c>
      <c r="AE233" s="240" t="n">
        <v>1002948</v>
      </c>
      <c r="AF233" s="240" t="s">
        <v>127</v>
      </c>
      <c r="AG233" s="202" t="s">
        <v>583</v>
      </c>
      <c r="AH233" s="128" t="n">
        <v>535225725</v>
      </c>
      <c r="AI233" s="203"/>
      <c r="BN233" s="255"/>
      <c r="BP233" s="255"/>
      <c r="BX233" s="205" t="n">
        <f aca="false">BV233*5+BW233*2</f>
        <v>0</v>
      </c>
    </row>
    <row r="234" customFormat="false" ht="15" hidden="true" customHeight="true" outlineLevel="0" collapsed="false">
      <c r="B234" s="127" t="n">
        <f aca="false">B233+D234-C234</f>
        <v>1619.25</v>
      </c>
      <c r="D234" s="146" t="n">
        <f aca="false">212.75*5</f>
        <v>1063.75</v>
      </c>
      <c r="E234" s="147" t="n">
        <v>187</v>
      </c>
      <c r="F234" s="147" t="n">
        <f aca="false">IFERROR(VLOOKUP(H234,$AD$1:$AE$301,2,0),"")</f>
        <v>1007997</v>
      </c>
      <c r="G234" s="147" t="str">
        <f aca="false">IFERROR(VLOOKUP(F234,$AE$2:$AF$290,2, 0),"")</f>
        <v>البير</v>
      </c>
      <c r="H234" s="212" t="s">
        <v>296</v>
      </c>
      <c r="I234" s="246" t="n">
        <f aca="false">SUM(K234:R234)</f>
        <v>5</v>
      </c>
      <c r="J234" s="182" t="n">
        <v>45518</v>
      </c>
      <c r="K234" s="184"/>
      <c r="L234" s="185"/>
      <c r="M234" s="186"/>
      <c r="N234" s="187"/>
      <c r="O234" s="188"/>
      <c r="P234" s="189"/>
      <c r="Q234" s="190" t="n">
        <v>5</v>
      </c>
      <c r="R234" s="259"/>
      <c r="S234" s="192" t="n">
        <f aca="false">(K234+O234+Q234)*24 /1130+(L234+M234+P234+R234)*12/1130+(N234*30)/1130</f>
        <v>0.106194690265487</v>
      </c>
      <c r="T234" s="193" t="n">
        <f aca="false">SUMIFS(K$3228:K$4138,$H$3228:$H$4138,$AD234)</f>
        <v>0</v>
      </c>
      <c r="U234" s="194" t="n">
        <f aca="false">SUMIFS(L$3228:L$4138,$H$3228:$H$4138,$AD234)</f>
        <v>0</v>
      </c>
      <c r="V234" s="195" t="n">
        <f aca="false">SUMIFS(M$3228:M$4138,$H$3228:$H$4138,$AD234)</f>
        <v>0</v>
      </c>
      <c r="W234" s="193" t="n">
        <f aca="false">SUMIFS(N$3228:N$4138,$H$3228:$H$4138,$AD234)</f>
        <v>0</v>
      </c>
      <c r="X234" s="193" t="n">
        <f aca="false">SUMIFS(O$3228:O$4138,$H$3228:$H$4138,$AD234)</f>
        <v>0</v>
      </c>
      <c r="Y234" s="196" t="n">
        <f aca="false">SUMIFS(P$3228:P$4138,$H$3228:$H$4138,$AD234)</f>
        <v>0</v>
      </c>
      <c r="Z234" s="193" t="n">
        <f aca="false">SUMIFS(Q$3228:Q$4138,$H$3228:$H$4138,$AD234)</f>
        <v>0</v>
      </c>
      <c r="AA234" s="195" t="n">
        <f aca="false">SUMIFS(R$3228:R$4138,$H$3228:$H$4138,$AD234)</f>
        <v>0</v>
      </c>
      <c r="AB234" s="197" t="n">
        <f aca="false">SUMIFS(S$3228:S$4138,$H$3228:$H$4138,$AD234)</f>
        <v>0</v>
      </c>
      <c r="AC234" s="198" t="n">
        <f aca="false">SUM(T234:AA234)</f>
        <v>0</v>
      </c>
      <c r="AD234" s="221" t="s">
        <v>274</v>
      </c>
      <c r="AE234" s="240" t="n">
        <v>1006525</v>
      </c>
      <c r="AF234" s="240" t="s">
        <v>127</v>
      </c>
      <c r="AG234" s="244"/>
      <c r="AH234" s="244"/>
      <c r="AI234" s="203"/>
      <c r="BN234" s="255"/>
      <c r="BP234" s="255"/>
      <c r="BX234" s="205" t="n">
        <f aca="false">BV234*5+BW234*2</f>
        <v>0</v>
      </c>
    </row>
    <row r="235" customFormat="false" ht="15" hidden="true" customHeight="true" outlineLevel="0" collapsed="false">
      <c r="B235" s="127" t="n">
        <f aca="false">B234+D235-C235</f>
        <v>1883.75</v>
      </c>
      <c r="D235" s="146" t="n">
        <v>264.5</v>
      </c>
      <c r="E235" s="147" t="n">
        <v>183</v>
      </c>
      <c r="F235" s="147" t="n">
        <f aca="false">IFERROR(VLOOKUP(H235,$AD$1:$AE$301,2,0),"")</f>
        <v>1007969</v>
      </c>
      <c r="G235" s="147" t="str">
        <f aca="false">IFERROR(VLOOKUP(F235,$AE$2:$AF$290,2, 0),"")</f>
        <v>حقل</v>
      </c>
      <c r="H235" s="212" t="s">
        <v>309</v>
      </c>
      <c r="I235" s="246" t="n">
        <f aca="false">SUM(K235:R235)</f>
        <v>1</v>
      </c>
      <c r="J235" s="182" t="n">
        <v>45518</v>
      </c>
      <c r="K235" s="184"/>
      <c r="L235" s="185"/>
      <c r="M235" s="186"/>
      <c r="N235" s="187"/>
      <c r="O235" s="188"/>
      <c r="P235" s="189"/>
      <c r="Q235" s="190"/>
      <c r="R235" s="155" t="n">
        <v>1</v>
      </c>
      <c r="S235" s="192" t="n">
        <f aca="false">(K235+O235+Q235)*24 /1130+(L235+M235+P235+R235)*12/1130+(N235*30)/1130</f>
        <v>0.0106194690265487</v>
      </c>
      <c r="T235" s="193" t="n">
        <f aca="false">SUMIFS(K$3228:K$4138,$H$3228:$H$4138,$AD235)</f>
        <v>0</v>
      </c>
      <c r="U235" s="194" t="n">
        <f aca="false">SUMIFS(L$3228:L$4138,$H$3228:$H$4138,$AD235)</f>
        <v>0</v>
      </c>
      <c r="V235" s="195" t="n">
        <f aca="false">SUMIFS(M$3228:M$4138,$H$3228:$H$4138,$AD235)</f>
        <v>0</v>
      </c>
      <c r="W235" s="193" t="n">
        <f aca="false">SUMIFS(N$3228:N$4138,$H$3228:$H$4138,$AD235)</f>
        <v>0</v>
      </c>
      <c r="X235" s="193" t="n">
        <f aca="false">SUMIFS(O$3228:O$4138,$H$3228:$H$4138,$AD235)</f>
        <v>0</v>
      </c>
      <c r="Y235" s="196" t="n">
        <f aca="false">SUMIFS(P$3228:P$4138,$H$3228:$H$4138,$AD235)</f>
        <v>0</v>
      </c>
      <c r="Z235" s="193" t="n">
        <f aca="false">SUMIFS(Q$3228:Q$4138,$H$3228:$H$4138,$AD235)</f>
        <v>0</v>
      </c>
      <c r="AA235" s="195" t="n">
        <f aca="false">SUMIFS(R$3228:R$4138,$H$3228:$H$4138,$AD235)</f>
        <v>0</v>
      </c>
      <c r="AB235" s="197" t="n">
        <f aca="false">SUMIFS(S$3228:S$4138,$H$3228:$H$4138,$AD235)</f>
        <v>0</v>
      </c>
      <c r="AC235" s="198" t="n">
        <f aca="false">SUM(T235:AA235)</f>
        <v>0</v>
      </c>
      <c r="AD235" s="221" t="s">
        <v>275</v>
      </c>
      <c r="AE235" s="221" t="n">
        <v>1002861</v>
      </c>
      <c r="AF235" s="221" t="s">
        <v>127</v>
      </c>
      <c r="AG235" s="242" t="s">
        <v>592</v>
      </c>
      <c r="AH235" s="160" t="n">
        <v>530237392</v>
      </c>
      <c r="AI235" s="203"/>
      <c r="AP235" s="128" t="n">
        <v>10</v>
      </c>
      <c r="AQ235" s="128" t="n">
        <v>6</v>
      </c>
      <c r="AT235" s="128" t="n">
        <v>7</v>
      </c>
      <c r="AU235" s="128" t="n">
        <v>7</v>
      </c>
      <c r="AV235" s="128" t="n">
        <f aca="false">33</f>
        <v>33</v>
      </c>
      <c r="AW235" s="128" t="n">
        <f aca="false">4</f>
        <v>4</v>
      </c>
      <c r="AX235" s="128" t="n">
        <f aca="false">25+30</f>
        <v>55</v>
      </c>
      <c r="AY235" s="128" t="n">
        <f aca="false">1+15</f>
        <v>16</v>
      </c>
      <c r="AZ235" s="128" t="n">
        <f aca="false">23</f>
        <v>23</v>
      </c>
      <c r="BB235" s="128" t="n">
        <f aca="false">56</f>
        <v>56</v>
      </c>
      <c r="BC235" s="128" t="n">
        <v>18</v>
      </c>
      <c r="BD235" s="128" t="n">
        <f aca="false">34</f>
        <v>34</v>
      </c>
      <c r="BE235" s="128" t="n">
        <f aca="false">6</f>
        <v>6</v>
      </c>
      <c r="BN235" s="255"/>
      <c r="BP235" s="255"/>
      <c r="BX235" s="205" t="n">
        <f aca="false">BV235*5+BW235*2</f>
        <v>0</v>
      </c>
      <c r="CA235" s="206" t="n">
        <f aca="false">3+3</f>
        <v>6</v>
      </c>
      <c r="CB235" s="219" t="n">
        <f aca="false">12+24</f>
        <v>36</v>
      </c>
      <c r="CC235" s="219" t="n">
        <v>30</v>
      </c>
    </row>
    <row r="236" customFormat="false" ht="15" hidden="true" customHeight="true" outlineLevel="0" collapsed="false">
      <c r="B236" s="127" t="n">
        <f aca="false">B235+D236-C236</f>
        <v>2131</v>
      </c>
      <c r="D236" s="146" t="n">
        <v>247.25</v>
      </c>
      <c r="E236" s="147" t="n">
        <v>181</v>
      </c>
      <c r="F236" s="147" t="n">
        <f aca="false">IFERROR(VLOOKUP(H236,$AD$1:$AE$301,2,0),"")</f>
        <v>1007970</v>
      </c>
      <c r="G236" s="147" t="str">
        <f aca="false">IFERROR(VLOOKUP(F236,$AE$2:$AF$290,2, 0),"")</f>
        <v>حقل</v>
      </c>
      <c r="H236" s="212" t="s">
        <v>310</v>
      </c>
      <c r="I236" s="246" t="n">
        <f aca="false">SUM(K236:R236)</f>
        <v>1</v>
      </c>
      <c r="J236" s="182" t="n">
        <v>45518</v>
      </c>
      <c r="K236" s="184"/>
      <c r="L236" s="185"/>
      <c r="M236" s="186"/>
      <c r="N236" s="187"/>
      <c r="O236" s="188" t="n">
        <v>1</v>
      </c>
      <c r="P236" s="189"/>
      <c r="Q236" s="190"/>
      <c r="S236" s="192" t="n">
        <f aca="false">(K236+O236+Q236)*24 /1130+(L236+M236+P236+R236)*12/1130+(N236*30)/1130</f>
        <v>0.0212389380530973</v>
      </c>
      <c r="T236" s="193" t="n">
        <f aca="false">SUMIFS(K$3228:K$4138,$H$3228:$H$4138,$AD236)</f>
        <v>0</v>
      </c>
      <c r="U236" s="194" t="n">
        <f aca="false">SUMIFS(L$3228:L$4138,$H$3228:$H$4138,$AD236)</f>
        <v>0</v>
      </c>
      <c r="V236" s="195" t="n">
        <f aca="false">SUMIFS(M$3228:M$4138,$H$3228:$H$4138,$AD236)</f>
        <v>0</v>
      </c>
      <c r="W236" s="193" t="n">
        <f aca="false">SUMIFS(N$3228:N$4138,$H$3228:$H$4138,$AD236)</f>
        <v>0</v>
      </c>
      <c r="X236" s="193" t="n">
        <f aca="false">SUMIFS(O$3228:O$4138,$H$3228:$H$4138,$AD236)</f>
        <v>0</v>
      </c>
      <c r="Y236" s="196" t="n">
        <f aca="false">SUMIFS(P$3228:P$4138,$H$3228:$H$4138,$AD236)</f>
        <v>0</v>
      </c>
      <c r="Z236" s="193" t="n">
        <f aca="false">SUMIFS(Q$3228:Q$4138,$H$3228:$H$4138,$AD236)</f>
        <v>0</v>
      </c>
      <c r="AA236" s="195" t="n">
        <f aca="false">SUMIFS(R$3228:R$4138,$H$3228:$H$4138,$AD236)</f>
        <v>0</v>
      </c>
      <c r="AB236" s="197" t="n">
        <f aca="false">SUMIFS(S$3228:S$4138,$H$3228:$H$4138,$AD236)</f>
        <v>0</v>
      </c>
      <c r="AC236" s="198" t="n">
        <f aca="false">SUM(T236:AA236)</f>
        <v>0</v>
      </c>
      <c r="AD236" s="221" t="s">
        <v>276</v>
      </c>
      <c r="AE236" s="240" t="n">
        <v>1006470</v>
      </c>
      <c r="AF236" s="240" t="s">
        <v>127</v>
      </c>
      <c r="AG236" s="128"/>
      <c r="AH236" s="128" t="n">
        <v>0</v>
      </c>
      <c r="AI236" s="203"/>
      <c r="BN236" s="255"/>
      <c r="BP236" s="255"/>
      <c r="BX236" s="205" t="n">
        <f aca="false">BV236*5+BW236*2</f>
        <v>0</v>
      </c>
    </row>
    <row r="237" customFormat="false" ht="15" hidden="true" customHeight="true" outlineLevel="0" collapsed="false">
      <c r="B237" s="127" t="n">
        <f aca="false">B236+D237-C237</f>
        <v>2407</v>
      </c>
      <c r="D237" s="146" t="n">
        <f aca="false">2*138</f>
        <v>276</v>
      </c>
      <c r="E237" s="147" t="n">
        <v>180</v>
      </c>
      <c r="F237" s="147" t="n">
        <f aca="false">IFERROR(VLOOKUP(H237,$AD$1:$AE$301,2,0),"")</f>
        <v>1007970</v>
      </c>
      <c r="G237" s="147" t="str">
        <f aca="false">IFERROR(VLOOKUP(F237,$AE$2:$AF$290,2, 0),"")</f>
        <v>حقل</v>
      </c>
      <c r="H237" s="212" t="s">
        <v>310</v>
      </c>
      <c r="I237" s="246" t="n">
        <f aca="false">SUM(K237:R237)</f>
        <v>2</v>
      </c>
      <c r="J237" s="182" t="n">
        <v>45518</v>
      </c>
      <c r="K237" s="184"/>
      <c r="L237" s="185"/>
      <c r="M237" s="186"/>
      <c r="N237" s="187"/>
      <c r="O237" s="188"/>
      <c r="P237" s="189"/>
      <c r="Q237" s="190" t="n">
        <v>2</v>
      </c>
      <c r="S237" s="192" t="n">
        <f aca="false">(K237+O237+Q237)*24 /1130+(L237+M237+P237+R237)*12/1130+(N237*30)/1130</f>
        <v>0.0424778761061947</v>
      </c>
      <c r="T237" s="193" t="n">
        <f aca="false">SUMIFS(K$3228:K$4138,$H$3228:$H$4138,$AD237)</f>
        <v>0</v>
      </c>
      <c r="U237" s="194" t="n">
        <f aca="false">SUMIFS(L$3228:L$4138,$H$3228:$H$4138,$AD237)</f>
        <v>0</v>
      </c>
      <c r="V237" s="195" t="n">
        <f aca="false">SUMIFS(M$3228:M$4138,$H$3228:$H$4138,$AD237)</f>
        <v>0</v>
      </c>
      <c r="W237" s="193" t="n">
        <f aca="false">SUMIFS(N$3228:N$4138,$H$3228:$H$4138,$AD237)</f>
        <v>0</v>
      </c>
      <c r="X237" s="193" t="n">
        <f aca="false">SUMIFS(O$3228:O$4138,$H$3228:$H$4138,$AD237)</f>
        <v>0</v>
      </c>
      <c r="Y237" s="196" t="n">
        <f aca="false">SUMIFS(P$3228:P$4138,$H$3228:$H$4138,$AD237)</f>
        <v>0</v>
      </c>
      <c r="Z237" s="193" t="n">
        <f aca="false">SUMIFS(Q$3228:Q$4138,$H$3228:$H$4138,$AD237)</f>
        <v>0</v>
      </c>
      <c r="AA237" s="195" t="n">
        <f aca="false">SUMIFS(R$3228:R$4138,$H$3228:$H$4138,$AD237)</f>
        <v>0</v>
      </c>
      <c r="AB237" s="197" t="n">
        <f aca="false">SUMIFS(S$3228:S$4138,$H$3228:$H$4138,$AD237)</f>
        <v>0</v>
      </c>
      <c r="AC237" s="198" t="n">
        <f aca="false">SUM(T237:AA237)</f>
        <v>0</v>
      </c>
      <c r="AD237" s="221" t="s">
        <v>277</v>
      </c>
      <c r="AE237" s="240" t="n">
        <v>1003</v>
      </c>
      <c r="AF237" s="240" t="s">
        <v>127</v>
      </c>
      <c r="AG237" s="242" t="s">
        <v>593</v>
      </c>
      <c r="AH237" s="160" t="n">
        <v>581182282</v>
      </c>
      <c r="AI237" s="203"/>
      <c r="BB237" s="128" t="n">
        <f aca="false">11</f>
        <v>11</v>
      </c>
      <c r="BD237" s="128" t="n">
        <f aca="false">7</f>
        <v>7</v>
      </c>
      <c r="BF237" s="157" t="n">
        <f aca="false">19+28</f>
        <v>47</v>
      </c>
      <c r="BH237" s="128" t="n">
        <f aca="false">6</f>
        <v>6</v>
      </c>
      <c r="BN237" s="255"/>
      <c r="BP237" s="255"/>
      <c r="BX237" s="205" t="n">
        <f aca="false">BV237*5+BW237*2</f>
        <v>0</v>
      </c>
    </row>
    <row r="238" customFormat="false" ht="15" hidden="true" customHeight="true" outlineLevel="0" collapsed="false">
      <c r="B238" s="127" t="n">
        <f aca="false">B237+D238-C238</f>
        <v>2734.75</v>
      </c>
      <c r="D238" s="146" t="n">
        <v>327.75</v>
      </c>
      <c r="E238" s="147" t="n">
        <v>179</v>
      </c>
      <c r="F238" s="147" t="n">
        <f aca="false">IFERROR(VLOOKUP(H238,$AD$1:$AE$301,2,0),"")</f>
        <v>1007965</v>
      </c>
      <c r="G238" s="147" t="str">
        <f aca="false">IFERROR(VLOOKUP(F238,$AE$2:$AF$290,2, 0),"")</f>
        <v>البير</v>
      </c>
      <c r="H238" s="212" t="s">
        <v>290</v>
      </c>
      <c r="I238" s="246" t="n">
        <f aca="false">SUM(K238:R238)</f>
        <v>1</v>
      </c>
      <c r="J238" s="182" t="n">
        <v>45518</v>
      </c>
      <c r="K238" s="184" t="n">
        <v>1</v>
      </c>
      <c r="L238" s="185"/>
      <c r="S238" s="192" t="n">
        <f aca="false">(K238+O238+Q238)*24 /1130+(L238+M238+P238+R238)*12/1130+(N238*30)/1130</f>
        <v>0.0212389380530973</v>
      </c>
      <c r="T238" s="193" t="n">
        <f aca="false">SUMIFS(K$3228:K$4138,$H$3228:$H$4138,$AD238)</f>
        <v>0</v>
      </c>
      <c r="U238" s="194" t="n">
        <f aca="false">SUMIFS(L$3228:L$4138,$H$3228:$H$4138,$AD238)</f>
        <v>0</v>
      </c>
      <c r="V238" s="195" t="n">
        <f aca="false">SUMIFS(M$3228:M$4138,$H$3228:$H$4138,$AD238)</f>
        <v>0</v>
      </c>
      <c r="W238" s="193" t="n">
        <f aca="false">SUMIFS(N$3228:N$4138,$H$3228:$H$4138,$AD238)</f>
        <v>0</v>
      </c>
      <c r="X238" s="193" t="n">
        <f aca="false">SUMIFS(O$3228:O$4138,$H$3228:$H$4138,$AD238)</f>
        <v>0</v>
      </c>
      <c r="Y238" s="196" t="n">
        <f aca="false">SUMIFS(P$3228:P$4138,$H$3228:$H$4138,$AD238)</f>
        <v>0</v>
      </c>
      <c r="Z238" s="193" t="n">
        <f aca="false">SUMIFS(Q$3228:Q$4138,$H$3228:$H$4138,$AD238)</f>
        <v>0</v>
      </c>
      <c r="AA238" s="195" t="n">
        <f aca="false">SUMIFS(R$3228:R$4138,$H$3228:$H$4138,$AD238)</f>
        <v>0</v>
      </c>
      <c r="AB238" s="197" t="n">
        <f aca="false">SUMIFS(S$3228:S$4138,$H$3228:$H$4138,$AD238)</f>
        <v>0</v>
      </c>
      <c r="AC238" s="198" t="n">
        <f aca="false">SUM(T238:AA238)</f>
        <v>0</v>
      </c>
      <c r="AD238" s="221" t="s">
        <v>278</v>
      </c>
      <c r="AE238" s="240" t="n">
        <v>1006</v>
      </c>
      <c r="AF238" s="240" t="s">
        <v>127</v>
      </c>
      <c r="AG238" s="242" t="s">
        <v>594</v>
      </c>
      <c r="AH238" s="160" t="n">
        <v>535308632</v>
      </c>
      <c r="AI238" s="203"/>
      <c r="BF238" s="157" t="n">
        <f aca="false">5+10</f>
        <v>15</v>
      </c>
      <c r="BJ238" s="128" t="n">
        <f aca="false">19+48</f>
        <v>67</v>
      </c>
      <c r="BN238" s="255"/>
      <c r="BP238" s="255"/>
      <c r="BX238" s="205" t="n">
        <f aca="false">BV238*5+BW238*2</f>
        <v>0</v>
      </c>
      <c r="CD238" s="157" t="n">
        <v>1</v>
      </c>
      <c r="CQ238" s="128" t="n">
        <v>7</v>
      </c>
    </row>
    <row r="239" customFormat="false" ht="15" hidden="true" customHeight="true" outlineLevel="0" collapsed="false">
      <c r="B239" s="127" t="n">
        <f aca="false">B238+D239-C239</f>
        <v>0.75</v>
      </c>
      <c r="C239" s="127" t="n">
        <v>2734</v>
      </c>
      <c r="E239" s="212" t="s">
        <v>392</v>
      </c>
      <c r="F239" s="147" t="str">
        <f aca="false">IFERROR(VLOOKUP(H239,$AD$1:$AE$301,2,0),"")</f>
        <v/>
      </c>
      <c r="G239" s="147" t="str">
        <f aca="false">IFERROR(VLOOKUP(F239,$AE$2:$AF$290,2, 0),"")</f>
        <v/>
      </c>
      <c r="H239" s="212" t="s">
        <v>393</v>
      </c>
      <c r="I239" s="246" t="n">
        <f aca="false">SUM(K239:R239)</f>
        <v>0</v>
      </c>
      <c r="J239" s="182" t="n">
        <v>45518</v>
      </c>
      <c r="K239" s="184"/>
      <c r="L239" s="185"/>
      <c r="S239" s="192" t="n">
        <f aca="false">(K239+O239+Q239)*24 /1130+(L239+M239+P239+R239)*12/1130+(N239*30)/1130</f>
        <v>0</v>
      </c>
      <c r="T239" s="193" t="n">
        <f aca="false">SUMIFS(K$3228:K$4138,$H$3228:$H$4138,$AD239)</f>
        <v>0</v>
      </c>
      <c r="U239" s="194" t="n">
        <f aca="false">SUMIFS(L$3228:L$4138,$H$3228:$H$4138,$AD239)</f>
        <v>0</v>
      </c>
      <c r="V239" s="195" t="n">
        <f aca="false">SUMIFS(M$3228:M$4138,$H$3228:$H$4138,$AD239)</f>
        <v>0</v>
      </c>
      <c r="W239" s="193" t="n">
        <f aca="false">SUMIFS(N$3228:N$4138,$H$3228:$H$4138,$AD239)</f>
        <v>0</v>
      </c>
      <c r="X239" s="193" t="n">
        <f aca="false">SUMIFS(O$3228:O$4138,$H$3228:$H$4138,$AD239)</f>
        <v>0</v>
      </c>
      <c r="Y239" s="196" t="n">
        <f aca="false">SUMIFS(P$3228:P$4138,$H$3228:$H$4138,$AD239)</f>
        <v>0</v>
      </c>
      <c r="Z239" s="193" t="n">
        <f aca="false">SUMIFS(Q$3228:Q$4138,$H$3228:$H$4138,$AD239)</f>
        <v>0</v>
      </c>
      <c r="AA239" s="195" t="n">
        <f aca="false">SUMIFS(R$3228:R$4138,$H$3228:$H$4138,$AD239)</f>
        <v>0</v>
      </c>
      <c r="AB239" s="197" t="n">
        <f aca="false">SUMIFS(S$3228:S$4138,$H$3228:$H$4138,$AD239)</f>
        <v>0</v>
      </c>
      <c r="AC239" s="198" t="n">
        <f aca="false">SUM(T239:AA239)</f>
        <v>0</v>
      </c>
      <c r="AD239" s="221" t="s">
        <v>279</v>
      </c>
      <c r="AE239" s="221" t="n">
        <v>1048</v>
      </c>
      <c r="AF239" s="221" t="s">
        <v>127</v>
      </c>
      <c r="AG239" s="242" t="s">
        <v>595</v>
      </c>
      <c r="AH239" s="160" t="n">
        <v>570466969</v>
      </c>
      <c r="AI239" s="203"/>
      <c r="BH239" s="128" t="n">
        <f aca="false">20+30</f>
        <v>50</v>
      </c>
      <c r="BN239" s="255"/>
      <c r="BP239" s="255"/>
      <c r="BX239" s="205" t="n">
        <f aca="false">BV239*5+BW239*2</f>
        <v>0</v>
      </c>
      <c r="CA239" s="206" t="n">
        <f aca="false">2</f>
        <v>2</v>
      </c>
      <c r="CD239" s="157" t="n">
        <v>1</v>
      </c>
    </row>
    <row r="240" customFormat="false" ht="15" hidden="true" customHeight="true" outlineLevel="0" collapsed="false">
      <c r="B240" s="127" t="n">
        <f aca="false">B239+D240-C240</f>
        <v>156</v>
      </c>
      <c r="D240" s="146" t="n">
        <v>155.25</v>
      </c>
      <c r="E240" s="147" t="n">
        <v>188</v>
      </c>
      <c r="F240" s="147" t="n">
        <f aca="false">IFERROR(VLOOKUP(H240,$AD$1:$AE$301,2,0),"")</f>
        <v>1008001</v>
      </c>
      <c r="G240" s="147" t="str">
        <f aca="false">IFERROR(VLOOKUP(F240,$AE$2:$AF$290,2, 0),"")</f>
        <v>حقل</v>
      </c>
      <c r="H240" s="212" t="s">
        <v>314</v>
      </c>
      <c r="I240" s="246" t="n">
        <f aca="false">SUM(K240:R240)</f>
        <v>1</v>
      </c>
      <c r="J240" s="182" t="n">
        <v>45522</v>
      </c>
      <c r="K240" s="184"/>
      <c r="L240" s="185"/>
      <c r="R240" s="155" t="n">
        <v>1</v>
      </c>
      <c r="S240" s="192" t="n">
        <f aca="false">(K240+O240+Q240)*24 /1130+(L240+M240+P240+R240)*12/1130+(N240*30)/1130</f>
        <v>0.0106194690265487</v>
      </c>
      <c r="T240" s="193" t="n">
        <f aca="false">SUMIFS(K$3228:K$4138,$H$3228:$H$4138,$AD240)</f>
        <v>0</v>
      </c>
      <c r="U240" s="194" t="n">
        <f aca="false">SUMIFS(L$3228:L$4138,$H$3228:$H$4138,$AD240)</f>
        <v>0</v>
      </c>
      <c r="V240" s="195" t="n">
        <f aca="false">SUMIFS(M$3228:M$4138,$H$3228:$H$4138,$AD240)</f>
        <v>0</v>
      </c>
      <c r="W240" s="193" t="n">
        <f aca="false">SUMIFS(N$3228:N$4138,$H$3228:$H$4138,$AD240)</f>
        <v>0</v>
      </c>
      <c r="X240" s="193" t="n">
        <f aca="false">SUMIFS(O$3228:O$4138,$H$3228:$H$4138,$AD240)</f>
        <v>0</v>
      </c>
      <c r="Y240" s="196" t="n">
        <f aca="false">SUMIFS(P$3228:P$4138,$H$3228:$H$4138,$AD240)</f>
        <v>0</v>
      </c>
      <c r="Z240" s="193" t="n">
        <f aca="false">SUMIFS(Q$3228:Q$4138,$H$3228:$H$4138,$AD240)</f>
        <v>0</v>
      </c>
      <c r="AA240" s="195" t="n">
        <f aca="false">SUMIFS(R$3228:R$4138,$H$3228:$H$4138,$AD240)</f>
        <v>0</v>
      </c>
      <c r="AB240" s="197" t="n">
        <f aca="false">SUMIFS(S$3228:S$4138,$H$3228:$H$4138,$AD240)</f>
        <v>0</v>
      </c>
      <c r="AC240" s="198" t="n">
        <f aca="false">SUM(T240:AA240)</f>
        <v>0</v>
      </c>
      <c r="AD240" s="221" t="s">
        <v>280</v>
      </c>
      <c r="AE240" s="240" t="n">
        <v>993</v>
      </c>
      <c r="AF240" s="240" t="s">
        <v>127</v>
      </c>
      <c r="AG240" s="244"/>
      <c r="AH240" s="244"/>
      <c r="AI240" s="203"/>
      <c r="BN240" s="255"/>
      <c r="BP240" s="255"/>
      <c r="BX240" s="205" t="n">
        <f aca="false">BV240*5+BW240*2</f>
        <v>0</v>
      </c>
    </row>
    <row r="241" customFormat="false" ht="15" hidden="true" customHeight="true" outlineLevel="0" collapsed="false">
      <c r="B241" s="127" t="n">
        <f aca="false">B240+D241-C241</f>
        <v>294</v>
      </c>
      <c r="D241" s="146" t="n">
        <v>138</v>
      </c>
      <c r="E241" s="147" t="n">
        <v>189</v>
      </c>
      <c r="F241" s="147" t="n">
        <f aca="false">IFERROR(VLOOKUP(H241,$AD$1:$AE$301,2,0),"")</f>
        <v>1008001</v>
      </c>
      <c r="G241" s="147" t="str">
        <f aca="false">IFERROR(VLOOKUP(F241,$AE$2:$AF$290,2, 0),"")</f>
        <v>حقل</v>
      </c>
      <c r="H241" s="212" t="s">
        <v>314</v>
      </c>
      <c r="I241" s="246" t="n">
        <f aca="false">SUM(K241:R241)</f>
        <v>1</v>
      </c>
      <c r="J241" s="182" t="n">
        <v>45522</v>
      </c>
      <c r="K241" s="184"/>
      <c r="L241" s="185"/>
      <c r="Q241" s="154" t="n">
        <v>1</v>
      </c>
      <c r="S241" s="192" t="n">
        <f aca="false">(K241+O241+Q241)*24 /1130+(L241+M241+P241+R241)*12/1130+(N241*30)/1130</f>
        <v>0.0212389380530973</v>
      </c>
      <c r="T241" s="193" t="n">
        <f aca="false">SUMIFS(K$3228:K$4138,$H$3228:$H$4138,$AD241)</f>
        <v>0</v>
      </c>
      <c r="U241" s="194" t="n">
        <f aca="false">SUMIFS(L$3228:L$4138,$H$3228:$H$4138,$AD241)</f>
        <v>0</v>
      </c>
      <c r="V241" s="195" t="n">
        <f aca="false">SUMIFS(M$3228:M$4138,$H$3228:$H$4138,$AD241)</f>
        <v>0</v>
      </c>
      <c r="W241" s="193" t="n">
        <f aca="false">SUMIFS(N$3228:N$4138,$H$3228:$H$4138,$AD241)</f>
        <v>0</v>
      </c>
      <c r="X241" s="193" t="n">
        <f aca="false">SUMIFS(O$3228:O$4138,$H$3228:$H$4138,$AD241)</f>
        <v>0</v>
      </c>
      <c r="Y241" s="196" t="n">
        <f aca="false">SUMIFS(P$3228:P$4138,$H$3228:$H$4138,$AD241)</f>
        <v>0</v>
      </c>
      <c r="Z241" s="193" t="n">
        <f aca="false">SUMIFS(Q$3228:Q$4138,$H$3228:$H$4138,$AD241)</f>
        <v>0</v>
      </c>
      <c r="AA241" s="195" t="n">
        <f aca="false">SUMIFS(R$3228:R$4138,$H$3228:$H$4138,$AD241)</f>
        <v>0</v>
      </c>
      <c r="AB241" s="197" t="n">
        <f aca="false">SUMIFS(S$3228:S$4138,$H$3228:$H$4138,$AD241)</f>
        <v>0</v>
      </c>
      <c r="AC241" s="198" t="n">
        <f aca="false">SUM(T241:AA241)</f>
        <v>0</v>
      </c>
      <c r="AD241" s="221" t="s">
        <v>281</v>
      </c>
      <c r="AE241" s="240" t="n">
        <v>1002921</v>
      </c>
      <c r="AF241" s="240" t="s">
        <v>127</v>
      </c>
      <c r="AG241" s="244"/>
      <c r="AH241" s="244"/>
      <c r="AI241" s="203"/>
      <c r="BN241" s="255"/>
      <c r="BP241" s="255"/>
      <c r="BX241" s="205" t="n">
        <f aca="false">BV241*5+BW241*2</f>
        <v>0</v>
      </c>
    </row>
    <row r="242" customFormat="false" ht="15" hidden="true" customHeight="true" outlineLevel="0" collapsed="false">
      <c r="B242" s="127" t="n">
        <f aca="false">B241+D242-C242</f>
        <v>0</v>
      </c>
      <c r="C242" s="127" t="n">
        <v>294</v>
      </c>
      <c r="E242" s="212" t="s">
        <v>470</v>
      </c>
      <c r="F242" s="147" t="str">
        <f aca="false">IFERROR(VLOOKUP(H242,$AD$1:$AE$301,2,0),"")</f>
        <v/>
      </c>
      <c r="G242" s="147" t="str">
        <f aca="false">IFERROR(VLOOKUP(F242,$AE$2:$AF$290,2, 0),"")</f>
        <v/>
      </c>
      <c r="H242" s="212" t="s">
        <v>393</v>
      </c>
      <c r="I242" s="246" t="n">
        <f aca="false">SUM(K242:R242)</f>
        <v>0</v>
      </c>
      <c r="J242" s="182" t="n">
        <v>45523</v>
      </c>
      <c r="K242" s="184"/>
      <c r="L242" s="185"/>
      <c r="S242" s="192" t="n">
        <f aca="false">(K242+O242+Q242)*24 /1130+(L242+M242+P242+R242)*12/1130+(N242*30)/1130</f>
        <v>0</v>
      </c>
      <c r="T242" s="193" t="n">
        <f aca="false">SUMIFS(K$3228:K$4138,$H$3228:$H$4138,$AD242)</f>
        <v>0</v>
      </c>
      <c r="U242" s="194" t="n">
        <f aca="false">SUMIFS(L$3228:L$4138,$H$3228:$H$4138,$AD242)</f>
        <v>0</v>
      </c>
      <c r="V242" s="195" t="n">
        <f aca="false">SUMIFS(M$3228:M$4138,$H$3228:$H$4138,$AD242)</f>
        <v>0</v>
      </c>
      <c r="W242" s="193" t="n">
        <f aca="false">SUMIFS(N$3228:N$4138,$H$3228:$H$4138,$AD242)</f>
        <v>0</v>
      </c>
      <c r="X242" s="193" t="n">
        <f aca="false">SUMIFS(O$3228:O$4138,$H$3228:$H$4138,$AD242)</f>
        <v>0</v>
      </c>
      <c r="Y242" s="196" t="n">
        <f aca="false">SUMIFS(P$3228:P$4138,$H$3228:$H$4138,$AD242)</f>
        <v>0</v>
      </c>
      <c r="Z242" s="193" t="n">
        <f aca="false">SUMIFS(Q$3228:Q$4138,$H$3228:$H$4138,$AD242)</f>
        <v>0</v>
      </c>
      <c r="AA242" s="195" t="n">
        <f aca="false">SUMIFS(R$3228:R$4138,$H$3228:$H$4138,$AD242)</f>
        <v>0</v>
      </c>
      <c r="AB242" s="197" t="n">
        <f aca="false">SUMIFS(S$3228:S$4138,$H$3228:$H$4138,$AD242)</f>
        <v>0</v>
      </c>
      <c r="AC242" s="198" t="n">
        <f aca="false">SUM(T242:AA242)</f>
        <v>0</v>
      </c>
      <c r="AD242" s="221" t="s">
        <v>282</v>
      </c>
      <c r="AE242" s="240" t="n">
        <v>1006469</v>
      </c>
      <c r="AF242" s="240" t="s">
        <v>127</v>
      </c>
      <c r="AG242" s="244"/>
      <c r="AH242" s="244"/>
      <c r="AI242" s="203"/>
      <c r="BN242" s="255"/>
      <c r="BP242" s="255"/>
      <c r="BX242" s="205" t="n">
        <f aca="false">BV242*5+BW242*2</f>
        <v>0</v>
      </c>
    </row>
    <row r="243" customFormat="false" ht="15" hidden="true" customHeight="true" outlineLevel="0" collapsed="false">
      <c r="B243" s="127" t="n">
        <f aca="false">B242+D243-C243</f>
        <v>3450</v>
      </c>
      <c r="D243" s="146" t="n">
        <f aca="false">10*345</f>
        <v>3450</v>
      </c>
      <c r="E243" s="147" t="n">
        <v>215</v>
      </c>
      <c r="F243" s="147" t="n">
        <f aca="false">IFERROR(VLOOKUP(H243,$AD$1:$AE$301,2,0),"")</f>
        <v>1008023</v>
      </c>
      <c r="G243" s="147" t="str">
        <f aca="false">IFERROR(VLOOKUP(F243,$AE$2:$AF$290,2, 0),"")</f>
        <v>ضباء</v>
      </c>
      <c r="H243" s="212" t="s">
        <v>95</v>
      </c>
      <c r="I243" s="246" t="n">
        <f aca="false">SUM(K243:R243)</f>
        <v>10</v>
      </c>
      <c r="J243" s="182" t="n">
        <v>45523</v>
      </c>
      <c r="K243" s="184"/>
      <c r="L243" s="185"/>
      <c r="M243" s="150" t="n">
        <v>10</v>
      </c>
      <c r="S243" s="192" t="n">
        <f aca="false">(K243+O243+Q243)*24 /1130+(L243+M243+P243+R243)*12/1130+(N243*30)/1130</f>
        <v>0.106194690265487</v>
      </c>
      <c r="T243" s="193" t="n">
        <f aca="false">SUMIFS(K$3228:K$4138,$H$3228:$H$4138,$AD243)</f>
        <v>0</v>
      </c>
      <c r="U243" s="194" t="n">
        <f aca="false">SUMIFS(L$3228:L$4138,$H$3228:$H$4138,$AD243)</f>
        <v>0</v>
      </c>
      <c r="V243" s="195" t="n">
        <f aca="false">SUMIFS(M$3228:M$4138,$H$3228:$H$4138,$AD243)</f>
        <v>0</v>
      </c>
      <c r="W243" s="193" t="n">
        <f aca="false">SUMIFS(N$3228:N$4138,$H$3228:$H$4138,$AD243)</f>
        <v>0</v>
      </c>
      <c r="X243" s="193" t="n">
        <f aca="false">SUMIFS(O$3228:O$4138,$H$3228:$H$4138,$AD243)</f>
        <v>0</v>
      </c>
      <c r="Y243" s="196" t="n">
        <f aca="false">SUMIFS(P$3228:P$4138,$H$3228:$H$4138,$AD243)</f>
        <v>0</v>
      </c>
      <c r="Z243" s="193" t="n">
        <f aca="false">SUMIFS(Q$3228:Q$4138,$H$3228:$H$4138,$AD243)</f>
        <v>0</v>
      </c>
      <c r="AA243" s="195" t="n">
        <f aca="false">SUMIFS(R$3228:R$4138,$H$3228:$H$4138,$AD243)</f>
        <v>0</v>
      </c>
      <c r="AB243" s="197" t="n">
        <f aca="false">SUMIFS(S$3228:S$4138,$H$3228:$H$4138,$AD243)</f>
        <v>0</v>
      </c>
      <c r="AC243" s="198" t="n">
        <f aca="false">SUM(T243:AA243)</f>
        <v>0</v>
      </c>
      <c r="AD243" s="221" t="s">
        <v>283</v>
      </c>
      <c r="AE243" s="240" t="n">
        <v>1002856</v>
      </c>
      <c r="AF243" s="240" t="s">
        <v>127</v>
      </c>
      <c r="AG243" s="244"/>
      <c r="AH243" s="244"/>
      <c r="AI243" s="203"/>
      <c r="BN243" s="255"/>
      <c r="BP243" s="255"/>
      <c r="BX243" s="205" t="n">
        <f aca="false">BV243*5+BW243*2</f>
        <v>0</v>
      </c>
    </row>
    <row r="244" customFormat="false" ht="15" hidden="true" customHeight="true" outlineLevel="0" collapsed="false">
      <c r="B244" s="127" t="n">
        <f aca="false">B243+D244-C244</f>
        <v>3697.25</v>
      </c>
      <c r="D244" s="146" t="n">
        <f aca="false">247.25</f>
        <v>247.25</v>
      </c>
      <c r="E244" s="147" t="n">
        <v>192</v>
      </c>
      <c r="F244" s="147" t="n">
        <f aca="false">IFERROR(VLOOKUP(H244,$AD$1:$AE$301,2,0),"")</f>
        <v>1007989</v>
      </c>
      <c r="G244" s="147" t="str">
        <f aca="false">IFERROR(VLOOKUP(F244,$AE$2:$AF$290,2, 0),"")</f>
        <v>ضباء</v>
      </c>
      <c r="H244" s="212" t="s">
        <v>90</v>
      </c>
      <c r="I244" s="246" t="n">
        <f aca="false">SUM(K244:R244)</f>
        <v>1</v>
      </c>
      <c r="J244" s="182" t="n">
        <v>45523</v>
      </c>
      <c r="K244" s="184"/>
      <c r="L244" s="185"/>
      <c r="O244" s="152" t="n">
        <v>1</v>
      </c>
      <c r="S244" s="192" t="n">
        <f aca="false">(K244+O244+Q244)*24 /1130+(L244+M244+P244+R244)*12/1130+(N244*30)/1130</f>
        <v>0.0212389380530973</v>
      </c>
      <c r="T244" s="193" t="n">
        <f aca="false">SUMIFS(K$3228:K$4138,$H$3228:$H$4138,$AD244)</f>
        <v>0</v>
      </c>
      <c r="U244" s="194" t="n">
        <f aca="false">SUMIFS(L$3228:L$4138,$H$3228:$H$4138,$AD244)</f>
        <v>0</v>
      </c>
      <c r="V244" s="195" t="n">
        <f aca="false">SUMIFS(M$3228:M$4138,$H$3228:$H$4138,$AD244)</f>
        <v>0</v>
      </c>
      <c r="W244" s="193" t="n">
        <f aca="false">SUMIFS(N$3228:N$4138,$H$3228:$H$4138,$AD244)</f>
        <v>0</v>
      </c>
      <c r="X244" s="193" t="n">
        <f aca="false">SUMIFS(O$3228:O$4138,$H$3228:$H$4138,$AD244)</f>
        <v>0</v>
      </c>
      <c r="Y244" s="196" t="n">
        <f aca="false">SUMIFS(P$3228:P$4138,$H$3228:$H$4138,$AD244)</f>
        <v>0</v>
      </c>
      <c r="Z244" s="193" t="n">
        <f aca="false">SUMIFS(Q$3228:Q$4138,$H$3228:$H$4138,$AD244)</f>
        <v>0</v>
      </c>
      <c r="AA244" s="195" t="n">
        <f aca="false">SUMIFS(R$3228:R$4138,$H$3228:$H$4138,$AD244)</f>
        <v>0</v>
      </c>
      <c r="AB244" s="197" t="n">
        <f aca="false">SUMIFS(S$3228:S$4138,$H$3228:$H$4138,$AD244)</f>
        <v>0</v>
      </c>
      <c r="AC244" s="198" t="n">
        <f aca="false">SUM(T244:AA244)</f>
        <v>0</v>
      </c>
      <c r="AD244" s="221" t="s">
        <v>284</v>
      </c>
      <c r="AE244" s="221" t="n">
        <v>860</v>
      </c>
      <c r="AF244" s="221" t="s">
        <v>127</v>
      </c>
      <c r="AG244" s="128"/>
      <c r="AH244" s="128" t="n">
        <v>0</v>
      </c>
      <c r="AI244" s="203"/>
      <c r="BN244" s="255"/>
      <c r="BP244" s="255"/>
      <c r="BX244" s="205" t="n">
        <f aca="false">BV244*5+BW244*2</f>
        <v>0</v>
      </c>
      <c r="CB244" s="157" t="n">
        <v>12</v>
      </c>
    </row>
    <row r="245" customFormat="false" ht="15" hidden="true" customHeight="true" outlineLevel="0" collapsed="false">
      <c r="B245" s="127" t="n">
        <f aca="false">B244+D245-C245</f>
        <v>4306.75</v>
      </c>
      <c r="D245" s="146" t="n">
        <f aca="false">2*304.75</f>
        <v>609.5</v>
      </c>
      <c r="E245" s="147" t="n">
        <v>191</v>
      </c>
      <c r="F245" s="147" t="n">
        <f aca="false">IFERROR(VLOOKUP(H245,$AD$1:$AE$301,2,0),"")</f>
        <v>1007989</v>
      </c>
      <c r="G245" s="147" t="str">
        <f aca="false">IFERROR(VLOOKUP(F245,$AE$2:$AF$290,2, 0),"")</f>
        <v>ضباء</v>
      </c>
      <c r="H245" s="212" t="s">
        <v>90</v>
      </c>
      <c r="I245" s="246" t="n">
        <f aca="false">SUM(K245:R245)</f>
        <v>2</v>
      </c>
      <c r="J245" s="182" t="n">
        <v>45523</v>
      </c>
      <c r="K245" s="184"/>
      <c r="L245" s="185"/>
      <c r="N245" s="151" t="n">
        <v>2</v>
      </c>
      <c r="S245" s="192" t="n">
        <f aca="false">(K245+O245+Q245)*24 /1130+(L245+M245+P245+R245)*12/1130+(N245*30)/1130</f>
        <v>0.0530973451327434</v>
      </c>
      <c r="T245" s="193" t="n">
        <f aca="false">SUMIFS(K$3228:K$4138,$H$3228:$H$4138,$AD245)</f>
        <v>0</v>
      </c>
      <c r="U245" s="194" t="n">
        <f aca="false">SUMIFS(L$3228:L$4138,$H$3228:$H$4138,$AD245)</f>
        <v>0</v>
      </c>
      <c r="V245" s="195" t="n">
        <f aca="false">SUMIFS(M$3228:M$4138,$H$3228:$H$4138,$AD245)</f>
        <v>0</v>
      </c>
      <c r="W245" s="193" t="n">
        <f aca="false">SUMIFS(N$3228:N$4138,$H$3228:$H$4138,$AD245)</f>
        <v>0</v>
      </c>
      <c r="X245" s="193" t="n">
        <f aca="false">SUMIFS(O$3228:O$4138,$H$3228:$H$4138,$AD245)</f>
        <v>0</v>
      </c>
      <c r="Y245" s="196" t="n">
        <f aca="false">SUMIFS(P$3228:P$4138,$H$3228:$H$4138,$AD245)</f>
        <v>0</v>
      </c>
      <c r="Z245" s="193" t="n">
        <f aca="false">SUMIFS(Q$3228:Q$4138,$H$3228:$H$4138,$AD245)</f>
        <v>0</v>
      </c>
      <c r="AA245" s="195" t="n">
        <f aca="false">SUMIFS(R$3228:R$4138,$H$3228:$H$4138,$AD245)</f>
        <v>0</v>
      </c>
      <c r="AB245" s="197" t="n">
        <f aca="false">SUMIFS(S$3228:S$4138,$H$3228:$H$4138,$AD245)</f>
        <v>0</v>
      </c>
      <c r="AC245" s="198" t="n">
        <f aca="false">SUM(T245:AA245)</f>
        <v>0</v>
      </c>
      <c r="AD245" s="221" t="s">
        <v>285</v>
      </c>
      <c r="AE245" s="222" t="n">
        <v>1007961</v>
      </c>
      <c r="AF245" s="240" t="s">
        <v>286</v>
      </c>
      <c r="AG245" s="128"/>
      <c r="AH245" s="128" t="n">
        <v>0</v>
      </c>
      <c r="AI245" s="203"/>
      <c r="BN245" s="255"/>
      <c r="BP245" s="255"/>
      <c r="BX245" s="205" t="n">
        <f aca="false">BV245*5+BW245*2</f>
        <v>0</v>
      </c>
      <c r="BZ245" s="162" t="n">
        <v>2</v>
      </c>
    </row>
    <row r="246" customFormat="false" ht="15" hidden="true" customHeight="true" outlineLevel="0" collapsed="false">
      <c r="B246" s="127" t="n">
        <f aca="false">B245+D246-C246</f>
        <v>5405</v>
      </c>
      <c r="D246" s="146" t="n">
        <f aca="false">327.75+276+(2*247.25)</f>
        <v>1098.25</v>
      </c>
      <c r="E246" s="147" t="n">
        <v>190</v>
      </c>
      <c r="F246" s="147" t="n">
        <f aca="false">IFERROR(VLOOKUP(H246,$AD$1:$AE$301,2,0),"")</f>
        <v>1007988</v>
      </c>
      <c r="G246" s="147" t="str">
        <f aca="false">IFERROR(VLOOKUP(F246,$AE$2:$AF$290,2, 0),"")</f>
        <v>ضباء</v>
      </c>
      <c r="H246" s="212" t="s">
        <v>89</v>
      </c>
      <c r="I246" s="246" t="n">
        <f aca="false">SUM(K246:R246)</f>
        <v>4</v>
      </c>
      <c r="J246" s="182" t="n">
        <v>45523</v>
      </c>
      <c r="K246" s="184" t="n">
        <v>1</v>
      </c>
      <c r="L246" s="185"/>
      <c r="M246" s="150" t="n">
        <v>1</v>
      </c>
      <c r="O246" s="152" t="n">
        <v>2</v>
      </c>
      <c r="S246" s="192" t="n">
        <f aca="false">(K246+O246+Q246)*24 /1130+(L246+M246+P246+R246)*12/1130+(N246*30)/1130</f>
        <v>0.0743362831858407</v>
      </c>
      <c r="T246" s="193" t="n">
        <f aca="false">SUMIFS(K$3228:K$4138,$H$3228:$H$4138,$AD246)</f>
        <v>0</v>
      </c>
      <c r="U246" s="194" t="n">
        <f aca="false">SUMIFS(L$3228:L$4138,$H$3228:$H$4138,$AD246)</f>
        <v>0</v>
      </c>
      <c r="V246" s="195" t="n">
        <f aca="false">SUMIFS(M$3228:M$4138,$H$3228:$H$4138,$AD246)</f>
        <v>0</v>
      </c>
      <c r="W246" s="193" t="n">
        <f aca="false">SUMIFS(N$3228:N$4138,$H$3228:$H$4138,$AD246)</f>
        <v>0</v>
      </c>
      <c r="X246" s="193" t="n">
        <f aca="false">SUMIFS(O$3228:O$4138,$H$3228:$H$4138,$AD246)</f>
        <v>0</v>
      </c>
      <c r="Y246" s="196" t="n">
        <f aca="false">SUMIFS(P$3228:P$4138,$H$3228:$H$4138,$AD246)</f>
        <v>0</v>
      </c>
      <c r="Z246" s="193" t="n">
        <f aca="false">SUMIFS(Q$3228:Q$4138,$H$3228:$H$4138,$AD246)</f>
        <v>0</v>
      </c>
      <c r="AA246" s="195" t="n">
        <f aca="false">SUMIFS(R$3228:R$4138,$H$3228:$H$4138,$AD246)</f>
        <v>0</v>
      </c>
      <c r="AB246" s="197" t="n">
        <f aca="false">SUMIFS(S$3228:S$4138,$H$3228:$H$4138,$AD246)</f>
        <v>0</v>
      </c>
      <c r="AC246" s="198" t="n">
        <f aca="false">SUM(T246:AA246)</f>
        <v>0</v>
      </c>
      <c r="AD246" s="221" t="s">
        <v>287</v>
      </c>
      <c r="AE246" s="222" t="n">
        <v>1007962</v>
      </c>
      <c r="AF246" s="240" t="s">
        <v>286</v>
      </c>
      <c r="AG246" s="128"/>
      <c r="AH246" s="128" t="n">
        <v>0</v>
      </c>
      <c r="AI246" s="203"/>
      <c r="BN246" s="255"/>
      <c r="BP246" s="255"/>
      <c r="BX246" s="205" t="n">
        <f aca="false">BV246*5+BW246*2</f>
        <v>0</v>
      </c>
    </row>
    <row r="247" customFormat="false" ht="15" hidden="true" customHeight="true" outlineLevel="0" collapsed="false">
      <c r="B247" s="127" t="n">
        <f aca="false">B246+D247-C247</f>
        <v>1657.5</v>
      </c>
      <c r="C247" s="127" t="n">
        <f aca="false">D244+D245+D250+D224+D251+500+200</f>
        <v>3747.5</v>
      </c>
      <c r="E247" s="212" t="s">
        <v>470</v>
      </c>
      <c r="F247" s="147" t="str">
        <f aca="false">IFERROR(VLOOKUP(H247,$AD$1:$AE$301,2,0),"")</f>
        <v/>
      </c>
      <c r="G247" s="147" t="str">
        <f aca="false">IFERROR(VLOOKUP(F247,$AE$2:$AF$290,2, 0),"")</f>
        <v/>
      </c>
      <c r="H247" s="212" t="s">
        <v>393</v>
      </c>
      <c r="I247" s="246" t="n">
        <f aca="false">SUM(K247:R247)</f>
        <v>0</v>
      </c>
      <c r="J247" s="182" t="n">
        <v>45523</v>
      </c>
      <c r="K247" s="184"/>
      <c r="L247" s="185"/>
      <c r="S247" s="192" t="n">
        <f aca="false">(K247+O247+Q247)*24 /1130+(L247+M247+P247+R247)*12/1130+(N247*30)/1130</f>
        <v>0</v>
      </c>
      <c r="T247" s="193" t="n">
        <f aca="false">SUMIFS(K$3228:K$4138,$H$3228:$H$4138,$AD247)</f>
        <v>0</v>
      </c>
      <c r="U247" s="194" t="n">
        <f aca="false">SUMIFS(L$3228:L$4138,$H$3228:$H$4138,$AD247)</f>
        <v>0</v>
      </c>
      <c r="V247" s="195" t="n">
        <f aca="false">SUMIFS(M$3228:M$4138,$H$3228:$H$4138,$AD247)</f>
        <v>0</v>
      </c>
      <c r="W247" s="193" t="n">
        <f aca="false">SUMIFS(N$3228:N$4138,$H$3228:$H$4138,$AD247)</f>
        <v>0</v>
      </c>
      <c r="X247" s="193" t="n">
        <f aca="false">SUMIFS(O$3228:O$4138,$H$3228:$H$4138,$AD247)</f>
        <v>0</v>
      </c>
      <c r="Y247" s="196" t="n">
        <f aca="false">SUMIFS(P$3228:P$4138,$H$3228:$H$4138,$AD247)</f>
        <v>0</v>
      </c>
      <c r="Z247" s="193" t="n">
        <f aca="false">SUMIFS(Q$3228:Q$4138,$H$3228:$H$4138,$AD247)</f>
        <v>0</v>
      </c>
      <c r="AA247" s="195" t="n">
        <f aca="false">SUMIFS(R$3228:R$4138,$H$3228:$H$4138,$AD247)</f>
        <v>0</v>
      </c>
      <c r="AB247" s="197" t="n">
        <f aca="false">SUMIFS(S$3228:S$4138,$H$3228:$H$4138,$AD247)</f>
        <v>0</v>
      </c>
      <c r="AC247" s="198" t="n">
        <f aca="false">SUM(T247:AA247)</f>
        <v>0</v>
      </c>
      <c r="AD247" s="221" t="s">
        <v>288</v>
      </c>
      <c r="AE247" s="222" t="n">
        <v>1007963</v>
      </c>
      <c r="AF247" s="240" t="s">
        <v>286</v>
      </c>
      <c r="AG247" s="128"/>
      <c r="AH247" s="128" t="n">
        <v>0</v>
      </c>
      <c r="AI247" s="203"/>
      <c r="BN247" s="255"/>
      <c r="BP247" s="255"/>
      <c r="BX247" s="205" t="n">
        <f aca="false">BV247*5+BW247*2</f>
        <v>0</v>
      </c>
      <c r="BZ247" s="162" t="n">
        <v>1</v>
      </c>
    </row>
    <row r="248" customFormat="false" ht="15" hidden="true" customHeight="true" outlineLevel="0" collapsed="false">
      <c r="B248" s="127" t="n">
        <f aca="false">B247+D248-C248</f>
        <v>1985.25</v>
      </c>
      <c r="D248" s="146" t="n">
        <v>327.75</v>
      </c>
      <c r="E248" s="147" t="n">
        <v>194</v>
      </c>
      <c r="F248" s="147" t="n">
        <f aca="false">IFERROR(VLOOKUP(H248,$AD$1:$AE$301,2,0),"")</f>
        <v>1008045</v>
      </c>
      <c r="G248" s="147" t="str">
        <f aca="false">IFERROR(VLOOKUP(F248,$AE$2:$AF$290,2, 0),"")</f>
        <v>الوجه</v>
      </c>
      <c r="H248" s="212" t="s">
        <v>107</v>
      </c>
      <c r="I248" s="246" t="n">
        <f aca="false">SUM(K248:R248)</f>
        <v>1</v>
      </c>
      <c r="J248" s="182" t="n">
        <v>45523</v>
      </c>
      <c r="K248" s="184" t="n">
        <v>1</v>
      </c>
      <c r="L248" s="185"/>
      <c r="S248" s="192" t="n">
        <f aca="false">(K248+O248+Q248)*24 /1130+(L248+M248+P248+R248)*12/1130+(N248*30)/1130</f>
        <v>0.0212389380530973</v>
      </c>
      <c r="T248" s="193" t="n">
        <f aca="false">SUMIFS(K$3228:K$4138,$H$3228:$H$4138,$AD248)</f>
        <v>0</v>
      </c>
      <c r="U248" s="194" t="n">
        <f aca="false">SUMIFS(L$3228:L$4138,$H$3228:$H$4138,$AD248)</f>
        <v>0</v>
      </c>
      <c r="V248" s="195" t="n">
        <f aca="false">SUMIFS(M$3228:M$4138,$H$3228:$H$4138,$AD248)</f>
        <v>0</v>
      </c>
      <c r="W248" s="193" t="n">
        <f aca="false">SUMIFS(N$3228:N$4138,$H$3228:$H$4138,$AD248)</f>
        <v>0</v>
      </c>
      <c r="X248" s="193" t="n">
        <f aca="false">SUMIFS(O$3228:O$4138,$H$3228:$H$4138,$AD248)</f>
        <v>0</v>
      </c>
      <c r="Y248" s="196" t="n">
        <f aca="false">SUMIFS(P$3228:P$4138,$H$3228:$H$4138,$AD248)</f>
        <v>0</v>
      </c>
      <c r="Z248" s="193" t="n">
        <f aca="false">SUMIFS(Q$3228:Q$4138,$H$3228:$H$4138,$AD248)</f>
        <v>0</v>
      </c>
      <c r="AA248" s="195" t="n">
        <f aca="false">SUMIFS(R$3228:R$4138,$H$3228:$H$4138,$AD248)</f>
        <v>0</v>
      </c>
      <c r="AB248" s="197" t="n">
        <f aca="false">SUMIFS(S$3228:S$4138,$H$3228:$H$4138,$AD248)</f>
        <v>0</v>
      </c>
      <c r="AC248" s="198" t="n">
        <f aca="false">SUM(T248:AA248)</f>
        <v>0</v>
      </c>
      <c r="AD248" s="221" t="s">
        <v>289</v>
      </c>
      <c r="AE248" s="222" t="n">
        <v>1007964</v>
      </c>
      <c r="AF248" s="240" t="s">
        <v>286</v>
      </c>
      <c r="AG248" s="128"/>
      <c r="AH248" s="128" t="n">
        <v>0</v>
      </c>
      <c r="AI248" s="203"/>
      <c r="BN248" s="255"/>
      <c r="BP248" s="255"/>
      <c r="BX248" s="205" t="n">
        <f aca="false">BV248*5+BW248*2</f>
        <v>0</v>
      </c>
      <c r="BZ248" s="162" t="n">
        <v>1</v>
      </c>
    </row>
    <row r="249" customFormat="false" ht="15" hidden="true" customHeight="true" outlineLevel="0" collapsed="false">
      <c r="B249" s="127" t="n">
        <f aca="false">B248+D249-C249</f>
        <v>2313</v>
      </c>
      <c r="D249" s="146" t="n">
        <v>327.75</v>
      </c>
      <c r="E249" s="147" t="n">
        <v>195</v>
      </c>
      <c r="F249" s="147" t="n">
        <f aca="false">IFERROR(VLOOKUP(H249,$AD$1:$AE$301,2,0),"")</f>
        <v>1008050</v>
      </c>
      <c r="G249" s="147" t="str">
        <f aca="false">IFERROR(VLOOKUP(F249,$AE$2:$AF$290,2, 0),"")</f>
        <v>ضباء</v>
      </c>
      <c r="H249" s="212" t="s">
        <v>92</v>
      </c>
      <c r="I249" s="246" t="n">
        <f aca="false">SUM(K249:R249)</f>
        <v>1</v>
      </c>
      <c r="J249" s="182" t="n">
        <v>45523</v>
      </c>
      <c r="K249" s="184" t="n">
        <v>1</v>
      </c>
      <c r="L249" s="185"/>
      <c r="S249" s="192" t="n">
        <f aca="false">(K249+O249+Q249)*24 /1130+(L249+M249+P249+R249)*12/1130+(N249*30)/1130</f>
        <v>0.0212389380530973</v>
      </c>
      <c r="T249" s="193" t="n">
        <f aca="false">SUMIFS(K$3228:K$4138,$H$3228:$H$4138,$AD249)</f>
        <v>0</v>
      </c>
      <c r="U249" s="194" t="n">
        <f aca="false">SUMIFS(L$3228:L$4138,$H$3228:$H$4138,$AD249)</f>
        <v>0</v>
      </c>
      <c r="V249" s="195" t="n">
        <f aca="false">SUMIFS(M$3228:M$4138,$H$3228:$H$4138,$AD249)</f>
        <v>0</v>
      </c>
      <c r="W249" s="193" t="n">
        <f aca="false">SUMIFS(N$3228:N$4138,$H$3228:$H$4138,$AD249)</f>
        <v>0</v>
      </c>
      <c r="X249" s="193" t="n">
        <f aca="false">SUMIFS(O$3228:O$4138,$H$3228:$H$4138,$AD249)</f>
        <v>0</v>
      </c>
      <c r="Y249" s="196" t="n">
        <f aca="false">SUMIFS(P$3228:P$4138,$H$3228:$H$4138,$AD249)</f>
        <v>0</v>
      </c>
      <c r="Z249" s="193" t="n">
        <f aca="false">SUMIFS(Q$3228:Q$4138,$H$3228:$H$4138,$AD249)</f>
        <v>0</v>
      </c>
      <c r="AA249" s="195" t="n">
        <f aca="false">SUMIFS(R$3228:R$4138,$H$3228:$H$4138,$AD249)</f>
        <v>0</v>
      </c>
      <c r="AB249" s="197" t="n">
        <f aca="false">SUMIFS(S$3228:S$4138,$H$3228:$H$4138,$AD249)</f>
        <v>0</v>
      </c>
      <c r="AC249" s="198" t="n">
        <f aca="false">SUM(T249:AA249)</f>
        <v>0</v>
      </c>
      <c r="AD249" s="221" t="s">
        <v>290</v>
      </c>
      <c r="AE249" s="222" t="n">
        <v>1007965</v>
      </c>
      <c r="AF249" s="240" t="s">
        <v>286</v>
      </c>
      <c r="AG249" s="202" t="s">
        <v>596</v>
      </c>
      <c r="AH249" s="128" t="n">
        <v>534527749</v>
      </c>
      <c r="AI249" s="203"/>
      <c r="AO249" s="128" t="n">
        <v>5</v>
      </c>
      <c r="AT249" s="128" t="n">
        <f aca="false">10</f>
        <v>10</v>
      </c>
      <c r="AU249" s="128" t="n">
        <f aca="false">7</f>
        <v>7</v>
      </c>
      <c r="AZ249" s="128" t="n">
        <f aca="false">2</f>
        <v>2</v>
      </c>
      <c r="BN249" s="255"/>
      <c r="BP249" s="255"/>
      <c r="BX249" s="205" t="n">
        <f aca="false">BV249*5+BW249*2</f>
        <v>0</v>
      </c>
      <c r="BZ249" s="162" t="n">
        <v>4</v>
      </c>
      <c r="CA249" s="206" t="n">
        <v>2</v>
      </c>
      <c r="CB249" s="219" t="n">
        <f aca="false">12+12</f>
        <v>24</v>
      </c>
      <c r="CC249" s="219" t="n">
        <f aca="false">15</f>
        <v>15</v>
      </c>
    </row>
    <row r="250" customFormat="false" ht="15" hidden="true" customHeight="true" outlineLevel="0" collapsed="false">
      <c r="B250" s="127" t="n">
        <f aca="false">B249+D250-C250</f>
        <v>3118</v>
      </c>
      <c r="D250" s="146" t="n">
        <f aca="false">(276*2)+253</f>
        <v>805</v>
      </c>
      <c r="E250" s="147" t="n">
        <v>196</v>
      </c>
      <c r="F250" s="147" t="n">
        <f aca="false">IFERROR(VLOOKUP(H250,$AD$1:$AE$301,2,0),"")</f>
        <v>1008022</v>
      </c>
      <c r="G250" s="147" t="str">
        <f aca="false">IFERROR(VLOOKUP(F250,$AE$2:$AF$290,2, 0),"")</f>
        <v>ضباء</v>
      </c>
      <c r="H250" s="212" t="s">
        <v>94</v>
      </c>
      <c r="I250" s="246" t="n">
        <f aca="false">SUM(K250:R250)</f>
        <v>3</v>
      </c>
      <c r="J250" s="182" t="n">
        <v>45523</v>
      </c>
      <c r="K250" s="184"/>
      <c r="L250" s="185"/>
      <c r="M250" s="150" t="n">
        <v>3</v>
      </c>
      <c r="S250" s="192" t="n">
        <f aca="false">(K250+O250+Q250)*24 /1130+(L250+M250+P250+R250)*12/1130+(N250*30)/1130</f>
        <v>0.031858407079646</v>
      </c>
      <c r="T250" s="193" t="n">
        <f aca="false">SUMIFS(K$3228:K$4138,$H$3228:$H$4138,$AD250)</f>
        <v>0</v>
      </c>
      <c r="U250" s="194" t="n">
        <f aca="false">SUMIFS(L$3228:L$4138,$H$3228:$H$4138,$AD250)</f>
        <v>0</v>
      </c>
      <c r="V250" s="195" t="n">
        <f aca="false">SUMIFS(M$3228:M$4138,$H$3228:$H$4138,$AD250)</f>
        <v>0</v>
      </c>
      <c r="W250" s="193" t="n">
        <f aca="false">SUMIFS(N$3228:N$4138,$H$3228:$H$4138,$AD250)</f>
        <v>0</v>
      </c>
      <c r="X250" s="193" t="n">
        <f aca="false">SUMIFS(O$3228:O$4138,$H$3228:$H$4138,$AD250)</f>
        <v>0</v>
      </c>
      <c r="Y250" s="196" t="n">
        <f aca="false">SUMIFS(P$3228:P$4138,$H$3228:$H$4138,$AD250)</f>
        <v>0</v>
      </c>
      <c r="Z250" s="193" t="n">
        <f aca="false">SUMIFS(Q$3228:Q$4138,$H$3228:$H$4138,$AD250)</f>
        <v>0</v>
      </c>
      <c r="AA250" s="195" t="n">
        <f aca="false">SUMIFS(R$3228:R$4138,$H$3228:$H$4138,$AD250)</f>
        <v>0</v>
      </c>
      <c r="AB250" s="197" t="n">
        <f aca="false">SUMIFS(S$3228:S$4138,$H$3228:$H$4138,$AD250)</f>
        <v>0</v>
      </c>
      <c r="AC250" s="198" t="n">
        <f aca="false">SUM(T250:AA250)</f>
        <v>0</v>
      </c>
      <c r="AD250" s="221" t="s">
        <v>291</v>
      </c>
      <c r="AE250" s="222" t="n">
        <v>1007966</v>
      </c>
      <c r="AF250" s="240" t="s">
        <v>286</v>
      </c>
      <c r="AG250" s="128"/>
      <c r="AH250" s="128" t="n">
        <v>0</v>
      </c>
      <c r="AI250" s="203"/>
      <c r="BN250" s="255"/>
      <c r="BP250" s="255"/>
      <c r="BX250" s="205" t="n">
        <f aca="false">BV250*5+BW250*2</f>
        <v>0</v>
      </c>
      <c r="BY250" s="128" t="n">
        <v>3</v>
      </c>
      <c r="BZ250" s="162" t="n">
        <v>4</v>
      </c>
    </row>
    <row r="251" customFormat="false" ht="15" hidden="true" customHeight="true" outlineLevel="0" collapsed="false">
      <c r="B251" s="127" t="n">
        <f aca="false">B250+D251-C251</f>
        <v>3445.75</v>
      </c>
      <c r="D251" s="146" t="n">
        <v>327.75</v>
      </c>
      <c r="E251" s="147" t="n">
        <v>197</v>
      </c>
      <c r="F251" s="147" t="n">
        <f aca="false">IFERROR(VLOOKUP(H251,$AD$1:$AE$301,2,0),"")</f>
        <v>1007980</v>
      </c>
      <c r="G251" s="147" t="str">
        <f aca="false">IFERROR(VLOOKUP(F251,$AE$2:$AF$290,2, 0),"")</f>
        <v>ضباء</v>
      </c>
      <c r="H251" s="212" t="s">
        <v>81</v>
      </c>
      <c r="I251" s="246" t="n">
        <f aca="false">SUM(K251:R251)</f>
        <v>1</v>
      </c>
      <c r="J251" s="182" t="n">
        <v>45523</v>
      </c>
      <c r="K251" s="184" t="n">
        <v>1</v>
      </c>
      <c r="L251" s="185"/>
      <c r="S251" s="192" t="n">
        <f aca="false">(K251+O251+Q251)*24 /1130+(L251+M251+P251+R251)*12/1130+(N251*30)/1130</f>
        <v>0.0212389380530973</v>
      </c>
      <c r="T251" s="193" t="n">
        <f aca="false">SUMIFS(K$3228:K$4138,$H$3228:$H$4138,$AD251)</f>
        <v>0</v>
      </c>
      <c r="U251" s="194" t="n">
        <f aca="false">SUMIFS(L$3228:L$4138,$H$3228:$H$4138,$AD251)</f>
        <v>0</v>
      </c>
      <c r="V251" s="195" t="n">
        <f aca="false">SUMIFS(M$3228:M$4138,$H$3228:$H$4138,$AD251)</f>
        <v>0</v>
      </c>
      <c r="W251" s="193" t="n">
        <f aca="false">SUMIFS(N$3228:N$4138,$H$3228:$H$4138,$AD251)</f>
        <v>0</v>
      </c>
      <c r="X251" s="193" t="n">
        <f aca="false">SUMIFS(O$3228:O$4138,$H$3228:$H$4138,$AD251)</f>
        <v>0</v>
      </c>
      <c r="Y251" s="196" t="n">
        <f aca="false">SUMIFS(P$3228:P$4138,$H$3228:$H$4138,$AD251)</f>
        <v>0</v>
      </c>
      <c r="Z251" s="193" t="n">
        <f aca="false">SUMIFS(Q$3228:Q$4138,$H$3228:$H$4138,$AD251)</f>
        <v>0</v>
      </c>
      <c r="AA251" s="195" t="n">
        <f aca="false">SUMIFS(R$3228:R$4138,$H$3228:$H$4138,$AD251)</f>
        <v>0</v>
      </c>
      <c r="AB251" s="197" t="n">
        <f aca="false">SUMIFS(S$3228:S$4138,$H$3228:$H$4138,$AD251)</f>
        <v>0</v>
      </c>
      <c r="AC251" s="198" t="n">
        <f aca="false">SUM(T251:AA251)</f>
        <v>0</v>
      </c>
      <c r="AD251" s="221" t="s">
        <v>292</v>
      </c>
      <c r="AE251" s="222" t="n">
        <v>1008040</v>
      </c>
      <c r="AF251" s="240" t="s">
        <v>286</v>
      </c>
      <c r="AG251" s="128"/>
      <c r="AH251" s="128" t="n">
        <v>0</v>
      </c>
      <c r="AI251" s="203"/>
      <c r="BN251" s="255"/>
      <c r="BP251" s="255"/>
      <c r="BX251" s="205" t="n">
        <f aca="false">BV251*5+BW251*2</f>
        <v>0</v>
      </c>
      <c r="BZ251" s="162" t="n">
        <v>1</v>
      </c>
      <c r="CB251" s="157" t="n">
        <v>12</v>
      </c>
    </row>
    <row r="252" customFormat="false" ht="15" hidden="true" customHeight="true" outlineLevel="0" collapsed="false">
      <c r="B252" s="127" t="n">
        <f aca="false">B251+D252-C252</f>
        <v>0.75</v>
      </c>
      <c r="C252" s="127" t="n">
        <v>3445</v>
      </c>
      <c r="E252" s="212" t="s">
        <v>392</v>
      </c>
      <c r="F252" s="147" t="str">
        <f aca="false">IFERROR(VLOOKUP(H252,$AD$1:$AE$301,2,0),"")</f>
        <v/>
      </c>
      <c r="G252" s="147" t="str">
        <f aca="false">IFERROR(VLOOKUP(F252,$AE$2:$AF$290,2, 0),"")</f>
        <v/>
      </c>
      <c r="H252" s="212" t="s">
        <v>393</v>
      </c>
      <c r="I252" s="246" t="n">
        <f aca="false">SUM(K252:R252)</f>
        <v>0</v>
      </c>
      <c r="J252" s="182" t="n">
        <v>45523</v>
      </c>
      <c r="K252" s="184"/>
      <c r="L252" s="185"/>
      <c r="S252" s="192" t="n">
        <f aca="false">(K252+O252+Q252)*24 /1130+(L252+M252+P252+R252)*12/1130+(N252*30)/1130</f>
        <v>0</v>
      </c>
      <c r="T252" s="193" t="n">
        <f aca="false">SUMIFS(K$3228:K$4138,$H$3228:$H$4138,$AD252)</f>
        <v>0</v>
      </c>
      <c r="U252" s="194" t="n">
        <f aca="false">SUMIFS(L$3228:L$4138,$H$3228:$H$4138,$AD252)</f>
        <v>0</v>
      </c>
      <c r="V252" s="195" t="n">
        <f aca="false">SUMIFS(M$3228:M$4138,$H$3228:$H$4138,$AD252)</f>
        <v>0</v>
      </c>
      <c r="W252" s="193" t="n">
        <f aca="false">SUMIFS(N$3228:N$4138,$H$3228:$H$4138,$AD252)</f>
        <v>0</v>
      </c>
      <c r="X252" s="193" t="n">
        <f aca="false">SUMIFS(O$3228:O$4138,$H$3228:$H$4138,$AD252)</f>
        <v>0</v>
      </c>
      <c r="Y252" s="196" t="n">
        <f aca="false">SUMIFS(P$3228:P$4138,$H$3228:$H$4138,$AD252)</f>
        <v>0</v>
      </c>
      <c r="Z252" s="193" t="n">
        <f aca="false">SUMIFS(Q$3228:Q$4138,$H$3228:$H$4138,$AD252)</f>
        <v>0</v>
      </c>
      <c r="AA252" s="195" t="n">
        <f aca="false">SUMIFS(R$3228:R$4138,$H$3228:$H$4138,$AD252)</f>
        <v>0</v>
      </c>
      <c r="AB252" s="197" t="n">
        <f aca="false">SUMIFS(S$3228:S$4138,$H$3228:$H$4138,$AD252)</f>
        <v>0</v>
      </c>
      <c r="AC252" s="198" t="n">
        <f aca="false">SUM(T252:AA252)</f>
        <v>0</v>
      </c>
      <c r="AD252" s="221" t="s">
        <v>293</v>
      </c>
      <c r="AE252" s="222" t="n">
        <v>1008020</v>
      </c>
      <c r="AF252" s="240" t="s">
        <v>286</v>
      </c>
      <c r="AG252" s="128"/>
      <c r="AH252" s="128" t="n">
        <v>0</v>
      </c>
      <c r="AI252" s="203"/>
      <c r="BN252" s="255"/>
      <c r="BP252" s="255"/>
      <c r="BX252" s="205" t="n">
        <f aca="false">BV252*5+BW252*2</f>
        <v>0</v>
      </c>
      <c r="BZ252" s="162" t="n">
        <v>2</v>
      </c>
      <c r="CB252" s="219" t="n">
        <v>30</v>
      </c>
      <c r="CC252" s="219" t="n">
        <v>30</v>
      </c>
    </row>
    <row r="253" customFormat="false" ht="15" hidden="true" customHeight="true" outlineLevel="0" collapsed="false">
      <c r="B253" s="127" t="n">
        <f aca="false">B252+D253-C253</f>
        <v>604.5</v>
      </c>
      <c r="D253" s="146" t="n">
        <f aca="false">276+327.75</f>
        <v>603.75</v>
      </c>
      <c r="E253" s="147" t="n">
        <v>198</v>
      </c>
      <c r="F253" s="147" t="n">
        <f aca="false">IFERROR(VLOOKUP(H253,$AD$1:$AE$301,2,0),"")</f>
        <v>1008057</v>
      </c>
      <c r="G253" s="147" t="str">
        <f aca="false">IFERROR(VLOOKUP(F253,$AE$2:$AF$290,2, 0),"")</f>
        <v>تبوك</v>
      </c>
      <c r="H253" s="212" t="s">
        <v>242</v>
      </c>
      <c r="I253" s="246" t="n">
        <f aca="false">SUM(K253:R253)</f>
        <v>2</v>
      </c>
      <c r="J253" s="182" t="n">
        <v>45523</v>
      </c>
      <c r="K253" s="184" t="n">
        <v>1</v>
      </c>
      <c r="L253" s="185"/>
      <c r="M253" s="150" t="n">
        <v>1</v>
      </c>
      <c r="S253" s="192" t="n">
        <f aca="false">(K253+O253+Q253)*24 /1130+(L253+M253+P253+R253)*12/1130+(N253*30)/1130</f>
        <v>0.031858407079646</v>
      </c>
      <c r="T253" s="193" t="n">
        <f aca="false">SUMIFS(K$3228:K$4138,$H$3228:$H$4138,$AD253)</f>
        <v>0</v>
      </c>
      <c r="U253" s="194" t="n">
        <f aca="false">SUMIFS(L$3228:L$4138,$H$3228:$H$4138,$AD253)</f>
        <v>0</v>
      </c>
      <c r="V253" s="195" t="n">
        <f aca="false">SUMIFS(M$3228:M$4138,$H$3228:$H$4138,$AD253)</f>
        <v>0</v>
      </c>
      <c r="W253" s="193" t="n">
        <f aca="false">SUMIFS(N$3228:N$4138,$H$3228:$H$4138,$AD253)</f>
        <v>0</v>
      </c>
      <c r="X253" s="193" t="n">
        <f aca="false">SUMIFS(O$3228:O$4138,$H$3228:$H$4138,$AD253)</f>
        <v>0</v>
      </c>
      <c r="Y253" s="196" t="n">
        <f aca="false">SUMIFS(P$3228:P$4138,$H$3228:$H$4138,$AD253)</f>
        <v>0</v>
      </c>
      <c r="Z253" s="193" t="n">
        <f aca="false">SUMIFS(Q$3228:Q$4138,$H$3228:$H$4138,$AD253)</f>
        <v>0</v>
      </c>
      <c r="AA253" s="195" t="n">
        <f aca="false">SUMIFS(R$3228:R$4138,$H$3228:$H$4138,$AD253)</f>
        <v>0</v>
      </c>
      <c r="AB253" s="197" t="n">
        <f aca="false">SUMIFS(S$3228:S$4138,$H$3228:$H$4138,$AD253)</f>
        <v>0</v>
      </c>
      <c r="AC253" s="198" t="n">
        <f aca="false">SUM(T253:AA253)</f>
        <v>0</v>
      </c>
      <c r="AD253" s="221" t="s">
        <v>294</v>
      </c>
      <c r="AE253" s="222" t="n">
        <v>1008021</v>
      </c>
      <c r="AF253" s="240" t="s">
        <v>286</v>
      </c>
      <c r="AG253" s="128"/>
      <c r="AH253" s="128" t="n">
        <v>0</v>
      </c>
      <c r="AI253" s="203"/>
      <c r="AP253" s="265"/>
      <c r="AQ253" s="265"/>
      <c r="BN253" s="255"/>
      <c r="BP253" s="255"/>
      <c r="BX253" s="205" t="n">
        <f aca="false">BV253*5+BW253*2</f>
        <v>0</v>
      </c>
      <c r="BZ253" s="162" t="n">
        <v>3</v>
      </c>
      <c r="CB253" s="157" t="n">
        <v>12</v>
      </c>
    </row>
    <row r="254" customFormat="false" ht="15" hidden="true" customHeight="true" outlineLevel="0" collapsed="false">
      <c r="B254" s="127" t="n">
        <f aca="false">B253+D254-C254</f>
        <v>0</v>
      </c>
      <c r="C254" s="127" t="n">
        <f aca="false">604</f>
        <v>604</v>
      </c>
      <c r="D254" s="146" t="n">
        <v>-0.5</v>
      </c>
      <c r="E254" s="212" t="s">
        <v>470</v>
      </c>
      <c r="F254" s="147" t="str">
        <f aca="false">IFERROR(VLOOKUP(H254,$AD$1:$AE$301,2,0),"")</f>
        <v/>
      </c>
      <c r="G254" s="147" t="str">
        <f aca="false">IFERROR(VLOOKUP(F254,$AE$2:$AF$290,2, 0),"")</f>
        <v/>
      </c>
      <c r="H254" s="212" t="s">
        <v>393</v>
      </c>
      <c r="I254" s="246" t="n">
        <f aca="false">SUM(K254:R254)</f>
        <v>0</v>
      </c>
      <c r="J254" s="182" t="n">
        <v>45524</v>
      </c>
      <c r="K254" s="184"/>
      <c r="L254" s="185"/>
      <c r="S254" s="192" t="n">
        <f aca="false">(K254+O254+Q254)*24 /1130+(L254+M254+P254+R254)*12/1130+(N254*30)/1130</f>
        <v>0</v>
      </c>
      <c r="T254" s="193" t="n">
        <f aca="false">SUMIFS(K$3228:K$4138,$H$3228:$H$4138,$AD254)</f>
        <v>0</v>
      </c>
      <c r="U254" s="194" t="n">
        <f aca="false">SUMIFS(L$3228:L$4138,$H$3228:$H$4138,$AD254)</f>
        <v>0</v>
      </c>
      <c r="V254" s="195" t="n">
        <f aca="false">SUMIFS(M$3228:M$4138,$H$3228:$H$4138,$AD254)</f>
        <v>0</v>
      </c>
      <c r="W254" s="193" t="n">
        <f aca="false">SUMIFS(N$3228:N$4138,$H$3228:$H$4138,$AD254)</f>
        <v>0</v>
      </c>
      <c r="X254" s="193" t="n">
        <f aca="false">SUMIFS(O$3228:O$4138,$H$3228:$H$4138,$AD254)</f>
        <v>0</v>
      </c>
      <c r="Y254" s="196" t="n">
        <f aca="false">SUMIFS(P$3228:P$4138,$H$3228:$H$4138,$AD254)</f>
        <v>0</v>
      </c>
      <c r="Z254" s="193" t="n">
        <f aca="false">SUMIFS(Q$3228:Q$4138,$H$3228:$H$4138,$AD254)</f>
        <v>0</v>
      </c>
      <c r="AA254" s="195" t="n">
        <f aca="false">SUMIFS(R$3228:R$4138,$H$3228:$H$4138,$AD254)</f>
        <v>0</v>
      </c>
      <c r="AB254" s="197" t="n">
        <f aca="false">SUMIFS(S$3228:S$4138,$H$3228:$H$4138,$AD254)</f>
        <v>0</v>
      </c>
      <c r="AC254" s="198" t="n">
        <f aca="false">SUM(T254:AA254)</f>
        <v>0</v>
      </c>
      <c r="AD254" s="221" t="s">
        <v>295</v>
      </c>
      <c r="AE254" s="222" t="n">
        <v>1007996</v>
      </c>
      <c r="AF254" s="240" t="s">
        <v>286</v>
      </c>
      <c r="AG254" s="202" t="s">
        <v>597</v>
      </c>
      <c r="AH254" s="128" t="n">
        <v>508022515</v>
      </c>
      <c r="AI254" s="203"/>
      <c r="AP254" s="265" t="n">
        <f aca="false">4</f>
        <v>4</v>
      </c>
      <c r="AQ254" s="265" t="n">
        <v>4</v>
      </c>
      <c r="AT254" s="128" t="n">
        <f aca="false">3+5</f>
        <v>8</v>
      </c>
      <c r="AU254" s="128" t="n">
        <f aca="false">1+2</f>
        <v>3</v>
      </c>
      <c r="AV254" s="128" t="n">
        <f aca="false">12</f>
        <v>12</v>
      </c>
      <c r="AZ254" s="128" t="n">
        <f aca="false">4</f>
        <v>4</v>
      </c>
      <c r="BB254" s="128" t="n">
        <f aca="false">6</f>
        <v>6</v>
      </c>
      <c r="BC254" s="128" t="n">
        <f aca="false">7</f>
        <v>7</v>
      </c>
      <c r="BD254" s="128" t="n">
        <f aca="false">4</f>
        <v>4</v>
      </c>
      <c r="BE254" s="128" t="n">
        <f aca="false">5</f>
        <v>5</v>
      </c>
      <c r="BJ254" s="128" t="n">
        <f aca="false">8</f>
        <v>8</v>
      </c>
      <c r="BK254" s="128" t="n">
        <f aca="false">2</f>
        <v>2</v>
      </c>
      <c r="BN254" s="255"/>
      <c r="BP254" s="255"/>
      <c r="BX254" s="205" t="n">
        <f aca="false">BV254*5+BW254*2</f>
        <v>0</v>
      </c>
      <c r="BY254" s="128" t="n">
        <v>2</v>
      </c>
      <c r="BZ254" s="162" t="n">
        <v>2</v>
      </c>
      <c r="CA254" s="206" t="n">
        <v>2</v>
      </c>
      <c r="CB254" s="219" t="n">
        <f aca="false">36</f>
        <v>36</v>
      </c>
      <c r="CC254" s="219" t="n">
        <f aca="false">30</f>
        <v>30</v>
      </c>
      <c r="CD254" s="157" t="n">
        <v>1</v>
      </c>
    </row>
    <row r="255" customFormat="false" ht="15" hidden="true" customHeight="true" outlineLevel="0" collapsed="false">
      <c r="B255" s="127" t="n">
        <f aca="false">B254+D255-C255</f>
        <v>138</v>
      </c>
      <c r="D255" s="146" t="n">
        <v>138</v>
      </c>
      <c r="E255" s="147" t="n">
        <v>199</v>
      </c>
      <c r="F255" s="147" t="n">
        <f aca="false">IFERROR(VLOOKUP(H255,$AD$1:$AE$301,2,0),"")</f>
        <v>1007969</v>
      </c>
      <c r="G255" s="147" t="str">
        <f aca="false">IFERROR(VLOOKUP(F255,$AE$2:$AF$290,2, 0),"")</f>
        <v>حقل</v>
      </c>
      <c r="H255" s="212" t="s">
        <v>309</v>
      </c>
      <c r="I255" s="246" t="n">
        <f aca="false">SUM(K255:R255)</f>
        <v>1</v>
      </c>
      <c r="J255" s="182" t="n">
        <v>45524</v>
      </c>
      <c r="K255" s="184"/>
      <c r="L255" s="185"/>
      <c r="Q255" s="154" t="n">
        <v>1</v>
      </c>
      <c r="S255" s="192" t="n">
        <f aca="false">(K255+O255+Q255)*24 /1130+(L255+M255+P255+R255)*12/1130+(N255*30)/1130</f>
        <v>0.0212389380530973</v>
      </c>
      <c r="T255" s="193" t="n">
        <f aca="false">SUMIFS(K$3228:K$4138,$H$3228:$H$4138,$AD255)</f>
        <v>0</v>
      </c>
      <c r="U255" s="194" t="n">
        <f aca="false">SUMIFS(L$3228:L$4138,$H$3228:$H$4138,$AD255)</f>
        <v>0</v>
      </c>
      <c r="V255" s="195" t="n">
        <f aca="false">SUMIFS(M$3228:M$4138,$H$3228:$H$4138,$AD255)</f>
        <v>0</v>
      </c>
      <c r="W255" s="193" t="n">
        <f aca="false">SUMIFS(N$3228:N$4138,$H$3228:$H$4138,$AD255)</f>
        <v>0</v>
      </c>
      <c r="X255" s="193" t="n">
        <f aca="false">SUMIFS(O$3228:O$4138,$H$3228:$H$4138,$AD255)</f>
        <v>0</v>
      </c>
      <c r="Y255" s="196" t="n">
        <f aca="false">SUMIFS(P$3228:P$4138,$H$3228:$H$4138,$AD255)</f>
        <v>0</v>
      </c>
      <c r="Z255" s="193" t="n">
        <f aca="false">SUMIFS(Q$3228:Q$4138,$H$3228:$H$4138,$AD255)</f>
        <v>0</v>
      </c>
      <c r="AA255" s="195" t="n">
        <f aca="false">SUMIFS(R$3228:R$4138,$H$3228:$H$4138,$AD255)</f>
        <v>0</v>
      </c>
      <c r="AB255" s="197" t="n">
        <f aca="false">SUMIFS(S$3228:S$4138,$H$3228:$H$4138,$AD255)</f>
        <v>0</v>
      </c>
      <c r="AC255" s="198" t="n">
        <f aca="false">SUM(T255:AA255)</f>
        <v>0</v>
      </c>
      <c r="AD255" s="241" t="s">
        <v>296</v>
      </c>
      <c r="AE255" s="266" t="n">
        <v>1007997</v>
      </c>
      <c r="AF255" s="240" t="s">
        <v>286</v>
      </c>
      <c r="AG255" s="128"/>
      <c r="AH255" s="128" t="n">
        <v>0</v>
      </c>
      <c r="AI255" s="203"/>
      <c r="BN255" s="255"/>
      <c r="BP255" s="255"/>
      <c r="BX255" s="205" t="n">
        <f aca="false">BV255*5+BW255*2</f>
        <v>0</v>
      </c>
      <c r="CA255" s="206" t="n">
        <f aca="false">2</f>
        <v>2</v>
      </c>
      <c r="CB255" s="219" t="n">
        <f aca="false">12+12+6</f>
        <v>30</v>
      </c>
      <c r="CC255" s="219" t="n">
        <f aca="false">30</f>
        <v>30</v>
      </c>
    </row>
    <row r="256" customFormat="false" ht="15" hidden="true" customHeight="true" outlineLevel="0" collapsed="false">
      <c r="B256" s="127" t="n">
        <f aca="false">B255+D256-C256</f>
        <v>713</v>
      </c>
      <c r="D256" s="146" t="n">
        <f aca="false">247.25+327.75</f>
        <v>575</v>
      </c>
      <c r="E256" s="147" t="s">
        <v>598</v>
      </c>
      <c r="F256" s="147" t="n">
        <f aca="false">IFERROR(VLOOKUP(H256,$AD$1:$AE$301,2,0),"")</f>
        <v>1007996</v>
      </c>
      <c r="G256" s="147" t="str">
        <f aca="false">IFERROR(VLOOKUP(F256,$AE$2:$AF$290,2, 0),"")</f>
        <v>البير</v>
      </c>
      <c r="H256" s="212" t="s">
        <v>295</v>
      </c>
      <c r="I256" s="246" t="n">
        <f aca="false">SUM(K256:R256)</f>
        <v>2</v>
      </c>
      <c r="J256" s="182" t="n">
        <v>45524</v>
      </c>
      <c r="K256" s="184" t="n">
        <v>1</v>
      </c>
      <c r="L256" s="185"/>
      <c r="O256" s="152" t="n">
        <v>1</v>
      </c>
      <c r="S256" s="192" t="n">
        <f aca="false">(K256+O256+Q256)*24 /1130+(L256+M256+P256+R256)*12/1130+(N256*30)/1130</f>
        <v>0.0424778761061947</v>
      </c>
      <c r="T256" s="193" t="n">
        <f aca="false">SUMIFS(K$3228:K$4138,$H$3228:$H$4138,$AD256)</f>
        <v>0</v>
      </c>
      <c r="U256" s="194" t="n">
        <f aca="false">SUMIFS(L$3228:L$4138,$H$3228:$H$4138,$AD256)</f>
        <v>0</v>
      </c>
      <c r="V256" s="195" t="n">
        <f aca="false">SUMIFS(M$3228:M$4138,$H$3228:$H$4138,$AD256)</f>
        <v>0</v>
      </c>
      <c r="W256" s="193" t="n">
        <f aca="false">SUMIFS(N$3228:N$4138,$H$3228:$H$4138,$AD256)</f>
        <v>0</v>
      </c>
      <c r="X256" s="193" t="n">
        <f aca="false">SUMIFS(O$3228:O$4138,$H$3228:$H$4138,$AD256)</f>
        <v>0</v>
      </c>
      <c r="Y256" s="196" t="n">
        <f aca="false">SUMIFS(P$3228:P$4138,$H$3228:$H$4138,$AD256)</f>
        <v>0</v>
      </c>
      <c r="Z256" s="193" t="n">
        <f aca="false">SUMIFS(Q$3228:Q$4138,$H$3228:$H$4138,$AD256)</f>
        <v>0</v>
      </c>
      <c r="AA256" s="195" t="n">
        <f aca="false">SUMIFS(R$3228:R$4138,$H$3228:$H$4138,$AD256)</f>
        <v>0</v>
      </c>
      <c r="AB256" s="197" t="n">
        <f aca="false">SUMIFS(S$3228:S$4138,$H$3228:$H$4138,$AD256)</f>
        <v>0</v>
      </c>
      <c r="AC256" s="198" t="n">
        <f aca="false">SUM(T256:AA256)</f>
        <v>0</v>
      </c>
      <c r="AD256" s="221" t="s">
        <v>297</v>
      </c>
      <c r="AE256" s="222" t="n">
        <v>1008029</v>
      </c>
      <c r="AF256" s="240" t="s">
        <v>286</v>
      </c>
      <c r="AG256" s="128"/>
      <c r="AH256" s="128" t="n">
        <v>0</v>
      </c>
      <c r="AI256" s="203"/>
      <c r="BN256" s="255"/>
      <c r="BP256" s="255"/>
      <c r="BX256" s="205" t="n">
        <f aca="false">BV256*5+BW256*2</f>
        <v>0</v>
      </c>
      <c r="BZ256" s="162" t="n">
        <v>2</v>
      </c>
    </row>
    <row r="257" customFormat="false" ht="15" hidden="true" customHeight="true" outlineLevel="0" collapsed="false">
      <c r="B257" s="127" t="n">
        <f aca="false">B256+D257-C257</f>
        <v>1040.75</v>
      </c>
      <c r="D257" s="146" t="n">
        <v>327.75</v>
      </c>
      <c r="E257" s="147" t="n">
        <v>202</v>
      </c>
      <c r="F257" s="147" t="n">
        <f aca="false">IFERROR(VLOOKUP(H257,$AD$1:$AE$301,2,0),"")</f>
        <v>1008040</v>
      </c>
      <c r="G257" s="147" t="str">
        <f aca="false">IFERROR(VLOOKUP(F257,$AE$2:$AF$290,2, 0),"")</f>
        <v>البير</v>
      </c>
      <c r="H257" s="212" t="s">
        <v>292</v>
      </c>
      <c r="I257" s="246" t="n">
        <f aca="false">SUM(K257:R257)</f>
        <v>1</v>
      </c>
      <c r="J257" s="182" t="n">
        <v>45524</v>
      </c>
      <c r="K257" s="184" t="n">
        <v>1</v>
      </c>
      <c r="L257" s="185"/>
      <c r="S257" s="192" t="n">
        <f aca="false">(K257+O257+Q257)*24 /1130+(L257+M257+P257+R257)*12/1130+(N257*30)/1130</f>
        <v>0.0212389380530973</v>
      </c>
      <c r="T257" s="193" t="n">
        <f aca="false">SUMIFS(K$3228:K$4138,$H$3228:$H$4138,$AD257)</f>
        <v>0</v>
      </c>
      <c r="U257" s="194" t="n">
        <f aca="false">SUMIFS(L$3228:L$4138,$H$3228:$H$4138,$AD257)</f>
        <v>0</v>
      </c>
      <c r="V257" s="195" t="n">
        <f aca="false">SUMIFS(M$3228:M$4138,$H$3228:$H$4138,$AD257)</f>
        <v>0</v>
      </c>
      <c r="W257" s="193" t="n">
        <f aca="false">SUMIFS(N$3228:N$4138,$H$3228:$H$4138,$AD257)</f>
        <v>0</v>
      </c>
      <c r="X257" s="193" t="n">
        <f aca="false">SUMIFS(O$3228:O$4138,$H$3228:$H$4138,$AD257)</f>
        <v>0</v>
      </c>
      <c r="Y257" s="196" t="n">
        <f aca="false">SUMIFS(P$3228:P$4138,$H$3228:$H$4138,$AD257)</f>
        <v>0</v>
      </c>
      <c r="Z257" s="193" t="n">
        <f aca="false">SUMIFS(Q$3228:Q$4138,$H$3228:$H$4138,$AD257)</f>
        <v>0</v>
      </c>
      <c r="AA257" s="195" t="n">
        <f aca="false">SUMIFS(R$3228:R$4138,$H$3228:$H$4138,$AD257)</f>
        <v>0</v>
      </c>
      <c r="AB257" s="197" t="n">
        <f aca="false">SUMIFS(S$3228:S$4138,$H$3228:$H$4138,$AD257)</f>
        <v>0</v>
      </c>
      <c r="AC257" s="198" t="n">
        <f aca="false">SUM(T257:AA257)</f>
        <v>0</v>
      </c>
      <c r="AD257" s="221" t="s">
        <v>298</v>
      </c>
      <c r="AE257" s="222" t="n">
        <v>1008030</v>
      </c>
      <c r="AF257" s="240" t="s">
        <v>286</v>
      </c>
      <c r="AG257" s="202" t="s">
        <v>599</v>
      </c>
      <c r="AH257" s="128" t="n">
        <v>557468684</v>
      </c>
      <c r="AI257" s="203"/>
      <c r="AJ257" s="162" t="n">
        <v>12</v>
      </c>
      <c r="AK257" s="162" t="n">
        <f aca="false">17</f>
        <v>17</v>
      </c>
      <c r="AL257" s="128" t="n">
        <v>12</v>
      </c>
      <c r="AM257" s="128" t="n">
        <v>4</v>
      </c>
      <c r="AN257" s="128" t="n">
        <v>10</v>
      </c>
      <c r="AP257" s="128" t="n">
        <f aca="false">23+7+8</f>
        <v>38</v>
      </c>
      <c r="AQ257" s="128" t="n">
        <v>3</v>
      </c>
      <c r="AR257" s="128" t="n">
        <f aca="false">13+14</f>
        <v>27</v>
      </c>
      <c r="AT257" s="128" t="n">
        <f aca="false">12+12+51</f>
        <v>75</v>
      </c>
      <c r="AU257" s="128" t="n">
        <f aca="false">3</f>
        <v>3</v>
      </c>
      <c r="AV257" s="128" t="n">
        <f aca="false">13+18</f>
        <v>31</v>
      </c>
      <c r="AW257" s="128" t="n">
        <v>5</v>
      </c>
      <c r="AX257" s="128" t="n">
        <f aca="false">10+28+6</f>
        <v>44</v>
      </c>
      <c r="AZ257" s="128" t="n">
        <f aca="false">38</f>
        <v>38</v>
      </c>
      <c r="BA257" s="128" t="n">
        <f aca="false">4</f>
        <v>4</v>
      </c>
      <c r="BB257" s="128" t="n">
        <f aca="false">22+6+6</f>
        <v>34</v>
      </c>
      <c r="BD257" s="128" t="n">
        <f aca="false">10+16+20</f>
        <v>46</v>
      </c>
      <c r="BF257" s="157" t="n">
        <f aca="false">20</f>
        <v>20</v>
      </c>
      <c r="BJ257" s="128" t="n">
        <f aca="false">20+50</f>
        <v>70</v>
      </c>
      <c r="BN257" s="255"/>
      <c r="BP257" s="255"/>
      <c r="BX257" s="205" t="n">
        <f aca="false">BV257*5+BW257*2</f>
        <v>0</v>
      </c>
      <c r="BZ257" s="162" t="n">
        <v>5</v>
      </c>
      <c r="CB257" s="219" t="n">
        <f aca="false">12+30</f>
        <v>42</v>
      </c>
      <c r="CC257" s="219" t="n">
        <f aca="false">20+30+12</f>
        <v>62</v>
      </c>
      <c r="CD257" s="157" t="n">
        <v>1</v>
      </c>
    </row>
    <row r="258" customFormat="false" ht="15" hidden="true" customHeight="true" outlineLevel="0" collapsed="false">
      <c r="B258" s="127" t="n">
        <f aca="false">B257+D258-C258</f>
        <v>0.75</v>
      </c>
      <c r="C258" s="127" t="n">
        <f aca="false">D256+465</f>
        <v>1040</v>
      </c>
      <c r="E258" s="212" t="s">
        <v>470</v>
      </c>
      <c r="F258" s="147" t="str">
        <f aca="false">IFERROR(VLOOKUP(H258,$AD$1:$AE$301,2,0),"")</f>
        <v/>
      </c>
      <c r="G258" s="147" t="str">
        <f aca="false">IFERROR(VLOOKUP(F258,$AE$2:$AF$290,2, 0),"")</f>
        <v/>
      </c>
      <c r="H258" s="212" t="s">
        <v>393</v>
      </c>
      <c r="I258" s="246" t="n">
        <f aca="false">SUM(K258:R258)</f>
        <v>0</v>
      </c>
      <c r="J258" s="182" t="n">
        <v>45524</v>
      </c>
      <c r="K258" s="184"/>
      <c r="L258" s="185"/>
      <c r="S258" s="192" t="n">
        <f aca="false">(K258+O258+Q258)*24 /1130+(L258+M258+P258+R258)*12/1130+(N258*30)/1130</f>
        <v>0</v>
      </c>
      <c r="T258" s="193" t="n">
        <f aca="false">SUMIFS(K$3228:K$4138,$H$3228:$H$4138,$AD258)</f>
        <v>0</v>
      </c>
      <c r="U258" s="194" t="n">
        <f aca="false">SUMIFS(L$3228:L$4138,$H$3228:$H$4138,$AD258)</f>
        <v>0</v>
      </c>
      <c r="V258" s="195" t="n">
        <f aca="false">SUMIFS(M$3228:M$4138,$H$3228:$H$4138,$AD258)</f>
        <v>0</v>
      </c>
      <c r="W258" s="193" t="n">
        <f aca="false">SUMIFS(N$3228:N$4138,$H$3228:$H$4138,$AD258)</f>
        <v>0</v>
      </c>
      <c r="X258" s="193" t="n">
        <f aca="false">SUMIFS(O$3228:O$4138,$H$3228:$H$4138,$AD258)</f>
        <v>0</v>
      </c>
      <c r="Y258" s="196" t="n">
        <f aca="false">SUMIFS(P$3228:P$4138,$H$3228:$H$4138,$AD258)</f>
        <v>0</v>
      </c>
      <c r="Z258" s="193" t="n">
        <f aca="false">SUMIFS(Q$3228:Q$4138,$H$3228:$H$4138,$AD258)</f>
        <v>0</v>
      </c>
      <c r="AA258" s="195" t="n">
        <f aca="false">SUMIFS(R$3228:R$4138,$H$3228:$H$4138,$AD258)</f>
        <v>0</v>
      </c>
      <c r="AB258" s="197" t="n">
        <f aca="false">SUMIFS(S$3228:S$4138,$H$3228:$H$4138,$AD258)</f>
        <v>0</v>
      </c>
      <c r="AC258" s="198" t="n">
        <f aca="false">SUM(T258:AA258)</f>
        <v>0</v>
      </c>
      <c r="AD258" s="221" t="s">
        <v>299</v>
      </c>
      <c r="AE258" s="222" t="n">
        <v>1008031</v>
      </c>
      <c r="AF258" s="240" t="s">
        <v>286</v>
      </c>
      <c r="AG258" s="202" t="s">
        <v>600</v>
      </c>
      <c r="AH258" s="128" t="n">
        <v>504633341</v>
      </c>
      <c r="AI258" s="203"/>
      <c r="BB258" s="128" t="n">
        <f aca="false">6</f>
        <v>6</v>
      </c>
      <c r="BN258" s="255"/>
      <c r="BP258" s="255"/>
      <c r="BX258" s="205" t="n">
        <f aca="false">BV258*5+BW258*2</f>
        <v>0</v>
      </c>
      <c r="BZ258" s="162" t="n">
        <v>4</v>
      </c>
    </row>
    <row r="259" customFormat="false" ht="15" hidden="true" customHeight="true" outlineLevel="0" collapsed="false">
      <c r="B259" s="127" t="n">
        <f aca="false">B258+D259-C259</f>
        <v>328.5</v>
      </c>
      <c r="D259" s="146" t="n">
        <v>327.75</v>
      </c>
      <c r="E259" s="147" t="n">
        <v>203</v>
      </c>
      <c r="F259" s="147" t="n">
        <f aca="false">IFERROR(VLOOKUP(H259,$AD$1:$AE$301,2,0),"")</f>
        <v>1008059</v>
      </c>
      <c r="G259" s="147" t="str">
        <f aca="false">IFERROR(VLOOKUP(F259,$AE$2:$AF$290,2, 0),"")</f>
        <v>تبوك</v>
      </c>
      <c r="H259" s="212" t="s">
        <v>129</v>
      </c>
      <c r="I259" s="246" t="n">
        <f aca="false">SUM(K259:R259)</f>
        <v>1</v>
      </c>
      <c r="J259" s="182" t="n">
        <v>45523</v>
      </c>
      <c r="K259" s="184" t="n">
        <v>1</v>
      </c>
      <c r="L259" s="185"/>
      <c r="S259" s="192" t="n">
        <f aca="false">(K259+O259+Q259)*24 /1130+(L259+M259+P259+R259)*12/1130+(N259*30)/1130</f>
        <v>0.0212389380530973</v>
      </c>
      <c r="T259" s="193" t="n">
        <f aca="false">SUMIFS(K$3228:K$4138,$H$3228:$H$4138,$AD259)</f>
        <v>0</v>
      </c>
      <c r="U259" s="194" t="n">
        <f aca="false">SUMIFS(L$3228:L$4138,$H$3228:$H$4138,$AD259)</f>
        <v>0</v>
      </c>
      <c r="V259" s="195" t="n">
        <f aca="false">SUMIFS(M$3228:M$4138,$H$3228:$H$4138,$AD259)</f>
        <v>0</v>
      </c>
      <c r="W259" s="193" t="n">
        <f aca="false">SUMIFS(N$3228:N$4138,$H$3228:$H$4138,$AD259)</f>
        <v>0</v>
      </c>
      <c r="X259" s="193" t="n">
        <f aca="false">SUMIFS(O$3228:O$4138,$H$3228:$H$4138,$AD259)</f>
        <v>0</v>
      </c>
      <c r="Y259" s="196" t="n">
        <f aca="false">SUMIFS(P$3228:P$4138,$H$3228:$H$4138,$AD259)</f>
        <v>0</v>
      </c>
      <c r="Z259" s="193" t="n">
        <f aca="false">SUMIFS(Q$3228:Q$4138,$H$3228:$H$4138,$AD259)</f>
        <v>0</v>
      </c>
      <c r="AA259" s="195" t="n">
        <f aca="false">SUMIFS(R$3228:R$4138,$H$3228:$H$4138,$AD259)</f>
        <v>0</v>
      </c>
      <c r="AB259" s="197" t="n">
        <f aca="false">SUMIFS(S$3228:S$4138,$H$3228:$H$4138,$AD259)</f>
        <v>0</v>
      </c>
      <c r="AC259" s="198" t="n">
        <f aca="false">SUM(T259:AA259)</f>
        <v>0</v>
      </c>
      <c r="AD259" s="267" t="s">
        <v>300</v>
      </c>
      <c r="AE259" s="268" t="n">
        <v>1008005</v>
      </c>
      <c r="AF259" s="269" t="s">
        <v>301</v>
      </c>
      <c r="AG259" s="128"/>
      <c r="AH259" s="128" t="n">
        <v>0</v>
      </c>
      <c r="AI259" s="203"/>
      <c r="AX259" s="128" t="n">
        <v>2</v>
      </c>
      <c r="BN259" s="255"/>
      <c r="BP259" s="255"/>
      <c r="BX259" s="205" t="n">
        <f aca="false">BV259*5+BW259*2</f>
        <v>0</v>
      </c>
      <c r="BZ259" s="162" t="n">
        <v>2</v>
      </c>
      <c r="CB259" s="206" t="n">
        <v>12</v>
      </c>
    </row>
    <row r="260" customFormat="false" ht="15" hidden="true" customHeight="true" outlineLevel="0" collapsed="false">
      <c r="B260" s="127" t="n">
        <f aca="false">B259+D260-C260</f>
        <v>685</v>
      </c>
      <c r="D260" s="146" t="n">
        <f aca="false">2*178.25</f>
        <v>356.5</v>
      </c>
      <c r="E260" s="147" t="n">
        <v>204</v>
      </c>
      <c r="F260" s="147" t="n">
        <f aca="false">IFERROR(VLOOKUP(H260,$AD$1:$AE$301,2,0),"")</f>
        <v>1008055</v>
      </c>
      <c r="G260" s="147" t="str">
        <f aca="false">IFERROR(VLOOKUP(F260,$AE$2:$AF$290,2, 0),"")</f>
        <v>تبوك</v>
      </c>
      <c r="H260" s="212" t="s">
        <v>578</v>
      </c>
      <c r="I260" s="246" t="n">
        <f aca="false">SUM(K260:R260)</f>
        <v>2</v>
      </c>
      <c r="J260" s="182" t="n">
        <v>45526</v>
      </c>
      <c r="K260" s="184"/>
      <c r="L260" s="185" t="n">
        <v>2</v>
      </c>
      <c r="S260" s="192" t="n">
        <f aca="false">(K260+O260+Q260)*24 /1130+(L260+M260+P260+R260)*12/1130+(N260*30)/1130</f>
        <v>0.0212389380530973</v>
      </c>
      <c r="T260" s="193" t="n">
        <f aca="false">SUMIFS(K$3228:K$4138,$H$3228:$H$4138,$AD260)</f>
        <v>0</v>
      </c>
      <c r="U260" s="194" t="n">
        <f aca="false">SUMIFS(L$3228:L$4138,$H$3228:$H$4138,$AD260)</f>
        <v>0</v>
      </c>
      <c r="V260" s="195" t="n">
        <f aca="false">SUMIFS(M$3228:M$4138,$H$3228:$H$4138,$AD260)</f>
        <v>0</v>
      </c>
      <c r="W260" s="193" t="n">
        <f aca="false">SUMIFS(N$3228:N$4138,$H$3228:$H$4138,$AD260)</f>
        <v>0</v>
      </c>
      <c r="X260" s="193" t="n">
        <f aca="false">SUMIFS(O$3228:O$4138,$H$3228:$H$4138,$AD260)</f>
        <v>0</v>
      </c>
      <c r="Y260" s="196" t="n">
        <f aca="false">SUMIFS(P$3228:P$4138,$H$3228:$H$4138,$AD260)</f>
        <v>0</v>
      </c>
      <c r="Z260" s="193" t="n">
        <f aca="false">SUMIFS(Q$3228:Q$4138,$H$3228:$H$4138,$AD260)</f>
        <v>0</v>
      </c>
      <c r="AA260" s="195" t="n">
        <f aca="false">SUMIFS(R$3228:R$4138,$H$3228:$H$4138,$AD260)</f>
        <v>0</v>
      </c>
      <c r="AB260" s="197" t="n">
        <f aca="false">SUMIFS(S$3228:S$4138,$H$3228:$H$4138,$AD260)</f>
        <v>0</v>
      </c>
      <c r="AC260" s="198" t="n">
        <f aca="false">SUM(T260:AA260)</f>
        <v>0</v>
      </c>
      <c r="AD260" s="267" t="s">
        <v>302</v>
      </c>
      <c r="AE260" s="268" t="n">
        <v>1008006</v>
      </c>
      <c r="AF260" s="269" t="s">
        <v>301</v>
      </c>
      <c r="AG260" s="202" t="s">
        <v>601</v>
      </c>
      <c r="AH260" s="128" t="n">
        <v>546557989</v>
      </c>
      <c r="AI260" s="203"/>
      <c r="BN260" s="255"/>
      <c r="BP260" s="255"/>
      <c r="BX260" s="205" t="n">
        <f aca="false">BV260*5+BW260*2</f>
        <v>0</v>
      </c>
      <c r="BZ260" s="162" t="n">
        <v>1</v>
      </c>
      <c r="CB260" s="157" t="n">
        <v>12</v>
      </c>
    </row>
    <row r="261" customFormat="false" ht="15" hidden="true" customHeight="true" outlineLevel="0" collapsed="false">
      <c r="B261" s="127" t="n">
        <f aca="false">B260+D261-C261</f>
        <v>0</v>
      </c>
      <c r="C261" s="127" t="n">
        <f aca="false">385+300</f>
        <v>685</v>
      </c>
      <c r="E261" s="212" t="s">
        <v>470</v>
      </c>
      <c r="F261" s="147" t="str">
        <f aca="false">IFERROR(VLOOKUP(H261,$AD$1:$AE$301,2,0),"")</f>
        <v/>
      </c>
      <c r="G261" s="147" t="str">
        <f aca="false">IFERROR(VLOOKUP(F261,$AE$2:$AF$290,2, 0),"")</f>
        <v/>
      </c>
      <c r="H261" s="212" t="s">
        <v>393</v>
      </c>
      <c r="I261" s="246" t="n">
        <f aca="false">SUM(K261:R261)</f>
        <v>0</v>
      </c>
      <c r="J261" s="182" t="n">
        <v>45527</v>
      </c>
      <c r="K261" s="184"/>
      <c r="L261" s="185"/>
      <c r="S261" s="192" t="n">
        <f aca="false">(K261+O261+Q261)*24 /1130+(L261+M261+P261+R261)*12/1130+(N261*30)/1130</f>
        <v>0</v>
      </c>
      <c r="T261" s="193" t="n">
        <f aca="false">SUMIFS(K$3228:K$4138,$H$3228:$H$4138,$AD261)</f>
        <v>0</v>
      </c>
      <c r="U261" s="194" t="n">
        <f aca="false">SUMIFS(L$3228:L$4138,$H$3228:$H$4138,$AD261)</f>
        <v>0</v>
      </c>
      <c r="V261" s="195" t="n">
        <f aca="false">SUMIFS(M$3228:M$4138,$H$3228:$H$4138,$AD261)</f>
        <v>0</v>
      </c>
      <c r="W261" s="193" t="n">
        <f aca="false">SUMIFS(N$3228:N$4138,$H$3228:$H$4138,$AD261)</f>
        <v>0</v>
      </c>
      <c r="X261" s="193" t="n">
        <f aca="false">SUMIFS(O$3228:O$4138,$H$3228:$H$4138,$AD261)</f>
        <v>0</v>
      </c>
      <c r="Y261" s="196" t="n">
        <f aca="false">SUMIFS(P$3228:P$4138,$H$3228:$H$4138,$AD261)</f>
        <v>0</v>
      </c>
      <c r="Z261" s="193" t="n">
        <f aca="false">SUMIFS(Q$3228:Q$4138,$H$3228:$H$4138,$AD261)</f>
        <v>0</v>
      </c>
      <c r="AA261" s="195" t="n">
        <f aca="false">SUMIFS(R$3228:R$4138,$H$3228:$H$4138,$AD261)</f>
        <v>0</v>
      </c>
      <c r="AB261" s="197" t="n">
        <f aca="false">SUMIFS(S$3228:S$4138,$H$3228:$H$4138,$AD261)</f>
        <v>0</v>
      </c>
      <c r="AC261" s="198" t="n">
        <f aca="false">SUM(T261:AA261)</f>
        <v>0</v>
      </c>
      <c r="AD261" s="267" t="s">
        <v>303</v>
      </c>
      <c r="AE261" s="268" t="n">
        <v>1008007</v>
      </c>
      <c r="AF261" s="269" t="s">
        <v>301</v>
      </c>
      <c r="AG261" s="128"/>
      <c r="AH261" s="128" t="n">
        <v>0</v>
      </c>
      <c r="AI261" s="203"/>
      <c r="BN261" s="255"/>
      <c r="BP261" s="255"/>
      <c r="BX261" s="205" t="n">
        <f aca="false">BV261*5+BW261*2</f>
        <v>0</v>
      </c>
      <c r="CB261" s="206" t="n">
        <f aca="false">12</f>
        <v>12</v>
      </c>
      <c r="CD261" s="157" t="n">
        <v>1</v>
      </c>
      <c r="CO261" s="128" t="n">
        <v>4</v>
      </c>
    </row>
    <row r="262" customFormat="false" ht="15" hidden="true" customHeight="true" outlineLevel="0" collapsed="false">
      <c r="B262" s="127" t="n">
        <f aca="false">B261+D262-C262</f>
        <v>258.75</v>
      </c>
      <c r="D262" s="146" t="n">
        <v>258.75</v>
      </c>
      <c r="E262" s="147" t="n">
        <v>212</v>
      </c>
      <c r="F262" s="147" t="n">
        <f aca="false">IFERROR(VLOOKUP(H262,$AD$1:$AE$301,2,0),"")</f>
        <v>1007980</v>
      </c>
      <c r="G262" s="147" t="str">
        <f aca="false">IFERROR(VLOOKUP(F262,$AE$2:$AF$290,2, 0),"")</f>
        <v>ضباء</v>
      </c>
      <c r="H262" s="212" t="s">
        <v>81</v>
      </c>
      <c r="I262" s="246" t="n">
        <f aca="false">SUM(K262:R262)</f>
        <v>1</v>
      </c>
      <c r="J262" s="182" t="n">
        <v>45530</v>
      </c>
      <c r="K262" s="184"/>
      <c r="L262" s="185"/>
      <c r="Q262" s="154" t="n">
        <v>1</v>
      </c>
      <c r="S262" s="192" t="n">
        <f aca="false">(K262+O262+Q262)*24 /1130+(L262+M262+P262+R262)*12/1130+(N262*30)/1130</f>
        <v>0.0212389380530973</v>
      </c>
      <c r="T262" s="193" t="n">
        <f aca="false">SUMIFS(K$3228:K$4138,$H$3228:$H$4138,$AD262)</f>
        <v>0</v>
      </c>
      <c r="U262" s="194" t="n">
        <f aca="false">SUMIFS(L$3228:L$4138,$H$3228:$H$4138,$AD262)</f>
        <v>0</v>
      </c>
      <c r="V262" s="195" t="n">
        <f aca="false">SUMIFS(M$3228:M$4138,$H$3228:$H$4138,$AD262)</f>
        <v>0</v>
      </c>
      <c r="W262" s="193" t="n">
        <f aca="false">SUMIFS(N$3228:N$4138,$H$3228:$H$4138,$AD262)</f>
        <v>0</v>
      </c>
      <c r="X262" s="193" t="n">
        <f aca="false">SUMIFS(O$3228:O$4138,$H$3228:$H$4138,$AD262)</f>
        <v>0</v>
      </c>
      <c r="Y262" s="196" t="n">
        <f aca="false">SUMIFS(P$3228:P$4138,$H$3228:$H$4138,$AD262)</f>
        <v>0</v>
      </c>
      <c r="Z262" s="193" t="n">
        <f aca="false">SUMIFS(Q$3228:Q$4138,$H$3228:$H$4138,$AD262)</f>
        <v>0</v>
      </c>
      <c r="AA262" s="195" t="n">
        <f aca="false">SUMIFS(R$3228:R$4138,$H$3228:$H$4138,$AD262)</f>
        <v>0</v>
      </c>
      <c r="AB262" s="197" t="n">
        <f aca="false">SUMIFS(S$3228:S$4138,$H$3228:$H$4138,$AD262)</f>
        <v>0</v>
      </c>
      <c r="AC262" s="198" t="n">
        <f aca="false">SUM(T262:AA262)</f>
        <v>0</v>
      </c>
      <c r="AD262" s="267" t="s">
        <v>304</v>
      </c>
      <c r="AE262" s="268" t="n">
        <v>1008008</v>
      </c>
      <c r="AF262" s="269" t="s">
        <v>301</v>
      </c>
      <c r="AG262" s="128"/>
      <c r="AH262" s="128" t="n">
        <v>0</v>
      </c>
      <c r="AI262" s="203"/>
      <c r="BN262" s="255"/>
      <c r="BP262" s="255"/>
      <c r="BX262" s="205" t="n">
        <f aca="false">BV262*5+BW262*2</f>
        <v>0</v>
      </c>
    </row>
    <row r="263" customFormat="false" ht="15" hidden="true" customHeight="true" outlineLevel="0" collapsed="false">
      <c r="B263" s="127" t="n">
        <f aca="false">B262+D263-C263</f>
        <v>1242</v>
      </c>
      <c r="D263" s="146" t="n">
        <f aca="false">3*327.75</f>
        <v>983.25</v>
      </c>
      <c r="E263" s="147" t="n">
        <v>209</v>
      </c>
      <c r="F263" s="147" t="n">
        <f aca="false">IFERROR(VLOOKUP(H263,$AD$1:$AE$301,2,0),"")</f>
        <v>1008047</v>
      </c>
      <c r="G263" s="147" t="str">
        <f aca="false">IFERROR(VLOOKUP(F263,$AE$2:$AF$290,2, 0),"")</f>
        <v>الوجه</v>
      </c>
      <c r="H263" s="212" t="s">
        <v>422</v>
      </c>
      <c r="I263" s="246" t="n">
        <f aca="false">SUM(K263:R263)</f>
        <v>3</v>
      </c>
      <c r="J263" s="182" t="n">
        <v>45530</v>
      </c>
      <c r="K263" s="184" t="n">
        <v>3</v>
      </c>
      <c r="L263" s="185"/>
      <c r="S263" s="192" t="n">
        <f aca="false">(K263+O263+Q263)*24 /1130+(L263+M263+P263+R263)*12/1130+(N263*30)/1130</f>
        <v>0.063716814159292</v>
      </c>
      <c r="T263" s="193" t="n">
        <f aca="false">SUMIFS(K$3228:K$4138,$H$3228:$H$4138,$AD263)</f>
        <v>0</v>
      </c>
      <c r="U263" s="194" t="n">
        <f aca="false">SUMIFS(L$3228:L$4138,$H$3228:$H$4138,$AD263)</f>
        <v>0</v>
      </c>
      <c r="V263" s="195" t="n">
        <f aca="false">SUMIFS(M$3228:M$4138,$H$3228:$H$4138,$AD263)</f>
        <v>0</v>
      </c>
      <c r="W263" s="193" t="n">
        <f aca="false">SUMIFS(N$3228:N$4138,$H$3228:$H$4138,$AD263)</f>
        <v>0</v>
      </c>
      <c r="X263" s="193" t="n">
        <f aca="false">SUMIFS(O$3228:O$4138,$H$3228:$H$4138,$AD263)</f>
        <v>0</v>
      </c>
      <c r="Y263" s="196" t="n">
        <f aca="false">SUMIFS(P$3228:P$4138,$H$3228:$H$4138,$AD263)</f>
        <v>0</v>
      </c>
      <c r="Z263" s="193" t="n">
        <f aca="false">SUMIFS(Q$3228:Q$4138,$H$3228:$H$4138,$AD263)</f>
        <v>0</v>
      </c>
      <c r="AA263" s="195" t="n">
        <f aca="false">SUMIFS(R$3228:R$4138,$H$3228:$H$4138,$AD263)</f>
        <v>0</v>
      </c>
      <c r="AB263" s="197" t="n">
        <f aca="false">SUMIFS(S$3228:S$4138,$H$3228:$H$4138,$AD263)</f>
        <v>0</v>
      </c>
      <c r="AC263" s="198" t="n">
        <f aca="false">SUM(T263:AA263)</f>
        <v>0</v>
      </c>
      <c r="AD263" s="270" t="s">
        <v>305</v>
      </c>
      <c r="AE263" s="271" t="n">
        <v>1008009</v>
      </c>
      <c r="AF263" s="269" t="s">
        <v>301</v>
      </c>
      <c r="AG263" s="128"/>
      <c r="AH263" s="128" t="n">
        <v>0</v>
      </c>
      <c r="AI263" s="203"/>
      <c r="BN263" s="255"/>
      <c r="BP263" s="255"/>
      <c r="BX263" s="205" t="n">
        <f aca="false">BV263*5+BW263*2</f>
        <v>0</v>
      </c>
      <c r="BZ263" s="162" t="n">
        <v>5</v>
      </c>
      <c r="CB263" s="157" t="n">
        <v>12</v>
      </c>
    </row>
    <row r="264" customFormat="false" ht="15" hidden="true" customHeight="true" outlineLevel="0" collapsed="false">
      <c r="B264" s="127" t="n">
        <f aca="false">B263+D264-C264</f>
        <v>1794</v>
      </c>
      <c r="D264" s="146" t="n">
        <f aca="false">4*138</f>
        <v>552</v>
      </c>
      <c r="E264" s="147" t="n">
        <v>206</v>
      </c>
      <c r="F264" s="147" t="n">
        <f aca="false">IFERROR(VLOOKUP(H264,$AD$1:$AE$301,2,0),"")</f>
        <v>1008023</v>
      </c>
      <c r="G264" s="147" t="str">
        <f aca="false">IFERROR(VLOOKUP(F264,$AE$2:$AF$290,2, 0),"")</f>
        <v>ضباء</v>
      </c>
      <c r="H264" s="212" t="s">
        <v>95</v>
      </c>
      <c r="I264" s="246" t="n">
        <f aca="false">SUM(K264:R264)</f>
        <v>4</v>
      </c>
      <c r="J264" s="182" t="n">
        <v>45530</v>
      </c>
      <c r="K264" s="184"/>
      <c r="L264" s="185"/>
      <c r="Q264" s="154" t="n">
        <v>4</v>
      </c>
      <c r="S264" s="192" t="n">
        <f aca="false">(K264+O264+Q264)*24 /1130+(L264+M264+P264+R264)*12/1130+(N264*30)/1130</f>
        <v>0.0849557522123894</v>
      </c>
      <c r="T264" s="193" t="n">
        <f aca="false">SUMIFS(K$3228:K$4138,$H$3228:$H$4138,$AD264)</f>
        <v>0</v>
      </c>
      <c r="U264" s="194" t="n">
        <f aca="false">SUMIFS(L$3228:L$4138,$H$3228:$H$4138,$AD264)</f>
        <v>0</v>
      </c>
      <c r="V264" s="195" t="n">
        <f aca="false">SUMIFS(M$3228:M$4138,$H$3228:$H$4138,$AD264)</f>
        <v>0</v>
      </c>
      <c r="W264" s="193" t="n">
        <f aca="false">SUMIFS(N$3228:N$4138,$H$3228:$H$4138,$AD264)</f>
        <v>0</v>
      </c>
      <c r="X264" s="193" t="n">
        <f aca="false">SUMIFS(O$3228:O$4138,$H$3228:$H$4138,$AD264)</f>
        <v>0</v>
      </c>
      <c r="Y264" s="196" t="n">
        <f aca="false">SUMIFS(P$3228:P$4138,$H$3228:$H$4138,$AD264)</f>
        <v>0</v>
      </c>
      <c r="Z264" s="193" t="n">
        <f aca="false">SUMIFS(Q$3228:Q$4138,$H$3228:$H$4138,$AD264)</f>
        <v>0</v>
      </c>
      <c r="AA264" s="195" t="n">
        <f aca="false">SUMIFS(R$3228:R$4138,$H$3228:$H$4138,$AD264)</f>
        <v>0</v>
      </c>
      <c r="AB264" s="197" t="n">
        <f aca="false">SUMIFS(S$3228:S$4138,$H$3228:$H$4138,$AD264)</f>
        <v>0</v>
      </c>
      <c r="AC264" s="198" t="n">
        <f aca="false">SUM(T264:AA264)</f>
        <v>0</v>
      </c>
      <c r="AD264" s="267" t="s">
        <v>306</v>
      </c>
      <c r="AE264" s="268" t="n">
        <v>1008035</v>
      </c>
      <c r="AF264" s="269" t="s">
        <v>301</v>
      </c>
      <c r="AG264" s="128"/>
      <c r="AH264" s="128" t="n">
        <v>0</v>
      </c>
      <c r="AI264" s="203"/>
      <c r="BN264" s="255"/>
      <c r="BP264" s="255"/>
      <c r="BX264" s="205" t="n">
        <f aca="false">BV264*5+BW264*2</f>
        <v>0</v>
      </c>
      <c r="BZ264" s="162" t="n">
        <v>3</v>
      </c>
    </row>
    <row r="265" customFormat="false" ht="15" hidden="true" customHeight="true" outlineLevel="0" collapsed="false">
      <c r="B265" s="127" t="n">
        <f aca="false">B264+D265-C265</f>
        <v>2121.75</v>
      </c>
      <c r="D265" s="146" t="n">
        <f aca="false">327.75</f>
        <v>327.75</v>
      </c>
      <c r="E265" s="147" t="n">
        <v>210</v>
      </c>
      <c r="F265" s="147" t="n">
        <f aca="false">IFERROR(VLOOKUP(H265,$AD$1:$AE$301,2,0),"")</f>
        <v>1008050</v>
      </c>
      <c r="G265" s="147" t="str">
        <f aca="false">IFERROR(VLOOKUP(F265,$AE$2:$AF$290,2, 0),"")</f>
        <v>ضباء</v>
      </c>
      <c r="H265" s="212" t="s">
        <v>92</v>
      </c>
      <c r="I265" s="246" t="n">
        <f aca="false">SUM(K265:R265)</f>
        <v>1</v>
      </c>
      <c r="J265" s="182" t="n">
        <v>45530</v>
      </c>
      <c r="K265" s="184" t="n">
        <v>1</v>
      </c>
      <c r="L265" s="185"/>
      <c r="S265" s="192" t="n">
        <f aca="false">(K265+O265+Q265)*24 /1130+(L265+M265+P265+R265)*12/1130+(N265*30)/1130</f>
        <v>0.0212389380530973</v>
      </c>
      <c r="T265" s="193" t="n">
        <f aca="false">SUMIFS(K$3228:K$4138,$H$3228:$H$4138,$AD265)</f>
        <v>0</v>
      </c>
      <c r="U265" s="194" t="n">
        <f aca="false">SUMIFS(L$3228:L$4138,$H$3228:$H$4138,$AD265)</f>
        <v>0</v>
      </c>
      <c r="V265" s="195" t="n">
        <f aca="false">SUMIFS(M$3228:M$4138,$H$3228:$H$4138,$AD265)</f>
        <v>0</v>
      </c>
      <c r="W265" s="193" t="n">
        <f aca="false">SUMIFS(N$3228:N$4138,$H$3228:$H$4138,$AD265)</f>
        <v>0</v>
      </c>
      <c r="X265" s="193" t="n">
        <f aca="false">SUMIFS(O$3228:O$4138,$H$3228:$H$4138,$AD265)</f>
        <v>0</v>
      </c>
      <c r="Y265" s="196" t="n">
        <f aca="false">SUMIFS(P$3228:P$4138,$H$3228:$H$4138,$AD265)</f>
        <v>0</v>
      </c>
      <c r="Z265" s="193" t="n">
        <f aca="false">SUMIFS(Q$3228:Q$4138,$H$3228:$H$4138,$AD265)</f>
        <v>0</v>
      </c>
      <c r="AA265" s="195" t="n">
        <f aca="false">SUMIFS(R$3228:R$4138,$H$3228:$H$4138,$AD265)</f>
        <v>0</v>
      </c>
      <c r="AB265" s="197" t="n">
        <f aca="false">SUMIFS(S$3228:S$4138,$H$3228:$H$4138,$AD265)</f>
        <v>0</v>
      </c>
      <c r="AC265" s="198" t="n">
        <f aca="false">SUM(T265:AA265)</f>
        <v>0</v>
      </c>
      <c r="AD265" s="267" t="s">
        <v>307</v>
      </c>
      <c r="AE265" s="268" t="n">
        <v>1007967</v>
      </c>
      <c r="AF265" s="269" t="s">
        <v>301</v>
      </c>
      <c r="AG265" s="128"/>
      <c r="AH265" s="128" t="n">
        <v>0</v>
      </c>
      <c r="AI265" s="203"/>
      <c r="BN265" s="255"/>
      <c r="BP265" s="255"/>
      <c r="BX265" s="205" t="n">
        <f aca="false">BV265*5+BW265*2</f>
        <v>0</v>
      </c>
      <c r="BZ265" s="162" t="n">
        <v>3</v>
      </c>
    </row>
    <row r="266" customFormat="false" ht="15" hidden="true" customHeight="true" outlineLevel="0" collapsed="false">
      <c r="B266" s="127" t="n">
        <f aca="false">B265+D266-C266</f>
        <v>3513.25</v>
      </c>
      <c r="D266" s="146" t="n">
        <f aca="false">(3*253.36)+(2*178.25)+274.92</f>
        <v>1391.5</v>
      </c>
      <c r="E266" s="147" t="n">
        <v>207</v>
      </c>
      <c r="F266" s="147" t="n">
        <f aca="false">IFERROR(VLOOKUP(H266,$AD$1:$AE$301,2,0),"")</f>
        <v>1008024</v>
      </c>
      <c r="G266" s="147" t="str">
        <f aca="false">IFERROR(VLOOKUP(F266,$AE$2:$AF$290,2, 0),"")</f>
        <v>ضباء</v>
      </c>
      <c r="H266" s="212" t="s">
        <v>96</v>
      </c>
      <c r="I266" s="246" t="n">
        <f aca="false">SUM(K266:R266)</f>
        <v>6</v>
      </c>
      <c r="J266" s="182" t="n">
        <v>45530</v>
      </c>
      <c r="K266" s="184"/>
      <c r="L266" s="185" t="n">
        <v>2</v>
      </c>
      <c r="M266" s="150" t="n">
        <v>4</v>
      </c>
      <c r="S266" s="192" t="n">
        <f aca="false">(K266+O266+Q266)*24 /1130+(L266+M266+P266+R266)*12/1130+(N266*30)/1130</f>
        <v>0.063716814159292</v>
      </c>
      <c r="T266" s="193" t="n">
        <f aca="false">SUMIFS(K$3228:K$4138,$H$3228:$H$4138,$AD266)</f>
        <v>0</v>
      </c>
      <c r="U266" s="194" t="n">
        <f aca="false">SUMIFS(L$3228:L$4138,$H$3228:$H$4138,$AD266)</f>
        <v>0</v>
      </c>
      <c r="V266" s="195" t="n">
        <f aca="false">SUMIFS(M$3228:M$4138,$H$3228:$H$4138,$AD266)</f>
        <v>0</v>
      </c>
      <c r="W266" s="193" t="n">
        <f aca="false">SUMIFS(N$3228:N$4138,$H$3228:$H$4138,$AD266)</f>
        <v>0</v>
      </c>
      <c r="X266" s="193" t="n">
        <f aca="false">SUMIFS(O$3228:O$4138,$H$3228:$H$4138,$AD266)</f>
        <v>0</v>
      </c>
      <c r="Y266" s="196" t="n">
        <f aca="false">SUMIFS(P$3228:P$4138,$H$3228:$H$4138,$AD266)</f>
        <v>0</v>
      </c>
      <c r="Z266" s="193" t="n">
        <f aca="false">SUMIFS(Q$3228:Q$4138,$H$3228:$H$4138,$AD266)</f>
        <v>0</v>
      </c>
      <c r="AA266" s="195" t="n">
        <f aca="false">SUMIFS(R$3228:R$4138,$H$3228:$H$4138,$AD266)</f>
        <v>0</v>
      </c>
      <c r="AB266" s="197" t="n">
        <f aca="false">SUMIFS(S$3228:S$4138,$H$3228:$H$4138,$AD266)</f>
        <v>0</v>
      </c>
      <c r="AC266" s="198" t="n">
        <f aca="false">SUM(T266:AA266)</f>
        <v>0</v>
      </c>
      <c r="AD266" s="267" t="s">
        <v>308</v>
      </c>
      <c r="AE266" s="268" t="n">
        <v>1007968</v>
      </c>
      <c r="AF266" s="269" t="s">
        <v>301</v>
      </c>
      <c r="AG266" s="128"/>
      <c r="AH266" s="128" t="n">
        <v>0</v>
      </c>
      <c r="AI266" s="203"/>
      <c r="BN266" s="255"/>
      <c r="BP266" s="255"/>
      <c r="BX266" s="205" t="n">
        <f aca="false">BV266*5+BW266*2</f>
        <v>0</v>
      </c>
      <c r="BZ266" s="162" t="n">
        <v>1</v>
      </c>
      <c r="CB266" s="219" t="n">
        <v>12</v>
      </c>
      <c r="CD266" s="157" t="n">
        <v>1</v>
      </c>
    </row>
    <row r="267" customFormat="false" ht="15" hidden="true" customHeight="true" outlineLevel="0" collapsed="false">
      <c r="B267" s="127" t="n">
        <f aca="false">B266+D267-C267</f>
        <v>4416</v>
      </c>
      <c r="D267" s="146" t="n">
        <f aca="false">(327.75*2)+247.25</f>
        <v>902.75</v>
      </c>
      <c r="E267" s="147" t="n">
        <v>205</v>
      </c>
      <c r="F267" s="147" t="n">
        <f aca="false">IFERROR(VLOOKUP(H267,$AD$1:$AE$301,2,0),"")</f>
        <v>1008027</v>
      </c>
      <c r="G267" s="147" t="str">
        <f aca="false">IFERROR(VLOOKUP(F267,$AE$2:$AF$290,2, 0),"")</f>
        <v>ضباء</v>
      </c>
      <c r="H267" s="212" t="s">
        <v>100</v>
      </c>
      <c r="I267" s="246" t="n">
        <f aca="false">SUM(K267:R267)</f>
        <v>3</v>
      </c>
      <c r="J267" s="182" t="n">
        <v>45530</v>
      </c>
      <c r="K267" s="184" t="n">
        <v>2</v>
      </c>
      <c r="L267" s="185"/>
      <c r="O267" s="152" t="n">
        <v>1</v>
      </c>
      <c r="S267" s="192" t="n">
        <f aca="false">(K267+O267+Q267)*24 /1130+(L267+M267+P267+R267)*12/1130+(N267*30)/1130</f>
        <v>0.063716814159292</v>
      </c>
      <c r="T267" s="193" t="n">
        <f aca="false">SUMIFS(K$3228:K$4138,$H$3228:$H$4138,$AD267)</f>
        <v>0</v>
      </c>
      <c r="U267" s="194" t="n">
        <f aca="false">SUMIFS(L$3228:L$4138,$H$3228:$H$4138,$AD267)</f>
        <v>0</v>
      </c>
      <c r="V267" s="195" t="n">
        <f aca="false">SUMIFS(M$3228:M$4138,$H$3228:$H$4138,$AD267)</f>
        <v>0</v>
      </c>
      <c r="W267" s="193" t="n">
        <f aca="false">SUMIFS(N$3228:N$4138,$H$3228:$H$4138,$AD267)</f>
        <v>0</v>
      </c>
      <c r="X267" s="193" t="n">
        <f aca="false">SUMIFS(O$3228:O$4138,$H$3228:$H$4138,$AD267)</f>
        <v>0</v>
      </c>
      <c r="Y267" s="196" t="n">
        <f aca="false">SUMIFS(P$3228:P$4138,$H$3228:$H$4138,$AD267)</f>
        <v>0</v>
      </c>
      <c r="Z267" s="193" t="n">
        <f aca="false">SUMIFS(Q$3228:Q$4138,$H$3228:$H$4138,$AD267)</f>
        <v>0</v>
      </c>
      <c r="AA267" s="195" t="n">
        <f aca="false">SUMIFS(R$3228:R$4138,$H$3228:$H$4138,$AD267)</f>
        <v>0</v>
      </c>
      <c r="AB267" s="197" t="n">
        <f aca="false">SUMIFS(S$3228:S$4138,$H$3228:$H$4138,$AD267)</f>
        <v>0</v>
      </c>
      <c r="AC267" s="198" t="n">
        <f aca="false">SUM(T267:AA267)</f>
        <v>0</v>
      </c>
      <c r="AD267" s="267" t="s">
        <v>309</v>
      </c>
      <c r="AE267" s="268" t="n">
        <v>1007969</v>
      </c>
      <c r="AF267" s="269" t="s">
        <v>301</v>
      </c>
      <c r="AG267" s="128"/>
      <c r="AH267" s="128" t="n">
        <v>0</v>
      </c>
      <c r="AI267" s="203"/>
      <c r="BN267" s="255"/>
      <c r="BP267" s="255"/>
      <c r="BX267" s="205" t="n">
        <f aca="false">BV267*5+BW267*2</f>
        <v>0</v>
      </c>
    </row>
    <row r="268" customFormat="false" ht="15" hidden="true" customHeight="true" outlineLevel="0" collapsed="false">
      <c r="B268" s="127" t="n">
        <f aca="false">B267+D268-C268</f>
        <v>4743.75</v>
      </c>
      <c r="D268" s="146" t="n">
        <v>327.75</v>
      </c>
      <c r="E268" s="147" t="n">
        <v>208</v>
      </c>
      <c r="F268" s="147" t="n">
        <f aca="false">IFERROR(VLOOKUP(H268,$AD$1:$AE$301,2,0),"")</f>
        <v>1008045</v>
      </c>
      <c r="G268" s="147" t="str">
        <f aca="false">IFERROR(VLOOKUP(F268,$AE$2:$AF$290,2, 0),"")</f>
        <v>الوجه</v>
      </c>
      <c r="H268" s="212" t="s">
        <v>107</v>
      </c>
      <c r="I268" s="246" t="n">
        <f aca="false">SUM(K268:R268)</f>
        <v>1</v>
      </c>
      <c r="J268" s="182" t="n">
        <v>45530</v>
      </c>
      <c r="K268" s="184" t="n">
        <v>1</v>
      </c>
      <c r="L268" s="185"/>
      <c r="S268" s="192" t="n">
        <f aca="false">(K268+O268+Q268)*24 /1130+(L268+M268+P268+R268)*12/1130+(N268*30)/1130</f>
        <v>0.0212389380530973</v>
      </c>
      <c r="T268" s="193" t="n">
        <f aca="false">SUMIFS(K$3228:K$4138,$H$3228:$H$4138,$AD268)</f>
        <v>0</v>
      </c>
      <c r="U268" s="194" t="n">
        <f aca="false">SUMIFS(L$3228:L$4138,$H$3228:$H$4138,$AD268)</f>
        <v>0</v>
      </c>
      <c r="V268" s="195" t="n">
        <f aca="false">SUMIFS(M$3228:M$4138,$H$3228:$H$4138,$AD268)</f>
        <v>0</v>
      </c>
      <c r="W268" s="193" t="n">
        <f aca="false">SUMIFS(N$3228:N$4138,$H$3228:$H$4138,$AD268)</f>
        <v>0</v>
      </c>
      <c r="X268" s="193" t="n">
        <f aca="false">SUMIFS(O$3228:O$4138,$H$3228:$H$4138,$AD268)</f>
        <v>0</v>
      </c>
      <c r="Y268" s="196" t="n">
        <f aca="false">SUMIFS(P$3228:P$4138,$H$3228:$H$4138,$AD268)</f>
        <v>0</v>
      </c>
      <c r="Z268" s="193" t="n">
        <f aca="false">SUMIFS(Q$3228:Q$4138,$H$3228:$H$4138,$AD268)</f>
        <v>0</v>
      </c>
      <c r="AA268" s="195" t="n">
        <f aca="false">SUMIFS(R$3228:R$4138,$H$3228:$H$4138,$AD268)</f>
        <v>0</v>
      </c>
      <c r="AB268" s="197" t="n">
        <f aca="false">SUMIFS(S$3228:S$4138,$H$3228:$H$4138,$AD268)</f>
        <v>0</v>
      </c>
      <c r="AC268" s="198" t="n">
        <f aca="false">SUM(T268:AA268)</f>
        <v>0</v>
      </c>
      <c r="AD268" s="267" t="s">
        <v>310</v>
      </c>
      <c r="AE268" s="268" t="n">
        <v>1007970</v>
      </c>
      <c r="AF268" s="269" t="s">
        <v>301</v>
      </c>
      <c r="AG268" s="202" t="s">
        <v>602</v>
      </c>
      <c r="AH268" s="128" t="n">
        <v>508386802</v>
      </c>
      <c r="AI268" s="203"/>
      <c r="AR268" s="128" t="n">
        <f aca="false">6+8</f>
        <v>14</v>
      </c>
      <c r="AT268" s="128" t="n">
        <f aca="false">16</f>
        <v>16</v>
      </c>
      <c r="AU268" s="128" t="n">
        <v>7</v>
      </c>
      <c r="AV268" s="128" t="n">
        <f aca="false">20+25</f>
        <v>45</v>
      </c>
      <c r="AX268" s="128" t="n">
        <f aca="false">16+8</f>
        <v>24</v>
      </c>
      <c r="AZ268" s="128" t="n">
        <f aca="false">8</f>
        <v>8</v>
      </c>
      <c r="BF268" s="157" t="n">
        <f aca="false">26</f>
        <v>26</v>
      </c>
      <c r="BH268" s="128" t="n">
        <f aca="false">50</f>
        <v>50</v>
      </c>
      <c r="BN268" s="255"/>
      <c r="BP268" s="255"/>
      <c r="BX268" s="205" t="n">
        <f aca="false">BV268*5+BW268*2</f>
        <v>0</v>
      </c>
      <c r="BY268" s="128" t="n">
        <v>7</v>
      </c>
      <c r="BZ268" s="162" t="n">
        <v>6</v>
      </c>
      <c r="CB268" s="219" t="n">
        <f aca="false">24+12</f>
        <v>36</v>
      </c>
      <c r="CC268" s="219" t="n">
        <f aca="false">30+24</f>
        <v>54</v>
      </c>
    </row>
    <row r="269" customFormat="false" ht="15" hidden="true" customHeight="true" outlineLevel="0" collapsed="false">
      <c r="B269" s="127" t="n">
        <f aca="false">B268+D269-C269</f>
        <v>5249.75</v>
      </c>
      <c r="D269" s="146" t="n">
        <f aca="false">253*2</f>
        <v>506</v>
      </c>
      <c r="E269" s="147" t="n">
        <v>211</v>
      </c>
      <c r="F269" s="147" t="n">
        <f aca="false">IFERROR(VLOOKUP(H269,$AD$1:$AE$301,2,0),"")</f>
        <v>1007988</v>
      </c>
      <c r="G269" s="147" t="str">
        <f aca="false">IFERROR(VLOOKUP(F269,$AE$2:$AF$290,2, 0),"")</f>
        <v>ضباء</v>
      </c>
      <c r="H269" s="212" t="s">
        <v>89</v>
      </c>
      <c r="I269" s="246" t="n">
        <f aca="false">SUM(K269:R269)</f>
        <v>2</v>
      </c>
      <c r="J269" s="182" t="n">
        <v>45530</v>
      </c>
      <c r="K269" s="184"/>
      <c r="L269" s="185"/>
      <c r="M269" s="150" t="n">
        <v>2</v>
      </c>
      <c r="S269" s="192" t="n">
        <f aca="false">(K269+O269+Q269)*24 /1130+(L269+M269+P269+R269)*12/1130+(N269*30)/1130</f>
        <v>0.0212389380530973</v>
      </c>
      <c r="T269" s="193" t="n">
        <f aca="false">SUMIFS(K$3228:K$4138,$H$3228:$H$4138,$AD269)</f>
        <v>0</v>
      </c>
      <c r="U269" s="194" t="n">
        <f aca="false">SUMIFS(L$3228:L$4138,$H$3228:$H$4138,$AD269)</f>
        <v>0</v>
      </c>
      <c r="V269" s="195" t="n">
        <f aca="false">SUMIFS(M$3228:M$4138,$H$3228:$H$4138,$AD269)</f>
        <v>0</v>
      </c>
      <c r="W269" s="193" t="n">
        <f aca="false">SUMIFS(N$3228:N$4138,$H$3228:$H$4138,$AD269)</f>
        <v>0</v>
      </c>
      <c r="X269" s="193" t="n">
        <f aca="false">SUMIFS(O$3228:O$4138,$H$3228:$H$4138,$AD269)</f>
        <v>0</v>
      </c>
      <c r="Y269" s="196" t="n">
        <f aca="false">SUMIFS(P$3228:P$4138,$H$3228:$H$4138,$AD269)</f>
        <v>0</v>
      </c>
      <c r="Z269" s="193" t="n">
        <f aca="false">SUMIFS(Q$3228:Q$4138,$H$3228:$H$4138,$AD269)</f>
        <v>0</v>
      </c>
      <c r="AA269" s="195" t="n">
        <f aca="false">SUMIFS(R$3228:R$4138,$H$3228:$H$4138,$AD269)</f>
        <v>0</v>
      </c>
      <c r="AB269" s="197" t="n">
        <f aca="false">SUMIFS(S$3228:S$4138,$H$3228:$H$4138,$AD269)</f>
        <v>0</v>
      </c>
      <c r="AC269" s="198" t="n">
        <f aca="false">SUM(T269:AA269)</f>
        <v>0</v>
      </c>
      <c r="AD269" s="267" t="s">
        <v>311</v>
      </c>
      <c r="AE269" s="268" t="n">
        <v>1007998</v>
      </c>
      <c r="AF269" s="269" t="s">
        <v>301</v>
      </c>
      <c r="AG269" s="128"/>
      <c r="AH269" s="128" t="n">
        <v>0</v>
      </c>
      <c r="AI269" s="203"/>
      <c r="AL269" s="128" t="n">
        <v>10</v>
      </c>
      <c r="BN269" s="255"/>
      <c r="BP269" s="255"/>
      <c r="BX269" s="205" t="n">
        <f aca="false">BV269*5+BW269*2</f>
        <v>0</v>
      </c>
    </row>
    <row r="270" customFormat="false" ht="15" hidden="true" customHeight="true" outlineLevel="0" collapsed="false">
      <c r="B270" s="127" t="n">
        <f aca="false">B269+D270-C270</f>
        <v>0.25</v>
      </c>
      <c r="C270" s="127" t="n">
        <f aca="false">3000+D266+500+358</f>
        <v>5249.5</v>
      </c>
      <c r="E270" s="212" t="s">
        <v>470</v>
      </c>
      <c r="F270" s="147" t="str">
        <f aca="false">IFERROR(VLOOKUP(H270,$AD$1:$AE$301,2,0),"")</f>
        <v/>
      </c>
      <c r="G270" s="147" t="str">
        <f aca="false">IFERROR(VLOOKUP(F270,$AE$2:$AF$290,2, 0),"")</f>
        <v/>
      </c>
      <c r="H270" s="212" t="s">
        <v>393</v>
      </c>
      <c r="I270" s="246" t="n">
        <f aca="false">SUM(K270:R270)</f>
        <v>0</v>
      </c>
      <c r="J270" s="182" t="n">
        <v>45530</v>
      </c>
      <c r="K270" s="184"/>
      <c r="L270" s="185"/>
      <c r="S270" s="192" t="n">
        <f aca="false">(K270+O270+Q270)*24 /1130+(L270+M270+P270+R270)*12/1130+(N270*30)/1130</f>
        <v>0</v>
      </c>
      <c r="T270" s="193" t="n">
        <f aca="false">SUMIFS(K$3228:K$4138,$H$3228:$H$4138,$AD270)</f>
        <v>0</v>
      </c>
      <c r="U270" s="194" t="n">
        <f aca="false">SUMIFS(L$3228:L$4138,$H$3228:$H$4138,$AD270)</f>
        <v>0</v>
      </c>
      <c r="V270" s="195" t="n">
        <f aca="false">SUMIFS(M$3228:M$4138,$H$3228:$H$4138,$AD270)</f>
        <v>0</v>
      </c>
      <c r="W270" s="193" t="n">
        <f aca="false">SUMIFS(N$3228:N$4138,$H$3228:$H$4138,$AD270)</f>
        <v>0</v>
      </c>
      <c r="X270" s="193" t="n">
        <f aca="false">SUMIFS(O$3228:O$4138,$H$3228:$H$4138,$AD270)</f>
        <v>0</v>
      </c>
      <c r="Y270" s="196" t="n">
        <f aca="false">SUMIFS(P$3228:P$4138,$H$3228:$H$4138,$AD270)</f>
        <v>0</v>
      </c>
      <c r="Z270" s="193" t="n">
        <f aca="false">SUMIFS(Q$3228:Q$4138,$H$3228:$H$4138,$AD270)</f>
        <v>0</v>
      </c>
      <c r="AA270" s="195" t="n">
        <f aca="false">SUMIFS(R$3228:R$4138,$H$3228:$H$4138,$AD270)</f>
        <v>0</v>
      </c>
      <c r="AB270" s="197" t="n">
        <f aca="false">SUMIFS(S$3228:S$4138,$H$3228:$H$4138,$AD270)</f>
        <v>0</v>
      </c>
      <c r="AC270" s="198" t="n">
        <f aca="false">SUM(T270:AA270)</f>
        <v>0</v>
      </c>
      <c r="AD270" s="270" t="s">
        <v>312</v>
      </c>
      <c r="AE270" s="271" t="n">
        <v>1007999</v>
      </c>
      <c r="AF270" s="269" t="s">
        <v>301</v>
      </c>
      <c r="AG270" s="202" t="s">
        <v>603</v>
      </c>
      <c r="AH270" s="128" t="n">
        <v>508573324</v>
      </c>
      <c r="AI270" s="203"/>
      <c r="AJ270" s="162" t="n">
        <v>5</v>
      </c>
      <c r="AL270" s="128" t="n">
        <v>11</v>
      </c>
      <c r="AN270" s="128" t="n">
        <v>12</v>
      </c>
      <c r="AO270" s="128" t="n">
        <v>12</v>
      </c>
      <c r="AT270" s="128" t="n">
        <f aca="false">1</f>
        <v>1</v>
      </c>
      <c r="AU270" s="128" t="n">
        <f aca="false">8</f>
        <v>8</v>
      </c>
      <c r="AX270" s="128" t="n">
        <v>1</v>
      </c>
      <c r="AY270" s="128" t="n">
        <v>3</v>
      </c>
      <c r="AZ270" s="128" t="n">
        <f aca="false">3</f>
        <v>3</v>
      </c>
      <c r="BN270" s="255"/>
      <c r="BP270" s="255"/>
      <c r="BX270" s="205" t="n">
        <f aca="false">BV270*5+BW270*2</f>
        <v>0</v>
      </c>
      <c r="BZ270" s="162" t="n">
        <v>4</v>
      </c>
      <c r="CB270" s="206" t="n">
        <v>12</v>
      </c>
    </row>
    <row r="271" customFormat="false" ht="15" hidden="true" customHeight="true" outlineLevel="0" collapsed="false">
      <c r="B271" s="127" t="n">
        <f aca="false">B270+D271-C271</f>
        <v>328</v>
      </c>
      <c r="D271" s="146" t="n">
        <v>327.75</v>
      </c>
      <c r="E271" s="147" t="n">
        <v>214</v>
      </c>
      <c r="F271" s="147" t="n">
        <f aca="false">IFERROR(VLOOKUP(H271,$AD$1:$AE$301,2,0),"")</f>
        <v>1008059</v>
      </c>
      <c r="G271" s="147" t="str">
        <f aca="false">IFERROR(VLOOKUP(F271,$AE$2:$AF$290,2, 0),"")</f>
        <v>تبوك</v>
      </c>
      <c r="H271" s="212" t="s">
        <v>129</v>
      </c>
      <c r="I271" s="246" t="n">
        <f aca="false">SUM(K271:R271)</f>
        <v>1</v>
      </c>
      <c r="J271" s="182" t="n">
        <v>45530</v>
      </c>
      <c r="K271" s="184" t="n">
        <v>1</v>
      </c>
      <c r="L271" s="185"/>
      <c r="S271" s="192" t="n">
        <f aca="false">(K271+O271+Q271)*24 /1130+(L271+M271+P271+R271)*12/1130+(N271*30)/1130</f>
        <v>0.0212389380530973</v>
      </c>
      <c r="T271" s="193" t="n">
        <f aca="false">SUMIFS(K$3228:K$4138,$H$3228:$H$4138,$AD271)</f>
        <v>0</v>
      </c>
      <c r="U271" s="194" t="n">
        <f aca="false">SUMIFS(L$3228:L$4138,$H$3228:$H$4138,$AD271)</f>
        <v>0</v>
      </c>
      <c r="V271" s="195" t="n">
        <f aca="false">SUMIFS(M$3228:M$4138,$H$3228:$H$4138,$AD271)</f>
        <v>0</v>
      </c>
      <c r="W271" s="193" t="n">
        <f aca="false">SUMIFS(N$3228:N$4138,$H$3228:$H$4138,$AD271)</f>
        <v>0</v>
      </c>
      <c r="X271" s="193" t="n">
        <f aca="false">SUMIFS(O$3228:O$4138,$H$3228:$H$4138,$AD271)</f>
        <v>0</v>
      </c>
      <c r="Y271" s="196" t="n">
        <f aca="false">SUMIFS(P$3228:P$4138,$H$3228:$H$4138,$AD271)</f>
        <v>0</v>
      </c>
      <c r="Z271" s="193" t="n">
        <f aca="false">SUMIFS(Q$3228:Q$4138,$H$3228:$H$4138,$AD271)</f>
        <v>0</v>
      </c>
      <c r="AA271" s="195" t="n">
        <f aca="false">SUMIFS(R$3228:R$4138,$H$3228:$H$4138,$AD271)</f>
        <v>0</v>
      </c>
      <c r="AB271" s="197" t="n">
        <f aca="false">SUMIFS(S$3228:S$4138,$H$3228:$H$4138,$AD271)</f>
        <v>0</v>
      </c>
      <c r="AC271" s="198" t="n">
        <f aca="false">SUM(T271:AA271)</f>
        <v>0</v>
      </c>
      <c r="AD271" s="267" t="s">
        <v>313</v>
      </c>
      <c r="AE271" s="268" t="n">
        <v>1008000</v>
      </c>
      <c r="AF271" s="269" t="s">
        <v>301</v>
      </c>
      <c r="AG271" s="128"/>
      <c r="AH271" s="128" t="n">
        <v>0</v>
      </c>
      <c r="AI271" s="203"/>
      <c r="AK271" s="220"/>
      <c r="AL271" s="157"/>
      <c r="AM271" s="157"/>
      <c r="BN271" s="255"/>
      <c r="BP271" s="255"/>
      <c r="BX271" s="205" t="n">
        <f aca="false">BV271*5+BW271*2</f>
        <v>0</v>
      </c>
    </row>
    <row r="272" customFormat="false" ht="15" hidden="true" customHeight="true" outlineLevel="0" collapsed="false">
      <c r="B272" s="127" t="n">
        <f aca="false">B271+D272-C272</f>
        <v>471.75</v>
      </c>
      <c r="D272" s="146" t="n">
        <v>143.75</v>
      </c>
      <c r="E272" s="147" t="n">
        <v>213</v>
      </c>
      <c r="F272" s="147" t="n">
        <f aca="false">IFERROR(VLOOKUP(H272,$AD$1:$AE$301,2,0),"")</f>
        <v>1008260</v>
      </c>
      <c r="G272" s="147" t="str">
        <f aca="false">IFERROR(VLOOKUP(F272,$AE$2:$AF$290,2, 0),"")</f>
        <v>تبوك</v>
      </c>
      <c r="H272" s="212" t="s">
        <v>184</v>
      </c>
      <c r="I272" s="246" t="n">
        <f aca="false">SUM(K272:R272)</f>
        <v>1</v>
      </c>
      <c r="J272" s="182" t="n">
        <v>45530</v>
      </c>
      <c r="K272" s="184"/>
      <c r="L272" s="185"/>
      <c r="P272" s="153" t="n">
        <v>1</v>
      </c>
      <c r="S272" s="192" t="n">
        <f aca="false">(K272+O272+Q272)*24 /1130+(L272+M272+P272+R272)*12/1130+(N272*30)/1130</f>
        <v>0.0106194690265487</v>
      </c>
      <c r="T272" s="193" t="n">
        <f aca="false">SUMIFS(K$3228:K$4138,$H$3228:$H$4138,$AD272)</f>
        <v>0</v>
      </c>
      <c r="U272" s="194" t="n">
        <f aca="false">SUMIFS(L$3228:L$4138,$H$3228:$H$4138,$AD272)</f>
        <v>0</v>
      </c>
      <c r="V272" s="195" t="n">
        <f aca="false">SUMIFS(M$3228:M$4138,$H$3228:$H$4138,$AD272)</f>
        <v>0</v>
      </c>
      <c r="W272" s="193" t="n">
        <f aca="false">SUMIFS(N$3228:N$4138,$H$3228:$H$4138,$AD272)</f>
        <v>0</v>
      </c>
      <c r="X272" s="193" t="n">
        <f aca="false">SUMIFS(O$3228:O$4138,$H$3228:$H$4138,$AD272)</f>
        <v>0</v>
      </c>
      <c r="Y272" s="196" t="n">
        <f aca="false">SUMIFS(P$3228:P$4138,$H$3228:$H$4138,$AD272)</f>
        <v>0</v>
      </c>
      <c r="Z272" s="193" t="n">
        <f aca="false">SUMIFS(Q$3228:Q$4138,$H$3228:$H$4138,$AD272)</f>
        <v>0</v>
      </c>
      <c r="AA272" s="195" t="n">
        <f aca="false">SUMIFS(R$3228:R$4138,$H$3228:$H$4138,$AD272)</f>
        <v>0</v>
      </c>
      <c r="AB272" s="197" t="n">
        <f aca="false">SUMIFS(S$3228:S$4138,$H$3228:$H$4138,$AD272)</f>
        <v>0</v>
      </c>
      <c r="AC272" s="198" t="n">
        <f aca="false">SUM(T272:AA272)</f>
        <v>0</v>
      </c>
      <c r="AD272" s="267" t="s">
        <v>314</v>
      </c>
      <c r="AE272" s="268" t="n">
        <v>1008001</v>
      </c>
      <c r="AF272" s="269" t="s">
        <v>301</v>
      </c>
      <c r="AG272" s="128"/>
      <c r="AH272" s="128" t="n">
        <v>0</v>
      </c>
      <c r="AI272" s="203"/>
      <c r="AK272" s="220"/>
      <c r="AL272" s="157"/>
      <c r="AM272" s="157"/>
      <c r="AN272" s="272"/>
      <c r="BN272" s="255"/>
      <c r="BP272" s="255"/>
      <c r="BX272" s="205" t="n">
        <f aca="false">BV272*5+BW272*2</f>
        <v>0</v>
      </c>
    </row>
    <row r="273" customFormat="false" ht="15" hidden="true" customHeight="true" outlineLevel="0" collapsed="false">
      <c r="B273" s="127" t="n">
        <f aca="false">B272+D273-C273</f>
        <v>-3346.25</v>
      </c>
      <c r="C273" s="127" t="n">
        <f aca="false">D272+D260-0.5+D274+D275+100+455.5+1402.75+23.75+100</f>
        <v>3818</v>
      </c>
      <c r="F273" s="147" t="str">
        <f aca="false">IFERROR(VLOOKUP(H273,$AD$1:$AE$301,2,0),"")</f>
        <v/>
      </c>
      <c r="G273" s="147" t="str">
        <f aca="false">IFERROR(VLOOKUP(F273,$AE$2:$AF$290,2, 0),"")</f>
        <v/>
      </c>
      <c r="H273" s="212" t="s">
        <v>393</v>
      </c>
      <c r="I273" s="246" t="n">
        <f aca="false">SUM(K273:R273)</f>
        <v>0</v>
      </c>
      <c r="J273" s="182" t="n">
        <v>45530</v>
      </c>
      <c r="K273" s="184"/>
      <c r="L273" s="185"/>
      <c r="S273" s="192" t="n">
        <f aca="false">(K273+O273+Q273)*24 /1130+(L273+M273+P273+R273)*12/1130+(N273*30)/1130</f>
        <v>0</v>
      </c>
      <c r="T273" s="193" t="n">
        <f aca="false">SUMIFS(K$3228:K$4138,$H$3228:$H$4138,$AD273)</f>
        <v>0</v>
      </c>
      <c r="U273" s="194" t="n">
        <f aca="false">SUMIFS(L$3228:L$4138,$H$3228:$H$4138,$AD273)</f>
        <v>0</v>
      </c>
      <c r="V273" s="195" t="n">
        <f aca="false">SUMIFS(M$3228:M$4138,$H$3228:$H$4138,$AD273)</f>
        <v>0</v>
      </c>
      <c r="W273" s="193" t="n">
        <f aca="false">SUMIFS(N$3228:N$4138,$H$3228:$H$4138,$AD273)</f>
        <v>0</v>
      </c>
      <c r="X273" s="193" t="n">
        <f aca="false">SUMIFS(O$3228:O$4138,$H$3228:$H$4138,$AD273)</f>
        <v>0</v>
      </c>
      <c r="Y273" s="196" t="n">
        <f aca="false">SUMIFS(P$3228:P$4138,$H$3228:$H$4138,$AD273)</f>
        <v>0</v>
      </c>
      <c r="Z273" s="193" t="n">
        <f aca="false">SUMIFS(Q$3228:Q$4138,$H$3228:$H$4138,$AD273)</f>
        <v>0</v>
      </c>
      <c r="AA273" s="195" t="n">
        <f aca="false">SUMIFS(R$3228:R$4138,$H$3228:$H$4138,$AD273)</f>
        <v>0</v>
      </c>
      <c r="AB273" s="197" t="n">
        <f aca="false">SUMIFS(S$3228:S$4138,$H$3228:$H$4138,$AD273)</f>
        <v>0</v>
      </c>
      <c r="AC273" s="198" t="n">
        <f aca="false">SUM(T273:AA273)</f>
        <v>0</v>
      </c>
      <c r="AD273" s="267" t="s">
        <v>315</v>
      </c>
      <c r="AE273" s="268" t="n">
        <v>1008003</v>
      </c>
      <c r="AF273" s="269" t="s">
        <v>301</v>
      </c>
      <c r="AG273" s="128"/>
      <c r="AH273" s="128" t="n">
        <v>0</v>
      </c>
      <c r="AI273" s="203"/>
      <c r="AN273" s="209"/>
      <c r="BN273" s="255"/>
      <c r="BP273" s="255"/>
      <c r="BX273" s="205" t="n">
        <f aca="false">BV273*5+BW273*2</f>
        <v>0</v>
      </c>
      <c r="CB273" s="157" t="n">
        <v>12</v>
      </c>
      <c r="CD273" s="157" t="n">
        <v>1</v>
      </c>
    </row>
    <row r="274" customFormat="false" ht="15" hidden="true" customHeight="true" outlineLevel="0" collapsed="false">
      <c r="B274" s="127" t="n">
        <f aca="false">B273+D274-C274</f>
        <v>-2437.75</v>
      </c>
      <c r="D274" s="146" t="n">
        <f aca="false">304.75+247.25+(2*178.25)</f>
        <v>908.5</v>
      </c>
      <c r="E274" s="147" t="n">
        <v>216</v>
      </c>
      <c r="F274" s="147" t="n">
        <f aca="false">IFERROR(VLOOKUP(H274,$AD$1:$AE$301,2,0),"")</f>
        <v>1008004</v>
      </c>
      <c r="G274" s="147" t="str">
        <f aca="false">IFERROR(VLOOKUP(F274,$AE$2:$AF$290,2, 0),"")</f>
        <v>حقل</v>
      </c>
      <c r="H274" s="212" t="s">
        <v>316</v>
      </c>
      <c r="I274" s="246" t="n">
        <f aca="false">SUM(K274:R274)</f>
        <v>4</v>
      </c>
      <c r="J274" s="182" t="n">
        <v>45532</v>
      </c>
      <c r="K274" s="184"/>
      <c r="L274" s="185" t="n">
        <v>2</v>
      </c>
      <c r="N274" s="151" t="n">
        <v>1</v>
      </c>
      <c r="O274" s="152" t="n">
        <v>1</v>
      </c>
      <c r="S274" s="192" t="n">
        <f aca="false">(K274+O274+Q274)*24 /1130+(L274+M274+P274+R274)*12/1130+(N274*30)/1130</f>
        <v>0.0690265486725664</v>
      </c>
      <c r="T274" s="193" t="n">
        <f aca="false">SUMIFS(K$3228:K$4138,$H$3228:$H$4138,$AD274)</f>
        <v>0</v>
      </c>
      <c r="U274" s="194" t="n">
        <f aca="false">SUMIFS(L$3228:L$4138,$H$3228:$H$4138,$AD274)</f>
        <v>0</v>
      </c>
      <c r="V274" s="195" t="n">
        <f aca="false">SUMIFS(M$3228:M$4138,$H$3228:$H$4138,$AD274)</f>
        <v>0</v>
      </c>
      <c r="W274" s="193" t="n">
        <f aca="false">SUMIFS(N$3228:N$4138,$H$3228:$H$4138,$AD274)</f>
        <v>0</v>
      </c>
      <c r="X274" s="193" t="n">
        <f aca="false">SUMIFS(O$3228:O$4138,$H$3228:$H$4138,$AD274)</f>
        <v>0</v>
      </c>
      <c r="Y274" s="196" t="n">
        <f aca="false">SUMIFS(P$3228:P$4138,$H$3228:$H$4138,$AD274)</f>
        <v>0</v>
      </c>
      <c r="Z274" s="193" t="n">
        <f aca="false">SUMIFS(Q$3228:Q$4138,$H$3228:$H$4138,$AD274)</f>
        <v>0</v>
      </c>
      <c r="AA274" s="195" t="n">
        <f aca="false">SUMIFS(R$3228:R$4138,$H$3228:$H$4138,$AD274)</f>
        <v>0</v>
      </c>
      <c r="AB274" s="197" t="n">
        <f aca="false">SUMIFS(S$3228:S$4138,$H$3228:$H$4138,$AD274)</f>
        <v>0</v>
      </c>
      <c r="AC274" s="198" t="n">
        <f aca="false">SUM(T274:AA274)</f>
        <v>0</v>
      </c>
      <c r="AD274" s="273" t="s">
        <v>316</v>
      </c>
      <c r="AE274" s="274" t="n">
        <v>1008004</v>
      </c>
      <c r="AF274" s="275" t="s">
        <v>301</v>
      </c>
      <c r="AG274" s="202" t="s">
        <v>604</v>
      </c>
      <c r="AH274" s="128" t="n">
        <v>507680578</v>
      </c>
      <c r="AI274" s="203"/>
      <c r="AJ274" s="162" t="n">
        <v>15</v>
      </c>
      <c r="AK274" s="162" t="n">
        <f aca="false">8+8</f>
        <v>16</v>
      </c>
      <c r="BN274" s="255"/>
      <c r="BP274" s="255"/>
      <c r="BX274" s="205" t="n">
        <f aca="false">BV274*5+BW274*2</f>
        <v>0</v>
      </c>
      <c r="BZ274" s="162" t="n">
        <v>6</v>
      </c>
      <c r="CB274" s="219" t="n">
        <f aca="false">36</f>
        <v>36</v>
      </c>
      <c r="CC274" s="219" t="n">
        <f aca="false">30</f>
        <v>30</v>
      </c>
      <c r="CD274" s="157" t="n">
        <v>3</v>
      </c>
    </row>
    <row r="275" customFormat="false" ht="15" hidden="true" customHeight="true" outlineLevel="0" collapsed="false">
      <c r="B275" s="127" t="n">
        <f aca="false">B274+D275-C275</f>
        <v>-2110</v>
      </c>
      <c r="D275" s="146" t="n">
        <v>327.75</v>
      </c>
      <c r="E275" s="147" t="n">
        <v>217</v>
      </c>
      <c r="F275" s="147" t="n">
        <f aca="false">IFERROR(VLOOKUP(H275,$AD$1:$AE$301,2,0),"")</f>
        <v>1008006</v>
      </c>
      <c r="G275" s="147" t="str">
        <f aca="false">IFERROR(VLOOKUP(F275,$AE$2:$AF$290,2, 0),"")</f>
        <v>حقل</v>
      </c>
      <c r="H275" s="212" t="s">
        <v>302</v>
      </c>
      <c r="I275" s="246" t="n">
        <f aca="false">SUM(K275:R275)</f>
        <v>1</v>
      </c>
      <c r="J275" s="182" t="n">
        <v>45532</v>
      </c>
      <c r="K275" s="184" t="n">
        <v>1</v>
      </c>
      <c r="L275" s="185"/>
      <c r="S275" s="192" t="n">
        <f aca="false">(K275+O275+Q275)*24 /1130+(L275+M275+P275+R275)*12/1130+(N275*30)/1130</f>
        <v>0.0212389380530973</v>
      </c>
      <c r="T275" s="193" t="n">
        <f aca="false">SUMIFS(K$3228:K$4138,$H$3228:$H$4138,$AD275)</f>
        <v>0</v>
      </c>
      <c r="U275" s="194" t="n">
        <f aca="false">SUMIFS(L$3228:L$4138,$H$3228:$H$4138,$AD275)</f>
        <v>0</v>
      </c>
      <c r="V275" s="195" t="n">
        <f aca="false">SUMIFS(M$3228:M$4138,$H$3228:$H$4138,$AD275)</f>
        <v>0</v>
      </c>
      <c r="W275" s="193" t="n">
        <f aca="false">SUMIFS(N$3228:N$4138,$H$3228:$H$4138,$AD275)</f>
        <v>0</v>
      </c>
      <c r="X275" s="193" t="n">
        <f aca="false">SUMIFS(O$3228:O$4138,$H$3228:$H$4138,$AD275)</f>
        <v>0</v>
      </c>
      <c r="Y275" s="196" t="n">
        <f aca="false">SUMIFS(P$3228:P$4138,$H$3228:$H$4138,$AD275)</f>
        <v>0</v>
      </c>
      <c r="Z275" s="193" t="n">
        <f aca="false">SUMIFS(Q$3228:Q$4138,$H$3228:$H$4138,$AD275)</f>
        <v>0</v>
      </c>
      <c r="AA275" s="195" t="n">
        <f aca="false">SUMIFS(R$3228:R$4138,$H$3228:$H$4138,$AD275)</f>
        <v>0</v>
      </c>
      <c r="AB275" s="197" t="n">
        <f aca="false">SUMIFS(S$3228:S$4138,$H$3228:$H$4138,$AD275)</f>
        <v>0</v>
      </c>
      <c r="AC275" s="198" t="n">
        <f aca="false">SUM(T275:AA275)</f>
        <v>0</v>
      </c>
      <c r="AD275" s="241"/>
      <c r="AE275" s="266"/>
      <c r="AF275" s="240"/>
      <c r="AG275" s="128"/>
      <c r="AH275" s="128" t="n">
        <v>0</v>
      </c>
      <c r="AI275" s="203"/>
      <c r="AK275" s="276"/>
      <c r="AL275" s="277"/>
      <c r="AM275" s="277"/>
      <c r="BN275" s="255"/>
      <c r="BP275" s="255"/>
      <c r="BX275" s="205" t="n">
        <f aca="false">BV275*5+BW275*2</f>
        <v>0</v>
      </c>
    </row>
    <row r="276" customFormat="false" ht="15" hidden="true" customHeight="true" outlineLevel="0" collapsed="false">
      <c r="B276" s="127" t="n">
        <f aca="false">B275+D276-C276</f>
        <v>-1782.25</v>
      </c>
      <c r="D276" s="146" t="n">
        <v>327.75</v>
      </c>
      <c r="E276" s="147" t="n">
        <v>223</v>
      </c>
      <c r="F276" s="147" t="n">
        <f aca="false">IFERROR(VLOOKUP(H276,$AD$1:$AE$301,2,0),"")</f>
        <v>1008030</v>
      </c>
      <c r="G276" s="147" t="str">
        <f aca="false">IFERROR(VLOOKUP(F276,$AE$2:$AF$290,2, 0),"")</f>
        <v>البير</v>
      </c>
      <c r="H276" s="212" t="s">
        <v>298</v>
      </c>
      <c r="I276" s="246" t="n">
        <f aca="false">SUM(K276:R276)</f>
        <v>1</v>
      </c>
      <c r="J276" s="182" t="n">
        <v>45532</v>
      </c>
      <c r="K276" s="184" t="n">
        <v>1</v>
      </c>
      <c r="L276" s="185"/>
      <c r="S276" s="192" t="n">
        <f aca="false">(K276+O276+Q276)*24 /1130+(L276+M276+P276+R276)*12/1130+(N276*30)/1130</f>
        <v>0.0212389380530973</v>
      </c>
      <c r="T276" s="193" t="n">
        <f aca="false">SUMIFS(K$3228:K$4138,$H$3228:$H$4138,$AD276)</f>
        <v>0</v>
      </c>
      <c r="U276" s="194" t="n">
        <f aca="false">SUMIFS(L$3228:L$4138,$H$3228:$H$4138,$AD276)</f>
        <v>0</v>
      </c>
      <c r="V276" s="195" t="n">
        <f aca="false">SUMIFS(M$3228:M$4138,$H$3228:$H$4138,$AD276)</f>
        <v>0</v>
      </c>
      <c r="W276" s="193" t="n">
        <f aca="false">SUMIFS(N$3228:N$4138,$H$3228:$H$4138,$AD276)</f>
        <v>0</v>
      </c>
      <c r="X276" s="193" t="n">
        <f aca="false">SUMIFS(O$3228:O$4138,$H$3228:$H$4138,$AD276)</f>
        <v>0</v>
      </c>
      <c r="Y276" s="196" t="n">
        <f aca="false">SUMIFS(P$3228:P$4138,$H$3228:$H$4138,$AD276)</f>
        <v>0</v>
      </c>
      <c r="Z276" s="193" t="n">
        <f aca="false">SUMIFS(Q$3228:Q$4138,$H$3228:$H$4138,$AD276)</f>
        <v>0</v>
      </c>
      <c r="AA276" s="195" t="n">
        <f aca="false">SUMIFS(R$3228:R$4138,$H$3228:$H$4138,$AD276)</f>
        <v>0</v>
      </c>
      <c r="AB276" s="197" t="n">
        <f aca="false">SUMIFS(S$3228:S$4138,$H$3228:$H$4138,$AD276)</f>
        <v>0</v>
      </c>
      <c r="AC276" s="198" t="n">
        <f aca="false">SUM(T276:AA276)</f>
        <v>0</v>
      </c>
      <c r="AD276" s="278" t="s">
        <v>317</v>
      </c>
      <c r="AE276" s="263" t="n">
        <v>1006522</v>
      </c>
      <c r="AF276" s="279" t="s">
        <v>224</v>
      </c>
      <c r="AG276" s="202" t="s">
        <v>605</v>
      </c>
      <c r="AH276" s="128" t="n">
        <v>501804825</v>
      </c>
      <c r="AI276" s="203"/>
      <c r="AK276" s="162" t="n">
        <f aca="false">24+19</f>
        <v>43</v>
      </c>
      <c r="AL276" s="209" t="n">
        <v>9</v>
      </c>
      <c r="AM276" s="209" t="n">
        <v>157</v>
      </c>
      <c r="AV276" s="128" t="n">
        <f aca="false">7+18</f>
        <v>25</v>
      </c>
      <c r="AW276" s="128" t="n">
        <f aca="false">4+5</f>
        <v>9</v>
      </c>
      <c r="BB276" s="128" t="n">
        <f aca="false">4</f>
        <v>4</v>
      </c>
      <c r="BF276" s="157" t="n">
        <f aca="false">20</f>
        <v>20</v>
      </c>
      <c r="BN276" s="255"/>
      <c r="BP276" s="255"/>
      <c r="BX276" s="205" t="n">
        <f aca="false">BV276*5+BW276*2</f>
        <v>0</v>
      </c>
      <c r="BZ276" s="162" t="n">
        <v>9</v>
      </c>
      <c r="CB276" s="206" t="n">
        <v>1</v>
      </c>
    </row>
    <row r="277" customFormat="false" ht="15" hidden="true" customHeight="true" outlineLevel="0" collapsed="false">
      <c r="B277" s="127" t="n">
        <f aca="false">B276+D277-C277</f>
        <v>-1126.75</v>
      </c>
      <c r="D277" s="146" t="n">
        <f aca="false">327.75*2</f>
        <v>655.5</v>
      </c>
      <c r="E277" s="147" t="n">
        <v>218</v>
      </c>
      <c r="F277" s="147" t="n">
        <f aca="false">IFERROR(VLOOKUP(H277,$AD$1:$AE$301,2,0),"")</f>
        <v>1006522</v>
      </c>
      <c r="G277" s="147" t="str">
        <f aca="false">IFERROR(VLOOKUP(F277,$AE$2:$AF$290,2, 0),"")</f>
        <v>البدع</v>
      </c>
      <c r="H277" s="212" t="s">
        <v>317</v>
      </c>
      <c r="I277" s="246" t="n">
        <f aca="false">SUM(K277:R277)</f>
        <v>2</v>
      </c>
      <c r="J277" s="182" t="n">
        <v>45532</v>
      </c>
      <c r="K277" s="184" t="n">
        <v>2</v>
      </c>
      <c r="L277" s="185"/>
      <c r="S277" s="192" t="n">
        <f aca="false">(K277+O277+Q277)*24 /1130+(L277+M277+P277+R277)*12/1130+(N277*30)/1130</f>
        <v>0.0424778761061947</v>
      </c>
      <c r="T277" s="193" t="n">
        <f aca="false">SUMIFS(K$3228:K$4138,$H$3228:$H$4138,$AD277)</f>
        <v>0</v>
      </c>
      <c r="U277" s="194" t="n">
        <f aca="false">SUMIFS(L$3228:L$4138,$H$3228:$H$4138,$AD277)</f>
        <v>0</v>
      </c>
      <c r="V277" s="195" t="n">
        <f aca="false">SUMIFS(M$3228:M$4138,$H$3228:$H$4138,$AD277)</f>
        <v>0</v>
      </c>
      <c r="W277" s="193" t="n">
        <f aca="false">SUMIFS(N$3228:N$4138,$H$3228:$H$4138,$AD277)</f>
        <v>0</v>
      </c>
      <c r="X277" s="193" t="n">
        <f aca="false">SUMIFS(O$3228:O$4138,$H$3228:$H$4138,$AD277)</f>
        <v>0</v>
      </c>
      <c r="Y277" s="196" t="n">
        <f aca="false">SUMIFS(P$3228:P$4138,$H$3228:$H$4138,$AD277)</f>
        <v>0</v>
      </c>
      <c r="Z277" s="193" t="n">
        <f aca="false">SUMIFS(Q$3228:Q$4138,$H$3228:$H$4138,$AD277)</f>
        <v>0</v>
      </c>
      <c r="AA277" s="195" t="n">
        <f aca="false">SUMIFS(R$3228:R$4138,$H$3228:$H$4138,$AD277)</f>
        <v>0</v>
      </c>
      <c r="AB277" s="197" t="n">
        <f aca="false">SUMIFS(S$3228:S$4138,$H$3228:$H$4138,$AD277)</f>
        <v>0</v>
      </c>
      <c r="AC277" s="198" t="n">
        <f aca="false">SUM(T277:AA277)</f>
        <v>0</v>
      </c>
      <c r="AD277" s="278" t="s">
        <v>318</v>
      </c>
      <c r="AE277" s="263" t="n">
        <v>1008010</v>
      </c>
      <c r="AF277" s="279" t="s">
        <v>224</v>
      </c>
      <c r="AG277" s="128"/>
      <c r="AH277" s="128" t="n">
        <v>0</v>
      </c>
      <c r="AI277" s="203"/>
      <c r="BN277" s="255"/>
      <c r="BP277" s="255"/>
      <c r="BX277" s="205" t="n">
        <f aca="false">BV277*5+BW277*2</f>
        <v>0</v>
      </c>
      <c r="BZ277" s="162" t="n">
        <v>6</v>
      </c>
      <c r="CQ277" s="128" t="n">
        <f aca="false">5</f>
        <v>5</v>
      </c>
    </row>
    <row r="278" customFormat="false" ht="15" hidden="true" customHeight="true" outlineLevel="0" collapsed="false">
      <c r="B278" s="127" t="n">
        <f aca="false">B277+D278-C278</f>
        <v>-983</v>
      </c>
      <c r="D278" s="146" t="n">
        <v>143.75</v>
      </c>
      <c r="E278" s="147" t="n">
        <v>220</v>
      </c>
      <c r="F278" s="147" t="n">
        <f aca="false">IFERROR(VLOOKUP(H278,$AD$1:$AE$301,2,0),"")</f>
        <v>1008040</v>
      </c>
      <c r="G278" s="147" t="str">
        <f aca="false">IFERROR(VLOOKUP(F278,$AE$2:$AF$290,2, 0),"")</f>
        <v>البير</v>
      </c>
      <c r="H278" s="212" t="s">
        <v>292</v>
      </c>
      <c r="I278" s="246" t="n">
        <f aca="false">SUM(K278:R278)</f>
        <v>1</v>
      </c>
      <c r="J278" s="182" t="n">
        <v>45532</v>
      </c>
      <c r="K278" s="184"/>
      <c r="L278" s="185"/>
      <c r="P278" s="153" t="n">
        <v>1</v>
      </c>
      <c r="S278" s="192" t="n">
        <f aca="false">(K278+O278+Q278)*24 /1130+(L278+M278+P278+R278)*12/1130+(N278*30)/1130</f>
        <v>0.0106194690265487</v>
      </c>
      <c r="T278" s="193" t="n">
        <f aca="false">SUMIFS(K$3228:K$4138,$H$3228:$H$4138,$AD278)</f>
        <v>0</v>
      </c>
      <c r="U278" s="194" t="n">
        <f aca="false">SUMIFS(L$3228:L$4138,$H$3228:$H$4138,$AD278)</f>
        <v>0</v>
      </c>
      <c r="V278" s="195" t="n">
        <f aca="false">SUMIFS(M$3228:M$4138,$H$3228:$H$4138,$AD278)</f>
        <v>0</v>
      </c>
      <c r="W278" s="193" t="n">
        <f aca="false">SUMIFS(N$3228:N$4138,$H$3228:$H$4138,$AD278)</f>
        <v>0</v>
      </c>
      <c r="X278" s="193" t="n">
        <f aca="false">SUMIFS(O$3228:O$4138,$H$3228:$H$4138,$AD278)</f>
        <v>0</v>
      </c>
      <c r="Y278" s="196" t="n">
        <f aca="false">SUMIFS(P$3228:P$4138,$H$3228:$H$4138,$AD278)</f>
        <v>0</v>
      </c>
      <c r="Z278" s="193" t="n">
        <f aca="false">SUMIFS(Q$3228:Q$4138,$H$3228:$H$4138,$AD278)</f>
        <v>0</v>
      </c>
      <c r="AA278" s="195" t="n">
        <f aca="false">SUMIFS(R$3228:R$4138,$H$3228:$H$4138,$AD278)</f>
        <v>0</v>
      </c>
      <c r="AB278" s="197" t="n">
        <f aca="false">SUMIFS(S$3228:S$4138,$H$3228:$H$4138,$AD278)</f>
        <v>0</v>
      </c>
      <c r="AC278" s="198" t="n">
        <f aca="false">SUM(T278:AA278)</f>
        <v>0</v>
      </c>
      <c r="AD278" s="278" t="s">
        <v>319</v>
      </c>
      <c r="AE278" s="263" t="n">
        <v>786</v>
      </c>
      <c r="AF278" s="279" t="s">
        <v>224</v>
      </c>
      <c r="AG278" s="202" t="s">
        <v>606</v>
      </c>
      <c r="AH278" s="128" t="n">
        <v>533480357</v>
      </c>
      <c r="AI278" s="203"/>
      <c r="BN278" s="255"/>
      <c r="BP278" s="255"/>
      <c r="BX278" s="205" t="n">
        <f aca="false">BV278*5+BW278*2</f>
        <v>0</v>
      </c>
      <c r="BZ278" s="162" t="n">
        <v>7</v>
      </c>
      <c r="CB278" s="206" t="n">
        <v>12</v>
      </c>
    </row>
    <row r="279" customFormat="false" ht="15" hidden="true" customHeight="true" outlineLevel="0" collapsed="false">
      <c r="B279" s="127" t="n">
        <f aca="false">B278+D279-C279</f>
        <v>-655.25</v>
      </c>
      <c r="D279" s="146" t="n">
        <v>327.75</v>
      </c>
      <c r="E279" s="147" t="n">
        <v>219</v>
      </c>
      <c r="F279" s="147" t="n">
        <f aca="false">IFERROR(VLOOKUP(H279,$AD$1:$AE$301,2,0),"")</f>
        <v>1008020</v>
      </c>
      <c r="G279" s="147" t="str">
        <f aca="false">IFERROR(VLOOKUP(F279,$AE$2:$AF$290,2, 0),"")</f>
        <v>البير</v>
      </c>
      <c r="H279" s="212" t="s">
        <v>293</v>
      </c>
      <c r="I279" s="246" t="n">
        <f aca="false">SUM(K279:R279)</f>
        <v>1</v>
      </c>
      <c r="J279" s="182" t="n">
        <v>45532</v>
      </c>
      <c r="K279" s="184" t="n">
        <v>1</v>
      </c>
      <c r="L279" s="185"/>
      <c r="S279" s="192" t="n">
        <f aca="false">(K279+O279+Q279)*24 /1130+(L279+M279+P279+R279)*12/1130+(N279*30)/1130</f>
        <v>0.0212389380530973</v>
      </c>
      <c r="T279" s="193" t="n">
        <f aca="false">SUMIFS(K$3228:K$4138,$H$3228:$H$4138,$AD279)</f>
        <v>0</v>
      </c>
      <c r="U279" s="194" t="n">
        <f aca="false">SUMIFS(L$3228:L$4138,$H$3228:$H$4138,$AD279)</f>
        <v>0</v>
      </c>
      <c r="V279" s="195" t="n">
        <f aca="false">SUMIFS(M$3228:M$4138,$H$3228:$H$4138,$AD279)</f>
        <v>0</v>
      </c>
      <c r="W279" s="193" t="n">
        <f aca="false">SUMIFS(N$3228:N$4138,$H$3228:$H$4138,$AD279)</f>
        <v>0</v>
      </c>
      <c r="X279" s="193" t="n">
        <f aca="false">SUMIFS(O$3228:O$4138,$H$3228:$H$4138,$AD279)</f>
        <v>0</v>
      </c>
      <c r="Y279" s="196" t="n">
        <f aca="false">SUMIFS(P$3228:P$4138,$H$3228:$H$4138,$AD279)</f>
        <v>0</v>
      </c>
      <c r="Z279" s="193" t="n">
        <f aca="false">SUMIFS(Q$3228:Q$4138,$H$3228:$H$4138,$AD279)</f>
        <v>0</v>
      </c>
      <c r="AA279" s="195" t="n">
        <f aca="false">SUMIFS(R$3228:R$4138,$H$3228:$H$4138,$AD279)</f>
        <v>0</v>
      </c>
      <c r="AB279" s="197" t="n">
        <f aca="false">SUMIFS(S$3228:S$4138,$H$3228:$H$4138,$AD279)</f>
        <v>0</v>
      </c>
      <c r="AC279" s="198" t="n">
        <f aca="false">SUM(T279:AA279)</f>
        <v>0</v>
      </c>
      <c r="AD279" s="278" t="s">
        <v>320</v>
      </c>
      <c r="AE279" s="263" t="n">
        <v>1008012</v>
      </c>
      <c r="AF279" s="279" t="s">
        <v>224</v>
      </c>
      <c r="AG279" s="128"/>
      <c r="AH279" s="128" t="n">
        <v>0</v>
      </c>
      <c r="AI279" s="203"/>
      <c r="BN279" s="255"/>
      <c r="BP279" s="255"/>
      <c r="BX279" s="205" t="n">
        <f aca="false">BV279*5+BW279*2</f>
        <v>0</v>
      </c>
      <c r="BZ279" s="162" t="n">
        <v>2</v>
      </c>
    </row>
    <row r="280" customFormat="false" ht="15" hidden="true" customHeight="true" outlineLevel="0" collapsed="false">
      <c r="B280" s="127" t="n">
        <f aca="false">B279+D280-C280</f>
        <v>-327.5</v>
      </c>
      <c r="D280" s="146" t="n">
        <v>327.75</v>
      </c>
      <c r="E280" s="147" t="n">
        <v>222</v>
      </c>
      <c r="F280" s="147" t="n">
        <f aca="false">IFERROR(VLOOKUP(H280,$AD$1:$AE$301,2,0),"")</f>
        <v>1007996</v>
      </c>
      <c r="G280" s="147" t="str">
        <f aca="false">IFERROR(VLOOKUP(F280,$AE$2:$AF$290,2, 0),"")</f>
        <v>البير</v>
      </c>
      <c r="H280" s="212" t="s">
        <v>295</v>
      </c>
      <c r="I280" s="246" t="n">
        <f aca="false">SUM(K280:R280)</f>
        <v>1</v>
      </c>
      <c r="J280" s="182" t="n">
        <v>45532</v>
      </c>
      <c r="K280" s="184" t="n">
        <v>1</v>
      </c>
      <c r="L280" s="185"/>
      <c r="S280" s="192" t="n">
        <f aca="false">(K280+O280+Q280)*24 /1130+(L280+M280+P280+R280)*12/1130+(N280*30)/1130</f>
        <v>0.0212389380530973</v>
      </c>
      <c r="T280" s="193" t="n">
        <f aca="false">SUMIFS(K$3228:K$4138,$H$3228:$H$4138,$AD280)</f>
        <v>0</v>
      </c>
      <c r="U280" s="194" t="n">
        <f aca="false">SUMIFS(L$3228:L$4138,$H$3228:$H$4138,$AD280)</f>
        <v>0</v>
      </c>
      <c r="V280" s="195" t="n">
        <f aca="false">SUMIFS(M$3228:M$4138,$H$3228:$H$4138,$AD280)</f>
        <v>0</v>
      </c>
      <c r="W280" s="193" t="n">
        <f aca="false">SUMIFS(N$3228:N$4138,$H$3228:$H$4138,$AD280)</f>
        <v>0</v>
      </c>
      <c r="X280" s="193" t="n">
        <f aca="false">SUMIFS(O$3228:O$4138,$H$3228:$H$4138,$AD280)</f>
        <v>0</v>
      </c>
      <c r="Y280" s="196" t="n">
        <f aca="false">SUMIFS(P$3228:P$4138,$H$3228:$H$4138,$AD280)</f>
        <v>0</v>
      </c>
      <c r="Z280" s="193" t="n">
        <f aca="false">SUMIFS(Q$3228:Q$4138,$H$3228:$H$4138,$AD280)</f>
        <v>0</v>
      </c>
      <c r="AA280" s="195" t="n">
        <f aca="false">SUMIFS(R$3228:R$4138,$H$3228:$H$4138,$AD280)</f>
        <v>0</v>
      </c>
      <c r="AB280" s="197" t="n">
        <f aca="false">SUMIFS(S$3228:S$4138,$H$3228:$H$4138,$AD280)</f>
        <v>0</v>
      </c>
      <c r="AC280" s="198" t="n">
        <f aca="false">SUM(T280:AA280)</f>
        <v>0</v>
      </c>
      <c r="AD280" s="278" t="s">
        <v>321</v>
      </c>
      <c r="AE280" s="263" t="n">
        <v>1008013</v>
      </c>
      <c r="AF280" s="279" t="s">
        <v>224</v>
      </c>
      <c r="AG280" s="128"/>
      <c r="AH280" s="128" t="n">
        <v>0</v>
      </c>
      <c r="AI280" s="203"/>
      <c r="BN280" s="255"/>
      <c r="BP280" s="255"/>
      <c r="BX280" s="205" t="n">
        <f aca="false">BV280*5+BW280*2</f>
        <v>0</v>
      </c>
    </row>
    <row r="281" customFormat="false" ht="15" hidden="true" customHeight="true" outlineLevel="0" collapsed="false">
      <c r="B281" s="127" t="n">
        <f aca="false">B280+D281-C281</f>
        <v>0.25</v>
      </c>
      <c r="D281" s="146" t="n">
        <v>327.75</v>
      </c>
      <c r="E281" s="147" t="n">
        <v>221</v>
      </c>
      <c r="F281" s="147" t="n">
        <f aca="false">IFERROR(VLOOKUP(H281,$AD$1:$AE$301,2,0),"")</f>
        <v>1007965</v>
      </c>
      <c r="G281" s="147" t="str">
        <f aca="false">IFERROR(VLOOKUP(F281,$AE$2:$AF$290,2, 0),"")</f>
        <v>البير</v>
      </c>
      <c r="H281" s="212" t="s">
        <v>290</v>
      </c>
      <c r="I281" s="246" t="n">
        <f aca="false">SUM(K281:R281)</f>
        <v>1</v>
      </c>
      <c r="J281" s="182" t="n">
        <v>45532</v>
      </c>
      <c r="K281" s="184" t="n">
        <v>1</v>
      </c>
      <c r="L281" s="185"/>
      <c r="S281" s="192" t="n">
        <f aca="false">(K281+O281+Q281)*24 /1130+(L281+M281+P281+R281)*12/1130+(N281*30)/1130</f>
        <v>0.0212389380530973</v>
      </c>
      <c r="T281" s="193" t="n">
        <f aca="false">SUMIFS(K$3228:K$4138,$H$3228:$H$4138,$AD281)</f>
        <v>0</v>
      </c>
      <c r="U281" s="194" t="n">
        <f aca="false">SUMIFS(L$3228:L$4138,$H$3228:$H$4138,$AD281)</f>
        <v>0</v>
      </c>
      <c r="V281" s="195" t="n">
        <f aca="false">SUMIFS(M$3228:M$4138,$H$3228:$H$4138,$AD281)</f>
        <v>0</v>
      </c>
      <c r="W281" s="193" t="n">
        <f aca="false">SUMIFS(N$3228:N$4138,$H$3228:$H$4138,$AD281)</f>
        <v>0</v>
      </c>
      <c r="X281" s="193" t="n">
        <f aca="false">SUMIFS(O$3228:O$4138,$H$3228:$H$4138,$AD281)</f>
        <v>0</v>
      </c>
      <c r="Y281" s="196" t="n">
        <f aca="false">SUMIFS(P$3228:P$4138,$H$3228:$H$4138,$AD281)</f>
        <v>0</v>
      </c>
      <c r="Z281" s="193" t="n">
        <f aca="false">SUMIFS(Q$3228:Q$4138,$H$3228:$H$4138,$AD281)</f>
        <v>0</v>
      </c>
      <c r="AA281" s="195" t="n">
        <f aca="false">SUMIFS(R$3228:R$4138,$H$3228:$H$4138,$AD281)</f>
        <v>0</v>
      </c>
      <c r="AB281" s="197" t="n">
        <f aca="false">SUMIFS(S$3228:S$4138,$H$3228:$H$4138,$AD281)</f>
        <v>0</v>
      </c>
      <c r="AC281" s="198" t="n">
        <f aca="false">SUM(T281:AA281)</f>
        <v>0</v>
      </c>
      <c r="AD281" s="278" t="s">
        <v>322</v>
      </c>
      <c r="AE281" s="263" t="n">
        <v>1008014</v>
      </c>
      <c r="AF281" s="279" t="s">
        <v>224</v>
      </c>
      <c r="AG281" s="202" t="s">
        <v>607</v>
      </c>
      <c r="AH281" s="128" t="n">
        <v>535499043</v>
      </c>
      <c r="AI281" s="203"/>
      <c r="BB281" s="128" t="n">
        <f aca="false">52</f>
        <v>52</v>
      </c>
      <c r="BN281" s="255"/>
      <c r="BP281" s="255"/>
      <c r="BX281" s="205" t="n">
        <f aca="false">BV281*5+BW281*2</f>
        <v>0</v>
      </c>
      <c r="BZ281" s="162" t="n">
        <v>6</v>
      </c>
    </row>
    <row r="282" customFormat="false" ht="15" hidden="true" customHeight="true" outlineLevel="0" collapsed="false">
      <c r="B282" s="127" t="n">
        <f aca="false">B281+D282-C282</f>
        <v>563.75</v>
      </c>
      <c r="D282" s="146" t="n">
        <v>563.5</v>
      </c>
      <c r="E282" s="147" t="n">
        <v>229</v>
      </c>
      <c r="F282" s="147" t="n">
        <f aca="false">IFERROR(VLOOKUP(H282,$AD$1:$AE$301,2,0),"")</f>
        <v>1008262</v>
      </c>
      <c r="G282" s="147" t="str">
        <f aca="false">IFERROR(VLOOKUP(F282,$AE$2:$AF$290,2, 0),"")</f>
        <v>تبوك</v>
      </c>
      <c r="H282" s="212" t="s">
        <v>176</v>
      </c>
      <c r="I282" s="246" t="n">
        <f aca="false">SUM(K282:R282)</f>
        <v>2</v>
      </c>
      <c r="J282" s="182" t="n">
        <v>45532</v>
      </c>
      <c r="K282" s="184" t="n">
        <v>1</v>
      </c>
      <c r="L282" s="185"/>
      <c r="M282" s="150" t="n">
        <v>1</v>
      </c>
      <c r="S282" s="192" t="n">
        <f aca="false">(K282+O282+Q282)*24 /1130+(L282+M282+P282+R282)*12/1130+(N282*30)/1130</f>
        <v>0.031858407079646</v>
      </c>
      <c r="T282" s="193" t="n">
        <f aca="false">SUMIFS(K$3228:K$4138,$H$3228:$H$4138,$AD282)</f>
        <v>0</v>
      </c>
      <c r="U282" s="194" t="n">
        <f aca="false">SUMIFS(L$3228:L$4138,$H$3228:$H$4138,$AD282)</f>
        <v>0</v>
      </c>
      <c r="V282" s="195" t="n">
        <f aca="false">SUMIFS(M$3228:M$4138,$H$3228:$H$4138,$AD282)</f>
        <v>0</v>
      </c>
      <c r="W282" s="193" t="n">
        <f aca="false">SUMIFS(N$3228:N$4138,$H$3228:$H$4138,$AD282)</f>
        <v>0</v>
      </c>
      <c r="X282" s="193" t="n">
        <f aca="false">SUMIFS(O$3228:O$4138,$H$3228:$H$4138,$AD282)</f>
        <v>0</v>
      </c>
      <c r="Y282" s="196" t="n">
        <f aca="false">SUMIFS(P$3228:P$4138,$H$3228:$H$4138,$AD282)</f>
        <v>0</v>
      </c>
      <c r="Z282" s="193" t="n">
        <f aca="false">SUMIFS(Q$3228:Q$4138,$H$3228:$H$4138,$AD282)</f>
        <v>0</v>
      </c>
      <c r="AA282" s="195" t="n">
        <f aca="false">SUMIFS(R$3228:R$4138,$H$3228:$H$4138,$AD282)</f>
        <v>0</v>
      </c>
      <c r="AB282" s="197" t="n">
        <f aca="false">SUMIFS(S$3228:S$4138,$H$3228:$H$4138,$AD282)</f>
        <v>0</v>
      </c>
      <c r="AC282" s="198" t="n">
        <f aca="false">SUM(T282:AA282)</f>
        <v>0</v>
      </c>
      <c r="AD282" s="278" t="s">
        <v>323</v>
      </c>
      <c r="AE282" s="263" t="n">
        <v>1008015</v>
      </c>
      <c r="AF282" s="279" t="s">
        <v>224</v>
      </c>
      <c r="AG282" s="128"/>
      <c r="AH282" s="128" t="n">
        <v>0</v>
      </c>
      <c r="AI282" s="203"/>
      <c r="BN282" s="255"/>
      <c r="BP282" s="255"/>
      <c r="BX282" s="205" t="n">
        <f aca="false">BV282*5+BW282*2</f>
        <v>0</v>
      </c>
    </row>
    <row r="283" customFormat="false" ht="15" hidden="true" customHeight="true" outlineLevel="0" collapsed="false">
      <c r="B283" s="127" t="n">
        <f aca="false">B282+D283-C283</f>
        <v>1627.5</v>
      </c>
      <c r="D283" s="146" t="n">
        <f aca="false">212.75*5</f>
        <v>1063.75</v>
      </c>
      <c r="E283" s="147" t="n">
        <v>225</v>
      </c>
      <c r="F283" s="147" t="n">
        <f aca="false">IFERROR(VLOOKUP(H283,$AD$1:$AE$301,2,0),"")</f>
        <v>1008263</v>
      </c>
      <c r="G283" s="147" t="str">
        <f aca="false">IFERROR(VLOOKUP(F283,$AE$2:$AF$290,2, 0),"")</f>
        <v>تبوك</v>
      </c>
      <c r="H283" s="212" t="s">
        <v>239</v>
      </c>
      <c r="I283" s="246" t="n">
        <f aca="false">SUM(K283:R283)</f>
        <v>5</v>
      </c>
      <c r="J283" s="182" t="n">
        <v>45533</v>
      </c>
      <c r="K283" s="184"/>
      <c r="L283" s="185"/>
      <c r="Q283" s="154" t="n">
        <v>5</v>
      </c>
      <c r="S283" s="192" t="n">
        <f aca="false">(K283+O283+Q283)*24 /1130+(L283+M283+P283+R283)*12/1130+(N283*30)/1130</f>
        <v>0.106194690265487</v>
      </c>
      <c r="T283" s="193" t="n">
        <f aca="false">SUMIFS(K$3228:K$4138,$H$3228:$H$4138,$AD283)</f>
        <v>0</v>
      </c>
      <c r="U283" s="194" t="n">
        <f aca="false">SUMIFS(L$3228:L$4138,$H$3228:$H$4138,$AD283)</f>
        <v>0</v>
      </c>
      <c r="V283" s="195" t="n">
        <f aca="false">SUMIFS(M$3228:M$4138,$H$3228:$H$4138,$AD283)</f>
        <v>0</v>
      </c>
      <c r="W283" s="193" t="n">
        <f aca="false">SUMIFS(N$3228:N$4138,$H$3228:$H$4138,$AD283)</f>
        <v>0</v>
      </c>
      <c r="X283" s="193" t="n">
        <f aca="false">SUMIFS(O$3228:O$4138,$H$3228:$H$4138,$AD283)</f>
        <v>0</v>
      </c>
      <c r="Y283" s="196" t="n">
        <f aca="false">SUMIFS(P$3228:P$4138,$H$3228:$H$4138,$AD283)</f>
        <v>0</v>
      </c>
      <c r="Z283" s="193" t="n">
        <f aca="false">SUMIFS(Q$3228:Q$4138,$H$3228:$H$4138,$AD283)</f>
        <v>0</v>
      </c>
      <c r="AA283" s="195" t="n">
        <f aca="false">SUMIFS(R$3228:R$4138,$H$3228:$H$4138,$AD283)</f>
        <v>0</v>
      </c>
      <c r="AB283" s="197" t="n">
        <f aca="false">SUMIFS(S$3228:S$4138,$H$3228:$H$4138,$AD283)</f>
        <v>0</v>
      </c>
      <c r="AC283" s="198" t="n">
        <f aca="false">SUM(T283:AA283)</f>
        <v>0</v>
      </c>
      <c r="AD283" s="278" t="s">
        <v>324</v>
      </c>
      <c r="AE283" s="263" t="n">
        <v>1008016</v>
      </c>
      <c r="AF283" s="279" t="s">
        <v>224</v>
      </c>
      <c r="AG283" s="128"/>
      <c r="AH283" s="128" t="n">
        <v>0</v>
      </c>
      <c r="AI283" s="203"/>
      <c r="BN283" s="255"/>
      <c r="BP283" s="255"/>
      <c r="BX283" s="205" t="n">
        <f aca="false">BV283*5+BW283*2</f>
        <v>0</v>
      </c>
      <c r="BZ283" s="162" t="n">
        <v>1</v>
      </c>
    </row>
    <row r="284" customFormat="false" ht="15" hidden="true" customHeight="true" outlineLevel="0" collapsed="false">
      <c r="B284" s="127" t="n">
        <f aca="false">B283+D284-C284</f>
        <v>2231.25</v>
      </c>
      <c r="D284" s="146" t="n">
        <f aca="false">276+327.75</f>
        <v>603.75</v>
      </c>
      <c r="E284" s="147" t="n">
        <v>224</v>
      </c>
      <c r="F284" s="147" t="n">
        <f aca="false">IFERROR(VLOOKUP(H284,$AD$1:$AE$301,2,0),"")</f>
        <v>1008057</v>
      </c>
      <c r="G284" s="147" t="str">
        <f aca="false">IFERROR(VLOOKUP(F284,$AE$2:$AF$290,2, 0),"")</f>
        <v>تبوك</v>
      </c>
      <c r="H284" s="212" t="s">
        <v>242</v>
      </c>
      <c r="I284" s="246" t="n">
        <f aca="false">SUM(K284:R284)</f>
        <v>2</v>
      </c>
      <c r="J284" s="182" t="n">
        <v>45533</v>
      </c>
      <c r="K284" s="184" t="n">
        <v>1</v>
      </c>
      <c r="L284" s="185"/>
      <c r="M284" s="150" t="n">
        <v>1</v>
      </c>
      <c r="S284" s="192" t="n">
        <f aca="false">(K284+O284+Q284)*24 /1130+(L284+M284+P284+R284)*12/1130+(N284*30)/1130</f>
        <v>0.031858407079646</v>
      </c>
      <c r="T284" s="193" t="n">
        <f aca="false">SUMIFS(K$3228:K$4138,$H$3228:$H$4138,$AD284)</f>
        <v>0</v>
      </c>
      <c r="U284" s="194" t="n">
        <f aca="false">SUMIFS(L$3228:L$4138,$H$3228:$H$4138,$AD284)</f>
        <v>0</v>
      </c>
      <c r="V284" s="195" t="n">
        <f aca="false">SUMIFS(M$3228:M$4138,$H$3228:$H$4138,$AD284)</f>
        <v>0</v>
      </c>
      <c r="W284" s="193" t="n">
        <f aca="false">SUMIFS(N$3228:N$4138,$H$3228:$H$4138,$AD284)</f>
        <v>0</v>
      </c>
      <c r="X284" s="193" t="n">
        <f aca="false">SUMIFS(O$3228:O$4138,$H$3228:$H$4138,$AD284)</f>
        <v>0</v>
      </c>
      <c r="Y284" s="196" t="n">
        <f aca="false">SUMIFS(P$3228:P$4138,$H$3228:$H$4138,$AD284)</f>
        <v>0</v>
      </c>
      <c r="Z284" s="193" t="n">
        <f aca="false">SUMIFS(Q$3228:Q$4138,$H$3228:$H$4138,$AD284)</f>
        <v>0</v>
      </c>
      <c r="AA284" s="195" t="n">
        <f aca="false">SUMIFS(R$3228:R$4138,$H$3228:$H$4138,$AD284)</f>
        <v>0</v>
      </c>
      <c r="AB284" s="197" t="n">
        <f aca="false">SUMIFS(S$3228:S$4138,$H$3228:$H$4138,$AD284)</f>
        <v>0</v>
      </c>
      <c r="AC284" s="198" t="n">
        <f aca="false">SUM(T284:AA284)</f>
        <v>0</v>
      </c>
      <c r="AD284" s="278" t="s">
        <v>325</v>
      </c>
      <c r="AE284" s="263" t="n">
        <v>1008017</v>
      </c>
      <c r="AF284" s="279" t="s">
        <v>224</v>
      </c>
      <c r="AG284" s="202" t="s">
        <v>608</v>
      </c>
      <c r="AH284" s="128" t="n">
        <v>538928582</v>
      </c>
      <c r="AI284" s="203"/>
      <c r="AM284" s="128" t="n">
        <v>10</v>
      </c>
      <c r="AO284" s="128" t="n">
        <v>10</v>
      </c>
      <c r="BD284" s="128" t="n">
        <f aca="false">14+70+27</f>
        <v>111</v>
      </c>
      <c r="BF284" s="157" t="n">
        <f aca="false">4+31</f>
        <v>35</v>
      </c>
      <c r="BH284" s="128" t="n">
        <f aca="false">9</f>
        <v>9</v>
      </c>
      <c r="BI284" s="128" t="n">
        <f aca="false">5</f>
        <v>5</v>
      </c>
      <c r="BN284" s="255"/>
      <c r="BP284" s="255"/>
      <c r="BX284" s="205" t="n">
        <f aca="false">BV284*5+BW284*2</f>
        <v>0</v>
      </c>
      <c r="BZ284" s="162" t="n">
        <v>4</v>
      </c>
    </row>
    <row r="285" customFormat="false" ht="15" hidden="true" customHeight="true" outlineLevel="0" collapsed="false">
      <c r="B285" s="127" t="n">
        <f aca="false">B284+D285-C285</f>
        <v>4358.75</v>
      </c>
      <c r="D285" s="146" t="n">
        <f aca="false">10*212.75</f>
        <v>2127.5</v>
      </c>
      <c r="E285" s="147" t="n">
        <v>226</v>
      </c>
      <c r="F285" s="147" t="n">
        <f aca="false">IFERROR(VLOOKUP(H285,$AD$1:$AE$301,2,0),"")</f>
        <v>1007997</v>
      </c>
      <c r="G285" s="147" t="str">
        <f aca="false">IFERROR(VLOOKUP(F285,$AE$2:$AF$290,2, 0),"")</f>
        <v>البير</v>
      </c>
      <c r="H285" s="212" t="s">
        <v>296</v>
      </c>
      <c r="I285" s="246" t="n">
        <f aca="false">SUM(K285:R285)</f>
        <v>10</v>
      </c>
      <c r="J285" s="182" t="n">
        <v>45533</v>
      </c>
      <c r="K285" s="184"/>
      <c r="L285" s="185"/>
      <c r="Q285" s="154" t="n">
        <v>10</v>
      </c>
      <c r="S285" s="192" t="n">
        <f aca="false">(K285+O285+Q285)*24 /1130+(L285+M285+P285+R285)*12/1130+(N285*30)/1130</f>
        <v>0.212389380530973</v>
      </c>
      <c r="T285" s="193" t="n">
        <f aca="false">SUMIFS(K$3228:K$4138,$H$3228:$H$4138,$AD285)</f>
        <v>0</v>
      </c>
      <c r="U285" s="194" t="n">
        <f aca="false">SUMIFS(L$3228:L$4138,$H$3228:$H$4138,$AD285)</f>
        <v>0</v>
      </c>
      <c r="V285" s="195" t="n">
        <f aca="false">SUMIFS(M$3228:M$4138,$H$3228:$H$4138,$AD285)</f>
        <v>0</v>
      </c>
      <c r="W285" s="193" t="n">
        <f aca="false">SUMIFS(N$3228:N$4138,$H$3228:$H$4138,$AD285)</f>
        <v>0</v>
      </c>
      <c r="X285" s="193" t="n">
        <f aca="false">SUMIFS(O$3228:O$4138,$H$3228:$H$4138,$AD285)</f>
        <v>0</v>
      </c>
      <c r="Y285" s="196" t="n">
        <f aca="false">SUMIFS(P$3228:P$4138,$H$3228:$H$4138,$AD285)</f>
        <v>0</v>
      </c>
      <c r="Z285" s="193" t="n">
        <f aca="false">SUMIFS(Q$3228:Q$4138,$H$3228:$H$4138,$AD285)</f>
        <v>0</v>
      </c>
      <c r="AA285" s="195" t="n">
        <f aca="false">SUMIFS(R$3228:R$4138,$H$3228:$H$4138,$AD285)</f>
        <v>0</v>
      </c>
      <c r="AB285" s="197" t="n">
        <f aca="false">SUMIFS(S$3228:S$4138,$H$3228:$H$4138,$AD285)</f>
        <v>0</v>
      </c>
      <c r="AC285" s="198" t="n">
        <f aca="false">SUM(T285:AA285)</f>
        <v>0</v>
      </c>
      <c r="AD285" s="278" t="s">
        <v>326</v>
      </c>
      <c r="AE285" s="263" t="n">
        <v>1008018</v>
      </c>
      <c r="AF285" s="279" t="s">
        <v>224</v>
      </c>
      <c r="AG285" s="128"/>
      <c r="AH285" s="128" t="n">
        <v>0</v>
      </c>
      <c r="AI285" s="203"/>
      <c r="BN285" s="255"/>
      <c r="BP285" s="255"/>
      <c r="BX285" s="205" t="n">
        <f aca="false">BV285*5+BW285*2</f>
        <v>0</v>
      </c>
    </row>
    <row r="286" customFormat="false" ht="15" hidden="true" customHeight="true" outlineLevel="0" collapsed="false">
      <c r="A286" s="128" t="n">
        <f aca="false">D286-255.5-120-300-308</f>
        <v>-0.25</v>
      </c>
      <c r="B286" s="127" t="n">
        <f aca="false">B285+D286-C286</f>
        <v>5342</v>
      </c>
      <c r="D286" s="146" t="n">
        <f aca="false">3*327.75</f>
        <v>983.25</v>
      </c>
      <c r="E286" s="147" t="n">
        <v>227</v>
      </c>
      <c r="F286" s="147" t="n">
        <f aca="false">IFERROR(VLOOKUP(H286,$AD$1:$AE$301,2,0),"")</f>
        <v>1008264</v>
      </c>
      <c r="G286" s="147" t="str">
        <f aca="false">IFERROR(VLOOKUP(F286,$AE$2:$AF$290,2, 0),"")</f>
        <v>تبوك</v>
      </c>
      <c r="H286" s="212" t="s">
        <v>160</v>
      </c>
      <c r="I286" s="246" t="n">
        <f aca="false">SUM(K286:R286)</f>
        <v>3</v>
      </c>
      <c r="J286" s="182" t="n">
        <v>45533</v>
      </c>
      <c r="K286" s="184" t="n">
        <v>3</v>
      </c>
      <c r="L286" s="185"/>
      <c r="S286" s="192" t="n">
        <f aca="false">(K286+O286+Q286)*24 /1130+(L286+M286+P286+R286)*12/1130+(N286*30)/1130</f>
        <v>0.063716814159292</v>
      </c>
      <c r="T286" s="193" t="n">
        <f aca="false">SUMIFS(K$3228:K$4138,$H$3228:$H$4138,$AD286)</f>
        <v>0</v>
      </c>
      <c r="U286" s="194" t="n">
        <f aca="false">SUMIFS(L$3228:L$4138,$H$3228:$H$4138,$AD286)</f>
        <v>0</v>
      </c>
      <c r="V286" s="195" t="n">
        <f aca="false">SUMIFS(M$3228:M$4138,$H$3228:$H$4138,$AD286)</f>
        <v>0</v>
      </c>
      <c r="W286" s="193" t="n">
        <f aca="false">SUMIFS(N$3228:N$4138,$H$3228:$H$4138,$AD286)</f>
        <v>0</v>
      </c>
      <c r="X286" s="193" t="n">
        <f aca="false">SUMIFS(O$3228:O$4138,$H$3228:$H$4138,$AD286)</f>
        <v>0</v>
      </c>
      <c r="Y286" s="196" t="n">
        <f aca="false">SUMIFS(P$3228:P$4138,$H$3228:$H$4138,$AD286)</f>
        <v>0</v>
      </c>
      <c r="Z286" s="193" t="n">
        <f aca="false">SUMIFS(Q$3228:Q$4138,$H$3228:$H$4138,$AD286)</f>
        <v>0</v>
      </c>
      <c r="AA286" s="195" t="n">
        <f aca="false">SUMIFS(R$3228:R$4138,$H$3228:$H$4138,$AD286)</f>
        <v>0</v>
      </c>
      <c r="AB286" s="197" t="n">
        <f aca="false">SUMIFS(S$3228:S$4138,$H$3228:$H$4138,$AD286)</f>
        <v>0</v>
      </c>
      <c r="AC286" s="198" t="n">
        <f aca="false">SUM(T286:AA286)</f>
        <v>0</v>
      </c>
      <c r="AD286" s="278" t="s">
        <v>327</v>
      </c>
      <c r="AE286" s="263" t="n">
        <v>1008019</v>
      </c>
      <c r="AF286" s="279" t="s">
        <v>224</v>
      </c>
      <c r="AG286" s="202" t="s">
        <v>609</v>
      </c>
      <c r="AH286" s="128" t="n">
        <v>533989546</v>
      </c>
      <c r="AI286" s="203"/>
      <c r="AP286" s="128" t="n">
        <f aca="false">11+4</f>
        <v>15</v>
      </c>
      <c r="AQ286" s="128" t="n">
        <v>7</v>
      </c>
      <c r="AV286" s="128" t="n">
        <v>7</v>
      </c>
      <c r="BB286" s="128" t="n">
        <f aca="false">11</f>
        <v>11</v>
      </c>
      <c r="BN286" s="255"/>
      <c r="BP286" s="255"/>
      <c r="BX286" s="205" t="n">
        <f aca="false">BV286*5+BW286*2</f>
        <v>0</v>
      </c>
      <c r="BY286" s="128" t="n">
        <v>4</v>
      </c>
      <c r="BZ286" s="162" t="n">
        <v>5</v>
      </c>
      <c r="CB286" s="206" t="n">
        <v>12</v>
      </c>
    </row>
    <row r="287" customFormat="false" ht="15" hidden="true" customHeight="true" outlineLevel="0" collapsed="false">
      <c r="B287" s="127" t="n">
        <f aca="false">B286+D287-C287</f>
        <v>3724.5</v>
      </c>
      <c r="C287" s="127" t="n">
        <f aca="false">200+55.5+758+604</f>
        <v>1617.5</v>
      </c>
      <c r="D287" s="280"/>
      <c r="E287" s="212" t="s">
        <v>470</v>
      </c>
      <c r="F287" s="147" t="str">
        <f aca="false">IFERROR(VLOOKUP(H287,$AD$1:$AE$301,2,0),"")</f>
        <v/>
      </c>
      <c r="G287" s="147" t="str">
        <f aca="false">IFERROR(VLOOKUP(F287,$AE$2:$AF$290,2, 0),"")</f>
        <v/>
      </c>
      <c r="H287" s="212" t="s">
        <v>393</v>
      </c>
      <c r="I287" s="246" t="n">
        <f aca="false">SUM(K287:R287)</f>
        <v>0</v>
      </c>
      <c r="J287" s="182" t="n">
        <v>45533</v>
      </c>
      <c r="K287" s="184"/>
      <c r="L287" s="185"/>
      <c r="S287" s="192" t="n">
        <f aca="false">(K287+O287+Q287)*24 /1130+(L287+M287+P287+R287)*12/1130+(N287*30)/1130</f>
        <v>0</v>
      </c>
      <c r="T287" s="193" t="n">
        <f aca="false">SUMIFS(K$3228:K$4138,$H$3228:$H$4138,$AD287)</f>
        <v>0</v>
      </c>
      <c r="U287" s="194" t="n">
        <f aca="false">SUMIFS(L$3228:L$4138,$H$3228:$H$4138,$AD287)</f>
        <v>0</v>
      </c>
      <c r="V287" s="195" t="n">
        <f aca="false">SUMIFS(M$3228:M$4138,$H$3228:$H$4138,$AD287)</f>
        <v>0</v>
      </c>
      <c r="W287" s="193" t="n">
        <f aca="false">SUMIFS(N$3228:N$4138,$H$3228:$H$4138,$AD287)</f>
        <v>0</v>
      </c>
      <c r="X287" s="193" t="n">
        <f aca="false">SUMIFS(O$3228:O$4138,$H$3228:$H$4138,$AD287)</f>
        <v>0</v>
      </c>
      <c r="Y287" s="196" t="n">
        <f aca="false">SUMIFS(P$3228:P$4138,$H$3228:$H$4138,$AD287)</f>
        <v>0</v>
      </c>
      <c r="Z287" s="193" t="n">
        <f aca="false">SUMIFS(Q$3228:Q$4138,$H$3228:$H$4138,$AD287)</f>
        <v>0</v>
      </c>
      <c r="AA287" s="195" t="n">
        <f aca="false">SUMIFS(R$3228:R$4138,$H$3228:$H$4138,$AD287)</f>
        <v>0</v>
      </c>
      <c r="AB287" s="197" t="n">
        <f aca="false">SUMIFS(S$3228:S$4138,$H$3228:$H$4138,$AD287)</f>
        <v>0</v>
      </c>
      <c r="AC287" s="198" t="n">
        <f aca="false">SUM(T287:AA287)</f>
        <v>0</v>
      </c>
      <c r="AD287" s="278" t="s">
        <v>328</v>
      </c>
      <c r="AE287" s="263" t="n">
        <v>1008041</v>
      </c>
      <c r="AF287" s="279" t="s">
        <v>224</v>
      </c>
      <c r="AG287" s="128"/>
      <c r="AH287" s="128" t="n">
        <v>0</v>
      </c>
      <c r="AI287" s="203"/>
      <c r="BN287" s="255"/>
      <c r="BP287" s="255"/>
      <c r="BX287" s="205" t="n">
        <f aca="false">BV287*5+BW287*2</f>
        <v>0</v>
      </c>
    </row>
    <row r="288" customFormat="false" ht="15" hidden="true" customHeight="true" outlineLevel="0" collapsed="false">
      <c r="B288" s="127" t="n">
        <f aca="false">B287+D288-C288</f>
        <v>4000.5</v>
      </c>
      <c r="D288" s="146" t="n">
        <v>276</v>
      </c>
      <c r="E288" s="147" t="n">
        <v>228</v>
      </c>
      <c r="F288" s="147" t="n">
        <f aca="false">IFERROR(VLOOKUP(H288,$AD$1:$AE$301,2,0),"")</f>
        <v>1008264</v>
      </c>
      <c r="G288" s="147" t="str">
        <f aca="false">IFERROR(VLOOKUP(F288,$AE$2:$AF$290,2, 0),"")</f>
        <v>تبوك</v>
      </c>
      <c r="H288" s="212" t="s">
        <v>160</v>
      </c>
      <c r="I288" s="246" t="n">
        <f aca="false">SUM(K288:R288)</f>
        <v>1</v>
      </c>
      <c r="J288" s="182" t="n">
        <v>45533</v>
      </c>
      <c r="K288" s="184"/>
      <c r="L288" s="185"/>
      <c r="M288" s="150" t="n">
        <v>1</v>
      </c>
      <c r="S288" s="192" t="n">
        <f aca="false">(K288+O288+Q288)*24 /1130+(L288+M288+P288+R288)*12/1130+(N288*30)/1130</f>
        <v>0.0106194690265487</v>
      </c>
      <c r="T288" s="193" t="n">
        <f aca="false">SUMIFS(K$3228:K$4138,$H$3228:$H$4138,$AD288)</f>
        <v>0</v>
      </c>
      <c r="U288" s="194" t="n">
        <f aca="false">SUMIFS(L$3228:L$4138,$H$3228:$H$4138,$AD288)</f>
        <v>0</v>
      </c>
      <c r="V288" s="195" t="n">
        <f aca="false">SUMIFS(M$3228:M$4138,$H$3228:$H$4138,$AD288)</f>
        <v>0</v>
      </c>
      <c r="W288" s="193" t="n">
        <f aca="false">SUMIFS(N$3228:N$4138,$H$3228:$H$4138,$AD288)</f>
        <v>0</v>
      </c>
      <c r="X288" s="193" t="n">
        <f aca="false">SUMIFS(O$3228:O$4138,$H$3228:$H$4138,$AD288)</f>
        <v>0</v>
      </c>
      <c r="Y288" s="196" t="n">
        <f aca="false">SUMIFS(P$3228:P$4138,$H$3228:$H$4138,$AD288)</f>
        <v>0</v>
      </c>
      <c r="Z288" s="193" t="n">
        <f aca="false">SUMIFS(Q$3228:Q$4138,$H$3228:$H$4138,$AD288)</f>
        <v>0</v>
      </c>
      <c r="AA288" s="195" t="n">
        <f aca="false">SUMIFS(R$3228:R$4138,$H$3228:$H$4138,$AD288)</f>
        <v>0</v>
      </c>
      <c r="AB288" s="197" t="n">
        <f aca="false">SUMIFS(S$3228:S$4138,$H$3228:$H$4138,$AD288)</f>
        <v>0</v>
      </c>
      <c r="AC288" s="198" t="n">
        <f aca="false">SUM(T288:AA288)</f>
        <v>0</v>
      </c>
      <c r="AD288" s="278" t="s">
        <v>329</v>
      </c>
      <c r="AE288" s="263" t="n">
        <v>1008042</v>
      </c>
      <c r="AF288" s="279" t="s">
        <v>224</v>
      </c>
      <c r="AG288" s="128"/>
      <c r="AH288" s="128" t="n">
        <v>0</v>
      </c>
      <c r="AI288" s="203"/>
      <c r="BN288" s="255"/>
      <c r="BP288" s="255"/>
      <c r="BX288" s="205" t="n">
        <f aca="false">BV288*5+BW288*2</f>
        <v>0</v>
      </c>
      <c r="BZ288" s="162" t="n">
        <v>1</v>
      </c>
    </row>
    <row r="289" customFormat="false" ht="15" hidden="true" customHeight="true" outlineLevel="0" collapsed="false">
      <c r="B289" s="127" t="n">
        <f aca="false">B288+D289-C289</f>
        <v>0.5</v>
      </c>
      <c r="C289" s="127" t="n">
        <v>4000</v>
      </c>
      <c r="E289" s="212" t="s">
        <v>392</v>
      </c>
      <c r="F289" s="147" t="str">
        <f aca="false">IFERROR(VLOOKUP(H289,$AD$1:$AE$301,2,0),"")</f>
        <v/>
      </c>
      <c r="G289" s="147" t="str">
        <f aca="false">IFERROR(VLOOKUP(F289,$AE$2:$AF$290,2, 0),"")</f>
        <v/>
      </c>
      <c r="H289" s="212" t="s">
        <v>393</v>
      </c>
      <c r="I289" s="246" t="n">
        <f aca="false">SUM(K289:R289)</f>
        <v>0</v>
      </c>
      <c r="J289" s="182" t="n">
        <v>45533</v>
      </c>
      <c r="K289" s="184"/>
      <c r="L289" s="185"/>
      <c r="S289" s="192" t="n">
        <f aca="false">(K289+O289+Q289)*24 /1130+(L289+M289+P289+R289)*12/1130+(N289*30)/1130</f>
        <v>0</v>
      </c>
      <c r="T289" s="193" t="n">
        <f aca="false">SUMIFS(K$3228:K$4138,$H$3228:$H$4138,$AD289)</f>
        <v>0</v>
      </c>
      <c r="U289" s="194" t="n">
        <f aca="false">SUMIFS(L$3228:L$4138,$H$3228:$H$4138,$AD289)</f>
        <v>0</v>
      </c>
      <c r="V289" s="195" t="n">
        <f aca="false">SUMIFS(M$3228:M$4138,$H$3228:$H$4138,$AD289)</f>
        <v>0</v>
      </c>
      <c r="W289" s="193" t="n">
        <f aca="false">SUMIFS(N$3228:N$4138,$H$3228:$H$4138,$AD289)</f>
        <v>0</v>
      </c>
      <c r="X289" s="193" t="n">
        <f aca="false">SUMIFS(O$3228:O$4138,$H$3228:$H$4138,$AD289)</f>
        <v>0</v>
      </c>
      <c r="Y289" s="196" t="n">
        <f aca="false">SUMIFS(P$3228:P$4138,$H$3228:$H$4138,$AD289)</f>
        <v>0</v>
      </c>
      <c r="Z289" s="193" t="n">
        <f aca="false">SUMIFS(Q$3228:Q$4138,$H$3228:$H$4138,$AD289)</f>
        <v>0</v>
      </c>
      <c r="AA289" s="195" t="n">
        <f aca="false">SUMIFS(R$3228:R$4138,$H$3228:$H$4138,$AD289)</f>
        <v>0</v>
      </c>
      <c r="AB289" s="197" t="n">
        <f aca="false">SUMIFS(S$3228:S$4138,$H$3228:$H$4138,$AD289)</f>
        <v>0</v>
      </c>
      <c r="AC289" s="198" t="n">
        <f aca="false">SUM(T289:AA289)</f>
        <v>0</v>
      </c>
      <c r="AI289" s="203"/>
      <c r="BX289" s="205" t="n">
        <f aca="false">BV289*5+BW289*2</f>
        <v>0</v>
      </c>
    </row>
    <row r="290" customFormat="false" ht="15" hidden="false" customHeight="true" outlineLevel="0" collapsed="false">
      <c r="B290" s="127" t="n">
        <f aca="false">B289+D290-C290</f>
        <v>1311.5</v>
      </c>
      <c r="D290" s="146" t="n">
        <v>1311</v>
      </c>
      <c r="E290" s="147" t="n">
        <v>231</v>
      </c>
      <c r="F290" s="147" t="n">
        <f aca="false">IFERROR(VLOOKUP(H290,$AD$1:$AE$301,2,0),"")</f>
        <v>1008267</v>
      </c>
      <c r="G290" s="147" t="str">
        <f aca="false">IFERROR(VLOOKUP(F290,$AE$2:$AF$290,2, 0),"")</f>
        <v>الوجه</v>
      </c>
      <c r="H290" s="212" t="s">
        <v>114</v>
      </c>
      <c r="I290" s="246" t="n">
        <f aca="false">SUM(K290:R290)</f>
        <v>5</v>
      </c>
      <c r="J290" s="182" t="n">
        <v>45536</v>
      </c>
      <c r="K290" s="184" t="n">
        <v>4</v>
      </c>
      <c r="L290" s="185" t="n">
        <v>1</v>
      </c>
      <c r="S290" s="192" t="n">
        <f aca="false">(K290+O290+Q290)*24 /1130+(L290+M290+P290+R290)*12/1130+(N290*30)/1130</f>
        <v>0.0955752212389381</v>
      </c>
      <c r="T290" s="193" t="n">
        <f aca="false">SUMIFS(K$3228:K$4138,$H$3228:$H$4138,$AD290)</f>
        <v>0</v>
      </c>
      <c r="U290" s="194" t="n">
        <f aca="false">SUMIFS(L$3228:L$4138,$H$3228:$H$4138,$AD290)</f>
        <v>0</v>
      </c>
      <c r="V290" s="195" t="n">
        <f aca="false">SUMIFS(M$3228:M$4138,$H$3228:$H$4138,$AD290)</f>
        <v>0</v>
      </c>
      <c r="W290" s="193" t="n">
        <f aca="false">SUMIFS(N$3228:N$4138,$H$3228:$H$4138,$AD290)</f>
        <v>0</v>
      </c>
      <c r="X290" s="193" t="n">
        <f aca="false">SUMIFS(O$3228:O$4138,$H$3228:$H$4138,$AD290)</f>
        <v>0</v>
      </c>
      <c r="Y290" s="196" t="n">
        <f aca="false">SUMIFS(P$3228:P$4138,$H$3228:$H$4138,$AD290)</f>
        <v>0</v>
      </c>
      <c r="Z290" s="193" t="n">
        <f aca="false">SUMIFS(Q$3228:Q$4138,$H$3228:$H$4138,$AD290)</f>
        <v>0</v>
      </c>
      <c r="AA290" s="195" t="n">
        <f aca="false">SUMIFS(R$3228:R$4138,$H$3228:$H$4138,$AD290)</f>
        <v>0</v>
      </c>
      <c r="AB290" s="197" t="n">
        <f aca="false">SUMIFS(S$3228:S$4138,$H$3228:$H$4138,$AD290)</f>
        <v>0</v>
      </c>
      <c r="AC290" s="198" t="n">
        <f aca="false">SUM(T290:AA290)</f>
        <v>0</v>
      </c>
      <c r="AD290" s="221"/>
      <c r="AE290" s="221"/>
      <c r="AF290" s="240"/>
      <c r="AG290" s="244"/>
      <c r="AH290" s="244"/>
      <c r="AI290" s="203"/>
      <c r="BI290" s="281"/>
      <c r="BN290" s="255"/>
      <c r="BP290" s="255"/>
      <c r="BX290" s="205" t="n">
        <f aca="false">BV290*5+BW290*2</f>
        <v>0</v>
      </c>
    </row>
    <row r="291" customFormat="false" ht="15" hidden="false" customHeight="true" outlineLevel="0" collapsed="false">
      <c r="B291" s="127" t="n">
        <f aca="false">B290+D291-C291</f>
        <v>2622.5</v>
      </c>
      <c r="D291" s="146" t="n">
        <v>1311</v>
      </c>
      <c r="E291" s="147" t="n">
        <v>230</v>
      </c>
      <c r="F291" s="147" t="n">
        <f aca="false">IFERROR(VLOOKUP(H291,$AD$1:$AE$301,2,0),"")</f>
        <v>1008047</v>
      </c>
      <c r="G291" s="147" t="str">
        <f aca="false">IFERROR(VLOOKUP(F291,$AE$2:$AF$290,2, 0),"")</f>
        <v>الوجه</v>
      </c>
      <c r="H291" s="212" t="s">
        <v>422</v>
      </c>
      <c r="I291" s="246" t="n">
        <f aca="false">SUM(K291:R291)</f>
        <v>5</v>
      </c>
      <c r="J291" s="182" t="n">
        <v>45536</v>
      </c>
      <c r="K291" s="184" t="n">
        <v>4</v>
      </c>
      <c r="L291" s="185" t="n">
        <v>1</v>
      </c>
      <c r="S291" s="192" t="n">
        <f aca="false">(K291+O291+Q291)*24 /1130+(L291+M291+P291+R291)*12/1130+(N291*30)/1130</f>
        <v>0.0955752212389381</v>
      </c>
      <c r="T291" s="282" t="n">
        <f aca="false">SUM(T2:T290)</f>
        <v>65</v>
      </c>
      <c r="U291" s="282" t="n">
        <f aca="false">SUM(U2:U290)</f>
        <v>50</v>
      </c>
      <c r="V291" s="282" t="n">
        <f aca="false">SUM(V2:V290)</f>
        <v>0</v>
      </c>
      <c r="W291" s="282" t="n">
        <f aca="false">SUM(W2:W290)</f>
        <v>6</v>
      </c>
      <c r="X291" s="282" t="n">
        <f aca="false">SUM(X2:X290)</f>
        <v>2</v>
      </c>
      <c r="Y291" s="282" t="n">
        <f aca="false">SUM(Y2:Y290)</f>
        <v>0</v>
      </c>
      <c r="Z291" s="282" t="n">
        <f aca="false">SUM(Z2:Z290)</f>
        <v>4</v>
      </c>
      <c r="AA291" s="282" t="n">
        <f aca="false">SUM(AA2:AA290)</f>
        <v>8</v>
      </c>
      <c r="AB291" s="283" t="n">
        <f aca="false">SUM(AB2:AB290)</f>
        <v>2.28318584070796</v>
      </c>
      <c r="AC291" s="282" t="n">
        <f aca="false">SUM(AC2:AC290)</f>
        <v>135</v>
      </c>
      <c r="AD291" s="282"/>
      <c r="AE291" s="284"/>
      <c r="AF291" s="285" t="n">
        <f aca="false">COUNTA(AC274:AC291)</f>
        <v>18</v>
      </c>
      <c r="AG291" s="285"/>
      <c r="AH291" s="285"/>
      <c r="AI291" s="285"/>
      <c r="AJ291" s="286" t="n">
        <f aca="false">SUM(AJ2:AJ105)</f>
        <v>324</v>
      </c>
      <c r="AK291" s="286" t="n">
        <f aca="false">SUM(AK2:AK105)</f>
        <v>19</v>
      </c>
      <c r="AL291" s="286" t="n">
        <f aca="false">SUM(AL2:AL105)</f>
        <v>190</v>
      </c>
      <c r="AM291" s="286" t="n">
        <f aca="false">SUM(AM2:AM105)</f>
        <v>126</v>
      </c>
      <c r="AN291" s="287" t="n">
        <f aca="false">SUM(AN2:AN105)</f>
        <v>423</v>
      </c>
      <c r="AO291" s="287" t="n">
        <f aca="false">SUM(AO2:AO105)</f>
        <v>190</v>
      </c>
      <c r="AP291" s="287" t="n">
        <f aca="false">SUM(AP2:AP120)</f>
        <v>357</v>
      </c>
      <c r="AQ291" s="287" t="n">
        <f aca="false">SUM(AQ2:AQ120)</f>
        <v>68</v>
      </c>
      <c r="AR291" s="288" t="n">
        <f aca="false">SUM(AR2:AR120)</f>
        <v>271</v>
      </c>
      <c r="AS291" s="288" t="n">
        <f aca="false">SUM(AS2:AS120)</f>
        <v>0</v>
      </c>
      <c r="AT291" s="289" t="n">
        <f aca="false">SUM(AT2:AT120)</f>
        <v>355</v>
      </c>
      <c r="AU291" s="289" t="n">
        <f aca="false">SUM(AU2:AU120)</f>
        <v>100</v>
      </c>
      <c r="AV291" s="289" t="n">
        <f aca="false">SUM(AV2:AV120)</f>
        <v>558</v>
      </c>
      <c r="AW291" s="289" t="n">
        <f aca="false">SUM(AW2:AW120)</f>
        <v>44</v>
      </c>
      <c r="AX291" s="289" t="n">
        <f aca="false">SUM(AX2:AX120)</f>
        <v>433</v>
      </c>
      <c r="AY291" s="289" t="n">
        <f aca="false">SUM(AY2:AY120)</f>
        <v>50</v>
      </c>
      <c r="AZ291" s="289" t="n">
        <f aca="false">SUM(AZ2:AZ120)</f>
        <v>247</v>
      </c>
      <c r="BA291" s="289" t="n">
        <f aca="false">SUM(BA2:BA120)</f>
        <v>16</v>
      </c>
      <c r="BB291" s="289" t="n">
        <f aca="false">SUM(BB2:BB120)</f>
        <v>526</v>
      </c>
      <c r="BC291" s="289" t="n">
        <f aca="false">SUM(BC2:BC120)</f>
        <v>35</v>
      </c>
      <c r="BD291" s="289" t="n">
        <f aca="false">SUM(BD2:BD290)</f>
        <v>788</v>
      </c>
      <c r="BE291" s="289" t="n">
        <f aca="false">SUM(BE2:BE290)</f>
        <v>30</v>
      </c>
      <c r="BF291" s="289" t="n">
        <f aca="false">SUM(BF2:BF290)</f>
        <v>796</v>
      </c>
      <c r="BG291" s="289" t="n">
        <f aca="false">SUM(BG2:BG290)</f>
        <v>10</v>
      </c>
      <c r="BH291" s="289" t="n">
        <f aca="false">SUM(BH2:BH290)</f>
        <v>796</v>
      </c>
      <c r="BI291" s="289" t="n">
        <f aca="false">SUM(BI2:BI290)</f>
        <v>10</v>
      </c>
      <c r="BJ291" s="289" t="n">
        <f aca="false">SUM(BJ2:BJ290)</f>
        <v>1140</v>
      </c>
      <c r="BK291" s="289" t="n">
        <f aca="false">SUM(BK2:BK290)</f>
        <v>150</v>
      </c>
      <c r="BL291" s="289" t="n">
        <f aca="false">SUM(BL2:BL290)</f>
        <v>1226</v>
      </c>
      <c r="BM291" s="289" t="n">
        <f aca="false">SUM(BM2:BM290)</f>
        <v>385</v>
      </c>
      <c r="BN291" s="289" t="n">
        <f aca="false">SUM(BN2:BN290)</f>
        <v>1208</v>
      </c>
      <c r="BO291" s="289" t="n">
        <f aca="false">SUM(BO2:BO290)</f>
        <v>480</v>
      </c>
      <c r="BP291" s="289" t="n">
        <f aca="false">SUM(BP2:BP290)</f>
        <v>1490</v>
      </c>
      <c r="BQ291" s="289" t="n">
        <f aca="false">SUM(BQ2:BQ290)</f>
        <v>275</v>
      </c>
      <c r="BR291" s="289" t="n">
        <f aca="false">SUM(BR2:BR290)</f>
        <v>1412</v>
      </c>
      <c r="BS291" s="289" t="n">
        <f aca="false">SUM(BS2:BS290)</f>
        <v>470</v>
      </c>
      <c r="BT291" s="289" t="n">
        <f aca="false">SUM(BT2:BT290)</f>
        <v>1288</v>
      </c>
      <c r="BU291" s="289" t="n">
        <f aca="false">SUM(BU2:BU290)</f>
        <v>780</v>
      </c>
      <c r="BV291" s="289" t="n">
        <f aca="false">SUM(BV2:BV290)</f>
        <v>1069</v>
      </c>
      <c r="BW291" s="289" t="n">
        <f aca="false">SUM(BW2:BW290)</f>
        <v>347</v>
      </c>
      <c r="BX291" s="289" t="n">
        <f aca="false">SUM(BX2:BX290)</f>
        <v>6039</v>
      </c>
      <c r="BY291" s="289" t="n">
        <f aca="false">SUM(BY2:BY120)</f>
        <v>76</v>
      </c>
      <c r="BZ291" s="290" t="n">
        <f aca="false">SUM(BZ2:BZ266)</f>
        <v>110</v>
      </c>
      <c r="CA291" s="289" t="n">
        <f aca="false">SUM(CA2:CA120)</f>
        <v>86</v>
      </c>
      <c r="CB291" s="289" t="n">
        <f aca="false">SUM(CB2:CB120)</f>
        <v>905</v>
      </c>
      <c r="CC291" s="289" t="n">
        <f aca="false">SUM(CC2:CC120)</f>
        <v>527</v>
      </c>
      <c r="CD291" s="289" t="n">
        <f aca="false">SUM(CD2:CD290)</f>
        <v>22</v>
      </c>
      <c r="CO291" s="289" t="n">
        <f aca="false">SUM(CO2:CO290)</f>
        <v>19</v>
      </c>
      <c r="CP291" s="289" t="n">
        <f aca="false">SUM(CP2:CP290)</f>
        <v>19</v>
      </c>
      <c r="CQ291" s="289" t="n">
        <f aca="false">SUM(CQ2:CQ290)</f>
        <v>119</v>
      </c>
    </row>
    <row r="292" customFormat="false" ht="15" hidden="false" customHeight="true" outlineLevel="0" collapsed="false">
      <c r="B292" s="127" t="n">
        <f aca="false">B291+D292-C292</f>
        <v>2881.25</v>
      </c>
      <c r="D292" s="146" t="n">
        <v>258.75</v>
      </c>
      <c r="E292" s="147" t="n">
        <v>232</v>
      </c>
      <c r="F292" s="147" t="n">
        <f aca="false">IFERROR(VLOOKUP(H292,$AD$1:$AE$301,2,0),"")</f>
        <v>1007989</v>
      </c>
      <c r="G292" s="147" t="str">
        <f aca="false">IFERROR(VLOOKUP(F292,$AE$2:$AF$290,2, 0),"")</f>
        <v>ضباء</v>
      </c>
      <c r="H292" s="212" t="s">
        <v>90</v>
      </c>
      <c r="I292" s="246" t="n">
        <f aca="false">SUM(K292:R292)</f>
        <v>1</v>
      </c>
      <c r="J292" s="182" t="n">
        <v>45536</v>
      </c>
      <c r="K292" s="184"/>
      <c r="L292" s="185"/>
      <c r="O292" s="152" t="n">
        <v>1</v>
      </c>
      <c r="S292" s="192" t="n">
        <f aca="false">(K292+O292+Q292)*24 /1130+(L292+M292+P292+R292)*12/1130+(N292*30)/1130</f>
        <v>0.0212389380530973</v>
      </c>
      <c r="U292" s="291" t="s">
        <v>610</v>
      </c>
      <c r="V292" s="291"/>
      <c r="W292" s="291"/>
      <c r="X292" s="292" t="s">
        <v>339</v>
      </c>
      <c r="Y292" s="292"/>
      <c r="Z292" s="292"/>
      <c r="AA292" s="292"/>
      <c r="AB292" s="292"/>
      <c r="AC292" s="293" t="s">
        <v>611</v>
      </c>
      <c r="AD292" s="293"/>
      <c r="BJ292" s="128" t="n">
        <f aca="false">BJ291*5+BK291*2</f>
        <v>6000</v>
      </c>
      <c r="BL292" s="128" t="n">
        <f aca="false">BL291*5+BM291*2</f>
        <v>6900</v>
      </c>
      <c r="BN292" s="128" t="n">
        <f aca="false">BN291*5+BO291*2</f>
        <v>7000</v>
      </c>
      <c r="BP292" s="128" t="n">
        <f aca="false">BP291*5</f>
        <v>7450</v>
      </c>
      <c r="BQ292" s="128" t="n">
        <f aca="false">BQ291*2</f>
        <v>550</v>
      </c>
      <c r="BR292" s="128" t="n">
        <f aca="false">BR291*5+BS291*2</f>
        <v>8000</v>
      </c>
      <c r="BT292" s="128" t="n">
        <f aca="false">BT291*5+BU291*2</f>
        <v>8000</v>
      </c>
      <c r="BV292" s="209" t="n">
        <f aca="false">BX291-8000</f>
        <v>-1961</v>
      </c>
      <c r="BX292" s="294"/>
    </row>
    <row r="293" customFormat="false" ht="15" hidden="false" customHeight="true" outlineLevel="0" collapsed="false">
      <c r="B293" s="127" t="n">
        <f aca="false">B292+D293-C293</f>
        <v>667.5</v>
      </c>
      <c r="C293" s="127" t="n">
        <f aca="false">1311+258.75+138+506</f>
        <v>2213.75</v>
      </c>
      <c r="G293" s="147" t="str">
        <f aca="false">IFERROR(VLOOKUP(F293,$AE$2:$AF$290,2, 0),"")</f>
        <v/>
      </c>
      <c r="H293" s="212" t="s">
        <v>393</v>
      </c>
      <c r="I293" s="246"/>
      <c r="J293" s="182" t="n">
        <v>45538</v>
      </c>
      <c r="K293" s="184"/>
      <c r="L293" s="185"/>
      <c r="S293" s="192" t="n">
        <f aca="false">(K293+O293+Q293)*24 /1130+(L293+M293+P293+R293)*12/1130+(N293*30)/1130</f>
        <v>0</v>
      </c>
      <c r="U293" s="295" t="s">
        <v>612</v>
      </c>
      <c r="V293" s="295"/>
      <c r="W293" s="296" t="n">
        <v>-0.1</v>
      </c>
      <c r="X293" s="297" t="s">
        <v>613</v>
      </c>
      <c r="Y293" s="297"/>
      <c r="Z293" s="297"/>
      <c r="AA293" s="297"/>
      <c r="AB293" s="298" t="n">
        <v>0</v>
      </c>
      <c r="AC293" s="299" t="n">
        <v>0.05</v>
      </c>
      <c r="AD293" s="300" t="s">
        <v>614</v>
      </c>
      <c r="AE293" s="301"/>
      <c r="AG293" s="301"/>
      <c r="AH293" s="301"/>
      <c r="AI293" s="302"/>
      <c r="AL293" s="209"/>
      <c r="AM293" s="209"/>
      <c r="AT293" s="209" t="n">
        <f aca="false">AT291*5+AU291*2</f>
        <v>1975</v>
      </c>
      <c r="AU293" s="209"/>
      <c r="AV293" s="128" t="n">
        <f aca="false">AV291*5</f>
        <v>2790</v>
      </c>
      <c r="AW293" s="128" t="n">
        <f aca="false">AW291*2</f>
        <v>88</v>
      </c>
      <c r="AY293" s="128" t="n">
        <f aca="false">AX291*5+AY291*2</f>
        <v>2265</v>
      </c>
      <c r="AZ293" s="128" t="n">
        <f aca="false">AZ291*5+BA291*2</f>
        <v>1267</v>
      </c>
      <c r="BB293" s="128" t="n">
        <f aca="false">BB291*5+BC291*2</f>
        <v>2700</v>
      </c>
      <c r="BD293" s="128" t="n">
        <f aca="false">BD291*5+BE291*2</f>
        <v>4000</v>
      </c>
      <c r="BF293" s="157" t="n">
        <f aca="false">BF291*5+BG291*2</f>
        <v>4000</v>
      </c>
      <c r="BH293" s="128" t="n">
        <f aca="false">BH291*5+BI291*2</f>
        <v>4000</v>
      </c>
      <c r="BL293" s="128" t="n">
        <f aca="false">7000-BL292</f>
        <v>100</v>
      </c>
      <c r="BP293" s="234" t="n">
        <f aca="false">BP292+BQ292</f>
        <v>8000</v>
      </c>
      <c r="BX293" s="209"/>
      <c r="BY293" s="209" t="n">
        <f aca="false">930/5</f>
        <v>186</v>
      </c>
      <c r="BZ293" s="303"/>
    </row>
    <row r="294" customFormat="false" ht="15" hidden="false" customHeight="true" outlineLevel="0" collapsed="false">
      <c r="B294" s="127" t="n">
        <f aca="false">B293+D294-C294</f>
        <v>0.5</v>
      </c>
      <c r="C294" s="127" t="n">
        <v>667</v>
      </c>
      <c r="E294" s="212" t="s">
        <v>392</v>
      </c>
      <c r="F294" s="147" t="str">
        <f aca="false">IFERROR(VLOOKUP(H294,$AD$1:$AE$301,2,0),"")</f>
        <v/>
      </c>
      <c r="G294" s="147" t="str">
        <f aca="false">IFERROR(VLOOKUP(F294,$AE$2:$AF$290,2, 0),"")</f>
        <v/>
      </c>
      <c r="H294" s="212" t="s">
        <v>393</v>
      </c>
      <c r="I294" s="246" t="n">
        <f aca="false">SUM(K294:R294)</f>
        <v>0</v>
      </c>
      <c r="J294" s="182" t="n">
        <v>45538</v>
      </c>
      <c r="S294" s="192" t="n">
        <f aca="false">(K294+O294+Q294)*24 /1130+(L294+M294+P294+R294)*12/1130+(N294*30)/1130</f>
        <v>0</v>
      </c>
      <c r="U294" s="304" t="s">
        <v>615</v>
      </c>
      <c r="V294" s="304"/>
      <c r="W294" s="296" t="n">
        <v>-0.15</v>
      </c>
      <c r="X294" s="305" t="s">
        <v>616</v>
      </c>
      <c r="Y294" s="305"/>
      <c r="Z294" s="305"/>
      <c r="AA294" s="305"/>
      <c r="AB294" s="306" t="n">
        <v>-0.05</v>
      </c>
      <c r="AC294" s="299" t="n">
        <v>0.08</v>
      </c>
      <c r="AD294" s="300" t="s">
        <v>617</v>
      </c>
      <c r="AE294" s="307"/>
      <c r="AF294" s="307"/>
      <c r="AG294" s="307"/>
      <c r="AH294" s="307"/>
      <c r="AI294" s="308"/>
      <c r="AV294" s="128" t="n">
        <f aca="false">AV291*5+AW291*2</f>
        <v>2878</v>
      </c>
      <c r="AZ294" s="128" t="n">
        <f aca="false">4000-AZ293</f>
        <v>2733</v>
      </c>
      <c r="BL294" s="128" t="n">
        <f aca="false">1130</f>
        <v>1130</v>
      </c>
      <c r="BM294" s="128" t="n">
        <f aca="false">255</f>
        <v>255</v>
      </c>
      <c r="BP294" s="234" t="n">
        <f aca="false">BP293-8000</f>
        <v>0</v>
      </c>
      <c r="BY294" s="157" t="n">
        <f aca="false">BY293/10</f>
        <v>18.6</v>
      </c>
      <c r="BZ294" s="303"/>
    </row>
    <row r="295" customFormat="false" ht="15" hidden="false" customHeight="true" outlineLevel="0" collapsed="false">
      <c r="B295" s="127" t="n">
        <f aca="false">B294+D295-C295</f>
        <v>138.5</v>
      </c>
      <c r="D295" s="146" t="n">
        <v>138</v>
      </c>
      <c r="E295" s="147" t="n">
        <v>234</v>
      </c>
      <c r="F295" s="147" t="n">
        <f aca="false">IFERROR(VLOOKUP(H295,$AD$1:$AE$301,2,0),"")</f>
        <v>1008266</v>
      </c>
      <c r="G295" s="147" t="str">
        <f aca="false">IFERROR(VLOOKUP(F295,$AE$2:$AF$290,2, 0),"")</f>
        <v>تبوك</v>
      </c>
      <c r="H295" s="212" t="s">
        <v>178</v>
      </c>
      <c r="I295" s="246" t="n">
        <f aca="false">SUM(K295:R295)</f>
        <v>1</v>
      </c>
      <c r="J295" s="182" t="n">
        <v>45538</v>
      </c>
      <c r="Q295" s="154" t="n">
        <v>1</v>
      </c>
      <c r="S295" s="192" t="n">
        <f aca="false">(K295+O295+Q295)*24 /1130+(L295+M295+P295+R295)*12/1130+(N295*30)/1130</f>
        <v>0.0212389380530973</v>
      </c>
      <c r="U295" s="304" t="s">
        <v>618</v>
      </c>
      <c r="V295" s="304"/>
      <c r="W295" s="296" t="n">
        <v>-0.2</v>
      </c>
      <c r="X295" s="309" t="s">
        <v>619</v>
      </c>
      <c r="Y295" s="309"/>
      <c r="Z295" s="309"/>
      <c r="AA295" s="309"/>
      <c r="AB295" s="306" t="n">
        <v>-0.1</v>
      </c>
      <c r="AC295" s="310" t="n">
        <v>0.1</v>
      </c>
      <c r="AD295" s="300" t="s">
        <v>620</v>
      </c>
      <c r="AE295" s="307"/>
      <c r="AG295" s="311"/>
      <c r="AH295" s="311"/>
      <c r="BP295" s="162"/>
      <c r="BR295" s="128" t="n">
        <f aca="false">1412*5</f>
        <v>7060</v>
      </c>
      <c r="BS295" s="128" t="n">
        <f aca="false">470*2</f>
        <v>940</v>
      </c>
    </row>
    <row r="296" customFormat="false" ht="15" hidden="false" customHeight="true" outlineLevel="0" collapsed="false">
      <c r="B296" s="127" t="n">
        <f aca="false">B295+D296-C296</f>
        <v>2036</v>
      </c>
      <c r="D296" s="146" t="n">
        <v>1897.5</v>
      </c>
      <c r="E296" s="147" t="n">
        <v>233</v>
      </c>
      <c r="F296" s="147" t="n">
        <f aca="false">IFERROR(VLOOKUP(H296,$AD$1:$AE$301,2,0),"")</f>
        <v>1008268</v>
      </c>
      <c r="G296" s="147" t="str">
        <f aca="false">IFERROR(VLOOKUP(F296,$AE$2:$AF$290,2, 0),"")</f>
        <v>تبوك</v>
      </c>
      <c r="H296" s="212" t="s">
        <v>235</v>
      </c>
      <c r="I296" s="246" t="n">
        <f aca="false">SUM(K296:R296)</f>
        <v>6</v>
      </c>
      <c r="J296" s="182" t="n">
        <v>45538</v>
      </c>
      <c r="N296" s="151" t="n">
        <v>6</v>
      </c>
      <c r="S296" s="192" t="n">
        <f aca="false">(K296+O296+Q296)*24 /1130+(L296+M296+P296+R296)*12/1130+(N296*30)/1130</f>
        <v>0.15929203539823</v>
      </c>
      <c r="U296" s="304" t="s">
        <v>621</v>
      </c>
      <c r="V296" s="304"/>
      <c r="W296" s="296" t="n">
        <v>-0.3</v>
      </c>
      <c r="X296" s="305" t="s">
        <v>622</v>
      </c>
      <c r="Y296" s="305"/>
      <c r="Z296" s="305"/>
      <c r="AA296" s="305"/>
      <c r="AB296" s="306" t="n">
        <v>-0.15</v>
      </c>
      <c r="AC296" s="299" t="n">
        <v>0.15</v>
      </c>
      <c r="AD296" s="300" t="s">
        <v>623</v>
      </c>
      <c r="AE296" s="307"/>
      <c r="AH296" s="312"/>
      <c r="AI296" s="313"/>
      <c r="BN296" s="209"/>
      <c r="BP296" s="234"/>
      <c r="BY296" s="314"/>
      <c r="BZ296" s="312"/>
    </row>
    <row r="297" customFormat="false" ht="15" hidden="false" customHeight="true" outlineLevel="0" collapsed="false">
      <c r="B297" s="127" t="n">
        <f aca="false">B296+D297-C297</f>
        <v>0</v>
      </c>
      <c r="C297" s="127" t="n">
        <f aca="false">1652+1+263+120</f>
        <v>2036</v>
      </c>
      <c r="E297" s="212" t="s">
        <v>392</v>
      </c>
      <c r="F297" s="147" t="str">
        <f aca="false">IFERROR(VLOOKUP(H297,$AD$1:$AE$301,2,0),"")</f>
        <v/>
      </c>
      <c r="G297" s="147" t="str">
        <f aca="false">IFERROR(VLOOKUP(F297,$AE$2:$AF$290,2, 0),"")</f>
        <v/>
      </c>
      <c r="H297" s="212" t="s">
        <v>393</v>
      </c>
      <c r="I297" s="246" t="n">
        <f aca="false">SUM(K297:R297)</f>
        <v>0</v>
      </c>
      <c r="J297" s="182" t="n">
        <v>45539</v>
      </c>
      <c r="S297" s="192" t="n">
        <f aca="false">(K297+O297+Q297)*24 /1130+(L297+M297+P297+R297)*12/1130+(N297*30)/1130</f>
        <v>0</v>
      </c>
      <c r="T297" s="315" t="n">
        <f aca="false">T291*4+U291*2</f>
        <v>360</v>
      </c>
      <c r="U297" s="315"/>
      <c r="V297" s="316" t="n">
        <f aca="false">V291*5</f>
        <v>0</v>
      </c>
      <c r="W297" s="315" t="n">
        <f aca="false">(W291+X291)*2</f>
        <v>16</v>
      </c>
      <c r="X297" s="315"/>
      <c r="Y297" s="315"/>
      <c r="Z297" s="317" t="n">
        <f aca="false">(Z291)*2+AA291*2</f>
        <v>24</v>
      </c>
      <c r="AA297" s="317"/>
      <c r="AB297" s="318" t="s">
        <v>624</v>
      </c>
      <c r="AC297" s="318"/>
      <c r="AG297" s="319"/>
      <c r="AH297" s="312"/>
    </row>
    <row r="298" customFormat="false" ht="15" hidden="false" customHeight="true" outlineLevel="0" collapsed="false">
      <c r="B298" s="127" t="n">
        <f aca="false">B297+D298-C298</f>
        <v>138</v>
      </c>
      <c r="D298" s="146" t="n">
        <v>138</v>
      </c>
      <c r="F298" s="147" t="n">
        <f aca="false">IFERROR(VLOOKUP(H298,$AD$1:$AE$301,2,0),"")</f>
        <v>1008271</v>
      </c>
      <c r="G298" s="147" t="str">
        <f aca="false">IFERROR(VLOOKUP(F298,$AE$2:$AF$290,2, 0),"")</f>
        <v>تبوك</v>
      </c>
      <c r="H298" s="212" t="s">
        <v>255</v>
      </c>
      <c r="I298" s="246" t="n">
        <f aca="false">SUM(K298:R298)</f>
        <v>1</v>
      </c>
      <c r="J298" s="182" t="n">
        <v>45539</v>
      </c>
      <c r="Q298" s="154" t="n">
        <v>1</v>
      </c>
      <c r="S298" s="192" t="n">
        <f aca="false">(K298+O298+Q298)*24 /1130+(L298+M298+P298+R298)*12/1130+(N298*30)/1130</f>
        <v>0.0212389380530973</v>
      </c>
      <c r="T298" s="315" t="n">
        <f aca="false">T291*7+U291*4</f>
        <v>655</v>
      </c>
      <c r="U298" s="315"/>
      <c r="V298" s="316" t="n">
        <f aca="false">V291*11</f>
        <v>0</v>
      </c>
      <c r="W298" s="315" t="n">
        <f aca="false">(W291*5)+(X291*4)</f>
        <v>38</v>
      </c>
      <c r="X298" s="315"/>
      <c r="Y298" s="315"/>
      <c r="Z298" s="317" t="n">
        <f aca="false">(Z291*5)+(AA291*5)</f>
        <v>60</v>
      </c>
      <c r="AA298" s="317"/>
      <c r="AB298" s="318" t="s">
        <v>625</v>
      </c>
      <c r="AC298" s="318"/>
      <c r="AD298" s="128"/>
      <c r="AE298" s="320"/>
      <c r="AG298" s="312"/>
      <c r="AH298" s="312"/>
      <c r="BY298" s="312"/>
      <c r="BZ298" s="312"/>
    </row>
    <row r="299" customFormat="false" ht="15" hidden="false" customHeight="true" outlineLevel="0" collapsed="false">
      <c r="B299" s="127" t="n">
        <f aca="false">B298+D299-C299</f>
        <v>0</v>
      </c>
      <c r="C299" s="127" t="n">
        <v>138</v>
      </c>
      <c r="E299" s="212" t="s">
        <v>470</v>
      </c>
      <c r="F299" s="147" t="str">
        <f aca="false">IFERROR(VLOOKUP(H299,$AD$1:$AE$301,2,0),"")</f>
        <v/>
      </c>
      <c r="G299" s="147" t="str">
        <f aca="false">IFERROR(VLOOKUP(F299,$AE$2:$AF$290,2, 0),"")</f>
        <v/>
      </c>
      <c r="H299" s="212" t="s">
        <v>393</v>
      </c>
      <c r="I299" s="246" t="n">
        <f aca="false">SUM(K299:R299)</f>
        <v>0</v>
      </c>
      <c r="J299" s="182" t="n">
        <v>45539</v>
      </c>
      <c r="K299" s="184"/>
      <c r="L299" s="185"/>
      <c r="S299" s="192" t="n">
        <f aca="false">(K299+O299+Q299)*24 /1130+(L299+M299+P299+R299)*12/1130+(N299*30)/1130</f>
        <v>0</v>
      </c>
      <c r="T299" s="315" t="n">
        <f aca="false">T291*9+U291*5</f>
        <v>835</v>
      </c>
      <c r="U299" s="315"/>
      <c r="V299" s="316" t="n">
        <f aca="false">V291*13</f>
        <v>0</v>
      </c>
      <c r="W299" s="315" t="n">
        <f aca="false">(W291*7)+(X291*6)</f>
        <v>54</v>
      </c>
      <c r="X299" s="315"/>
      <c r="Y299" s="315"/>
      <c r="Z299" s="317" t="n">
        <f aca="false">(Z291)*7+AA291*7</f>
        <v>84</v>
      </c>
      <c r="AA299" s="317"/>
      <c r="AB299" s="318" t="s">
        <v>626</v>
      </c>
      <c r="AC299" s="318"/>
      <c r="AE299" s="230"/>
      <c r="AG299" s="312"/>
      <c r="AH299" s="312"/>
      <c r="BY299" s="312"/>
      <c r="BZ299" s="312"/>
    </row>
    <row r="300" customFormat="false" ht="15" hidden="false" customHeight="true" outlineLevel="0" collapsed="false">
      <c r="B300" s="127" t="n">
        <f aca="false">B299+D300-C300</f>
        <v>1311</v>
      </c>
      <c r="D300" s="146" t="n">
        <v>1311</v>
      </c>
      <c r="E300" s="147" t="n">
        <v>236</v>
      </c>
      <c r="F300" s="147" t="n">
        <f aca="false">IFERROR(VLOOKUP(H300,$AD$1:$AE$301,2,0),"")</f>
        <v>1008265</v>
      </c>
      <c r="G300" s="147" t="str">
        <f aca="false">IFERROR(VLOOKUP(F300,$AE$2:$AF$290,2, 0),"")</f>
        <v>تبوك</v>
      </c>
      <c r="H300" s="212" t="s">
        <v>146</v>
      </c>
      <c r="I300" s="246" t="n">
        <f aca="false">SUM(K300:R300)</f>
        <v>5</v>
      </c>
      <c r="J300" s="182" t="n">
        <v>45539</v>
      </c>
      <c r="K300" s="184" t="n">
        <v>4</v>
      </c>
      <c r="L300" s="185" t="n">
        <v>1</v>
      </c>
      <c r="S300" s="192" t="n">
        <f aca="false">(K300+O300+Q300)*24 /1130+(L300+M300+P300+R300)*12/1130+(N300*30)/1130</f>
        <v>0.0955752212389381</v>
      </c>
      <c r="T300" s="315" t="n">
        <f aca="false">T291*10+U291*5.5</f>
        <v>925</v>
      </c>
      <c r="U300" s="315"/>
      <c r="V300" s="316" t="n">
        <f aca="false">V291*14</f>
        <v>0</v>
      </c>
      <c r="W300" s="315" t="n">
        <f aca="false">(W291*8)+(X291*7)</f>
        <v>62</v>
      </c>
      <c r="X300" s="315"/>
      <c r="Y300" s="315"/>
      <c r="Z300" s="317" t="n">
        <f aca="false">(Z291)*8+AA291*8</f>
        <v>96</v>
      </c>
      <c r="AA300" s="317"/>
      <c r="AB300" s="321" t="s">
        <v>627</v>
      </c>
      <c r="AC300" s="321"/>
      <c r="AD300" s="128"/>
      <c r="AE300" s="322"/>
      <c r="AG300" s="312"/>
      <c r="AH300" s="312"/>
      <c r="BY300" s="312"/>
      <c r="BZ300" s="312"/>
    </row>
    <row r="301" customFormat="false" ht="15" hidden="false" customHeight="true" outlineLevel="0" collapsed="false">
      <c r="B301" s="127" t="n">
        <f aca="false">B300+D301-C301</f>
        <v>1466</v>
      </c>
      <c r="D301" s="146" t="n">
        <v>155</v>
      </c>
      <c r="E301" s="147" t="n">
        <v>237</v>
      </c>
      <c r="F301" s="147" t="n">
        <f aca="false">IFERROR(VLOOKUP(H301,$AD$1:$AE$301,2,0),"")</f>
        <v>1008260</v>
      </c>
      <c r="G301" s="147" t="str">
        <f aca="false">IFERROR(VLOOKUP(F301,$AE$2:$AF$290,2, 0),"")</f>
        <v>تبوك</v>
      </c>
      <c r="H301" s="212" t="s">
        <v>184</v>
      </c>
      <c r="I301" s="246" t="n">
        <f aca="false">SUM(K301:R301)</f>
        <v>1</v>
      </c>
      <c r="J301" s="182" t="n">
        <v>45539</v>
      </c>
      <c r="K301" s="184"/>
      <c r="L301" s="185"/>
      <c r="R301" s="155" t="n">
        <v>1</v>
      </c>
      <c r="S301" s="192" t="n">
        <f aca="false">(K301+O301+Q301)*24 /1130+(L301+M301+P301+R301)*12/1130+(N301*30)/1130</f>
        <v>0.0106194690265487</v>
      </c>
      <c r="T301" s="315" t="n">
        <f aca="false">T291*12+U291*6</f>
        <v>1080</v>
      </c>
      <c r="U301" s="315"/>
      <c r="V301" s="316" t="n">
        <f aca="false">V291*16</f>
        <v>0</v>
      </c>
      <c r="W301" s="315" t="n">
        <f aca="false">(W291*9)+(X291*8)</f>
        <v>70</v>
      </c>
      <c r="X301" s="315"/>
      <c r="Y301" s="315"/>
      <c r="Z301" s="317" t="n">
        <f aca="false">(Z291)*9+AA291*9</f>
        <v>108</v>
      </c>
      <c r="AA301" s="317"/>
      <c r="AB301" s="321" t="n">
        <v>1.41</v>
      </c>
      <c r="AC301" s="321"/>
      <c r="AD301" s="209"/>
      <c r="AE301" s="320"/>
      <c r="AG301" s="312"/>
      <c r="AH301" s="312"/>
      <c r="BY301" s="312"/>
      <c r="BZ301" s="312"/>
    </row>
    <row r="302" customFormat="false" ht="15" hidden="false" customHeight="true" outlineLevel="0" collapsed="false">
      <c r="B302" s="127" t="n">
        <f aca="false">B301+D302-C302</f>
        <v>0</v>
      </c>
      <c r="C302" s="127" t="n">
        <f aca="false">D303+75+80</f>
        <v>1466</v>
      </c>
      <c r="E302" s="212" t="s">
        <v>470</v>
      </c>
      <c r="F302" s="147" t="str">
        <f aca="false">IFERROR(VLOOKUP(H302,$AD$1:$AE$301,2,0),"")</f>
        <v/>
      </c>
      <c r="G302" s="147" t="str">
        <f aca="false">IFERROR(VLOOKUP(F302,$AE$2:$AF$290,2, 0),"")</f>
        <v/>
      </c>
      <c r="H302" s="212" t="s">
        <v>393</v>
      </c>
      <c r="I302" s="246" t="n">
        <f aca="false">SUM(K302:R302)</f>
        <v>0</v>
      </c>
      <c r="J302" s="182" t="n">
        <v>45539</v>
      </c>
      <c r="K302" s="184"/>
      <c r="L302" s="185"/>
      <c r="S302" s="192" t="n">
        <f aca="false">(K302+O302+Q302)*24 /1130+(L302+M302+P302+R302)*12/1130+(N302*30)/1130</f>
        <v>0</v>
      </c>
      <c r="T302" s="282" t="n">
        <v>24</v>
      </c>
      <c r="U302" s="282" t="n">
        <v>1</v>
      </c>
      <c r="V302" s="282" t="n">
        <v>10</v>
      </c>
      <c r="W302" s="282" t="n">
        <v>3</v>
      </c>
      <c r="X302" s="282" t="n">
        <v>8</v>
      </c>
      <c r="Y302" s="282"/>
      <c r="Z302" s="282" t="n">
        <v>8</v>
      </c>
      <c r="AA302" s="282" t="n">
        <v>7</v>
      </c>
      <c r="AB302" s="323"/>
      <c r="AC302" s="198" t="n">
        <v>61</v>
      </c>
      <c r="AD302" s="282" t="s">
        <v>628</v>
      </c>
      <c r="AE302" s="284" t="n">
        <f aca="false">Z303+X303+V303+U303</f>
        <v>1.13035714285714</v>
      </c>
      <c r="AF302" s="324"/>
      <c r="AG302" s="324"/>
      <c r="AH302" s="324"/>
      <c r="AI302" s="325"/>
    </row>
    <row r="303" customFormat="false" ht="15" hidden="false" customHeight="true" outlineLevel="0" collapsed="false">
      <c r="B303" s="127" t="n">
        <f aca="false">B302+D303-C303</f>
        <v>1311</v>
      </c>
      <c r="D303" s="146" t="n">
        <f aca="false">4*327.75</f>
        <v>1311</v>
      </c>
      <c r="E303" s="147" t="n">
        <v>238</v>
      </c>
      <c r="F303" s="147" t="n">
        <f aca="false">IFERROR(VLOOKUP(H303,$AD$1:$AE$301,2,0),"")</f>
        <v>1008272</v>
      </c>
      <c r="G303" s="147" t="str">
        <f aca="false">IFERROR(VLOOKUP(F303,$AE$2:$AF$290,2, 0),"")</f>
        <v>تبوك</v>
      </c>
      <c r="H303" s="212" t="s">
        <v>143</v>
      </c>
      <c r="I303" s="246" t="n">
        <f aca="false">SUM(K303:R303)</f>
        <v>5</v>
      </c>
      <c r="J303" s="182" t="n">
        <v>45543</v>
      </c>
      <c r="K303" s="184" t="n">
        <v>4</v>
      </c>
      <c r="L303" s="185" t="n">
        <v>1</v>
      </c>
      <c r="S303" s="192" t="n">
        <f aca="false">(K303+O303+Q303)*24 /1130+(L303+M303+P303+R303)*12/1130+(N303*30)/1130</f>
        <v>0.0955752212389381</v>
      </c>
      <c r="U303" s="326" t="n">
        <f aca="false">(T302*24+U302*12)/1120</f>
        <v>0.525</v>
      </c>
      <c r="V303" s="327" t="n">
        <f aca="false">(V302*12)/1120</f>
        <v>0.107142857142857</v>
      </c>
      <c r="W303" s="328"/>
      <c r="X303" s="329" t="n">
        <f aca="false">(W302*30+X302*24+Y302*12)/1120</f>
        <v>0.251785714285714</v>
      </c>
      <c r="Y303" s="328"/>
      <c r="Z303" s="330" t="n">
        <f aca="false">(Z302*24+AA302*12)/1120</f>
        <v>0.246428571428571</v>
      </c>
      <c r="AA303" s="258" t="s">
        <v>629</v>
      </c>
      <c r="AB303" s="323"/>
      <c r="AC303" s="331"/>
      <c r="AD303" s="282" t="s">
        <v>630</v>
      </c>
      <c r="AE303" s="332" t="n">
        <v>7.8</v>
      </c>
      <c r="AF303" s="333" t="n">
        <f aca="false">AE302/AE303</f>
        <v>0.144917582417582</v>
      </c>
      <c r="AG303" s="333"/>
      <c r="AH303" s="333"/>
      <c r="AI303" s="334"/>
    </row>
    <row r="304" customFormat="false" ht="15" hidden="false" customHeight="true" outlineLevel="0" collapsed="false">
      <c r="B304" s="127" t="n">
        <f aca="false">B303+D304-C304</f>
        <v>2875</v>
      </c>
      <c r="D304" s="146" t="n">
        <f aca="false">4*327.75+253</f>
        <v>1564</v>
      </c>
      <c r="E304" s="147" t="n">
        <v>239</v>
      </c>
      <c r="F304" s="147" t="n">
        <f aca="false">IFERROR(VLOOKUP(H304,$AD$1:$AE$301,2,0),"")</f>
        <v>1008274</v>
      </c>
      <c r="G304" s="147" t="str">
        <f aca="false">IFERROR(VLOOKUP(F304,$AE$2:$AF$290,2, 0),"")</f>
        <v>تبوك</v>
      </c>
      <c r="H304" s="212" t="s">
        <v>147</v>
      </c>
      <c r="I304" s="246" t="n">
        <f aca="false">SUM(K304:R304)</f>
        <v>6</v>
      </c>
      <c r="J304" s="182" t="n">
        <v>45543</v>
      </c>
      <c r="K304" s="184" t="n">
        <v>4</v>
      </c>
      <c r="L304" s="185" t="n">
        <v>1</v>
      </c>
      <c r="M304" s="150" t="n">
        <v>1</v>
      </c>
      <c r="S304" s="192" t="n">
        <f aca="false">(K304+O304+Q304)*24 /1130+(L304+M304+P304+R304)*12/1130+(N304*30)/1130</f>
        <v>0.106194690265487</v>
      </c>
      <c r="U304" s="335" t="n">
        <f aca="false">(U303)-1</f>
        <v>-0.475</v>
      </c>
      <c r="V304" s="336" t="n">
        <f aca="false">V303-0.3</f>
        <v>-0.192857142857143</v>
      </c>
      <c r="W304" s="336" t="n">
        <f aca="false">(X303)-5</f>
        <v>-4.74821428571429</v>
      </c>
      <c r="X304" s="336"/>
      <c r="Y304" s="336"/>
      <c r="Z304" s="337" t="n">
        <f aca="false">Z303-1.5</f>
        <v>-1.25357142857143</v>
      </c>
      <c r="AA304" s="259" t="s">
        <v>631</v>
      </c>
      <c r="AB304" s="323"/>
      <c r="AC304" s="331"/>
      <c r="AD304" s="282" t="s">
        <v>632</v>
      </c>
      <c r="AE304" s="338" t="n">
        <f aca="false">AE303-AE302</f>
        <v>6.66964285714286</v>
      </c>
      <c r="AF304" s="339"/>
      <c r="AG304" s="339"/>
      <c r="AH304" s="339"/>
      <c r="AI304" s="340" t="n">
        <v>5</v>
      </c>
    </row>
    <row r="305" customFormat="false" ht="15" hidden="false" customHeight="true" outlineLevel="0" collapsed="false">
      <c r="B305" s="127" t="n">
        <f aca="false">B304+D305-C305</f>
        <v>0</v>
      </c>
      <c r="C305" s="127" t="n">
        <f aca="false">880+120+1875</f>
        <v>2875</v>
      </c>
      <c r="E305" s="212" t="s">
        <v>470</v>
      </c>
      <c r="F305" s="147" t="str">
        <f aca="false">IFERROR(VLOOKUP(H305,$AD$1:$AE$301,2,0),"")</f>
        <v/>
      </c>
      <c r="G305" s="147" t="str">
        <f aca="false">IFERROR(VLOOKUP(F305,$AE$2:$AF$290,2, 0),"")</f>
        <v/>
      </c>
      <c r="H305" s="212" t="s">
        <v>393</v>
      </c>
      <c r="I305" s="246" t="n">
        <f aca="false">SUM(K305:R305)</f>
        <v>0</v>
      </c>
      <c r="J305" s="182" t="n">
        <v>45543</v>
      </c>
      <c r="K305" s="184"/>
      <c r="L305" s="185"/>
      <c r="S305" s="192" t="n">
        <f aca="false">(K305+O305+Q305)*24 /1130+(L305+M305+P305+R305)*12/1130+(N305*30)/1130</f>
        <v>0</v>
      </c>
      <c r="U305" s="341" t="n">
        <f aca="false">U303/1</f>
        <v>0.525</v>
      </c>
      <c r="V305" s="342" t="n">
        <f aca="false">V303/0.3</f>
        <v>0.357142857142857</v>
      </c>
      <c r="W305" s="342" t="n">
        <f aca="false">X303/5</f>
        <v>0.0503571428571429</v>
      </c>
      <c r="X305" s="342"/>
      <c r="Y305" s="342"/>
      <c r="Z305" s="343" t="n">
        <f aca="false">Z303/1.5</f>
        <v>0.164285714285714</v>
      </c>
      <c r="AA305" s="191" t="s">
        <v>40</v>
      </c>
      <c r="AB305" s="323"/>
      <c r="AC305" s="331"/>
    </row>
    <row r="306" customFormat="false" ht="15" hidden="false" customHeight="true" outlineLevel="0" collapsed="false">
      <c r="B306" s="127" t="n">
        <f aca="false">B305+D306-C306</f>
        <v>1311</v>
      </c>
      <c r="D306" s="146" t="n">
        <f aca="false">4*327.75</f>
        <v>1311</v>
      </c>
      <c r="E306" s="147" t="n">
        <v>240</v>
      </c>
      <c r="F306" s="147" t="n">
        <f aca="false">IFERROR(VLOOKUP(H306,$AD$1:$AE$301,2,0),"")</f>
        <v>1008017</v>
      </c>
      <c r="G306" s="147" t="str">
        <f aca="false">IFERROR(VLOOKUP(F306,$AE$2:$AF$290,2, 0),"")</f>
        <v>البدع</v>
      </c>
      <c r="H306" s="212" t="s">
        <v>325</v>
      </c>
      <c r="I306" s="246" t="n">
        <f aca="false">SUM(K306:R306)</f>
        <v>5</v>
      </c>
      <c r="J306" s="182" t="n">
        <v>45544</v>
      </c>
      <c r="K306" s="184" t="n">
        <v>4</v>
      </c>
      <c r="L306" s="185" t="n">
        <v>1</v>
      </c>
      <c r="S306" s="192" t="n">
        <f aca="false">(K306+O306+Q306)*24 /1130+(L306+M306+P306+R306)*12/1130+(N306*30)/1130</f>
        <v>0.0955752212389381</v>
      </c>
      <c r="T306" s="282" t="n">
        <v>28</v>
      </c>
      <c r="U306" s="282" t="n">
        <v>12</v>
      </c>
      <c r="V306" s="344" t="n">
        <v>33</v>
      </c>
      <c r="W306" s="282" t="n">
        <v>57</v>
      </c>
      <c r="X306" s="282" t="n">
        <v>53</v>
      </c>
      <c r="Y306" s="282" t="n">
        <v>1</v>
      </c>
      <c r="Z306" s="282" t="n">
        <v>15</v>
      </c>
      <c r="AA306" s="282" t="n">
        <v>4</v>
      </c>
      <c r="AB306" s="323"/>
      <c r="AC306" s="198" t="n">
        <f aca="false">Z306+AA306+W306+X306+Y306+V306+T306+U306</f>
        <v>203</v>
      </c>
      <c r="AD306" s="282" t="s">
        <v>633</v>
      </c>
      <c r="AE306" s="284" t="n">
        <f aca="false">Z307+X307+V307+U307</f>
        <v>4.11964285714286</v>
      </c>
      <c r="AF306" s="324" t="n">
        <v>203</v>
      </c>
      <c r="AG306" s="324"/>
      <c r="AH306" s="324"/>
      <c r="AI306" s="325"/>
    </row>
    <row r="307" customFormat="false" ht="15" hidden="false" customHeight="true" outlineLevel="0" collapsed="false">
      <c r="B307" s="127" t="n">
        <f aca="false">B306+D307-C307</f>
        <v>1466.25</v>
      </c>
      <c r="D307" s="146" t="n">
        <v>155.25</v>
      </c>
      <c r="E307" s="147" t="n">
        <v>241</v>
      </c>
      <c r="F307" s="147" t="n">
        <f aca="false">IFERROR(VLOOKUP(H307,$AD$1:$AE$301,2,0),"")</f>
        <v>1008010</v>
      </c>
      <c r="G307" s="147" t="str">
        <f aca="false">IFERROR(VLOOKUP(F307,$AE$2:$AF$290,2, 0),"")</f>
        <v>البدع</v>
      </c>
      <c r="H307" s="212" t="s">
        <v>318</v>
      </c>
      <c r="I307" s="246" t="n">
        <f aca="false">SUM(K307:R307)</f>
        <v>1</v>
      </c>
      <c r="J307" s="182" t="n">
        <v>45544</v>
      </c>
      <c r="K307" s="184"/>
      <c r="L307" s="185"/>
      <c r="R307" s="155" t="n">
        <v>1</v>
      </c>
      <c r="S307" s="192" t="n">
        <f aca="false">(K307+O307+Q307)*24 /1130+(L307+M307+P307+R307)*12/1130+(N307*30)/1130</f>
        <v>0.0106194690265487</v>
      </c>
      <c r="U307" s="326" t="n">
        <f aca="false">(T306*24+U306*12)/1120</f>
        <v>0.728571428571429</v>
      </c>
      <c r="V307" s="327" t="n">
        <f aca="false">(V306*12)/1120</f>
        <v>0.353571428571429</v>
      </c>
      <c r="W307" s="328"/>
      <c r="X307" s="329" t="n">
        <f aca="false">(W306*30+X306*24+Y306*12)/1120</f>
        <v>2.67321428571429</v>
      </c>
      <c r="Y307" s="328"/>
      <c r="Z307" s="330" t="n">
        <f aca="false">(Z306*24+AA306*12)/1120</f>
        <v>0.364285714285714</v>
      </c>
      <c r="AA307" s="258" t="s">
        <v>629</v>
      </c>
      <c r="AB307" s="323"/>
      <c r="AC307" s="331"/>
      <c r="AD307" s="282" t="s">
        <v>630</v>
      </c>
      <c r="AE307" s="324" t="n">
        <v>7.35</v>
      </c>
      <c r="AF307" s="333" t="n">
        <f aca="false">AE306/AE307</f>
        <v>0.560495626822158</v>
      </c>
      <c r="AG307" s="333"/>
      <c r="AH307" s="333"/>
      <c r="AI307" s="345"/>
    </row>
    <row r="308" s="346" customFormat="true" ht="15" hidden="false" customHeight="true" outlineLevel="0" collapsed="false">
      <c r="A308" s="230"/>
      <c r="B308" s="127" t="n">
        <f aca="false">B307+D308-C308</f>
        <v>2921</v>
      </c>
      <c r="D308" s="146" t="n">
        <f aca="false">4*327.75+143.75</f>
        <v>1454.75</v>
      </c>
      <c r="E308" s="347" t="n">
        <v>242</v>
      </c>
      <c r="F308" s="347" t="n">
        <f aca="false">IFERROR(VLOOKUP(H308,$AD$1:$AE$301,2,0),"")</f>
        <v>1008040</v>
      </c>
      <c r="G308" s="147" t="str">
        <f aca="false">IFERROR(VLOOKUP(F308,$AE$2:$AF$290,2, 0),"")</f>
        <v>البير</v>
      </c>
      <c r="H308" s="348" t="s">
        <v>292</v>
      </c>
      <c r="I308" s="349" t="n">
        <f aca="false">SUM(K308:R308)</f>
        <v>6</v>
      </c>
      <c r="J308" s="350" t="n">
        <v>45544</v>
      </c>
      <c r="K308" s="184" t="n">
        <f aca="false">3+1</f>
        <v>4</v>
      </c>
      <c r="L308" s="185" t="n">
        <v>1</v>
      </c>
      <c r="M308" s="351"/>
      <c r="N308" s="151"/>
      <c r="O308" s="152"/>
      <c r="P308" s="153" t="n">
        <v>1</v>
      </c>
      <c r="Q308" s="151"/>
      <c r="R308" s="153"/>
      <c r="S308" s="192" t="n">
        <f aca="false">(K308+O308+Q308)*24 /1130+(L308+M308+P308+R308)*12/1130+(N308*30)/1130</f>
        <v>0.106194690265487</v>
      </c>
      <c r="T308" s="127"/>
      <c r="U308" s="335" t="n">
        <f aca="false">(U307)-0.95</f>
        <v>-0.221428571428571</v>
      </c>
      <c r="V308" s="336" t="n">
        <f aca="false">V307-0.3</f>
        <v>0.0535714285714286</v>
      </c>
      <c r="W308" s="336" t="n">
        <f aca="false">(X307)-4.7</f>
        <v>-2.02678571428571</v>
      </c>
      <c r="X308" s="336"/>
      <c r="Y308" s="336"/>
      <c r="Z308" s="337" t="n">
        <f aca="false">Z307-1.4</f>
        <v>-1.03571428571429</v>
      </c>
      <c r="AA308" s="259" t="s">
        <v>631</v>
      </c>
      <c r="AB308" s="323"/>
      <c r="AC308" s="331"/>
      <c r="AD308" s="282" t="s">
        <v>632</v>
      </c>
      <c r="AE308" s="338" t="n">
        <f aca="false">AE307-AE306</f>
        <v>3.23035714285714</v>
      </c>
      <c r="AF308" s="339" t="n">
        <f aca="false">V306*13+8</f>
        <v>437</v>
      </c>
      <c r="AG308" s="339"/>
      <c r="AH308" s="339"/>
      <c r="AI308" s="340" t="n">
        <v>6</v>
      </c>
      <c r="AJ308" s="162"/>
      <c r="AK308" s="162"/>
      <c r="AL308" s="128"/>
      <c r="AM308" s="128"/>
      <c r="AN308" s="128"/>
      <c r="AO308" s="128"/>
      <c r="AP308" s="128"/>
      <c r="AQ308" s="128"/>
      <c r="AR308" s="128"/>
      <c r="AS308" s="128"/>
      <c r="AT308" s="128"/>
      <c r="AU308" s="128"/>
      <c r="AV308" s="128"/>
      <c r="AW308" s="128"/>
      <c r="AX308" s="128"/>
      <c r="AY308" s="128"/>
      <c r="AZ308" s="128"/>
      <c r="BA308" s="128"/>
      <c r="BB308" s="128"/>
      <c r="BC308" s="128"/>
      <c r="BD308" s="128"/>
      <c r="BE308" s="128"/>
      <c r="BF308" s="206"/>
      <c r="BG308" s="206"/>
      <c r="BH308" s="230"/>
      <c r="BI308" s="230"/>
      <c r="BJ308" s="230"/>
      <c r="BK308" s="230"/>
      <c r="BL308" s="230"/>
      <c r="BM308" s="230"/>
      <c r="BN308" s="230"/>
      <c r="BO308" s="230"/>
      <c r="BP308" s="230"/>
      <c r="BQ308" s="230"/>
      <c r="BR308" s="230"/>
      <c r="BS308" s="230"/>
      <c r="BT308" s="230"/>
      <c r="BU308" s="230"/>
      <c r="BV308" s="230"/>
      <c r="BW308" s="230"/>
      <c r="BX308" s="230"/>
      <c r="BY308" s="128"/>
      <c r="BZ308" s="162"/>
      <c r="CA308" s="157"/>
      <c r="CB308" s="157"/>
      <c r="CC308" s="157"/>
      <c r="CD308" s="157"/>
      <c r="CE308" s="206"/>
      <c r="CO308" s="230"/>
      <c r="CP308" s="230"/>
      <c r="CQ308" s="230"/>
    </row>
    <row r="309" customFormat="false" ht="15" hidden="false" customHeight="true" outlineLevel="0" collapsed="false">
      <c r="B309" s="127" t="n">
        <f aca="false">B308+D309-C309</f>
        <v>3869.75</v>
      </c>
      <c r="D309" s="146" t="n">
        <f aca="false">3*316.25</f>
        <v>948.75</v>
      </c>
      <c r="E309" s="147" t="n">
        <v>243</v>
      </c>
      <c r="F309" s="147" t="n">
        <f aca="false">IFERROR(VLOOKUP(H309,$AD$1:$AE$301,2,0),"")</f>
        <v>1007996</v>
      </c>
      <c r="G309" s="147" t="str">
        <f aca="false">IFERROR(VLOOKUP(F309,$AE$2:$AF$290,2, 0),"")</f>
        <v>البير</v>
      </c>
      <c r="H309" s="212" t="s">
        <v>295</v>
      </c>
      <c r="I309" s="246" t="n">
        <f aca="false">SUM(K309:R309)</f>
        <v>3</v>
      </c>
      <c r="J309" s="182" t="n">
        <v>45544</v>
      </c>
      <c r="K309" s="184"/>
      <c r="L309" s="185"/>
      <c r="N309" s="151" t="n">
        <v>3</v>
      </c>
      <c r="S309" s="192" t="n">
        <f aca="false">(K309+O309+Q309)*24 /1130+(L309+M309+P309+R309)*12/1130+(N309*30)/1130</f>
        <v>0.079646017699115</v>
      </c>
      <c r="U309" s="352" t="n">
        <f aca="false">(U308*1120)/24</f>
        <v>-10.3333333333333</v>
      </c>
      <c r="V309" s="353" t="n">
        <f aca="false">(V308*1120)/12</f>
        <v>5</v>
      </c>
      <c r="W309" s="354"/>
      <c r="X309" s="355" t="n">
        <f aca="false">(W308*1120)/24</f>
        <v>-94.5833333333333</v>
      </c>
      <c r="Y309" s="355"/>
      <c r="Z309" s="356" t="n">
        <f aca="false">(Z308*1120)/24</f>
        <v>-48.3333333333333</v>
      </c>
      <c r="AA309" s="259"/>
      <c r="AB309" s="323"/>
      <c r="AC309" s="331" t="n">
        <v>0</v>
      </c>
    </row>
    <row r="310" customFormat="false" ht="15" hidden="false" customHeight="true" outlineLevel="0" collapsed="false">
      <c r="B310" s="127" t="n">
        <f aca="false">B309+D310-C310</f>
        <v>5180.75</v>
      </c>
      <c r="D310" s="146" t="n">
        <f aca="false">2*327.75+2*327.75</f>
        <v>1311</v>
      </c>
      <c r="E310" s="147" t="n">
        <v>244</v>
      </c>
      <c r="F310" s="147" t="n">
        <f aca="false">IFERROR(VLOOKUP(H310,$AD$1:$AE$301,2,0),"")</f>
        <v>1007996</v>
      </c>
      <c r="G310" s="147" t="str">
        <f aca="false">IFERROR(VLOOKUP(F310,$AE$2:$AF$290,2, 0),"")</f>
        <v>البير</v>
      </c>
      <c r="H310" s="212" t="s">
        <v>295</v>
      </c>
      <c r="I310" s="246" t="n">
        <f aca="false">SUM(K310:R310)</f>
        <v>5</v>
      </c>
      <c r="J310" s="182" t="n">
        <v>45544</v>
      </c>
      <c r="K310" s="184" t="n">
        <f aca="false">2+2</f>
        <v>4</v>
      </c>
      <c r="L310" s="185" t="n">
        <v>1</v>
      </c>
      <c r="S310" s="192" t="n">
        <f aca="false">(K310+O310+Q310)*24 /1130+(L310+M310+P310+R310)*12/1130+(N310*30)/1130</f>
        <v>0.0955752212389381</v>
      </c>
      <c r="U310" s="341" t="n">
        <f aca="false">U307/0.95</f>
        <v>0.766917293233083</v>
      </c>
      <c r="V310" s="342" t="n">
        <f aca="false">V307/0.3</f>
        <v>1.17857142857143</v>
      </c>
      <c r="W310" s="342" t="n">
        <f aca="false">X307/4.7</f>
        <v>0.568768996960486</v>
      </c>
      <c r="X310" s="342"/>
      <c r="Y310" s="342"/>
      <c r="Z310" s="343" t="n">
        <f aca="false">Z307/1.4</f>
        <v>0.260204081632653</v>
      </c>
      <c r="AA310" s="191" t="s">
        <v>40</v>
      </c>
      <c r="AB310" s="323"/>
      <c r="AC310" s="331" t="n">
        <f aca="false">AC309+AC308+AC307</f>
        <v>0</v>
      </c>
    </row>
    <row r="311" customFormat="false" ht="15" hidden="false" customHeight="true" outlineLevel="0" collapsed="false">
      <c r="B311" s="127" t="n">
        <f aca="false">B310+D311-C311</f>
        <v>0.5</v>
      </c>
      <c r="C311" s="127" t="n">
        <f aca="false">225+340.5+327.75+1817+1604+866</f>
        <v>5180.25</v>
      </c>
      <c r="E311" s="212" t="s">
        <v>470</v>
      </c>
      <c r="F311" s="147" t="str">
        <f aca="false">IFERROR(VLOOKUP(H311,$AD$1:$AE$301,2,0),"")</f>
        <v/>
      </c>
      <c r="G311" s="147" t="str">
        <f aca="false">IFERROR(VLOOKUP(F311,$AE$2:$AF$290,2, 0),"")</f>
        <v/>
      </c>
      <c r="H311" s="212" t="s">
        <v>393</v>
      </c>
      <c r="I311" s="246" t="n">
        <f aca="false">SUM(K311:R311)</f>
        <v>0</v>
      </c>
      <c r="J311" s="182" t="n">
        <v>45545</v>
      </c>
      <c r="K311" s="184"/>
      <c r="L311" s="185"/>
      <c r="S311" s="192" t="n">
        <f aca="false">(K311+O311+Q311)*24 /1130+(L311+M311+P311+R311)*12/1130+(N311*30)/1130</f>
        <v>0</v>
      </c>
      <c r="T311" s="344" t="n">
        <v>56</v>
      </c>
      <c r="U311" s="344" t="n">
        <v>20</v>
      </c>
      <c r="V311" s="282" t="n">
        <v>18</v>
      </c>
      <c r="W311" s="282" t="n">
        <v>29</v>
      </c>
      <c r="X311" s="282" t="n">
        <v>18</v>
      </c>
      <c r="Y311" s="282" t="n">
        <v>2</v>
      </c>
      <c r="Z311" s="282" t="n">
        <v>40</v>
      </c>
      <c r="AA311" s="282" t="n">
        <v>12</v>
      </c>
      <c r="AB311" s="323"/>
      <c r="AC311" s="198" t="n">
        <f aca="false">Z311+AA311+W311+X311+Y311+V311+T311+U311</f>
        <v>195</v>
      </c>
      <c r="AD311" s="282" t="s">
        <v>634</v>
      </c>
      <c r="AE311" s="284" t="n">
        <f aca="false">Z312+X312+V312+U312</f>
        <v>3.77678571428571</v>
      </c>
      <c r="AF311" s="324" t="n">
        <v>195</v>
      </c>
      <c r="AG311" s="324"/>
      <c r="AH311" s="324"/>
      <c r="AI311" s="325"/>
    </row>
    <row r="312" customFormat="false" ht="15" hidden="false" customHeight="true" outlineLevel="0" collapsed="false">
      <c r="B312" s="127" t="n">
        <f aca="false">B311+D312-C312</f>
        <v>1311.5</v>
      </c>
      <c r="D312" s="146" t="n">
        <f aca="false">4*327.75</f>
        <v>1311</v>
      </c>
      <c r="E312" s="147" t="n">
        <v>245</v>
      </c>
      <c r="F312" s="147" t="n">
        <f aca="false">IFERROR(VLOOKUP(H312,$AD$1:$AE$301,2,0),"")</f>
        <v>1008269</v>
      </c>
      <c r="G312" s="147" t="str">
        <f aca="false">IFERROR(VLOOKUP(F312,$AE$2:$AF$290,2, 0),"")</f>
        <v>تبوك</v>
      </c>
      <c r="H312" s="212" t="s">
        <v>166</v>
      </c>
      <c r="I312" s="246" t="n">
        <f aca="false">SUM(K312:R312)</f>
        <v>5</v>
      </c>
      <c r="J312" s="182" t="n">
        <v>45545</v>
      </c>
      <c r="K312" s="184" t="n">
        <v>4</v>
      </c>
      <c r="L312" s="185" t="n">
        <v>1</v>
      </c>
      <c r="S312" s="192" t="n">
        <f aca="false">(K312+O312+Q312)*24 /1130+(L312+M312+P312+R312)*12/1130+(N312*30)/1130</f>
        <v>0.0955752212389381</v>
      </c>
      <c r="U312" s="326" t="n">
        <f aca="false">(T311*24+U311*12)/1120</f>
        <v>1.41428571428571</v>
      </c>
      <c r="V312" s="327" t="n">
        <f aca="false">(V311*12)/1120</f>
        <v>0.192857142857143</v>
      </c>
      <c r="W312" s="328"/>
      <c r="X312" s="329" t="n">
        <f aca="false">(W311*30+X311*24+Y311*12)/1120</f>
        <v>1.18392857142857</v>
      </c>
      <c r="Y312" s="328"/>
      <c r="Z312" s="330" t="n">
        <f aca="false">(Z311*24+AA311*12)/1120</f>
        <v>0.985714285714286</v>
      </c>
      <c r="AA312" s="258" t="s">
        <v>629</v>
      </c>
      <c r="AB312" s="323"/>
      <c r="AC312" s="331"/>
      <c r="AD312" s="282" t="s">
        <v>630</v>
      </c>
      <c r="AE312" s="324" t="n">
        <v>8.2</v>
      </c>
      <c r="AF312" s="333" t="n">
        <f aca="false">AE311/AE312</f>
        <v>0.46058362369338</v>
      </c>
      <c r="AG312" s="333"/>
      <c r="AH312" s="333"/>
      <c r="AI312" s="345"/>
    </row>
    <row r="313" customFormat="false" ht="15" hidden="false" customHeight="true" outlineLevel="0" collapsed="false">
      <c r="B313" s="127" t="n">
        <f aca="false">B312+D313-C313</f>
        <v>2622.5</v>
      </c>
      <c r="C313" s="233"/>
      <c r="D313" s="146" t="n">
        <f aca="false">327.75*4</f>
        <v>1311</v>
      </c>
      <c r="E313" s="147" t="n">
        <v>246</v>
      </c>
      <c r="F313" s="147" t="n">
        <f aca="false">IFERROR(VLOOKUP(H313,$AD$1:$AE$301,2,0),"")</f>
        <v>1008266</v>
      </c>
      <c r="G313" s="147" t="str">
        <f aca="false">IFERROR(VLOOKUP(F313,$AE$2:$AF$290,2, 0),"")</f>
        <v>تبوك</v>
      </c>
      <c r="H313" s="212" t="s">
        <v>178</v>
      </c>
      <c r="I313" s="246" t="n">
        <f aca="false">SUM(K313:R313)</f>
        <v>5</v>
      </c>
      <c r="J313" s="182" t="n">
        <v>45545</v>
      </c>
      <c r="K313" s="184" t="n">
        <v>4</v>
      </c>
      <c r="L313" s="185" t="n">
        <v>1</v>
      </c>
      <c r="S313" s="192" t="n">
        <f aca="false">(K313+O313+Q313)*24 /1130+(L313+M313+P313+R313)*12/1130+(N313*30)/1130</f>
        <v>0.0955752212389381</v>
      </c>
      <c r="U313" s="335" t="n">
        <f aca="false">(U312)-1.05</f>
        <v>0.364285714285714</v>
      </c>
      <c r="V313" s="336" t="n">
        <f aca="false">V312-0.32</f>
        <v>-0.127142857142857</v>
      </c>
      <c r="W313" s="336" t="n">
        <f aca="false">(X312)-5.25</f>
        <v>-4.06607142857143</v>
      </c>
      <c r="X313" s="336"/>
      <c r="Y313" s="336"/>
      <c r="Z313" s="337" t="n">
        <f aca="false">Z312-1.58</f>
        <v>-0.594285714285714</v>
      </c>
      <c r="AA313" s="259" t="s">
        <v>631</v>
      </c>
      <c r="AB313" s="323"/>
      <c r="AC313" s="331"/>
      <c r="AD313" s="282" t="s">
        <v>632</v>
      </c>
      <c r="AE313" s="338" t="n">
        <f aca="false">AE312-AE311</f>
        <v>4.42321428571429</v>
      </c>
      <c r="AF313" s="339" t="n">
        <f aca="false">T311*12+U311*6-64</f>
        <v>728</v>
      </c>
      <c r="AG313" s="339"/>
      <c r="AH313" s="339"/>
      <c r="AI313" s="340" t="n">
        <v>7</v>
      </c>
    </row>
    <row r="314" customFormat="false" ht="15" hidden="false" customHeight="true" outlineLevel="0" collapsed="false">
      <c r="B314" s="127" t="n">
        <f aca="false">B313+D314-C314</f>
        <v>0.5</v>
      </c>
      <c r="C314" s="233" t="n">
        <f aca="false">300+500+1822</f>
        <v>2622</v>
      </c>
      <c r="E314" s="212" t="s">
        <v>470</v>
      </c>
      <c r="F314" s="147" t="str">
        <f aca="false">IFERROR(VLOOKUP(H314,$AD$1:$AE$301,2,0),"")</f>
        <v/>
      </c>
      <c r="G314" s="147" t="str">
        <f aca="false">IFERROR(VLOOKUP(F314,$AE$2:$AF$290,2, 0),"")</f>
        <v/>
      </c>
      <c r="H314" s="212" t="s">
        <v>393</v>
      </c>
      <c r="I314" s="246" t="n">
        <f aca="false">SUM(K314:R314)</f>
        <v>0</v>
      </c>
      <c r="J314" s="182" t="n">
        <v>45545</v>
      </c>
      <c r="K314" s="184"/>
      <c r="L314" s="185"/>
      <c r="S314" s="192" t="n">
        <f aca="false">(K314+O314+Q314)*24 /1130+(L314+M314+P314+R314)*12/1130+(N314*30)/1130</f>
        <v>0</v>
      </c>
      <c r="U314" s="357" t="n">
        <f aca="false">(U313*1120)/24</f>
        <v>17</v>
      </c>
      <c r="V314" s="355" t="n">
        <f aca="false">(V313*1120)/12</f>
        <v>-11.8666666666667</v>
      </c>
      <c r="W314" s="354"/>
      <c r="X314" s="355" t="n">
        <f aca="false">(W313*1120)/24</f>
        <v>-189.75</v>
      </c>
      <c r="Y314" s="355"/>
      <c r="Z314" s="356" t="n">
        <f aca="false">(Z313*1120)/24</f>
        <v>-27.7333333333333</v>
      </c>
      <c r="AA314" s="259"/>
      <c r="AB314" s="323"/>
      <c r="AC314" s="331" t="n">
        <v>0</v>
      </c>
    </row>
    <row r="315" customFormat="false" ht="15" hidden="false" customHeight="true" outlineLevel="0" collapsed="false">
      <c r="B315" s="127" t="n">
        <f aca="false">B314+D315-C315</f>
        <v>1311.5</v>
      </c>
      <c r="D315" s="146" t="n">
        <f aca="false">4*327.75</f>
        <v>1311</v>
      </c>
      <c r="E315" s="147" t="n">
        <v>247</v>
      </c>
      <c r="F315" s="147" t="n">
        <f aca="false">IFERROR(VLOOKUP(H315,$AD$1:$AE$301,2,0),"")</f>
        <v>1008273</v>
      </c>
      <c r="G315" s="147" t="str">
        <f aca="false">IFERROR(VLOOKUP(F315,$AE$2:$AF$290,2, 0),"")</f>
        <v>تبوك</v>
      </c>
      <c r="H315" s="212" t="s">
        <v>144</v>
      </c>
      <c r="I315" s="246" t="n">
        <f aca="false">SUM(K315:R315)</f>
        <v>5</v>
      </c>
      <c r="J315" s="182" t="n">
        <v>45544</v>
      </c>
      <c r="K315" s="184" t="n">
        <f aca="false">2+2</f>
        <v>4</v>
      </c>
      <c r="L315" s="185" t="n">
        <v>1</v>
      </c>
      <c r="S315" s="192" t="n">
        <f aca="false">(K315+O315+Q315)*24 /1130+(L315+M315+P315+R315)*12/1130+(N315*30)/1130</f>
        <v>0.0955752212389381</v>
      </c>
      <c r="U315" s="341" t="n">
        <f aca="false">U312/1.05</f>
        <v>1.3469387755102</v>
      </c>
      <c r="V315" s="342" t="n">
        <f aca="false">V312/0.32</f>
        <v>0.602678571428571</v>
      </c>
      <c r="W315" s="342" t="n">
        <f aca="false">X312/5.25</f>
        <v>0.225510204081633</v>
      </c>
      <c r="X315" s="342"/>
      <c r="Y315" s="342"/>
      <c r="Z315" s="343" t="n">
        <f aca="false">Z312/1.58</f>
        <v>0.623869801084991</v>
      </c>
      <c r="AA315" s="191" t="s">
        <v>40</v>
      </c>
      <c r="AB315" s="323"/>
      <c r="AC315" s="331" t="n">
        <f aca="false">AC314+AC313+AC312</f>
        <v>0</v>
      </c>
    </row>
    <row r="316" customFormat="false" ht="15" hidden="false" customHeight="true" outlineLevel="0" collapsed="false">
      <c r="B316" s="127" t="n">
        <f aca="false">B315+D316-C316</f>
        <v>0.5</v>
      </c>
      <c r="C316" s="127" t="n">
        <f aca="false">D315</f>
        <v>1311</v>
      </c>
      <c r="E316" s="212" t="s">
        <v>470</v>
      </c>
      <c r="F316" s="147" t="str">
        <f aca="false">IFERROR(VLOOKUP(H316,$AD$1:$AE$301,2,0),"")</f>
        <v/>
      </c>
      <c r="G316" s="147" t="str">
        <f aca="false">IFERROR(VLOOKUP(F316,$AE$2:$AF$290,2, 0),"")</f>
        <v/>
      </c>
      <c r="H316" s="212" t="s">
        <v>393</v>
      </c>
      <c r="I316" s="246" t="n">
        <f aca="false">SUM(K316:R316)</f>
        <v>0</v>
      </c>
      <c r="J316" s="182" t="n">
        <v>45547</v>
      </c>
      <c r="K316" s="184"/>
      <c r="L316" s="185"/>
      <c r="S316" s="192" t="n">
        <f aca="false">(K316+O316+Q316)*24 /1130+(L316+M316+P316+R316)*12/1130+(N316*30)/1130</f>
        <v>0</v>
      </c>
      <c r="T316" s="344" t="n">
        <v>60</v>
      </c>
      <c r="U316" s="344" t="n">
        <v>11</v>
      </c>
      <c r="V316" s="344" t="n">
        <v>33</v>
      </c>
      <c r="W316" s="282" t="n">
        <v>10</v>
      </c>
      <c r="X316" s="282" t="n">
        <v>13</v>
      </c>
      <c r="Y316" s="282" t="n">
        <v>2</v>
      </c>
      <c r="Z316" s="282" t="n">
        <v>35</v>
      </c>
      <c r="AA316" s="282" t="n">
        <v>3</v>
      </c>
      <c r="AB316" s="323"/>
      <c r="AC316" s="198" t="n">
        <f aca="false">AA316+Z316+Y316+X316+V316+W316+U316+T316</f>
        <v>167</v>
      </c>
      <c r="AD316" s="282" t="s">
        <v>52</v>
      </c>
      <c r="AE316" s="284" t="n">
        <f aca="false">Z317+X317+V317+U317</f>
        <v>3.10714285714286</v>
      </c>
      <c r="AF316" s="324" t="n">
        <v>167</v>
      </c>
      <c r="AG316" s="324"/>
      <c r="AH316" s="324"/>
      <c r="AI316" s="325"/>
    </row>
    <row r="317" customFormat="false" ht="15" hidden="false" customHeight="true" outlineLevel="0" collapsed="false">
      <c r="B317" s="127" t="n">
        <f aca="false">B316+D317-C317</f>
        <v>1311.5</v>
      </c>
      <c r="C317" s="233"/>
      <c r="D317" s="146" t="n">
        <f aca="false">4*327.75</f>
        <v>1311</v>
      </c>
      <c r="E317" s="147" t="n">
        <v>248</v>
      </c>
      <c r="F317" s="147" t="n">
        <f aca="false">IFERROR(VLOOKUP(H317,$AD$1:$AE$301,2,0),"")</f>
        <v>1008024</v>
      </c>
      <c r="G317" s="147" t="str">
        <f aca="false">IFERROR(VLOOKUP(F317,$AE$2:$AF$290,2, 0),"")</f>
        <v>ضباء</v>
      </c>
      <c r="H317" s="212" t="s">
        <v>96</v>
      </c>
      <c r="I317" s="246" t="n">
        <f aca="false">SUM(K317:R317)</f>
        <v>5</v>
      </c>
      <c r="J317" s="182" t="n">
        <v>45547</v>
      </c>
      <c r="K317" s="184" t="n">
        <f aca="false">3+1</f>
        <v>4</v>
      </c>
      <c r="L317" s="185" t="n">
        <v>1</v>
      </c>
      <c r="S317" s="192" t="n">
        <f aca="false">(K317+O317+Q317)*24 /1130+(L317+M317+P317+R317)*12/1130+(N317*30)/1130</f>
        <v>0.0955752212389381</v>
      </c>
      <c r="U317" s="326" t="n">
        <f aca="false">(T316*24+U316*12)/1120</f>
        <v>1.40357142857143</v>
      </c>
      <c r="V317" s="327" t="n">
        <f aca="false">(V316*12)/1120</f>
        <v>0.353571428571429</v>
      </c>
      <c r="W317" s="328"/>
      <c r="X317" s="329" t="n">
        <f aca="false">(W316*30+X316*24+Y316*12)/1120</f>
        <v>0.567857142857143</v>
      </c>
      <c r="Y317" s="328"/>
      <c r="Z317" s="330" t="n">
        <f aca="false">(Z316*24+AA316*12)/1120</f>
        <v>0.782142857142857</v>
      </c>
      <c r="AA317" s="258" t="s">
        <v>629</v>
      </c>
      <c r="AB317" s="323"/>
      <c r="AC317" s="331" t="n">
        <v>224</v>
      </c>
      <c r="AD317" s="282" t="s">
        <v>630</v>
      </c>
      <c r="AE317" s="324" t="n">
        <v>7.8</v>
      </c>
      <c r="AF317" s="358" t="n">
        <f aca="false">(AE316/AE317)</f>
        <v>0.398351648351648</v>
      </c>
      <c r="AG317" s="358"/>
      <c r="AH317" s="358"/>
      <c r="AI317" s="334"/>
    </row>
    <row r="318" customFormat="false" ht="15" hidden="false" customHeight="true" outlineLevel="0" collapsed="false">
      <c r="B318" s="127" t="n">
        <f aca="false">B317+D318-C318</f>
        <v>2622.5</v>
      </c>
      <c r="D318" s="146" t="n">
        <v>1311</v>
      </c>
      <c r="E318" s="147" t="n">
        <v>249</v>
      </c>
      <c r="F318" s="147" t="n">
        <f aca="false">IFERROR(VLOOKUP(H318,$AD$1:$AE$301,2,0),"")</f>
        <v>1008043</v>
      </c>
      <c r="G318" s="147" t="str">
        <f aca="false">IFERROR(VLOOKUP(F318,$AE$2:$AF$290,2, 0),"")</f>
        <v>الوجه</v>
      </c>
      <c r="H318" s="212" t="s">
        <v>104</v>
      </c>
      <c r="I318" s="246" t="n">
        <f aca="false">SUM(K318:R318)</f>
        <v>5</v>
      </c>
      <c r="J318" s="182" t="n">
        <v>45547</v>
      </c>
      <c r="K318" s="184" t="n">
        <f aca="false">2+2</f>
        <v>4</v>
      </c>
      <c r="L318" s="185" t="n">
        <v>1</v>
      </c>
      <c r="S318" s="192" t="n">
        <f aca="false">(K318+O318+Q318)*24 /1130+(L318+M318+P318+R318)*12/1130+(N318*30)/1130</f>
        <v>0.0955752212389381</v>
      </c>
      <c r="U318" s="335" t="n">
        <f aca="false">(U317)-1</f>
        <v>0.403571428571428</v>
      </c>
      <c r="V318" s="336" t="n">
        <f aca="false">V317-0.3</f>
        <v>0.0535714285714286</v>
      </c>
      <c r="W318" s="336" t="n">
        <f aca="false">(X317)-5</f>
        <v>-4.43214285714286</v>
      </c>
      <c r="X318" s="336"/>
      <c r="Y318" s="336"/>
      <c r="Z318" s="337" t="n">
        <f aca="false">Z317-1.5</f>
        <v>-0.717857142857143</v>
      </c>
      <c r="AA318" s="259" t="s">
        <v>631</v>
      </c>
      <c r="AB318" s="323"/>
      <c r="AC318" s="331" t="n">
        <v>90</v>
      </c>
      <c r="AD318" s="282" t="s">
        <v>632</v>
      </c>
      <c r="AE318" s="338" t="n">
        <f aca="false">AE317-AE316</f>
        <v>4.69285714285714</v>
      </c>
      <c r="AF318" s="339" t="n">
        <f aca="false">T316*12+U316*6+V316*16-73</f>
        <v>1241</v>
      </c>
      <c r="AG318" s="339"/>
      <c r="AH318" s="339"/>
      <c r="AI318" s="340" t="n">
        <v>8</v>
      </c>
    </row>
    <row r="319" customFormat="false" ht="15" hidden="false" customHeight="true" outlineLevel="0" collapsed="false">
      <c r="B319" s="127" t="n">
        <f aca="false">B318+D319-C319</f>
        <v>2950.25</v>
      </c>
      <c r="D319" s="146" t="n">
        <v>327.75</v>
      </c>
      <c r="E319" s="147" t="n">
        <v>253</v>
      </c>
      <c r="F319" s="147" t="n">
        <f aca="false">IFERROR(VLOOKUP(H319,$AD$1:$AE$301,2,0),"")</f>
        <v>1008032</v>
      </c>
      <c r="G319" s="147" t="str">
        <f aca="false">IFERROR(VLOOKUP(F319,$AE$2:$AF$290,2, 0),"")</f>
        <v>ضباء</v>
      </c>
      <c r="H319" s="212" t="s">
        <v>101</v>
      </c>
      <c r="I319" s="246" t="n">
        <f aca="false">SUM(K319:R319)</f>
        <v>1</v>
      </c>
      <c r="J319" s="182" t="n">
        <v>45547</v>
      </c>
      <c r="K319" s="184" t="n">
        <v>1</v>
      </c>
      <c r="S319" s="192" t="n">
        <f aca="false">(K319+O319+Q319)*24 /1130+(L319+M319+P319+R319)*12/1130+(N319*30)/1130</f>
        <v>0.0212389380530973</v>
      </c>
      <c r="U319" s="357" t="n">
        <f aca="false">(U318*1120)/24</f>
        <v>18.8333333333333</v>
      </c>
      <c r="V319" s="353" t="n">
        <f aca="false">(V318*1120)/12</f>
        <v>5</v>
      </c>
      <c r="W319" s="354"/>
      <c r="X319" s="355" t="n">
        <f aca="false">(W318*1120)/24</f>
        <v>-206.833333333333</v>
      </c>
      <c r="Y319" s="355"/>
      <c r="Z319" s="356" t="n">
        <f aca="false">(Z318*1120)/24</f>
        <v>-33.5</v>
      </c>
      <c r="AA319" s="259"/>
      <c r="AB319" s="323"/>
      <c r="AC319" s="331" t="n">
        <v>0</v>
      </c>
    </row>
    <row r="320" customFormat="false" ht="15" hidden="false" customHeight="true" outlineLevel="0" collapsed="false">
      <c r="B320" s="127" t="n">
        <f aca="false">B319+D320-C320</f>
        <v>5756.25</v>
      </c>
      <c r="D320" s="146" t="n">
        <f aca="false">4*270.25+4*293.25+2*276</f>
        <v>2806</v>
      </c>
      <c r="E320" s="147" t="n">
        <v>252</v>
      </c>
      <c r="F320" s="147" t="n">
        <f aca="false">IFERROR(VLOOKUP(H320,$AD$1:$AE$301,2,0),"")</f>
        <v>1008004</v>
      </c>
      <c r="G320" s="147" t="str">
        <f aca="false">IFERROR(VLOOKUP(F320,$AE$2:$AF$290,2, 0),"")</f>
        <v>حقل</v>
      </c>
      <c r="H320" s="212" t="s">
        <v>316</v>
      </c>
      <c r="I320" s="246" t="n">
        <f aca="false">SUM(K320:R320)</f>
        <v>10</v>
      </c>
      <c r="J320" s="182" t="n">
        <v>45547</v>
      </c>
      <c r="K320" s="184"/>
      <c r="L320" s="185"/>
      <c r="M320" s="150" t="n">
        <v>10</v>
      </c>
      <c r="S320" s="192" t="n">
        <f aca="false">(K320+O320+Q320)*24 /1130+(L320+M320+P320+R320)*12/1130+(N320*30)/1130</f>
        <v>0.106194690265487</v>
      </c>
      <c r="U320" s="341" t="n">
        <f aca="false">U317/1</f>
        <v>1.40357142857143</v>
      </c>
      <c r="V320" s="342" t="n">
        <f aca="false">V317/0.3</f>
        <v>1.17857142857143</v>
      </c>
      <c r="W320" s="342" t="n">
        <f aca="false">X317/5</f>
        <v>0.113571428571429</v>
      </c>
      <c r="X320" s="342"/>
      <c r="Y320" s="342"/>
      <c r="Z320" s="343" t="n">
        <f aca="false">Z317/1.5</f>
        <v>0.521428571428572</v>
      </c>
      <c r="AA320" s="191" t="s">
        <v>40</v>
      </c>
      <c r="AB320" s="323"/>
      <c r="AC320" s="331" t="n">
        <f aca="false">AC319+AC318+AC317</f>
        <v>314</v>
      </c>
    </row>
    <row r="321" customFormat="false" ht="15" hidden="false" customHeight="true" outlineLevel="0" collapsed="false">
      <c r="B321" s="127" t="n">
        <f aca="false">B320+D321-C321</f>
        <v>7067.25</v>
      </c>
      <c r="D321" s="146" t="n">
        <f aca="false">4*327.75</f>
        <v>1311</v>
      </c>
      <c r="E321" s="147" t="n">
        <v>251</v>
      </c>
      <c r="F321" s="147" t="n">
        <f aca="false">IFERROR(VLOOKUP(H321,$AD$1:$AE$301,2,0),"")</f>
        <v>1008047</v>
      </c>
      <c r="G321" s="147" t="str">
        <f aca="false">IFERROR(VLOOKUP(F321,$AE$2:$AF$290,2, 0),"")</f>
        <v>الوجه</v>
      </c>
      <c r="H321" s="212" t="s">
        <v>422</v>
      </c>
      <c r="I321" s="246" t="n">
        <f aca="false">SUM(K321:R321)</f>
        <v>5</v>
      </c>
      <c r="J321" s="182" t="n">
        <v>45547</v>
      </c>
      <c r="K321" s="184" t="n">
        <v>4</v>
      </c>
      <c r="L321" s="185" t="n">
        <v>1</v>
      </c>
      <c r="S321" s="192" t="n">
        <f aca="false">(K321+O321+Q321)*24 /1130+(L321+M321+P321+R321)*12/1130+(N321*30)/1130</f>
        <v>0.0955752212389381</v>
      </c>
      <c r="T321" s="344" t="n">
        <v>151</v>
      </c>
      <c r="U321" s="344" t="n">
        <v>38</v>
      </c>
      <c r="V321" s="344" t="n">
        <v>43</v>
      </c>
      <c r="W321" s="282" t="n">
        <v>11</v>
      </c>
      <c r="X321" s="282" t="n">
        <v>6</v>
      </c>
      <c r="Y321" s="282" t="n">
        <v>2</v>
      </c>
      <c r="Z321" s="282" t="n">
        <v>21</v>
      </c>
      <c r="AA321" s="282" t="n">
        <v>4</v>
      </c>
      <c r="AB321" s="323"/>
      <c r="AC321" s="198" t="n">
        <f aca="false">AA321+Z321+Y321+X321+V321+W321+U321+T321</f>
        <v>276</v>
      </c>
      <c r="AD321" s="282" t="s">
        <v>53</v>
      </c>
      <c r="AE321" s="284" t="n">
        <f aca="false">Z322+X322+V322+U322</f>
        <v>5.04107142857143</v>
      </c>
      <c r="AF321" s="198" t="n">
        <v>276</v>
      </c>
      <c r="AG321" s="359"/>
      <c r="AH321" s="359"/>
      <c r="AI321" s="325"/>
    </row>
    <row r="322" customFormat="false" ht="15" hidden="false" customHeight="true" outlineLevel="0" collapsed="false">
      <c r="B322" s="127" t="n">
        <f aca="false">B321+D322-C322</f>
        <v>8378.25</v>
      </c>
      <c r="D322" s="146" t="n">
        <f aca="false">4*327.75</f>
        <v>1311</v>
      </c>
      <c r="E322" s="147" t="n">
        <v>250</v>
      </c>
      <c r="F322" s="147" t="n">
        <f aca="false">IFERROR(VLOOKUP(H322,$AD$1:$AE$301,2,0),"")</f>
        <v>1008045</v>
      </c>
      <c r="G322" s="147" t="str">
        <f aca="false">IFERROR(VLOOKUP(F322,$AE$2:$AF$290,2, 0),"")</f>
        <v>الوجه</v>
      </c>
      <c r="H322" s="212" t="s">
        <v>107</v>
      </c>
      <c r="I322" s="246" t="n">
        <f aca="false">SUM(K322:R322)</f>
        <v>5</v>
      </c>
      <c r="J322" s="182" t="n">
        <v>45547</v>
      </c>
      <c r="K322" s="184" t="n">
        <v>4</v>
      </c>
      <c r="L322" s="185" t="n">
        <v>1</v>
      </c>
      <c r="S322" s="192" t="n">
        <f aca="false">(K322+O322+Q322)*24 /1130+(L322+M322+P322+R322)*12/1130+(N322*30)/1130</f>
        <v>0.0955752212389381</v>
      </c>
      <c r="U322" s="326" t="n">
        <f aca="false">(T321*24+U321*12)/1120</f>
        <v>3.64285714285714</v>
      </c>
      <c r="V322" s="327" t="n">
        <f aca="false">(V321*12)/1120</f>
        <v>0.460714285714286</v>
      </c>
      <c r="W322" s="328"/>
      <c r="X322" s="329" t="n">
        <f aca="false">(W321*30+X321*24+Y321*12)/1120</f>
        <v>0.444642857142857</v>
      </c>
      <c r="Y322" s="328"/>
      <c r="Z322" s="330" t="n">
        <f aca="false">(Z321*24+AA321*12)/1120</f>
        <v>0.492857142857143</v>
      </c>
      <c r="AA322" s="258" t="s">
        <v>629</v>
      </c>
      <c r="AB322" s="323"/>
      <c r="AC322" s="331" t="n">
        <v>183</v>
      </c>
      <c r="AD322" s="282" t="s">
        <v>630</v>
      </c>
      <c r="AE322" s="324" t="n">
        <v>8.19</v>
      </c>
      <c r="AF322" s="358" t="n">
        <f aca="false">(AE321/AE322)</f>
        <v>0.615515436944009</v>
      </c>
      <c r="AG322" s="358"/>
      <c r="AH322" s="358"/>
      <c r="AI322" s="334"/>
    </row>
    <row r="323" customFormat="false" ht="15" hidden="false" customHeight="true" outlineLevel="0" collapsed="false">
      <c r="B323" s="127" t="n">
        <f aca="false">B322+D323-C323</f>
        <v>8706</v>
      </c>
      <c r="D323" s="146" t="n">
        <v>327.75</v>
      </c>
      <c r="E323" s="147" t="n">
        <v>254</v>
      </c>
      <c r="F323" s="147" t="n">
        <f aca="false">IFERROR(VLOOKUP(H323,$AD$1:$AE$301,2,0),"")</f>
        <v>1007980</v>
      </c>
      <c r="G323" s="147" t="str">
        <f aca="false">IFERROR(VLOOKUP(F323,$AE$2:$AF$290,2, 0),"")</f>
        <v>ضباء</v>
      </c>
      <c r="H323" s="212" t="s">
        <v>81</v>
      </c>
      <c r="I323" s="246" t="n">
        <f aca="false">SUM(K323:R323)</f>
        <v>1</v>
      </c>
      <c r="J323" s="182" t="n">
        <v>45547</v>
      </c>
      <c r="K323" s="184" t="n">
        <v>1</v>
      </c>
      <c r="L323" s="185"/>
      <c r="S323" s="192" t="n">
        <f aca="false">(K323+O323+Q323)*24 /1130+(L323+M323+P323+R323)*12/1130+(N323*30)/1130</f>
        <v>0.0212389380530973</v>
      </c>
      <c r="U323" s="335" t="n">
        <f aca="false">(U322)-1.05</f>
        <v>2.59285714285714</v>
      </c>
      <c r="V323" s="336" t="n">
        <f aca="false">V322-0.32</f>
        <v>0.140714285714286</v>
      </c>
      <c r="W323" s="336" t="n">
        <f aca="false">(X322)-5.25</f>
        <v>-4.80535714285714</v>
      </c>
      <c r="X323" s="336"/>
      <c r="Y323" s="336"/>
      <c r="Z323" s="337" t="n">
        <f aca="false">Z322-1.58</f>
        <v>-1.08714285714286</v>
      </c>
      <c r="AA323" s="259" t="s">
        <v>631</v>
      </c>
      <c r="AB323" s="323"/>
      <c r="AC323" s="331" t="n">
        <v>93</v>
      </c>
      <c r="AD323" s="282" t="s">
        <v>632</v>
      </c>
      <c r="AE323" s="338" t="n">
        <f aca="false">AE322-AE321</f>
        <v>3.14892857142857</v>
      </c>
      <c r="AF323" s="339" t="n">
        <f aca="false">T321*12+U321*6+V321*16</f>
        <v>2728</v>
      </c>
      <c r="AG323" s="339"/>
      <c r="AH323" s="339"/>
      <c r="AI323" s="340" t="n">
        <v>9</v>
      </c>
    </row>
    <row r="324" customFormat="false" ht="15" hidden="false" customHeight="true" outlineLevel="0" collapsed="false">
      <c r="B324" s="127" t="n">
        <f aca="false">B323+D324-C324</f>
        <v>8844</v>
      </c>
      <c r="D324" s="146" t="n">
        <v>138</v>
      </c>
      <c r="E324" s="147" t="n">
        <v>255</v>
      </c>
      <c r="F324" s="147" t="n">
        <f aca="false">IFERROR(VLOOKUP(H324,$AD$1:$AE$301,2,0),"")</f>
        <v>1008269</v>
      </c>
      <c r="G324" s="147" t="str">
        <f aca="false">IFERROR(VLOOKUP(F324,$AE$2:$AF$290,2, 0),"")</f>
        <v>تبوك</v>
      </c>
      <c r="H324" s="212" t="s">
        <v>166</v>
      </c>
      <c r="I324" s="246" t="n">
        <f aca="false">SUM(K324:R324)</f>
        <v>1</v>
      </c>
      <c r="J324" s="182" t="n">
        <v>45547</v>
      </c>
      <c r="K324" s="184"/>
      <c r="L324" s="185"/>
      <c r="Q324" s="154" t="n">
        <v>1</v>
      </c>
      <c r="S324" s="192" t="n">
        <f aca="false">(K324+O324+Q324)*24 /1130+(L324+M324+P324+R324)*12/1130+(N324*30)/1130</f>
        <v>0.0212389380530973</v>
      </c>
      <c r="U324" s="357" t="n">
        <f aca="false">(U323*1120)/24</f>
        <v>121</v>
      </c>
      <c r="V324" s="353" t="n">
        <f aca="false">(V323*1120)/12</f>
        <v>13.1333333333333</v>
      </c>
      <c r="W324" s="354"/>
      <c r="X324" s="355" t="n">
        <f aca="false">(W323*1120)/24</f>
        <v>-224.25</v>
      </c>
      <c r="Y324" s="355"/>
      <c r="Z324" s="356" t="n">
        <f aca="false">(Z323*1120)/24</f>
        <v>-50.7333333333333</v>
      </c>
      <c r="AA324" s="259"/>
      <c r="AB324" s="323"/>
      <c r="AC324" s="331" t="n">
        <v>0</v>
      </c>
    </row>
    <row r="325" customFormat="false" ht="15" hidden="false" customHeight="true" outlineLevel="0" collapsed="false">
      <c r="B325" s="127" t="n">
        <f aca="false">B324+D325-C325</f>
        <v>5205.25</v>
      </c>
      <c r="C325" s="127" t="n">
        <f aca="false">D317+2327.75</f>
        <v>3638.75</v>
      </c>
      <c r="E325" s="212" t="s">
        <v>470</v>
      </c>
      <c r="F325" s="147" t="str">
        <f aca="false">IFERROR(VLOOKUP(H325,$AD$1:$AE$301,2,0),"")</f>
        <v/>
      </c>
      <c r="G325" s="147" t="str">
        <f aca="false">IFERROR(VLOOKUP(F325,$AE$2:$AF$290,2, 0),"")</f>
        <v/>
      </c>
      <c r="H325" s="212" t="s">
        <v>393</v>
      </c>
      <c r="I325" s="246" t="n">
        <f aca="false">SUM(K325:R325)</f>
        <v>0</v>
      </c>
      <c r="J325" s="182" t="n">
        <v>45547</v>
      </c>
      <c r="L325" s="185"/>
      <c r="S325" s="192" t="n">
        <f aca="false">(K325+O325+Q325)*24 /1130+(L325+M325+P325+R325)*12/1130+(N325*30)/1130</f>
        <v>0</v>
      </c>
      <c r="U325" s="341" t="n">
        <f aca="false">U322/1.05</f>
        <v>3.46938775510204</v>
      </c>
      <c r="V325" s="342" t="n">
        <f aca="false">V322/0.32</f>
        <v>1.43973214285714</v>
      </c>
      <c r="W325" s="342" t="n">
        <f aca="false">X322/5.25</f>
        <v>0.0846938775510204</v>
      </c>
      <c r="X325" s="342"/>
      <c r="Y325" s="342"/>
      <c r="Z325" s="343" t="n">
        <f aca="false">Z322/1.58</f>
        <v>0.311934900542496</v>
      </c>
      <c r="AA325" s="191" t="s">
        <v>40</v>
      </c>
      <c r="AB325" s="323"/>
      <c r="AC325" s="331" t="n">
        <f aca="false">AC324+AC323+AC322</f>
        <v>276</v>
      </c>
    </row>
    <row r="326" customFormat="false" ht="15" hidden="false" customHeight="true" outlineLevel="0" collapsed="false">
      <c r="B326" s="127" t="n">
        <f aca="false">B325+D326-C326</f>
        <v>0.5</v>
      </c>
      <c r="C326" s="127" t="n">
        <v>5205</v>
      </c>
      <c r="D326" s="146" t="n">
        <v>0.25</v>
      </c>
      <c r="E326" s="212" t="s">
        <v>392</v>
      </c>
      <c r="F326" s="147" t="str">
        <f aca="false">IFERROR(VLOOKUP(H326,$AD$1:$AE$301,2,0),"")</f>
        <v/>
      </c>
      <c r="G326" s="147" t="str">
        <f aca="false">IFERROR(VLOOKUP(F326,$AE$2:$AF$290,2, 0),"")</f>
        <v/>
      </c>
      <c r="H326" s="212" t="s">
        <v>393</v>
      </c>
      <c r="I326" s="246" t="n">
        <f aca="false">SUM(K326:R326)</f>
        <v>0</v>
      </c>
      <c r="J326" s="182" t="n">
        <v>45551</v>
      </c>
      <c r="L326" s="185"/>
      <c r="S326" s="192" t="n">
        <f aca="false">(K326+O326+Q326)*24 /1130+(L326+M326+P326+R326)*12/1130+(N326*30)/1130</f>
        <v>0</v>
      </c>
      <c r="T326" s="344" t="n">
        <v>146</v>
      </c>
      <c r="U326" s="344" t="n">
        <v>39</v>
      </c>
      <c r="V326" s="344" t="n">
        <v>40</v>
      </c>
      <c r="W326" s="282" t="n">
        <v>21</v>
      </c>
      <c r="X326" s="282" t="n">
        <v>28</v>
      </c>
      <c r="Y326" s="282" t="n">
        <v>0</v>
      </c>
      <c r="Z326" s="282" t="n">
        <v>24</v>
      </c>
      <c r="AA326" s="282" t="n">
        <v>16</v>
      </c>
      <c r="AB326" s="323"/>
      <c r="AC326" s="198" t="n">
        <f aca="false">Z326+AA326+W326+X326+Y326+V326+T326+U326</f>
        <v>314</v>
      </c>
      <c r="AD326" s="282" t="s">
        <v>54</v>
      </c>
      <c r="AE326" s="284" t="n">
        <f aca="false">Z327+X327+V327+U327</f>
        <v>5.82321428571429</v>
      </c>
      <c r="AF326" s="198" t="n">
        <f aca="false">AA326+Z326+Y326+X326+V326+W326+U326+T326</f>
        <v>314</v>
      </c>
      <c r="AG326" s="359"/>
      <c r="AH326" s="359"/>
      <c r="AI326" s="285"/>
    </row>
    <row r="327" customFormat="false" ht="15" hidden="false" customHeight="true" outlineLevel="0" collapsed="false">
      <c r="B327" s="127" t="n">
        <f aca="false">B326+D327-C327</f>
        <v>1311.5</v>
      </c>
      <c r="D327" s="146" t="n">
        <v>1311</v>
      </c>
      <c r="E327" s="147" t="n">
        <v>256</v>
      </c>
      <c r="F327" s="147" t="n">
        <f aca="false">IFERROR(VLOOKUP(H327,$AD$1:$AE$301,2,0),"")</f>
        <v>1007999</v>
      </c>
      <c r="G327" s="147" t="str">
        <f aca="false">IFERROR(VLOOKUP(F327,$AE$2:$AF$290,2, 0),"")</f>
        <v>حقل</v>
      </c>
      <c r="H327" s="212" t="s">
        <v>312</v>
      </c>
      <c r="I327" s="246" t="n">
        <f aca="false">SUM(K327:R327)</f>
        <v>5</v>
      </c>
      <c r="J327" s="182" t="n">
        <v>45551</v>
      </c>
      <c r="K327" s="184" t="n">
        <v>4</v>
      </c>
      <c r="L327" s="185" t="n">
        <v>1</v>
      </c>
      <c r="S327" s="192" t="n">
        <f aca="false">(K327+O327+Q327)*24 /1130+(L327+M327+P327+R327)*12/1130+(N327*30)/1130</f>
        <v>0.0955752212389381</v>
      </c>
      <c r="U327" s="326" t="n">
        <f aca="false">(T326*24+U326*12)/1120</f>
        <v>3.54642857142857</v>
      </c>
      <c r="V327" s="327" t="n">
        <f aca="false">(V326*12)/1120</f>
        <v>0.428571428571429</v>
      </c>
      <c r="W327" s="328"/>
      <c r="X327" s="329" t="n">
        <f aca="false">(W326*30+X326*24+Y326*12)/1120</f>
        <v>1.1625</v>
      </c>
      <c r="Y327" s="328"/>
      <c r="Z327" s="330" t="n">
        <f aca="false">(Z326*24+AA326*12)/1120</f>
        <v>0.685714285714286</v>
      </c>
      <c r="AA327" s="258" t="s">
        <v>629</v>
      </c>
      <c r="AB327" s="323"/>
      <c r="AC327" s="331" t="n">
        <v>224</v>
      </c>
      <c r="AD327" s="282" t="s">
        <v>630</v>
      </c>
      <c r="AE327" s="324" t="n">
        <v>7.8</v>
      </c>
      <c r="AF327" s="358" t="n">
        <f aca="false">(AE326/AE327)</f>
        <v>0.746565934065934</v>
      </c>
      <c r="AG327" s="358"/>
      <c r="AH327" s="358"/>
      <c r="AI327" s="334"/>
    </row>
    <row r="328" customFormat="false" ht="15" hidden="false" customHeight="true" outlineLevel="0" collapsed="false">
      <c r="B328" s="127" t="n">
        <f aca="false">B327+D328-C328</f>
        <v>1604.75</v>
      </c>
      <c r="D328" s="146" t="n">
        <f aca="false">155.25+138</f>
        <v>293.25</v>
      </c>
      <c r="E328" s="147" t="n">
        <v>257</v>
      </c>
      <c r="F328" s="147" t="n">
        <f aca="false">IFERROR(VLOOKUP(H328,$AD$1:$AE$301,2,0),"")</f>
        <v>1008009</v>
      </c>
      <c r="G328" s="147" t="str">
        <f aca="false">IFERROR(VLOOKUP(F328,$AE$2:$AF$290,2, 0),"")</f>
        <v>حقل</v>
      </c>
      <c r="H328" s="212" t="s">
        <v>305</v>
      </c>
      <c r="I328" s="246" t="n">
        <f aca="false">SUM(K328:R328)</f>
        <v>2</v>
      </c>
      <c r="J328" s="182" t="n">
        <v>45551</v>
      </c>
      <c r="K328" s="184"/>
      <c r="L328" s="185"/>
      <c r="Q328" s="154" t="n">
        <v>1</v>
      </c>
      <c r="R328" s="155" t="n">
        <v>1</v>
      </c>
      <c r="S328" s="192" t="n">
        <f aca="false">(K328+O328+Q328)*24 /1130+(L328+M328+P328+R328)*12/1130+(N328*30)/1130</f>
        <v>0.031858407079646</v>
      </c>
      <c r="U328" s="335" t="n">
        <f aca="false">(U327)-1</f>
        <v>2.54642857142857</v>
      </c>
      <c r="V328" s="336" t="n">
        <f aca="false">V327-0.3</f>
        <v>0.128571428571429</v>
      </c>
      <c r="W328" s="336" t="n">
        <f aca="false">(X327)-5</f>
        <v>-3.8375</v>
      </c>
      <c r="X328" s="336"/>
      <c r="Y328" s="336"/>
      <c r="Z328" s="337" t="n">
        <f aca="false">Z327-1.5</f>
        <v>-0.814285714285714</v>
      </c>
      <c r="AA328" s="259" t="s">
        <v>631</v>
      </c>
      <c r="AB328" s="323"/>
      <c r="AC328" s="331" t="n">
        <v>90</v>
      </c>
      <c r="AD328" s="282" t="s">
        <v>632</v>
      </c>
      <c r="AE328" s="338" t="n">
        <f aca="false">AE327-AE326</f>
        <v>1.97678571428571</v>
      </c>
      <c r="AF328" s="339" t="n">
        <f aca="false">T326*12+U326*6+V326*16</f>
        <v>2626</v>
      </c>
      <c r="AG328" s="339"/>
      <c r="AH328" s="339"/>
      <c r="AI328" s="340" t="n">
        <v>10</v>
      </c>
    </row>
    <row r="329" customFormat="false" ht="15" hidden="false" customHeight="true" outlineLevel="0" collapsed="false">
      <c r="B329" s="127" t="n">
        <f aca="false">B328+D329-C329</f>
        <v>2915.75</v>
      </c>
      <c r="D329" s="146" t="n">
        <f aca="false">327.75*4</f>
        <v>1311</v>
      </c>
      <c r="E329" s="147" t="n">
        <v>258</v>
      </c>
      <c r="F329" s="147" t="n">
        <f aca="false">IFERROR(VLOOKUP(H329,$AD$1:$AE$301,2,0),"")</f>
        <v>1006522</v>
      </c>
      <c r="G329" s="147" t="str">
        <f aca="false">IFERROR(VLOOKUP(F329,$AE$2:$AF$290,2, 0),"")</f>
        <v>البدع</v>
      </c>
      <c r="H329" s="212" t="s">
        <v>317</v>
      </c>
      <c r="I329" s="246" t="n">
        <f aca="false">SUM(K329:R329)</f>
        <v>5</v>
      </c>
      <c r="J329" s="182" t="n">
        <v>45551</v>
      </c>
      <c r="K329" s="184" t="n">
        <v>4</v>
      </c>
      <c r="L329" s="185" t="n">
        <v>1</v>
      </c>
      <c r="S329" s="192" t="n">
        <f aca="false">(K329+O329+Q329)*24 /1130+(L329+M329+P329+R329)*12/1130+(N329*30)/1130</f>
        <v>0.0955752212389381</v>
      </c>
      <c r="U329" s="357" t="n">
        <f aca="false">(U328*1120)/24</f>
        <v>118.833333333333</v>
      </c>
      <c r="V329" s="353" t="n">
        <f aca="false">(V328*1120)/12</f>
        <v>12</v>
      </c>
      <c r="W329" s="354"/>
      <c r="X329" s="355" t="n">
        <f aca="false">(W328*1120)/24</f>
        <v>-179.083333333333</v>
      </c>
      <c r="Y329" s="355"/>
      <c r="Z329" s="356" t="n">
        <f aca="false">(Z328*1120)/24</f>
        <v>-38</v>
      </c>
      <c r="AA329" s="259"/>
      <c r="AB329" s="323"/>
      <c r="AC329" s="331" t="n">
        <v>0</v>
      </c>
    </row>
    <row r="330" customFormat="false" ht="15" hidden="false" customHeight="true" outlineLevel="0" collapsed="false">
      <c r="B330" s="127" t="n">
        <f aca="false">B329+D330-C330</f>
        <v>-136.75</v>
      </c>
      <c r="C330" s="127" t="n">
        <f aca="false">293+D327+983+465.5</f>
        <v>3052.5</v>
      </c>
      <c r="E330" s="212" t="s">
        <v>470</v>
      </c>
      <c r="F330" s="147" t="str">
        <f aca="false">IFERROR(VLOOKUP(H330,$AD$1:$AE$301,2,0),"")</f>
        <v/>
      </c>
      <c r="G330" s="147" t="str">
        <f aca="false">IFERROR(VLOOKUP(F330,$AE$2:$AF$290,2, 0),"")</f>
        <v/>
      </c>
      <c r="H330" s="212" t="s">
        <v>393</v>
      </c>
      <c r="I330" s="246" t="n">
        <f aca="false">SUM(K330:R330)</f>
        <v>0</v>
      </c>
      <c r="J330" s="182" t="n">
        <v>45551</v>
      </c>
      <c r="K330" s="184"/>
      <c r="L330" s="185"/>
      <c r="S330" s="192" t="n">
        <f aca="false">(K330+O330+Q330)*24 /1130+(L330+M330+P330+R330)*12/1130+(N330*30)/1130</f>
        <v>0</v>
      </c>
      <c r="U330" s="341" t="n">
        <f aca="false">U327/1</f>
        <v>3.54642857142857</v>
      </c>
      <c r="V330" s="342" t="n">
        <f aca="false">V327/0.3</f>
        <v>1.42857142857143</v>
      </c>
      <c r="W330" s="342" t="n">
        <f aca="false">X327/5</f>
        <v>0.2325</v>
      </c>
      <c r="X330" s="342"/>
      <c r="Y330" s="342"/>
      <c r="Z330" s="343" t="n">
        <f aca="false">Z327/1.5</f>
        <v>0.457142857142857</v>
      </c>
      <c r="AA330" s="191" t="s">
        <v>40</v>
      </c>
      <c r="AB330" s="323"/>
      <c r="AC330" s="331" t="n">
        <f aca="false">AC329+AC328+AC327</f>
        <v>314</v>
      </c>
    </row>
    <row r="331" customFormat="false" ht="15" hidden="false" customHeight="true" outlineLevel="0" collapsed="false">
      <c r="B331" s="127" t="n">
        <f aca="false">B330+D331-C331</f>
        <v>927</v>
      </c>
      <c r="D331" s="146" t="n">
        <v>1063.75</v>
      </c>
      <c r="E331" s="147" t="n">
        <v>260</v>
      </c>
      <c r="F331" s="147" t="n">
        <f aca="false">IFERROR(VLOOKUP(H331,$AD$1:$AE$301,2,0),"")</f>
        <v>1007997</v>
      </c>
      <c r="G331" s="147" t="str">
        <f aca="false">IFERROR(VLOOKUP(F331,$AE$2:$AF$290,2, 0),"")</f>
        <v>البير</v>
      </c>
      <c r="H331" s="212" t="s">
        <v>296</v>
      </c>
      <c r="I331" s="246" t="n">
        <f aca="false">SUM(K331:R331)</f>
        <v>5</v>
      </c>
      <c r="J331" s="182" t="n">
        <v>45552</v>
      </c>
      <c r="K331" s="184"/>
      <c r="L331" s="185"/>
      <c r="Q331" s="154" t="n">
        <v>5</v>
      </c>
      <c r="S331" s="192" t="n">
        <f aca="false">(K331+O331+Q331)*24 /1130+(L331+M331+P331+R331)*12/1130+(N331*30)/1130</f>
        <v>0.106194690265487</v>
      </c>
      <c r="T331" s="344" t="n">
        <v>93</v>
      </c>
      <c r="U331" s="344" t="n">
        <v>2</v>
      </c>
      <c r="V331" s="344" t="n">
        <v>50</v>
      </c>
      <c r="W331" s="282" t="n">
        <v>11</v>
      </c>
      <c r="X331" s="282" t="n">
        <v>20</v>
      </c>
      <c r="Y331" s="282" t="n">
        <v>1</v>
      </c>
      <c r="Z331" s="344" t="n">
        <v>48</v>
      </c>
      <c r="AA331" s="344" t="n">
        <v>34</v>
      </c>
      <c r="AB331" s="323"/>
      <c r="AC331" s="198" t="n">
        <f aca="false">Z331+AA331+W331+X331+Y331+V331+T331+U331</f>
        <v>259</v>
      </c>
      <c r="AD331" s="282" t="s">
        <v>55</v>
      </c>
      <c r="AE331" s="284" t="n">
        <f aca="false">Z332+X332+V332+U332</f>
        <v>4.67678571428571</v>
      </c>
      <c r="AF331" s="198" t="n">
        <f aca="false">AA331+Z331+Y331+X331+V331+W331+U331+T331</f>
        <v>259</v>
      </c>
      <c r="AG331" s="359"/>
      <c r="AH331" s="359"/>
      <c r="AI331" s="285"/>
    </row>
    <row r="332" customFormat="false" ht="15" hidden="false" customHeight="true" outlineLevel="0" collapsed="false">
      <c r="B332" s="127" t="n">
        <f aca="false">B331+D332-C332</f>
        <v>2238</v>
      </c>
      <c r="D332" s="146" t="n">
        <v>1311</v>
      </c>
      <c r="E332" s="147" t="n">
        <v>259</v>
      </c>
      <c r="F332" s="147" t="n">
        <f aca="false">IFERROR(VLOOKUP(H332,$AD$1:$AE$301,2,0),"")</f>
        <v>1007997</v>
      </c>
      <c r="G332" s="147" t="str">
        <f aca="false">IFERROR(VLOOKUP(F332,$AE$2:$AF$290,2, 0),"")</f>
        <v>البير</v>
      </c>
      <c r="H332" s="212" t="s">
        <v>296</v>
      </c>
      <c r="I332" s="246" t="n">
        <f aca="false">SUM(K332:R332)</f>
        <v>5</v>
      </c>
      <c r="J332" s="182" t="n">
        <v>45552</v>
      </c>
      <c r="K332" s="184" t="n">
        <v>4</v>
      </c>
      <c r="L332" s="185" t="n">
        <v>1</v>
      </c>
      <c r="S332" s="192" t="n">
        <f aca="false">(K332+O332+Q332)*24 /1130+(L332+M332+P332+R332)*12/1130+(N332*30)/1130</f>
        <v>0.0955752212389381</v>
      </c>
      <c r="U332" s="326" t="n">
        <f aca="false">(T331*24+U331*12)/1120</f>
        <v>2.01428571428571</v>
      </c>
      <c r="V332" s="327" t="n">
        <f aca="false">(V331*12)/1120</f>
        <v>0.535714285714286</v>
      </c>
      <c r="W332" s="328"/>
      <c r="X332" s="329" t="n">
        <f aca="false">(W331*30+X331*24+Y331*12)/1120</f>
        <v>0.733928571428571</v>
      </c>
      <c r="Y332" s="328"/>
      <c r="Z332" s="330" t="n">
        <f aca="false">(Z331*24+AA331*12)/1120</f>
        <v>1.39285714285714</v>
      </c>
      <c r="AA332" s="258" t="s">
        <v>635</v>
      </c>
      <c r="AB332" s="323"/>
      <c r="AC332" s="331" t="n">
        <v>106</v>
      </c>
      <c r="AD332" s="282" t="s">
        <v>630</v>
      </c>
      <c r="AE332" s="324" t="n">
        <v>8.2</v>
      </c>
      <c r="AF332" s="358" t="n">
        <f aca="false">(AE331/AE332)</f>
        <v>0.570339721254355</v>
      </c>
      <c r="AG332" s="358"/>
      <c r="AH332" s="358"/>
      <c r="AI332" s="334"/>
    </row>
    <row r="333" customFormat="false" ht="15" hidden="false" customHeight="true" outlineLevel="0" collapsed="false">
      <c r="B333" s="127" t="n">
        <f aca="false">B332+D333-C333</f>
        <v>2381.75</v>
      </c>
      <c r="D333" s="146" t="n">
        <v>143.75</v>
      </c>
      <c r="E333" s="147" t="n">
        <v>261</v>
      </c>
      <c r="F333" s="147" t="n">
        <f aca="false">IFERROR(VLOOKUP(H333,$AD$1:$AE$301,2,0),"")</f>
        <v>1008270</v>
      </c>
      <c r="G333" s="147" t="str">
        <f aca="false">IFERROR(VLOOKUP(F333,$AE$2:$AF$290,2, 0),"")</f>
        <v>تبوك</v>
      </c>
      <c r="H333" s="212" t="s">
        <v>236</v>
      </c>
      <c r="I333" s="246" t="n">
        <f aca="false">SUM(K333:R333)</f>
        <v>1</v>
      </c>
      <c r="J333" s="182" t="n">
        <v>45552</v>
      </c>
      <c r="K333" s="184"/>
      <c r="L333" s="185"/>
      <c r="P333" s="153" t="n">
        <v>1</v>
      </c>
      <c r="S333" s="192" t="n">
        <f aca="false">(K333+O333+Q333)*24 /1130+(L333+M333+P333+R333)*12/1130+(N333*30)/1130</f>
        <v>0.0106194690265487</v>
      </c>
      <c r="U333" s="335" t="n">
        <f aca="false">(U332)-1.5</f>
        <v>0.514285714285714</v>
      </c>
      <c r="V333" s="336" t="n">
        <f aca="false">V332-0.32</f>
        <v>0.215714285714286</v>
      </c>
      <c r="W333" s="336" t="n">
        <f aca="false">(X332)-5.25</f>
        <v>-4.51607142857143</v>
      </c>
      <c r="X333" s="336"/>
      <c r="Y333" s="336"/>
      <c r="Z333" s="337" t="n">
        <f aca="false">Z332-1.58</f>
        <v>-0.187142857142857</v>
      </c>
      <c r="AA333" s="259" t="s">
        <v>631</v>
      </c>
      <c r="AB333" s="323"/>
      <c r="AC333" s="331" t="n">
        <v>101</v>
      </c>
      <c r="AD333" s="282" t="s">
        <v>632</v>
      </c>
      <c r="AE333" s="338" t="n">
        <f aca="false">AE332-AE331</f>
        <v>3.52321428571429</v>
      </c>
      <c r="AF333" s="339" t="n">
        <f aca="false">T331*12+U331*6+V331*16+Z331*2+AA331*1</f>
        <v>2058</v>
      </c>
      <c r="AG333" s="339"/>
      <c r="AH333" s="339"/>
      <c r="AI333" s="340" t="n">
        <v>11</v>
      </c>
    </row>
    <row r="334" customFormat="false" ht="15" hidden="false" customHeight="true" outlineLevel="0" collapsed="false">
      <c r="B334" s="127" t="n">
        <f aca="false">B333+D334-C334</f>
        <v>0</v>
      </c>
      <c r="C334" s="127" t="n">
        <f aca="false">303.75+1900+178</f>
        <v>2381.75</v>
      </c>
      <c r="E334" s="212" t="s">
        <v>470</v>
      </c>
      <c r="F334" s="147" t="str">
        <f aca="false">IFERROR(VLOOKUP(H334,$AD$1:$AE$301,2,0),"")</f>
        <v/>
      </c>
      <c r="G334" s="147" t="str">
        <f aca="false">IFERROR(VLOOKUP(F334,$AE$2:$AF$290,2, 0),"")</f>
        <v/>
      </c>
      <c r="H334" s="212" t="s">
        <v>393</v>
      </c>
      <c r="I334" s="246" t="n">
        <f aca="false">SUM(K334:R334)</f>
        <v>0</v>
      </c>
      <c r="J334" s="182" t="n">
        <v>45552</v>
      </c>
      <c r="K334" s="184"/>
      <c r="L334" s="185"/>
      <c r="S334" s="192" t="n">
        <f aca="false">(K334+O334+Q334)*24 /1130+(L334+M334+P334+R334)*12/1130+(N334*30)/1130</f>
        <v>0</v>
      </c>
      <c r="U334" s="357" t="n">
        <f aca="false">(U333*1120)/24</f>
        <v>24</v>
      </c>
      <c r="V334" s="353" t="n">
        <f aca="false">(V333*1120)/12</f>
        <v>20.1333333333333</v>
      </c>
      <c r="W334" s="354"/>
      <c r="X334" s="355" t="n">
        <f aca="false">(W333*1120)/24</f>
        <v>-210.75</v>
      </c>
      <c r="Y334" s="355"/>
      <c r="Z334" s="356" t="n">
        <f aca="false">(Z333*1120)/24</f>
        <v>-8.73333333333334</v>
      </c>
      <c r="AA334" s="259" t="s">
        <v>636</v>
      </c>
      <c r="AB334" s="323"/>
      <c r="AC334" s="331" t="n">
        <v>52</v>
      </c>
    </row>
    <row r="335" customFormat="false" ht="15" hidden="false" customHeight="true" outlineLevel="0" collapsed="false">
      <c r="B335" s="127" t="n">
        <f aca="false">B334+D335-C335</f>
        <v>258.75</v>
      </c>
      <c r="D335" s="146" t="n">
        <v>258.75</v>
      </c>
      <c r="E335" s="147" t="n">
        <v>262</v>
      </c>
      <c r="F335" s="147" t="n">
        <f aca="false">IFERROR(VLOOKUP(H335,$AD$1:$AE$301,2,0),"")</f>
        <v>1008027</v>
      </c>
      <c r="G335" s="147" t="str">
        <f aca="false">IFERROR(VLOOKUP(F335,$AE$2:$AF$290,2, 0),"")</f>
        <v>ضباء</v>
      </c>
      <c r="H335" s="212" t="s">
        <v>100</v>
      </c>
      <c r="I335" s="246" t="n">
        <f aca="false">SUM(K335:R335)</f>
        <v>1</v>
      </c>
      <c r="J335" s="182" t="n">
        <v>45553</v>
      </c>
      <c r="K335" s="184"/>
      <c r="L335" s="185"/>
      <c r="O335" s="152" t="n">
        <v>1</v>
      </c>
      <c r="S335" s="192" t="n">
        <f aca="false">(K335+O335+Q335)*24 /1130+(L335+M335+P335+R335)*12/1130+(N335*30)/1130</f>
        <v>0.0212389380530973</v>
      </c>
      <c r="U335" s="341" t="n">
        <f aca="false">U332/1.5</f>
        <v>1.34285714285714</v>
      </c>
      <c r="V335" s="342" t="n">
        <f aca="false">V332/0.32</f>
        <v>1.67410714285714</v>
      </c>
      <c r="W335" s="342" t="n">
        <f aca="false">X332/5.25</f>
        <v>0.139795918367347</v>
      </c>
      <c r="X335" s="342"/>
      <c r="Y335" s="342"/>
      <c r="Z335" s="343" t="n">
        <f aca="false">Z332/1.58</f>
        <v>0.881555153707052</v>
      </c>
      <c r="AA335" s="191" t="s">
        <v>40</v>
      </c>
      <c r="AB335" s="323"/>
      <c r="AC335" s="331" t="n">
        <f aca="false">AC334+AC333+AC332</f>
        <v>259</v>
      </c>
    </row>
    <row r="336" s="346" customFormat="true" ht="15" hidden="false" customHeight="true" outlineLevel="0" collapsed="false">
      <c r="A336" s="230"/>
      <c r="B336" s="127" t="n">
        <f aca="false">B335+D336-C336</f>
        <v>1569.75</v>
      </c>
      <c r="D336" s="146" t="n">
        <f aca="false">4*327.75</f>
        <v>1311</v>
      </c>
      <c r="E336" s="360" t="n">
        <v>263</v>
      </c>
      <c r="F336" s="360" t="n">
        <f aca="false">IFERROR(VLOOKUP(H336,$AD$1:$AE$301,2,0),"")</f>
        <v>1008022</v>
      </c>
      <c r="G336" s="147" t="str">
        <f aca="false">IFERROR(VLOOKUP(F336,$AE$2:$AF$290,2, 0),"")</f>
        <v>ضباء</v>
      </c>
      <c r="H336" s="361" t="s">
        <v>94</v>
      </c>
      <c r="I336" s="362" t="n">
        <f aca="false">SUM(K336:R336)</f>
        <v>5</v>
      </c>
      <c r="J336" s="182" t="n">
        <v>45553</v>
      </c>
      <c r="K336" s="184" t="n">
        <f aca="false">2+2</f>
        <v>4</v>
      </c>
      <c r="L336" s="185" t="n">
        <v>1</v>
      </c>
      <c r="M336" s="351"/>
      <c r="N336" s="151"/>
      <c r="O336" s="152"/>
      <c r="P336" s="153"/>
      <c r="Q336" s="151"/>
      <c r="R336" s="153"/>
      <c r="S336" s="192" t="n">
        <f aca="false">(K336+O336+Q336)*24 /1130+(L336+M336+P336+R336)*12/1130+(N336*30)/1130</f>
        <v>0.0955752212389381</v>
      </c>
      <c r="T336" s="344" t="n">
        <v>101</v>
      </c>
      <c r="U336" s="344" t="n">
        <v>13</v>
      </c>
      <c r="V336" s="344" t="n">
        <v>47</v>
      </c>
      <c r="W336" s="282" t="n">
        <v>10</v>
      </c>
      <c r="X336" s="282" t="n">
        <v>19</v>
      </c>
      <c r="Y336" s="282" t="n">
        <v>1</v>
      </c>
      <c r="Z336" s="344" t="n">
        <v>45</v>
      </c>
      <c r="AA336" s="344" t="n">
        <v>34</v>
      </c>
      <c r="AB336" s="323"/>
      <c r="AC336" s="198" t="n">
        <v>270</v>
      </c>
      <c r="AD336" s="282" t="s">
        <v>56</v>
      </c>
      <c r="AE336" s="284" t="n">
        <f aca="false">Z337+X337+V337+U337</f>
        <v>4.82142857142857</v>
      </c>
      <c r="AF336" s="198" t="n">
        <f aca="false">AA336+Z336+Y336+X336+V336+W336+U336+T336</f>
        <v>270</v>
      </c>
      <c r="AG336" s="359"/>
      <c r="AH336" s="359"/>
      <c r="AI336" s="285"/>
      <c r="AJ336" s="162"/>
      <c r="AK336" s="162"/>
      <c r="AL336" s="128"/>
      <c r="AM336" s="128"/>
      <c r="AN336" s="128"/>
      <c r="AO336" s="128"/>
      <c r="AP336" s="128"/>
      <c r="AQ336" s="128"/>
      <c r="AR336" s="128"/>
      <c r="AS336" s="128"/>
      <c r="AT336" s="128"/>
      <c r="AU336" s="128"/>
      <c r="AV336" s="128"/>
      <c r="AW336" s="128"/>
      <c r="AX336" s="128"/>
      <c r="AY336" s="128"/>
      <c r="AZ336" s="128"/>
      <c r="BA336" s="128"/>
      <c r="BB336" s="128"/>
      <c r="BC336" s="128"/>
      <c r="BD336" s="128"/>
      <c r="BE336" s="128"/>
      <c r="BF336" s="206"/>
      <c r="BG336" s="206"/>
      <c r="BH336" s="230"/>
      <c r="BI336" s="230"/>
      <c r="BJ336" s="230"/>
      <c r="BK336" s="230"/>
      <c r="BL336" s="230"/>
      <c r="BM336" s="230"/>
      <c r="BN336" s="230"/>
      <c r="BO336" s="230"/>
      <c r="BP336" s="230"/>
      <c r="BQ336" s="230"/>
      <c r="BR336" s="230"/>
      <c r="BS336" s="230"/>
      <c r="BT336" s="230"/>
      <c r="BU336" s="230"/>
      <c r="BV336" s="230"/>
      <c r="BW336" s="230"/>
      <c r="BX336" s="230"/>
      <c r="BY336" s="128"/>
      <c r="BZ336" s="162"/>
      <c r="CA336" s="157"/>
      <c r="CB336" s="157"/>
      <c r="CC336" s="157"/>
      <c r="CD336" s="157"/>
      <c r="CE336" s="206"/>
      <c r="CO336" s="230"/>
      <c r="CP336" s="230"/>
      <c r="CQ336" s="230"/>
    </row>
    <row r="337" customFormat="false" ht="15" hidden="false" customHeight="true" outlineLevel="0" collapsed="false">
      <c r="B337" s="127" t="n">
        <f aca="false">B336+D337-C337</f>
        <v>5548.75</v>
      </c>
      <c r="D337" s="146" t="n">
        <f aca="false">270.25*5+293.25*5+327.75+2*258.75+316.25</f>
        <v>3979</v>
      </c>
      <c r="E337" s="147" t="n">
        <v>264</v>
      </c>
      <c r="F337" s="147" t="n">
        <f aca="false">IFERROR(VLOOKUP(H337,$AD$1:$AE$301,2,0),"")</f>
        <v>1007988</v>
      </c>
      <c r="G337" s="147" t="str">
        <f aca="false">IFERROR(VLOOKUP(F337,$AE$2:$AF$290,2, 0),"")</f>
        <v>ضباء</v>
      </c>
      <c r="H337" s="212" t="s">
        <v>89</v>
      </c>
      <c r="I337" s="246" t="n">
        <f aca="false">SUM(K337:R337)</f>
        <v>14</v>
      </c>
      <c r="J337" s="182" t="n">
        <v>45553</v>
      </c>
      <c r="K337" s="184" t="n">
        <v>1</v>
      </c>
      <c r="L337" s="185"/>
      <c r="M337" s="150" t="n">
        <v>10</v>
      </c>
      <c r="N337" s="363" t="n">
        <v>1</v>
      </c>
      <c r="O337" s="364" t="n">
        <v>2</v>
      </c>
      <c r="S337" s="192" t="n">
        <f aca="false">(K337+O337+Q337)*24 /1130+(L337+M337+P337+R337)*12/1130+(N337*30)/1130</f>
        <v>0.19646017699115</v>
      </c>
      <c r="U337" s="326" t="n">
        <f aca="false">(T336*24+U336*12)/1120</f>
        <v>2.30357142857143</v>
      </c>
      <c r="V337" s="327" t="n">
        <f aca="false">(V336*12)/1120</f>
        <v>0.503571428571429</v>
      </c>
      <c r="W337" s="328"/>
      <c r="X337" s="329" t="n">
        <f aca="false">(W336*30+X336*24+Y336*12)/1120</f>
        <v>0.685714285714286</v>
      </c>
      <c r="Y337" s="328"/>
      <c r="Z337" s="330" t="n">
        <f aca="false">(Z336*24+AA336*12)/1120</f>
        <v>1.32857142857143</v>
      </c>
      <c r="AA337" s="258" t="s">
        <v>635</v>
      </c>
      <c r="AB337" s="323"/>
      <c r="AC337" s="331" t="n">
        <v>117</v>
      </c>
      <c r="AD337" s="282" t="s">
        <v>630</v>
      </c>
      <c r="AE337" s="332" t="n">
        <v>7.8</v>
      </c>
      <c r="AF337" s="358" t="n">
        <f aca="false">(AE336/AE337)</f>
        <v>0.618131868131868</v>
      </c>
      <c r="AG337" s="358"/>
      <c r="AH337" s="358"/>
      <c r="AI337" s="334"/>
    </row>
    <row r="338" customFormat="false" ht="15" hidden="false" customHeight="true" outlineLevel="0" collapsed="false">
      <c r="B338" s="127" t="n">
        <f aca="false">B337+D338-C338</f>
        <v>8343.25</v>
      </c>
      <c r="D338" s="146" t="n">
        <f aca="false">270.25*6+4*293.25</f>
        <v>2794.5</v>
      </c>
      <c r="E338" s="147" t="n">
        <v>267</v>
      </c>
      <c r="F338" s="147" t="n">
        <f aca="false">IFERROR(VLOOKUP(H338,$AD$1:$AE$301,2,0),"")</f>
        <v>1008024</v>
      </c>
      <c r="G338" s="147" t="str">
        <f aca="false">IFERROR(VLOOKUP(F338,$AE$2:$AF$290,2, 0),"")</f>
        <v>ضباء</v>
      </c>
      <c r="H338" s="212" t="s">
        <v>96</v>
      </c>
      <c r="I338" s="246" t="n">
        <f aca="false">SUM(K338:R338)</f>
        <v>10</v>
      </c>
      <c r="J338" s="182" t="n">
        <v>45553</v>
      </c>
      <c r="K338" s="184"/>
      <c r="L338" s="185"/>
      <c r="M338" s="150" t="n">
        <v>10</v>
      </c>
      <c r="S338" s="192" t="n">
        <f aca="false">(K338+O338+Q338)*24 /1130+(L338+M338+P338+R338)*12/1130+(N338*30)/1130</f>
        <v>0.106194690265487</v>
      </c>
      <c r="U338" s="335" t="n">
        <f aca="false">(U337)-1</f>
        <v>1.30357142857143</v>
      </c>
      <c r="V338" s="336" t="n">
        <f aca="false">V337-0.3</f>
        <v>0.203571428571429</v>
      </c>
      <c r="W338" s="336" t="n">
        <f aca="false">(X337)-5</f>
        <v>-4.31428571428571</v>
      </c>
      <c r="X338" s="336"/>
      <c r="Y338" s="336"/>
      <c r="Z338" s="337" t="n">
        <f aca="false">Z337-1.5</f>
        <v>-0.171428571428571</v>
      </c>
      <c r="AA338" s="259" t="s">
        <v>631</v>
      </c>
      <c r="AB338" s="323"/>
      <c r="AC338" s="331" t="n">
        <v>83</v>
      </c>
      <c r="AD338" s="282" t="s">
        <v>632</v>
      </c>
      <c r="AE338" s="338" t="n">
        <f aca="false">AE337-AE336</f>
        <v>2.97857142857143</v>
      </c>
      <c r="AF338" s="339" t="n">
        <f aca="false">T336*12+U336*6+V336*16+Z336*2+AA336*1+292</f>
        <v>2458</v>
      </c>
      <c r="AG338" s="339"/>
      <c r="AH338" s="339"/>
      <c r="AI338" s="340" t="n">
        <v>12</v>
      </c>
    </row>
    <row r="339" customFormat="false" ht="15" hidden="false" customHeight="true" outlineLevel="0" collapsed="false">
      <c r="B339" s="127" t="n">
        <f aca="false">B338+D339-C339</f>
        <v>1432.25</v>
      </c>
      <c r="C339" s="127" t="n">
        <f aca="false">2+655.5+480+1794.5+D337</f>
        <v>6911</v>
      </c>
      <c r="E339" s="212" t="s">
        <v>470</v>
      </c>
      <c r="F339" s="147" t="str">
        <f aca="false">IFERROR(VLOOKUP(H339,$AD$1:$AE$301,2,0),"")</f>
        <v/>
      </c>
      <c r="G339" s="147" t="str">
        <f aca="false">IFERROR(VLOOKUP(F339,$AE$2:$AF$290,2, 0),"")</f>
        <v/>
      </c>
      <c r="H339" s="212" t="s">
        <v>393</v>
      </c>
      <c r="I339" s="246" t="n">
        <f aca="false">SUM(K339:R339)</f>
        <v>0</v>
      </c>
      <c r="J339" s="182" t="n">
        <v>45553</v>
      </c>
      <c r="K339" s="184"/>
      <c r="L339" s="185"/>
      <c r="S339" s="192" t="n">
        <f aca="false">(K339+O339+Q339)*24 /1130+(L339+M339+P339+R339)*12/1130+(N339*30)/1130</f>
        <v>0</v>
      </c>
      <c r="U339" s="357" t="n">
        <f aca="false">(U338*1120)/24</f>
        <v>60.8333333333333</v>
      </c>
      <c r="V339" s="353" t="n">
        <f aca="false">(V338*1120)/12</f>
        <v>19</v>
      </c>
      <c r="W339" s="354"/>
      <c r="X339" s="355" t="n">
        <f aca="false">(W338*1120)/24</f>
        <v>-201.333333333333</v>
      </c>
      <c r="Y339" s="355"/>
      <c r="Z339" s="356" t="n">
        <f aca="false">(Z338*1120)/24</f>
        <v>-8</v>
      </c>
      <c r="AA339" s="259" t="s">
        <v>636</v>
      </c>
      <c r="AB339" s="323"/>
      <c r="AC339" s="331" t="n">
        <v>70</v>
      </c>
    </row>
    <row r="340" customFormat="false" ht="15" hidden="false" customHeight="true" outlineLevel="0" collapsed="false">
      <c r="B340" s="127" t="n">
        <f aca="false">B339+D340-C340</f>
        <v>2743.25</v>
      </c>
      <c r="D340" s="146" t="n">
        <f aca="false">4*327.75</f>
        <v>1311</v>
      </c>
      <c r="E340" s="147" t="n">
        <v>266</v>
      </c>
      <c r="F340" s="147" t="n">
        <f aca="false">IFERROR(VLOOKUP(H340,$AD$1:$AE$301,2,0),"")</f>
        <v>1008051</v>
      </c>
      <c r="G340" s="147" t="str">
        <f aca="false">IFERROR(VLOOKUP(F340,$AE$2:$AF$290,2, 0),"")</f>
        <v>الوجه</v>
      </c>
      <c r="H340" s="212" t="s">
        <v>113</v>
      </c>
      <c r="I340" s="246" t="n">
        <f aca="false">SUM(K340:R340)</f>
        <v>5</v>
      </c>
      <c r="J340" s="182" t="n">
        <v>45553</v>
      </c>
      <c r="K340" s="184" t="n">
        <f aca="false">1+3</f>
        <v>4</v>
      </c>
      <c r="L340" s="185" t="n">
        <v>1</v>
      </c>
      <c r="S340" s="192" t="n">
        <f aca="false">(K340+O340+Q340)*24 /1130+(L340+M340+P340+R340)*12/1130+(N340*30)/1130</f>
        <v>0.0955752212389381</v>
      </c>
      <c r="U340" s="341" t="n">
        <f aca="false">U337/1</f>
        <v>2.30357142857143</v>
      </c>
      <c r="V340" s="342" t="n">
        <f aca="false">V337/0.3</f>
        <v>1.67857142857143</v>
      </c>
      <c r="W340" s="342" t="n">
        <f aca="false">X337/5</f>
        <v>0.137142857142857</v>
      </c>
      <c r="X340" s="342"/>
      <c r="Y340" s="342"/>
      <c r="Z340" s="343" t="n">
        <f aca="false">Z337/1.5</f>
        <v>0.885714285714286</v>
      </c>
      <c r="AA340" s="191" t="s">
        <v>40</v>
      </c>
      <c r="AB340" s="323"/>
      <c r="AC340" s="331" t="n">
        <f aca="false">AC339+AC338+AC337</f>
        <v>270</v>
      </c>
      <c r="AF340" s="365" t="n">
        <f aca="false">(AF328+AF323+AF318+AF313+AF338+AF333)/6</f>
        <v>1973.16666666667</v>
      </c>
      <c r="AG340" s="365"/>
      <c r="AH340" s="365"/>
    </row>
    <row r="341" customFormat="false" ht="15" hidden="false" customHeight="true" outlineLevel="0" collapsed="false">
      <c r="B341" s="127" t="n">
        <f aca="false">B340+D341-C341</f>
        <v>3071</v>
      </c>
      <c r="D341" s="146" t="n">
        <v>327.75</v>
      </c>
      <c r="E341" s="147" t="n">
        <v>265</v>
      </c>
      <c r="F341" s="147" t="n">
        <f aca="false">IFERROR(VLOOKUP(H341,$AD$1:$AE$301,2,0),"")</f>
        <v>1008049</v>
      </c>
      <c r="G341" s="147" t="str">
        <f aca="false">IFERROR(VLOOKUP(F341,$AE$2:$AF$290,2, 0),"")</f>
        <v>الوجه</v>
      </c>
      <c r="H341" s="212" t="s">
        <v>111</v>
      </c>
      <c r="I341" s="246" t="n">
        <f aca="false">SUM(K341:R341)</f>
        <v>1</v>
      </c>
      <c r="J341" s="182" t="n">
        <v>45553</v>
      </c>
      <c r="K341" s="184" t="n">
        <v>1</v>
      </c>
      <c r="L341" s="185"/>
      <c r="S341" s="192" t="n">
        <f aca="false">(K341+O341+Q341)*24 /1130+(L341+M341+P341+R341)*12/1130+(N341*30)/1130</f>
        <v>0.0212389380530973</v>
      </c>
      <c r="T341" s="344" t="n">
        <v>152</v>
      </c>
      <c r="U341" s="344" t="n">
        <v>10</v>
      </c>
      <c r="V341" s="344" t="n">
        <v>68</v>
      </c>
      <c r="W341" s="282" t="n">
        <v>15</v>
      </c>
      <c r="X341" s="282" t="n">
        <v>35</v>
      </c>
      <c r="Y341" s="282" t="n">
        <v>1</v>
      </c>
      <c r="Z341" s="344" t="n">
        <v>46</v>
      </c>
      <c r="AA341" s="344" t="n">
        <v>43</v>
      </c>
      <c r="AB341" s="323"/>
      <c r="AC341" s="198" t="n">
        <v>370</v>
      </c>
      <c r="AD341" s="282" t="s">
        <v>637</v>
      </c>
      <c r="AE341" s="284" t="n">
        <f aca="false">Z342+W342+V342+T342+U342+X342+Y342</f>
        <v>6.70178571428571</v>
      </c>
      <c r="AF341" s="198" t="n">
        <f aca="false">AA341+Z341+Y341+X341+V341+W341+U341+T341</f>
        <v>370</v>
      </c>
      <c r="AG341" s="359"/>
      <c r="AH341" s="359"/>
      <c r="AI341" s="285"/>
    </row>
    <row r="342" customFormat="false" ht="15" hidden="false" customHeight="true" outlineLevel="0" collapsed="false">
      <c r="B342" s="127" t="n">
        <f aca="false">B341+D342-C342</f>
        <v>0</v>
      </c>
      <c r="C342" s="127" t="n">
        <v>3071</v>
      </c>
      <c r="E342" s="212" t="s">
        <v>392</v>
      </c>
      <c r="F342" s="147" t="str">
        <f aca="false">IFERROR(VLOOKUP(H342,$AD$1:$AE$301,2,0),"")</f>
        <v/>
      </c>
      <c r="G342" s="147" t="str">
        <f aca="false">IFERROR(VLOOKUP(F342,$AE$2:$AF$290,2, 0),"")</f>
        <v/>
      </c>
      <c r="H342" s="212" t="s">
        <v>393</v>
      </c>
      <c r="I342" s="246" t="n">
        <f aca="false">SUM(K342:R342)</f>
        <v>0</v>
      </c>
      <c r="J342" s="182" t="n">
        <v>45554</v>
      </c>
      <c r="K342" s="184"/>
      <c r="L342" s="185"/>
      <c r="S342" s="192" t="n">
        <f aca="false">(K342+O342+Q342)*24 /1130+(L342+M342+P342+R342)*12/1130+(N342*30)/1130</f>
        <v>0</v>
      </c>
      <c r="U342" s="326" t="n">
        <f aca="false">(T341*24+U341*12)/1120</f>
        <v>3.36428571428571</v>
      </c>
      <c r="V342" s="327" t="n">
        <f aca="false">(V341*12)/1120</f>
        <v>0.728571428571429</v>
      </c>
      <c r="W342" s="328"/>
      <c r="X342" s="329" t="n">
        <f aca="false">(W341*30+X341*24+Y341*12)/1120</f>
        <v>1.1625</v>
      </c>
      <c r="Y342" s="328"/>
      <c r="Z342" s="330" t="n">
        <f aca="false">(Z341*24+AA341*12)/1120</f>
        <v>1.44642857142857</v>
      </c>
      <c r="AA342" s="258" t="s">
        <v>635</v>
      </c>
      <c r="AB342" s="323"/>
      <c r="AC342" s="331" t="n">
        <v>142</v>
      </c>
      <c r="AD342" s="282" t="s">
        <v>630</v>
      </c>
      <c r="AE342" s="324" t="n">
        <v>7.36</v>
      </c>
      <c r="AF342" s="366" t="n">
        <f aca="false">(AE341/AE342)</f>
        <v>0.910568711180124</v>
      </c>
      <c r="AG342" s="366"/>
      <c r="AH342" s="366"/>
      <c r="AI342" s="367"/>
    </row>
    <row r="343" customFormat="false" ht="15" hidden="false" customHeight="true" outlineLevel="0" collapsed="false">
      <c r="A343" s="128" t="n">
        <f aca="false">D343-655.5-655.5</f>
        <v>0</v>
      </c>
      <c r="B343" s="127" t="n">
        <f aca="false">B342+D343-C343</f>
        <v>1311</v>
      </c>
      <c r="D343" s="146" t="n">
        <f aca="false">327.75*2+327.75*2</f>
        <v>1311</v>
      </c>
      <c r="E343" s="147" t="n">
        <v>268</v>
      </c>
      <c r="F343" s="147" t="n">
        <f aca="false">IFERROR(VLOOKUP(H343,$AD$1:$AE$301,2,0),"")</f>
        <v>1008262</v>
      </c>
      <c r="G343" s="147" t="str">
        <f aca="false">IFERROR(VLOOKUP(F343,$AE$2:$AF$290,2, 0),"")</f>
        <v>تبوك</v>
      </c>
      <c r="H343" s="212" t="s">
        <v>176</v>
      </c>
      <c r="I343" s="246" t="n">
        <f aca="false">SUM(K343:R343)</f>
        <v>5</v>
      </c>
      <c r="J343" s="182" t="n">
        <v>45554</v>
      </c>
      <c r="K343" s="184" t="n">
        <f aca="false">2+2</f>
        <v>4</v>
      </c>
      <c r="L343" s="185" t="n">
        <v>1</v>
      </c>
      <c r="S343" s="192" t="n">
        <f aca="false">(K343+O343+Q343)*24 /1130+(L343+M343+P343+R343)*12/1130+(N343*30)/1130</f>
        <v>0.0955752212389381</v>
      </c>
      <c r="U343" s="335" t="n">
        <f aca="false">(U342)-1.2</f>
        <v>2.16428571428571</v>
      </c>
      <c r="V343" s="336" t="n">
        <f aca="false">V342-0.5</f>
        <v>0.228571428571429</v>
      </c>
      <c r="W343" s="336" t="n">
        <f aca="false">(X342)-4.2</f>
        <v>-3.0375</v>
      </c>
      <c r="X343" s="336"/>
      <c r="Y343" s="336"/>
      <c r="Z343" s="337" t="n">
        <f aca="false">Z342-1.46</f>
        <v>-0.0135714285714286</v>
      </c>
      <c r="AA343" s="259" t="s">
        <v>631</v>
      </c>
      <c r="AB343" s="323"/>
      <c r="AC343" s="331" t="n">
        <v>114</v>
      </c>
      <c r="AD343" s="282" t="s">
        <v>632</v>
      </c>
      <c r="AE343" s="338" t="n">
        <f aca="false">AE341-AE342</f>
        <v>-0.658214285714286</v>
      </c>
      <c r="AF343" s="339" t="n">
        <f aca="false">U341*6+T341*12+V341*16+AA341*2.5+Z341*5+158.5</f>
        <v>3468</v>
      </c>
      <c r="AG343" s="339"/>
      <c r="AH343" s="339"/>
      <c r="AI343" s="340" t="n">
        <v>1</v>
      </c>
    </row>
    <row r="344" customFormat="false" ht="15" hidden="false" customHeight="true" outlineLevel="0" collapsed="false">
      <c r="B344" s="127" t="n">
        <f aca="false">B343+D344-C344</f>
        <v>-1267</v>
      </c>
      <c r="C344" s="127" t="n">
        <f aca="false">655.5+655.5+1267</f>
        <v>2578</v>
      </c>
      <c r="E344" s="212" t="s">
        <v>470</v>
      </c>
      <c r="F344" s="147" t="str">
        <f aca="false">IFERROR(VLOOKUP(H344,$AD$1:$AE$301,2,0),"")</f>
        <v/>
      </c>
      <c r="G344" s="147" t="str">
        <f aca="false">IFERROR(VLOOKUP(F344,$AE$2:$AF$290,2, 0),"")</f>
        <v/>
      </c>
      <c r="H344" s="212" t="s">
        <v>393</v>
      </c>
      <c r="I344" s="246" t="n">
        <f aca="false">SUM(K344:R344)</f>
        <v>0</v>
      </c>
      <c r="J344" s="182" t="n">
        <v>45554</v>
      </c>
      <c r="K344" s="184"/>
      <c r="L344" s="185"/>
      <c r="S344" s="192" t="n">
        <f aca="false">(K344+O344+Q344)*24 /1130+(L344+M344+P344+R344)*12/1130+(N344*30)/1130</f>
        <v>0</v>
      </c>
      <c r="U344" s="357" t="n">
        <f aca="false">(U343*1120)/24</f>
        <v>101</v>
      </c>
      <c r="V344" s="353" t="n">
        <f aca="false">(V343*1120)/12</f>
        <v>21.3333333333333</v>
      </c>
      <c r="W344" s="354"/>
      <c r="X344" s="355" t="n">
        <f aca="false">(W343*1120)/24</f>
        <v>-141.75</v>
      </c>
      <c r="Y344" s="355"/>
      <c r="Z344" s="356" t="n">
        <f aca="false">(Z343*1120)/24</f>
        <v>-0.633333333333333</v>
      </c>
      <c r="AA344" s="259" t="s">
        <v>636</v>
      </c>
      <c r="AB344" s="323"/>
      <c r="AC344" s="331" t="n">
        <v>114</v>
      </c>
    </row>
    <row r="345" customFormat="false" ht="15" hidden="false" customHeight="true" outlineLevel="0" collapsed="false">
      <c r="B345" s="127" t="n">
        <f aca="false">B344+D345-C345</f>
        <v>-1667.5</v>
      </c>
      <c r="C345" s="127" t="n">
        <v>400</v>
      </c>
      <c r="D345" s="146" t="n">
        <v>-0.5</v>
      </c>
      <c r="E345" s="212" t="s">
        <v>638</v>
      </c>
      <c r="F345" s="147" t="str">
        <f aca="false">IFERROR(VLOOKUP(H345,$AD$1:$AE$301,2,0),"")</f>
        <v/>
      </c>
      <c r="G345" s="147" t="str">
        <f aca="false">IFERROR(VLOOKUP(F345,$AE$2:$AF$290,2, 0),"")</f>
        <v/>
      </c>
      <c r="H345" s="212" t="s">
        <v>393</v>
      </c>
      <c r="I345" s="246" t="n">
        <f aca="false">SUM(K345:R345)</f>
        <v>0</v>
      </c>
      <c r="J345" s="182" t="n">
        <v>45554</v>
      </c>
      <c r="K345" s="184"/>
      <c r="L345" s="185"/>
      <c r="S345" s="192" t="n">
        <f aca="false">(K345+O345+Q345)*24 /1130+(L345+M345+P345+R345)*12/1130+(N345*30)/1130</f>
        <v>0</v>
      </c>
      <c r="U345" s="341" t="n">
        <f aca="false">U342/1.2</f>
        <v>2.80357142857143</v>
      </c>
      <c r="V345" s="342" t="n">
        <f aca="false">V342/0.5</f>
        <v>1.45714285714286</v>
      </c>
      <c r="W345" s="342" t="n">
        <f aca="false">X342/4.2</f>
        <v>0.276785714285714</v>
      </c>
      <c r="X345" s="342"/>
      <c r="Y345" s="342"/>
      <c r="Z345" s="343" t="n">
        <f aca="false">Z342/1.46</f>
        <v>0.990704500978474</v>
      </c>
      <c r="AA345" s="191" t="s">
        <v>40</v>
      </c>
      <c r="AB345" s="323"/>
      <c r="AC345" s="331" t="n">
        <v>370</v>
      </c>
    </row>
    <row r="346" customFormat="false" ht="15" hidden="false" customHeight="true" outlineLevel="0" collapsed="false">
      <c r="B346" s="127" t="n">
        <f aca="false">B345+D346-C346</f>
        <v>-356.5</v>
      </c>
      <c r="D346" s="146" t="n">
        <f aca="false">4*327.75</f>
        <v>1311</v>
      </c>
      <c r="E346" s="147" t="n">
        <v>269</v>
      </c>
      <c r="F346" s="147" t="n">
        <f aca="false">IFERROR(VLOOKUP(H346,$AD$1:$AE$301,2,0),"")</f>
        <v>1008057</v>
      </c>
      <c r="G346" s="147" t="str">
        <f aca="false">IFERROR(VLOOKUP(F346,$AE$2:$AF$290,2, 0),"")</f>
        <v>تبوك</v>
      </c>
      <c r="H346" s="212" t="s">
        <v>242</v>
      </c>
      <c r="I346" s="246" t="n">
        <f aca="false">SUM(K346:R346)</f>
        <v>5</v>
      </c>
      <c r="J346" s="182" t="n">
        <v>45554</v>
      </c>
      <c r="K346" s="184" t="n">
        <v>4</v>
      </c>
      <c r="L346" s="185" t="n">
        <v>1</v>
      </c>
      <c r="S346" s="192" t="n">
        <f aca="false">(K346+O346+Q346)*24 /1130+(L346+M346+P346+R346)*12/1130+(N346*30)/1130</f>
        <v>0.0955752212389381</v>
      </c>
      <c r="T346" s="344" t="n">
        <v>91</v>
      </c>
      <c r="U346" s="344" t="n">
        <v>4</v>
      </c>
      <c r="V346" s="344" t="n">
        <v>67</v>
      </c>
      <c r="W346" s="282" t="n">
        <v>17</v>
      </c>
      <c r="X346" s="282" t="n">
        <v>24</v>
      </c>
      <c r="Y346" s="282" t="n">
        <v>0</v>
      </c>
      <c r="Z346" s="282" t="n">
        <v>23</v>
      </c>
      <c r="AA346" s="282" t="n">
        <v>20</v>
      </c>
      <c r="AB346" s="323"/>
      <c r="AC346" s="198" t="n">
        <v>246</v>
      </c>
      <c r="AD346" s="282" t="s">
        <v>45</v>
      </c>
      <c r="AE346" s="284" t="n">
        <f aca="false">Z347+W347+V347+T347+U347+X347+Y347</f>
        <v>4.3875</v>
      </c>
      <c r="AF346" s="198" t="n">
        <v>246</v>
      </c>
      <c r="AG346" s="359"/>
      <c r="AH346" s="359"/>
      <c r="AI346" s="285"/>
    </row>
    <row r="347" customFormat="false" ht="15" hidden="false" customHeight="true" outlineLevel="0" collapsed="false">
      <c r="B347" s="127" t="n">
        <f aca="false">B346+D347-C347</f>
        <v>0</v>
      </c>
      <c r="D347" s="146" t="n">
        <f aca="false">2*178.25</f>
        <v>356.5</v>
      </c>
      <c r="E347" s="147" t="n">
        <v>270</v>
      </c>
      <c r="F347" s="147" t="n">
        <f aca="false">IFERROR(VLOOKUP(H347,$AD$1:$AE$301,2,0),"")</f>
        <v>545</v>
      </c>
      <c r="G347" s="147" t="str">
        <f aca="false">IFERROR(VLOOKUP(F347,$AE$2:$AF$290,2, 0),"")</f>
        <v>تبوك</v>
      </c>
      <c r="H347" s="212" t="s">
        <v>261</v>
      </c>
      <c r="I347" s="246" t="n">
        <f aca="false">SUM(K347:R347)</f>
        <v>2</v>
      </c>
      <c r="J347" s="182" t="n">
        <v>45552</v>
      </c>
      <c r="K347" s="184"/>
      <c r="L347" s="185" t="n">
        <v>2</v>
      </c>
      <c r="S347" s="192" t="n">
        <f aca="false">(K347+O347+Q347)*24 /1130+(L347+M347+P347+R347)*12/1130+(N347*30)/1130</f>
        <v>0.0212389380530973</v>
      </c>
      <c r="U347" s="326" t="n">
        <f aca="false">(T346*24+U346*12)/1120</f>
        <v>1.99285714285714</v>
      </c>
      <c r="V347" s="327" t="n">
        <f aca="false">(V346*12)/1120</f>
        <v>0.717857142857143</v>
      </c>
      <c r="W347" s="328"/>
      <c r="X347" s="329" t="n">
        <f aca="false">(W346*30+X346*24+Y346*12)/1120</f>
        <v>0.969642857142857</v>
      </c>
      <c r="Y347" s="328"/>
      <c r="Z347" s="330" t="n">
        <f aca="false">(Z346*24+AA346*12)/1120</f>
        <v>0.707142857142857</v>
      </c>
      <c r="AA347" s="258" t="s">
        <v>635</v>
      </c>
      <c r="AB347" s="323"/>
      <c r="AC347" s="331" t="n">
        <v>75</v>
      </c>
      <c r="AD347" s="282" t="s">
        <v>630</v>
      </c>
      <c r="AE347" s="324" t="n">
        <v>7.8</v>
      </c>
      <c r="AF347" s="368" t="n">
        <f aca="false">(AE346/AE347)</f>
        <v>0.5625</v>
      </c>
      <c r="AG347" s="368"/>
      <c r="AH347" s="368"/>
      <c r="AI347" s="334"/>
    </row>
    <row r="348" customFormat="false" ht="15" hidden="false" customHeight="true" outlineLevel="0" collapsed="false">
      <c r="B348" s="127" t="n">
        <f aca="false">B347+D348-C348</f>
        <v>1449</v>
      </c>
      <c r="D348" s="146" t="n">
        <f aca="false">4*327.75+138</f>
        <v>1449</v>
      </c>
      <c r="E348" s="147" t="n">
        <v>271</v>
      </c>
      <c r="F348" s="147" t="n">
        <f aca="false">IFERROR(VLOOKUP(H348,$AD$1:$AE$301,2,0),"")</f>
        <v>1008261</v>
      </c>
      <c r="G348" s="147" t="str">
        <f aca="false">IFERROR(VLOOKUP(F348,$AE$2:$AF$290,2, 0),"")</f>
        <v>تبوك</v>
      </c>
      <c r="H348" s="212" t="s">
        <v>440</v>
      </c>
      <c r="I348" s="246" t="n">
        <f aca="false">SUM(K348:R348)</f>
        <v>6</v>
      </c>
      <c r="J348" s="182" t="n">
        <v>45558</v>
      </c>
      <c r="K348" s="184" t="n">
        <v>4</v>
      </c>
      <c r="L348" s="185" t="n">
        <v>1</v>
      </c>
      <c r="Q348" s="154" t="n">
        <v>1</v>
      </c>
      <c r="S348" s="192" t="n">
        <f aca="false">(K348+O348+Q348)*24 /1130+(L348+M348+P348+R348)*12/1130+(N348*30)/1130</f>
        <v>0.116814159292035</v>
      </c>
      <c r="U348" s="335" t="n">
        <f aca="false">(U347)-1.2</f>
        <v>0.792857142857143</v>
      </c>
      <c r="V348" s="336" t="n">
        <f aca="false">V347-0.5</f>
        <v>0.217857142857143</v>
      </c>
      <c r="W348" s="336" t="n">
        <f aca="false">(X347)-4.7</f>
        <v>-3.73035714285714</v>
      </c>
      <c r="X348" s="336"/>
      <c r="Y348" s="336"/>
      <c r="Z348" s="337" t="n">
        <f aca="false">Z347-1.4</f>
        <v>-0.692857142857143</v>
      </c>
      <c r="AA348" s="259" t="s">
        <v>631</v>
      </c>
      <c r="AB348" s="323"/>
      <c r="AC348" s="331" t="n">
        <v>112</v>
      </c>
      <c r="AD348" s="282" t="s">
        <v>632</v>
      </c>
      <c r="AE348" s="338" t="n">
        <f aca="false">AE346-AE347</f>
        <v>-3.4125</v>
      </c>
      <c r="AF348" s="339" t="n">
        <f aca="false">U346*6+T346*12+V346*16+176.13</f>
        <v>2364.13</v>
      </c>
      <c r="AG348" s="339"/>
      <c r="AH348" s="339"/>
      <c r="AI348" s="340" t="n">
        <v>2</v>
      </c>
    </row>
    <row r="349" customFormat="false" ht="15" hidden="false" customHeight="true" outlineLevel="0" collapsed="false">
      <c r="B349" s="127" t="n">
        <f aca="false">B348+D349-C349</f>
        <v>0</v>
      </c>
      <c r="C349" s="127" t="n">
        <f aca="false">D348</f>
        <v>1449</v>
      </c>
      <c r="E349" s="212" t="s">
        <v>470</v>
      </c>
      <c r="F349" s="147" t="str">
        <f aca="false">IFERROR(VLOOKUP(H349,$AD$1:$AE$301,2,0),"")</f>
        <v/>
      </c>
      <c r="G349" s="147" t="str">
        <f aca="false">IFERROR(VLOOKUP(F349,$AE$2:$AF$290,2, 0),"")</f>
        <v/>
      </c>
      <c r="H349" s="212" t="s">
        <v>393</v>
      </c>
      <c r="I349" s="246" t="n">
        <f aca="false">SUM(K349:R349)</f>
        <v>0</v>
      </c>
      <c r="J349" s="182" t="n">
        <v>45558</v>
      </c>
      <c r="K349" s="184"/>
      <c r="L349" s="185"/>
      <c r="S349" s="192" t="n">
        <f aca="false">(K349+O349+Q349)*24 /1130+(L349+M349+P349+R349)*12/1130+(N349*30)/1130</f>
        <v>0</v>
      </c>
      <c r="U349" s="357" t="n">
        <f aca="false">(U348*1120)/24</f>
        <v>37</v>
      </c>
      <c r="V349" s="353" t="n">
        <f aca="false">(V348*1120)/12</f>
        <v>20.3333333333333</v>
      </c>
      <c r="W349" s="354"/>
      <c r="X349" s="355" t="n">
        <f aca="false">(W348*1120)/24</f>
        <v>-174.083333333333</v>
      </c>
      <c r="Y349" s="355"/>
      <c r="Z349" s="356" t="n">
        <f aca="false">(Z348*1120)/24</f>
        <v>-32.3333333333333</v>
      </c>
      <c r="AA349" s="259" t="s">
        <v>636</v>
      </c>
      <c r="AB349" s="323"/>
      <c r="AC349" s="331" t="n">
        <v>75</v>
      </c>
    </row>
    <row r="350" customFormat="false" ht="15" hidden="false" customHeight="true" outlineLevel="0" collapsed="false">
      <c r="B350" s="127" t="n">
        <f aca="false">B349+D350-C350</f>
        <v>-5427.7</v>
      </c>
      <c r="C350" s="127" t="n">
        <f aca="false">655.5+1811+D352+650.2+1000</f>
        <v>5427.7</v>
      </c>
      <c r="E350" s="212" t="s">
        <v>470</v>
      </c>
      <c r="F350" s="147" t="str">
        <f aca="false">IFERROR(VLOOKUP(H350,$AD$1:$AE$301,2,0),"")</f>
        <v/>
      </c>
      <c r="G350" s="147" t="str">
        <f aca="false">IFERROR(VLOOKUP(F350,$AE$2:$AF$290,2, 0),"")</f>
        <v/>
      </c>
      <c r="H350" s="212" t="s">
        <v>393</v>
      </c>
      <c r="I350" s="246" t="n">
        <f aca="false">SUM(K350:R350)</f>
        <v>0</v>
      </c>
      <c r="J350" s="182" t="n">
        <v>45560</v>
      </c>
      <c r="K350" s="184"/>
      <c r="L350" s="185"/>
      <c r="S350" s="192" t="n">
        <f aca="false">(K350+O350+Q350)*24 /1130+(L350+M350+P350+R350)*12/1130+(N350*30)/1130</f>
        <v>0</v>
      </c>
      <c r="U350" s="341" t="n">
        <f aca="false">U347/1.2</f>
        <v>1.66071428571429</v>
      </c>
      <c r="V350" s="342" t="n">
        <f aca="false">V347/0.5</f>
        <v>1.43571428571429</v>
      </c>
      <c r="W350" s="342" t="n">
        <f aca="false">X347/4.7</f>
        <v>0.206306990881459</v>
      </c>
      <c r="X350" s="342"/>
      <c r="Y350" s="342"/>
      <c r="Z350" s="343" t="n">
        <f aca="false">Z347/1.4</f>
        <v>0.505102040816327</v>
      </c>
      <c r="AA350" s="191" t="s">
        <v>40</v>
      </c>
      <c r="AB350" s="323"/>
      <c r="AC350" s="331" t="n">
        <v>246</v>
      </c>
    </row>
    <row r="351" customFormat="false" ht="15" hidden="false" customHeight="true" outlineLevel="0" collapsed="false">
      <c r="B351" s="127" t="n">
        <f aca="false">B350+D351-C351</f>
        <v>-2817.2</v>
      </c>
      <c r="D351" s="146" t="n">
        <f aca="false">2*253+293.25+2*230+5*270.25</f>
        <v>2610.5</v>
      </c>
      <c r="E351" s="147" t="n">
        <v>272</v>
      </c>
      <c r="F351" s="147" t="n">
        <f aca="false">IFERROR(VLOOKUP(H351,$AD$1:$AE$301,2,0),"")</f>
        <v>1008022</v>
      </c>
      <c r="G351" s="147" t="str">
        <f aca="false">IFERROR(VLOOKUP(F351,$AE$2:$AF$290,2, 0),"")</f>
        <v>ضباء</v>
      </c>
      <c r="H351" s="212" t="s">
        <v>94</v>
      </c>
      <c r="I351" s="246" t="n">
        <f aca="false">SUM(K351:R351)</f>
        <v>10</v>
      </c>
      <c r="J351" s="182" t="n">
        <v>45560</v>
      </c>
      <c r="K351" s="184"/>
      <c r="L351" s="185"/>
      <c r="M351" s="150" t="n">
        <v>10</v>
      </c>
      <c r="S351" s="192" t="n">
        <f aca="false">(K351+O351+Q351)*24 /1130+(L351+M351+P351+R351)*12/1130+(N351*30)/1130</f>
        <v>0.106194690265487</v>
      </c>
      <c r="T351" s="344" t="n">
        <v>181</v>
      </c>
      <c r="U351" s="344" t="n">
        <v>4</v>
      </c>
      <c r="V351" s="344" t="n">
        <v>80</v>
      </c>
      <c r="W351" s="282" t="n">
        <v>11</v>
      </c>
      <c r="X351" s="282" t="n">
        <v>32</v>
      </c>
      <c r="Y351" s="282" t="n">
        <v>1</v>
      </c>
      <c r="Z351" s="344" t="n">
        <v>40</v>
      </c>
      <c r="AA351" s="344" t="n">
        <v>41</v>
      </c>
      <c r="AB351" s="323"/>
      <c r="AC351" s="198" t="n">
        <v>390</v>
      </c>
      <c r="AD351" s="282" t="s">
        <v>639</v>
      </c>
      <c r="AE351" s="284" t="n">
        <f aca="false">Z352+W352+V352+T352+U352+X352+Y352</f>
        <v>7.06607142857143</v>
      </c>
      <c r="AF351" s="369" t="n">
        <v>390</v>
      </c>
      <c r="AG351" s="285"/>
      <c r="AH351" s="285"/>
      <c r="AI351" s="285"/>
    </row>
    <row r="352" customFormat="false" ht="15" hidden="false" customHeight="true" outlineLevel="0" collapsed="false">
      <c r="B352" s="127" t="n">
        <f aca="false">B351+D352-C352</f>
        <v>-1506.2</v>
      </c>
      <c r="D352" s="146" t="n">
        <v>1311</v>
      </c>
      <c r="E352" s="147" t="n">
        <v>274</v>
      </c>
      <c r="F352" s="147" t="n">
        <f aca="false">IFERROR(VLOOKUP(H352,$AD$1:$AE$301,2,0),"")</f>
        <v>1008054</v>
      </c>
      <c r="G352" s="147" t="str">
        <f aca="false">IFERROR(VLOOKUP(F352,$AE$2:$AF$290,2, 0),"")</f>
        <v>الوجه</v>
      </c>
      <c r="H352" s="212" t="s">
        <v>112</v>
      </c>
      <c r="I352" s="246" t="n">
        <f aca="false">SUM(K352:R352)</f>
        <v>5</v>
      </c>
      <c r="J352" s="182" t="n">
        <v>45560</v>
      </c>
      <c r="K352" s="184" t="n">
        <v>4</v>
      </c>
      <c r="L352" s="185" t="n">
        <v>1</v>
      </c>
      <c r="S352" s="192" t="n">
        <f aca="false">(K352+O352+Q352)*24 /1130+(L352+M352+P352+R352)*12/1130+(N352*30)/1130</f>
        <v>0.0955752212389381</v>
      </c>
      <c r="U352" s="326" t="n">
        <f aca="false">(T351*24+U351*12)/1120</f>
        <v>3.92142857142857</v>
      </c>
      <c r="V352" s="327" t="n">
        <f aca="false">(V351*12)/1120</f>
        <v>0.857142857142857</v>
      </c>
      <c r="W352" s="328"/>
      <c r="X352" s="329" t="n">
        <f aca="false">(W351*30+X351*24+Y351*12)/1120</f>
        <v>0.991071428571429</v>
      </c>
      <c r="Y352" s="328"/>
      <c r="Z352" s="330" t="n">
        <f aca="false">(Z351*24+AA351*12)/1120</f>
        <v>1.29642857142857</v>
      </c>
      <c r="AA352" s="258" t="s">
        <v>635</v>
      </c>
      <c r="AB352" s="323"/>
      <c r="AC352" s="331" t="n">
        <v>130</v>
      </c>
      <c r="AD352" s="282" t="s">
        <v>630</v>
      </c>
      <c r="AE352" s="332" t="n">
        <v>7.01</v>
      </c>
      <c r="AF352" s="366" t="n">
        <f aca="false">(AE351/AE352)</f>
        <v>1.00799877725698</v>
      </c>
      <c r="AG352" s="366"/>
      <c r="AH352" s="366"/>
      <c r="AI352" s="367"/>
    </row>
    <row r="353" customFormat="false" ht="15" hidden="false" customHeight="true" outlineLevel="0" collapsed="false">
      <c r="B353" s="127" t="n">
        <f aca="false">B352+D353-C353</f>
        <v>-195.2</v>
      </c>
      <c r="D353" s="146" t="n">
        <v>1311</v>
      </c>
      <c r="E353" s="147" t="n">
        <v>277</v>
      </c>
      <c r="F353" s="147" t="n">
        <f aca="false">IFERROR(VLOOKUP(H353,$AD$1:$AE$301,2,0),"")</f>
        <v>1008046</v>
      </c>
      <c r="G353" s="147" t="str">
        <f aca="false">IFERROR(VLOOKUP(F353,$AE$2:$AF$290,2, 0),"")</f>
        <v>الوجه</v>
      </c>
      <c r="H353" s="212" t="s">
        <v>108</v>
      </c>
      <c r="I353" s="246" t="n">
        <f aca="false">SUM(K353:R353)</f>
        <v>5</v>
      </c>
      <c r="J353" s="182" t="n">
        <v>45560</v>
      </c>
      <c r="K353" s="184" t="n">
        <v>4</v>
      </c>
      <c r="L353" s="185" t="n">
        <v>1</v>
      </c>
      <c r="S353" s="192" t="n">
        <f aca="false">(K353+O353+Q353)*24 /1130+(L353+M353+P353+R353)*12/1130+(N353*30)/1130</f>
        <v>0.0955752212389381</v>
      </c>
      <c r="U353" s="335" t="n">
        <f aca="false">(U352)-1.2</f>
        <v>2.72142857142857</v>
      </c>
      <c r="V353" s="336" t="n">
        <f aca="false">V352-0.35</f>
        <v>0.507142857142857</v>
      </c>
      <c r="W353" s="336" t="n">
        <f aca="false">(X352)-4</f>
        <v>-3.00892857142857</v>
      </c>
      <c r="X353" s="336"/>
      <c r="Y353" s="336"/>
      <c r="Z353" s="337" t="n">
        <f aca="false">Z352-1.46</f>
        <v>-0.163571428571428</v>
      </c>
      <c r="AA353" s="259" t="s">
        <v>631</v>
      </c>
      <c r="AB353" s="323"/>
      <c r="AC353" s="331" t="n">
        <v>161</v>
      </c>
      <c r="AD353" s="282" t="s">
        <v>632</v>
      </c>
      <c r="AE353" s="284" t="n">
        <f aca="false">AE351-AE352</f>
        <v>0.0560714285714283</v>
      </c>
      <c r="AF353" s="339" t="n">
        <f aca="false">U351*6+T351*12+V351*16+Z351*2+AA351*1+440</f>
        <v>4037</v>
      </c>
      <c r="AG353" s="339"/>
      <c r="AH353" s="339"/>
      <c r="AI353" s="340" t="n">
        <v>3</v>
      </c>
    </row>
    <row r="354" customFormat="false" ht="15" hidden="false" customHeight="true" outlineLevel="0" collapsed="false">
      <c r="B354" s="127" t="n">
        <f aca="false">B353+D354-C354</f>
        <v>1115.8</v>
      </c>
      <c r="D354" s="146" t="n">
        <v>1311</v>
      </c>
      <c r="E354" s="147" t="n">
        <v>273</v>
      </c>
      <c r="F354" s="147" t="n">
        <f aca="false">IFERROR(VLOOKUP(H354,$AD$1:$AE$301,2,0),"")</f>
        <v>1008043</v>
      </c>
      <c r="G354" s="147" t="str">
        <f aca="false">IFERROR(VLOOKUP(F354,$AE$2:$AF$290,2, 0),"")</f>
        <v>الوجه</v>
      </c>
      <c r="H354" s="212" t="s">
        <v>104</v>
      </c>
      <c r="I354" s="246" t="n">
        <f aca="false">SUM(K354:R354)</f>
        <v>5</v>
      </c>
      <c r="J354" s="182" t="n">
        <v>45560</v>
      </c>
      <c r="K354" s="184" t="n">
        <v>4</v>
      </c>
      <c r="L354" s="185" t="n">
        <v>1</v>
      </c>
      <c r="S354" s="192" t="n">
        <f aca="false">(K354+O354+Q354)*24 /1130+(L354+M354+P354+R354)*12/1130+(N354*30)/1130</f>
        <v>0.0955752212389381</v>
      </c>
      <c r="U354" s="357" t="n">
        <f aca="false">(U353*1120)/24</f>
        <v>127</v>
      </c>
      <c r="V354" s="353" t="n">
        <f aca="false">(V353*1120)/12</f>
        <v>47.3333333333333</v>
      </c>
      <c r="W354" s="354"/>
      <c r="X354" s="355" t="n">
        <f aca="false">(W353*1120)/24</f>
        <v>-140.416666666667</v>
      </c>
      <c r="Y354" s="355"/>
      <c r="Z354" s="356" t="n">
        <f aca="false">(Z353*1120)/24</f>
        <v>-7.63333333333333</v>
      </c>
      <c r="AA354" s="259" t="s">
        <v>636</v>
      </c>
      <c r="AB354" s="323"/>
      <c r="AC354" s="331" t="n">
        <v>99</v>
      </c>
    </row>
    <row r="355" customFormat="false" ht="15" hidden="false" customHeight="true" outlineLevel="0" collapsed="false">
      <c r="B355" s="127" t="n">
        <f aca="false">B354+D355-C355</f>
        <v>3737.8</v>
      </c>
      <c r="D355" s="146" t="n">
        <v>2622</v>
      </c>
      <c r="E355" s="147" t="n">
        <v>276</v>
      </c>
      <c r="F355" s="147" t="n">
        <f aca="false">IFERROR(VLOOKUP(H355,$AD$1:$AE$301,2,0),"")</f>
        <v>1008048</v>
      </c>
      <c r="G355" s="147" t="str">
        <f aca="false">IFERROR(VLOOKUP(F355,$AE$2:$AF$290,2, 0),"")</f>
        <v>الوجه</v>
      </c>
      <c r="H355" s="212" t="s">
        <v>110</v>
      </c>
      <c r="I355" s="246" t="n">
        <f aca="false">SUM(K355:R355)</f>
        <v>10</v>
      </c>
      <c r="J355" s="182" t="n">
        <v>45560</v>
      </c>
      <c r="K355" s="184" t="n">
        <v>8</v>
      </c>
      <c r="L355" s="185" t="n">
        <v>2</v>
      </c>
      <c r="S355" s="192" t="n">
        <f aca="false">(K355+O355+Q355)*24 /1130+(L355+M355+P355+R355)*12/1130+(N355*30)/1130</f>
        <v>0.191150442477876</v>
      </c>
      <c r="U355" s="341" t="n">
        <f aca="false">U352/1.2</f>
        <v>3.26785714285714</v>
      </c>
      <c r="V355" s="342" t="n">
        <f aca="false">V352/0.35</f>
        <v>2.44897959183673</v>
      </c>
      <c r="W355" s="342" t="n">
        <f aca="false">X352/4</f>
        <v>0.247767857142857</v>
      </c>
      <c r="X355" s="342"/>
      <c r="Y355" s="342"/>
      <c r="Z355" s="343" t="n">
        <f aca="false">Z352/1.46</f>
        <v>0.887964774951076</v>
      </c>
      <c r="AA355" s="191" t="s">
        <v>40</v>
      </c>
      <c r="AB355" s="323"/>
      <c r="AC355" s="331" t="n">
        <f aca="false">AC354+AC353+AC352</f>
        <v>390</v>
      </c>
    </row>
    <row r="356" customFormat="false" ht="15" hidden="false" customHeight="true" outlineLevel="0" collapsed="false">
      <c r="B356" s="127" t="n">
        <f aca="false">B355+D356-C356</f>
        <v>4065.55</v>
      </c>
      <c r="D356" s="146" t="n">
        <v>327.75</v>
      </c>
      <c r="E356" s="147" t="n">
        <v>275</v>
      </c>
      <c r="F356" s="147" t="n">
        <f aca="false">IFERROR(VLOOKUP(H356,$AD$1:$AE$301,2,0),"")</f>
        <v>1008049</v>
      </c>
      <c r="G356" s="147" t="str">
        <f aca="false">IFERROR(VLOOKUP(F356,$AE$2:$AF$290,2, 0),"")</f>
        <v>الوجه</v>
      </c>
      <c r="H356" s="212" t="s">
        <v>111</v>
      </c>
      <c r="I356" s="246" t="n">
        <f aca="false">SUM(K356:R356)</f>
        <v>1</v>
      </c>
      <c r="J356" s="182" t="n">
        <v>45560</v>
      </c>
      <c r="K356" s="184" t="n">
        <v>1</v>
      </c>
      <c r="L356" s="185"/>
      <c r="S356" s="192" t="n">
        <f aca="false">(K356+O356+Q356)*24 /1130+(L356+M356+P356+R356)*12/1130+(N356*30)/1130</f>
        <v>0.0212389380530973</v>
      </c>
      <c r="T356" s="344" t="n">
        <v>124</v>
      </c>
      <c r="U356" s="344" t="n">
        <v>5</v>
      </c>
      <c r="V356" s="344" t="n">
        <v>85</v>
      </c>
      <c r="W356" s="282" t="n">
        <v>13</v>
      </c>
      <c r="X356" s="282" t="n">
        <v>28</v>
      </c>
      <c r="Y356" s="282" t="n">
        <v>0</v>
      </c>
      <c r="Z356" s="344" t="n">
        <v>74</v>
      </c>
      <c r="AA356" s="344" t="n">
        <v>33</v>
      </c>
      <c r="AB356" s="323"/>
      <c r="AC356" s="369" t="n">
        <v>362</v>
      </c>
      <c r="AD356" s="282" t="s">
        <v>47</v>
      </c>
      <c r="AE356" s="284" t="n">
        <f aca="false">Z357+W357+V357+T357+U357+X357+Y357</f>
        <v>6.50892857142857</v>
      </c>
      <c r="AF356" s="369" t="n">
        <f aca="false">Y356+Z356+AA356+W356+X356+V356+U356+T356</f>
        <v>362</v>
      </c>
      <c r="AG356" s="285"/>
      <c r="AH356" s="285"/>
      <c r="AI356" s="285"/>
    </row>
    <row r="357" customFormat="false" ht="15" hidden="false" customHeight="true" outlineLevel="0" collapsed="false">
      <c r="A357" s="128" t="n">
        <f aca="false">D357-655.5-655</f>
        <v>0.5</v>
      </c>
      <c r="B357" s="127" t="n">
        <f aca="false">B356+D357-C357</f>
        <v>5376.55</v>
      </c>
      <c r="D357" s="146" t="n">
        <v>1311</v>
      </c>
      <c r="E357" s="147" t="n">
        <v>278</v>
      </c>
      <c r="F357" s="147" t="n">
        <f aca="false">IFERROR(VLOOKUP(H357,$AD$1:$AE$301,2,0),"")</f>
        <v>1008025</v>
      </c>
      <c r="G357" s="147" t="str">
        <f aca="false">IFERROR(VLOOKUP(F357,$AE$2:$AF$290,2, 0),"")</f>
        <v>ضباء</v>
      </c>
      <c r="H357" s="212" t="s">
        <v>97</v>
      </c>
      <c r="I357" s="246" t="n">
        <f aca="false">SUM(K357:R357)</f>
        <v>5</v>
      </c>
      <c r="J357" s="182" t="n">
        <v>45550</v>
      </c>
      <c r="K357" s="184" t="n">
        <v>4</v>
      </c>
      <c r="L357" s="185" t="n">
        <v>1</v>
      </c>
      <c r="S357" s="192" t="n">
        <f aca="false">(K357+O357+Q357)*24 /1130+(L357+M357+P357+R357)*12/1130+(N357*30)/1130</f>
        <v>0.0955752212389381</v>
      </c>
      <c r="U357" s="326" t="n">
        <f aca="false">(T356*24+U356*12)/1120</f>
        <v>2.71071428571429</v>
      </c>
      <c r="V357" s="327" t="n">
        <f aca="false">(V356*12)/1120</f>
        <v>0.910714285714286</v>
      </c>
      <c r="W357" s="328"/>
      <c r="X357" s="329" t="n">
        <f aca="false">(W356*30+X356*24+Y356*12)/1120</f>
        <v>0.948214285714286</v>
      </c>
      <c r="Y357" s="328"/>
      <c r="Z357" s="330" t="n">
        <f aca="false">(Z356*24+AA356*12)/1120</f>
        <v>1.93928571428571</v>
      </c>
      <c r="AA357" s="258" t="s">
        <v>635</v>
      </c>
      <c r="AB357" s="323"/>
      <c r="AC357" s="331" t="n">
        <v>93</v>
      </c>
      <c r="AD357" s="282" t="s">
        <v>630</v>
      </c>
      <c r="AE357" s="332" t="n">
        <v>7.1</v>
      </c>
      <c r="AF357" s="370" t="n">
        <f aca="false">(AE356/AE357)</f>
        <v>0.916750503018109</v>
      </c>
      <c r="AG357" s="370"/>
      <c r="AH357" s="370"/>
      <c r="AI357" s="367"/>
    </row>
    <row r="358" customFormat="false" ht="15" hidden="false" customHeight="true" outlineLevel="0" collapsed="false">
      <c r="B358" s="127" t="n">
        <f aca="false">B357+D358-C358</f>
        <v>0.550000000000182</v>
      </c>
      <c r="C358" s="127" t="n">
        <v>5376</v>
      </c>
      <c r="D358" s="280"/>
      <c r="E358" s="212" t="s">
        <v>392</v>
      </c>
      <c r="F358" s="147" t="str">
        <f aca="false">IFERROR(VLOOKUP(H358,$AD$1:$AE$301,2,0),"")</f>
        <v/>
      </c>
      <c r="G358" s="147" t="str">
        <f aca="false">IFERROR(VLOOKUP(F358,$AE$2:$AF$290,2, 0),"")</f>
        <v/>
      </c>
      <c r="H358" s="212" t="s">
        <v>393</v>
      </c>
      <c r="I358" s="246" t="n">
        <f aca="false">SUM(K358:R358)</f>
        <v>0</v>
      </c>
      <c r="J358" s="182" t="n">
        <v>45550</v>
      </c>
      <c r="K358" s="184"/>
      <c r="L358" s="185"/>
      <c r="S358" s="192" t="n">
        <f aca="false">(K358+O358+Q358)*24 /1130+(L358+M358+P358+R358)*12/1130+(N358*30)/1130</f>
        <v>0</v>
      </c>
      <c r="U358" s="335" t="n">
        <f aca="false">(U357)-1.2</f>
        <v>1.51071428571429</v>
      </c>
      <c r="V358" s="336" t="n">
        <f aca="false">V357-0.3</f>
        <v>0.610714285714286</v>
      </c>
      <c r="W358" s="336" t="n">
        <f aca="false">(X357)-4.2</f>
        <v>-3.25178571428571</v>
      </c>
      <c r="X358" s="336"/>
      <c r="Y358" s="336"/>
      <c r="Z358" s="337" t="n">
        <f aca="false">Z357-1.5</f>
        <v>0.439285714285714</v>
      </c>
      <c r="AA358" s="259" t="s">
        <v>631</v>
      </c>
      <c r="AB358" s="323"/>
      <c r="AC358" s="331" t="n">
        <v>139</v>
      </c>
      <c r="AD358" s="282" t="s">
        <v>632</v>
      </c>
      <c r="AE358" s="338" t="n">
        <f aca="false">AE356-AE357</f>
        <v>-0.591071428571429</v>
      </c>
      <c r="AF358" s="339" t="n">
        <f aca="false">U356*6+T356*12+V356*16+Z356*9+AA356*4.5+292.5</f>
        <v>3985</v>
      </c>
      <c r="AG358" s="339"/>
      <c r="AH358" s="339"/>
      <c r="AI358" s="340" t="n">
        <v>4</v>
      </c>
    </row>
    <row r="359" customFormat="false" ht="15" hidden="false" customHeight="true" outlineLevel="0" collapsed="false">
      <c r="B359" s="127" t="n">
        <f aca="false">B358+D359-C359</f>
        <v>1311.55</v>
      </c>
      <c r="D359" s="146" t="n">
        <f aca="false">4*327.75</f>
        <v>1311</v>
      </c>
      <c r="E359" s="147" t="n">
        <v>279</v>
      </c>
      <c r="F359" s="147" t="n">
        <f aca="false">IFERROR(VLOOKUP(H359,$AD$1:$AE$301,2,0),"")</f>
        <v>548</v>
      </c>
      <c r="G359" s="147" t="str">
        <f aca="false">IFERROR(VLOOKUP(F359,$AE$2:$AF$290,2, 0),"")</f>
        <v>تبوك</v>
      </c>
      <c r="H359" s="212" t="s">
        <v>151</v>
      </c>
      <c r="I359" s="246" t="n">
        <f aca="false">SUM(K359:R359)</f>
        <v>5</v>
      </c>
      <c r="J359" s="182" t="n">
        <v>45552</v>
      </c>
      <c r="K359" s="184" t="n">
        <v>4</v>
      </c>
      <c r="L359" s="185" t="n">
        <v>1</v>
      </c>
      <c r="S359" s="192" t="n">
        <f aca="false">(K359+O359+Q359)*24 /1130+(L359+M359+P359+R359)*12/1130+(N359*30)/1130</f>
        <v>0.0955752212389381</v>
      </c>
      <c r="U359" s="357" t="n">
        <f aca="false">(U358*1120)/24</f>
        <v>70.5</v>
      </c>
      <c r="V359" s="353" t="n">
        <f aca="false">(V358*1120)/12</f>
        <v>57</v>
      </c>
      <c r="W359" s="354"/>
      <c r="X359" s="355" t="n">
        <f aca="false">(W358*1120)/24</f>
        <v>-151.75</v>
      </c>
      <c r="Y359" s="355"/>
      <c r="Z359" s="371" t="n">
        <f aca="false">(Z358*1120)/24</f>
        <v>20.5</v>
      </c>
      <c r="AA359" s="259" t="s">
        <v>636</v>
      </c>
      <c r="AB359" s="323"/>
      <c r="AC359" s="331" t="n">
        <v>130</v>
      </c>
    </row>
    <row r="360" customFormat="false" ht="15" hidden="false" customHeight="true" outlineLevel="0" collapsed="false">
      <c r="A360" s="128" t="n">
        <f aca="false">D360-511-500-300</f>
        <v>0</v>
      </c>
      <c r="B360" s="127" t="n">
        <f aca="false">B359+D360-C360</f>
        <v>2622.55</v>
      </c>
      <c r="D360" s="146" t="n">
        <f aca="false">4*327.75</f>
        <v>1311</v>
      </c>
      <c r="E360" s="147" t="n">
        <v>280</v>
      </c>
      <c r="F360" s="147" t="n">
        <f aca="false">IFERROR(VLOOKUP(H360,$AD$1:$AE$301,2,0),"")</f>
        <v>553</v>
      </c>
      <c r="G360" s="147" t="str">
        <f aca="false">IFERROR(VLOOKUP(F360,$AE$2:$AF$290,2, 0),"")</f>
        <v>تبوك</v>
      </c>
      <c r="H360" s="212" t="s">
        <v>150</v>
      </c>
      <c r="I360" s="246" t="n">
        <f aca="false">SUM(K360:R360)</f>
        <v>5</v>
      </c>
      <c r="J360" s="182" t="n">
        <v>45552</v>
      </c>
      <c r="K360" s="184" t="n">
        <v>4</v>
      </c>
      <c r="L360" s="185" t="n">
        <v>1</v>
      </c>
      <c r="S360" s="192" t="n">
        <f aca="false">(K360+O360+Q360)*24 /1130+(L360+M360+P360+R360)*12/1130+(N360*30)/1130</f>
        <v>0.0955752212389381</v>
      </c>
      <c r="U360" s="341" t="n">
        <f aca="false">U357/1.2</f>
        <v>2.25892857142857</v>
      </c>
      <c r="V360" s="342" t="n">
        <f aca="false">V357/0.3</f>
        <v>3.03571428571429</v>
      </c>
      <c r="W360" s="342" t="n">
        <f aca="false">X357/4.2</f>
        <v>0.225765306122449</v>
      </c>
      <c r="X360" s="342"/>
      <c r="Y360" s="342"/>
      <c r="Z360" s="343" t="n">
        <f aca="false">Z357/1.5</f>
        <v>1.29285714285714</v>
      </c>
      <c r="AA360" s="191" t="s">
        <v>40</v>
      </c>
      <c r="AB360" s="323"/>
      <c r="AC360" s="331" t="n">
        <f aca="false">AC359+AC358+AC357</f>
        <v>362</v>
      </c>
    </row>
    <row r="361" customFormat="false" ht="15" hidden="false" customHeight="true" outlineLevel="0" collapsed="false">
      <c r="B361" s="127" t="n">
        <f aca="false">B360+D361-C361</f>
        <v>5244.55</v>
      </c>
      <c r="D361" s="146" t="n">
        <v>2622</v>
      </c>
      <c r="E361" s="147" t="n">
        <v>281</v>
      </c>
      <c r="F361" s="147" t="n">
        <f aca="false">IFERROR(VLOOKUP(H361,$AD$1:$AE$301,2,0),"")</f>
        <v>1008275</v>
      </c>
      <c r="G361" s="147" t="str">
        <f aca="false">IFERROR(VLOOKUP(F361,$AE$2:$AF$290,2, 0),"")</f>
        <v>تبوك</v>
      </c>
      <c r="H361" s="212" t="s">
        <v>179</v>
      </c>
      <c r="I361" s="246" t="n">
        <f aca="false">SUM(K361:R361)</f>
        <v>10</v>
      </c>
      <c r="J361" s="182" t="n">
        <v>45552</v>
      </c>
      <c r="K361" s="184" t="n">
        <v>8</v>
      </c>
      <c r="L361" s="185" t="n">
        <v>2</v>
      </c>
      <c r="S361" s="192" t="n">
        <f aca="false">(K361+O361+Q361)*24 /1130+(L361+M361+P361+R361)*12/1130+(N361*30)/1130</f>
        <v>0.191150442477876</v>
      </c>
      <c r="T361" s="344" t="n">
        <v>228</v>
      </c>
      <c r="U361" s="344" t="n">
        <v>0</v>
      </c>
      <c r="V361" s="344" t="n">
        <v>47</v>
      </c>
      <c r="W361" s="282" t="n">
        <v>42</v>
      </c>
      <c r="X361" s="282" t="n">
        <v>9</v>
      </c>
      <c r="Y361" s="282" t="n">
        <v>0</v>
      </c>
      <c r="Z361" s="344" t="n">
        <v>77</v>
      </c>
      <c r="AA361" s="344" t="n">
        <v>30</v>
      </c>
      <c r="AB361" s="323"/>
      <c r="AC361" s="198" t="n">
        <v>433</v>
      </c>
      <c r="AD361" s="282" t="s">
        <v>48</v>
      </c>
      <c r="AE361" s="284" t="n">
        <v>8.67857142857143</v>
      </c>
      <c r="AF361" s="372" t="n">
        <v>433</v>
      </c>
      <c r="AG361" s="285"/>
      <c r="AH361" s="285"/>
      <c r="AI361" s="285" t="n">
        <v>11820.83</v>
      </c>
    </row>
    <row r="362" customFormat="false" ht="15" hidden="false" customHeight="true" outlineLevel="0" collapsed="false">
      <c r="B362" s="127" t="n">
        <f aca="false">B361+D362-C362</f>
        <v>1967.55</v>
      </c>
      <c r="C362" s="127" t="n">
        <f aca="false">D361+655</f>
        <v>3277</v>
      </c>
      <c r="D362" s="280"/>
      <c r="E362" s="212" t="s">
        <v>638</v>
      </c>
      <c r="F362" s="147" t="str">
        <f aca="false">IFERROR(VLOOKUP(H362,$AD$1:$AE$301,2,0),"")</f>
        <v/>
      </c>
      <c r="G362" s="147" t="str">
        <f aca="false">IFERROR(VLOOKUP(F362,$AE$2:$AF$290,2, 0),"")</f>
        <v/>
      </c>
      <c r="H362" s="212" t="s">
        <v>393</v>
      </c>
      <c r="I362" s="246" t="n">
        <f aca="false">SUM(K362:R362)</f>
        <v>0</v>
      </c>
      <c r="J362" s="182" t="n">
        <v>45558</v>
      </c>
      <c r="S362" s="192" t="n">
        <f aca="false">(K362+O362+Q362)*24 /1130+(L362+M362+P362+R362)*12/1130+(N362*30)/1130</f>
        <v>0</v>
      </c>
      <c r="U362" s="326" t="n">
        <f aca="false">(T361*24+U361*12)/1120</f>
        <v>4.88571428571429</v>
      </c>
      <c r="V362" s="327" t="n">
        <f aca="false">(V361*12)/1120</f>
        <v>0.503571428571429</v>
      </c>
      <c r="W362" s="328"/>
      <c r="X362" s="329" t="n">
        <f aca="false">(W361*30+X361*24+Y361*12)/1120</f>
        <v>1.31785714285714</v>
      </c>
      <c r="Y362" s="328"/>
      <c r="Z362" s="330" t="n">
        <f aca="false">(Z361*24+AA361*12)/1120</f>
        <v>1.97142857142857</v>
      </c>
      <c r="AA362" s="258" t="s">
        <v>635</v>
      </c>
      <c r="AB362" s="323"/>
      <c r="AC362" s="331" t="n">
        <v>106</v>
      </c>
      <c r="AD362" s="282" t="s">
        <v>630</v>
      </c>
      <c r="AE362" s="324" t="n">
        <v>7.7</v>
      </c>
      <c r="AF362" s="370" t="n">
        <f aca="false">(AE361/AE362)</f>
        <v>1.12708719851577</v>
      </c>
      <c r="AG362" s="370"/>
      <c r="AH362" s="370"/>
      <c r="AI362" s="367"/>
    </row>
    <row r="363" customFormat="false" ht="15" hidden="false" customHeight="true" outlineLevel="0" collapsed="false">
      <c r="B363" s="127" t="n">
        <f aca="false">B362+D363-C363</f>
        <v>-1310.45</v>
      </c>
      <c r="C363" s="127" t="n">
        <f aca="false">170+511+655+1942</f>
        <v>3278</v>
      </c>
      <c r="E363" s="212" t="s">
        <v>470</v>
      </c>
      <c r="F363" s="147" t="str">
        <f aca="false">IFERROR(VLOOKUP(H363,$AD$1:$AE$301,2,0),"")</f>
        <v/>
      </c>
      <c r="G363" s="147" t="str">
        <f aca="false">IFERROR(VLOOKUP(F363,$AE$2:$AF$290,2, 0),"")</f>
        <v/>
      </c>
      <c r="H363" s="212" t="s">
        <v>393</v>
      </c>
      <c r="I363" s="246" t="n">
        <f aca="false">SUM(K363:R363)</f>
        <v>0</v>
      </c>
      <c r="J363" s="182" t="n">
        <v>45547</v>
      </c>
      <c r="K363" s="184"/>
      <c r="L363" s="185"/>
      <c r="S363" s="192" t="n">
        <f aca="false">(K363+O363+Q363)*24 /1130+(L363+M363+P363+R363)*12/1130+(N363*30)/1130</f>
        <v>0</v>
      </c>
      <c r="U363" s="335" t="n">
        <f aca="false">(U362)-1.2</f>
        <v>3.68571428571429</v>
      </c>
      <c r="V363" s="336" t="n">
        <f aca="false">V362-0.5</f>
        <v>0.00357142857142856</v>
      </c>
      <c r="W363" s="336" t="n">
        <f aca="false">(W362)-4</f>
        <v>-4</v>
      </c>
      <c r="X363" s="336"/>
      <c r="Y363" s="336"/>
      <c r="Z363" s="337" t="n">
        <f aca="false">Z362-1.5</f>
        <v>0.471428571428572</v>
      </c>
      <c r="AA363" s="259" t="s">
        <v>631</v>
      </c>
      <c r="AB363" s="323"/>
      <c r="AC363" s="331" t="n">
        <v>163</v>
      </c>
      <c r="AD363" s="282" t="s">
        <v>632</v>
      </c>
      <c r="AE363" s="284" t="n">
        <f aca="false">AE361-AE362</f>
        <v>0.97857142857143</v>
      </c>
      <c r="AF363" s="339" t="n">
        <f aca="false">U361*6+T361*12+V361*11+Z361*9+AA361*4.5-43+1000</f>
        <v>5038</v>
      </c>
      <c r="AG363" s="339"/>
      <c r="AH363" s="339"/>
      <c r="AI363" s="340" t="n">
        <v>5</v>
      </c>
    </row>
    <row r="364" customFormat="false" ht="15" hidden="false" customHeight="true" outlineLevel="0" collapsed="false">
      <c r="A364" s="128" t="n">
        <f aca="false">D364-355-655-300</f>
        <v>1</v>
      </c>
      <c r="B364" s="127" t="n">
        <f aca="false">B363+D364-C364</f>
        <v>0.550000000000182</v>
      </c>
      <c r="D364" s="146" t="n">
        <f aca="false">1311</f>
        <v>1311</v>
      </c>
      <c r="E364" s="147" t="n">
        <v>282</v>
      </c>
      <c r="F364" s="147" t="n">
        <f aca="false">IFERROR(VLOOKUP(H364,$AD$1:$AE$301,2,0),"")</f>
        <v>1008264</v>
      </c>
      <c r="G364" s="147" t="str">
        <f aca="false">IFERROR(VLOOKUP(F364,$AE$2:$AF$290,2, 0),"")</f>
        <v>تبوك</v>
      </c>
      <c r="H364" s="212" t="s">
        <v>160</v>
      </c>
      <c r="I364" s="246" t="n">
        <f aca="false">SUM(K364:R364)</f>
        <v>5</v>
      </c>
      <c r="J364" s="182" t="n">
        <v>45562</v>
      </c>
      <c r="K364" s="184" t="n">
        <v>4</v>
      </c>
      <c r="L364" s="185" t="n">
        <v>1</v>
      </c>
      <c r="S364" s="192" t="n">
        <f aca="false">(K364+O364+Q364)*24 /1130+(L364+M364+P364+R364)*12/1130+(N364*30)/1130</f>
        <v>0.0955752212389381</v>
      </c>
      <c r="U364" s="357" t="n">
        <f aca="false">(U363*1120)/24</f>
        <v>172</v>
      </c>
      <c r="V364" s="355" t="n">
        <f aca="false">(V363*1120)/12</f>
        <v>0.333333333333332</v>
      </c>
      <c r="W364" s="354"/>
      <c r="X364" s="355" t="n">
        <f aca="false">(W363*1120)/24</f>
        <v>-186.666666666667</v>
      </c>
      <c r="Y364" s="355"/>
      <c r="Z364" s="371" t="n">
        <f aca="false">(Z363*1120)/24</f>
        <v>22</v>
      </c>
      <c r="AA364" s="259" t="s">
        <v>636</v>
      </c>
      <c r="AB364" s="323"/>
      <c r="AC364" s="331" t="n">
        <v>164</v>
      </c>
      <c r="AE364" s="373"/>
      <c r="AF364" s="319"/>
      <c r="AG364" s="319"/>
      <c r="AH364" s="319"/>
      <c r="AI364" s="374"/>
    </row>
    <row r="365" customFormat="false" ht="15" hidden="false" customHeight="true" outlineLevel="0" collapsed="false">
      <c r="B365" s="127" t="n">
        <f aca="false">B364+D365-C365</f>
        <v>834.3</v>
      </c>
      <c r="D365" s="146" t="n">
        <f aca="false">2*258.75+316.25</f>
        <v>833.75</v>
      </c>
      <c r="E365" s="147" t="n">
        <v>285</v>
      </c>
      <c r="F365" s="147" t="n">
        <f aca="false">IFERROR(VLOOKUP(H365,$AD$1:$AE$301,2,0),"")</f>
        <v>1008040</v>
      </c>
      <c r="G365" s="147" t="str">
        <f aca="false">IFERROR(VLOOKUP(F365,$AE$2:$AF$290,2, 0),"")</f>
        <v>البير</v>
      </c>
      <c r="H365" s="212" t="s">
        <v>292</v>
      </c>
      <c r="I365" s="246" t="n">
        <f aca="false">SUM(K365:R365)</f>
        <v>3</v>
      </c>
      <c r="J365" s="182" t="n">
        <v>45564</v>
      </c>
      <c r="K365" s="184"/>
      <c r="L365" s="185"/>
      <c r="N365" s="363" t="n">
        <v>1</v>
      </c>
      <c r="O365" s="364" t="n">
        <v>2</v>
      </c>
      <c r="S365" s="192" t="n">
        <f aca="false">(K365+O365+Q365)*24 /1130+(L365+M365+P365+R365)*12/1130+(N365*30)/1130</f>
        <v>0.0690265486725664</v>
      </c>
      <c r="U365" s="341" t="n">
        <f aca="false">U362/1.2</f>
        <v>4.07142857142857</v>
      </c>
      <c r="V365" s="342" t="n">
        <f aca="false">V362/0.5</f>
        <v>1.00714285714286</v>
      </c>
      <c r="W365" s="342" t="n">
        <f aca="false">X362/4.5</f>
        <v>0.292857142857143</v>
      </c>
      <c r="X365" s="342"/>
      <c r="Y365" s="342"/>
      <c r="Z365" s="343" t="n">
        <f aca="false">Z362/1.5</f>
        <v>1.31428571428571</v>
      </c>
      <c r="AA365" s="191" t="s">
        <v>40</v>
      </c>
      <c r="AB365" s="323"/>
      <c r="AC365" s="209" t="n">
        <v>433</v>
      </c>
      <c r="AD365" s="128"/>
      <c r="AE365" s="312"/>
      <c r="AF365" s="312"/>
      <c r="AG365" s="312"/>
      <c r="AH365" s="312"/>
      <c r="AI365" s="313"/>
    </row>
    <row r="366" customFormat="false" ht="15" hidden="false" customHeight="true" outlineLevel="0" collapsed="false">
      <c r="B366" s="127" t="n">
        <f aca="false">B365+D366-C366</f>
        <v>2145.3</v>
      </c>
      <c r="D366" s="146" t="n">
        <f aca="false">4*327.75</f>
        <v>1311</v>
      </c>
      <c r="E366" s="147" t="n">
        <v>289</v>
      </c>
      <c r="F366" s="147" t="n">
        <f aca="false">IFERROR(VLOOKUP(H366,$AD$1:$AE$301,2,0),"")</f>
        <v>1008276</v>
      </c>
      <c r="G366" s="147" t="str">
        <f aca="false">IFERROR(VLOOKUP(F366,$AE$2:$AF$290,2, 0),"")</f>
        <v>تبوك</v>
      </c>
      <c r="H366" s="212" t="s">
        <v>145</v>
      </c>
      <c r="I366" s="246" t="n">
        <f aca="false">SUM(K366:R366)</f>
        <v>5</v>
      </c>
      <c r="J366" s="182" t="n">
        <v>45564</v>
      </c>
      <c r="K366" s="184" t="n">
        <v>4</v>
      </c>
      <c r="L366" s="185" t="n">
        <v>1</v>
      </c>
      <c r="S366" s="192" t="n">
        <f aca="false">(K366+O366+Q366)*24 /1130+(L366+M366+P366+R366)*12/1130+(N366*30)/1130</f>
        <v>0.0955752212389381</v>
      </c>
      <c r="T366" s="344" t="n">
        <v>174</v>
      </c>
      <c r="U366" s="344" t="n">
        <v>6</v>
      </c>
      <c r="V366" s="344" t="n">
        <v>45</v>
      </c>
      <c r="W366" s="282" t="n">
        <v>36</v>
      </c>
      <c r="X366" s="282" t="n">
        <v>11</v>
      </c>
      <c r="Y366" s="282" t="n">
        <v>0</v>
      </c>
      <c r="Z366" s="344" t="n">
        <v>52</v>
      </c>
      <c r="AA366" s="344" t="n">
        <v>41</v>
      </c>
      <c r="AB366" s="323"/>
      <c r="AC366" s="198" t="n">
        <v>365</v>
      </c>
      <c r="AD366" s="282" t="s">
        <v>633</v>
      </c>
      <c r="AE366" s="284" t="n">
        <f aca="false">Z367+W367+V367+T367+U367+X367+Y367</f>
        <v>7.02857142857143</v>
      </c>
      <c r="AF366" s="369" t="n">
        <f aca="false">Y366+Z366+AA366+W366+X366+V366+U366+T366</f>
        <v>365</v>
      </c>
      <c r="AG366" s="285"/>
      <c r="AH366" s="285"/>
      <c r="AI366" s="285" t="n">
        <v>5135.99</v>
      </c>
    </row>
    <row r="367" customFormat="false" ht="15" hidden="false" customHeight="true" outlineLevel="0" collapsed="false">
      <c r="B367" s="127" t="n">
        <f aca="false">B366+D367-C367</f>
        <v>2628.3</v>
      </c>
      <c r="D367" s="146" t="n">
        <f aca="false">253+230</f>
        <v>483</v>
      </c>
      <c r="E367" s="147" t="n">
        <v>290</v>
      </c>
      <c r="F367" s="147" t="n">
        <f aca="false">IFERROR(VLOOKUP(H367,$AD$1:$AE$301,2,0),"")</f>
        <v>556</v>
      </c>
      <c r="G367" s="147" t="str">
        <f aca="false">IFERROR(VLOOKUP(F367,$AE$2:$AF$290,2, 0),"")</f>
        <v>تبوك</v>
      </c>
      <c r="H367" s="212" t="s">
        <v>253</v>
      </c>
      <c r="I367" s="246" t="n">
        <f aca="false">SUM(K367:R367)</f>
        <v>2</v>
      </c>
      <c r="J367" s="182" t="n">
        <v>45564</v>
      </c>
      <c r="K367" s="184"/>
      <c r="L367" s="185"/>
      <c r="M367" s="150" t="n">
        <v>2</v>
      </c>
      <c r="S367" s="192" t="n">
        <f aca="false">(K367+O367+Q367)*24 /1130+(L367+M367+P367+R367)*12/1130+(N367*30)/1130</f>
        <v>0.0212389380530973</v>
      </c>
      <c r="U367" s="326" t="n">
        <f aca="false">(T366*24+U366*12)/1120</f>
        <v>3.79285714285714</v>
      </c>
      <c r="V367" s="327" t="n">
        <f aca="false">(V366*12)/1120</f>
        <v>0.482142857142857</v>
      </c>
      <c r="W367" s="328"/>
      <c r="X367" s="328" t="n">
        <f aca="false">(W366*30+X366*24+Y366*12)/1120</f>
        <v>1.2</v>
      </c>
      <c r="Y367" s="328"/>
      <c r="Z367" s="330" t="n">
        <f aca="false">(Z366*24+AA366*12)/1120</f>
        <v>1.55357142857143</v>
      </c>
      <c r="AA367" s="258" t="s">
        <v>635</v>
      </c>
      <c r="AB367" s="323"/>
      <c r="AC367" s="331" t="n">
        <v>104</v>
      </c>
      <c r="AD367" s="282" t="s">
        <v>630</v>
      </c>
      <c r="AE367" s="332" t="n">
        <v>7</v>
      </c>
      <c r="AF367" s="370" t="n">
        <f aca="false">(AE366/AE367)</f>
        <v>1.00408163265306</v>
      </c>
      <c r="AG367" s="370"/>
      <c r="AH367" s="370"/>
      <c r="AI367" s="367"/>
    </row>
    <row r="368" customFormat="false" ht="15" hidden="false" customHeight="true" outlineLevel="0" collapsed="false">
      <c r="B368" s="127" t="n">
        <f aca="false">B367+D368-C368</f>
        <v>4077.3</v>
      </c>
      <c r="D368" s="146" t="n">
        <f aca="false">4*327.75+138</f>
        <v>1449</v>
      </c>
      <c r="E368" s="147" t="n">
        <v>283</v>
      </c>
      <c r="F368" s="147" t="n">
        <f aca="false">IFERROR(VLOOKUP(H368,$AD$1:$AE$301,2,0),"")</f>
        <v>1008004</v>
      </c>
      <c r="G368" s="147" t="str">
        <f aca="false">IFERROR(VLOOKUP(F368,$AE$2:$AF$290,2, 0),"")</f>
        <v>حقل</v>
      </c>
      <c r="H368" s="212" t="s">
        <v>316</v>
      </c>
      <c r="I368" s="246" t="n">
        <f aca="false">SUM(K368:R368)</f>
        <v>6</v>
      </c>
      <c r="J368" s="182" t="n">
        <v>45564</v>
      </c>
      <c r="K368" s="184" t="n">
        <v>4</v>
      </c>
      <c r="L368" s="185" t="n">
        <v>1</v>
      </c>
      <c r="Q368" s="154" t="n">
        <v>1</v>
      </c>
      <c r="S368" s="192" t="n">
        <f aca="false">(K368+O368+Q368)*24 /1130+(L368+M368+P368+R368)*12/1130+(N368*30)/1130</f>
        <v>0.116814159292035</v>
      </c>
      <c r="U368" s="335" t="n">
        <f aca="false">(U367)-1.2</f>
        <v>2.59285714285714</v>
      </c>
      <c r="V368" s="336" t="n">
        <f aca="false">V367-0.3</f>
        <v>0.182142857142857</v>
      </c>
      <c r="W368" s="336" t="n">
        <f aca="false">(X367)-4</f>
        <v>-2.8</v>
      </c>
      <c r="X368" s="336"/>
      <c r="Y368" s="336"/>
      <c r="Z368" s="337" t="n">
        <f aca="false">Z367-1.5</f>
        <v>0.0535714285714286</v>
      </c>
      <c r="AA368" s="259" t="s">
        <v>631</v>
      </c>
      <c r="AB368" s="323"/>
      <c r="AC368" s="331" t="n">
        <v>158</v>
      </c>
      <c r="AD368" s="282" t="s">
        <v>632</v>
      </c>
      <c r="AE368" s="284" t="n">
        <f aca="false">AE366-AE367</f>
        <v>0.0285714285714285</v>
      </c>
      <c r="AF368" s="339" t="n">
        <f aca="false">U366*6+T366*12+V366*16+Z366*5+AA366*2.5+376.5</f>
        <v>3583</v>
      </c>
      <c r="AG368" s="339"/>
      <c r="AH368" s="339"/>
      <c r="AI368" s="340" t="n">
        <v>6</v>
      </c>
    </row>
    <row r="369" customFormat="false" ht="15" hidden="false" customHeight="true" outlineLevel="0" collapsed="false">
      <c r="B369" s="127" t="n">
        <f aca="false">B368+D369-C369</f>
        <v>4232.55</v>
      </c>
      <c r="D369" s="146" t="n">
        <v>155.25</v>
      </c>
      <c r="E369" s="147" t="n">
        <v>288</v>
      </c>
      <c r="F369" s="147" t="n">
        <f aca="false">IFERROR(VLOOKUP(H369,$AD$1:$AE$301,2,0),"")</f>
        <v>1008270</v>
      </c>
      <c r="G369" s="147" t="str">
        <f aca="false">IFERROR(VLOOKUP(F369,$AE$2:$AF$290,2, 0),"")</f>
        <v>تبوك</v>
      </c>
      <c r="H369" s="212" t="s">
        <v>236</v>
      </c>
      <c r="I369" s="246" t="n">
        <f aca="false">SUM(K369:R369)</f>
        <v>1</v>
      </c>
      <c r="J369" s="182" t="n">
        <v>45564</v>
      </c>
      <c r="K369" s="184"/>
      <c r="L369" s="185"/>
      <c r="R369" s="155" t="n">
        <v>1</v>
      </c>
      <c r="S369" s="192" t="n">
        <f aca="false">(K369+O369+Q369)*24 /1130+(L369+M369+P369+R369)*12/1130+(N369*30)/1130</f>
        <v>0.0106194690265487</v>
      </c>
      <c r="U369" s="357" t="n">
        <f aca="false">(U368*1120)/24</f>
        <v>121</v>
      </c>
      <c r="V369" s="353" t="n">
        <f aca="false">(V368*1120)/12</f>
        <v>17</v>
      </c>
      <c r="W369" s="354"/>
      <c r="X369" s="355" t="n">
        <f aca="false">(W368*1120)/24</f>
        <v>-130.666666666667</v>
      </c>
      <c r="Y369" s="355"/>
      <c r="Z369" s="371" t="n">
        <f aca="false">(Z368*1120)/24</f>
        <v>2.5</v>
      </c>
      <c r="AA369" s="259" t="s">
        <v>636</v>
      </c>
      <c r="AB369" s="323"/>
      <c r="AC369" s="331" t="n">
        <v>103</v>
      </c>
    </row>
    <row r="370" customFormat="false" ht="15" hidden="false" customHeight="true" outlineLevel="0" collapsed="false">
      <c r="B370" s="127" t="n">
        <f aca="false">B369+D370-C370</f>
        <v>4560.3</v>
      </c>
      <c r="D370" s="146" t="n">
        <v>327.75</v>
      </c>
      <c r="E370" s="147" t="n">
        <v>284</v>
      </c>
      <c r="F370" s="147" t="n">
        <f aca="false">IFERROR(VLOOKUP(H370,$AD$1:$AE$301,2,0),"")</f>
        <v>1008007</v>
      </c>
      <c r="G370" s="147" t="str">
        <f aca="false">IFERROR(VLOOKUP(F370,$AE$2:$AF$290,2, 0),"")</f>
        <v>حقل</v>
      </c>
      <c r="H370" s="212" t="s">
        <v>303</v>
      </c>
      <c r="I370" s="246" t="n">
        <f aca="false">SUM(K370:R370)</f>
        <v>1</v>
      </c>
      <c r="J370" s="182" t="n">
        <v>45564</v>
      </c>
      <c r="K370" s="184" t="n">
        <v>1</v>
      </c>
      <c r="S370" s="192" t="n">
        <f aca="false">(K370+O370+Q370)*24 /1130+(L370+M370+P370+R370)*12/1130+(N370*30)/1130</f>
        <v>0.0212389380530973</v>
      </c>
      <c r="U370" s="341" t="n">
        <f aca="false">U367/1.2</f>
        <v>3.16071428571429</v>
      </c>
      <c r="V370" s="342" t="n">
        <f aca="false">V367/0.3</f>
        <v>1.60714285714286</v>
      </c>
      <c r="W370" s="342" t="n">
        <f aca="false">X367/4</f>
        <v>0.3</v>
      </c>
      <c r="X370" s="342"/>
      <c r="Y370" s="342"/>
      <c r="Z370" s="343" t="n">
        <f aca="false">Z367/1.5</f>
        <v>1.03571428571429</v>
      </c>
      <c r="AA370" s="191" t="s">
        <v>40</v>
      </c>
      <c r="AB370" s="323"/>
      <c r="AC370" s="209" t="n">
        <f aca="false">AC369+AC368+AC367</f>
        <v>365</v>
      </c>
      <c r="AE370" s="311"/>
      <c r="AF370" s="365" t="n">
        <f aca="false">(AF358+AF353+AF348+AF343+AF368+AF363)/6</f>
        <v>3745.855</v>
      </c>
      <c r="AG370" s="365"/>
      <c r="AH370" s="365"/>
      <c r="AI370" s="334"/>
    </row>
    <row r="371" customFormat="false" ht="15" hidden="false" customHeight="true" outlineLevel="0" collapsed="false">
      <c r="B371" s="127" t="n">
        <f aca="false">B370+D371-C371</f>
        <v>1630.05</v>
      </c>
      <c r="C371" s="127" t="n">
        <f aca="false">D368+D372+1153.5</f>
        <v>2930.25</v>
      </c>
      <c r="D371" s="280"/>
      <c r="E371" s="212" t="s">
        <v>470</v>
      </c>
      <c r="F371" s="147" t="str">
        <f aca="false">IFERROR(VLOOKUP(H371,$AD$1:$AE$301,2,0),"")</f>
        <v/>
      </c>
      <c r="G371" s="147" t="str">
        <f aca="false">IFERROR(VLOOKUP(F371,$AE$2:$AF$290,2, 0),"")</f>
        <v/>
      </c>
      <c r="H371" s="212" t="s">
        <v>393</v>
      </c>
      <c r="I371" s="246" t="n">
        <f aca="false">SUM(K371:R371)</f>
        <v>0</v>
      </c>
      <c r="J371" s="182" t="n">
        <v>45564</v>
      </c>
      <c r="K371" s="184"/>
      <c r="L371" s="185"/>
      <c r="S371" s="192" t="n">
        <f aca="false">(K371+O371+Q371)*24 /1130+(L371+M371+P371+R371)*12/1130+(N371*30)/1130</f>
        <v>0</v>
      </c>
      <c r="T371" s="344" t="n">
        <v>171</v>
      </c>
      <c r="U371" s="344" t="n">
        <v>6</v>
      </c>
      <c r="V371" s="344" t="n">
        <v>57</v>
      </c>
      <c r="W371" s="282" t="n">
        <v>30</v>
      </c>
      <c r="X371" s="282" t="n">
        <v>14</v>
      </c>
      <c r="Y371" s="282" t="n">
        <v>0</v>
      </c>
      <c r="Z371" s="344" t="n">
        <v>58</v>
      </c>
      <c r="AA371" s="344" t="n">
        <v>57</v>
      </c>
      <c r="AB371" s="323"/>
      <c r="AC371" s="198" t="n">
        <v>393</v>
      </c>
      <c r="AD371" s="282" t="s">
        <v>640</v>
      </c>
      <c r="AE371" s="284" t="n">
        <v>7.18185840707965</v>
      </c>
      <c r="AF371" s="372" t="n">
        <v>64</v>
      </c>
      <c r="AG371" s="285"/>
      <c r="AH371" s="285"/>
      <c r="AI371" s="285" t="n">
        <v>14457.99</v>
      </c>
    </row>
    <row r="372" customFormat="false" ht="15" hidden="false" customHeight="true" outlineLevel="0" collapsed="false">
      <c r="B372" s="127" t="n">
        <f aca="false">B371+D372-C372</f>
        <v>1957.8</v>
      </c>
      <c r="D372" s="146" t="n">
        <v>327.75</v>
      </c>
      <c r="E372" s="147" t="n">
        <v>286</v>
      </c>
      <c r="F372" s="147" t="n">
        <f aca="false">IFERROR(VLOOKUP(H372,$AD$1:$AE$301,2,0),"")</f>
        <v>1007996</v>
      </c>
      <c r="G372" s="147" t="str">
        <f aca="false">IFERROR(VLOOKUP(F372,$AE$2:$AF$290,2, 0),"")</f>
        <v>البير</v>
      </c>
      <c r="H372" s="212" t="s">
        <v>295</v>
      </c>
      <c r="I372" s="246" t="n">
        <f aca="false">SUM(K372:R372)</f>
        <v>1</v>
      </c>
      <c r="J372" s="182" t="n">
        <v>45564</v>
      </c>
      <c r="K372" s="184" t="n">
        <v>1</v>
      </c>
      <c r="L372" s="185"/>
      <c r="S372" s="192" t="n">
        <f aca="false">(K372+O372+Q372)*24 /1130+(L372+M372+P372+R372)*12/1130+(N372*30)/1130</f>
        <v>0.0212389380530973</v>
      </c>
      <c r="U372" s="326" t="n">
        <f aca="false">(T371*24+U371*12)/1120</f>
        <v>3.72857142857143</v>
      </c>
      <c r="V372" s="327" t="n">
        <f aca="false">(V371*12)/1120</f>
        <v>0.610714285714286</v>
      </c>
      <c r="W372" s="328"/>
      <c r="X372" s="329" t="n">
        <f aca="false">(W371*30+X371*24+Y371*12)/1120</f>
        <v>1.10357142857143</v>
      </c>
      <c r="Y372" s="328"/>
      <c r="Z372" s="330" t="n">
        <f aca="false">(Z371*24+AA371*12)/1120</f>
        <v>1.85357142857143</v>
      </c>
      <c r="AA372" s="258" t="s">
        <v>635</v>
      </c>
      <c r="AB372" s="323"/>
      <c r="AC372" s="331" t="n">
        <v>130</v>
      </c>
      <c r="AD372" s="282" t="s">
        <v>630</v>
      </c>
      <c r="AE372" s="324" t="n">
        <v>7.2</v>
      </c>
      <c r="AF372" s="370" t="n">
        <f aca="false">(AE371/AE372)</f>
        <v>0.997480334316618</v>
      </c>
      <c r="AG372" s="370"/>
      <c r="AH372" s="370"/>
      <c r="AI372" s="367"/>
    </row>
    <row r="373" customFormat="false" ht="15" hidden="false" customHeight="true" outlineLevel="0" collapsed="false">
      <c r="B373" s="127" t="n">
        <f aca="false">B372+D373-C373</f>
        <v>4085.3</v>
      </c>
      <c r="D373" s="146" t="n">
        <f aca="false">10*212.75</f>
        <v>2127.5</v>
      </c>
      <c r="E373" s="147" t="n">
        <v>287</v>
      </c>
      <c r="F373" s="147" t="n">
        <f aca="false">IFERROR(VLOOKUP(H373,$AD$1:$AE$301,2,0),"")</f>
        <v>1007997</v>
      </c>
      <c r="G373" s="147" t="str">
        <f aca="false">IFERROR(VLOOKUP(F373,$AE$2:$AF$290,2, 0),"")</f>
        <v>البير</v>
      </c>
      <c r="H373" s="212" t="s">
        <v>296</v>
      </c>
      <c r="I373" s="246" t="n">
        <f aca="false">SUM(K373:R373)</f>
        <v>10</v>
      </c>
      <c r="J373" s="182" t="n">
        <v>45564</v>
      </c>
      <c r="K373" s="184"/>
      <c r="L373" s="185"/>
      <c r="Q373" s="154" t="n">
        <v>10</v>
      </c>
      <c r="S373" s="192" t="n">
        <f aca="false">(K373+O373+Q373)*24 /1130+(L373+M373+P373+R373)*12/1130+(N373*30)/1130</f>
        <v>0.212389380530973</v>
      </c>
      <c r="U373" s="335" t="n">
        <f aca="false">(U372)-1.2</f>
        <v>2.52857142857143</v>
      </c>
      <c r="V373" s="336" t="n">
        <f aca="false">(V372)-0.5</f>
        <v>0.110714285714286</v>
      </c>
      <c r="W373" s="336" t="n">
        <f aca="false">(X372)-4</f>
        <v>-2.89642857142857</v>
      </c>
      <c r="X373" s="336"/>
      <c r="Y373" s="336"/>
      <c r="Z373" s="337" t="n">
        <f aca="false">Z372-1.5</f>
        <v>0.353571428571429</v>
      </c>
      <c r="AA373" s="259" t="s">
        <v>631</v>
      </c>
      <c r="AB373" s="323"/>
      <c r="AC373" s="331" t="n">
        <v>158</v>
      </c>
      <c r="AD373" s="282" t="s">
        <v>641</v>
      </c>
      <c r="AE373" s="332" t="n">
        <f aca="false">AE371-AE372</f>
        <v>-0.0181415929203501</v>
      </c>
      <c r="AF373" s="339" t="n">
        <f aca="false">U371*6+T371*12+V371*13+Z371*7+AA371*3.5+299.5</f>
        <v>3734</v>
      </c>
      <c r="AG373" s="339"/>
      <c r="AH373" s="339"/>
      <c r="AI373" s="340" t="n">
        <v>8</v>
      </c>
    </row>
    <row r="374" customFormat="false" ht="15" hidden="false" customHeight="true" outlineLevel="0" collapsed="false">
      <c r="B374" s="127" t="n">
        <f aca="false">B373+D374-C374</f>
        <v>0.300000000000182</v>
      </c>
      <c r="C374" s="127" t="n">
        <v>4085</v>
      </c>
      <c r="E374" s="212" t="s">
        <v>392</v>
      </c>
      <c r="F374" s="147" t="str">
        <f aca="false">IFERROR(VLOOKUP(H374,$AD$1:$AE$301,2,0),"")</f>
        <v/>
      </c>
      <c r="G374" s="147" t="str">
        <f aca="false">IFERROR(VLOOKUP(F374,$AE$2:$AF$290,2, 0),"")</f>
        <v/>
      </c>
      <c r="H374" s="212" t="s">
        <v>393</v>
      </c>
      <c r="I374" s="246" t="n">
        <f aca="false">SUM(K374:R374)</f>
        <v>0</v>
      </c>
      <c r="J374" s="182" t="n">
        <v>45565</v>
      </c>
      <c r="K374" s="184"/>
      <c r="L374" s="185"/>
      <c r="S374" s="192" t="n">
        <f aca="false">(K374+O374+Q374)*24 /1130+(L374+M374+P374+R374)*12/1130+(N374*30)/1130</f>
        <v>0</v>
      </c>
      <c r="U374" s="357" t="n">
        <f aca="false">(U373*1120)/24</f>
        <v>118</v>
      </c>
      <c r="V374" s="353" t="n">
        <f aca="false">(V373*1120)/12</f>
        <v>10.3333333333333</v>
      </c>
      <c r="W374" s="354"/>
      <c r="X374" s="355" t="n">
        <f aca="false">(W373*1120)/24</f>
        <v>-135.166666666667</v>
      </c>
      <c r="Y374" s="355"/>
      <c r="Z374" s="371" t="n">
        <f aca="false">(Z373*1120)/24</f>
        <v>16.5</v>
      </c>
      <c r="AA374" s="259" t="s">
        <v>636</v>
      </c>
      <c r="AB374" s="323"/>
      <c r="AC374" s="331" t="n">
        <v>105</v>
      </c>
      <c r="AE374" s="373"/>
      <c r="AF374" s="319"/>
      <c r="AG374" s="319"/>
      <c r="AH374" s="319"/>
      <c r="AI374" s="374"/>
    </row>
    <row r="375" customFormat="false" ht="15" hidden="false" customHeight="true" outlineLevel="0" collapsed="false">
      <c r="A375" s="128" t="n">
        <f aca="false">D375-264.5</f>
        <v>0</v>
      </c>
      <c r="B375" s="127" t="n">
        <f aca="false">B374+D375-C375</f>
        <v>264.8</v>
      </c>
      <c r="D375" s="146" t="n">
        <v>264.5</v>
      </c>
      <c r="E375" s="147" t="n">
        <v>294</v>
      </c>
      <c r="F375" s="147" t="n">
        <f aca="false">IFERROR(VLOOKUP(H375,$AD$1:$AE$301,2,0),"")</f>
        <v>1008277</v>
      </c>
      <c r="G375" s="147" t="str">
        <f aca="false">IFERROR(VLOOKUP(F375,$AE$2:$AF$290,2, 0),"")</f>
        <v>تبوك</v>
      </c>
      <c r="H375" s="212" t="s">
        <v>233</v>
      </c>
      <c r="I375" s="246" t="n">
        <f aca="false">SUM(K375:R375)</f>
        <v>1</v>
      </c>
      <c r="J375" s="182" t="n">
        <v>45568</v>
      </c>
      <c r="K375" s="184"/>
      <c r="L375" s="185"/>
      <c r="M375" s="150" t="n">
        <v>1</v>
      </c>
      <c r="S375" s="192" t="n">
        <f aca="false">(K375+O375+Q375)*24 /1130+(L375+M375+P375+R375)*12/1130+(N375*30)/1130</f>
        <v>0.0106194690265487</v>
      </c>
      <c r="U375" s="341" t="n">
        <f aca="false">U372/1.2</f>
        <v>3.10714285714286</v>
      </c>
      <c r="V375" s="342" t="n">
        <f aca="false">V372/0.5</f>
        <v>1.22142857142857</v>
      </c>
      <c r="W375" s="342" t="n">
        <f aca="false">X372/4</f>
        <v>0.275892857142857</v>
      </c>
      <c r="X375" s="342"/>
      <c r="Y375" s="342"/>
      <c r="Z375" s="343" t="n">
        <f aca="false">Z372/1.5</f>
        <v>1.23571428571429</v>
      </c>
      <c r="AA375" s="191" t="s">
        <v>40</v>
      </c>
      <c r="AB375" s="323"/>
      <c r="AC375" s="209" t="n">
        <f aca="false">AC374+AC373+AC372</f>
        <v>393</v>
      </c>
      <c r="AD375" s="128"/>
      <c r="AE375" s="312"/>
      <c r="AF375" s="312"/>
      <c r="AG375" s="312"/>
      <c r="AH375" s="312"/>
      <c r="AI375" s="313"/>
    </row>
    <row r="376" customFormat="false" ht="15" hidden="false" customHeight="true" outlineLevel="0" collapsed="false">
      <c r="B376" s="127" t="n">
        <f aca="false">B375+D376-C376</f>
        <v>420.05</v>
      </c>
      <c r="D376" s="146" t="n">
        <v>155.25</v>
      </c>
      <c r="E376" s="147" t="n">
        <v>292</v>
      </c>
      <c r="F376" s="147" t="n">
        <f aca="false">IFERROR(VLOOKUP(H376,$AD$1:$AE$301,2,0),"")</f>
        <v>560</v>
      </c>
      <c r="G376" s="147" t="str">
        <f aca="false">IFERROR(VLOOKUP(F376,$AE$2:$AF$290,2, 0),"")</f>
        <v>تبوك</v>
      </c>
      <c r="H376" s="212" t="s">
        <v>133</v>
      </c>
      <c r="I376" s="246" t="n">
        <f aca="false">SUM(K376:R376)</f>
        <v>1</v>
      </c>
      <c r="J376" s="182" t="n">
        <v>45568</v>
      </c>
      <c r="K376" s="184"/>
      <c r="L376" s="185"/>
      <c r="R376" s="155" t="n">
        <v>1</v>
      </c>
      <c r="S376" s="192" t="n">
        <f aca="false">(K376+O376+Q376)*24 /1130+(L376+M376+P376+R376)*12/1130+(N376*30)/1130</f>
        <v>0.0106194690265487</v>
      </c>
      <c r="T376" s="344" t="n">
        <v>156</v>
      </c>
      <c r="U376" s="344" t="n">
        <v>6</v>
      </c>
      <c r="V376" s="344" t="n">
        <v>80</v>
      </c>
      <c r="W376" s="282" t="n">
        <v>27</v>
      </c>
      <c r="X376" s="282" t="n">
        <v>9</v>
      </c>
      <c r="Y376" s="282" t="n">
        <v>1</v>
      </c>
      <c r="Z376" s="344" t="n">
        <v>48</v>
      </c>
      <c r="AA376" s="344" t="n">
        <v>46</v>
      </c>
      <c r="AB376" s="323"/>
      <c r="AC376" s="198" t="n">
        <v>373</v>
      </c>
      <c r="AD376" s="282" t="s">
        <v>642</v>
      </c>
      <c r="AE376" s="284" t="n">
        <v>6.64</v>
      </c>
      <c r="AF376" s="285" t="n">
        <v>56</v>
      </c>
      <c r="AG376" s="285"/>
      <c r="AH376" s="285"/>
      <c r="AI376" s="285" t="n">
        <v>18004.49</v>
      </c>
    </row>
    <row r="377" customFormat="false" ht="15" hidden="false" customHeight="true" outlineLevel="0" collapsed="false">
      <c r="B377" s="127" t="n">
        <f aca="false">B376+D377-C377</f>
        <v>684.55</v>
      </c>
      <c r="D377" s="146" t="n">
        <v>264.5</v>
      </c>
      <c r="E377" s="147" t="n">
        <v>293</v>
      </c>
      <c r="F377" s="147" t="n">
        <f aca="false">IFERROR(VLOOKUP(H377,$AD$1:$AE$301,2,0),"")</f>
        <v>549</v>
      </c>
      <c r="G377" s="147" t="str">
        <f aca="false">IFERROR(VLOOKUP(F377,$AE$2:$AF$290,2, 0),"")</f>
        <v>تبوك</v>
      </c>
      <c r="H377" s="212" t="s">
        <v>238</v>
      </c>
      <c r="I377" s="246" t="n">
        <f aca="false">SUM(K377:R377)</f>
        <v>1</v>
      </c>
      <c r="J377" s="182" t="n">
        <v>45568</v>
      </c>
      <c r="K377" s="184"/>
      <c r="L377" s="185"/>
      <c r="M377" s="150" t="n">
        <v>1</v>
      </c>
      <c r="S377" s="192" t="n">
        <f aca="false">(K377+O377+Q377)*24 /1130+(L377+M377+P377+R377)*12/1130+(N377*30)/1130</f>
        <v>0.0106194690265487</v>
      </c>
      <c r="U377" s="326" t="n">
        <f aca="false">(T376*24+U376*12)/1130</f>
        <v>3.37699115044248</v>
      </c>
      <c r="V377" s="327" t="n">
        <f aca="false">(V376*12)/1130</f>
        <v>0.849557522123894</v>
      </c>
      <c r="W377" s="328"/>
      <c r="X377" s="329" t="n">
        <f aca="false">(W376*30+X376*24+Y376*12)/1130</f>
        <v>0.91858407079646</v>
      </c>
      <c r="Y377" s="328"/>
      <c r="Z377" s="330" t="n">
        <f aca="false">(Z376*24+AA376*12)/1130</f>
        <v>1.50796460176991</v>
      </c>
      <c r="AA377" s="258" t="s">
        <v>635</v>
      </c>
      <c r="AB377" s="323"/>
      <c r="AC377" s="331" t="n">
        <v>105</v>
      </c>
      <c r="AD377" s="282" t="s">
        <v>630</v>
      </c>
      <c r="AE377" s="324" t="n">
        <f aca="false">1.2+0.5+4.5+1.58</f>
        <v>7.78</v>
      </c>
      <c r="AF377" s="370" t="n">
        <f aca="false">(AE376/AE377)</f>
        <v>0.853470437017995</v>
      </c>
      <c r="AG377" s="370"/>
      <c r="AH377" s="370"/>
      <c r="AI377" s="367"/>
    </row>
    <row r="378" customFormat="false" ht="15" hidden="false" customHeight="true" outlineLevel="0" collapsed="false">
      <c r="A378" s="128" t="n">
        <f aca="false">D378-264.5</f>
        <v>0</v>
      </c>
      <c r="B378" s="127" t="n">
        <f aca="false">B377+D378-C378</f>
        <v>949.05</v>
      </c>
      <c r="D378" s="146" t="n">
        <v>264.5</v>
      </c>
      <c r="E378" s="147" t="n">
        <v>291</v>
      </c>
      <c r="F378" s="147" t="n">
        <f aca="false">IFERROR(VLOOKUP(H378,$AD$1:$AE$301,2,0),"")</f>
        <v>545</v>
      </c>
      <c r="G378" s="147" t="str">
        <f aca="false">IFERROR(VLOOKUP(F378,$AE$2:$AF$290,2, 0),"")</f>
        <v>تبوك</v>
      </c>
      <c r="H378" s="212" t="s">
        <v>261</v>
      </c>
      <c r="I378" s="246" t="n">
        <f aca="false">SUM(K378:R378)</f>
        <v>1</v>
      </c>
      <c r="J378" s="182" t="n">
        <v>45568</v>
      </c>
      <c r="K378" s="184"/>
      <c r="L378" s="185"/>
      <c r="M378" s="150" t="n">
        <v>1</v>
      </c>
      <c r="S378" s="192" t="n">
        <f aca="false">(K378+O378+Q378)*24 /1130+(L378+M378+P378+R378)*12/1130+(N378*30)/1130</f>
        <v>0.0106194690265487</v>
      </c>
      <c r="U378" s="335" t="n">
        <f aca="false">(U377)-1.2</f>
        <v>2.17699115044248</v>
      </c>
      <c r="V378" s="336" t="n">
        <f aca="false">V377-0.5</f>
        <v>0.349557522123894</v>
      </c>
      <c r="W378" s="336" t="n">
        <f aca="false">(X377)-4.5</f>
        <v>-3.58141592920354</v>
      </c>
      <c r="X378" s="336"/>
      <c r="Y378" s="336"/>
      <c r="Z378" s="337" t="n">
        <f aca="false">Z377-1.58</f>
        <v>-0.0720353982300885</v>
      </c>
      <c r="AA378" s="259" t="s">
        <v>631</v>
      </c>
      <c r="AB378" s="323"/>
      <c r="AC378" s="331" t="n">
        <v>186</v>
      </c>
      <c r="AD378" s="282" t="s">
        <v>641</v>
      </c>
      <c r="AE378" s="332" t="n">
        <f aca="false">AE376-AE377</f>
        <v>-1.14</v>
      </c>
      <c r="AF378" s="339" t="n">
        <f aca="false">U376*6+T376*12+V376*13+Z376*7+AA376*3.5+264</f>
        <v>3709</v>
      </c>
      <c r="AG378" s="339"/>
      <c r="AH378" s="339"/>
      <c r="AI378" s="340" t="n">
        <v>9</v>
      </c>
    </row>
    <row r="379" customFormat="false" ht="15" hidden="false" customHeight="true" outlineLevel="0" collapsed="false">
      <c r="B379" s="127" t="n">
        <f aca="false">B378+D379-C379</f>
        <v>704.55</v>
      </c>
      <c r="C379" s="127" t="n">
        <v>244.5</v>
      </c>
      <c r="E379" s="212" t="s">
        <v>470</v>
      </c>
      <c r="F379" s="147" t="str">
        <f aca="false">IFERROR(VLOOKUP(H379,$AD$1:$AE$301,2,0),"")</f>
        <v/>
      </c>
      <c r="G379" s="147" t="str">
        <f aca="false">IFERROR(VLOOKUP(F379,$AE$2:$AF$290,2, 0),"")</f>
        <v/>
      </c>
      <c r="H379" s="212" t="s">
        <v>393</v>
      </c>
      <c r="I379" s="246" t="n">
        <f aca="false">SUM(K379:R379)</f>
        <v>0</v>
      </c>
      <c r="J379" s="182" t="n">
        <v>45570</v>
      </c>
      <c r="K379" s="184"/>
      <c r="L379" s="185"/>
      <c r="S379" s="192" t="n">
        <f aca="false">(K379+O379+Q379)*24 /1130+(L379+M379+P379+R379)*12/1130+(N379*30)/1130</f>
        <v>0</v>
      </c>
      <c r="U379" s="357" t="n">
        <f aca="false">(U378*1120)/24</f>
        <v>101.592920353982</v>
      </c>
      <c r="V379" s="353" t="n">
        <f aca="false">(V378*1120)/12</f>
        <v>32.6253687315634</v>
      </c>
      <c r="W379" s="354"/>
      <c r="X379" s="355" t="n">
        <f aca="false">(W378*1120)/24</f>
        <v>-167.132743362832</v>
      </c>
      <c r="Y379" s="355"/>
      <c r="Z379" s="356" t="n">
        <f aca="false">(Z378*1120)/24</f>
        <v>-3.36165191740413</v>
      </c>
      <c r="AA379" s="259" t="s">
        <v>636</v>
      </c>
      <c r="AB379" s="323"/>
      <c r="AC379" s="331" t="n">
        <v>82</v>
      </c>
      <c r="AE379" s="373"/>
      <c r="AF379" s="312"/>
      <c r="AG379" s="312"/>
      <c r="AH379" s="312"/>
      <c r="AI379" s="313"/>
    </row>
    <row r="380" customFormat="false" ht="15" hidden="false" customHeight="true" outlineLevel="0" collapsed="false">
      <c r="B380" s="127" t="n">
        <f aca="false">B379+D380-C380</f>
        <v>0</v>
      </c>
      <c r="C380" s="127" t="n">
        <v>705</v>
      </c>
      <c r="D380" s="146" t="n">
        <v>0.45</v>
      </c>
      <c r="E380" s="212" t="s">
        <v>392</v>
      </c>
      <c r="F380" s="147" t="str">
        <f aca="false">IFERROR(VLOOKUP(H380,$AD$1:$AE$301,2,0),"")</f>
        <v/>
      </c>
      <c r="G380" s="147" t="str">
        <f aca="false">IFERROR(VLOOKUP(F380,$AE$2:$AF$290,2, 0),"")</f>
        <v/>
      </c>
      <c r="H380" s="212" t="s">
        <v>393</v>
      </c>
      <c r="I380" s="246" t="n">
        <f aca="false">SUM(K380:R380)</f>
        <v>0</v>
      </c>
      <c r="J380" s="182" t="n">
        <v>45570</v>
      </c>
      <c r="K380" s="184"/>
      <c r="L380" s="185"/>
      <c r="S380" s="192" t="n">
        <f aca="false">(K380+O380+Q380)*24 /1130+(L380+M380+P380+R380)*12/1130+(N380*30)/1130</f>
        <v>0</v>
      </c>
      <c r="U380" s="341" t="n">
        <f aca="false">U377/1.2</f>
        <v>2.8141592920354</v>
      </c>
      <c r="V380" s="342" t="n">
        <f aca="false">V377/0.5</f>
        <v>1.69911504424779</v>
      </c>
      <c r="W380" s="342" t="n">
        <f aca="false">X377/4</f>
        <v>0.229646017699115</v>
      </c>
      <c r="X380" s="342"/>
      <c r="Y380" s="342"/>
      <c r="Z380" s="343" t="n">
        <f aca="false">Z377/1.5</f>
        <v>1.00530973451327</v>
      </c>
      <c r="AA380" s="191" t="s">
        <v>40</v>
      </c>
      <c r="AB380" s="323"/>
      <c r="AC380" s="209" t="n">
        <f aca="false">AC379+AC378+AC377</f>
        <v>373</v>
      </c>
      <c r="AD380" s="128"/>
      <c r="AE380" s="312"/>
      <c r="AF380" s="312"/>
      <c r="AG380" s="312"/>
      <c r="AH380" s="312"/>
      <c r="AI380" s="313"/>
    </row>
    <row r="381" customFormat="false" ht="15" hidden="false" customHeight="true" outlineLevel="0" collapsed="false">
      <c r="B381" s="127" t="n">
        <f aca="false">B380+D381-C381</f>
        <v>690</v>
      </c>
      <c r="D381" s="146" t="n">
        <f aca="false">2*345</f>
        <v>690</v>
      </c>
      <c r="E381" s="147" t="n">
        <v>295</v>
      </c>
      <c r="F381" s="147" t="n">
        <f aca="false">IFERROR(VLOOKUP(H381,$AD$1:$AE$301,2,0),"")</f>
        <v>539</v>
      </c>
      <c r="G381" s="147" t="str">
        <f aca="false">IFERROR(VLOOKUP(F381,$AE$2:$AF$290,2, 0),"")</f>
        <v>تبوك</v>
      </c>
      <c r="H381" s="212" t="s">
        <v>237</v>
      </c>
      <c r="I381" s="246" t="n">
        <f aca="false">SUM(K381:R381)</f>
        <v>2</v>
      </c>
      <c r="J381" s="182" t="n">
        <v>45571</v>
      </c>
      <c r="K381" s="184"/>
      <c r="L381" s="185"/>
      <c r="M381" s="150" t="n">
        <v>2</v>
      </c>
      <c r="S381" s="192" t="n">
        <f aca="false">(K381+O381+Q381)*24 /1130+(L381+M381+P381+R381)*12/1130+(N381*30)/1130</f>
        <v>0.0212389380530973</v>
      </c>
      <c r="T381" s="344" t="n">
        <v>165</v>
      </c>
      <c r="U381" s="344" t="n">
        <v>6</v>
      </c>
      <c r="V381" s="344" t="n">
        <v>62</v>
      </c>
      <c r="W381" s="282" t="n">
        <v>30</v>
      </c>
      <c r="X381" s="282" t="n">
        <v>15</v>
      </c>
      <c r="Y381" s="282" t="n">
        <v>0</v>
      </c>
      <c r="Z381" s="344" t="n">
        <v>41</v>
      </c>
      <c r="AA381" s="344" t="n">
        <v>41</v>
      </c>
      <c r="AB381" s="323"/>
      <c r="AC381" s="198" t="n">
        <v>360</v>
      </c>
      <c r="AD381" s="282" t="s">
        <v>643</v>
      </c>
      <c r="AE381" s="284" t="n">
        <v>6.64778761061947</v>
      </c>
      <c r="AF381" s="285" t="n">
        <v>0</v>
      </c>
      <c r="AG381" s="285"/>
      <c r="AH381" s="285"/>
      <c r="AI381" s="285" t="n">
        <v>24056.24</v>
      </c>
    </row>
    <row r="382" customFormat="false" ht="15" hidden="false" customHeight="true" outlineLevel="0" collapsed="false">
      <c r="B382" s="127" t="n">
        <f aca="false">B381+D382-C382</f>
        <v>0</v>
      </c>
      <c r="C382" s="127" t="n">
        <f aca="false">D381</f>
        <v>690</v>
      </c>
      <c r="E382" s="212" t="s">
        <v>470</v>
      </c>
      <c r="F382" s="147" t="str">
        <f aca="false">IFERROR(VLOOKUP(H382,$AD$1:$AE$301,2,0),"")</f>
        <v/>
      </c>
      <c r="G382" s="147" t="str">
        <f aca="false">IFERROR(VLOOKUP(F382,$AE$2:$AF$290,2, 0),"")</f>
        <v/>
      </c>
      <c r="H382" s="212" t="s">
        <v>393</v>
      </c>
      <c r="I382" s="246" t="n">
        <f aca="false">SUM(K382:R382)</f>
        <v>0</v>
      </c>
      <c r="J382" s="182" t="n">
        <v>45571</v>
      </c>
      <c r="K382" s="184"/>
      <c r="L382" s="185"/>
      <c r="S382" s="192" t="n">
        <f aca="false">(K382+O382+Q382)*24 /1130+(L382+M382+P382+R382)*12/1130+(N382*30)/1130</f>
        <v>0</v>
      </c>
      <c r="U382" s="326" t="n">
        <f aca="false">(T381*24+U381*12)/1130</f>
        <v>3.56814159292035</v>
      </c>
      <c r="V382" s="327" t="n">
        <f aca="false">(V381*12)/1130</f>
        <v>0.658407079646018</v>
      </c>
      <c r="W382" s="328"/>
      <c r="X382" s="329" t="n">
        <f aca="false">(W381*30+X381*24+Y381*12)/1130</f>
        <v>1.11504424778761</v>
      </c>
      <c r="Y382" s="328"/>
      <c r="Z382" s="330" t="n">
        <f aca="false">(Z381*24+AA381*12)/1130</f>
        <v>1.30619469026549</v>
      </c>
      <c r="AA382" s="258" t="s">
        <v>635</v>
      </c>
      <c r="AB382" s="375"/>
      <c r="AC382" s="331" t="n">
        <v>100</v>
      </c>
      <c r="AD382" s="282" t="s">
        <v>630</v>
      </c>
      <c r="AE382" s="324" t="n">
        <f aca="false">1.2+0.5+4.5+1.5</f>
        <v>7.7</v>
      </c>
      <c r="AF382" s="370" t="n">
        <f aca="false">(AE381/AE382)</f>
        <v>0.863349040340191</v>
      </c>
      <c r="AG382" s="370"/>
      <c r="AH382" s="370"/>
      <c r="AI382" s="367"/>
    </row>
    <row r="383" customFormat="false" ht="15" hidden="false" customHeight="true" outlineLevel="0" collapsed="false">
      <c r="B383" s="127" t="n">
        <f aca="false">B382+D383-C383</f>
        <v>402.5</v>
      </c>
      <c r="D383" s="146" t="n">
        <f aca="false">264.5+138</f>
        <v>402.5</v>
      </c>
      <c r="E383" s="147" t="n">
        <v>297</v>
      </c>
      <c r="F383" s="147" t="n">
        <f aca="false">IFERROR(VLOOKUP(H383,$AD$1:$AE$301,2,0),"")</f>
        <v>1002940</v>
      </c>
      <c r="G383" s="147" t="str">
        <f aca="false">IFERROR(VLOOKUP(F383,$AE$2:$AF$290,2, 0),"")</f>
        <v>تبوك</v>
      </c>
      <c r="H383" s="212" t="s">
        <v>167</v>
      </c>
      <c r="I383" s="246" t="n">
        <f aca="false">SUM(K383:R383)</f>
        <v>2</v>
      </c>
      <c r="J383" s="182" t="n">
        <v>45572</v>
      </c>
      <c r="K383" s="184"/>
      <c r="L383" s="185"/>
      <c r="M383" s="150" t="n">
        <v>1</v>
      </c>
      <c r="Q383" s="154" t="n">
        <v>1</v>
      </c>
      <c r="S383" s="192" t="n">
        <f aca="false">(K383+O383+Q383)*24 /1130+(L383+M383+P383+R383)*12/1130+(N383*30)/1130</f>
        <v>0.031858407079646</v>
      </c>
      <c r="U383" s="335" t="n">
        <f aca="false">(U382)-1.2</f>
        <v>2.36814159292035</v>
      </c>
      <c r="V383" s="336" t="n">
        <f aca="false">V382-0.5</f>
        <v>0.158407079646018</v>
      </c>
      <c r="W383" s="336" t="n">
        <f aca="false">(X382)-4.5</f>
        <v>-3.38495575221239</v>
      </c>
      <c r="X383" s="336"/>
      <c r="Y383" s="336"/>
      <c r="Z383" s="337" t="n">
        <f aca="false">Z382-1.5</f>
        <v>-0.193805309734513</v>
      </c>
      <c r="AA383" s="259" t="s">
        <v>631</v>
      </c>
      <c r="AB383" s="376"/>
      <c r="AC383" s="331" t="n">
        <v>173</v>
      </c>
      <c r="AD383" s="282" t="s">
        <v>641</v>
      </c>
      <c r="AE383" s="332" t="n">
        <f aca="false">AE381-AE382</f>
        <v>-1.05221238938053</v>
      </c>
      <c r="AF383" s="377" t="n">
        <f aca="false">U381*6+T381*12+V381*16+Z381*5+AA381*2.5-233.5</f>
        <v>3082</v>
      </c>
      <c r="AG383" s="339"/>
      <c r="AH383" s="339"/>
      <c r="AI383" s="340" t="n">
        <v>10</v>
      </c>
    </row>
    <row r="384" customFormat="false" ht="15" hidden="false" customHeight="true" outlineLevel="0" collapsed="false">
      <c r="A384" s="128" t="n">
        <f aca="false">D384-155</f>
        <v>0.25</v>
      </c>
      <c r="B384" s="127" t="n">
        <f aca="false">B383+D384-C384</f>
        <v>557.75</v>
      </c>
      <c r="D384" s="146" t="n">
        <v>155.25</v>
      </c>
      <c r="E384" s="147" t="n">
        <v>296</v>
      </c>
      <c r="F384" s="147" t="n">
        <f aca="false">IFERROR(VLOOKUP(H384,$AD$1:$AE$301,2,0),"")</f>
        <v>1008270</v>
      </c>
      <c r="G384" s="147" t="str">
        <f aca="false">IFERROR(VLOOKUP(F384,$AE$2:$AF$290,2, 0),"")</f>
        <v>تبوك</v>
      </c>
      <c r="H384" s="212" t="s">
        <v>236</v>
      </c>
      <c r="I384" s="246" t="n">
        <f aca="false">SUM(K384:R384)</f>
        <v>1</v>
      </c>
      <c r="J384" s="182" t="n">
        <v>45572</v>
      </c>
      <c r="K384" s="184"/>
      <c r="L384" s="185"/>
      <c r="R384" s="155" t="n">
        <v>1</v>
      </c>
      <c r="S384" s="192" t="n">
        <f aca="false">(K384+O384+Q384)*24 /1130+(L384+M384+P384+R384)*12/1130+(N384*30)/1130</f>
        <v>0.0106194690265487</v>
      </c>
      <c r="U384" s="357" t="n">
        <f aca="false">(U383*1120)/24</f>
        <v>110.513274336283</v>
      </c>
      <c r="V384" s="353" t="n">
        <f aca="false">(V383*1120)/12</f>
        <v>14.7846607669617</v>
      </c>
      <c r="W384" s="354"/>
      <c r="X384" s="355" t="n">
        <f aca="false">(W383*1120)/24</f>
        <v>-157.964601769912</v>
      </c>
      <c r="Y384" s="355"/>
      <c r="Z384" s="356" t="n">
        <f aca="false">(Z383*1120)/24</f>
        <v>-9.04424778761062</v>
      </c>
      <c r="AA384" s="259" t="s">
        <v>636</v>
      </c>
      <c r="AB384" s="376"/>
      <c r="AC384" s="331" t="n">
        <v>87</v>
      </c>
      <c r="AE384" s="373"/>
      <c r="AF384" s="319"/>
      <c r="AG384" s="311"/>
      <c r="AH384" s="311"/>
      <c r="AI384" s="374"/>
    </row>
    <row r="385" customFormat="false" ht="15" hidden="false" customHeight="true" outlineLevel="0" collapsed="false">
      <c r="B385" s="127" t="n">
        <f aca="false">B384+D385-C385</f>
        <v>0.25</v>
      </c>
      <c r="C385" s="127" t="n">
        <f aca="false">D383+155</f>
        <v>557.5</v>
      </c>
      <c r="D385" s="280"/>
      <c r="E385" s="212" t="s">
        <v>470</v>
      </c>
      <c r="F385" s="147" t="str">
        <f aca="false">IFERROR(VLOOKUP(H385,$AD$1:$AE$301,2,0),"")</f>
        <v/>
      </c>
      <c r="G385" s="147" t="str">
        <f aca="false">IFERROR(VLOOKUP(F385,$AE$2:$AF$290,2, 0),"")</f>
        <v/>
      </c>
      <c r="H385" s="212" t="s">
        <v>393</v>
      </c>
      <c r="I385" s="246" t="n">
        <f aca="false">SUM(K385:R385)</f>
        <v>0</v>
      </c>
      <c r="J385" s="182" t="n">
        <v>45572</v>
      </c>
      <c r="K385" s="184"/>
      <c r="L385" s="185"/>
      <c r="S385" s="192" t="n">
        <f aca="false">(K385+O385+Q385)*24 /1130+(L385+M385+P385+R385)*12/1130+(N385*30)/1130</f>
        <v>0</v>
      </c>
      <c r="U385" s="341" t="n">
        <f aca="false">U382/1.2</f>
        <v>2.97345132743363</v>
      </c>
      <c r="V385" s="342" t="n">
        <f aca="false">V382/0.5</f>
        <v>1.31681415929204</v>
      </c>
      <c r="W385" s="342" t="n">
        <f aca="false">X382/4</f>
        <v>0.278761061946903</v>
      </c>
      <c r="X385" s="342"/>
      <c r="Y385" s="342"/>
      <c r="Z385" s="343" t="n">
        <f aca="false">Z382/1.5</f>
        <v>0.870796460176991</v>
      </c>
      <c r="AA385" s="191" t="s">
        <v>40</v>
      </c>
      <c r="AB385" s="323"/>
      <c r="AC385" s="209" t="n">
        <f aca="false">AC384+AC383+AC382</f>
        <v>360</v>
      </c>
      <c r="AD385" s="128"/>
      <c r="AE385" s="312"/>
      <c r="AF385" s="312"/>
      <c r="AG385" s="312"/>
      <c r="AH385" s="312"/>
      <c r="AI385" s="313"/>
    </row>
    <row r="386" customFormat="false" ht="15" hidden="false" customHeight="true" outlineLevel="0" collapsed="false">
      <c r="A386" s="128" t="n">
        <f aca="false">D386-1200-65</f>
        <v>0</v>
      </c>
      <c r="B386" s="127" t="n">
        <f aca="false">B385+D386-C386</f>
        <v>1265.25</v>
      </c>
      <c r="D386" s="146" t="n">
        <f aca="false">2*258.75+316.25+2*138+155.25</f>
        <v>1265</v>
      </c>
      <c r="E386" s="147" t="n">
        <v>298</v>
      </c>
      <c r="F386" s="147" t="n">
        <f aca="false">IFERROR(VLOOKUP(H386,$AD$1:$AE$301,2,0),"")</f>
        <v>1008273</v>
      </c>
      <c r="G386" s="147" t="str">
        <f aca="false">IFERROR(VLOOKUP(F386,$AE$2:$AF$290,2, 0),"")</f>
        <v>تبوك</v>
      </c>
      <c r="H386" s="212" t="s">
        <v>144</v>
      </c>
      <c r="I386" s="246" t="n">
        <f aca="false">SUM(K386:R386)</f>
        <v>6</v>
      </c>
      <c r="J386" s="182" t="n">
        <v>45573</v>
      </c>
      <c r="K386" s="184"/>
      <c r="L386" s="185"/>
      <c r="N386" s="363" t="n">
        <v>1</v>
      </c>
      <c r="O386" s="364" t="n">
        <v>2</v>
      </c>
      <c r="Q386" s="154" t="n">
        <v>2</v>
      </c>
      <c r="R386" s="155" t="n">
        <v>1</v>
      </c>
      <c r="S386" s="192" t="n">
        <f aca="false">(K386+O386+Q386)*24 /1130+(L386+M386+P386+R386)*12/1130+(N386*30)/1130</f>
        <v>0.12212389380531</v>
      </c>
      <c r="T386" s="344" t="n">
        <v>192</v>
      </c>
      <c r="U386" s="344" t="n">
        <v>4</v>
      </c>
      <c r="V386" s="344" t="n">
        <v>101</v>
      </c>
      <c r="W386" s="282" t="n">
        <v>39</v>
      </c>
      <c r="X386" s="282" t="n">
        <v>8</v>
      </c>
      <c r="Y386" s="282" t="n">
        <v>0</v>
      </c>
      <c r="Z386" s="344" t="n">
        <v>43</v>
      </c>
      <c r="AA386" s="344" t="n">
        <v>50</v>
      </c>
      <c r="AB386" s="323"/>
      <c r="AC386" s="198" t="n">
        <v>437</v>
      </c>
      <c r="AD386" s="282" t="s">
        <v>55</v>
      </c>
      <c r="AE386" s="284" t="n">
        <v>7.84247787610619</v>
      </c>
      <c r="AF386" s="285" t="n">
        <v>0</v>
      </c>
      <c r="AG386" s="285"/>
      <c r="AH386" s="285"/>
      <c r="AI386" s="285" t="n">
        <v>20915.99</v>
      </c>
    </row>
    <row r="387" customFormat="false" ht="15" hidden="false" customHeight="true" outlineLevel="0" collapsed="false">
      <c r="A387" s="128" t="n">
        <f aca="false">D387</f>
        <v>0</v>
      </c>
      <c r="B387" s="127" t="n">
        <f aca="false">B386+D387-C387</f>
        <v>0.75</v>
      </c>
      <c r="C387" s="127" t="n">
        <f aca="false">D375+1000</f>
        <v>1264.5</v>
      </c>
      <c r="D387" s="280"/>
      <c r="E387" s="212" t="s">
        <v>470</v>
      </c>
      <c r="F387" s="147" t="str">
        <f aca="false">IFERROR(VLOOKUP(H387,$AD$1:$AE$301,2,0),"")</f>
        <v/>
      </c>
      <c r="G387" s="147" t="str">
        <f aca="false">IFERROR(VLOOKUP(F387,$AE$2:$AF$290,2, 0),"")</f>
        <v/>
      </c>
      <c r="H387" s="212" t="s">
        <v>393</v>
      </c>
      <c r="I387" s="246" t="n">
        <f aca="false">SUM(K387:R387)</f>
        <v>0</v>
      </c>
      <c r="J387" s="182" t="n">
        <v>45573</v>
      </c>
      <c r="K387" s="184"/>
      <c r="L387" s="185"/>
      <c r="S387" s="192" t="n">
        <f aca="false">(K387+O387+Q387)*24 /1130+(L387+M387+P387+R387)*12/1130+(N387*30)/1130</f>
        <v>0</v>
      </c>
      <c r="U387" s="326" t="n">
        <f aca="false">(T386*24+U386*12)/1130</f>
        <v>4.12035398230089</v>
      </c>
      <c r="V387" s="327" t="n">
        <f aca="false">(V386*12)/1130</f>
        <v>1.07256637168142</v>
      </c>
      <c r="W387" s="328"/>
      <c r="X387" s="329" t="n">
        <f aca="false">(W386*30+X386*24+Y386*12)/1130</f>
        <v>1.20530973451327</v>
      </c>
      <c r="Y387" s="328"/>
      <c r="Z387" s="330" t="n">
        <f aca="false">(Z386*24+AA386*12)/1130</f>
        <v>1.44424778761062</v>
      </c>
      <c r="AA387" s="258" t="s">
        <v>635</v>
      </c>
      <c r="AB387" s="375"/>
      <c r="AC387" s="331" t="n">
        <v>57</v>
      </c>
      <c r="AD387" s="282" t="s">
        <v>630</v>
      </c>
      <c r="AE387" s="324" t="n">
        <f aca="false">1.2+0.5+4.5+1.58</f>
        <v>7.78</v>
      </c>
      <c r="AF387" s="370" t="n">
        <f aca="false">(AE386/AE387)</f>
        <v>1.00803057533499</v>
      </c>
      <c r="AG387" s="370"/>
      <c r="AH387" s="370"/>
      <c r="AI387" s="367"/>
    </row>
    <row r="388" customFormat="false" ht="15" hidden="false" customHeight="true" outlineLevel="0" collapsed="false">
      <c r="B388" s="127" t="n">
        <f aca="false">B387+D388-C388</f>
        <v>3450.75</v>
      </c>
      <c r="D388" s="146" t="n">
        <f aca="false">10*345</f>
        <v>3450</v>
      </c>
      <c r="E388" s="147" t="n">
        <v>299</v>
      </c>
      <c r="F388" s="147" t="n">
        <f aca="false">IFERROR(VLOOKUP(H388,$AD$1:$AE$301,2,0),"")</f>
        <v>1008023</v>
      </c>
      <c r="G388" s="147" t="str">
        <f aca="false">IFERROR(VLOOKUP(F388,$AE$2:$AF$290,2, 0),"")</f>
        <v>ضباء</v>
      </c>
      <c r="H388" s="212" t="s">
        <v>95</v>
      </c>
      <c r="I388" s="246" t="n">
        <f aca="false">SUM(K388:R388)</f>
        <v>10</v>
      </c>
      <c r="J388" s="182" t="n">
        <v>45574</v>
      </c>
      <c r="K388" s="184"/>
      <c r="L388" s="185"/>
      <c r="M388" s="150" t="n">
        <v>10</v>
      </c>
      <c r="S388" s="192" t="n">
        <f aca="false">(K388+O388+Q388)*24 /1130+(L388+M388+P388+R388)*12/1130+(N388*30)/1130</f>
        <v>0.106194690265487</v>
      </c>
      <c r="U388" s="335" t="n">
        <f aca="false">(U387)-1.2</f>
        <v>2.92035398230088</v>
      </c>
      <c r="V388" s="336" t="n">
        <f aca="false">V387-0.5</f>
        <v>0.572566371681416</v>
      </c>
      <c r="W388" s="336" t="n">
        <f aca="false">(X387)-4.5</f>
        <v>-3.29469026548673</v>
      </c>
      <c r="X388" s="336"/>
      <c r="Y388" s="336"/>
      <c r="Z388" s="337" t="n">
        <f aca="false">Z387-1.58</f>
        <v>-0.135752212389381</v>
      </c>
      <c r="AA388" s="259" t="s">
        <v>631</v>
      </c>
      <c r="AB388" s="376"/>
      <c r="AC388" s="331" t="n">
        <v>126</v>
      </c>
      <c r="AD388" s="282" t="s">
        <v>641</v>
      </c>
      <c r="AE388" s="332" t="n">
        <f aca="false">AE386-AE387</f>
        <v>0.0624778761061897</v>
      </c>
      <c r="AF388" s="339" t="n">
        <f aca="false">U386*6+T386*12+V386*16+Z386*2+AA386*1+1634</f>
        <v>5714</v>
      </c>
      <c r="AG388" s="339"/>
      <c r="AH388" s="339"/>
      <c r="AI388" s="340" t="n">
        <v>11</v>
      </c>
    </row>
    <row r="389" customFormat="false" ht="15" hidden="false" customHeight="true" outlineLevel="0" collapsed="false">
      <c r="B389" s="127" t="n">
        <f aca="false">B388+D389-C389</f>
        <v>3778.5</v>
      </c>
      <c r="D389" s="146" t="n">
        <v>327.75</v>
      </c>
      <c r="E389" s="147" t="n">
        <v>300</v>
      </c>
      <c r="F389" s="147" t="n">
        <f aca="false">IFERROR(VLOOKUP(H389,$AD$1:$AE$301,2,0),"")</f>
        <v>1008032</v>
      </c>
      <c r="G389" s="147" t="str">
        <f aca="false">IFERROR(VLOOKUP(F389,$AE$2:$AF$290,2, 0),"")</f>
        <v>ضباء</v>
      </c>
      <c r="H389" s="212" t="s">
        <v>101</v>
      </c>
      <c r="I389" s="246" t="n">
        <f aca="false">SUM(K389:R389)</f>
        <v>1</v>
      </c>
      <c r="J389" s="182" t="n">
        <v>45574</v>
      </c>
      <c r="K389" s="184" t="n">
        <v>1</v>
      </c>
      <c r="L389" s="185"/>
      <c r="S389" s="192" t="n">
        <f aca="false">(K389+O389+Q389)*24 /1130+(L389+M389+P389+R389)*12/1130+(N389*30)/1130</f>
        <v>0.0212389380530973</v>
      </c>
      <c r="U389" s="357" t="n">
        <f aca="false">(U388*1120)/24</f>
        <v>136.283185840708</v>
      </c>
      <c r="V389" s="353" t="n">
        <f aca="false">(V388*1120)/12</f>
        <v>53.4395280235988</v>
      </c>
      <c r="W389" s="354"/>
      <c r="X389" s="355" t="n">
        <f aca="false">(W388*1120)/24</f>
        <v>-153.752212389381</v>
      </c>
      <c r="Y389" s="355"/>
      <c r="Z389" s="356" t="n">
        <f aca="false">(Z388*1120)/24</f>
        <v>-6.33510324483776</v>
      </c>
      <c r="AA389" s="259" t="s">
        <v>636</v>
      </c>
      <c r="AB389" s="376"/>
      <c r="AC389" s="331" t="n">
        <v>69</v>
      </c>
      <c r="AD389" s="378" t="n">
        <f aca="false">AC389+AC388+AC387</f>
        <v>252</v>
      </c>
      <c r="AE389" s="373"/>
      <c r="AF389" s="319"/>
      <c r="AG389" s="311"/>
      <c r="AH389" s="311"/>
      <c r="AI389" s="374"/>
    </row>
    <row r="390" customFormat="false" ht="15" hidden="false" customHeight="true" outlineLevel="0" collapsed="false">
      <c r="B390" s="127" t="n">
        <f aca="false">B389+D390-C390</f>
        <v>-52</v>
      </c>
      <c r="C390" s="127" t="n">
        <f aca="false">691+D394+D427</f>
        <v>3830.5</v>
      </c>
      <c r="E390" s="212" t="s">
        <v>470</v>
      </c>
      <c r="F390" s="147" t="str">
        <f aca="false">IFERROR(VLOOKUP(H390,$AD$1:$AE$301,2,0),"")</f>
        <v/>
      </c>
      <c r="G390" s="147" t="str">
        <f aca="false">IFERROR(VLOOKUP(F390,$AE$2:$AF$290,2, 0),"")</f>
        <v/>
      </c>
      <c r="H390" s="212" t="s">
        <v>393</v>
      </c>
      <c r="I390" s="246" t="n">
        <f aca="false">SUM(K390:R390)</f>
        <v>0</v>
      </c>
      <c r="J390" s="182" t="n">
        <v>45574</v>
      </c>
      <c r="K390" s="184"/>
      <c r="L390" s="185"/>
      <c r="S390" s="192" t="n">
        <f aca="false">(K390+O390+Q390)*24 /1130+(L390+M390+P390+R390)*12/1130+(N390*30)/1130</f>
        <v>0</v>
      </c>
      <c r="U390" s="341" t="n">
        <f aca="false">U387/1.2</f>
        <v>3.43362831858407</v>
      </c>
      <c r="V390" s="342" t="n">
        <f aca="false">V387/0.5</f>
        <v>2.14513274336283</v>
      </c>
      <c r="W390" s="342" t="n">
        <f aca="false">X387/4</f>
        <v>0.301327433628319</v>
      </c>
      <c r="X390" s="342"/>
      <c r="Y390" s="342"/>
      <c r="Z390" s="343" t="n">
        <f aca="false">Z387/1.5</f>
        <v>0.96283185840708</v>
      </c>
      <c r="AA390" s="379" t="s">
        <v>644</v>
      </c>
      <c r="AB390" s="323"/>
      <c r="AC390" s="209" t="n">
        <v>185</v>
      </c>
      <c r="AD390" s="128"/>
      <c r="AE390" s="312"/>
      <c r="AF390" s="312"/>
      <c r="AG390" s="312"/>
      <c r="AH390" s="312"/>
      <c r="AI390" s="313"/>
    </row>
    <row r="391" customFormat="false" ht="15" hidden="false" customHeight="true" outlineLevel="0" collapsed="false">
      <c r="B391" s="127" t="n">
        <f aca="false">B390+D391-C391</f>
        <v>275.75</v>
      </c>
      <c r="D391" s="146" t="n">
        <v>327.75</v>
      </c>
      <c r="E391" s="147" t="n">
        <v>301</v>
      </c>
      <c r="F391" s="147" t="n">
        <f aca="false">IFERROR(VLOOKUP(H391,$AD$1:$AE$301,2,0),"")</f>
        <v>1008049</v>
      </c>
      <c r="G391" s="147" t="str">
        <f aca="false">IFERROR(VLOOKUP(F391,$AE$2:$AF$290,2, 0),"")</f>
        <v>الوجه</v>
      </c>
      <c r="H391" s="212" t="s">
        <v>111</v>
      </c>
      <c r="I391" s="246" t="n">
        <f aca="false">SUM(K391:R391)</f>
        <v>1</v>
      </c>
      <c r="J391" s="182" t="n">
        <v>45574</v>
      </c>
      <c r="K391" s="184" t="n">
        <v>1</v>
      </c>
      <c r="L391" s="185"/>
      <c r="S391" s="192" t="n">
        <f aca="false">(K391+O391+Q391)*24 /1130+(L391+M391+P391+R391)*12/1130+(N391*30)/1130</f>
        <v>0.0212389380530973</v>
      </c>
      <c r="T391" s="344" t="n">
        <v>183</v>
      </c>
      <c r="U391" s="344" t="n">
        <v>8</v>
      </c>
      <c r="V391" s="344" t="n">
        <v>151</v>
      </c>
      <c r="W391" s="282" t="n">
        <v>22</v>
      </c>
      <c r="X391" s="282" t="n">
        <v>9</v>
      </c>
      <c r="Y391" s="282" t="n">
        <v>0</v>
      </c>
      <c r="Z391" s="344" t="n">
        <v>38</v>
      </c>
      <c r="AA391" s="344" t="n">
        <v>79</v>
      </c>
      <c r="AB391" s="283" t="n">
        <v>7.99646017699115</v>
      </c>
      <c r="AC391" s="198" t="n">
        <v>490</v>
      </c>
      <c r="AD391" s="282" t="s">
        <v>56</v>
      </c>
      <c r="AE391" s="284" t="n">
        <v>7.99646017699115</v>
      </c>
      <c r="AF391" s="285" t="n">
        <v>0</v>
      </c>
      <c r="AG391" s="285"/>
      <c r="AH391" s="285"/>
      <c r="AI391" s="285" t="n">
        <v>18395.24</v>
      </c>
    </row>
    <row r="392" customFormat="false" ht="15" hidden="false" customHeight="true" outlineLevel="0" collapsed="false">
      <c r="B392" s="127" t="n">
        <f aca="false">B391+D392-C392</f>
        <v>1770.75</v>
      </c>
      <c r="D392" s="146" t="n">
        <f aca="false">1495</f>
        <v>1495</v>
      </c>
      <c r="E392" s="147" t="n">
        <v>305</v>
      </c>
      <c r="F392" s="147" t="n">
        <f aca="false">IFERROR(VLOOKUP(H392,$AD$1:$AE$301,2,0),"")</f>
        <v>1008024</v>
      </c>
      <c r="G392" s="147" t="str">
        <f aca="false">IFERROR(VLOOKUP(F392,$AE$2:$AF$290,2, 0),"")</f>
        <v>ضباء</v>
      </c>
      <c r="H392" s="212" t="s">
        <v>96</v>
      </c>
      <c r="I392" s="246" t="n">
        <f aca="false">SUM(K392:R392)</f>
        <v>6</v>
      </c>
      <c r="J392" s="182" t="n">
        <v>45574</v>
      </c>
      <c r="K392" s="184"/>
      <c r="L392" s="185"/>
      <c r="M392" s="150" t="n">
        <f aca="false">4+2</f>
        <v>6</v>
      </c>
      <c r="S392" s="192" t="n">
        <f aca="false">(K392+O392+Q392)*24 /1130+(L392+M392+P392+R392)*12/1130+(N392*30)/1130</f>
        <v>0.063716814159292</v>
      </c>
      <c r="U392" s="326" t="n">
        <f aca="false">(T391*24+U391*12)/1130</f>
        <v>3.9716814159292</v>
      </c>
      <c r="V392" s="327" t="n">
        <f aca="false">(V391*12)/1130</f>
        <v>1.60353982300885</v>
      </c>
      <c r="W392" s="328"/>
      <c r="X392" s="329" t="n">
        <f aca="false">(W391*30+X391*24+Y391*12)/1130</f>
        <v>0.775221238938053</v>
      </c>
      <c r="Y392" s="328"/>
      <c r="Z392" s="330" t="n">
        <f aca="false">(Z391*24+AA391*12)/1130</f>
        <v>1.64601769911504</v>
      </c>
      <c r="AA392" s="330"/>
      <c r="AB392" s="258" t="s">
        <v>635</v>
      </c>
      <c r="AC392" s="331"/>
      <c r="AD392" s="282" t="s">
        <v>630</v>
      </c>
      <c r="AE392" s="324" t="n">
        <f aca="false">1.2+0.5+4.5+1.5</f>
        <v>7.7</v>
      </c>
      <c r="AF392" s="370" t="n">
        <f aca="false">(AE391/AE392)</f>
        <v>1.03850132168716</v>
      </c>
      <c r="AG392" s="370"/>
      <c r="AH392" s="370"/>
      <c r="AI392" s="367"/>
    </row>
    <row r="393" customFormat="false" ht="15" hidden="false" customHeight="true" outlineLevel="0" collapsed="false">
      <c r="B393" s="127" t="n">
        <f aca="false">B392+D393-C393</f>
        <v>2081.25</v>
      </c>
      <c r="D393" s="146" t="n">
        <f aca="false">155.25*2</f>
        <v>310.5</v>
      </c>
      <c r="E393" s="147" t="n">
        <v>304</v>
      </c>
      <c r="F393" s="147" t="n">
        <f aca="false">IFERROR(VLOOKUP(H393,$AD$1:$AE$301,2,0),"")</f>
        <v>1008022</v>
      </c>
      <c r="G393" s="147" t="str">
        <f aca="false">IFERROR(VLOOKUP(F393,$AE$2:$AF$290,2, 0),"")</f>
        <v>ضباء</v>
      </c>
      <c r="H393" s="212" t="s">
        <v>94</v>
      </c>
      <c r="I393" s="246" t="n">
        <f aca="false">SUM(K393:R393)</f>
        <v>2</v>
      </c>
      <c r="J393" s="182" t="n">
        <v>45574</v>
      </c>
      <c r="K393" s="184"/>
      <c r="L393" s="185"/>
      <c r="R393" s="155" t="n">
        <v>2</v>
      </c>
      <c r="S393" s="192" t="n">
        <f aca="false">(K393+O393+Q393)*24 /1130+(L393+M393+P393+R393)*12/1130+(N393*30)/1130</f>
        <v>0.0212389380530973</v>
      </c>
      <c r="U393" s="335" t="n">
        <f aca="false">(U392)-1.2</f>
        <v>2.7716814159292</v>
      </c>
      <c r="V393" s="336" t="n">
        <f aca="false">V392-0.5</f>
        <v>1.10353982300885</v>
      </c>
      <c r="W393" s="380" t="n">
        <f aca="false">(X392)-4.5</f>
        <v>-3.72477876106195</v>
      </c>
      <c r="X393" s="380"/>
      <c r="Y393" s="380"/>
      <c r="Z393" s="330" t="n">
        <f aca="false">Z392-1.5</f>
        <v>0.146017699115044</v>
      </c>
      <c r="AA393" s="330"/>
      <c r="AB393" s="259" t="s">
        <v>631</v>
      </c>
      <c r="AC393" s="331"/>
      <c r="AD393" s="282" t="s">
        <v>641</v>
      </c>
      <c r="AE393" s="332" t="n">
        <f aca="false">AE391-AE392</f>
        <v>0.296460176991149</v>
      </c>
      <c r="AF393" s="339" t="n">
        <f aca="false">U391*6+T391*12+V391*16+Z391*5+AA391*5+307</f>
        <v>5552</v>
      </c>
      <c r="AG393" s="339"/>
      <c r="AH393" s="339"/>
      <c r="AI393" s="340" t="n">
        <v>12</v>
      </c>
    </row>
    <row r="394" customFormat="false" ht="15" hidden="false" customHeight="true" outlineLevel="0" collapsed="false">
      <c r="B394" s="127" t="n">
        <f aca="false">B393+D394-C394</f>
        <v>2598.75</v>
      </c>
      <c r="D394" s="146" t="n">
        <f aca="false">258.75*2</f>
        <v>517.5</v>
      </c>
      <c r="E394" s="147" t="n">
        <v>303</v>
      </c>
      <c r="F394" s="147" t="n">
        <f aca="false">IFERROR(VLOOKUP(H394,$AD$1:$AE$301,2,0),"")</f>
        <v>1007989</v>
      </c>
      <c r="G394" s="147" t="str">
        <f aca="false">IFERROR(VLOOKUP(F394,$AE$2:$AF$290,2, 0),"")</f>
        <v>ضباء</v>
      </c>
      <c r="H394" s="212" t="s">
        <v>90</v>
      </c>
      <c r="I394" s="246" t="n">
        <f aca="false">SUM(K394:R394)</f>
        <v>2</v>
      </c>
      <c r="J394" s="182" t="n">
        <v>45574</v>
      </c>
      <c r="K394" s="184"/>
      <c r="L394" s="185"/>
      <c r="O394" s="152" t="n">
        <v>2</v>
      </c>
      <c r="S394" s="192" t="n">
        <f aca="false">(K394+O394+Q394)*24 /1130+(L394+M394+P394+R394)*12/1130+(N394*30)/1130</f>
        <v>0.0424778761061947</v>
      </c>
      <c r="U394" s="357" t="n">
        <f aca="false">(U393*1120)/24</f>
        <v>129.345132743363</v>
      </c>
      <c r="V394" s="353" t="n">
        <f aca="false">(V393*1120)/12</f>
        <v>102.997050147493</v>
      </c>
      <c r="W394" s="354"/>
      <c r="X394" s="355" t="n">
        <f aca="false">(W393*1120)/24</f>
        <v>-173.823008849558</v>
      </c>
      <c r="Y394" s="355"/>
      <c r="Z394" s="371" t="n">
        <f aca="false">(Z393*1120)/24</f>
        <v>6.81415929203539</v>
      </c>
      <c r="AA394" s="371"/>
      <c r="AB394" s="259" t="s">
        <v>636</v>
      </c>
      <c r="AC394" s="331"/>
      <c r="AF394" s="160" t="n">
        <f aca="false">AF393+1000+2300</f>
        <v>8852</v>
      </c>
    </row>
    <row r="395" customFormat="false" ht="15" hidden="false" customHeight="true" outlineLevel="0" collapsed="false">
      <c r="B395" s="127" t="n">
        <f aca="false">B394+D395-C395</f>
        <v>3375</v>
      </c>
      <c r="D395" s="146" t="n">
        <f aca="false">258.75*3</f>
        <v>776.25</v>
      </c>
      <c r="E395" s="147" t="n">
        <v>302</v>
      </c>
      <c r="F395" s="147" t="n">
        <f aca="false">IFERROR(VLOOKUP(H395,$AD$1:$AE$301,2,0),"")</f>
        <v>1008025</v>
      </c>
      <c r="G395" s="147" t="str">
        <f aca="false">IFERROR(VLOOKUP(F395,$AE$2:$AF$290,2, 0),"")</f>
        <v>ضباء</v>
      </c>
      <c r="H395" s="212" t="s">
        <v>97</v>
      </c>
      <c r="I395" s="246" t="n">
        <f aca="false">SUM(K395:R395)</f>
        <v>3</v>
      </c>
      <c r="J395" s="182" t="n">
        <v>45574</v>
      </c>
      <c r="K395" s="184"/>
      <c r="L395" s="185"/>
      <c r="O395" s="364" t="n">
        <v>3</v>
      </c>
      <c r="S395" s="192" t="n">
        <f aca="false">(K395+O395+Q395)*24 /1130+(L395+M395+P395+R395)*12/1130+(N395*30)/1130</f>
        <v>0.063716814159292</v>
      </c>
      <c r="U395" s="341" t="n">
        <f aca="false">U392/1.2</f>
        <v>3.30973451327434</v>
      </c>
      <c r="V395" s="342" t="n">
        <f aca="false">V392/0.5</f>
        <v>3.2070796460177</v>
      </c>
      <c r="W395" s="381" t="n">
        <f aca="false">X392/4</f>
        <v>0.193805309734513</v>
      </c>
      <c r="X395" s="381"/>
      <c r="Y395" s="381"/>
      <c r="Z395" s="382" t="n">
        <f aca="false">Z392/1.5</f>
        <v>1.09734513274336</v>
      </c>
      <c r="AA395" s="382"/>
      <c r="AB395" s="191" t="s">
        <v>40</v>
      </c>
      <c r="AC395" s="209"/>
      <c r="AD395" s="128"/>
      <c r="AF395" s="365" t="n">
        <f aca="false">(AF383+AF378+AF373+AF393+AF388)/5</f>
        <v>4358.2</v>
      </c>
    </row>
    <row r="396" customFormat="false" ht="15" hidden="false" customHeight="true" outlineLevel="0" collapsed="false">
      <c r="B396" s="127" t="n">
        <f aca="false">B395+D396-C396</f>
        <v>0</v>
      </c>
      <c r="C396" s="127" t="n">
        <v>3375</v>
      </c>
      <c r="E396" s="212" t="s">
        <v>392</v>
      </c>
      <c r="F396" s="147" t="str">
        <f aca="false">IFERROR(VLOOKUP(H396,$AD$1:$AE$301,2,0),"")</f>
        <v/>
      </c>
      <c r="G396" s="147" t="str">
        <f aca="false">IFERROR(VLOOKUP(F396,$AE$2:$AF$290,2, 0),"")</f>
        <v/>
      </c>
      <c r="H396" s="212" t="s">
        <v>393</v>
      </c>
      <c r="I396" s="246" t="n">
        <f aca="false">SUM(K396:R396)</f>
        <v>0</v>
      </c>
      <c r="J396" s="182" t="n">
        <v>45575</v>
      </c>
      <c r="K396" s="184"/>
      <c r="L396" s="185"/>
      <c r="S396" s="192" t="n">
        <f aca="false">(K396+O396+Q396)*24 /1130+(L396+M396+P396+R396)*12/1130+(N396*30)/1130</f>
        <v>0</v>
      </c>
      <c r="T396" s="344" t="n">
        <v>161</v>
      </c>
      <c r="U396" s="344" t="n">
        <v>28</v>
      </c>
      <c r="V396" s="344" t="n">
        <v>130</v>
      </c>
      <c r="W396" s="344" t="n">
        <v>48</v>
      </c>
      <c r="X396" s="344" t="n">
        <v>16</v>
      </c>
      <c r="Y396" s="344" t="n">
        <v>0</v>
      </c>
      <c r="Z396" s="344" t="n">
        <v>22</v>
      </c>
      <c r="AA396" s="344" t="n">
        <v>43</v>
      </c>
      <c r="AB396" s="383" t="n">
        <v>7.6353982300885</v>
      </c>
      <c r="AC396" s="384" t="n">
        <v>448</v>
      </c>
      <c r="AD396" s="282" t="s">
        <v>637</v>
      </c>
      <c r="AE396" s="284" t="n">
        <f aca="false">AB396</f>
        <v>7.6353982300885</v>
      </c>
      <c r="AF396" s="285"/>
      <c r="AG396" s="285"/>
      <c r="AH396" s="285"/>
      <c r="AI396" s="285" t="n">
        <v>21720</v>
      </c>
    </row>
    <row r="397" customFormat="false" ht="15" hidden="false" customHeight="true" outlineLevel="0" collapsed="false">
      <c r="B397" s="127" t="n">
        <f aca="false">B396+D397-C397</f>
        <v>138</v>
      </c>
      <c r="D397" s="146" t="n">
        <f aca="false">138</f>
        <v>138</v>
      </c>
      <c r="E397" s="147" t="n">
        <v>306</v>
      </c>
      <c r="F397" s="147" t="n">
        <f aca="false">IFERROR(VLOOKUP(H397,$AD$1:$AE$301,2,0),"")</f>
        <v>1008264</v>
      </c>
      <c r="G397" s="147" t="str">
        <f aca="false">IFERROR(VLOOKUP(F397,$AE$2:$AF$290,2, 0),"")</f>
        <v>تبوك</v>
      </c>
      <c r="H397" s="212" t="s">
        <v>160</v>
      </c>
      <c r="I397" s="246" t="n">
        <f aca="false">SUM(K397:R397)</f>
        <v>1</v>
      </c>
      <c r="J397" s="182" t="n">
        <v>45576</v>
      </c>
      <c r="K397" s="184"/>
      <c r="L397" s="185"/>
      <c r="Q397" s="154" t="n">
        <v>1</v>
      </c>
      <c r="S397" s="192" t="n">
        <f aca="false">(K397+O397+Q397)*24 /1130+(L397+M397+P397+R397)*12/1130+(N397*30)/1130</f>
        <v>0.0212389380530973</v>
      </c>
      <c r="U397" s="326" t="n">
        <f aca="false">(T396*24+U396*12)/1169.2</f>
        <v>3.59219979473144</v>
      </c>
      <c r="V397" s="327" t="n">
        <f aca="false">(V396*12)/1171</f>
        <v>1.33219470538002</v>
      </c>
      <c r="W397" s="328"/>
      <c r="X397" s="329" t="n">
        <f aca="false">(W396*30+X396*24+Y396*12)/1137.5</f>
        <v>1.60351648351648</v>
      </c>
      <c r="Y397" s="328"/>
      <c r="Z397" s="330" t="n">
        <f aca="false">(Z396*24+AA396*12)/1047.3</f>
        <v>0.996849040389573</v>
      </c>
      <c r="AA397" s="330"/>
      <c r="AB397" s="155" t="s">
        <v>645</v>
      </c>
      <c r="AC397" s="331" t="n">
        <v>105</v>
      </c>
      <c r="AD397" s="282" t="s">
        <v>630</v>
      </c>
      <c r="AE397" s="324" t="n">
        <f aca="false">3.12+0.8+1.72+1.08</f>
        <v>6.72</v>
      </c>
      <c r="AF397" s="370" t="n">
        <f aca="false">(AE396/AE397)</f>
        <v>1.13621997471555</v>
      </c>
      <c r="AG397" s="370"/>
      <c r="AH397" s="370"/>
      <c r="AI397" s="367"/>
    </row>
    <row r="398" customFormat="false" ht="15" hidden="false" customHeight="true" outlineLevel="0" collapsed="false">
      <c r="A398" s="128" t="n">
        <f aca="false">D398-200-296-100-30-150</f>
        <v>0.25</v>
      </c>
      <c r="B398" s="127" t="n">
        <f aca="false">B397+D398-C398</f>
        <v>914.25</v>
      </c>
      <c r="D398" s="146" t="n">
        <f aca="false">3*258.75</f>
        <v>776.25</v>
      </c>
      <c r="E398" s="147" t="n">
        <v>307</v>
      </c>
      <c r="F398" s="147" t="n">
        <f aca="false">IFERROR(VLOOKUP(H398,$AD$1:$AE$301,2,0),"")</f>
        <v>1008264</v>
      </c>
      <c r="G398" s="147" t="str">
        <f aca="false">IFERROR(VLOOKUP(F398,$AE$2:$AF$290,2, 0),"")</f>
        <v>تبوك</v>
      </c>
      <c r="H398" s="212" t="s">
        <v>160</v>
      </c>
      <c r="I398" s="246" t="n">
        <f aca="false">SUM(K398:R398)</f>
        <v>3</v>
      </c>
      <c r="J398" s="182" t="n">
        <v>45576</v>
      </c>
      <c r="K398" s="184"/>
      <c r="L398" s="185"/>
      <c r="O398" s="364" t="n">
        <v>3</v>
      </c>
      <c r="S398" s="192" t="n">
        <f aca="false">(K398+O398+Q398)*24 /1130+(L398+M398+P398+R398)*12/1130+(N398*30)/1130</f>
        <v>0.063716814159292</v>
      </c>
      <c r="U398" s="335" t="n">
        <f aca="false">(U397)-3.12</f>
        <v>0.47219979473144</v>
      </c>
      <c r="V398" s="336" t="n">
        <f aca="false">V397-0.8</f>
        <v>0.532194705380017</v>
      </c>
      <c r="W398" s="380" t="n">
        <f aca="false">(X397)-1.72</f>
        <v>-0.116483516483517</v>
      </c>
      <c r="X398" s="380"/>
      <c r="Y398" s="380"/>
      <c r="Z398" s="330" t="n">
        <f aca="false">Z397-1.08</f>
        <v>-0.0831509596104268</v>
      </c>
      <c r="AA398" s="330"/>
      <c r="AB398" s="385" t="s">
        <v>646</v>
      </c>
      <c r="AC398" s="331" t="n">
        <v>30</v>
      </c>
      <c r="AD398" s="282" t="s">
        <v>641</v>
      </c>
      <c r="AE398" s="332" t="n">
        <f aca="false">AE396-AE397</f>
        <v>0.9153982300885</v>
      </c>
      <c r="AF398" s="339" t="n">
        <f aca="false">U396*5+T396*9+V396*16+Z396*2+AA396*2+W396*2+X396*2+AF399</f>
        <v>4516.05</v>
      </c>
      <c r="AG398" s="339"/>
      <c r="AH398" s="339"/>
      <c r="AI398" s="340" t="n">
        <v>1</v>
      </c>
    </row>
    <row r="399" customFormat="false" ht="15" hidden="false" customHeight="true" outlineLevel="0" collapsed="false">
      <c r="A399" s="128" t="n">
        <f aca="false">D399-719</f>
        <v>-0.25</v>
      </c>
      <c r="B399" s="127" t="n">
        <f aca="false">B398+D399-C399</f>
        <v>1633</v>
      </c>
      <c r="D399" s="146" t="n">
        <f aca="false">299+155.25+264.5</f>
        <v>718.75</v>
      </c>
      <c r="E399" s="147" t="n">
        <v>308</v>
      </c>
      <c r="F399" s="147" t="n">
        <f aca="false">IFERROR(VLOOKUP(H399,$AD$1:$AE$301,2,0),"")</f>
        <v>1008053</v>
      </c>
      <c r="G399" s="147" t="str">
        <f aca="false">IFERROR(VLOOKUP(F399,$AE$2:$AF$290,2, 0),"")</f>
        <v>تبوك</v>
      </c>
      <c r="H399" s="212" t="s">
        <v>254</v>
      </c>
      <c r="I399" s="246" t="n">
        <f aca="false">SUM(K399:R399)</f>
        <v>3</v>
      </c>
      <c r="J399" s="182" t="n">
        <v>45576</v>
      </c>
      <c r="K399" s="184"/>
      <c r="L399" s="185"/>
      <c r="R399" s="155" t="n">
        <v>3</v>
      </c>
      <c r="S399" s="192" t="n">
        <f aca="false">(K399+O399+Q399)*24 /1130+(L399+M399+P399+R399)*12/1130+(N399*30)/1130</f>
        <v>0.031858407079646</v>
      </c>
      <c r="U399" s="357" t="n">
        <f aca="false">(U398*1130)/24</f>
        <v>22.232740335272</v>
      </c>
      <c r="V399" s="353" t="n">
        <f aca="false">(V398*1130)/12</f>
        <v>50.1150014232849</v>
      </c>
      <c r="W399" s="354"/>
      <c r="X399" s="355" t="n">
        <f aca="false">(W398*1130)/24</f>
        <v>-5.48443223443224</v>
      </c>
      <c r="Y399" s="355"/>
      <c r="Z399" s="356" t="n">
        <f aca="false">(Z398*850)/24</f>
        <v>-2.94492981953595</v>
      </c>
      <c r="AA399" s="356"/>
      <c r="AB399" s="155" t="s">
        <v>631</v>
      </c>
      <c r="AC399" s="331" t="n">
        <v>300</v>
      </c>
      <c r="AD399" s="386"/>
      <c r="AF399" s="387" t="n">
        <f aca="false">3927*15%</f>
        <v>589.05</v>
      </c>
      <c r="AG399" s="160" t="n">
        <v>4503.4</v>
      </c>
    </row>
    <row r="400" customFormat="false" ht="15" hidden="false" customHeight="true" outlineLevel="0" collapsed="false">
      <c r="B400" s="127" t="n">
        <f aca="false">B399+D400-C400</f>
        <v>0.5</v>
      </c>
      <c r="C400" s="127" t="n">
        <f aca="false">300+355+300+655.5+22</f>
        <v>1632.5</v>
      </c>
      <c r="E400" s="212" t="s">
        <v>470</v>
      </c>
      <c r="F400" s="147" t="str">
        <f aca="false">IFERROR(VLOOKUP(H400,$AD$1:$AE$301,2,0),"")</f>
        <v/>
      </c>
      <c r="G400" s="147" t="str">
        <f aca="false">IFERROR(VLOOKUP(F400,$AE$2:$AF$290,2, 0),"")</f>
        <v/>
      </c>
      <c r="H400" s="212" t="s">
        <v>393</v>
      </c>
      <c r="I400" s="246" t="n">
        <f aca="false">SUM(K400:R400)</f>
        <v>0</v>
      </c>
      <c r="J400" s="182" t="n">
        <v>45576</v>
      </c>
      <c r="K400" s="184"/>
      <c r="L400" s="185"/>
      <c r="S400" s="192" t="n">
        <f aca="false">(K400+O400+Q400)*24 /1130+(L400+M400+P400+R400)*12/1130+(N400*30)/1130</f>
        <v>0</v>
      </c>
      <c r="U400" s="341" t="n">
        <f aca="false">U397/3.12</f>
        <v>1.15134608805495</v>
      </c>
      <c r="V400" s="342" t="n">
        <f aca="false">V397/0.8</f>
        <v>1.66524338172502</v>
      </c>
      <c r="W400" s="381" t="n">
        <f aca="false">X397/1.72</f>
        <v>0.932277025300281</v>
      </c>
      <c r="X400" s="381"/>
      <c r="Y400" s="381"/>
      <c r="Z400" s="382" t="n">
        <f aca="false">Z397/1.08</f>
        <v>0.923008370731086</v>
      </c>
      <c r="AA400" s="382"/>
      <c r="AB400" s="155" t="s">
        <v>647</v>
      </c>
      <c r="AC400" s="209" t="n">
        <v>13</v>
      </c>
      <c r="AD400" s="209"/>
      <c r="AG400" s="160" t="n">
        <f aca="false">AG399-AF398</f>
        <v>-12.6500000000005</v>
      </c>
    </row>
    <row r="401" customFormat="false" ht="15" hidden="false" customHeight="true" outlineLevel="0" collapsed="false">
      <c r="A401" s="128" t="n">
        <f aca="false">D401-655.5-655.5</f>
        <v>0</v>
      </c>
      <c r="B401" s="127" t="n">
        <f aca="false">B400+D401-C401</f>
        <v>1311.5</v>
      </c>
      <c r="D401" s="146" t="n">
        <f aca="false">1311</f>
        <v>1311</v>
      </c>
      <c r="E401" s="147" t="n">
        <v>309</v>
      </c>
      <c r="F401" s="147" t="n">
        <f aca="false">IFERROR(VLOOKUP(H401,$AD$1:$AE$301,2,0),"")</f>
        <v>562</v>
      </c>
      <c r="G401" s="147" t="str">
        <f aca="false">IFERROR(VLOOKUP(F401,$AE$2:$AF$290,2, 0),"")</f>
        <v>تبوك</v>
      </c>
      <c r="H401" s="212" t="s">
        <v>234</v>
      </c>
      <c r="I401" s="246" t="n">
        <f aca="false">SUM(K401:R401)</f>
        <v>5</v>
      </c>
      <c r="J401" s="182" t="n">
        <v>45578</v>
      </c>
      <c r="K401" s="184" t="n">
        <f aca="false">2+2</f>
        <v>4</v>
      </c>
      <c r="L401" s="185" t="n">
        <v>1</v>
      </c>
      <c r="S401" s="192" t="n">
        <f aca="false">(K401+O401+Q401)*24 /1130+(L401+M401+P401+R401)*12/1130+(N401*30)/1130</f>
        <v>0.0955752212389381</v>
      </c>
      <c r="T401" s="344" t="n">
        <v>154</v>
      </c>
      <c r="U401" s="344" t="n">
        <v>35</v>
      </c>
      <c r="V401" s="344" t="n">
        <v>106</v>
      </c>
      <c r="W401" s="344" t="n">
        <v>16</v>
      </c>
      <c r="X401" s="344" t="n">
        <v>8</v>
      </c>
      <c r="Y401" s="344"/>
      <c r="Z401" s="344" t="n">
        <v>13</v>
      </c>
      <c r="AA401" s="344" t="n">
        <v>43</v>
      </c>
      <c r="AB401" s="383" t="n">
        <v>6.1</v>
      </c>
      <c r="AC401" s="344" t="n">
        <v>375</v>
      </c>
      <c r="AD401" s="282" t="s">
        <v>45</v>
      </c>
      <c r="AE401" s="284" t="n">
        <f aca="false">U402+V402+X402+Z402</f>
        <v>5.9919015431307</v>
      </c>
      <c r="AF401" s="388" t="n">
        <v>50</v>
      </c>
      <c r="AG401" s="285"/>
      <c r="AH401" s="285"/>
      <c r="AI401" s="285" t="n">
        <v>25500</v>
      </c>
    </row>
    <row r="402" customFormat="false" ht="15" hidden="false" customHeight="true" outlineLevel="0" collapsed="false">
      <c r="A402" s="128" t="n">
        <f aca="false">D402-300-600-50-160-200</f>
        <v>1</v>
      </c>
      <c r="B402" s="127" t="n">
        <f aca="false">B401+D402-C402</f>
        <v>2622.5</v>
      </c>
      <c r="D402" s="146" t="n">
        <v>1311</v>
      </c>
      <c r="E402" s="147" t="n">
        <v>310</v>
      </c>
      <c r="F402" s="147" t="n">
        <f aca="false">IFERROR(VLOOKUP(H402,$AD$1:$AE$301,2,0),"")</f>
        <v>546</v>
      </c>
      <c r="G402" s="147" t="str">
        <f aca="false">IFERROR(VLOOKUP(F402,$AE$2:$AF$290,2, 0),"")</f>
        <v>تبوك</v>
      </c>
      <c r="H402" s="212" t="s">
        <v>262</v>
      </c>
      <c r="I402" s="246" t="n">
        <f aca="false">SUM(K402:R402)</f>
        <v>5</v>
      </c>
      <c r="J402" s="182" t="n">
        <v>45578</v>
      </c>
      <c r="K402" s="184" t="n">
        <v>4</v>
      </c>
      <c r="L402" s="185" t="n">
        <v>1</v>
      </c>
      <c r="S402" s="192" t="n">
        <f aca="false">(K402+O402+Q402)*24 /1130+(L402+M402+P402+R402)*12/1130+(N402*30)/1130</f>
        <v>0.0955752212389381</v>
      </c>
      <c r="U402" s="326" t="n">
        <f aca="false">(T401*24+U401*12)/1169.2</f>
        <v>3.52035579883681</v>
      </c>
      <c r="V402" s="327" t="n">
        <f aca="false">(V401*12)/1171</f>
        <v>1.08625106746371</v>
      </c>
      <c r="W402" s="328"/>
      <c r="X402" s="329" t="n">
        <f aca="false">(W401*30+X401*24+Y401*12)/1130</f>
        <v>0.594690265486726</v>
      </c>
      <c r="Y402" s="328"/>
      <c r="Z402" s="330" t="n">
        <f aca="false">(Z401*24+AA401*12)/1047.3</f>
        <v>0.790604411343455</v>
      </c>
      <c r="AA402" s="330"/>
      <c r="AB402" s="155" t="s">
        <v>645</v>
      </c>
      <c r="AC402" s="331" t="n">
        <v>97</v>
      </c>
      <c r="AD402" s="282" t="s">
        <v>630</v>
      </c>
      <c r="AE402" s="324" t="n">
        <f aca="false">2.86+0.73+1.58+0.99</f>
        <v>6.16</v>
      </c>
      <c r="AF402" s="370" t="n">
        <f aca="false">(AE401/AE402)</f>
        <v>0.972711289469269</v>
      </c>
      <c r="AG402" s="370"/>
      <c r="AH402" s="370"/>
      <c r="AI402" s="367"/>
    </row>
    <row r="403" customFormat="false" ht="15" hidden="false" customHeight="true" outlineLevel="0" collapsed="false">
      <c r="A403" s="128" t="n">
        <f aca="false">D403-355-655.5-300</f>
        <v>0.5</v>
      </c>
      <c r="B403" s="127" t="n">
        <f aca="false">B402+D403-C403</f>
        <v>3933.5</v>
      </c>
      <c r="D403" s="146" t="n">
        <v>1311</v>
      </c>
      <c r="E403" s="147" t="n">
        <v>312</v>
      </c>
      <c r="F403" s="147" t="n">
        <f aca="false">IFERROR(VLOOKUP(H403,$AD$1:$AE$301,2,0),"")</f>
        <v>1008277</v>
      </c>
      <c r="G403" s="147" t="str">
        <f aca="false">IFERROR(VLOOKUP(F403,$AE$2:$AF$290,2, 0),"")</f>
        <v>تبوك</v>
      </c>
      <c r="H403" s="212" t="s">
        <v>233</v>
      </c>
      <c r="I403" s="246" t="n">
        <f aca="false">SUM(K403:R403)</f>
        <v>5</v>
      </c>
      <c r="J403" s="182" t="n">
        <v>45578</v>
      </c>
      <c r="K403" s="184" t="n">
        <f aca="false">3+1</f>
        <v>4</v>
      </c>
      <c r="L403" s="185" t="n">
        <v>1</v>
      </c>
      <c r="S403" s="192" t="n">
        <f aca="false">(K403+O403+Q403)*24 /1130+(L403+M403+P403+R403)*12/1130+(N403*30)/1130</f>
        <v>0.0955752212389381</v>
      </c>
      <c r="U403" s="335" t="n">
        <f aca="false">(U402)-2.86</f>
        <v>0.660355798836811</v>
      </c>
      <c r="V403" s="336" t="n">
        <f aca="false">V402-0.73</f>
        <v>0.356251067463706</v>
      </c>
      <c r="W403" s="380" t="n">
        <f aca="false">(X402)-1.58</f>
        <v>-0.985309734513274</v>
      </c>
      <c r="X403" s="380"/>
      <c r="Y403" s="380"/>
      <c r="Z403" s="330" t="n">
        <f aca="false">Z402-0.99</f>
        <v>-0.199395588656545</v>
      </c>
      <c r="AA403" s="330"/>
      <c r="AB403" s="385" t="s">
        <v>646</v>
      </c>
      <c r="AC403" s="331" t="n">
        <v>15</v>
      </c>
      <c r="AD403" s="282" t="s">
        <v>641</v>
      </c>
      <c r="AE403" s="332" t="n">
        <f aca="false">AE401-AE402</f>
        <v>-0.168098456869302</v>
      </c>
      <c r="AF403" s="389" t="n">
        <f aca="false">U401*5+T401*9+V401*16</f>
        <v>3257</v>
      </c>
      <c r="AG403" s="339"/>
      <c r="AH403" s="339"/>
      <c r="AI403" s="340" t="n">
        <v>2</v>
      </c>
    </row>
    <row r="404" customFormat="false" ht="15" hidden="false" customHeight="true" outlineLevel="0" collapsed="false">
      <c r="A404" s="128" t="n">
        <f aca="false">D404-500+155.25-70-200-300-200-196</f>
        <v>0.25</v>
      </c>
      <c r="B404" s="127" t="n">
        <f aca="false">B403+D404-C404</f>
        <v>5244.5</v>
      </c>
      <c r="D404" s="146" t="n">
        <v>1311</v>
      </c>
      <c r="E404" s="147" t="n">
        <v>313</v>
      </c>
      <c r="F404" s="147" t="n">
        <f aca="false">IFERROR(VLOOKUP(H404,$AD$1:$AE$301,2,0),"")</f>
        <v>1002940</v>
      </c>
      <c r="G404" s="147" t="str">
        <f aca="false">IFERROR(VLOOKUP(F404,$AE$2:$AF$290,2, 0),"")</f>
        <v>تبوك</v>
      </c>
      <c r="H404" s="212" t="s">
        <v>167</v>
      </c>
      <c r="I404" s="246" t="n">
        <f aca="false">SUM(K404:R404)</f>
        <v>5</v>
      </c>
      <c r="J404" s="182" t="n">
        <v>45578</v>
      </c>
      <c r="K404" s="184" t="n">
        <f aca="false">3+1</f>
        <v>4</v>
      </c>
      <c r="L404" s="185" t="n">
        <v>1</v>
      </c>
      <c r="S404" s="192" t="n">
        <f aca="false">(K404+O404+Q404)*24 /1130+(L404+M404+P404+R404)*12/1130+(N404*30)/1130</f>
        <v>0.0955752212389381</v>
      </c>
      <c r="U404" s="357" t="n">
        <f aca="false">(U403*1120)/24</f>
        <v>30.8166039457179</v>
      </c>
      <c r="V404" s="353" t="n">
        <f aca="false">(V403*1120)/12</f>
        <v>33.2500996299459</v>
      </c>
      <c r="W404" s="354"/>
      <c r="X404" s="355" t="n">
        <f aca="false">(W403*1120)/24</f>
        <v>-45.9811209439528</v>
      </c>
      <c r="Y404" s="355"/>
      <c r="Z404" s="356" t="n">
        <f aca="false">(Z403*850)/24</f>
        <v>-7.06192709825265</v>
      </c>
      <c r="AA404" s="356"/>
      <c r="AB404" s="155" t="s">
        <v>631</v>
      </c>
      <c r="AC404" s="331" t="n">
        <v>263</v>
      </c>
      <c r="AF404" s="387"/>
      <c r="AG404" s="160" t="n">
        <v>3582.7</v>
      </c>
    </row>
    <row r="405" customFormat="false" ht="15" hidden="false" customHeight="true" outlineLevel="0" collapsed="false">
      <c r="A405" s="128" t="n">
        <f aca="false">D405-550-200-561</f>
        <v>0</v>
      </c>
      <c r="B405" s="127" t="n">
        <f aca="false">B404+D405-C405</f>
        <v>6555.5</v>
      </c>
      <c r="D405" s="146" t="n">
        <f aca="false">1311</f>
        <v>1311</v>
      </c>
      <c r="E405" s="147" t="n">
        <v>314</v>
      </c>
      <c r="F405" s="147" t="n">
        <f aca="false">IFERROR(VLOOKUP(H405,$AD$1:$AE$301,2,0),"")</f>
        <v>560</v>
      </c>
      <c r="G405" s="147" t="str">
        <f aca="false">IFERROR(VLOOKUP(F405,$AE$2:$AF$290,2, 0),"")</f>
        <v>تبوك</v>
      </c>
      <c r="H405" s="212" t="s">
        <v>133</v>
      </c>
      <c r="I405" s="246" t="n">
        <f aca="false">SUM(K405:R405)</f>
        <v>5</v>
      </c>
      <c r="J405" s="182" t="n">
        <v>45578</v>
      </c>
      <c r="K405" s="184" t="n">
        <f aca="false">3+1</f>
        <v>4</v>
      </c>
      <c r="L405" s="185" t="n">
        <v>1</v>
      </c>
      <c r="S405" s="192" t="n">
        <f aca="false">(K405+O405+Q405)*24 /1130+(L405+M405+P405+R405)*12/1130+(N405*30)/1130</f>
        <v>0.0955752212389381</v>
      </c>
      <c r="U405" s="341" t="n">
        <f aca="false">U402/2.86</f>
        <v>1.23089363595693</v>
      </c>
      <c r="V405" s="342" t="n">
        <f aca="false">V402/0.73</f>
        <v>1.48801516090919</v>
      </c>
      <c r="W405" s="381" t="n">
        <f aca="false">X402/1.58</f>
        <v>0.37638624397894</v>
      </c>
      <c r="X405" s="381"/>
      <c r="Y405" s="381"/>
      <c r="Z405" s="382" t="n">
        <f aca="false">Z402/0.99</f>
        <v>0.798590314488338</v>
      </c>
      <c r="AA405" s="382"/>
      <c r="AB405" s="191" t="s">
        <v>40</v>
      </c>
      <c r="AC405" s="209"/>
      <c r="AD405" s="128"/>
      <c r="AG405" s="390" t="n">
        <f aca="false">AG404-AF403</f>
        <v>325.7</v>
      </c>
    </row>
    <row r="406" customFormat="false" ht="15" hidden="false" customHeight="true" outlineLevel="0" collapsed="false">
      <c r="A406" s="128" t="n">
        <f aca="false">D406-155</f>
        <v>0.25</v>
      </c>
      <c r="B406" s="127" t="n">
        <f aca="false">B405+D406-C406</f>
        <v>6710.75</v>
      </c>
      <c r="D406" s="146" t="n">
        <v>155.25</v>
      </c>
      <c r="E406" s="147" t="n">
        <v>311</v>
      </c>
      <c r="F406" s="147" t="n">
        <f aca="false">IFERROR(VLOOKUP(H406,$AD$1:$AE$301,2,0),"")</f>
        <v>1008270</v>
      </c>
      <c r="G406" s="147" t="str">
        <f aca="false">IFERROR(VLOOKUP(F406,$AE$2:$AF$290,2, 0),"")</f>
        <v>تبوك</v>
      </c>
      <c r="H406" s="212" t="s">
        <v>236</v>
      </c>
      <c r="I406" s="246" t="n">
        <f aca="false">SUM(K406:R406)</f>
        <v>1</v>
      </c>
      <c r="J406" s="182" t="n">
        <v>45578</v>
      </c>
      <c r="K406" s="184"/>
      <c r="L406" s="185"/>
      <c r="R406" s="155" t="n">
        <v>1</v>
      </c>
      <c r="S406" s="192" t="n">
        <f aca="false">(K406+O406+Q406)*24 /1130+(L406+M406+P406+R406)*12/1130+(N406*30)/1130</f>
        <v>0.0106194690265487</v>
      </c>
      <c r="T406" s="344" t="n">
        <v>252</v>
      </c>
      <c r="U406" s="344" t="n">
        <v>35</v>
      </c>
      <c r="V406" s="344" t="n">
        <v>150</v>
      </c>
      <c r="W406" s="344" t="n">
        <v>49</v>
      </c>
      <c r="X406" s="344" t="n">
        <v>7</v>
      </c>
      <c r="Y406" s="344"/>
      <c r="Z406" s="344"/>
      <c r="AA406" s="344" t="n">
        <v>54</v>
      </c>
      <c r="AB406" s="383" t="n">
        <f aca="false">Z407+X407+V407+U407</f>
        <v>9.12786930800172</v>
      </c>
      <c r="AC406" s="344" t="n">
        <f aca="false">AA406+X406+W406+V406+U406+T406</f>
        <v>547</v>
      </c>
      <c r="AD406" s="282" t="s">
        <v>639</v>
      </c>
      <c r="AE406" s="284" t="n">
        <f aca="false">U407+V407+X407+Z407</f>
        <v>9.12786930800172</v>
      </c>
      <c r="AF406" s="388" t="n">
        <v>54</v>
      </c>
      <c r="AG406" s="285"/>
      <c r="AH406" s="285"/>
      <c r="AI406" s="285"/>
    </row>
    <row r="407" customFormat="false" ht="15" hidden="false" customHeight="true" outlineLevel="0" collapsed="false">
      <c r="B407" s="127" t="n">
        <f aca="false">B406+D407-C407</f>
        <v>3605.25</v>
      </c>
      <c r="C407" s="127" t="n">
        <f aca="false">1200+200+655.5+1050</f>
        <v>3105.5</v>
      </c>
      <c r="E407" s="212" t="s">
        <v>470</v>
      </c>
      <c r="F407" s="147" t="str">
        <f aca="false">IFERROR(VLOOKUP(H407,$AD$1:$AE$301,2,0),"")</f>
        <v/>
      </c>
      <c r="G407" s="147" t="str">
        <f aca="false">IFERROR(VLOOKUP(F407,$AE$2:$AF$290,2, 0),"")</f>
        <v/>
      </c>
      <c r="H407" s="212" t="s">
        <v>393</v>
      </c>
      <c r="I407" s="246" t="n">
        <f aca="false">SUM(K407:R407)</f>
        <v>0</v>
      </c>
      <c r="J407" s="182" t="n">
        <v>45578</v>
      </c>
      <c r="K407" s="184"/>
      <c r="L407" s="185"/>
      <c r="S407" s="192" t="n">
        <f aca="false">(K407+O407+Q407)*24 /1130+(L407+M407+P407+R407)*12/1130+(N407*30)/1130</f>
        <v>0</v>
      </c>
      <c r="U407" s="326" t="n">
        <f aca="false">(T406*24+U406*12)/1169.2</f>
        <v>5.53198768388642</v>
      </c>
      <c r="V407" s="327" t="n">
        <f aca="false">(V406*12)/1171</f>
        <v>1.53714773697694</v>
      </c>
      <c r="W407" s="328"/>
      <c r="X407" s="329" t="n">
        <f aca="false">(W406*30+X406*24+Y406*12)/1137.5</f>
        <v>1.44</v>
      </c>
      <c r="Y407" s="328"/>
      <c r="Z407" s="330" t="n">
        <f aca="false">(Z406*24+AA406*12)/1047.3</f>
        <v>0.618733887138356</v>
      </c>
      <c r="AA407" s="330"/>
      <c r="AB407" s="155" t="s">
        <v>645</v>
      </c>
      <c r="AC407" s="331" t="n">
        <v>103</v>
      </c>
      <c r="AD407" s="282" t="s">
        <v>630</v>
      </c>
      <c r="AE407" s="324" t="n">
        <f aca="false">2.73+0.7+1.51+0.95</f>
        <v>5.89</v>
      </c>
      <c r="AF407" s="370" t="n">
        <f aca="false">(AE406/AE407)</f>
        <v>1.54972314227533</v>
      </c>
      <c r="AG407" s="370"/>
      <c r="AH407" s="370"/>
      <c r="AI407" s="367"/>
    </row>
    <row r="408" customFormat="false" ht="15" hidden="false" customHeight="true" outlineLevel="0" collapsed="false">
      <c r="B408" s="127" t="n">
        <f aca="false">B407+D408-C408</f>
        <v>0.25</v>
      </c>
      <c r="C408" s="127" t="n">
        <v>3605</v>
      </c>
      <c r="E408" s="212" t="s">
        <v>392</v>
      </c>
      <c r="F408" s="147" t="str">
        <f aca="false">IFERROR(VLOOKUP(H408,$AD$1:$AE$301,2,0),"")</f>
        <v/>
      </c>
      <c r="G408" s="147" t="str">
        <f aca="false">IFERROR(VLOOKUP(F408,$AE$2:$AF$290,2, 0),"")</f>
        <v/>
      </c>
      <c r="H408" s="212" t="s">
        <v>393</v>
      </c>
      <c r="I408" s="246" t="n">
        <f aca="false">SUM(K408:R408)</f>
        <v>0</v>
      </c>
      <c r="J408" s="182" t="n">
        <v>45579</v>
      </c>
      <c r="K408" s="184"/>
      <c r="L408" s="185"/>
      <c r="S408" s="192" t="n">
        <f aca="false">(K408+O408+Q408)*24 /1130+(L408+M408+P408+R408)*12/1130+(N408*30)/1130</f>
        <v>0</v>
      </c>
      <c r="U408" s="335" t="n">
        <f aca="false">(U407)-2.73</f>
        <v>2.80198768388642</v>
      </c>
      <c r="V408" s="336" t="n">
        <f aca="false">V407-0.7</f>
        <v>0.837147736976943</v>
      </c>
      <c r="W408" s="380" t="n">
        <f aca="false">(X407)-1.51</f>
        <v>-0.0700000000000001</v>
      </c>
      <c r="X408" s="380"/>
      <c r="Y408" s="380"/>
      <c r="Z408" s="330" t="n">
        <f aca="false">Z407-0.95</f>
        <v>-0.331266112861644</v>
      </c>
      <c r="AA408" s="330"/>
      <c r="AB408" s="385" t="s">
        <v>646</v>
      </c>
      <c r="AC408" s="331" t="n">
        <v>28</v>
      </c>
      <c r="AD408" s="282" t="s">
        <v>641</v>
      </c>
      <c r="AE408" s="332" t="n">
        <f aca="false">AE406-AE407</f>
        <v>3.23786930800172</v>
      </c>
      <c r="AF408" s="339" t="n">
        <f aca="false">U406*6+T406*12+V406*16+W406*2+X406*2+AF409</f>
        <v>6607.9</v>
      </c>
      <c r="AG408" s="339"/>
      <c r="AH408" s="339"/>
      <c r="AI408" s="340" t="n">
        <v>3</v>
      </c>
    </row>
    <row r="409" customFormat="false" ht="15" hidden="false" customHeight="true" outlineLevel="0" collapsed="false">
      <c r="B409" s="127" t="n">
        <f aca="false">B408+D409-C409</f>
        <v>1311.25</v>
      </c>
      <c r="D409" s="146" t="n">
        <f aca="false">1311</f>
        <v>1311</v>
      </c>
      <c r="E409" s="147" t="n">
        <v>315</v>
      </c>
      <c r="F409" s="147" t="n">
        <f aca="false">IFERROR(VLOOKUP(H409,$AD$1:$AE$301,2,0),"")</f>
        <v>1007999</v>
      </c>
      <c r="G409" s="147" t="str">
        <f aca="false">IFERROR(VLOOKUP(F409,$AE$2:$AF$290,2, 0),"")</f>
        <v>حقل</v>
      </c>
      <c r="H409" s="212" t="s">
        <v>312</v>
      </c>
      <c r="I409" s="246" t="n">
        <f aca="false">SUM(K409:R409)</f>
        <v>5</v>
      </c>
      <c r="J409" s="182" t="n">
        <v>45579</v>
      </c>
      <c r="K409" s="184" t="n">
        <v>4</v>
      </c>
      <c r="L409" s="185" t="n">
        <v>1</v>
      </c>
      <c r="S409" s="192" t="n">
        <f aca="false">(K409+O409+Q409)*24 /1130+(L409+M409+P409+R409)*12/1130+(N409*30)/1130</f>
        <v>0.0955752212389381</v>
      </c>
      <c r="U409" s="357" t="n">
        <f aca="false">(U408*1169.2)/24</f>
        <v>136.5035</v>
      </c>
      <c r="V409" s="353" t="n">
        <f aca="false">(V408*1171)/12</f>
        <v>81.6916666666667</v>
      </c>
      <c r="W409" s="354"/>
      <c r="X409" s="355" t="n">
        <f aca="false">(W408*1137.5)/24</f>
        <v>-3.31770833333334</v>
      </c>
      <c r="Y409" s="355"/>
      <c r="Z409" s="356" t="n">
        <f aca="false">(Z408*1047.3)/24</f>
        <v>-14.455625</v>
      </c>
      <c r="AA409" s="356"/>
      <c r="AB409" s="155" t="s">
        <v>631</v>
      </c>
      <c r="AC409" s="331" t="n">
        <v>416</v>
      </c>
      <c r="AF409" s="387" t="n">
        <f aca="false">5746*15%</f>
        <v>861.9</v>
      </c>
      <c r="AG409" s="160" t="n">
        <f aca="false">7229.69</f>
        <v>7229.69</v>
      </c>
    </row>
    <row r="410" customFormat="false" ht="15" hidden="false" customHeight="true" outlineLevel="0" collapsed="false">
      <c r="B410" s="127" t="n">
        <f aca="false">B409+D410-C410</f>
        <v>4381.25</v>
      </c>
      <c r="D410" s="146" t="n">
        <f aca="false">3070</f>
        <v>3070</v>
      </c>
      <c r="E410" s="147" t="n">
        <v>316</v>
      </c>
      <c r="F410" s="147" t="n">
        <f aca="false">IFERROR(VLOOKUP(H410,$AD$1:$AE$301,2,0),"")</f>
        <v>1007970</v>
      </c>
      <c r="G410" s="147" t="str">
        <f aca="false">IFERROR(VLOOKUP(F410,$AE$2:$AF$290,2, 0),"")</f>
        <v>حقل</v>
      </c>
      <c r="H410" s="212" t="s">
        <v>310</v>
      </c>
      <c r="I410" s="246" t="n">
        <f aca="false">SUM(K410:R410)</f>
        <v>11</v>
      </c>
      <c r="J410" s="182" t="n">
        <v>45579</v>
      </c>
      <c r="K410" s="184" t="n">
        <v>4</v>
      </c>
      <c r="L410" s="185" t="n">
        <v>1</v>
      </c>
      <c r="N410" s="151" t="n">
        <v>3</v>
      </c>
      <c r="O410" s="152" t="n">
        <v>3</v>
      </c>
      <c r="S410" s="192" t="n">
        <f aca="false">(K410+O410+Q410)*24 /1130+(L410+M410+P410+R410)*12/1130+(N410*30)/1130</f>
        <v>0.238938053097345</v>
      </c>
      <c r="U410" s="341" t="n">
        <f aca="false">U407/2.73</f>
        <v>2.02636911497671</v>
      </c>
      <c r="V410" s="342" t="n">
        <f aca="false">V407/0.7</f>
        <v>2.19592533853849</v>
      </c>
      <c r="W410" s="381" t="n">
        <f aca="false">X407/1.51</f>
        <v>0.95364238410596</v>
      </c>
      <c r="X410" s="381"/>
      <c r="Y410" s="381"/>
      <c r="Z410" s="382" t="n">
        <f aca="false">Z407/0.95</f>
        <v>0.65129882856669</v>
      </c>
      <c r="AA410" s="382"/>
      <c r="AB410" s="191"/>
      <c r="AC410" s="209"/>
      <c r="AD410" s="128"/>
      <c r="AE410" s="391" t="s">
        <v>648</v>
      </c>
      <c r="AF410" s="160" t="n">
        <v>1500</v>
      </c>
      <c r="AG410" s="392" t="n">
        <f aca="false">AG409-AF408</f>
        <v>621.79</v>
      </c>
    </row>
    <row r="411" customFormat="false" ht="15" hidden="false" customHeight="true" outlineLevel="0" collapsed="false">
      <c r="B411" s="127" t="n">
        <f aca="false">B410+D411-C411</f>
        <v>4519.25</v>
      </c>
      <c r="D411" s="146" t="n">
        <v>138</v>
      </c>
      <c r="E411" s="147" t="n">
        <v>317</v>
      </c>
      <c r="F411" s="147" t="n">
        <f aca="false">IFERROR(VLOOKUP(H411,$AD$1:$AE$301,2,0),"")</f>
        <v>1007969</v>
      </c>
      <c r="G411" s="147" t="str">
        <f aca="false">IFERROR(VLOOKUP(F411,$AE$2:$AF$290,2, 0),"")</f>
        <v>حقل</v>
      </c>
      <c r="H411" s="212" t="s">
        <v>309</v>
      </c>
      <c r="I411" s="246" t="n">
        <f aca="false">SUM(K411:R411)</f>
        <v>1</v>
      </c>
      <c r="J411" s="182" t="n">
        <v>45579</v>
      </c>
      <c r="K411" s="184"/>
      <c r="L411" s="185"/>
      <c r="Q411" s="154" t="n">
        <v>1</v>
      </c>
      <c r="S411" s="192" t="n">
        <f aca="false">(K411+O411+Q411)*24 /1130+(L411+M411+P411+R411)*12/1130+(N411*30)/1130</f>
        <v>0.0212389380530973</v>
      </c>
      <c r="T411" s="344"/>
      <c r="U411" s="344"/>
      <c r="V411" s="344"/>
      <c r="W411" s="344"/>
      <c r="X411" s="344"/>
      <c r="Y411" s="344"/>
      <c r="Z411" s="344"/>
      <c r="AA411" s="344"/>
      <c r="AB411" s="383"/>
      <c r="AC411" s="393" t="s">
        <v>649</v>
      </c>
      <c r="AD411" s="282" t="s">
        <v>47</v>
      </c>
      <c r="AE411" s="284" t="n">
        <f aca="false">AB411</f>
        <v>0</v>
      </c>
      <c r="AF411" s="285"/>
      <c r="AG411" s="285"/>
      <c r="AH411" s="285"/>
      <c r="AI411" s="285"/>
    </row>
    <row r="412" customFormat="false" ht="15" hidden="false" customHeight="true" outlineLevel="0" collapsed="false">
      <c r="A412" s="128" t="n">
        <f aca="false">D412-1165-145</f>
        <v>1</v>
      </c>
      <c r="B412" s="127" t="n">
        <f aca="false">B411+D412-C412</f>
        <v>5830.25</v>
      </c>
      <c r="D412" s="146" t="n">
        <v>1311</v>
      </c>
      <c r="E412" s="147" t="n">
        <v>318</v>
      </c>
      <c r="F412" s="147" t="n">
        <f aca="false">IFERROR(VLOOKUP(H412,$AD$1:$AE$301,2,0),"")</f>
        <v>1006522</v>
      </c>
      <c r="G412" s="147" t="str">
        <f aca="false">IFERROR(VLOOKUP(F412,$AE$2:$AF$290,2, 0),"")</f>
        <v>البدع</v>
      </c>
      <c r="H412" s="212" t="s">
        <v>317</v>
      </c>
      <c r="I412" s="246" t="n">
        <f aca="false">SUM(K412:R412)</f>
        <v>5</v>
      </c>
      <c r="J412" s="182" t="n">
        <v>45579</v>
      </c>
      <c r="K412" s="184" t="n">
        <f aca="false">2+2</f>
        <v>4</v>
      </c>
      <c r="L412" s="185" t="n">
        <v>1</v>
      </c>
      <c r="S412" s="192" t="n">
        <f aca="false">(K412+O412+Q412)*24 /1130+(L412+M412+P412+R412)*12/1130+(N412*30)/1130</f>
        <v>0.0955752212389381</v>
      </c>
      <c r="U412" s="326" t="n">
        <f aca="false">(T411*24+U411*12)/1130</f>
        <v>0</v>
      </c>
      <c r="V412" s="327" t="n">
        <f aca="false">(V411*12)/1130</f>
        <v>0</v>
      </c>
      <c r="W412" s="328"/>
      <c r="X412" s="329" t="n">
        <f aca="false">(W411*30+X411*24+Y411*12)/1130</f>
        <v>0</v>
      </c>
      <c r="Y412" s="328"/>
      <c r="Z412" s="330" t="n">
        <f aca="false">(Z411*24+AA411*12)/1130</f>
        <v>0</v>
      </c>
      <c r="AA412" s="330"/>
      <c r="AB412" s="155" t="s">
        <v>645</v>
      </c>
      <c r="AC412" s="394" t="s">
        <v>649</v>
      </c>
      <c r="AD412" s="282" t="s">
        <v>630</v>
      </c>
      <c r="AE412" s="324" t="n">
        <f aca="false">3.38+0.87+1.86+1.17</f>
        <v>7.28</v>
      </c>
      <c r="AF412" s="370" t="n">
        <f aca="false">(AE411/AE412)</f>
        <v>0</v>
      </c>
      <c r="AG412" s="370"/>
      <c r="AH412" s="370"/>
      <c r="AI412" s="367"/>
    </row>
    <row r="413" customFormat="false" ht="15" hidden="false" customHeight="true" outlineLevel="0" collapsed="false">
      <c r="B413" s="127" t="n">
        <f aca="false">B412+D413-C413</f>
        <v>7141.25</v>
      </c>
      <c r="D413" s="146" t="n">
        <v>1311</v>
      </c>
      <c r="E413" s="147" t="n">
        <v>319</v>
      </c>
      <c r="F413" s="147" t="n">
        <f aca="false">IFERROR(VLOOKUP(H413,$AD$1:$AE$301,2,0),"")</f>
        <v>1008012</v>
      </c>
      <c r="G413" s="147" t="str">
        <f aca="false">IFERROR(VLOOKUP(F413,$AE$2:$AF$290,2, 0),"")</f>
        <v>البدع</v>
      </c>
      <c r="H413" s="212" t="s">
        <v>320</v>
      </c>
      <c r="I413" s="246" t="n">
        <f aca="false">SUM(K413:R413)</f>
        <v>5</v>
      </c>
      <c r="J413" s="182" t="n">
        <v>45579</v>
      </c>
      <c r="K413" s="184" t="n">
        <f aca="false">3+1</f>
        <v>4</v>
      </c>
      <c r="L413" s="185" t="n">
        <v>1</v>
      </c>
      <c r="S413" s="192" t="n">
        <f aca="false">(K413+O413+Q413)*24 /1130+(L413+M413+P413+R413)*12/1130+(N413*30)/1130</f>
        <v>0.0955752212389381</v>
      </c>
      <c r="U413" s="335" t="n">
        <f aca="false">(U412)-3.38</f>
        <v>-3.38</v>
      </c>
      <c r="V413" s="336" t="n">
        <f aca="false">V412-0.87</f>
        <v>-0.87</v>
      </c>
      <c r="W413" s="380" t="n">
        <f aca="false">(X412)-1.86</f>
        <v>-1.86</v>
      </c>
      <c r="X413" s="380"/>
      <c r="Y413" s="380"/>
      <c r="Z413" s="330" t="n">
        <f aca="false">Z412-1.17</f>
        <v>-1.17</v>
      </c>
      <c r="AA413" s="330"/>
      <c r="AB413" s="385" t="s">
        <v>646</v>
      </c>
      <c r="AC413" s="394" t="s">
        <v>649</v>
      </c>
      <c r="AD413" s="282" t="s">
        <v>641</v>
      </c>
      <c r="AE413" s="332" t="n">
        <f aca="false">AE411-AE412</f>
        <v>-7.28</v>
      </c>
      <c r="AF413" s="339" t="n">
        <f aca="false">U411*6+T411*12+V411*11+Z411*9+AA411*4.5</f>
        <v>0</v>
      </c>
      <c r="AG413" s="339"/>
      <c r="AH413" s="339"/>
      <c r="AI413" s="340" t="n">
        <v>4</v>
      </c>
    </row>
    <row r="414" customFormat="false" ht="15" hidden="false" customHeight="true" outlineLevel="0" collapsed="false">
      <c r="A414" s="128" t="n">
        <f aca="false">D414+350-1260-115-200</f>
        <v>-0.25</v>
      </c>
      <c r="B414" s="127" t="n">
        <f aca="false">B413+D414-C414</f>
        <v>8366</v>
      </c>
      <c r="D414" s="146" t="n">
        <v>1224.75</v>
      </c>
      <c r="E414" s="147" t="n">
        <v>320</v>
      </c>
      <c r="F414" s="147" t="n">
        <f aca="false">IFERROR(VLOOKUP(H414,$AD$1:$AE$301,2,0),"")</f>
        <v>1008042</v>
      </c>
      <c r="G414" s="147" t="str">
        <f aca="false">IFERROR(VLOOKUP(F414,$AE$2:$AF$290,2, 0),"")</f>
        <v>البدع</v>
      </c>
      <c r="H414" s="212" t="s">
        <v>329</v>
      </c>
      <c r="I414" s="246" t="n">
        <f aca="false">SUM(K414:R414)</f>
        <v>5</v>
      </c>
      <c r="J414" s="182" t="n">
        <v>45579</v>
      </c>
      <c r="K414" s="184"/>
      <c r="L414" s="185"/>
      <c r="N414" s="151" t="n">
        <v>3</v>
      </c>
      <c r="Q414" s="154" t="n">
        <v>2</v>
      </c>
      <c r="S414" s="192" t="n">
        <f aca="false">(K414+O414+Q414)*24 /1130+(L414+M414+P414+R414)*12/1130+(N414*30)/1130</f>
        <v>0.12212389380531</v>
      </c>
      <c r="U414" s="352" t="n">
        <f aca="false">(U413*1120)/24</f>
        <v>-157.733333333333</v>
      </c>
      <c r="V414" s="355" t="n">
        <f aca="false">(V413*1120)/12</f>
        <v>-81.2</v>
      </c>
      <c r="W414" s="354"/>
      <c r="X414" s="355" t="n">
        <f aca="false">(W413*1120)/24</f>
        <v>-86.8</v>
      </c>
      <c r="Y414" s="355"/>
      <c r="Z414" s="356" t="n">
        <f aca="false">(Z413*1120)/24</f>
        <v>-54.6</v>
      </c>
      <c r="AA414" s="356"/>
      <c r="AB414" s="155" t="s">
        <v>631</v>
      </c>
      <c r="AC414" s="394" t="s">
        <v>649</v>
      </c>
    </row>
    <row r="415" customFormat="false" ht="15" hidden="false" customHeight="true" outlineLevel="0" collapsed="false">
      <c r="B415" s="127" t="n">
        <f aca="false">B414+D415-C415</f>
        <v>9677</v>
      </c>
      <c r="D415" s="146" t="n">
        <v>1311</v>
      </c>
      <c r="E415" s="147" t="n">
        <v>321</v>
      </c>
      <c r="F415" s="147" t="n">
        <f aca="false">IFERROR(VLOOKUP(H415,$AD$1:$AE$301,2,0),"")</f>
        <v>1008020</v>
      </c>
      <c r="G415" s="147" t="str">
        <f aca="false">IFERROR(VLOOKUP(F415,$AE$2:$AF$290,2, 0),"")</f>
        <v>البير</v>
      </c>
      <c r="H415" s="212" t="s">
        <v>293</v>
      </c>
      <c r="I415" s="246" t="n">
        <f aca="false">SUM(K415:R415)</f>
        <v>5</v>
      </c>
      <c r="J415" s="182" t="n">
        <v>45579</v>
      </c>
      <c r="K415" s="184" t="n">
        <v>4</v>
      </c>
      <c r="L415" s="185" t="n">
        <v>1</v>
      </c>
      <c r="S415" s="192" t="n">
        <f aca="false">(K415+O415+Q415)*24 /1130+(L415+M415+P415+R415)*12/1130+(N415*30)/1130</f>
        <v>0.0955752212389381</v>
      </c>
      <c r="U415" s="341" t="n">
        <f aca="false">U412/3.38</f>
        <v>0</v>
      </c>
      <c r="V415" s="342" t="n">
        <f aca="false">V412/0.87</f>
        <v>0</v>
      </c>
      <c r="W415" s="381" t="n">
        <f aca="false">X412/1.86</f>
        <v>0</v>
      </c>
      <c r="X415" s="381"/>
      <c r="Y415" s="381"/>
      <c r="Z415" s="382" t="n">
        <f aca="false">Z412/1.17</f>
        <v>0</v>
      </c>
      <c r="AA415" s="382"/>
      <c r="AB415" s="191"/>
      <c r="AC415" s="394" t="s">
        <v>649</v>
      </c>
      <c r="AD415" s="128"/>
    </row>
    <row r="416" customFormat="false" ht="15" hidden="false" customHeight="true" outlineLevel="0" collapsed="false">
      <c r="B416" s="127" t="n">
        <f aca="false">B415+D416-C416</f>
        <v>10510.75</v>
      </c>
      <c r="D416" s="146" t="n">
        <v>833.75</v>
      </c>
      <c r="E416" s="147" t="n">
        <v>322</v>
      </c>
      <c r="F416" s="147" t="n">
        <f aca="false">IFERROR(VLOOKUP(H416,$AD$1:$AE$301,2,0),"")</f>
        <v>1007996</v>
      </c>
      <c r="G416" s="147" t="str">
        <f aca="false">IFERROR(VLOOKUP(F416,$AE$2:$AF$290,2, 0),"")</f>
        <v>البير</v>
      </c>
      <c r="H416" s="212" t="s">
        <v>295</v>
      </c>
      <c r="I416" s="246" t="n">
        <f aca="false">SUM(K416:R416)</f>
        <v>3</v>
      </c>
      <c r="J416" s="182" t="n">
        <v>45579</v>
      </c>
      <c r="K416" s="184"/>
      <c r="L416" s="185"/>
      <c r="N416" s="363" t="n">
        <v>1</v>
      </c>
      <c r="O416" s="364" t="n">
        <v>2</v>
      </c>
      <c r="S416" s="192" t="n">
        <f aca="false">(K416+O416+Q416)*24 /1130+(L416+M416+P416+R416)*12/1130+(N416*30)/1130</f>
        <v>0.0690265486725664</v>
      </c>
      <c r="T416" s="344" t="n">
        <v>43</v>
      </c>
      <c r="U416" s="344" t="n">
        <v>7</v>
      </c>
      <c r="V416" s="344" t="n">
        <v>35</v>
      </c>
      <c r="W416" s="344" t="n">
        <v>8</v>
      </c>
      <c r="X416" s="344" t="n">
        <v>4</v>
      </c>
      <c r="Y416" s="344" t="n">
        <v>0</v>
      </c>
      <c r="Z416" s="344" t="n">
        <v>18</v>
      </c>
      <c r="AA416" s="344" t="n">
        <v>1</v>
      </c>
      <c r="AB416" s="383" t="n">
        <v>2.04955752212389</v>
      </c>
      <c r="AC416" s="395" t="n">
        <v>116</v>
      </c>
      <c r="AD416" s="282" t="s">
        <v>48</v>
      </c>
      <c r="AE416" s="284" t="n">
        <f aca="false">AB416</f>
        <v>2.04955752212389</v>
      </c>
      <c r="AF416" s="388" t="n">
        <v>21</v>
      </c>
      <c r="AG416" s="285"/>
      <c r="AH416" s="285"/>
      <c r="AI416" s="285"/>
    </row>
    <row r="417" customFormat="false" ht="15" hidden="false" customHeight="true" outlineLevel="0" collapsed="false">
      <c r="B417" s="127" t="n">
        <f aca="false">B416+D417-C417</f>
        <v>10775.25</v>
      </c>
      <c r="D417" s="146" t="n">
        <v>264.5</v>
      </c>
      <c r="E417" s="147" t="n">
        <v>323</v>
      </c>
      <c r="F417" s="147" t="n">
        <f aca="false">IFERROR(VLOOKUP(H417,$AD$1:$AE$301,2,0),"")</f>
        <v>1008030</v>
      </c>
      <c r="G417" s="147" t="str">
        <f aca="false">IFERROR(VLOOKUP(F417,$AE$2:$AF$290,2, 0),"")</f>
        <v>البير</v>
      </c>
      <c r="H417" s="212" t="s">
        <v>298</v>
      </c>
      <c r="I417" s="246" t="n">
        <f aca="false">SUM(K417:R417)</f>
        <v>1</v>
      </c>
      <c r="J417" s="182" t="n">
        <v>45579</v>
      </c>
      <c r="K417" s="184"/>
      <c r="L417" s="185"/>
      <c r="M417" s="150" t="n">
        <v>1</v>
      </c>
      <c r="S417" s="192" t="n">
        <f aca="false">(K417+O417+Q417)*24 /1130+(L417+M417+P417+R417)*12/1130+(N417*30)/1130</f>
        <v>0.0106194690265487</v>
      </c>
      <c r="U417" s="326" t="n">
        <f aca="false">(T416*24+U416*12)/1170</f>
        <v>0.953846153846154</v>
      </c>
      <c r="V417" s="327" t="n">
        <f aca="false">(V416*12)/1170</f>
        <v>0.358974358974359</v>
      </c>
      <c r="W417" s="328"/>
      <c r="X417" s="329" t="n">
        <f aca="false">(W416*30+X416*24+Y416*12)/1130</f>
        <v>0.297345132743363</v>
      </c>
      <c r="Y417" s="328"/>
      <c r="Z417" s="330" t="n">
        <f aca="false">(Z416*24+AA416*12)/850</f>
        <v>0.522352941176471</v>
      </c>
      <c r="AA417" s="330"/>
      <c r="AB417" s="155" t="s">
        <v>645</v>
      </c>
      <c r="AC417" s="331" t="n">
        <v>41</v>
      </c>
      <c r="AD417" s="282" t="s">
        <v>630</v>
      </c>
      <c r="AE417" s="324" t="n">
        <f aca="false">2.99+0.77+1.65+1.04</f>
        <v>6.45</v>
      </c>
      <c r="AF417" s="370" t="n">
        <f aca="false">(AE416/AE417)</f>
        <v>0.317760856143239</v>
      </c>
      <c r="AG417" s="370"/>
      <c r="AH417" s="370"/>
      <c r="AI417" s="367"/>
    </row>
    <row r="418" customFormat="false" ht="15" hidden="false" customHeight="true" outlineLevel="0" collapsed="false">
      <c r="B418" s="127" t="n">
        <f aca="false">B417+D418-C418</f>
        <v>6234</v>
      </c>
      <c r="C418" s="127" t="n">
        <f aca="false">1256+655.5+D416+1000+796</f>
        <v>4541.25</v>
      </c>
      <c r="E418" s="212" t="s">
        <v>470</v>
      </c>
      <c r="F418" s="147" t="str">
        <f aca="false">IFERROR(VLOOKUP(H418,$AD$1:$AE$301,2,0),"")</f>
        <v/>
      </c>
      <c r="G418" s="147" t="str">
        <f aca="false">IFERROR(VLOOKUP(F418,$AE$2:$AF$290,2, 0),"")</f>
        <v/>
      </c>
      <c r="H418" s="212" t="s">
        <v>393</v>
      </c>
      <c r="I418" s="246" t="n">
        <f aca="false">SUM(K418:R418)</f>
        <v>0</v>
      </c>
      <c r="J418" s="182" t="n">
        <v>45579</v>
      </c>
      <c r="K418" s="184"/>
      <c r="L418" s="185"/>
      <c r="S418" s="192" t="n">
        <f aca="false">(K418+O418+Q418)*24 /1130+(L418+M418+P418+R418)*12/1130+(N418*30)/1130</f>
        <v>0</v>
      </c>
      <c r="U418" s="335" t="n">
        <f aca="false">(U417)-2.99</f>
        <v>-2.03615384615385</v>
      </c>
      <c r="V418" s="336" t="n">
        <f aca="false">V417-0.77</f>
        <v>-0.411025641025641</v>
      </c>
      <c r="W418" s="380" t="n">
        <f aca="false">(X417)-1.65</f>
        <v>-1.35265486725664</v>
      </c>
      <c r="X418" s="380"/>
      <c r="Y418" s="380"/>
      <c r="Z418" s="330" t="n">
        <f aca="false">Z417-1.04</f>
        <v>-0.51764705882353</v>
      </c>
      <c r="AA418" s="330"/>
      <c r="AB418" s="385" t="s">
        <v>646</v>
      </c>
      <c r="AC418" s="331" t="n">
        <v>10</v>
      </c>
      <c r="AD418" s="282" t="s">
        <v>641</v>
      </c>
      <c r="AE418" s="332" t="n">
        <f aca="false">AE416-AE417</f>
        <v>-4.40044247787611</v>
      </c>
      <c r="AF418" s="339"/>
      <c r="AG418" s="339"/>
      <c r="AH418" s="339"/>
      <c r="AI418" s="340" t="n">
        <v>5</v>
      </c>
    </row>
    <row r="419" customFormat="false" ht="15" hidden="false" customHeight="true" outlineLevel="0" collapsed="false">
      <c r="B419" s="127" t="n">
        <f aca="false">B418+D419-C419</f>
        <v>0</v>
      </c>
      <c r="C419" s="127" t="n">
        <v>6234</v>
      </c>
      <c r="E419" s="212" t="s">
        <v>392</v>
      </c>
      <c r="F419" s="147" t="str">
        <f aca="false">IFERROR(VLOOKUP(H419,$AD$1:$AE$301,2,0),"")</f>
        <v/>
      </c>
      <c r="G419" s="147" t="str">
        <f aca="false">IFERROR(VLOOKUP(F419,$AE$2:$AF$290,2, 0),"")</f>
        <v/>
      </c>
      <c r="H419" s="212" t="s">
        <v>393</v>
      </c>
      <c r="I419" s="246" t="n">
        <f aca="false">SUM(K419:R419)</f>
        <v>0</v>
      </c>
      <c r="J419" s="182" t="n">
        <v>45580</v>
      </c>
      <c r="K419" s="184"/>
      <c r="L419" s="185"/>
      <c r="S419" s="192" t="n">
        <f aca="false">(K419+O419+Q419)*24 /1130+(L419+M419+P419+R419)*12/1130+(N419*30)/1130</f>
        <v>0</v>
      </c>
      <c r="U419" s="352" t="n">
        <f aca="false">(U418*1170)/24</f>
        <v>-99.2625</v>
      </c>
      <c r="V419" s="355" t="n">
        <f aca="false">(V418*1170)/12</f>
        <v>-40.075</v>
      </c>
      <c r="W419" s="354"/>
      <c r="X419" s="355" t="n">
        <f aca="false">(W418*1120)/24</f>
        <v>-63.1238938053097</v>
      </c>
      <c r="Y419" s="355"/>
      <c r="Z419" s="356" t="n">
        <f aca="false">(Z418*850)/24</f>
        <v>-18.3333333333333</v>
      </c>
      <c r="AA419" s="356"/>
      <c r="AB419" s="155" t="s">
        <v>631</v>
      </c>
      <c r="AC419" s="331" t="n">
        <v>65</v>
      </c>
    </row>
    <row r="420" customFormat="false" ht="15" hidden="false" customHeight="true" outlineLevel="0" collapsed="false">
      <c r="B420" s="127" t="n">
        <f aca="false">B419+D420-C420</f>
        <v>1311</v>
      </c>
      <c r="D420" s="146" t="n">
        <f aca="false">1311</f>
        <v>1311</v>
      </c>
      <c r="E420" s="147" t="n">
        <v>325</v>
      </c>
      <c r="F420" s="147" t="n">
        <f aca="false">IFERROR(VLOOKUP(H420,$AD$1:$AE$301,2,0),"")</f>
        <v>566</v>
      </c>
      <c r="G420" s="147" t="str">
        <f aca="false">IFERROR(VLOOKUP(F420,$AE$2:$AF$290,2, 0),"")</f>
        <v>تبوك</v>
      </c>
      <c r="H420" s="212" t="s">
        <v>168</v>
      </c>
      <c r="I420" s="246" t="n">
        <f aca="false">SUM(K420:R420)</f>
        <v>5</v>
      </c>
      <c r="J420" s="182" t="n">
        <v>45578</v>
      </c>
      <c r="K420" s="184" t="n">
        <f aca="false">2+2</f>
        <v>4</v>
      </c>
      <c r="L420" s="185" t="n">
        <v>1</v>
      </c>
      <c r="S420" s="192" t="n">
        <f aca="false">(K420+O420+Q420)*24 /1130+(L420+M420+P420+R420)*12/1130+(N420*30)/1130</f>
        <v>0.0955752212389381</v>
      </c>
      <c r="U420" s="341" t="n">
        <f aca="false">U417/2.99</f>
        <v>0.319012091587342</v>
      </c>
      <c r="V420" s="342" t="n">
        <f aca="false">V417/0.77</f>
        <v>0.466200466200466</v>
      </c>
      <c r="W420" s="381" t="n">
        <f aca="false">X417/1.65</f>
        <v>0.180209171359614</v>
      </c>
      <c r="X420" s="381"/>
      <c r="Y420" s="381"/>
      <c r="Z420" s="382" t="n">
        <f aca="false">Z417/1.04</f>
        <v>0.502262443438914</v>
      </c>
      <c r="AA420" s="382"/>
      <c r="AB420" s="191"/>
      <c r="AC420" s="209"/>
      <c r="AD420" s="128"/>
    </row>
    <row r="421" customFormat="false" ht="15" hidden="false" customHeight="true" outlineLevel="0" collapsed="false">
      <c r="B421" s="127" t="n">
        <f aca="false">B420+D421-C421</f>
        <v>1466.25</v>
      </c>
      <c r="D421" s="146" t="n">
        <v>155.25</v>
      </c>
      <c r="E421" s="147" t="n">
        <v>324</v>
      </c>
      <c r="F421" s="147" t="n">
        <f aca="false">IFERROR(VLOOKUP(H421,$AD$1:$AE$301,2,0),"")</f>
        <v>1002940</v>
      </c>
      <c r="G421" s="147" t="str">
        <f aca="false">IFERROR(VLOOKUP(F421,$AE$2:$AF$290,2, 0),"")</f>
        <v>تبوك</v>
      </c>
      <c r="H421" s="212" t="s">
        <v>167</v>
      </c>
      <c r="I421" s="246" t="n">
        <f aca="false">SUM(K421:R421)</f>
        <v>1</v>
      </c>
      <c r="J421" s="182" t="n">
        <v>45580</v>
      </c>
      <c r="K421" s="184"/>
      <c r="L421" s="185"/>
      <c r="R421" s="155" t="n">
        <v>1</v>
      </c>
      <c r="S421" s="192" t="n">
        <f aca="false">(K421+O421+Q421)*24 /1130+(L421+M421+P421+R421)*12/1130+(N421*30)/1130</f>
        <v>0.0106194690265487</v>
      </c>
      <c r="T421" s="344" t="n">
        <v>210</v>
      </c>
      <c r="U421" s="344" t="n">
        <v>51</v>
      </c>
      <c r="V421" s="344" t="n">
        <v>148</v>
      </c>
      <c r="W421" s="344" t="n">
        <v>19</v>
      </c>
      <c r="X421" s="344" t="n">
        <v>5</v>
      </c>
      <c r="Y421" s="344" t="n">
        <v>0</v>
      </c>
      <c r="Z421" s="344" t="n">
        <v>45</v>
      </c>
      <c r="AA421" s="344" t="n">
        <v>41</v>
      </c>
      <c r="AB421" s="383" t="n">
        <f aca="false">Z422+X422+V422+U422</f>
        <v>8.45832299937854</v>
      </c>
      <c r="AC421" s="344" t="n">
        <f aca="false">AA421+Z421+Y421+X421+W421+V421+U421+T421</f>
        <v>519</v>
      </c>
      <c r="AD421" s="282" t="s">
        <v>633</v>
      </c>
      <c r="AE421" s="284" t="n">
        <f aca="false">AB421</f>
        <v>8.45832299937854</v>
      </c>
      <c r="AF421" s="388" t="n">
        <v>52</v>
      </c>
      <c r="AG421" s="285"/>
      <c r="AH421" s="285"/>
      <c r="AI421" s="285"/>
    </row>
    <row r="422" customFormat="false" ht="15" hidden="false" customHeight="true" outlineLevel="0" collapsed="false">
      <c r="B422" s="127" t="n">
        <f aca="false">B421+D422-C422</f>
        <v>0</v>
      </c>
      <c r="C422" s="127" t="n">
        <f aca="false">655.5+100+30+630+50.5</f>
        <v>1466</v>
      </c>
      <c r="D422" s="146" t="n">
        <v>-0.25</v>
      </c>
      <c r="E422" s="212" t="s">
        <v>470</v>
      </c>
      <c r="F422" s="147" t="str">
        <f aca="false">IFERROR(VLOOKUP(H422,$AD$1:$AE$301,2,0),"")</f>
        <v/>
      </c>
      <c r="G422" s="147" t="str">
        <f aca="false">IFERROR(VLOOKUP(F422,$AE$2:$AF$290,2, 0),"")</f>
        <v/>
      </c>
      <c r="H422" s="212" t="s">
        <v>393</v>
      </c>
      <c r="I422" s="246" t="n">
        <f aca="false">SUM(K422:R422)</f>
        <v>0</v>
      </c>
      <c r="J422" s="182" t="n">
        <v>45580</v>
      </c>
      <c r="K422" s="184"/>
      <c r="L422" s="185"/>
      <c r="S422" s="192" t="n">
        <f aca="false">(K422+O422+Q422)*24 /1130+(L422+M422+P422+R422)*12/1130+(N422*30)/1130</f>
        <v>0</v>
      </c>
      <c r="U422" s="326" t="n">
        <f aca="false">(T421*24+U421*12)/1169.2</f>
        <v>4.83407458091002</v>
      </c>
      <c r="V422" s="327" t="n">
        <f aca="false">(V421*12)/1171</f>
        <v>1.51665243381725</v>
      </c>
      <c r="W422" s="328"/>
      <c r="X422" s="329" t="n">
        <f aca="false">(W421*30+X421*24+Y421*12)/1137.5</f>
        <v>0.606593406593407</v>
      </c>
      <c r="Y422" s="328"/>
      <c r="Z422" s="330" t="n">
        <f aca="false">(Z421*24+AA421*12)/1047.3</f>
        <v>1.50100257805786</v>
      </c>
      <c r="AA422" s="330"/>
      <c r="AB422" s="155" t="s">
        <v>645</v>
      </c>
      <c r="AC422" s="331"/>
      <c r="AD422" s="282" t="s">
        <v>630</v>
      </c>
      <c r="AE422" s="324" t="n">
        <f aca="false">3.51+0.9+1.94+1.22</f>
        <v>7.57</v>
      </c>
      <c r="AF422" s="370" t="n">
        <f aca="false">(AE421/AE422)</f>
        <v>1.11734782026137</v>
      </c>
      <c r="AG422" s="370"/>
      <c r="AH422" s="370"/>
      <c r="AI422" s="367"/>
    </row>
    <row r="423" customFormat="false" ht="15" hidden="false" customHeight="true" outlineLevel="0" collapsed="false">
      <c r="B423" s="127" t="n">
        <f aca="false">B422+D423-C423</f>
        <v>2144.75</v>
      </c>
      <c r="D423" s="146" t="n">
        <f aca="false">1311+833.75</f>
        <v>2144.75</v>
      </c>
      <c r="E423" s="147" t="n">
        <v>326</v>
      </c>
      <c r="F423" s="147" t="n">
        <f aca="false">IFERROR(VLOOKUP(H423,$AD$1:$AE$301,2,0),"")</f>
        <v>1008024</v>
      </c>
      <c r="G423" s="147" t="str">
        <f aca="false">IFERROR(VLOOKUP(F423,$AE$2:$AF$290,2, 0),"")</f>
        <v>ضباء</v>
      </c>
      <c r="H423" s="212" t="s">
        <v>96</v>
      </c>
      <c r="I423" s="246" t="n">
        <f aca="false">SUM(K423:R423)</f>
        <v>8</v>
      </c>
      <c r="J423" s="182" t="n">
        <v>45581</v>
      </c>
      <c r="K423" s="184" t="n">
        <f aca="false">2+2</f>
        <v>4</v>
      </c>
      <c r="L423" s="185" t="n">
        <v>1</v>
      </c>
      <c r="N423" s="363" t="n">
        <v>1</v>
      </c>
      <c r="O423" s="364" t="n">
        <v>2</v>
      </c>
      <c r="S423" s="192" t="n">
        <f aca="false">(K423+O423+Q423)*24 /1130+(L423+M423+P423+R423)*12/1130+(N423*30)/1130</f>
        <v>0.164601769911504</v>
      </c>
      <c r="U423" s="335" t="n">
        <f aca="false">(U422)-3.51</f>
        <v>1.32407458091002</v>
      </c>
      <c r="V423" s="336" t="n">
        <f aca="false">V422-0.9</f>
        <v>0.61665243381725</v>
      </c>
      <c r="W423" s="380" t="n">
        <f aca="false">(X422)-1.94</f>
        <v>-1.33340659340659</v>
      </c>
      <c r="X423" s="380"/>
      <c r="Y423" s="380"/>
      <c r="Z423" s="330" t="n">
        <f aca="false">Z422-1.22</f>
        <v>0.281002578057863</v>
      </c>
      <c r="AA423" s="330"/>
      <c r="AB423" s="385" t="s">
        <v>646</v>
      </c>
      <c r="AC423" s="331"/>
      <c r="AD423" s="282" t="s">
        <v>641</v>
      </c>
      <c r="AE423" s="332" t="n">
        <f aca="false">AE421-AE422</f>
        <v>0.888322999378544</v>
      </c>
      <c r="AF423" s="339" t="n">
        <f aca="false">U421*5.5+T421*10+V421*16+Z421*7+AA421*7+AF424-54.55</f>
        <v>6098.45</v>
      </c>
      <c r="AG423" s="339"/>
      <c r="AH423" s="339"/>
      <c r="AI423" s="340" t="n">
        <v>6</v>
      </c>
    </row>
    <row r="424" customFormat="false" ht="15" hidden="false" customHeight="true" outlineLevel="0" collapsed="false">
      <c r="B424" s="127" t="n">
        <f aca="false">B423+D424-C424</f>
        <v>2369</v>
      </c>
      <c r="D424" s="146" t="n">
        <v>224.25</v>
      </c>
      <c r="E424" s="147" t="n">
        <v>328</v>
      </c>
      <c r="F424" s="147" t="n">
        <f aca="false">IFERROR(VLOOKUP(H424,$AD$1:$AE$301,2,0),"")</f>
        <v>1008054</v>
      </c>
      <c r="G424" s="147" t="str">
        <f aca="false">IFERROR(VLOOKUP(F424,$AE$2:$AF$290,2, 0),"")</f>
        <v>الوجه</v>
      </c>
      <c r="H424" s="212" t="s">
        <v>112</v>
      </c>
      <c r="I424" s="246" t="n">
        <f aca="false">SUM(K424:R424)</f>
        <v>1</v>
      </c>
      <c r="J424" s="182" t="n">
        <v>45581</v>
      </c>
      <c r="K424" s="184"/>
      <c r="L424" s="185"/>
      <c r="M424" s="150" t="n">
        <v>1</v>
      </c>
      <c r="S424" s="192" t="n">
        <f aca="false">(K424+O424+Q424)*24 /1130+(L424+M424+P424+R424)*12/1130+(N424*30)/1130</f>
        <v>0.0106194690265487</v>
      </c>
      <c r="U424" s="357" t="n">
        <f aca="false">(U423*1169.2)/24</f>
        <v>64.5045</v>
      </c>
      <c r="V424" s="353" t="n">
        <f aca="false">(V423*1171)/12</f>
        <v>60.175</v>
      </c>
      <c r="W424" s="354"/>
      <c r="X424" s="355" t="n">
        <f aca="false">(W423*1137.5)/24</f>
        <v>-63.1979166666667</v>
      </c>
      <c r="Y424" s="355"/>
      <c r="Z424" s="371" t="n">
        <f aca="false">(Z423*1047.3)/24</f>
        <v>12.26225</v>
      </c>
      <c r="AA424" s="371"/>
      <c r="AB424" s="155" t="s">
        <v>631</v>
      </c>
      <c r="AC424" s="331"/>
      <c r="AF424" s="339" t="n">
        <f aca="false">5350*15%</f>
        <v>802.5</v>
      </c>
    </row>
    <row r="425" customFormat="false" ht="15" hidden="false" customHeight="true" outlineLevel="0" collapsed="false">
      <c r="B425" s="127" t="n">
        <f aca="false">B424+D425-C425</f>
        <v>8924</v>
      </c>
      <c r="D425" s="146" t="n">
        <f aca="false">20*327.75</f>
        <v>6555</v>
      </c>
      <c r="E425" s="147" t="n">
        <v>332</v>
      </c>
      <c r="F425" s="147" t="n">
        <f aca="false">IFERROR(VLOOKUP(H425,$AD$1:$AE$301,2,0),"")</f>
        <v>1008048</v>
      </c>
      <c r="G425" s="147" t="str">
        <f aca="false">IFERROR(VLOOKUP(F425,$AE$2:$AF$290,2, 0),"")</f>
        <v>الوجه</v>
      </c>
      <c r="H425" s="212" t="s">
        <v>110</v>
      </c>
      <c r="I425" s="246" t="n">
        <f aca="false">SUM(K425:R425)</f>
        <v>25</v>
      </c>
      <c r="J425" s="182" t="n">
        <v>45581</v>
      </c>
      <c r="K425" s="184" t="n">
        <f aca="false">17+3</f>
        <v>20</v>
      </c>
      <c r="L425" s="185" t="n">
        <v>5</v>
      </c>
      <c r="S425" s="192" t="n">
        <f aca="false">(K425+O425+Q425)*24 /1130+(L425+M425+P425+R425)*12/1130+(N425*30)/1130</f>
        <v>0.47787610619469</v>
      </c>
      <c r="U425" s="341" t="n">
        <f aca="false">U422/3.51</f>
        <v>1.37722922533049</v>
      </c>
      <c r="V425" s="342" t="n">
        <f aca="false">V422/0.9</f>
        <v>1.68516937090806</v>
      </c>
      <c r="W425" s="381" t="n">
        <f aca="false">X422/1.94</f>
        <v>0.312677013707942</v>
      </c>
      <c r="X425" s="381"/>
      <c r="Y425" s="381"/>
      <c r="Z425" s="382" t="n">
        <f aca="false">Z422/1.22</f>
        <v>1.23032998201464</v>
      </c>
      <c r="AA425" s="382"/>
      <c r="AB425" s="191"/>
      <c r="AC425" s="209"/>
      <c r="AD425" s="128"/>
    </row>
    <row r="426" customFormat="false" ht="15" hidden="false" customHeight="true" outlineLevel="0" collapsed="false">
      <c r="B426" s="127" t="n">
        <f aca="false">B425+D426-C426</f>
        <v>3458.25</v>
      </c>
      <c r="C426" s="127" t="n">
        <f aca="false">2084.75+1500+D420+570</f>
        <v>5465.75</v>
      </c>
      <c r="E426" s="212" t="s">
        <v>470</v>
      </c>
      <c r="F426" s="147" t="str">
        <f aca="false">IFERROR(VLOOKUP(H426,$AD$1:$AE$301,2,0),"")</f>
        <v/>
      </c>
      <c r="G426" s="147" t="str">
        <f aca="false">IFERROR(VLOOKUP(F426,$AE$2:$AF$290,2, 0),"")</f>
        <v/>
      </c>
      <c r="H426" s="212" t="s">
        <v>393</v>
      </c>
      <c r="I426" s="246" t="n">
        <f aca="false">SUM(K426:R426)</f>
        <v>0</v>
      </c>
      <c r="J426" s="182" t="n">
        <v>45581</v>
      </c>
      <c r="K426" s="184"/>
      <c r="L426" s="185"/>
      <c r="S426" s="192" t="n">
        <f aca="false">(K426+O426+Q426)*24 /1130+(L426+M426+P426+R426)*12/1130+(N426*30)/1130</f>
        <v>0</v>
      </c>
      <c r="T426" s="344" t="n">
        <v>144</v>
      </c>
      <c r="U426" s="344" t="n">
        <v>36</v>
      </c>
      <c r="V426" s="344" t="n">
        <f aca="false">134-3</f>
        <v>131</v>
      </c>
      <c r="W426" s="344" t="n">
        <v>29</v>
      </c>
      <c r="X426" s="344" t="n">
        <v>10</v>
      </c>
      <c r="Y426" s="344" t="n">
        <v>0</v>
      </c>
      <c r="Z426" s="344" t="n">
        <v>26</v>
      </c>
      <c r="AA426" s="344" t="n">
        <f aca="false">41+3</f>
        <v>44</v>
      </c>
      <c r="AB426" s="383" t="n">
        <f aca="false">Z427+X427+V427+U427</f>
        <v>6.77375443480623</v>
      </c>
      <c r="AC426" s="344" t="n">
        <f aca="false">AA426+Z426+Y426+X426+W426+V426+U426+T426</f>
        <v>420</v>
      </c>
      <c r="AD426" s="282" t="s">
        <v>634</v>
      </c>
      <c r="AE426" s="284" t="n">
        <f aca="false">AB426</f>
        <v>6.77375443480623</v>
      </c>
      <c r="AF426" s="388" t="n">
        <v>56</v>
      </c>
      <c r="AG426" s="285"/>
      <c r="AH426" s="285"/>
      <c r="AI426" s="285"/>
    </row>
    <row r="427" customFormat="false" ht="15" hidden="false" customHeight="true" outlineLevel="0" collapsed="false">
      <c r="B427" s="127" t="n">
        <f aca="false">B426+D427-C427</f>
        <v>6080.25</v>
      </c>
      <c r="D427" s="146" t="n">
        <v>2622</v>
      </c>
      <c r="E427" s="147" t="n">
        <v>329</v>
      </c>
      <c r="F427" s="147" t="n">
        <f aca="false">IFERROR(VLOOKUP(H427,$AD$1:$AE$301,2,0),"")</f>
        <v>1008045</v>
      </c>
      <c r="G427" s="147" t="str">
        <f aca="false">IFERROR(VLOOKUP(F427,$AE$2:$AF$290,2, 0),"")</f>
        <v>الوجه</v>
      </c>
      <c r="H427" s="212" t="s">
        <v>107</v>
      </c>
      <c r="I427" s="246" t="n">
        <f aca="false">SUM(K427:R427)</f>
        <v>10</v>
      </c>
      <c r="J427" s="182" t="n">
        <v>45581</v>
      </c>
      <c r="K427" s="184" t="n">
        <f aca="false">6+2</f>
        <v>8</v>
      </c>
      <c r="L427" s="185" t="n">
        <v>2</v>
      </c>
      <c r="S427" s="192" t="n">
        <f aca="false">(K427+O427+Q427)*24 /1130+(L427+M427+P427+R427)*12/1130+(N427*30)/1130</f>
        <v>0.191150442477876</v>
      </c>
      <c r="U427" s="326" t="n">
        <f aca="false">(T426*24+U426*12)/1168.4</f>
        <v>3.32762752482027</v>
      </c>
      <c r="V427" s="327" t="n">
        <f aca="false">(V426*12)/1171</f>
        <v>1.34244235695986</v>
      </c>
      <c r="W427" s="328"/>
      <c r="X427" s="329" t="n">
        <f aca="false">(W426*30+X426*24+Y426*12)/1139.7</f>
        <v>0.9739405106607</v>
      </c>
      <c r="Y427" s="328"/>
      <c r="Z427" s="330" t="n">
        <f aca="false">(Z426*24+AA426*12)/1019.7</f>
        <v>1.1297440423654</v>
      </c>
      <c r="AA427" s="330"/>
      <c r="AB427" s="155" t="s">
        <v>645</v>
      </c>
      <c r="AC427" s="331"/>
      <c r="AD427" s="282" t="s">
        <v>630</v>
      </c>
      <c r="AE427" s="324" t="n">
        <f aca="false">3.51+0.9+1.94+1.22</f>
        <v>7.57</v>
      </c>
      <c r="AF427" s="370" t="n">
        <f aca="false">(AE426/AE427)</f>
        <v>0.894815645284839</v>
      </c>
      <c r="AG427" s="370"/>
      <c r="AH427" s="370"/>
      <c r="AI427" s="367"/>
    </row>
    <row r="428" customFormat="false" ht="15" hidden="false" customHeight="true" outlineLevel="0" collapsed="false">
      <c r="B428" s="127" t="n">
        <f aca="false">B427+D428-C428</f>
        <v>10013.25</v>
      </c>
      <c r="D428" s="146" t="n">
        <v>3933</v>
      </c>
      <c r="E428" s="147" t="n">
        <v>331</v>
      </c>
      <c r="F428" s="147" t="n">
        <f aca="false">IFERROR(VLOOKUP(H428,$AD$1:$AE$301,2,0),"")</f>
        <v>1008047</v>
      </c>
      <c r="G428" s="147" t="str">
        <f aca="false">IFERROR(VLOOKUP(F428,$AE$2:$AF$290,2, 0),"")</f>
        <v>الوجه</v>
      </c>
      <c r="H428" s="212" t="s">
        <v>422</v>
      </c>
      <c r="I428" s="246" t="n">
        <f aca="false">SUM(K428:R428)</f>
        <v>15</v>
      </c>
      <c r="J428" s="182" t="n">
        <v>45581</v>
      </c>
      <c r="K428" s="184" t="n">
        <f aca="false">10+2</f>
        <v>12</v>
      </c>
      <c r="L428" s="185" t="n">
        <v>3</v>
      </c>
      <c r="S428" s="192" t="n">
        <f aca="false">(K428+O428+Q428)*24 /1130+(L428+M428+P428+R428)*12/1130+(N428*30)/1130</f>
        <v>0.286725663716814</v>
      </c>
      <c r="U428" s="335" t="n">
        <f aca="false">(U427)-3.51</f>
        <v>-0.182372475179733</v>
      </c>
      <c r="V428" s="336" t="n">
        <f aca="false">V427-0.9</f>
        <v>0.442442356959863</v>
      </c>
      <c r="W428" s="380" t="n">
        <f aca="false">(X427)-1.94</f>
        <v>-0.9660594893393</v>
      </c>
      <c r="X428" s="380"/>
      <c r="Y428" s="380"/>
      <c r="Z428" s="330" t="n">
        <f aca="false">Z427-1.22</f>
        <v>-0.0902559576345985</v>
      </c>
      <c r="AA428" s="330"/>
      <c r="AB428" s="385" t="s">
        <v>646</v>
      </c>
      <c r="AC428" s="331"/>
      <c r="AD428" s="282" t="s">
        <v>641</v>
      </c>
      <c r="AE428" s="332" t="n">
        <f aca="false">AE426-AE427</f>
        <v>-0.796245565193767</v>
      </c>
      <c r="AF428" s="396" t="n">
        <f aca="false">U426*2+T426*4+V426*16+Z426*2+AA426*2+AF429-29.2</f>
        <v>3171.99996828</v>
      </c>
      <c r="AG428" s="339"/>
      <c r="AH428" s="339"/>
      <c r="AI428" s="340" t="n">
        <v>7</v>
      </c>
    </row>
    <row r="429" customFormat="false" ht="15" hidden="false" customHeight="true" outlineLevel="0" collapsed="false">
      <c r="B429" s="127" t="n">
        <f aca="false">B428+D429-C429</f>
        <v>11324.25</v>
      </c>
      <c r="D429" s="146" t="n">
        <v>1311</v>
      </c>
      <c r="E429" s="147" t="n">
        <v>330</v>
      </c>
      <c r="F429" s="147" t="n">
        <f aca="false">IFERROR(VLOOKUP(H429,$AD$1:$AE$301,2,0),"")</f>
        <v>1008046</v>
      </c>
      <c r="G429" s="147" t="str">
        <f aca="false">IFERROR(VLOOKUP(F429,$AE$2:$AF$290,2, 0),"")</f>
        <v>الوجه</v>
      </c>
      <c r="H429" s="212" t="s">
        <v>108</v>
      </c>
      <c r="I429" s="246" t="n">
        <f aca="false">SUM(K429:R429)</f>
        <v>5</v>
      </c>
      <c r="J429" s="182" t="n">
        <v>45581</v>
      </c>
      <c r="K429" s="184" t="n">
        <f aca="false">2+2</f>
        <v>4</v>
      </c>
      <c r="L429" s="185" t="n">
        <v>1</v>
      </c>
      <c r="S429" s="192" t="n">
        <f aca="false">(K429+O429+Q429)*24 /1130+(L429+M429+P429+R429)*12/1130+(N429*30)/1130</f>
        <v>0.0955752212389381</v>
      </c>
      <c r="U429" s="352" t="n">
        <f aca="false">(U428*1169.2)/24</f>
        <v>-8.88457908250599</v>
      </c>
      <c r="V429" s="355" t="n">
        <f aca="false">(V428*1171)/12</f>
        <v>43.175</v>
      </c>
      <c r="W429" s="354"/>
      <c r="X429" s="355" t="n">
        <f aca="false">(W428*1037.5)/24</f>
        <v>-41.7619466745635</v>
      </c>
      <c r="Y429" s="355"/>
      <c r="Z429" s="356" t="n">
        <f aca="false">(Z428*1047.3)/24</f>
        <v>-3.93854435127979</v>
      </c>
      <c r="AA429" s="356"/>
      <c r="AB429" s="155" t="s">
        <v>631</v>
      </c>
      <c r="AC429" s="331"/>
      <c r="AF429" s="396" t="n">
        <f aca="false">AF428*10%</f>
        <v>317.19996828</v>
      </c>
    </row>
    <row r="430" customFormat="false" ht="15" hidden="false" customHeight="true" outlineLevel="0" collapsed="false">
      <c r="B430" s="127" t="n">
        <f aca="false">B429+D430-C430</f>
        <v>12635.25</v>
      </c>
      <c r="D430" s="146" t="n">
        <v>1311</v>
      </c>
      <c r="E430" s="147" t="n">
        <v>327</v>
      </c>
      <c r="F430" s="147" t="n">
        <f aca="false">IFERROR(VLOOKUP(H430,$AD$1:$AE$301,2,0),"")</f>
        <v>1008044</v>
      </c>
      <c r="G430" s="147" t="str">
        <f aca="false">IFERROR(VLOOKUP(F430,$AE$2:$AF$290,2, 0),"")</f>
        <v>الوجه</v>
      </c>
      <c r="H430" s="212" t="s">
        <v>106</v>
      </c>
      <c r="I430" s="246" t="n">
        <f aca="false">SUM(K430:R430)</f>
        <v>5</v>
      </c>
      <c r="J430" s="182" t="n">
        <v>45581</v>
      </c>
      <c r="K430" s="184" t="n">
        <f aca="false">4</f>
        <v>4</v>
      </c>
      <c r="L430" s="185" t="n">
        <v>1</v>
      </c>
      <c r="S430" s="192" t="n">
        <f aca="false">(K430+O430+Q430)*24 /1130+(L430+M430+P430+R430)*12/1130+(N430*30)/1130</f>
        <v>0.0955752212389381</v>
      </c>
      <c r="U430" s="341" t="n">
        <f aca="false">U427/3.51</f>
        <v>0.948042029863324</v>
      </c>
      <c r="V430" s="342" t="n">
        <f aca="false">V427/0.9</f>
        <v>1.49160261884429</v>
      </c>
      <c r="W430" s="381" t="n">
        <f aca="false">X427/1.94</f>
        <v>0.502031191062217</v>
      </c>
      <c r="X430" s="381"/>
      <c r="Y430" s="381"/>
      <c r="Z430" s="397" t="n">
        <f aca="false">Z427/1.22</f>
        <v>0.926019706856887</v>
      </c>
      <c r="AA430" s="397"/>
      <c r="AB430" s="191"/>
      <c r="AC430" s="209"/>
      <c r="AD430" s="128"/>
    </row>
    <row r="431" customFormat="false" ht="15" hidden="false" customHeight="true" outlineLevel="0" collapsed="false">
      <c r="B431" s="127" t="n">
        <f aca="false">B430+D431-C431</f>
        <v>12945.75</v>
      </c>
      <c r="D431" s="146" t="n">
        <f aca="false">155.25*2</f>
        <v>310.5</v>
      </c>
      <c r="E431" s="147" t="n">
        <v>333</v>
      </c>
      <c r="F431" s="147" t="n">
        <f aca="false">IFERROR(VLOOKUP(H431,$AD$1:$AE$301,2,0),"")</f>
        <v>1008024</v>
      </c>
      <c r="G431" s="147" t="str">
        <f aca="false">IFERROR(VLOOKUP(F431,$AE$2:$AF$290,2, 0),"")</f>
        <v>ضباء</v>
      </c>
      <c r="H431" s="212" t="s">
        <v>96</v>
      </c>
      <c r="I431" s="246" t="n">
        <f aca="false">SUM(K431:R431)</f>
        <v>2</v>
      </c>
      <c r="J431" s="182" t="n">
        <v>45581</v>
      </c>
      <c r="K431" s="184"/>
      <c r="L431" s="185"/>
      <c r="R431" s="155" t="n">
        <v>2</v>
      </c>
      <c r="S431" s="192" t="n">
        <f aca="false">(K431+O431+Q431)*24 /1130+(L431+M431+P431+R431)*12/1130+(N431*30)/1130</f>
        <v>0.0212389380530973</v>
      </c>
      <c r="T431" s="344" t="n">
        <v>172</v>
      </c>
      <c r="U431" s="344" t="n">
        <v>44</v>
      </c>
      <c r="V431" s="344" t="n">
        <v>138</v>
      </c>
      <c r="W431" s="344" t="n">
        <v>57</v>
      </c>
      <c r="X431" s="344" t="n">
        <v>8</v>
      </c>
      <c r="Y431" s="344" t="n">
        <v>0</v>
      </c>
      <c r="Z431" s="344" t="n">
        <v>33</v>
      </c>
      <c r="AA431" s="344" t="n">
        <v>26</v>
      </c>
      <c r="AB431" s="383" t="n">
        <f aca="false">Z432+X432+V432+U432</f>
        <v>8.15064418385316</v>
      </c>
      <c r="AC431" s="344" t="n">
        <f aca="false">AA431+Z431+Y431+X431+W431+V431+U431+T431</f>
        <v>478</v>
      </c>
      <c r="AD431" s="282" t="s">
        <v>640</v>
      </c>
      <c r="AE431" s="284" t="n">
        <f aca="false">AB431</f>
        <v>8.15064418385316</v>
      </c>
      <c r="AF431" s="388" t="n">
        <v>57</v>
      </c>
      <c r="AG431" s="285"/>
      <c r="AH431" s="285"/>
      <c r="AI431" s="285"/>
    </row>
    <row r="432" customFormat="false" ht="15" hidden="false" customHeight="true" outlineLevel="0" collapsed="false">
      <c r="B432" s="127" t="n">
        <f aca="false">B431+D432-C432</f>
        <v>13204.5</v>
      </c>
      <c r="D432" s="146" t="n">
        <v>258.75</v>
      </c>
      <c r="E432" s="147" t="n">
        <v>334</v>
      </c>
      <c r="F432" s="147" t="n">
        <f aca="false">IFERROR(VLOOKUP(H432,$AD$1:$AE$301,2,0),"")</f>
        <v>1007980</v>
      </c>
      <c r="G432" s="147" t="str">
        <f aca="false">IFERROR(VLOOKUP(F432,$AE$2:$AF$290,2, 0),"")</f>
        <v>ضباء</v>
      </c>
      <c r="H432" s="212" t="s">
        <v>81</v>
      </c>
      <c r="I432" s="246" t="n">
        <f aca="false">SUM(K432:R432)</f>
        <v>1</v>
      </c>
      <c r="J432" s="182" t="n">
        <v>45581</v>
      </c>
      <c r="K432" s="184"/>
      <c r="L432" s="185"/>
      <c r="Q432" s="154" t="n">
        <v>1</v>
      </c>
      <c r="S432" s="192" t="n">
        <f aca="false">(K432+O432+Q432)*24 /1130+(L432+M432+P432+R432)*12/1130+(N432*30)/1130</f>
        <v>0.0212389380530973</v>
      </c>
      <c r="U432" s="326" t="n">
        <f aca="false">(T431*24+U431*12)/1168.4</f>
        <v>3.9849366655255</v>
      </c>
      <c r="V432" s="327" t="n">
        <f aca="false">(V431*12)/1171</f>
        <v>1.41417591801879</v>
      </c>
      <c r="W432" s="328"/>
      <c r="X432" s="329" t="n">
        <f aca="false">(W431*30+X431*24+Y431*12)/1139.7</f>
        <v>1.66886022637536</v>
      </c>
      <c r="Y432" s="328"/>
      <c r="Z432" s="330" t="n">
        <f aca="false">(Z431*24+AA431*12)/1019.7</f>
        <v>1.08267137393351</v>
      </c>
      <c r="AA432" s="330"/>
      <c r="AB432" s="155" t="s">
        <v>645</v>
      </c>
      <c r="AC432" s="331"/>
      <c r="AD432" s="282" t="s">
        <v>630</v>
      </c>
      <c r="AE432" s="324" t="n">
        <f aca="false">3.51+0.9+1.94+1.22</f>
        <v>7.57</v>
      </c>
      <c r="AF432" s="370" t="n">
        <f aca="false">(AE431/AE432)</f>
        <v>1.07670332679698</v>
      </c>
      <c r="AG432" s="370"/>
      <c r="AH432" s="370"/>
      <c r="AI432" s="367"/>
    </row>
    <row r="433" customFormat="false" ht="15" hidden="false" customHeight="true" outlineLevel="0" collapsed="false">
      <c r="B433" s="127" t="n">
        <f aca="false">B432+D433-C433</f>
        <v>-39.5</v>
      </c>
      <c r="C433" s="127" t="n">
        <v>13244</v>
      </c>
      <c r="E433" s="212" t="s">
        <v>392</v>
      </c>
      <c r="F433" s="147" t="str">
        <f aca="false">IFERROR(VLOOKUP(H433,$AD$1:$AE$301,2,0),"")</f>
        <v/>
      </c>
      <c r="G433" s="147" t="str">
        <f aca="false">IFERROR(VLOOKUP(F433,$AE$2:$AF$290,2, 0),"")</f>
        <v/>
      </c>
      <c r="H433" s="398" t="s">
        <v>393</v>
      </c>
      <c r="I433" s="246" t="n">
        <f aca="false">SUM(K433:R433)</f>
        <v>0</v>
      </c>
      <c r="J433" s="182" t="n">
        <v>45582</v>
      </c>
      <c r="K433" s="184"/>
      <c r="L433" s="185"/>
      <c r="S433" s="192" t="n">
        <f aca="false">(K433+O433+Q433)*24 /1130+(L433+M433+P433+R433)*12/1130+(N433*30)/1130</f>
        <v>0</v>
      </c>
      <c r="U433" s="335" t="n">
        <f aca="false">(U432)-3.51</f>
        <v>0.474936665525505</v>
      </c>
      <c r="V433" s="336" t="n">
        <f aca="false">V432-0.9</f>
        <v>0.514175918018787</v>
      </c>
      <c r="W433" s="380" t="n">
        <f aca="false">(X432)-1.94</f>
        <v>-0.271139773624638</v>
      </c>
      <c r="X433" s="380"/>
      <c r="Y433" s="380"/>
      <c r="Z433" s="330" t="n">
        <f aca="false">Z432-1.22</f>
        <v>-0.13732862606649</v>
      </c>
      <c r="AA433" s="330"/>
      <c r="AB433" s="385" t="s">
        <v>646</v>
      </c>
      <c r="AC433" s="331"/>
      <c r="AD433" s="282" t="s">
        <v>641</v>
      </c>
      <c r="AE433" s="332" t="n">
        <f aca="false">AE431-AE432</f>
        <v>0.580644183853164</v>
      </c>
      <c r="AF433" s="339" t="n">
        <f aca="false">U431*5+T431*9+V431*16+Z431*2+AA431*2+W431*2+X431*2+AF434-32.21</f>
        <v>4825.39</v>
      </c>
      <c r="AG433" s="339"/>
      <c r="AH433" s="339"/>
      <c r="AI433" s="340" t="n">
        <v>8</v>
      </c>
    </row>
    <row r="434" customFormat="false" ht="15" hidden="false" customHeight="true" outlineLevel="0" collapsed="false">
      <c r="B434" s="127" t="n">
        <f aca="false">B433+D434-C434</f>
        <v>524</v>
      </c>
      <c r="D434" s="146" t="n">
        <f aca="false">264.5+299</f>
        <v>563.5</v>
      </c>
      <c r="E434" s="147" t="n">
        <v>336</v>
      </c>
      <c r="F434" s="147" t="n">
        <f aca="false">IFERROR(VLOOKUP(H434,$AD$1:$AE$301,2,0),"")</f>
        <v>1008261</v>
      </c>
      <c r="G434" s="147" t="str">
        <f aca="false">IFERROR(VLOOKUP(F434,$AE$2:$AF$290,2, 0),"")</f>
        <v>تبوك</v>
      </c>
      <c r="H434" s="212" t="s">
        <v>440</v>
      </c>
      <c r="I434" s="246" t="n">
        <f aca="false">SUM(K434:R434)</f>
        <v>2</v>
      </c>
      <c r="J434" s="182" t="n">
        <v>45582</v>
      </c>
      <c r="K434" s="184"/>
      <c r="L434" s="185"/>
      <c r="R434" s="155" t="n">
        <v>2</v>
      </c>
      <c r="S434" s="192" t="n">
        <f aca="false">(K434+O434+Q434)*24 /1130+(L434+M434+P434+R434)*12/1130+(N434*30)/1130</f>
        <v>0.0212389380530973</v>
      </c>
      <c r="U434" s="352" t="n">
        <f aca="false">(U433*1120)/24</f>
        <v>22.1637110578569</v>
      </c>
      <c r="V434" s="355" t="n">
        <f aca="false">(V433*1120)/12</f>
        <v>47.9897523484202</v>
      </c>
      <c r="W434" s="354"/>
      <c r="X434" s="355" t="n">
        <f aca="false">(W433*1120)/24</f>
        <v>-12.6531894358164</v>
      </c>
      <c r="Y434" s="355"/>
      <c r="Z434" s="356" t="n">
        <f aca="false">(Z433*1120)/24</f>
        <v>-6.40866921643621</v>
      </c>
      <c r="AA434" s="356"/>
      <c r="AB434" s="155" t="s">
        <v>631</v>
      </c>
      <c r="AC434" s="331"/>
      <c r="AF434" s="399" t="n">
        <f aca="false">4224*15%</f>
        <v>633.6</v>
      </c>
    </row>
    <row r="435" customFormat="false" ht="15" hidden="false" customHeight="true" outlineLevel="0" collapsed="false">
      <c r="A435" s="128" t="n">
        <f aca="false">D435-500-810</f>
        <v>1</v>
      </c>
      <c r="B435" s="127" t="n">
        <f aca="false">B434+D435-C435</f>
        <v>1835</v>
      </c>
      <c r="D435" s="146" t="n">
        <v>1311</v>
      </c>
      <c r="E435" s="147" t="n">
        <v>335</v>
      </c>
      <c r="F435" s="147" t="n">
        <f aca="false">IFERROR(VLOOKUP(H435,$AD$1:$AE$301,2,0),"")</f>
        <v>575</v>
      </c>
      <c r="G435" s="147" t="str">
        <f aca="false">IFERROR(VLOOKUP(F435,$AE$2:$AF$290,2, 0),"")</f>
        <v>تبوك</v>
      </c>
      <c r="H435" s="212" t="s">
        <v>132</v>
      </c>
      <c r="I435" s="246" t="n">
        <f aca="false">SUM(K435:R435)</f>
        <v>5</v>
      </c>
      <c r="J435" s="182" t="n">
        <v>45582</v>
      </c>
      <c r="K435" s="184" t="n">
        <v>4</v>
      </c>
      <c r="L435" s="185" t="n">
        <v>1</v>
      </c>
      <c r="S435" s="192" t="n">
        <f aca="false">(K435+O435+Q435)*24 /1130+(L435+M435+P435+R435)*12/1130+(N435*30)/1130</f>
        <v>0.0955752212389381</v>
      </c>
      <c r="U435" s="341" t="n">
        <f aca="false">U432/3.51</f>
        <v>1.13530959131781</v>
      </c>
      <c r="V435" s="342" t="n">
        <f aca="false">V432/0.9</f>
        <v>1.57130657557643</v>
      </c>
      <c r="W435" s="381" t="n">
        <f aca="false">X432/1.94</f>
        <v>0.860237230090393</v>
      </c>
      <c r="X435" s="381"/>
      <c r="Y435" s="381"/>
      <c r="Z435" s="397" t="n">
        <f aca="false">Z432/1.22</f>
        <v>0.887435552404516</v>
      </c>
      <c r="AA435" s="397"/>
      <c r="AB435" s="191"/>
      <c r="AC435" s="209"/>
      <c r="AD435" s="128"/>
      <c r="AE435" s="159" t="s">
        <v>650</v>
      </c>
      <c r="AF435" s="160" t="n">
        <f aca="false">AF433-AG434</f>
        <v>4825.39</v>
      </c>
    </row>
    <row r="436" customFormat="false" ht="15" hidden="false" customHeight="true" outlineLevel="0" collapsed="false">
      <c r="B436" s="127" t="n">
        <f aca="false">B435+D436-C436</f>
        <v>1100</v>
      </c>
      <c r="C436" s="127" t="n">
        <f aca="false">D434+171.5</f>
        <v>735</v>
      </c>
      <c r="E436" s="212" t="s">
        <v>470</v>
      </c>
      <c r="F436" s="147" t="str">
        <f aca="false">IFERROR(VLOOKUP(H436,$AD$1:$AE$301,2,0),"")</f>
        <v/>
      </c>
      <c r="G436" s="147" t="str">
        <f aca="false">IFERROR(VLOOKUP(F436,$AE$2:$AF$290,2, 0),"")</f>
        <v/>
      </c>
      <c r="H436" s="212" t="s">
        <v>393</v>
      </c>
      <c r="I436" s="246" t="n">
        <f aca="false">SUM(K436:R436)</f>
        <v>0</v>
      </c>
      <c r="J436" s="182" t="n">
        <v>45585</v>
      </c>
      <c r="K436" s="184"/>
      <c r="L436" s="185"/>
      <c r="S436" s="192" t="n">
        <f aca="false">(K436+O436+Q436)*24 /1130+(L436+M436+P436+R436)*12/1130+(N436*30)/1130</f>
        <v>0</v>
      </c>
      <c r="T436" s="344" t="n">
        <v>176</v>
      </c>
      <c r="U436" s="344" t="n">
        <v>32</v>
      </c>
      <c r="V436" s="344" t="n">
        <v>136</v>
      </c>
      <c r="W436" s="344" t="n">
        <v>24</v>
      </c>
      <c r="X436" s="344" t="n">
        <v>2</v>
      </c>
      <c r="Y436" s="344" t="n">
        <v>0</v>
      </c>
      <c r="Z436" s="344" t="n">
        <v>34</v>
      </c>
      <c r="AA436" s="344" t="n">
        <v>19</v>
      </c>
      <c r="AB436" s="383" t="n">
        <f aca="false">Z437+X437+V437+U437</f>
        <v>7.05539700160171</v>
      </c>
      <c r="AC436" s="344" t="n">
        <f aca="false">AA436+Z436+Y436+X436+W436+V436+U436+T436</f>
        <v>423</v>
      </c>
      <c r="AD436" s="282" t="s">
        <v>642</v>
      </c>
      <c r="AE436" s="284" t="n">
        <f aca="false">AB436</f>
        <v>7.05539700160171</v>
      </c>
      <c r="AF436" s="388" t="n">
        <f aca="false">COUNTIF(AC2:AC290,"&gt;0")</f>
        <v>20</v>
      </c>
      <c r="AG436" s="285"/>
      <c r="AH436" s="285"/>
      <c r="AI436" s="285"/>
    </row>
    <row r="437" customFormat="false" ht="15" hidden="false" customHeight="true" outlineLevel="0" collapsed="false">
      <c r="B437" s="127" t="n">
        <f aca="false">B436+D437-C437</f>
        <v>0</v>
      </c>
      <c r="C437" s="127" t="n">
        <v>1100</v>
      </c>
      <c r="E437" s="212" t="s">
        <v>392</v>
      </c>
      <c r="F437" s="147" t="str">
        <f aca="false">IFERROR(VLOOKUP(H437,$AD$1:$AE$301,2,0),"")</f>
        <v/>
      </c>
      <c r="G437" s="147" t="str">
        <f aca="false">IFERROR(VLOOKUP(F437,$AE$2:$AF$290,2, 0),"")</f>
        <v/>
      </c>
      <c r="H437" s="212" t="s">
        <v>393</v>
      </c>
      <c r="I437" s="246" t="n">
        <f aca="false">SUM(K437:R437)</f>
        <v>0</v>
      </c>
      <c r="J437" s="182" t="n">
        <v>45585</v>
      </c>
      <c r="K437" s="184"/>
      <c r="L437" s="185"/>
      <c r="S437" s="192" t="n">
        <f aca="false">(K437+O437+Q437)*24 /1130+(L437+M437+P437+R437)*12/1130+(N437*30)/1130</f>
        <v>0</v>
      </c>
      <c r="U437" s="326" t="n">
        <f aca="false">(T436*24+U436*12)/1168.4</f>
        <v>3.94385484423143</v>
      </c>
      <c r="V437" s="327" t="n">
        <f aca="false">(V436*12)/1171</f>
        <v>1.39368061485909</v>
      </c>
      <c r="W437" s="328"/>
      <c r="X437" s="329" t="n">
        <f aca="false">(W436*30+X436*24+Y436*12)/1139.7</f>
        <v>0.673861542511187</v>
      </c>
      <c r="Y437" s="328"/>
      <c r="Z437" s="330" t="n">
        <f aca="false">(Z436*24+AA436*12)/1000</f>
        <v>1.044</v>
      </c>
      <c r="AA437" s="330"/>
      <c r="AB437" s="155" t="s">
        <v>645</v>
      </c>
      <c r="AC437" s="331"/>
      <c r="AD437" s="282" t="s">
        <v>630</v>
      </c>
      <c r="AE437" s="324" t="n">
        <f aca="false">3.51+0.9+1.94+1.22</f>
        <v>7.57</v>
      </c>
      <c r="AF437" s="370" t="n">
        <f aca="false">(AE436/AE437)</f>
        <v>0.932020739973806</v>
      </c>
      <c r="AG437" s="370"/>
      <c r="AH437" s="370"/>
      <c r="AI437" s="367"/>
    </row>
    <row r="438" customFormat="false" ht="15" hidden="false" customHeight="true" outlineLevel="0" collapsed="false">
      <c r="B438" s="127" t="n">
        <f aca="false">B437+D438-C438</f>
        <v>442.75</v>
      </c>
      <c r="D438" s="146" t="n">
        <v>442.75</v>
      </c>
      <c r="E438" s="147" t="n">
        <v>338</v>
      </c>
      <c r="F438" s="147" t="n">
        <f aca="false">IFERROR(VLOOKUP(H438,$AD$1:$AE$301,2,0),"")</f>
        <v>1008275</v>
      </c>
      <c r="G438" s="147" t="str">
        <f aca="false">IFERROR(VLOOKUP(F438,$AE$2:$AF$290,2, 0),"")</f>
        <v>تبوك</v>
      </c>
      <c r="H438" s="212" t="s">
        <v>179</v>
      </c>
      <c r="I438" s="246" t="n">
        <f aca="false">SUM(K438:R438)</f>
        <v>2</v>
      </c>
      <c r="J438" s="182" t="n">
        <v>45585</v>
      </c>
      <c r="K438" s="184"/>
      <c r="L438" s="185" t="n">
        <v>1</v>
      </c>
      <c r="M438" s="150" t="n">
        <v>1</v>
      </c>
      <c r="S438" s="192" t="n">
        <f aca="false">(K438+O438+Q438)*24 /1130+(L438+M438+P438+R438)*12/1130+(N438*30)/1130</f>
        <v>0.0212389380530973</v>
      </c>
      <c r="U438" s="335" t="n">
        <f aca="false">(U437)-3.51</f>
        <v>0.433854844231428</v>
      </c>
      <c r="V438" s="336" t="n">
        <f aca="false">V437-0.9</f>
        <v>0.493680614859095</v>
      </c>
      <c r="W438" s="380" t="n">
        <f aca="false">(X437)-1.94</f>
        <v>-1.26613845748881</v>
      </c>
      <c r="X438" s="380"/>
      <c r="Y438" s="380"/>
      <c r="Z438" s="330" t="n">
        <f aca="false">Z437-1.22</f>
        <v>-0.176</v>
      </c>
      <c r="AA438" s="330"/>
      <c r="AB438" s="385" t="s">
        <v>646</v>
      </c>
      <c r="AC438" s="331"/>
      <c r="AD438" s="282" t="s">
        <v>641</v>
      </c>
      <c r="AE438" s="332" t="n">
        <f aca="false">AE436-AE437</f>
        <v>-0.514602998398289</v>
      </c>
      <c r="AF438" s="339" t="n">
        <f aca="false">U436*5+T436*9+V436*16+Z436*2+AA436*2+603.9</f>
        <v>4629.9</v>
      </c>
      <c r="AG438" s="339"/>
      <c r="AH438" s="339"/>
      <c r="AI438" s="340" t="n">
        <v>9</v>
      </c>
    </row>
    <row r="439" customFormat="false" ht="15" hidden="false" customHeight="true" outlineLevel="0" collapsed="false">
      <c r="B439" s="127" t="n">
        <f aca="false">B438+D439-C439</f>
        <v>799.25</v>
      </c>
      <c r="D439" s="146" t="n">
        <v>356.5</v>
      </c>
      <c r="E439" s="147" t="n">
        <v>337</v>
      </c>
      <c r="F439" s="147" t="n">
        <f aca="false">IFERROR(VLOOKUP(H439,$AD$1:$AE$301,2,0),"")</f>
        <v>1008275</v>
      </c>
      <c r="G439" s="147" t="str">
        <f aca="false">IFERROR(VLOOKUP(F439,$AE$2:$AF$290,2, 0),"")</f>
        <v>تبوك</v>
      </c>
      <c r="H439" s="212" t="s">
        <v>179</v>
      </c>
      <c r="I439" s="246" t="n">
        <f aca="false">SUM(K439:R439)</f>
        <v>2</v>
      </c>
      <c r="J439" s="182" t="n">
        <v>45585</v>
      </c>
      <c r="K439" s="184"/>
      <c r="L439" s="185" t="n">
        <v>2</v>
      </c>
      <c r="S439" s="192" t="n">
        <f aca="false">(K439+O439+Q439)*24 /1130+(L439+M439+P439+R439)*12/1130+(N439*30)/1130</f>
        <v>0.0212389380530973</v>
      </c>
      <c r="U439" s="352" t="n">
        <f aca="false">(U438*1168.4)/24</f>
        <v>21.1215</v>
      </c>
      <c r="V439" s="355" t="n">
        <f aca="false">(V438*1171)/12</f>
        <v>48.175</v>
      </c>
      <c r="W439" s="354"/>
      <c r="X439" s="355" t="n">
        <f aca="false">(W438*1139.7)/24</f>
        <v>-60.12575</v>
      </c>
      <c r="Y439" s="355"/>
      <c r="Z439" s="356" t="n">
        <f aca="false">(Z438*1000)/24</f>
        <v>-7.33333333333333</v>
      </c>
      <c r="AA439" s="356"/>
      <c r="AB439" s="155" t="s">
        <v>631</v>
      </c>
      <c r="AC439" s="331"/>
      <c r="AF439" s="339" t="n">
        <f aca="false">4026*15%</f>
        <v>603.9</v>
      </c>
    </row>
    <row r="440" customFormat="false" ht="15" hidden="false" customHeight="true" outlineLevel="0" collapsed="false">
      <c r="B440" s="127" t="n">
        <f aca="false">B439+D440-C440</f>
        <v>0</v>
      </c>
      <c r="C440" s="127" t="n">
        <f aca="false">799.25</f>
        <v>799.25</v>
      </c>
      <c r="E440" s="212" t="s">
        <v>638</v>
      </c>
      <c r="F440" s="147" t="str">
        <f aca="false">IFERROR(VLOOKUP(H440,$AD$1:$AE$301,2,0),"")</f>
        <v/>
      </c>
      <c r="G440" s="147" t="str">
        <f aca="false">IFERROR(VLOOKUP(F440,$AE$2:$AF$290,2, 0),"")</f>
        <v/>
      </c>
      <c r="H440" s="212" t="s">
        <v>393</v>
      </c>
      <c r="I440" s="246" t="n">
        <f aca="false">SUM(K440:R440)</f>
        <v>0</v>
      </c>
      <c r="J440" s="182" t="n">
        <v>45585</v>
      </c>
      <c r="K440" s="184"/>
      <c r="L440" s="185"/>
      <c r="S440" s="192" t="n">
        <f aca="false">(K440+O440+Q440)*24 /1130+(L440+M440+P440+R440)*12/1130+(N440*30)/1130</f>
        <v>0</v>
      </c>
      <c r="U440" s="341" t="n">
        <f aca="false">U437/3.51</f>
        <v>1.1236053687269</v>
      </c>
      <c r="V440" s="342" t="n">
        <f aca="false">V437/0.9</f>
        <v>1.54853401651011</v>
      </c>
      <c r="W440" s="381" t="n">
        <f aca="false">X437/1.94</f>
        <v>0.347351310572777</v>
      </c>
      <c r="X440" s="381"/>
      <c r="Y440" s="381"/>
      <c r="Z440" s="382" t="n">
        <f aca="false">Z437/1.22</f>
        <v>0.855737704918033</v>
      </c>
      <c r="AA440" s="382"/>
      <c r="AB440" s="191"/>
      <c r="AC440" s="209"/>
      <c r="AD440" s="128"/>
    </row>
    <row r="441" customFormat="false" ht="15" hidden="false" customHeight="true" outlineLevel="0" collapsed="false">
      <c r="B441" s="127" t="n">
        <f aca="false">B440+D441-C441</f>
        <v>276</v>
      </c>
      <c r="D441" s="146" t="n">
        <v>276</v>
      </c>
      <c r="E441" s="147" t="n">
        <v>339</v>
      </c>
      <c r="F441" s="147" t="n">
        <f aca="false">IFERROR(VLOOKUP(H441,$AD$1:$AE$301,2,0),"")</f>
        <v>1008004</v>
      </c>
      <c r="G441" s="147" t="str">
        <f aca="false">IFERROR(VLOOKUP(F441,$AE$2:$AF$290,2, 0),"")</f>
        <v>حقل</v>
      </c>
      <c r="H441" s="212" t="s">
        <v>316</v>
      </c>
      <c r="I441" s="246" t="n">
        <f aca="false">SUM(K441:R441)</f>
        <v>2</v>
      </c>
      <c r="J441" s="182" t="n">
        <v>45586</v>
      </c>
      <c r="K441" s="184"/>
      <c r="L441" s="185"/>
      <c r="Q441" s="154" t="n">
        <v>2</v>
      </c>
      <c r="S441" s="192" t="n">
        <f aca="false">(K441+O441+Q441)*24 /1130+(L441+M441+P441+R441)*12/1130+(N441*30)/1130</f>
        <v>0.0424778761061947</v>
      </c>
      <c r="T441" s="344" t="n">
        <f aca="false">T291</f>
        <v>65</v>
      </c>
      <c r="U441" s="344" t="n">
        <f aca="false">U291</f>
        <v>50</v>
      </c>
      <c r="V441" s="344" t="n">
        <f aca="false">V291</f>
        <v>0</v>
      </c>
      <c r="W441" s="344" t="n">
        <f aca="false">W291</f>
        <v>6</v>
      </c>
      <c r="X441" s="344" t="n">
        <f aca="false">X291</f>
        <v>2</v>
      </c>
      <c r="Y441" s="344" t="n">
        <f aca="false">Y291</f>
        <v>0</v>
      </c>
      <c r="Z441" s="344" t="n">
        <f aca="false">Z291</f>
        <v>4</v>
      </c>
      <c r="AA441" s="344" t="n">
        <f aca="false">AA291</f>
        <v>8</v>
      </c>
      <c r="AB441" s="383" t="n">
        <f aca="false">Z442+X442+V442+U442</f>
        <v>2.23702527739406</v>
      </c>
      <c r="AC441" s="344" t="n">
        <f aca="false">AA441+Z441+Y441+X441+W441+V441+U441+T441</f>
        <v>135</v>
      </c>
      <c r="AD441" s="282" t="s">
        <v>643</v>
      </c>
      <c r="AE441" s="284" t="n">
        <f aca="false">AB441</f>
        <v>2.23702527739406</v>
      </c>
      <c r="AF441" s="285"/>
      <c r="AG441" s="285"/>
      <c r="AH441" s="285"/>
      <c r="AI441" s="285"/>
    </row>
    <row r="442" customFormat="false" ht="15" hidden="false" customHeight="true" outlineLevel="0" collapsed="false">
      <c r="B442" s="127" t="n">
        <f aca="false">B441+D442-C442</f>
        <v>500.25</v>
      </c>
      <c r="D442" s="146" t="n">
        <v>224.25</v>
      </c>
      <c r="E442" s="147" t="n">
        <v>340</v>
      </c>
      <c r="F442" s="147" t="n">
        <f aca="false">IFERROR(VLOOKUP(H442,$AD$1:$AE$301,2,0),"")</f>
        <v>1007970</v>
      </c>
      <c r="G442" s="147" t="str">
        <f aca="false">IFERROR(VLOOKUP(F442,$AE$2:$AF$290,2, 0),"")</f>
        <v>حقل</v>
      </c>
      <c r="H442" s="212" t="s">
        <v>310</v>
      </c>
      <c r="I442" s="246" t="n">
        <f aca="false">SUM(K442:R442)</f>
        <v>1</v>
      </c>
      <c r="J442" s="182" t="n">
        <v>45586</v>
      </c>
      <c r="K442" s="184"/>
      <c r="L442" s="185"/>
      <c r="M442" s="150" t="n">
        <v>1</v>
      </c>
      <c r="S442" s="192" t="n">
        <f aca="false">(K442+O442+Q442)*24 /1130+(L442+M442+P442+R442)*12/1130+(N442*30)/1130</f>
        <v>0.0106194690265487</v>
      </c>
      <c r="U442" s="326" t="n">
        <f aca="false">(T441*24+U441*12)/1168.4</f>
        <v>1.84868195823348</v>
      </c>
      <c r="V442" s="327" t="n">
        <f aca="false">(V441*12)/1171</f>
        <v>0</v>
      </c>
      <c r="W442" s="328"/>
      <c r="X442" s="329" t="n">
        <f aca="false">(W441*30+X441*24+Y441*12)/1139.7</f>
        <v>0.200052645433009</v>
      </c>
      <c r="Y442" s="328"/>
      <c r="Z442" s="330" t="n">
        <f aca="false">(Z441*24+AA441*12)/1019.7</f>
        <v>0.188290673727567</v>
      </c>
      <c r="AA442" s="330"/>
      <c r="AB442" s="155" t="s">
        <v>645</v>
      </c>
      <c r="AC442" s="331"/>
      <c r="AD442" s="282" t="s">
        <v>630</v>
      </c>
      <c r="AE442" s="324" t="n">
        <f aca="false">3.51+0.9+1.94+1.22</f>
        <v>7.57</v>
      </c>
      <c r="AF442" s="370" t="n">
        <f aca="false">(AE441/AE442)</f>
        <v>0.295511925679532</v>
      </c>
      <c r="AG442" s="370"/>
      <c r="AH442" s="370"/>
      <c r="AI442" s="367"/>
    </row>
    <row r="443" customFormat="false" ht="15" hidden="false" customHeight="true" outlineLevel="0" collapsed="false">
      <c r="B443" s="127" t="n">
        <f aca="false">B442+D443-C443</f>
        <v>655.5</v>
      </c>
      <c r="D443" s="146" t="n">
        <v>155.25</v>
      </c>
      <c r="E443" s="147" t="n">
        <v>341</v>
      </c>
      <c r="F443" s="147" t="n">
        <f aca="false">IFERROR(VLOOKUP(H443,$AD$1:$AE$301,2,0),"")</f>
        <v>1008271</v>
      </c>
      <c r="G443" s="147" t="str">
        <f aca="false">IFERROR(VLOOKUP(F443,$AE$2:$AF$290,2, 0),"")</f>
        <v>تبوك</v>
      </c>
      <c r="H443" s="212" t="s">
        <v>255</v>
      </c>
      <c r="I443" s="246" t="n">
        <f aca="false">SUM(K443:R443)</f>
        <v>1</v>
      </c>
      <c r="J443" s="182" t="n">
        <v>45586</v>
      </c>
      <c r="K443" s="184"/>
      <c r="L443" s="185"/>
      <c r="R443" s="155" t="n">
        <v>1</v>
      </c>
      <c r="S443" s="192" t="n">
        <f aca="false">(K443+O443+Q443)*24 /1130+(L443+M443+P443+R443)*12/1130+(N443*30)/1130</f>
        <v>0.0106194690265487</v>
      </c>
      <c r="U443" s="335" t="n">
        <f aca="false">(U442)-3.51</f>
        <v>-1.66131804176652</v>
      </c>
      <c r="V443" s="336" t="n">
        <f aca="false">V442-0.9</f>
        <v>-0.9</v>
      </c>
      <c r="W443" s="380" t="n">
        <f aca="false">(X442)-1.94</f>
        <v>-1.73994735456699</v>
      </c>
      <c r="X443" s="380"/>
      <c r="Y443" s="380"/>
      <c r="Z443" s="330" t="n">
        <f aca="false">Z442-1.22</f>
        <v>-1.03170932627243</v>
      </c>
      <c r="AA443" s="330"/>
      <c r="AB443" s="385" t="s">
        <v>646</v>
      </c>
      <c r="AC443" s="331"/>
      <c r="AD443" s="282" t="s">
        <v>641</v>
      </c>
      <c r="AE443" s="332" t="n">
        <f aca="false">AE441-AE442</f>
        <v>-5.33297472260594</v>
      </c>
      <c r="AF443" s="339" t="n">
        <f aca="false">U441*6+T441*12+V441*11+Z441*9+AA441*4.5</f>
        <v>1152</v>
      </c>
      <c r="AG443" s="339"/>
      <c r="AH443" s="339"/>
      <c r="AI443" s="340" t="n">
        <v>10</v>
      </c>
    </row>
    <row r="444" customFormat="false" ht="15" hidden="false" customHeight="true" outlineLevel="0" collapsed="false">
      <c r="B444" s="127" t="n">
        <f aca="false">B443+D444-C444</f>
        <v>0.25</v>
      </c>
      <c r="C444" s="127" t="n">
        <f aca="false">327.75+D441+51.5</f>
        <v>655.25</v>
      </c>
      <c r="E444" s="212" t="s">
        <v>470</v>
      </c>
      <c r="F444" s="147" t="str">
        <f aca="false">IFERROR(VLOOKUP(H444,$AD$1:$AE$301,2,0),"")</f>
        <v/>
      </c>
      <c r="G444" s="147" t="str">
        <f aca="false">IFERROR(VLOOKUP(F444,$AE$2:$AF$290,2, 0),"")</f>
        <v/>
      </c>
      <c r="H444" s="212" t="s">
        <v>393</v>
      </c>
      <c r="I444" s="246" t="n">
        <f aca="false">SUM(K444:R444)</f>
        <v>0</v>
      </c>
      <c r="J444" s="182" t="n">
        <v>45586</v>
      </c>
      <c r="K444" s="184"/>
      <c r="L444" s="185"/>
      <c r="S444" s="192" t="n">
        <f aca="false">(K444+O444+Q444)*24 /1130+(L444+M444+P444+R444)*12/1130+(N444*30)/1130</f>
        <v>0</v>
      </c>
      <c r="U444" s="352" t="n">
        <f aca="false">(U443*1120)/24</f>
        <v>-77.5281752824375</v>
      </c>
      <c r="V444" s="355" t="n">
        <f aca="false">(V443*1120)/12</f>
        <v>-84</v>
      </c>
      <c r="W444" s="354"/>
      <c r="X444" s="355" t="n">
        <f aca="false">(W443*1120)/24</f>
        <v>-81.1975432131263</v>
      </c>
      <c r="Y444" s="355"/>
      <c r="Z444" s="356" t="n">
        <f aca="false">(Z443*1120)/24</f>
        <v>-48.1464352260469</v>
      </c>
      <c r="AA444" s="356"/>
      <c r="AB444" s="155" t="s">
        <v>631</v>
      </c>
      <c r="AC444" s="331"/>
    </row>
    <row r="445" customFormat="false" ht="15" hidden="false" customHeight="true" outlineLevel="0" collapsed="false">
      <c r="A445" s="128" t="n">
        <f aca="false">D445-276</f>
        <v>0</v>
      </c>
      <c r="B445" s="127" t="n">
        <f aca="false">B444+D445-C445</f>
        <v>276.25</v>
      </c>
      <c r="D445" s="146" t="n">
        <f aca="false">276</f>
        <v>276</v>
      </c>
      <c r="E445" s="147" t="n">
        <v>342</v>
      </c>
      <c r="F445" s="147" t="n">
        <f aca="false">IFERROR(VLOOKUP(H445,$AD$1:$AE$301,2,0),"")</f>
        <v>580</v>
      </c>
      <c r="G445" s="147" t="str">
        <f aca="false">IFERROR(VLOOKUP(F445,$AE$2:$AF$290,2, 0),"")</f>
        <v>تبوك</v>
      </c>
      <c r="H445" s="212" t="s">
        <v>256</v>
      </c>
      <c r="I445" s="246" t="n">
        <f aca="false">SUM(K445:R445)</f>
        <v>2</v>
      </c>
      <c r="J445" s="182" t="n">
        <v>45585</v>
      </c>
      <c r="K445" s="184"/>
      <c r="L445" s="185"/>
      <c r="Q445" s="154" t="n">
        <v>2</v>
      </c>
      <c r="S445" s="192" t="n">
        <f aca="false">(K445+O445+Q445)*24 /1130+(L445+M445+P445+R445)*12/1130+(N445*30)/1130</f>
        <v>0.0424778761061947</v>
      </c>
      <c r="U445" s="341" t="n">
        <f aca="false">U442/3.51</f>
        <v>0.526690016590735</v>
      </c>
      <c r="V445" s="342" t="n">
        <f aca="false">V442/0.9</f>
        <v>0</v>
      </c>
      <c r="W445" s="381" t="n">
        <f aca="false">X442/1.94</f>
        <v>0.103119920326293</v>
      </c>
      <c r="X445" s="381"/>
      <c r="Y445" s="381"/>
      <c r="Z445" s="382" t="n">
        <f aca="false">Z442/1.22</f>
        <v>0.154336617809481</v>
      </c>
      <c r="AA445" s="382"/>
      <c r="AB445" s="191"/>
      <c r="AC445" s="209"/>
      <c r="AD445" s="128"/>
    </row>
    <row r="446" customFormat="false" ht="15" hidden="false" customHeight="true" outlineLevel="0" collapsed="false">
      <c r="B446" s="127" t="n">
        <f aca="false">B445+D446-C446</f>
        <v>0</v>
      </c>
      <c r="C446" s="127" t="n">
        <f aca="false">D445</f>
        <v>276</v>
      </c>
      <c r="D446" s="146" t="n">
        <v>-0.25</v>
      </c>
      <c r="E446" s="212" t="s">
        <v>470</v>
      </c>
      <c r="F446" s="147" t="str">
        <f aca="false">IFERROR(VLOOKUP(H446,$AD$1:$AE$301,2,0),"")</f>
        <v/>
      </c>
      <c r="G446" s="147" t="str">
        <f aca="false">IFERROR(VLOOKUP(F446,$AE$2:$AF$290,2, 0),"")</f>
        <v/>
      </c>
      <c r="H446" s="212" t="s">
        <v>393</v>
      </c>
      <c r="I446" s="246" t="n">
        <f aca="false">SUM(K446:R446)</f>
        <v>0</v>
      </c>
      <c r="J446" s="182" t="n">
        <v>45586</v>
      </c>
      <c r="K446" s="184"/>
      <c r="L446" s="185"/>
      <c r="S446" s="192" t="n">
        <f aca="false">(K446+O446+Q446)*24 /1130+(L446+M446+P446+R446)*12/1130+(N446*30)/1130</f>
        <v>0</v>
      </c>
      <c r="T446" s="344"/>
      <c r="U446" s="344"/>
      <c r="V446" s="344"/>
      <c r="W446" s="344"/>
      <c r="X446" s="344"/>
      <c r="Y446" s="344"/>
      <c r="Z446" s="344"/>
      <c r="AA446" s="344"/>
      <c r="AB446" s="383" t="n">
        <f aca="false">Z447+X447+V447+U447</f>
        <v>0</v>
      </c>
      <c r="AC446" s="344" t="n">
        <f aca="false">AA446+Z446+Y446+X446+W446+V446+U446+T446</f>
        <v>0</v>
      </c>
      <c r="AD446" s="282" t="s">
        <v>55</v>
      </c>
      <c r="AE446" s="284" t="n">
        <f aca="false">AB446</f>
        <v>0</v>
      </c>
      <c r="AF446" s="285"/>
      <c r="AG446" s="285"/>
      <c r="AH446" s="285"/>
      <c r="AI446" s="285"/>
    </row>
    <row r="447" customFormat="false" ht="15" hidden="false" customHeight="true" outlineLevel="0" collapsed="false">
      <c r="B447" s="127" t="n">
        <f aca="false">B446+D447-C447</f>
        <v>833.75</v>
      </c>
      <c r="D447" s="146" t="n">
        <v>833.75</v>
      </c>
      <c r="E447" s="147" t="n">
        <v>343</v>
      </c>
      <c r="F447" s="147" t="n">
        <f aca="false">IFERROR(VLOOKUP(H447,$AD$1:$AE$301,2,0),"")</f>
        <v>1008024</v>
      </c>
      <c r="G447" s="147" t="str">
        <f aca="false">IFERROR(VLOOKUP(F447,$AE$2:$AF$290,2, 0),"")</f>
        <v>ضباء</v>
      </c>
      <c r="H447" s="212" t="s">
        <v>96</v>
      </c>
      <c r="I447" s="246" t="n">
        <f aca="false">SUM(K447:R447)</f>
        <v>3</v>
      </c>
      <c r="J447" s="182" t="n">
        <v>45588</v>
      </c>
      <c r="K447" s="184"/>
      <c r="L447" s="185"/>
      <c r="N447" s="151" t="n">
        <v>1</v>
      </c>
      <c r="O447" s="152" t="n">
        <v>2</v>
      </c>
      <c r="S447" s="192" t="n">
        <f aca="false">(K447+O447+Q447)*24 /1130+(L447+M447+P447+R447)*12/1130+(N447*30)/1130</f>
        <v>0.0690265486725664</v>
      </c>
      <c r="U447" s="326" t="n">
        <f aca="false">(T446*24+U446*12)/1168.4</f>
        <v>0</v>
      </c>
      <c r="V447" s="327" t="n">
        <f aca="false">(V446*12)/1171</f>
        <v>0</v>
      </c>
      <c r="W447" s="328"/>
      <c r="X447" s="329" t="n">
        <f aca="false">(W446*30+X446*24+Y446*12)/1139.7</f>
        <v>0</v>
      </c>
      <c r="Y447" s="328"/>
      <c r="Z447" s="330" t="n">
        <f aca="false">(Z446*24+AA446*12)/1019.7</f>
        <v>0</v>
      </c>
      <c r="AA447" s="330"/>
      <c r="AB447" s="155" t="s">
        <v>645</v>
      </c>
      <c r="AC447" s="331"/>
      <c r="AD447" s="282" t="s">
        <v>630</v>
      </c>
      <c r="AE447" s="324" t="n">
        <f aca="false">3.25+0.83+1.79+1.13</f>
        <v>7</v>
      </c>
      <c r="AF447" s="370" t="n">
        <f aca="false">(AE446/AE447)</f>
        <v>0</v>
      </c>
      <c r="AG447" s="370"/>
      <c r="AH447" s="370"/>
      <c r="AI447" s="367"/>
    </row>
    <row r="448" customFormat="false" ht="15" hidden="false" customHeight="true" outlineLevel="0" collapsed="false">
      <c r="B448" s="127" t="n">
        <f aca="false">B447+D448-C448</f>
        <v>2144.75</v>
      </c>
      <c r="D448" s="146" t="n">
        <v>1311</v>
      </c>
      <c r="E448" s="147" t="n">
        <v>347</v>
      </c>
      <c r="F448" s="147" t="n">
        <f aca="false">IFERROR(VLOOKUP(H448,$AD$1:$AE$301,2,0),"")</f>
        <v>1008023</v>
      </c>
      <c r="G448" s="147" t="str">
        <f aca="false">IFERROR(VLOOKUP(F448,$AE$2:$AF$290,2, 0),"")</f>
        <v>ضباء</v>
      </c>
      <c r="H448" s="212" t="s">
        <v>95</v>
      </c>
      <c r="I448" s="246" t="n">
        <f aca="false">SUM(K448:R448)</f>
        <v>5</v>
      </c>
      <c r="J448" s="182" t="n">
        <v>45588</v>
      </c>
      <c r="K448" s="184" t="n">
        <v>4</v>
      </c>
      <c r="L448" s="185" t="n">
        <v>1</v>
      </c>
      <c r="S448" s="192" t="n">
        <f aca="false">(K448+O448+Q448)*24 /1130+(L448+M448+P448+R448)*12/1130+(N448*30)/1130</f>
        <v>0.0955752212389381</v>
      </c>
      <c r="U448" s="335" t="n">
        <f aca="false">(U447)-3.25</f>
        <v>-3.25</v>
      </c>
      <c r="V448" s="336" t="n">
        <f aca="false">V447-0.83</f>
        <v>-0.83</v>
      </c>
      <c r="W448" s="380" t="n">
        <f aca="false">(X447)-1.79</f>
        <v>-1.79</v>
      </c>
      <c r="X448" s="380"/>
      <c r="Y448" s="380"/>
      <c r="Z448" s="400" t="n">
        <f aca="false">Z447-1.13</f>
        <v>-1.13</v>
      </c>
      <c r="AA448" s="400"/>
      <c r="AB448" s="385" t="s">
        <v>646</v>
      </c>
      <c r="AC448" s="331"/>
      <c r="AD448" s="282" t="s">
        <v>641</v>
      </c>
      <c r="AE448" s="332" t="n">
        <f aca="false">AE446-AE447</f>
        <v>-7</v>
      </c>
      <c r="AF448" s="339" t="n">
        <f aca="false">U446*6+T446*12+V446*11+Z446*9+AA446*4.5</f>
        <v>0</v>
      </c>
      <c r="AG448" s="339"/>
      <c r="AH448" s="339"/>
      <c r="AI448" s="340" t="n">
        <v>11</v>
      </c>
    </row>
    <row r="449" customFormat="false" ht="15" hidden="false" customHeight="true" outlineLevel="0" collapsed="false">
      <c r="B449" s="127" t="n">
        <f aca="false">B448+D449-C449</f>
        <v>2420.75</v>
      </c>
      <c r="D449" s="146" t="n">
        <v>276</v>
      </c>
      <c r="E449" s="147" t="n">
        <v>346</v>
      </c>
      <c r="F449" s="147" t="n">
        <f aca="false">IFERROR(VLOOKUP(H449,$AD$1:$AE$301,2,0),"")</f>
        <v>1008023</v>
      </c>
      <c r="G449" s="147" t="str">
        <f aca="false">IFERROR(VLOOKUP(F449,$AE$2:$AF$290,2, 0),"")</f>
        <v>ضباء</v>
      </c>
      <c r="H449" s="212" t="s">
        <v>95</v>
      </c>
      <c r="I449" s="246" t="n">
        <f aca="false">SUM(K449:R449)</f>
        <v>2</v>
      </c>
      <c r="J449" s="182" t="n">
        <v>45588</v>
      </c>
      <c r="K449" s="184"/>
      <c r="L449" s="185"/>
      <c r="O449" s="152" t="n">
        <v>2</v>
      </c>
      <c r="S449" s="192" t="n">
        <f aca="false">(K449+O449+Q449)*24 /1130+(L449+M449+P449+R449)*12/1130+(N449*30)/1130</f>
        <v>0.0424778761061947</v>
      </c>
      <c r="U449" s="352" t="n">
        <f aca="false">(U448*1120)/24</f>
        <v>-151.666666666667</v>
      </c>
      <c r="V449" s="355" t="n">
        <f aca="false">(V448*1120)/12</f>
        <v>-77.4666666666667</v>
      </c>
      <c r="W449" s="354"/>
      <c r="X449" s="355" t="n">
        <f aca="false">(W448*1120)/24</f>
        <v>-83.5333333333333</v>
      </c>
      <c r="Y449" s="355"/>
      <c r="Z449" s="356" t="n">
        <f aca="false">(Z448*1120)/24</f>
        <v>-52.7333333333333</v>
      </c>
      <c r="AA449" s="356"/>
      <c r="AB449" s="155" t="s">
        <v>631</v>
      </c>
      <c r="AC449" s="331"/>
    </row>
    <row r="450" customFormat="false" ht="15" hidden="false" customHeight="true" outlineLevel="0" collapsed="false">
      <c r="B450" s="127" t="n">
        <f aca="false">B449+D450-C450</f>
        <v>3438.5</v>
      </c>
      <c r="D450" s="401" t="n">
        <f aca="false">258.75*3+241.5</f>
        <v>1017.75</v>
      </c>
      <c r="E450" s="147" t="n">
        <v>345</v>
      </c>
      <c r="F450" s="147" t="n">
        <f aca="false">IFERROR(VLOOKUP(H450,$AD$1:$AE$301,2,0),"")</f>
        <v>1007988</v>
      </c>
      <c r="G450" s="147" t="str">
        <f aca="false">IFERROR(VLOOKUP(F450,$AE$2:$AF$290,2, 0),"")</f>
        <v>ضباء</v>
      </c>
      <c r="H450" s="212" t="s">
        <v>89</v>
      </c>
      <c r="I450" s="246" t="n">
        <f aca="false">SUM(K450:R450)</f>
        <v>4</v>
      </c>
      <c r="J450" s="182" t="n">
        <v>45588</v>
      </c>
      <c r="K450" s="184"/>
      <c r="L450" s="185"/>
      <c r="M450" s="150" t="n">
        <v>1</v>
      </c>
      <c r="O450" s="152" t="n">
        <v>3</v>
      </c>
      <c r="S450" s="192" t="n">
        <f aca="false">(K450+O450+Q450)*24 /1130+(L450+M450+P450+R450)*12/1130+(N450*30)/1130</f>
        <v>0.0743362831858407</v>
      </c>
      <c r="U450" s="341" t="n">
        <f aca="false">U447/3.25</f>
        <v>0</v>
      </c>
      <c r="V450" s="342" t="n">
        <f aca="false">V447/0.83</f>
        <v>0</v>
      </c>
      <c r="W450" s="381" t="n">
        <f aca="false">X447/1.79</f>
        <v>0</v>
      </c>
      <c r="X450" s="381"/>
      <c r="Y450" s="381"/>
      <c r="Z450" s="382" t="n">
        <f aca="false">Z447/1.13</f>
        <v>0</v>
      </c>
      <c r="AA450" s="382"/>
      <c r="AB450" s="191"/>
      <c r="AC450" s="209"/>
      <c r="AD450" s="128"/>
    </row>
    <row r="451" customFormat="false" ht="15" hidden="false" customHeight="true" outlineLevel="0" collapsed="false">
      <c r="B451" s="127" t="n">
        <f aca="false">B450+D451-C451</f>
        <v>4749.5</v>
      </c>
      <c r="D451" s="146" t="n">
        <v>1311</v>
      </c>
      <c r="E451" s="147" t="n">
        <v>344</v>
      </c>
      <c r="F451" s="147" t="n">
        <f aca="false">IFERROR(VLOOKUP(H451,$AD$1:$AE$301,2,0),"")</f>
        <v>1008025</v>
      </c>
      <c r="G451" s="147" t="str">
        <f aca="false">IFERROR(VLOOKUP(F451,$AE$2:$AF$290,2, 0),"")</f>
        <v>ضباء</v>
      </c>
      <c r="H451" s="212" t="s">
        <v>97</v>
      </c>
      <c r="I451" s="246" t="n">
        <f aca="false">SUM(K451:R451)</f>
        <v>5</v>
      </c>
      <c r="J451" s="182" t="n">
        <v>45588</v>
      </c>
      <c r="K451" s="184" t="n">
        <v>4</v>
      </c>
      <c r="L451" s="185" t="n">
        <v>1</v>
      </c>
      <c r="S451" s="192" t="n">
        <f aca="false">(K451+O451+Q451)*24 /1130+(L451+M451+P451+R451)*12/1130+(N451*30)/1130</f>
        <v>0.0955752212389381</v>
      </c>
      <c r="T451" s="344"/>
      <c r="U451" s="344"/>
      <c r="V451" s="344"/>
      <c r="W451" s="344"/>
      <c r="X451" s="344"/>
      <c r="Y451" s="344"/>
      <c r="Z451" s="344"/>
      <c r="AA451" s="344"/>
      <c r="AB451" s="383" t="n">
        <f aca="false">Z452+X452+V452+U452</f>
        <v>0</v>
      </c>
      <c r="AC451" s="344" t="n">
        <f aca="false">AA451+Z451+Y451+X451+W451+V451+U451+T451</f>
        <v>0</v>
      </c>
      <c r="AD451" s="282" t="s">
        <v>56</v>
      </c>
      <c r="AE451" s="284" t="n">
        <f aca="false">AB451</f>
        <v>0</v>
      </c>
      <c r="AF451" s="285"/>
      <c r="AG451" s="285"/>
      <c r="AH451" s="285"/>
      <c r="AI451" s="285"/>
    </row>
    <row r="452" customFormat="false" ht="15" hidden="false" customHeight="true" outlineLevel="0" collapsed="false">
      <c r="B452" s="127" t="n">
        <f aca="false">B451+D452-C452</f>
        <v>2530.5</v>
      </c>
      <c r="C452" s="127" t="n">
        <f aca="false">774+161+300+984</f>
        <v>2219</v>
      </c>
      <c r="E452" s="212" t="s">
        <v>470</v>
      </c>
      <c r="F452" s="147" t="str">
        <f aca="false">IFERROR(VLOOKUP(H452,$AD$1:$AE$301,2,0),"")</f>
        <v/>
      </c>
      <c r="G452" s="147" t="str">
        <f aca="false">IFERROR(VLOOKUP(F452,$AE$2:$AF$290,2, 0),"")</f>
        <v/>
      </c>
      <c r="H452" s="212" t="s">
        <v>393</v>
      </c>
      <c r="I452" s="246" t="n">
        <f aca="false">SUM(K452:R452)</f>
        <v>0</v>
      </c>
      <c r="J452" s="182" t="n">
        <v>45588</v>
      </c>
      <c r="K452" s="184"/>
      <c r="L452" s="185"/>
      <c r="S452" s="192" t="n">
        <f aca="false">(K452+O452+Q452)*24 /1130+(L452+M452+P452+R452)*12/1130+(N452*30)/1130</f>
        <v>0</v>
      </c>
      <c r="U452" s="326" t="n">
        <f aca="false">(T451*24+U451*12)/1168.4</f>
        <v>0</v>
      </c>
      <c r="V452" s="327" t="n">
        <f aca="false">(V451*12)/1171</f>
        <v>0</v>
      </c>
      <c r="W452" s="328"/>
      <c r="X452" s="329" t="n">
        <f aca="false">(W451*30+X451*24+Y451*12)/1139.7</f>
        <v>0</v>
      </c>
      <c r="Y452" s="328"/>
      <c r="Z452" s="330" t="n">
        <f aca="false">(Z451*24+AA451*12)/1019.7</f>
        <v>0</v>
      </c>
      <c r="AA452" s="330"/>
      <c r="AB452" s="155" t="s">
        <v>645</v>
      </c>
      <c r="AC452" s="331"/>
      <c r="AD452" s="282" t="s">
        <v>630</v>
      </c>
      <c r="AE452" s="324" t="n">
        <f aca="false">3.12+0.8+1.72+1.08</f>
        <v>6.72</v>
      </c>
      <c r="AF452" s="370" t="n">
        <f aca="false">(AE451/AE452)</f>
        <v>0</v>
      </c>
      <c r="AG452" s="370"/>
      <c r="AH452" s="370"/>
      <c r="AI452" s="367"/>
    </row>
    <row r="453" customFormat="false" ht="15" hidden="false" customHeight="true" outlineLevel="0" collapsed="false">
      <c r="B453" s="127" t="n">
        <f aca="false">B452+D453-C453</f>
        <v>0</v>
      </c>
      <c r="C453" s="127" t="n">
        <v>2530</v>
      </c>
      <c r="D453" s="146" t="n">
        <v>-0.5</v>
      </c>
      <c r="E453" s="212" t="s">
        <v>392</v>
      </c>
      <c r="F453" s="147" t="str">
        <f aca="false">IFERROR(VLOOKUP(H453,$AD$1:$AE$301,2,0),"")</f>
        <v/>
      </c>
      <c r="G453" s="147" t="str">
        <f aca="false">IFERROR(VLOOKUP(F453,$AE$2:$AF$290,2, 0),"")</f>
        <v/>
      </c>
      <c r="H453" s="212" t="s">
        <v>393</v>
      </c>
      <c r="I453" s="246" t="n">
        <f aca="false">SUM(K453:R453)</f>
        <v>0</v>
      </c>
      <c r="J453" s="182" t="n">
        <v>45588</v>
      </c>
      <c r="K453" s="184"/>
      <c r="L453" s="185"/>
      <c r="S453" s="192" t="n">
        <f aca="false">(K453+O453+Q453)*24 /1130+(L453+M453+P453+R453)*12/1130+(N453*30)/1130</f>
        <v>0</v>
      </c>
      <c r="U453" s="335" t="n">
        <f aca="false">(U452)-3.12</f>
        <v>-3.12</v>
      </c>
      <c r="V453" s="336" t="n">
        <f aca="false">V452-0.8</f>
        <v>-0.8</v>
      </c>
      <c r="W453" s="380" t="n">
        <f aca="false">(X452)-1.72</f>
        <v>-1.72</v>
      </c>
      <c r="X453" s="380"/>
      <c r="Y453" s="380"/>
      <c r="Z453" s="330" t="n">
        <f aca="false">Z452-1.08</f>
        <v>-1.08</v>
      </c>
      <c r="AA453" s="330"/>
      <c r="AB453" s="385" t="s">
        <v>646</v>
      </c>
      <c r="AC453" s="331"/>
      <c r="AD453" s="282" t="s">
        <v>641</v>
      </c>
      <c r="AE453" s="332" t="n">
        <f aca="false">AE451-AE452</f>
        <v>-6.72</v>
      </c>
      <c r="AF453" s="339" t="n">
        <f aca="false">U451*6+T451*12+V451*11+Z451*9+AA451*4.5</f>
        <v>0</v>
      </c>
      <c r="AG453" s="339"/>
      <c r="AH453" s="339"/>
      <c r="AI453" s="340" t="n">
        <v>12</v>
      </c>
    </row>
    <row r="454" customFormat="false" ht="15" hidden="false" customHeight="true" outlineLevel="0" collapsed="false">
      <c r="B454" s="127" t="n">
        <f aca="false">B453+D454-C454</f>
        <v>1311</v>
      </c>
      <c r="D454" s="146" t="n">
        <v>1311</v>
      </c>
      <c r="E454" s="147" t="n">
        <v>349</v>
      </c>
      <c r="F454" s="147" t="n">
        <f aca="false">IFERROR(VLOOKUP(H454,$AD$1:$AE$301,2,0),"")</f>
        <v>540</v>
      </c>
      <c r="G454" s="147" t="str">
        <f aca="false">IFERROR(VLOOKUP(F454,$AE$2:$AF$290,2, 0),"")</f>
        <v>تبوك</v>
      </c>
      <c r="H454" s="212" t="s">
        <v>222</v>
      </c>
      <c r="I454" s="246" t="n">
        <f aca="false">SUM(K454:R454)</f>
        <v>5</v>
      </c>
      <c r="J454" s="182" t="n">
        <v>45588</v>
      </c>
      <c r="K454" s="184" t="n">
        <v>4</v>
      </c>
      <c r="L454" s="185" t="n">
        <v>1</v>
      </c>
      <c r="S454" s="192" t="n">
        <f aca="false">(K454+O454+Q454)*24 /1130+(L454+M454+P454+R454)*12/1130+(N454*30)/1130</f>
        <v>0.0955752212389381</v>
      </c>
      <c r="U454" s="352" t="n">
        <f aca="false">(U453*1120)/24</f>
        <v>-145.6</v>
      </c>
      <c r="V454" s="355" t="n">
        <f aca="false">(V453*1120)/12</f>
        <v>-74.6666666666667</v>
      </c>
      <c r="W454" s="354"/>
      <c r="X454" s="355" t="n">
        <f aca="false">(W453*1120)/24</f>
        <v>-80.2666666666667</v>
      </c>
      <c r="Y454" s="355"/>
      <c r="Z454" s="356" t="n">
        <f aca="false">(Z453*1120)/24</f>
        <v>-50.4</v>
      </c>
      <c r="AA454" s="356"/>
      <c r="AB454" s="155" t="s">
        <v>631</v>
      </c>
      <c r="AC454" s="331"/>
    </row>
    <row r="455" customFormat="false" ht="15" hidden="false" customHeight="true" outlineLevel="0" collapsed="false">
      <c r="B455" s="127" t="n">
        <f aca="false">B454+D455-C455</f>
        <v>1449</v>
      </c>
      <c r="D455" s="146" t="n">
        <v>138</v>
      </c>
      <c r="E455" s="147" t="n">
        <v>348</v>
      </c>
      <c r="F455" s="147" t="n">
        <f aca="false">IFERROR(VLOOKUP(H455,$AD$1:$AE$301,2,0),"")</f>
        <v>1008261</v>
      </c>
      <c r="G455" s="147" t="str">
        <f aca="false">IFERROR(VLOOKUP(F455,$AE$2:$AF$290,2, 0),"")</f>
        <v>تبوك</v>
      </c>
      <c r="H455" s="212" t="s">
        <v>440</v>
      </c>
      <c r="I455" s="246" t="n">
        <f aca="false">SUM(K455:R455)</f>
        <v>1</v>
      </c>
      <c r="J455" s="182" t="n">
        <v>45588</v>
      </c>
      <c r="K455" s="184"/>
      <c r="L455" s="185"/>
      <c r="Q455" s="154" t="n">
        <v>1</v>
      </c>
      <c r="S455" s="192" t="n">
        <f aca="false">(K455+O455+Q455)*24 /1130+(L455+M455+P455+R455)*12/1130+(N455*30)/1130</f>
        <v>0.0212389380530973</v>
      </c>
      <c r="U455" s="341" t="n">
        <f aca="false">U452/3.12</f>
        <v>0</v>
      </c>
      <c r="V455" s="342" t="n">
        <f aca="false">V452/0.8</f>
        <v>0</v>
      </c>
      <c r="W455" s="381" t="n">
        <f aca="false">X452/1.72</f>
        <v>0</v>
      </c>
      <c r="X455" s="381"/>
      <c r="Y455" s="381"/>
      <c r="Z455" s="382" t="n">
        <f aca="false">Z452/1.08</f>
        <v>0</v>
      </c>
      <c r="AA455" s="382"/>
      <c r="AB455" s="191"/>
      <c r="AC455" s="209"/>
      <c r="AD455" s="128"/>
    </row>
    <row r="456" customFormat="false" ht="15" hidden="false" customHeight="true" outlineLevel="0" collapsed="false">
      <c r="B456" s="127" t="n">
        <f aca="false">B455+D456-C456</f>
        <v>700</v>
      </c>
      <c r="C456" s="127" t="n">
        <f aca="false">D455+11+600</f>
        <v>749</v>
      </c>
      <c r="E456" s="212" t="s">
        <v>470</v>
      </c>
      <c r="F456" s="147" t="str">
        <f aca="false">IFERROR(VLOOKUP(H456,$AD$1:$AE$301,2,0),"")</f>
        <v/>
      </c>
      <c r="G456" s="147" t="str">
        <f aca="false">IFERROR(VLOOKUP(F456,$AE$2:$AF$290,2, 0),"")</f>
        <v/>
      </c>
      <c r="H456" s="212" t="s">
        <v>393</v>
      </c>
      <c r="I456" s="246" t="n">
        <f aca="false">SUM(K456:R456)</f>
        <v>0</v>
      </c>
      <c r="J456" s="182" t="n">
        <v>45588</v>
      </c>
      <c r="K456" s="184"/>
      <c r="L456" s="185"/>
      <c r="S456" s="192" t="n">
        <f aca="false">(K456+O456+Q456)*24 /1130+(L456+M456+P456+R456)*12/1130+(N456*30)/1130</f>
        <v>0</v>
      </c>
    </row>
    <row r="457" customFormat="false" ht="15" hidden="true" customHeight="true" outlineLevel="0" collapsed="false">
      <c r="B457" s="127" t="n">
        <f aca="false">B456+D457-C457</f>
        <v>0</v>
      </c>
      <c r="C457" s="127" t="n">
        <v>700</v>
      </c>
      <c r="E457" s="212" t="s">
        <v>392</v>
      </c>
      <c r="F457" s="147" t="str">
        <f aca="false">IFERROR(VLOOKUP(H457,$AD$1:$AE$301,2,0),"")</f>
        <v/>
      </c>
      <c r="G457" s="147" t="str">
        <f aca="false">IFERROR(VLOOKUP(F457,$AE$2:$AF$290,2, 0),"")</f>
        <v/>
      </c>
      <c r="H457" s="212" t="s">
        <v>393</v>
      </c>
      <c r="I457" s="246" t="n">
        <f aca="false">SUM(K457:R457)</f>
        <v>0</v>
      </c>
      <c r="J457" s="182" t="n">
        <v>45588</v>
      </c>
      <c r="K457" s="184"/>
      <c r="L457" s="185"/>
      <c r="S457" s="192" t="n">
        <f aca="false">(K457+O457+Q457)*24 /1130+(L457+M457+P457+R457)*12/1130+(N457*30)/1130</f>
        <v>0</v>
      </c>
    </row>
    <row r="458" customFormat="false" ht="15" hidden="true" customHeight="true" outlineLevel="0" collapsed="false">
      <c r="B458" s="127" t="n">
        <f aca="false">B457+D458-C458</f>
        <v>948.75</v>
      </c>
      <c r="D458" s="146" t="n">
        <f aca="false">3*316.25</f>
        <v>948.75</v>
      </c>
      <c r="E458" s="147" t="n">
        <v>350</v>
      </c>
      <c r="F458" s="147" t="n">
        <f aca="false">IFERROR(VLOOKUP(H458,$AD$1:$AE$301,2,0),"")</f>
        <v>587</v>
      </c>
      <c r="G458" s="147" t="str">
        <f aca="false">IFERROR(VLOOKUP(F458,$AE$2:$AF$290,2, 0),"")</f>
        <v>تبوك</v>
      </c>
      <c r="H458" s="212" t="s">
        <v>226</v>
      </c>
      <c r="I458" s="246" t="n">
        <f aca="false">SUM(K458:R458)</f>
        <v>3</v>
      </c>
      <c r="J458" s="182" t="n">
        <v>45592</v>
      </c>
      <c r="K458" s="184"/>
      <c r="L458" s="185"/>
      <c r="N458" s="151" t="n">
        <v>3</v>
      </c>
      <c r="S458" s="192" t="n">
        <f aca="false">(K458+O458+Q458)*24 /1130+(L458+M458+P458+R458)*12/1130+(N458*30)/1130</f>
        <v>0.079646017699115</v>
      </c>
    </row>
    <row r="459" customFormat="false" ht="15" hidden="true" customHeight="true" outlineLevel="0" collapsed="false">
      <c r="B459" s="127" t="n">
        <f aca="false">B458+D459-C459</f>
        <v>0.75</v>
      </c>
      <c r="C459" s="127" t="n">
        <v>948</v>
      </c>
      <c r="E459" s="212" t="s">
        <v>392</v>
      </c>
      <c r="F459" s="147" t="str">
        <f aca="false">IFERROR(VLOOKUP(H459,$AD$1:$AE$301,2,0),"")</f>
        <v/>
      </c>
      <c r="G459" s="147" t="str">
        <f aca="false">IFERROR(VLOOKUP(F459,$AE$2:$AF$290,2, 0),"")</f>
        <v/>
      </c>
      <c r="H459" s="212" t="s">
        <v>393</v>
      </c>
      <c r="I459" s="246" t="n">
        <f aca="false">SUM(K459:R459)</f>
        <v>0</v>
      </c>
      <c r="J459" s="182" t="n">
        <v>45585</v>
      </c>
      <c r="K459" s="184"/>
      <c r="L459" s="185"/>
      <c r="S459" s="192" t="n">
        <f aca="false">(K459+O459+Q459)*24 /1130+(L459+M459+P459+R459)*12/1130+(N459*30)/1130</f>
        <v>0</v>
      </c>
    </row>
    <row r="460" customFormat="false" ht="15" hidden="true" customHeight="true" outlineLevel="0" collapsed="false">
      <c r="B460" s="127" t="n">
        <f aca="false">B459+D460-C460</f>
        <v>984</v>
      </c>
      <c r="D460" s="146" t="n">
        <f aca="false">3*327.75</f>
        <v>983.25</v>
      </c>
      <c r="E460" s="147" t="n">
        <v>352</v>
      </c>
      <c r="F460" s="147" t="n">
        <f aca="false">IFERROR(VLOOKUP(H460,$AD$1:$AE$301,2,0),"")</f>
        <v>1008030</v>
      </c>
      <c r="G460" s="147" t="str">
        <f aca="false">IFERROR(VLOOKUP(F460,$AE$2:$AF$290,2, 0),"")</f>
        <v>البير</v>
      </c>
      <c r="H460" s="212" t="s">
        <v>298</v>
      </c>
      <c r="I460" s="246" t="n">
        <f aca="false">SUM(K460:R460)</f>
        <v>3</v>
      </c>
      <c r="J460" s="182" t="n">
        <v>45586</v>
      </c>
      <c r="K460" s="184"/>
      <c r="L460" s="185"/>
      <c r="N460" s="151" t="n">
        <v>3</v>
      </c>
      <c r="S460" s="192" t="n">
        <f aca="false">(K460+O460+Q460)*24 /1130+(L460+M460+P460+R460)*12/1130+(N460*30)/1130</f>
        <v>0.079646017699115</v>
      </c>
    </row>
    <row r="461" customFormat="false" ht="15" hidden="true" customHeight="true" outlineLevel="0" collapsed="false">
      <c r="B461" s="127" t="n">
        <f aca="false">B460+D461-C461</f>
        <v>1932.75</v>
      </c>
      <c r="D461" s="146" t="n">
        <f aca="false">3*316.25</f>
        <v>948.75</v>
      </c>
      <c r="E461" s="147" t="n">
        <v>351</v>
      </c>
      <c r="F461" s="147" t="n">
        <f aca="false">IFERROR(VLOOKUP(H461,$AD$1:$AE$301,2,0),"")</f>
        <v>1007996</v>
      </c>
      <c r="G461" s="147" t="str">
        <f aca="false">IFERROR(VLOOKUP(F461,$AE$2:$AF$290,2, 0),"")</f>
        <v>البير</v>
      </c>
      <c r="H461" s="212" t="s">
        <v>295</v>
      </c>
      <c r="I461" s="246" t="n">
        <f aca="false">SUM(K461:R461)</f>
        <v>3</v>
      </c>
      <c r="J461" s="182" t="n">
        <v>45593</v>
      </c>
      <c r="K461" s="184"/>
      <c r="L461" s="185"/>
      <c r="N461" s="151" t="n">
        <v>3</v>
      </c>
      <c r="S461" s="192" t="n">
        <f aca="false">(K461+O461+Q461)*24 /1130+(L461+M461+P461+R461)*12/1130+(N461*30)/1130</f>
        <v>0.079646017699115</v>
      </c>
    </row>
    <row r="462" customFormat="false" ht="15" hidden="true" customHeight="true" outlineLevel="0" collapsed="false">
      <c r="B462" s="127" t="n">
        <f aca="false">B461+D462-C462</f>
        <v>3243.75</v>
      </c>
      <c r="D462" s="146" t="n">
        <v>1311</v>
      </c>
      <c r="E462" s="147" t="n">
        <v>355</v>
      </c>
      <c r="F462" s="147" t="n">
        <f aca="false">IFERROR(VLOOKUP(H462,$AD$1:$AE$301,2,0),"")</f>
        <v>1008004</v>
      </c>
      <c r="G462" s="147" t="str">
        <f aca="false">IFERROR(VLOOKUP(F462,$AE$2:$AF$290,2, 0),"")</f>
        <v>حقل</v>
      </c>
      <c r="H462" s="212" t="s">
        <v>316</v>
      </c>
      <c r="I462" s="246" t="n">
        <f aca="false">SUM(K462:R462)</f>
        <v>5</v>
      </c>
      <c r="J462" s="182" t="n">
        <v>45593</v>
      </c>
      <c r="K462" s="184" t="n">
        <f aca="false">2+1+1</f>
        <v>4</v>
      </c>
      <c r="L462" s="185" t="n">
        <v>1</v>
      </c>
      <c r="S462" s="192" t="n">
        <f aca="false">(K462+O462+Q462)*24 /1130+(L462+M462+P462+R462)*12/1130+(N462*30)/1130</f>
        <v>0.0955752212389381</v>
      </c>
    </row>
    <row r="463" customFormat="false" ht="15" hidden="true" customHeight="true" outlineLevel="0" collapsed="false">
      <c r="B463" s="127" t="n">
        <f aca="false">B462+D463-C463</f>
        <v>3381.75</v>
      </c>
      <c r="D463" s="146" t="n">
        <v>138</v>
      </c>
      <c r="E463" s="147" t="n">
        <v>353</v>
      </c>
      <c r="F463" s="147" t="n">
        <f aca="false">IFERROR(VLOOKUP(H463,$AD$1:$AE$301,2,0),"")</f>
        <v>1008006</v>
      </c>
      <c r="G463" s="147" t="str">
        <f aca="false">IFERROR(VLOOKUP(F463,$AE$2:$AF$290,2, 0),"")</f>
        <v>حقل</v>
      </c>
      <c r="H463" s="212" t="s">
        <v>302</v>
      </c>
      <c r="I463" s="246" t="n">
        <f aca="false">SUM(K463:R463)</f>
        <v>1</v>
      </c>
      <c r="J463" s="182" t="n">
        <v>45593</v>
      </c>
      <c r="K463" s="184"/>
      <c r="L463" s="185"/>
      <c r="Q463" s="154" t="n">
        <v>1</v>
      </c>
      <c r="S463" s="192" t="n">
        <f aca="false">(K463+O463+Q463)*24 /1130+(L463+M463+P463+R463)*12/1130+(N463*30)/1130</f>
        <v>0.0212389380530973</v>
      </c>
    </row>
    <row r="464" customFormat="false" ht="15" hidden="true" customHeight="true" outlineLevel="0" collapsed="false">
      <c r="B464" s="127" t="n">
        <f aca="false">B463+D464-C464</f>
        <v>3606</v>
      </c>
      <c r="D464" s="146" t="n">
        <v>224.25</v>
      </c>
      <c r="E464" s="147" t="n">
        <v>354</v>
      </c>
      <c r="F464" s="147" t="n">
        <f aca="false">IFERROR(VLOOKUP(H464,$AD$1:$AE$301,2,0),"")</f>
        <v>1007970</v>
      </c>
      <c r="G464" s="147" t="str">
        <f aca="false">IFERROR(VLOOKUP(F464,$AE$2:$AF$290,2, 0),"")</f>
        <v>حقل</v>
      </c>
      <c r="H464" s="212" t="s">
        <v>310</v>
      </c>
      <c r="I464" s="246" t="n">
        <f aca="false">SUM(K464:R464)</f>
        <v>1</v>
      </c>
      <c r="J464" s="182" t="n">
        <v>45593</v>
      </c>
      <c r="K464" s="184"/>
      <c r="L464" s="185"/>
      <c r="M464" s="150" t="n">
        <v>1</v>
      </c>
      <c r="S464" s="192" t="n">
        <f aca="false">(K464+O464+Q464)*24 /1130+(L464+M464+P464+R464)*12/1130+(N464*30)/1130</f>
        <v>0.0106194690265487</v>
      </c>
    </row>
    <row r="465" customFormat="false" ht="15" hidden="true" customHeight="true" outlineLevel="0" collapsed="false">
      <c r="B465" s="127" t="n">
        <f aca="false">B464+D465-C465</f>
        <v>4917</v>
      </c>
      <c r="D465" s="146" t="n">
        <v>1311</v>
      </c>
      <c r="E465" s="147" t="n">
        <v>356</v>
      </c>
      <c r="F465" s="147" t="n">
        <f aca="false">IFERROR(VLOOKUP(H465,$AD$1:$AE$301,2,0),"")</f>
        <v>1008014</v>
      </c>
      <c r="G465" s="147" t="str">
        <f aca="false">IFERROR(VLOOKUP(F465,$AE$2:$AF$290,2, 0),"")</f>
        <v>البدع</v>
      </c>
      <c r="H465" s="212" t="s">
        <v>322</v>
      </c>
      <c r="I465" s="246" t="n">
        <f aca="false">SUM(K465:R465)</f>
        <v>5</v>
      </c>
      <c r="J465" s="182" t="n">
        <v>45593</v>
      </c>
      <c r="K465" s="184" t="n">
        <v>4</v>
      </c>
      <c r="L465" s="185" t="n">
        <v>1</v>
      </c>
      <c r="S465" s="192" t="n">
        <f aca="false">(K465+O465+Q465)*24 /1130+(L465+M465+P465+R465)*12/1130+(N465*30)/1130</f>
        <v>0.0955752212389381</v>
      </c>
    </row>
    <row r="466" customFormat="false" ht="15" hidden="true" customHeight="true" outlineLevel="0" collapsed="false">
      <c r="B466" s="127" t="n">
        <f aca="false">B465+D466-C466</f>
        <v>5572.5</v>
      </c>
      <c r="D466" s="146" t="n">
        <f aca="false">258.75*2+138</f>
        <v>655.5</v>
      </c>
      <c r="E466" s="147" t="n">
        <v>357</v>
      </c>
      <c r="F466" s="147" t="n">
        <f aca="false">IFERROR(VLOOKUP(H466,$AD$1:$AE$301,2,0),"")</f>
        <v>1007997</v>
      </c>
      <c r="G466" s="147" t="str">
        <f aca="false">IFERROR(VLOOKUP(F466,$AE$2:$AF$290,2, 0),"")</f>
        <v>البير</v>
      </c>
      <c r="H466" s="212" t="s">
        <v>296</v>
      </c>
      <c r="I466" s="246" t="n">
        <f aca="false">SUM(K466:R466)</f>
        <v>3</v>
      </c>
      <c r="J466" s="182" t="n">
        <v>45593</v>
      </c>
      <c r="K466" s="184"/>
      <c r="L466" s="185"/>
      <c r="Q466" s="154" t="n">
        <v>3</v>
      </c>
      <c r="S466" s="192" t="n">
        <f aca="false">(K466+O466+Q466)*24 /1130+(L466+M466+P466+R466)*12/1130+(N466*30)/1130</f>
        <v>0.063716814159292</v>
      </c>
    </row>
    <row r="467" customFormat="false" ht="15" hidden="true" customHeight="true" outlineLevel="0" collapsed="false">
      <c r="B467" s="127" t="n">
        <f aca="false">B466+D467-C467</f>
        <v>6883.5</v>
      </c>
      <c r="D467" s="146" t="n">
        <v>1311</v>
      </c>
      <c r="E467" s="147" t="n">
        <v>358</v>
      </c>
      <c r="F467" s="147" t="n">
        <f aca="false">IFERROR(VLOOKUP(H467,$AD$1:$AE$301,2,0),"")</f>
        <v>1008030</v>
      </c>
      <c r="G467" s="147" t="str">
        <f aca="false">IFERROR(VLOOKUP(F467,$AE$2:$AF$290,2, 0),"")</f>
        <v>البير</v>
      </c>
      <c r="H467" s="212" t="s">
        <v>298</v>
      </c>
      <c r="I467" s="246" t="n">
        <f aca="false">SUM(K467:R467)</f>
        <v>5</v>
      </c>
      <c r="J467" s="182" t="n">
        <v>45593</v>
      </c>
      <c r="K467" s="184" t="n">
        <v>4</v>
      </c>
      <c r="L467" s="185" t="n">
        <v>1</v>
      </c>
      <c r="S467" s="192" t="n">
        <f aca="false">(K467+O467+Q467)*24 /1130+(L467+M467+P467+R467)*12/1130+(N467*30)/1130</f>
        <v>0.0955752212389381</v>
      </c>
    </row>
    <row r="468" customFormat="false" ht="15" hidden="true" customHeight="true" outlineLevel="0" collapsed="false">
      <c r="B468" s="127" t="n">
        <f aca="false">B467+D468-C468</f>
        <v>0</v>
      </c>
      <c r="C468" s="127" t="n">
        <f aca="false">523+D461+D463+655.5+727.75+3700+110+80</f>
        <v>6883</v>
      </c>
      <c r="D468" s="146" t="n">
        <v>-0.5</v>
      </c>
      <c r="E468" s="212" t="s">
        <v>470</v>
      </c>
      <c r="F468" s="147" t="str">
        <f aca="false">IFERROR(VLOOKUP(H468,$AD$1:$AE$301,2,0),"")</f>
        <v/>
      </c>
      <c r="G468" s="147" t="str">
        <f aca="false">IFERROR(VLOOKUP(F468,$AE$2:$AF$290,2, 0),"")</f>
        <v/>
      </c>
      <c r="H468" s="212" t="s">
        <v>393</v>
      </c>
      <c r="I468" s="246" t="n">
        <f aca="false">SUM(K468:R468)</f>
        <v>0</v>
      </c>
      <c r="J468" s="182" t="n">
        <v>45593</v>
      </c>
      <c r="K468" s="184"/>
      <c r="L468" s="185"/>
      <c r="S468" s="192" t="n">
        <f aca="false">(K468+O468+Q468)*24 /1130+(L468+M468+P468+R468)*12/1130+(N468*30)/1130</f>
        <v>0</v>
      </c>
    </row>
    <row r="469" customFormat="false" ht="15" hidden="true" customHeight="true" outlineLevel="0" collapsed="false">
      <c r="B469" s="127" t="n">
        <f aca="false">B468+D469-C469</f>
        <v>138</v>
      </c>
      <c r="D469" s="146" t="n">
        <v>138</v>
      </c>
      <c r="E469" s="147" t="n">
        <v>361</v>
      </c>
      <c r="F469" s="147" t="n">
        <f aca="false">IFERROR(VLOOKUP(H469,$AD$1:$AE$301,2,0),"")</f>
        <v>590</v>
      </c>
      <c r="G469" s="147" t="str">
        <f aca="false">IFERROR(VLOOKUP(F469,$AE$2:$AF$290,2, 0),"")</f>
        <v>البدع</v>
      </c>
      <c r="H469" s="212" t="s">
        <v>223</v>
      </c>
      <c r="I469" s="246" t="n">
        <f aca="false">SUM(K469:R469)</f>
        <v>1</v>
      </c>
      <c r="J469" s="182" t="n">
        <v>45594</v>
      </c>
      <c r="K469" s="184"/>
      <c r="L469" s="185"/>
      <c r="Q469" s="154" t="n">
        <v>1</v>
      </c>
      <c r="S469" s="192" t="n">
        <f aca="false">(K469+O469+Q469)*24 /1130+(L469+M469+P469+R469)*12/1130+(N469*30)/1130</f>
        <v>0.0212389380530973</v>
      </c>
    </row>
    <row r="470" customFormat="false" ht="15" hidden="true" customHeight="true" outlineLevel="0" collapsed="false">
      <c r="A470" s="128" t="n">
        <f aca="false">655.5-155-500</f>
        <v>0.5</v>
      </c>
      <c r="B470" s="127" t="n">
        <f aca="false">B469+D470-C470</f>
        <v>1449</v>
      </c>
      <c r="D470" s="146" t="n">
        <v>1311</v>
      </c>
      <c r="E470" s="147" t="n">
        <v>360</v>
      </c>
      <c r="F470" s="147" t="n">
        <f aca="false">IFERROR(VLOOKUP(H470,$AD$1:$AE$301,2,0),"")</f>
        <v>1002852</v>
      </c>
      <c r="G470" s="147" t="str">
        <f aca="false">IFERROR(VLOOKUP(F470,$AE$2:$AF$290,2, 0),"")</f>
        <v>تبوك</v>
      </c>
      <c r="H470" s="212" t="s">
        <v>159</v>
      </c>
      <c r="I470" s="246" t="n">
        <f aca="false">SUM(K470:R470)</f>
        <v>5</v>
      </c>
      <c r="J470" s="182" t="n">
        <v>45594</v>
      </c>
      <c r="K470" s="184" t="n">
        <f aca="false">2+2</f>
        <v>4</v>
      </c>
      <c r="L470" s="185" t="n">
        <v>1</v>
      </c>
      <c r="S470" s="192" t="n">
        <f aca="false">(K470+O470+Q470)*24 /1130+(L470+M470+P470+R470)*12/1130+(N470*30)/1130</f>
        <v>0.0955752212389381</v>
      </c>
    </row>
    <row r="471" customFormat="false" ht="15" hidden="true" customHeight="true" outlineLevel="0" collapsed="false">
      <c r="B471" s="127" t="n">
        <f aca="false">B470+D471-C471</f>
        <v>1604.25</v>
      </c>
      <c r="D471" s="146" t="n">
        <v>155.25</v>
      </c>
      <c r="E471" s="147" t="n">
        <v>362</v>
      </c>
      <c r="F471" s="147" t="n">
        <f aca="false">IFERROR(VLOOKUP(H471,$AD$1:$AE$301,2,0),"")</f>
        <v>587</v>
      </c>
      <c r="G471" s="147" t="str">
        <f aca="false">IFERROR(VLOOKUP(F471,$AE$2:$AF$290,2, 0),"")</f>
        <v>تبوك</v>
      </c>
      <c r="H471" s="212" t="s">
        <v>226</v>
      </c>
      <c r="I471" s="246" t="n">
        <f aca="false">SUM(K471:R471)</f>
        <v>1</v>
      </c>
      <c r="J471" s="182" t="n">
        <v>45594</v>
      </c>
      <c r="K471" s="184"/>
      <c r="L471" s="185"/>
      <c r="R471" s="155" t="n">
        <v>1</v>
      </c>
      <c r="S471" s="192" t="n">
        <f aca="false">(K471+O471+Q471)*24 /1130+(L471+M471+P471+R471)*12/1130+(N471*30)/1130</f>
        <v>0.0106194690265487</v>
      </c>
    </row>
    <row r="472" customFormat="false" ht="15" hidden="true" customHeight="true" outlineLevel="0" collapsed="false">
      <c r="B472" s="127" t="n">
        <f aca="false">B471+D472-C472</f>
        <v>3156.75</v>
      </c>
      <c r="D472" s="146" t="n">
        <v>1552.5</v>
      </c>
      <c r="E472" s="147" t="n">
        <v>359</v>
      </c>
      <c r="F472" s="147" t="n">
        <f aca="false">IFERROR(VLOOKUP(H472,$AD$1:$AE$301,2,0),"")</f>
        <v>1007997</v>
      </c>
      <c r="G472" s="147" t="str">
        <f aca="false">IFERROR(VLOOKUP(F472,$AE$2:$AF$290,2, 0),"")</f>
        <v>البير</v>
      </c>
      <c r="H472" s="212" t="s">
        <v>296</v>
      </c>
      <c r="I472" s="246" t="n">
        <f aca="false">SUM(K472:R472)</f>
        <v>6</v>
      </c>
      <c r="J472" s="182" t="n">
        <v>45594</v>
      </c>
      <c r="K472" s="184"/>
      <c r="L472" s="185"/>
      <c r="Q472" s="154" t="n">
        <v>6</v>
      </c>
      <c r="S472" s="192" t="n">
        <f aca="false">(K472+O472+Q472)*24 /1130+(L472+M472+P472+R472)*12/1130+(N472*30)/1130</f>
        <v>0.127433628318584</v>
      </c>
    </row>
    <row r="473" customFormat="false" ht="15" hidden="true" customHeight="true" outlineLevel="0" collapsed="false">
      <c r="A473" s="265" t="n">
        <f aca="false">D473-655.5-100-100-200-55-100-100</f>
        <v>0.5</v>
      </c>
      <c r="B473" s="127" t="n">
        <f aca="false">B472+D473-C473</f>
        <v>4467.75</v>
      </c>
      <c r="D473" s="146" t="n">
        <v>1311</v>
      </c>
      <c r="E473" s="147" t="n">
        <v>363</v>
      </c>
      <c r="F473" s="147" t="n">
        <f aca="false">IFERROR(VLOOKUP(H473,$AD$1:$AE$301,2,0),"")</f>
        <v>1008262</v>
      </c>
      <c r="G473" s="147" t="str">
        <f aca="false">IFERROR(VLOOKUP(F473,$AE$2:$AF$290,2, 0),"")</f>
        <v>تبوك</v>
      </c>
      <c r="H473" s="212" t="s">
        <v>176</v>
      </c>
      <c r="I473" s="246" t="n">
        <f aca="false">SUM(K473:R473)</f>
        <v>5</v>
      </c>
      <c r="J473" s="182" t="n">
        <v>45594</v>
      </c>
      <c r="K473" s="184" t="n">
        <v>4</v>
      </c>
      <c r="L473" s="185" t="n">
        <v>1</v>
      </c>
      <c r="S473" s="192" t="n">
        <f aca="false">(K473+O473+Q473)*24 /1130+(L473+M473+P473+R473)*12/1130+(N473*30)/1130</f>
        <v>0.0955752212389381</v>
      </c>
    </row>
    <row r="474" customFormat="false" ht="15" hidden="true" customHeight="true" outlineLevel="0" collapsed="false">
      <c r="B474" s="127" t="n">
        <f aca="false">B473+D474-C474</f>
        <v>2150.25</v>
      </c>
      <c r="C474" s="127" t="n">
        <f aca="false">655.5+655.5+655.5+351</f>
        <v>2317.5</v>
      </c>
      <c r="E474" s="212" t="s">
        <v>470</v>
      </c>
      <c r="F474" s="147" t="str">
        <f aca="false">IFERROR(VLOOKUP(H474,$AD$1:$AE$301,2,0),"")</f>
        <v/>
      </c>
      <c r="G474" s="147" t="str">
        <f aca="false">IFERROR(VLOOKUP(F474,$AE$2:$AF$290,2, 0),"")</f>
        <v/>
      </c>
      <c r="H474" s="212" t="s">
        <v>393</v>
      </c>
      <c r="I474" s="246" t="n">
        <f aca="false">SUM(K474:R474)</f>
        <v>0</v>
      </c>
      <c r="J474" s="182" t="n">
        <v>45594</v>
      </c>
      <c r="K474" s="184"/>
      <c r="L474" s="185"/>
      <c r="S474" s="192" t="n">
        <f aca="false">(K474+O474+Q474)*24 /1130+(L474+M474+P474+R474)*12/1130+(N474*30)/1130</f>
        <v>0</v>
      </c>
    </row>
    <row r="475" customFormat="false" ht="15" hidden="true" customHeight="true" outlineLevel="0" collapsed="false">
      <c r="B475" s="127" t="n">
        <f aca="false">B474+D475-C475</f>
        <v>0.25</v>
      </c>
      <c r="C475" s="127" t="n">
        <v>2150</v>
      </c>
      <c r="E475" s="212" t="s">
        <v>392</v>
      </c>
      <c r="F475" s="147" t="str">
        <f aca="false">IFERROR(VLOOKUP(H475,$AD$1:$AE$301,2,0),"")</f>
        <v/>
      </c>
      <c r="G475" s="147" t="str">
        <f aca="false">IFERROR(VLOOKUP(F475,$AE$2:$AF$290,2, 0),"")</f>
        <v/>
      </c>
      <c r="H475" s="212" t="s">
        <v>393</v>
      </c>
      <c r="I475" s="246" t="n">
        <f aca="false">SUM(K475:R475)</f>
        <v>0</v>
      </c>
      <c r="J475" s="182" t="n">
        <v>45595</v>
      </c>
      <c r="K475" s="184"/>
      <c r="L475" s="185"/>
      <c r="S475" s="192" t="n">
        <f aca="false">(K475+O475+Q475)*24 /1130+(L475+M475+P475+R475)*12/1130+(N475*30)/1130</f>
        <v>0</v>
      </c>
    </row>
    <row r="476" customFormat="false" ht="15" hidden="true" customHeight="true" outlineLevel="0" collapsed="false">
      <c r="B476" s="127" t="n">
        <f aca="false">B475+D476-C476</f>
        <v>1311.25</v>
      </c>
      <c r="D476" s="146" t="n">
        <v>1311</v>
      </c>
      <c r="E476" s="147" t="n">
        <v>365</v>
      </c>
      <c r="F476" s="147" t="n">
        <f aca="false">IFERROR(VLOOKUP(H476,$AD$1:$AE$301,2,0),"")</f>
        <v>1008043</v>
      </c>
      <c r="G476" s="147" t="str">
        <f aca="false">IFERROR(VLOOKUP(F476,$AE$2:$AF$290,2, 0),"")</f>
        <v>الوجه</v>
      </c>
      <c r="H476" s="212" t="s">
        <v>104</v>
      </c>
      <c r="I476" s="246" t="n">
        <f aca="false">SUM(K476:R476)</f>
        <v>5</v>
      </c>
      <c r="J476" s="182" t="n">
        <v>45595</v>
      </c>
      <c r="K476" s="184" t="n">
        <f aca="false">1+3</f>
        <v>4</v>
      </c>
      <c r="L476" s="185" t="n">
        <v>1</v>
      </c>
      <c r="S476" s="192" t="n">
        <f aca="false">(K476+O476+Q476)*24 /1130+(L476+M476+P476+R476)*12/1130+(N476*30)/1130</f>
        <v>0.0955752212389381</v>
      </c>
    </row>
    <row r="477" customFormat="false" ht="15" hidden="true" customHeight="true" outlineLevel="0" collapsed="false">
      <c r="B477" s="127" t="n">
        <f aca="false">B476+D477-C477</f>
        <v>2622.25</v>
      </c>
      <c r="D477" s="146" t="n">
        <v>1311</v>
      </c>
      <c r="E477" s="147" t="n">
        <v>366</v>
      </c>
      <c r="F477" s="147" t="n">
        <f aca="false">IFERROR(VLOOKUP(H477,$AD$1:$AE$301,2,0),"")</f>
        <v>1008047</v>
      </c>
      <c r="G477" s="147" t="str">
        <f aca="false">IFERROR(VLOOKUP(F477,$AE$2:$AF$290,2, 0),"")</f>
        <v>الوجه</v>
      </c>
      <c r="H477" s="212" t="s">
        <v>422</v>
      </c>
      <c r="I477" s="246" t="n">
        <f aca="false">SUM(K477:R477)</f>
        <v>5</v>
      </c>
      <c r="J477" s="182" t="n">
        <v>45595</v>
      </c>
      <c r="K477" s="184" t="n">
        <f aca="false">1+3</f>
        <v>4</v>
      </c>
      <c r="L477" s="185" t="n">
        <v>1</v>
      </c>
      <c r="S477" s="192" t="n">
        <f aca="false">(K477+O477+Q477)*24 /1130+(L477+M477+P477+R477)*12/1130+(N477*30)/1130</f>
        <v>0.0955752212389381</v>
      </c>
    </row>
    <row r="478" customFormat="false" ht="15" hidden="true" customHeight="true" outlineLevel="0" collapsed="false">
      <c r="B478" s="127" t="n">
        <f aca="false">B477+D478-C478</f>
        <v>3151.25</v>
      </c>
      <c r="D478" s="146" t="n">
        <f aca="false">264.5*2</f>
        <v>529</v>
      </c>
      <c r="E478" s="147" t="n">
        <v>364</v>
      </c>
      <c r="F478" s="147" t="n">
        <f aca="false">IFERROR(VLOOKUP(H478,$AD$1:$AE$105,2,0),"")</f>
        <v>1008050</v>
      </c>
      <c r="G478" s="147" t="str">
        <f aca="false">IFERROR(VLOOKUP(F478,$AE$2:$AF$290,2, 0),"")</f>
        <v>ضباء</v>
      </c>
      <c r="H478" s="212" t="s">
        <v>92</v>
      </c>
      <c r="I478" s="246" t="n">
        <f aca="false">SUM(K478:R478)</f>
        <v>2</v>
      </c>
      <c r="J478" s="182" t="n">
        <v>45595</v>
      </c>
      <c r="K478" s="184"/>
      <c r="L478" s="185"/>
      <c r="M478" s="150" t="n">
        <v>2</v>
      </c>
      <c r="S478" s="192" t="n">
        <f aca="false">(K478+O478+Q478)*24 /1130+(L478+M478+P478+R478)*12/1130+(N478*30)/1130</f>
        <v>0.0212389380530973</v>
      </c>
    </row>
    <row r="479" customFormat="false" ht="15" hidden="true" customHeight="true" outlineLevel="0" collapsed="false">
      <c r="A479" s="128" t="n">
        <f aca="false">D479-258.75-40-535</f>
        <v>0</v>
      </c>
      <c r="B479" s="127" t="n">
        <f aca="false">B478+D479-C479</f>
        <v>3985</v>
      </c>
      <c r="D479" s="146" t="n">
        <f aca="false">316.25+2*258.75</f>
        <v>833.75</v>
      </c>
      <c r="E479" s="147" t="n">
        <v>370</v>
      </c>
      <c r="F479" s="147" t="n">
        <f aca="false">IFERROR(VLOOKUP(H479,$AD$1:$AE$301,2,0),"")</f>
        <v>1008024</v>
      </c>
      <c r="G479" s="147" t="str">
        <f aca="false">IFERROR(VLOOKUP(F479,$AE$2:$AF$290,2, 0),"")</f>
        <v>ضباء</v>
      </c>
      <c r="H479" s="212" t="s">
        <v>96</v>
      </c>
      <c r="I479" s="246" t="n">
        <f aca="false">SUM(K479:R479)</f>
        <v>3</v>
      </c>
      <c r="J479" s="182" t="n">
        <v>45595</v>
      </c>
      <c r="K479" s="184"/>
      <c r="L479" s="185"/>
      <c r="N479" s="151" t="n">
        <v>1</v>
      </c>
      <c r="O479" s="152" t="n">
        <v>2</v>
      </c>
      <c r="S479" s="192" t="n">
        <f aca="false">(K479+O479+Q479)*24 /1130+(L479+M479+P479+R479)*12/1130+(N479*30)/1130</f>
        <v>0.0690265486725664</v>
      </c>
    </row>
    <row r="480" customFormat="false" ht="15" hidden="true" customHeight="true" outlineLevel="0" collapsed="false">
      <c r="B480" s="127" t="n">
        <f aca="false">B479+D480-C480</f>
        <v>6503.5</v>
      </c>
      <c r="D480" s="146" t="n">
        <f aca="false">241.5*5+1311</f>
        <v>2518.5</v>
      </c>
      <c r="E480" s="147" t="n">
        <v>369</v>
      </c>
      <c r="F480" s="147" t="n">
        <f aca="false">IFERROR(VLOOKUP(H480,$AD$1:$AE$301,2,0),"")</f>
        <v>1008024</v>
      </c>
      <c r="G480" s="147" t="str">
        <f aca="false">IFERROR(VLOOKUP(F480,$AE$2:$AF$290,2, 0),"")</f>
        <v>ضباء</v>
      </c>
      <c r="H480" s="212" t="s">
        <v>96</v>
      </c>
      <c r="I480" s="246" t="n">
        <f aca="false">SUM(K480:R480)</f>
        <v>10</v>
      </c>
      <c r="J480" s="182" t="n">
        <v>45595</v>
      </c>
      <c r="K480" s="184" t="n">
        <f aca="false">2+2</f>
        <v>4</v>
      </c>
      <c r="L480" s="185" t="n">
        <v>1</v>
      </c>
      <c r="M480" s="150" t="n">
        <v>5</v>
      </c>
      <c r="S480" s="192" t="n">
        <f aca="false">(K480+O480+Q480)*24 /1130+(L480+M480+P480+R480)*12/1130+(N480*30)/1130</f>
        <v>0.148672566371681</v>
      </c>
    </row>
    <row r="481" customFormat="false" ht="15" hidden="true" customHeight="true" outlineLevel="0" collapsed="false">
      <c r="B481" s="127" t="n">
        <f aca="false">B480+D481-C481</f>
        <v>7337.25</v>
      </c>
      <c r="D481" s="146" t="n">
        <f aca="false">316.25+2*258.75</f>
        <v>833.75</v>
      </c>
      <c r="E481" s="147" t="n">
        <v>368</v>
      </c>
      <c r="F481" s="147" t="n">
        <f aca="false">IFERROR(VLOOKUP(H481,$AD$1:$AE$301,2,0),"")</f>
        <v>1007989</v>
      </c>
      <c r="G481" s="147" t="str">
        <f aca="false">IFERROR(VLOOKUP(F481,$AE$2:$AF$290,2, 0),"")</f>
        <v>ضباء</v>
      </c>
      <c r="H481" s="212" t="s">
        <v>90</v>
      </c>
      <c r="I481" s="246" t="n">
        <f aca="false">SUM(K481:R481)</f>
        <v>3</v>
      </c>
      <c r="J481" s="182" t="n">
        <v>45595</v>
      </c>
      <c r="K481" s="184"/>
      <c r="L481" s="185"/>
      <c r="N481" s="151" t="n">
        <v>1</v>
      </c>
      <c r="O481" s="152" t="n">
        <v>2</v>
      </c>
      <c r="S481" s="192" t="n">
        <f aca="false">(K481+O481+Q481)*24 /1130+(L481+M481+P481+R481)*12/1130+(N481*30)/1130</f>
        <v>0.0690265486725664</v>
      </c>
    </row>
    <row r="482" customFormat="false" ht="15" hidden="true" customHeight="true" outlineLevel="0" collapsed="false">
      <c r="B482" s="127" t="n">
        <f aca="false">B481+D482-C482</f>
        <v>8222.75</v>
      </c>
      <c r="D482" s="146" t="n">
        <f aca="false">240.5*2+2*202.25</f>
        <v>885.5</v>
      </c>
      <c r="E482" s="147" t="n">
        <v>367</v>
      </c>
      <c r="F482" s="147" t="n">
        <f aca="false">IFERROR(VLOOKUP(H482,$AD$1:$AE$301,2,0),"")</f>
        <v>1007988</v>
      </c>
      <c r="G482" s="147" t="str">
        <f aca="false">IFERROR(VLOOKUP(F482,$AE$2:$AF$290,2, 0),"")</f>
        <v>ضباء</v>
      </c>
      <c r="H482" s="212" t="s">
        <v>89</v>
      </c>
      <c r="I482" s="246" t="n">
        <f aca="false">SUM(K482:R482)</f>
        <v>4</v>
      </c>
      <c r="J482" s="182" t="n">
        <v>45595</v>
      </c>
      <c r="K482" s="184"/>
      <c r="L482" s="185"/>
      <c r="M482" s="150" t="n">
        <v>4</v>
      </c>
      <c r="S482" s="192" t="n">
        <f aca="false">(K482+O482+Q482)*24 /1130+(L482+M482+P482+R482)*12/1130+(N482*30)/1130</f>
        <v>0.0424778761061947</v>
      </c>
    </row>
    <row r="483" customFormat="false" ht="15" hidden="true" customHeight="true" outlineLevel="0" collapsed="false">
      <c r="B483" s="127" t="n">
        <f aca="false">B482+D483-C483</f>
        <v>3822.75</v>
      </c>
      <c r="C483" s="127" t="n">
        <v>4400</v>
      </c>
      <c r="E483" s="212" t="s">
        <v>392</v>
      </c>
      <c r="F483" s="147" t="str">
        <f aca="false">IFERROR(VLOOKUP(H483,$AD$1:$AE$301,2,0),"")</f>
        <v/>
      </c>
      <c r="G483" s="147" t="str">
        <f aca="false">IFERROR(VLOOKUP(F483,$AE$2:$AF$290,2, 0),"")</f>
        <v/>
      </c>
      <c r="H483" s="212" t="s">
        <v>393</v>
      </c>
      <c r="I483" s="246" t="n">
        <f aca="false">SUM(K483:R483)</f>
        <v>0</v>
      </c>
      <c r="J483" s="182" t="n">
        <v>45595</v>
      </c>
      <c r="K483" s="184"/>
      <c r="L483" s="185"/>
      <c r="S483" s="192" t="n">
        <f aca="false">(K483+O483+Q483)*24 /1130+(L483+M483+P483+R483)*12/1130+(N483*30)/1130</f>
        <v>0</v>
      </c>
    </row>
    <row r="484" customFormat="false" ht="15" hidden="true" customHeight="true" outlineLevel="0" collapsed="false">
      <c r="B484" s="127" t="n">
        <f aca="false">B483+D484-C484</f>
        <v>0</v>
      </c>
      <c r="C484" s="127" t="n">
        <f aca="false">1123+773.75+1863+63</f>
        <v>3822.75</v>
      </c>
      <c r="E484" s="212" t="s">
        <v>470</v>
      </c>
      <c r="F484" s="147" t="str">
        <f aca="false">IFERROR(VLOOKUP(H484,$AD$1:$AE$301,2,0),"")</f>
        <v/>
      </c>
      <c r="G484" s="147" t="str">
        <f aca="false">IFERROR(VLOOKUP(F484,$AE$2:$AF$290,2, 0),"")</f>
        <v/>
      </c>
      <c r="H484" s="212" t="s">
        <v>393</v>
      </c>
      <c r="I484" s="246" t="n">
        <f aca="false">SUM(K484:R484)</f>
        <v>0</v>
      </c>
      <c r="J484" s="182" t="n">
        <v>45595</v>
      </c>
      <c r="K484" s="184"/>
      <c r="L484" s="185"/>
      <c r="S484" s="192" t="n">
        <f aca="false">(K484+O484+Q484)*24 /1130+(L484+M484+P484+R484)*12/1130+(N484*30)/1130</f>
        <v>0</v>
      </c>
    </row>
    <row r="485" customFormat="false" ht="15" hidden="true" customHeight="true" outlineLevel="0" collapsed="false">
      <c r="A485" s="128" t="n">
        <f aca="false">D485-124-100</f>
        <v>0</v>
      </c>
      <c r="B485" s="127" t="n">
        <f aca="false">B484+D485-C485</f>
        <v>224</v>
      </c>
      <c r="D485" s="146" t="n">
        <v>224</v>
      </c>
      <c r="E485" s="147" t="n">
        <v>371</v>
      </c>
      <c r="F485" s="147" t="n">
        <f aca="false">IFERROR(VLOOKUP(H485,$AD$1:$AE$301,2,0),"")</f>
        <v>1008262</v>
      </c>
      <c r="G485" s="147" t="str">
        <f aca="false">IFERROR(VLOOKUP(F485,$AE$2:$AF$290,2, 0),"")</f>
        <v>تبوك</v>
      </c>
      <c r="H485" s="212" t="s">
        <v>176</v>
      </c>
      <c r="I485" s="246" t="n">
        <f aca="false">SUM(K485:R485)</f>
        <v>1</v>
      </c>
      <c r="J485" s="182" t="n">
        <v>45596</v>
      </c>
      <c r="K485" s="184"/>
      <c r="L485" s="185"/>
      <c r="M485" s="150" t="n">
        <v>1</v>
      </c>
      <c r="S485" s="192" t="n">
        <f aca="false">(K485+O485+Q485)*24 /1130+(L485+M485+P485+R485)*12/1130+(N485*30)/1130</f>
        <v>0.0106194690265487</v>
      </c>
    </row>
    <row r="486" customFormat="false" ht="15" hidden="true" customHeight="true" outlineLevel="0" collapsed="false">
      <c r="B486" s="127" t="n">
        <f aca="false">B485+D486-C486</f>
        <v>0</v>
      </c>
      <c r="C486" s="127" t="n">
        <v>224</v>
      </c>
      <c r="F486" s="147" t="str">
        <f aca="false">IFERROR(VLOOKUP(H486,$AD$1:$AE$301,2,0),"")</f>
        <v/>
      </c>
      <c r="G486" s="147" t="str">
        <f aca="false">IFERROR(VLOOKUP(F486,$AE$2:$AF$290,2, 0),"")</f>
        <v/>
      </c>
      <c r="H486" s="212" t="s">
        <v>393</v>
      </c>
      <c r="I486" s="246" t="n">
        <f aca="false">SUM(K486:R486)</f>
        <v>0</v>
      </c>
      <c r="J486" s="182" t="n">
        <v>45596</v>
      </c>
      <c r="K486" s="184"/>
      <c r="L486" s="185"/>
      <c r="S486" s="192" t="n">
        <f aca="false">(K486+O486+Q486)*24 /1130+(L486+M486+P486+R486)*12/1130+(N486*30)/1130</f>
        <v>0</v>
      </c>
    </row>
    <row r="487" customFormat="false" ht="15" hidden="true" customHeight="true" outlineLevel="0" collapsed="false">
      <c r="B487" s="127" t="n">
        <f aca="false">B486+D487-C487</f>
        <v>155.25</v>
      </c>
      <c r="D487" s="146" t="n">
        <v>155.25</v>
      </c>
      <c r="E487" s="147" t="n">
        <v>372</v>
      </c>
      <c r="F487" s="147" t="n">
        <f aca="false">IFERROR(VLOOKUP(H487,$AD$1:$AE$301,2,0),"")</f>
        <v>540</v>
      </c>
      <c r="G487" s="147" t="str">
        <f aca="false">IFERROR(VLOOKUP(F487,$AE$2:$AF$290,2, 0),"")</f>
        <v>تبوك</v>
      </c>
      <c r="H487" s="212" t="s">
        <v>222</v>
      </c>
      <c r="I487" s="246" t="n">
        <f aca="false">SUM(K487:R487)</f>
        <v>1</v>
      </c>
      <c r="J487" s="182" t="n">
        <v>45600</v>
      </c>
      <c r="K487" s="184"/>
      <c r="L487" s="185"/>
      <c r="R487" s="155" t="n">
        <v>1</v>
      </c>
      <c r="S487" s="192" t="n">
        <f aca="false">(K487+O487+Q487)*24 /1130+(L487+M487+P487+R487)*12/1130+(N487*30)/1130</f>
        <v>0.0106194690265487</v>
      </c>
    </row>
    <row r="488" customFormat="false" ht="15" hidden="true" customHeight="true" outlineLevel="0" collapsed="false">
      <c r="B488" s="127" t="n">
        <f aca="false">B487+D488-C488</f>
        <v>293.25</v>
      </c>
      <c r="D488" s="146" t="n">
        <v>138</v>
      </c>
      <c r="E488" s="147" t="n">
        <v>373</v>
      </c>
      <c r="F488" s="147" t="n">
        <f aca="false">IFERROR(VLOOKUP(H488,$AD$1:$AE$301,2,0),"")</f>
        <v>548</v>
      </c>
      <c r="G488" s="147" t="str">
        <f aca="false">IFERROR(VLOOKUP(F488,$AE$2:$AF$290,2, 0),"")</f>
        <v>تبوك</v>
      </c>
      <c r="H488" s="212" t="s">
        <v>151</v>
      </c>
      <c r="I488" s="246" t="n">
        <f aca="false">SUM(K488:R488)</f>
        <v>1</v>
      </c>
      <c r="J488" s="182" t="n">
        <v>45600</v>
      </c>
      <c r="K488" s="184"/>
      <c r="L488" s="185"/>
      <c r="Q488" s="154" t="n">
        <v>1</v>
      </c>
      <c r="S488" s="192" t="n">
        <f aca="false">(K488+O488+Q488)*24 /1130+(L488+M488+P488+R488)*12/1130+(N488*30)/1130</f>
        <v>0.0212389380530973</v>
      </c>
    </row>
    <row r="489" customFormat="false" ht="15" hidden="true" customHeight="true" outlineLevel="0" collapsed="false">
      <c r="A489" s="265" t="n">
        <f aca="false">D489-3.75-100-150-252</f>
        <v>0.25</v>
      </c>
      <c r="B489" s="127" t="n">
        <f aca="false">B488+D489-C489</f>
        <v>799.25</v>
      </c>
      <c r="D489" s="146" t="n">
        <f aca="false">241.5+264.5</f>
        <v>506</v>
      </c>
      <c r="E489" s="147" t="n">
        <v>374</v>
      </c>
      <c r="F489" s="147" t="n">
        <f aca="false">IFERROR(VLOOKUP(H489,$AD$1:$AE$301,2,0),"")</f>
        <v>1002940</v>
      </c>
      <c r="G489" s="147" t="str">
        <f aca="false">IFERROR(VLOOKUP(F489,$AE$2:$AF$290,2, 0),"")</f>
        <v>تبوك</v>
      </c>
      <c r="H489" s="212" t="s">
        <v>167</v>
      </c>
      <c r="I489" s="246" t="n">
        <f aca="false">SUM(K489:R489)</f>
        <v>2</v>
      </c>
      <c r="J489" s="182" t="n">
        <v>45600</v>
      </c>
      <c r="K489" s="184"/>
      <c r="L489" s="185"/>
      <c r="M489" s="150" t="n">
        <v>2</v>
      </c>
      <c r="S489" s="192" t="n">
        <f aca="false">(K489+O489+Q489)*24 /1130+(L489+M489+P489+R489)*12/1130+(N489*30)/1130</f>
        <v>0.0212389380530973</v>
      </c>
    </row>
    <row r="490" customFormat="false" ht="15" hidden="true" customHeight="true" outlineLevel="0" collapsed="false">
      <c r="B490" s="127" t="n">
        <f aca="false">B489+D490-C490</f>
        <v>0</v>
      </c>
      <c r="C490" s="127" t="n">
        <f aca="false">D488+50+264.5+300+46.5</f>
        <v>799</v>
      </c>
      <c r="D490" s="146" t="n">
        <v>-0.25</v>
      </c>
      <c r="E490" s="212" t="s">
        <v>470</v>
      </c>
      <c r="F490" s="147" t="str">
        <f aca="false">IFERROR(VLOOKUP(H490,$AD$1:$AE$301,2,0),"")</f>
        <v/>
      </c>
      <c r="G490" s="147" t="str">
        <f aca="false">IFERROR(VLOOKUP(F490,$AE$2:$AF$290,2, 0),"")</f>
        <v/>
      </c>
      <c r="H490" s="212" t="s">
        <v>393</v>
      </c>
      <c r="I490" s="246" t="n">
        <f aca="false">SUM(K490:R490)</f>
        <v>0</v>
      </c>
      <c r="J490" s="182" t="n">
        <v>45600</v>
      </c>
      <c r="K490" s="184"/>
      <c r="L490" s="185"/>
      <c r="S490" s="192" t="n">
        <f aca="false">(K490+O490+Q490)*24 /1130+(L490+M490+P490+R490)*12/1130+(N490*30)/1130</f>
        <v>0</v>
      </c>
    </row>
    <row r="491" customFormat="false" ht="15" hidden="true" customHeight="true" outlineLevel="0" collapsed="false">
      <c r="B491" s="127" t="n">
        <f aca="false">B490+D491-C491</f>
        <v>419.75</v>
      </c>
      <c r="D491" s="146" t="n">
        <f aca="false">264.5+155.25</f>
        <v>419.75</v>
      </c>
      <c r="E491" s="147" t="n">
        <v>375</v>
      </c>
      <c r="F491" s="147" t="n">
        <f aca="false">IFERROR(VLOOKUP(H491,$AD$1:$AE$301,2,0),"")</f>
        <v>560</v>
      </c>
      <c r="G491" s="147" t="str">
        <f aca="false">IFERROR(VLOOKUP(F491,$AE$2:$AF$290,2, 0),"")</f>
        <v>تبوك</v>
      </c>
      <c r="H491" s="212" t="s">
        <v>133</v>
      </c>
      <c r="I491" s="246" t="n">
        <f aca="false">SUM(K491:R491)</f>
        <v>2</v>
      </c>
      <c r="J491" s="182" t="n">
        <v>45600</v>
      </c>
      <c r="K491" s="184"/>
      <c r="L491" s="185"/>
      <c r="R491" s="402" t="n">
        <v>2</v>
      </c>
      <c r="S491" s="192" t="n">
        <f aca="false">(K491+O491+Q491)*24 /1130+(L491+M491+P491+R491)*12/1130+(N491*30)/1130</f>
        <v>0.0212389380530973</v>
      </c>
    </row>
    <row r="492" customFormat="false" ht="15" hidden="true" customHeight="true" outlineLevel="0" collapsed="false">
      <c r="B492" s="127" t="n">
        <f aca="false">B491+D492-C492</f>
        <v>0.75</v>
      </c>
      <c r="C492" s="127" t="n">
        <f aca="false">155+264</f>
        <v>419</v>
      </c>
      <c r="E492" s="212" t="s">
        <v>470</v>
      </c>
      <c r="F492" s="147" t="str">
        <f aca="false">IFERROR(VLOOKUP(H492,$AD$1:$AE$301,2,0),"")</f>
        <v/>
      </c>
      <c r="G492" s="147" t="str">
        <f aca="false">IFERROR(VLOOKUP(F492,$AE$2:$AF$290,2, 0),"")</f>
        <v/>
      </c>
      <c r="H492" s="212" t="s">
        <v>393</v>
      </c>
      <c r="I492" s="246" t="n">
        <f aca="false">SUM(K492:R492)</f>
        <v>0</v>
      </c>
      <c r="J492" s="182" t="n">
        <v>45600</v>
      </c>
      <c r="K492" s="184"/>
      <c r="L492" s="185"/>
      <c r="S492" s="192" t="n">
        <f aca="false">(K492+O492+Q492)*24 /1130+(L492+M492+P492+R492)*12/1130+(N492*30)/1130</f>
        <v>0</v>
      </c>
    </row>
    <row r="493" customFormat="false" ht="15" hidden="true" customHeight="true" outlineLevel="0" collapsed="false">
      <c r="B493" s="127" t="n">
        <f aca="false">B492+D493-C493</f>
        <v>506.75</v>
      </c>
      <c r="D493" s="146" t="n">
        <v>506</v>
      </c>
      <c r="E493" s="147" t="n">
        <v>376</v>
      </c>
      <c r="F493" s="147" t="n">
        <f aca="false">IFERROR(VLOOKUP(H493,$AD$1:$AE$301,2,0),"")</f>
        <v>943</v>
      </c>
      <c r="G493" s="147" t="str">
        <f aca="false">IFERROR(VLOOKUP(F493,$AE$2:$AF$290,2, 0),"")</f>
        <v>تبوك</v>
      </c>
      <c r="H493" s="212" t="s">
        <v>259</v>
      </c>
      <c r="I493" s="246" t="n">
        <f aca="false">SUM(K493:R493)</f>
        <v>2</v>
      </c>
      <c r="J493" s="182" t="n">
        <v>45602</v>
      </c>
      <c r="K493" s="184"/>
      <c r="L493" s="185"/>
      <c r="M493" s="150" t="n">
        <v>2</v>
      </c>
      <c r="S493" s="192" t="n">
        <f aca="false">(K493+O493+Q493)*24 /1130+(L493+M493+P493+R493)*12/1130+(N493*30)/1130</f>
        <v>0.0212389380530973</v>
      </c>
    </row>
    <row r="494" customFormat="false" ht="15" hidden="true" customHeight="true" outlineLevel="0" collapsed="false">
      <c r="B494" s="127" t="n">
        <f aca="false">B493+D494-C494</f>
        <v>0.75</v>
      </c>
      <c r="C494" s="127" t="n">
        <f aca="false">D493</f>
        <v>506</v>
      </c>
      <c r="E494" s="212" t="s">
        <v>470</v>
      </c>
      <c r="F494" s="147" t="str">
        <f aca="false">IFERROR(VLOOKUP(H494,$AD$1:$AE$301,2,0),"")</f>
        <v/>
      </c>
      <c r="G494" s="147" t="str">
        <f aca="false">IFERROR(VLOOKUP(F494,$AE$2:$AF$290,2, 0),"")</f>
        <v/>
      </c>
      <c r="H494" s="212" t="s">
        <v>393</v>
      </c>
      <c r="I494" s="246" t="n">
        <f aca="false">SUM(K494:R494)</f>
        <v>0</v>
      </c>
      <c r="J494" s="182" t="n">
        <v>45603</v>
      </c>
      <c r="K494" s="184"/>
      <c r="L494" s="185"/>
      <c r="S494" s="192" t="n">
        <f aca="false">(K494+O494+Q494)*24 /1130+(L494+M494+P494+R494)*12/1130+(N494*30)/1130</f>
        <v>0</v>
      </c>
    </row>
    <row r="495" customFormat="false" ht="15" hidden="true" customHeight="true" outlineLevel="0" collapsed="false">
      <c r="A495" s="128" t="n">
        <f aca="false">D495-224.25</f>
        <v>0</v>
      </c>
      <c r="B495" s="127" t="n">
        <f aca="false">B494+D495-C495</f>
        <v>225</v>
      </c>
      <c r="D495" s="146" t="n">
        <v>224.25</v>
      </c>
      <c r="E495" s="147" t="n">
        <v>377</v>
      </c>
      <c r="F495" s="147" t="n">
        <f aca="false">IFERROR(VLOOKUP(H495,$AD$1:$AE$301,2,0),"")</f>
        <v>1002891</v>
      </c>
      <c r="G495" s="147" t="str">
        <f aca="false">IFERROR(VLOOKUP(F495,$AE$2:$AF$290,2, 0),"")</f>
        <v>تبوك</v>
      </c>
      <c r="H495" s="212" t="s">
        <v>201</v>
      </c>
      <c r="I495" s="246" t="n">
        <f aca="false">SUM(K495:R495)</f>
        <v>1</v>
      </c>
      <c r="J495" s="182" t="n">
        <v>45603</v>
      </c>
      <c r="K495" s="184"/>
      <c r="L495" s="185"/>
      <c r="M495" s="150" t="n">
        <v>1</v>
      </c>
      <c r="S495" s="192" t="n">
        <f aca="false">(K495+O495+Q495)*24 /1130+(L495+M495+P495+R495)*12/1130+(N495*30)/1130</f>
        <v>0.0106194690265487</v>
      </c>
    </row>
    <row r="496" customFormat="false" ht="15" hidden="true" customHeight="true" outlineLevel="0" collapsed="false">
      <c r="A496" s="128" t="n">
        <f aca="false">D496-300-51-270</f>
        <v>0</v>
      </c>
      <c r="B496" s="127" t="n">
        <f aca="false">B495+D496-C496</f>
        <v>846</v>
      </c>
      <c r="D496" s="146" t="n">
        <f aca="false">310.5*2</f>
        <v>621</v>
      </c>
      <c r="E496" s="147" t="n">
        <v>378</v>
      </c>
      <c r="F496" s="147" t="n">
        <f aca="false">IFERROR(VLOOKUP(H496,$AD$1:$AE$301,2,0),"")</f>
        <v>1008264</v>
      </c>
      <c r="G496" s="147" t="str">
        <f aca="false">IFERROR(VLOOKUP(F496,$AE$2:$AF$290,2, 0),"")</f>
        <v>تبوك</v>
      </c>
      <c r="H496" s="212" t="s">
        <v>160</v>
      </c>
      <c r="I496" s="246" t="n">
        <f aca="false">SUM(K496:R496)</f>
        <v>2</v>
      </c>
      <c r="J496" s="182" t="n">
        <v>45603</v>
      </c>
      <c r="K496" s="184" t="n">
        <f aca="false">1+1</f>
        <v>2</v>
      </c>
      <c r="L496" s="185"/>
      <c r="S496" s="192" t="n">
        <f aca="false">(K496+O496+Q496)*24 /1130+(L496+M496+P496+R496)*12/1130+(N496*30)/1130</f>
        <v>0.0424778761061947</v>
      </c>
    </row>
    <row r="497" customFormat="false" ht="15" hidden="true" customHeight="true" outlineLevel="0" collapsed="false">
      <c r="B497" s="127" t="n">
        <f aca="false">B496+D497-C497</f>
        <v>1679.75</v>
      </c>
      <c r="D497" s="146" t="n">
        <f aca="false">316.25+258.75*2</f>
        <v>833.75</v>
      </c>
      <c r="E497" s="147" t="n">
        <v>380</v>
      </c>
      <c r="F497" s="147" t="n">
        <f aca="false">IFERROR(VLOOKUP(H497,$AD$1:$AE$301,2,0),"")</f>
        <v>1008273</v>
      </c>
      <c r="G497" s="147" t="str">
        <f aca="false">IFERROR(VLOOKUP(F497,$AE$2:$AF$290,2, 0),"")</f>
        <v>تبوك</v>
      </c>
      <c r="H497" s="212" t="s">
        <v>144</v>
      </c>
      <c r="I497" s="246" t="n">
        <f aca="false">SUM(K497:R497)</f>
        <v>3</v>
      </c>
      <c r="J497" s="182" t="n">
        <v>45603</v>
      </c>
      <c r="K497" s="184"/>
      <c r="L497" s="185"/>
      <c r="N497" s="151" t="n">
        <v>1</v>
      </c>
      <c r="O497" s="152" t="n">
        <v>2</v>
      </c>
      <c r="S497" s="192" t="n">
        <f aca="false">(K497+O497+Q497)*24 /1130+(L497+M497+P497+R497)*12/1130+(N497*30)/1130</f>
        <v>0.0690265486725664</v>
      </c>
    </row>
    <row r="498" customFormat="false" ht="15" hidden="true" customHeight="true" outlineLevel="0" collapsed="false">
      <c r="B498" s="127" t="n">
        <f aca="false">B497+D498-C498</f>
        <v>2214.5</v>
      </c>
      <c r="D498" s="146" t="n">
        <f aca="false">310.5+224.25</f>
        <v>534.75</v>
      </c>
      <c r="E498" s="147" t="n">
        <v>379</v>
      </c>
      <c r="F498" s="147" t="n">
        <f aca="false">IFERROR(VLOOKUP(H498,$AD$1:$AE$301,2,0),"")</f>
        <v>1008272</v>
      </c>
      <c r="G498" s="147" t="str">
        <f aca="false">IFERROR(VLOOKUP(F498,$AE$2:$AF$290,2, 0),"")</f>
        <v>تبوك</v>
      </c>
      <c r="H498" s="212" t="s">
        <v>143</v>
      </c>
      <c r="I498" s="246" t="n">
        <f aca="false">SUM(K498:R498)</f>
        <v>2</v>
      </c>
      <c r="J498" s="182" t="n">
        <v>45603</v>
      </c>
      <c r="K498" s="184" t="n">
        <v>1</v>
      </c>
      <c r="L498" s="185"/>
      <c r="M498" s="150" t="n">
        <v>1</v>
      </c>
      <c r="S498" s="192" t="n">
        <f aca="false">(K498+O498+Q498)*24 /1130+(L498+M498+P498+R498)*12/1130+(N498*30)/1130</f>
        <v>0.031858407079646</v>
      </c>
    </row>
    <row r="499" customFormat="false" ht="15" hidden="true" customHeight="true" outlineLevel="0" collapsed="false">
      <c r="A499" s="128" t="n">
        <f aca="false">D499-138</f>
        <v>0</v>
      </c>
      <c r="B499" s="127" t="n">
        <f aca="false">B498+D499-C499</f>
        <v>2352.5</v>
      </c>
      <c r="D499" s="146" t="n">
        <v>138</v>
      </c>
      <c r="E499" s="147" t="n">
        <v>381</v>
      </c>
      <c r="F499" s="147" t="n">
        <f aca="false">IFERROR(VLOOKUP(H499,$AD$1:$AE$301,2,0),"")</f>
        <v>1008266</v>
      </c>
      <c r="G499" s="147" t="str">
        <f aca="false">IFERROR(VLOOKUP(F499,$AE$2:$AF$290,2, 0),"")</f>
        <v>تبوك</v>
      </c>
      <c r="H499" s="212" t="s">
        <v>178</v>
      </c>
      <c r="I499" s="246" t="n">
        <f aca="false">SUM(K499:R499)</f>
        <v>1</v>
      </c>
      <c r="J499" s="182" t="n">
        <v>45603</v>
      </c>
      <c r="K499" s="184"/>
      <c r="L499" s="185"/>
      <c r="Q499" s="154" t="n">
        <v>1</v>
      </c>
      <c r="S499" s="192" t="n">
        <f aca="false">(K499+O499+Q499)*24 /1130+(L499+M499+P499+R499)*12/1130+(N499*30)/1130</f>
        <v>0.0212389380530973</v>
      </c>
    </row>
    <row r="500" customFormat="false" ht="15" hidden="true" customHeight="true" outlineLevel="0" collapsed="false">
      <c r="A500" s="128" t="n">
        <f aca="false">D500-310.5</f>
        <v>0</v>
      </c>
      <c r="B500" s="127" t="n">
        <f aca="false">B499+D500-C500</f>
        <v>2663</v>
      </c>
      <c r="D500" s="146" t="n">
        <v>310.5</v>
      </c>
      <c r="E500" s="147" t="n">
        <v>382</v>
      </c>
      <c r="F500" s="147" t="n">
        <f aca="false">IFERROR(VLOOKUP(H500,$AD$1:$AE$301,2,0),"")</f>
        <v>1008266</v>
      </c>
      <c r="G500" s="147" t="str">
        <f aca="false">IFERROR(VLOOKUP(F500,$AE$2:$AF$290,2, 0),"")</f>
        <v>تبوك</v>
      </c>
      <c r="H500" s="212" t="s">
        <v>178</v>
      </c>
      <c r="I500" s="246" t="n">
        <f aca="false">SUM(K500:R500)</f>
        <v>1</v>
      </c>
      <c r="J500" s="182" t="n">
        <v>45603</v>
      </c>
      <c r="K500" s="184" t="n">
        <v>1</v>
      </c>
      <c r="L500" s="185"/>
      <c r="S500" s="192" t="n">
        <f aca="false">(K500+O500+Q500)*24 /1130+(L500+M500+P500+R500)*12/1130+(N500*30)/1130</f>
        <v>0.0212389380530973</v>
      </c>
    </row>
    <row r="501" customFormat="false" ht="15" hidden="true" customHeight="true" outlineLevel="0" collapsed="false">
      <c r="B501" s="127" t="n">
        <f aca="false">B500+D501-C501</f>
        <v>2818.25</v>
      </c>
      <c r="D501" s="146" t="n">
        <v>155.25</v>
      </c>
      <c r="E501" s="147" t="n">
        <v>383</v>
      </c>
      <c r="F501" s="147" t="n">
        <f aca="false">IFERROR(VLOOKUP(H501,$AD$1:$AE$301,2,0),"")</f>
        <v>548</v>
      </c>
      <c r="G501" s="147" t="str">
        <f aca="false">IFERROR(VLOOKUP(F501,$AE$2:$AF$290,2, 0),"")</f>
        <v>تبوك</v>
      </c>
      <c r="H501" s="212" t="s">
        <v>151</v>
      </c>
      <c r="I501" s="246" t="n">
        <f aca="false">SUM(K501:R501)</f>
        <v>1</v>
      </c>
      <c r="J501" s="182" t="n">
        <v>45603</v>
      </c>
      <c r="K501" s="184"/>
      <c r="L501" s="185"/>
      <c r="R501" s="155" t="n">
        <v>1</v>
      </c>
      <c r="S501" s="192" t="n">
        <f aca="false">(K501+O501+Q501)*24 /1130+(L501+M501+P501+R501)*12/1130+(N501*30)/1130</f>
        <v>0.0106194690265487</v>
      </c>
    </row>
    <row r="502" customFormat="false" ht="15" hidden="true" customHeight="true" outlineLevel="0" collapsed="false">
      <c r="A502" s="128" t="n">
        <f aca="false">D502-530</f>
        <v>-1</v>
      </c>
      <c r="B502" s="127" t="n">
        <f aca="false">B501+D502-C502</f>
        <v>3347.25</v>
      </c>
      <c r="D502" s="146" t="n">
        <f aca="false">264.5*2</f>
        <v>529</v>
      </c>
      <c r="E502" s="147" t="n">
        <v>384</v>
      </c>
      <c r="F502" s="147" t="n">
        <f aca="false">IFERROR(VLOOKUP(H502,$AD$1:$AE$301,2,0),"")</f>
        <v>562</v>
      </c>
      <c r="G502" s="147" t="str">
        <f aca="false">IFERROR(VLOOKUP(F502,$AE$2:$AF$290,2, 0),"")</f>
        <v>تبوك</v>
      </c>
      <c r="H502" s="212" t="s">
        <v>234</v>
      </c>
      <c r="I502" s="246" t="n">
        <f aca="false">SUM(K502:R502)</f>
        <v>2</v>
      </c>
      <c r="J502" s="182" t="n">
        <v>45603</v>
      </c>
      <c r="K502" s="184"/>
      <c r="L502" s="185"/>
      <c r="M502" s="150" t="n">
        <v>2</v>
      </c>
      <c r="S502" s="192" t="n">
        <f aca="false">(K502+O502+Q502)*24 /1130+(L502+M502+P502+R502)*12/1130+(N502*30)/1130</f>
        <v>0.0212389380530973</v>
      </c>
    </row>
    <row r="503" customFormat="false" ht="15" hidden="true" customHeight="true" outlineLevel="0" collapsed="false">
      <c r="A503" s="128" t="n">
        <f aca="false">D503-70-70+2</f>
        <v>0</v>
      </c>
      <c r="B503" s="127" t="n">
        <f aca="false">B502+D503-C503</f>
        <v>3485.25</v>
      </c>
      <c r="D503" s="146" t="n">
        <v>138</v>
      </c>
      <c r="E503" s="147" t="n">
        <v>385</v>
      </c>
      <c r="F503" s="147" t="n">
        <f aca="false">IFERROR(VLOOKUP(H503,$AD$1:$AE$301,2,0),"")</f>
        <v>1008277</v>
      </c>
      <c r="G503" s="147" t="str">
        <f aca="false">IFERROR(VLOOKUP(F503,$AE$2:$AF$290,2, 0),"")</f>
        <v>تبوك</v>
      </c>
      <c r="H503" s="212" t="s">
        <v>233</v>
      </c>
      <c r="I503" s="246" t="n">
        <f aca="false">SUM(K503:R503)</f>
        <v>1</v>
      </c>
      <c r="J503" s="182" t="n">
        <v>45603</v>
      </c>
      <c r="K503" s="184"/>
      <c r="L503" s="185"/>
      <c r="Q503" s="154" t="n">
        <v>1</v>
      </c>
      <c r="S503" s="192" t="n">
        <f aca="false">(K503+O503+Q503)*24 /1130+(L503+M503+P503+R503)*12/1130+(N503*30)/1130</f>
        <v>0.0212389380530973</v>
      </c>
    </row>
    <row r="504" customFormat="false" ht="15" hidden="true" customHeight="true" outlineLevel="0" collapsed="false">
      <c r="A504" s="128" t="n">
        <f aca="false">D504-35-230</f>
        <v>-0.5</v>
      </c>
      <c r="B504" s="127" t="n">
        <f aca="false">B503+D504-C504</f>
        <v>3749.75</v>
      </c>
      <c r="D504" s="146" t="n">
        <v>264.5</v>
      </c>
      <c r="E504" s="147" t="n">
        <v>386</v>
      </c>
      <c r="F504" s="147" t="n">
        <f aca="false">IFERROR(VLOOKUP(H504,$AD$1:$AE$301,2,0),"")</f>
        <v>549</v>
      </c>
      <c r="G504" s="147" t="str">
        <f aca="false">IFERROR(VLOOKUP(F504,$AE$2:$AF$290,2, 0),"")</f>
        <v>تبوك</v>
      </c>
      <c r="H504" s="212" t="s">
        <v>238</v>
      </c>
      <c r="I504" s="246" t="n">
        <f aca="false">SUM(K504:R504)</f>
        <v>1</v>
      </c>
      <c r="J504" s="182" t="n">
        <v>45606</v>
      </c>
      <c r="K504" s="184"/>
      <c r="L504" s="185"/>
      <c r="M504" s="150" t="n">
        <v>1</v>
      </c>
      <c r="S504" s="192" t="n">
        <f aca="false">(K504+O504+Q504)*24 /1130+(L504+M504+P504+R504)*12/1130+(N504*30)/1130</f>
        <v>0.0106194690265487</v>
      </c>
    </row>
    <row r="505" customFormat="false" ht="15" hidden="true" customHeight="true" outlineLevel="0" collapsed="false">
      <c r="B505" s="127" t="n">
        <f aca="false">B504+D505-C505</f>
        <v>0.5</v>
      </c>
      <c r="C505" s="127" t="n">
        <f aca="false">D501+773+230+D495+200+10+D499+D497+1185</f>
        <v>3749.25</v>
      </c>
      <c r="E505" s="212" t="s">
        <v>470</v>
      </c>
      <c r="F505" s="147" t="str">
        <f aca="false">IFERROR(VLOOKUP(H505,$AD$1:$AE$301,2,0),"")</f>
        <v/>
      </c>
      <c r="G505" s="147" t="str">
        <f aca="false">IFERROR(VLOOKUP(F505,$AE$2:$AF$290,2, 0),"")</f>
        <v/>
      </c>
      <c r="H505" s="212" t="s">
        <v>393</v>
      </c>
      <c r="I505" s="246" t="n">
        <f aca="false">SUM(K505:R505)</f>
        <v>0</v>
      </c>
      <c r="J505" s="182" t="n">
        <v>45606</v>
      </c>
      <c r="K505" s="184"/>
      <c r="L505" s="185"/>
      <c r="S505" s="192" t="n">
        <f aca="false">(K505+O505+Q505)*24 /1130+(L505+M505+P505+R505)*12/1130+(N505*30)/1130</f>
        <v>0</v>
      </c>
    </row>
    <row r="506" customFormat="false" ht="15" hidden="true" customHeight="true" outlineLevel="0" collapsed="false">
      <c r="A506" s="128" t="n">
        <f aca="false">D506-520-300-102-100</f>
        <v>1.5</v>
      </c>
      <c r="B506" s="127" t="n">
        <f aca="false">B505+D506-C506</f>
        <v>1024</v>
      </c>
      <c r="D506" s="146" t="n">
        <f aca="false">264.5+138+310.5+310.5</f>
        <v>1023.5</v>
      </c>
      <c r="E506" s="147" t="n">
        <v>388</v>
      </c>
      <c r="F506" s="147" t="n">
        <f aca="false">IFERROR(VLOOKUP(H506,$AD$1:$AE$301,2,0),"")</f>
        <v>1002901</v>
      </c>
      <c r="G506" s="147" t="str">
        <f aca="false">IFERROR(VLOOKUP(F506,$AE$2:$AF$290,2, 0),"")</f>
        <v>تبوك</v>
      </c>
      <c r="H506" s="212" t="s">
        <v>153</v>
      </c>
      <c r="I506" s="246" t="n">
        <f aca="false">SUM(K506:R506)</f>
        <v>4</v>
      </c>
      <c r="J506" s="182" t="n">
        <v>45606</v>
      </c>
      <c r="K506" s="184" t="n">
        <f aca="false">1+1</f>
        <v>2</v>
      </c>
      <c r="L506" s="185"/>
      <c r="M506" s="150" t="n">
        <v>1</v>
      </c>
      <c r="Q506" s="154" t="n">
        <v>1</v>
      </c>
      <c r="S506" s="192" t="n">
        <f aca="false">(K506+O506+Q506)*24 /1130+(L506+M506+P506+R506)*12/1130+(N506*30)/1130</f>
        <v>0.0743362831858407</v>
      </c>
    </row>
    <row r="507" customFormat="false" ht="15" hidden="true" customHeight="true" outlineLevel="0" collapsed="false">
      <c r="B507" s="127" t="n">
        <f aca="false">B506+D507-C507</f>
        <v>1645</v>
      </c>
      <c r="D507" s="146" t="n">
        <f aca="false">310.5*2</f>
        <v>621</v>
      </c>
      <c r="E507" s="147" t="n">
        <v>387</v>
      </c>
      <c r="F507" s="147" t="n">
        <f aca="false">IFERROR(VLOOKUP(H507,$AD$1:$AE$301,2,0),"")</f>
        <v>1008261</v>
      </c>
      <c r="G507" s="147" t="str">
        <f aca="false">IFERROR(VLOOKUP(F507,$AE$2:$AF$290,2, 0),"")</f>
        <v>تبوك</v>
      </c>
      <c r="H507" s="212" t="s">
        <v>440</v>
      </c>
      <c r="I507" s="246" t="n">
        <f aca="false">SUM(K507:R507)</f>
        <v>2</v>
      </c>
      <c r="J507" s="182" t="n">
        <v>45606</v>
      </c>
      <c r="K507" s="184" t="n">
        <v>2</v>
      </c>
      <c r="L507" s="185"/>
      <c r="S507" s="192" t="n">
        <f aca="false">(K507+O507+Q507)*24 /1130+(L507+M507+P507+R507)*12/1130+(N507*30)/1130</f>
        <v>0.0424778761061947</v>
      </c>
    </row>
    <row r="508" customFormat="false" ht="15" hidden="true" customHeight="true" outlineLevel="0" collapsed="false">
      <c r="B508" s="127" t="n">
        <f aca="false">B507+D508-C508</f>
        <v>1800.25</v>
      </c>
      <c r="D508" s="146" t="n">
        <v>155.25</v>
      </c>
      <c r="E508" s="147" t="n">
        <v>389</v>
      </c>
      <c r="F508" s="147" t="n">
        <f aca="false">IFERROR(VLOOKUP(H508,$AD$1:$AE$301,2,0),"")</f>
        <v>553</v>
      </c>
      <c r="G508" s="147" t="str">
        <f aca="false">IFERROR(VLOOKUP(F508,$AE$2:$AF$290,2, 0),"")</f>
        <v>تبوك</v>
      </c>
      <c r="H508" s="212" t="s">
        <v>150</v>
      </c>
      <c r="I508" s="246" t="n">
        <f aca="false">SUM(K508:R508)</f>
        <v>1</v>
      </c>
      <c r="J508" s="182" t="n">
        <v>45606</v>
      </c>
      <c r="K508" s="184"/>
      <c r="L508" s="185"/>
      <c r="R508" s="155" t="n">
        <v>1</v>
      </c>
      <c r="S508" s="192" t="n">
        <f aca="false">(K508+O508+Q508)*24 /1130+(L508+M508+P508+R508)*12/1130+(N508*30)/1130</f>
        <v>0.0106194690265487</v>
      </c>
    </row>
    <row r="509" customFormat="false" ht="15" hidden="true" customHeight="true" outlineLevel="0" collapsed="false">
      <c r="B509" s="127" t="n">
        <f aca="false">B508+D509-C509</f>
        <v>0</v>
      </c>
      <c r="C509" s="127" t="n">
        <f aca="false">D508+D507+1024</f>
        <v>1800.25</v>
      </c>
      <c r="F509" s="147" t="str">
        <f aca="false">IFERROR(VLOOKUP(H509,$AD$1:$AE$301,2,0),"")</f>
        <v/>
      </c>
      <c r="G509" s="147" t="str">
        <f aca="false">IFERROR(VLOOKUP(F509,$AE$2:$AF$290,2, 0),"")</f>
        <v/>
      </c>
      <c r="H509" s="212" t="s">
        <v>393</v>
      </c>
      <c r="I509" s="246" t="n">
        <f aca="false">SUM(K509:R509)</f>
        <v>0</v>
      </c>
      <c r="J509" s="182" t="n">
        <v>45606</v>
      </c>
      <c r="K509" s="184"/>
      <c r="L509" s="185"/>
      <c r="S509" s="192" t="n">
        <f aca="false">(K509+O509+Q509)*24 /1130+(L509+M509+P509+R509)*12/1130+(N509*30)/1130</f>
        <v>0</v>
      </c>
    </row>
    <row r="510" customFormat="false" ht="15" hidden="true" customHeight="true" outlineLevel="0" collapsed="false">
      <c r="B510" s="127" t="n">
        <f aca="false">B509+D510-C510</f>
        <v>776.25</v>
      </c>
      <c r="D510" s="146" t="n">
        <f aca="false">258.75*3</f>
        <v>776.25</v>
      </c>
      <c r="E510" s="147" t="n">
        <v>390</v>
      </c>
      <c r="F510" s="147" t="n">
        <f aca="false">IFERROR(VLOOKUP(H510,$AD$1:$AE$301,2,0),"")</f>
        <v>1007980</v>
      </c>
      <c r="G510" s="147" t="str">
        <f aca="false">IFERROR(VLOOKUP(F510,$AE$2:$AF$290,2, 0),"")</f>
        <v>ضباء</v>
      </c>
      <c r="H510" s="212" t="s">
        <v>81</v>
      </c>
      <c r="I510" s="246" t="n">
        <f aca="false">SUM(K510:R510)</f>
        <v>3</v>
      </c>
      <c r="J510" s="182" t="n">
        <v>45607</v>
      </c>
      <c r="K510" s="184"/>
      <c r="L510" s="185"/>
      <c r="O510" s="152" t="n">
        <v>3</v>
      </c>
      <c r="S510" s="192" t="n">
        <f aca="false">(K510+O510+Q510)*24 /1130+(L510+M510+P510+R510)*12/1130+(N510*30)/1130</f>
        <v>0.063716814159292</v>
      </c>
    </row>
    <row r="511" customFormat="false" ht="15" hidden="true" customHeight="true" outlineLevel="0" collapsed="false">
      <c r="B511" s="127" t="n">
        <f aca="false">B510+D511-C511</f>
        <v>3007.25</v>
      </c>
      <c r="D511" s="146" t="n">
        <f aca="false">4*310.5+264.5+3*241.5</f>
        <v>2231</v>
      </c>
      <c r="E511" s="147" t="n">
        <v>394</v>
      </c>
      <c r="F511" s="147" t="n">
        <f aca="false">IFERROR(VLOOKUP(H511,$AD$1:$AE$301,2,0),"")</f>
        <v>1008024</v>
      </c>
      <c r="G511" s="147" t="str">
        <f aca="false">IFERROR(VLOOKUP(F511,$AE$2:$AF$290,2, 0),"")</f>
        <v>ضباء</v>
      </c>
      <c r="H511" s="212" t="s">
        <v>96</v>
      </c>
      <c r="I511" s="246" t="n">
        <f aca="false">SUM(K511:R511)</f>
        <v>8</v>
      </c>
      <c r="J511" s="182" t="n">
        <v>45607</v>
      </c>
      <c r="K511" s="184" t="n">
        <f aca="false">1+3</f>
        <v>4</v>
      </c>
      <c r="L511" s="185"/>
      <c r="M511" s="150" t="n">
        <f aca="false">3+1</f>
        <v>4</v>
      </c>
      <c r="S511" s="192" t="n">
        <f aca="false">(K511+O511+Q511)*24 /1130+(L511+M511+P511+R511)*12/1130+(N511*30)/1130</f>
        <v>0.127433628318584</v>
      </c>
    </row>
    <row r="512" customFormat="false" ht="15" hidden="true" customHeight="true" outlineLevel="0" collapsed="false">
      <c r="B512" s="127" t="n">
        <f aca="false">B511+D512-C512</f>
        <v>4732.25</v>
      </c>
      <c r="D512" s="146" t="n">
        <f aca="false">345*5</f>
        <v>1725</v>
      </c>
      <c r="E512" s="147" t="n">
        <v>392</v>
      </c>
      <c r="F512" s="147" t="n">
        <f aca="false">IFERROR(VLOOKUP(H512,$AD$1:$AE$301,2,0),"")</f>
        <v>1008023</v>
      </c>
      <c r="G512" s="147" t="str">
        <f aca="false">IFERROR(VLOOKUP(F512,$AE$2:$AF$290,2, 0),"")</f>
        <v>ضباء</v>
      </c>
      <c r="H512" s="212" t="s">
        <v>95</v>
      </c>
      <c r="I512" s="246" t="n">
        <f aca="false">SUM(K512:R512)</f>
        <v>5</v>
      </c>
      <c r="J512" s="182" t="n">
        <v>45607</v>
      </c>
      <c r="K512" s="184"/>
      <c r="L512" s="185"/>
      <c r="M512" s="150" t="n">
        <v>5</v>
      </c>
      <c r="S512" s="192" t="n">
        <f aca="false">(K512+O512+Q512)*24 /1130+(L512+M512+P512+R512)*12/1130+(N512*30)/1130</f>
        <v>0.0530973451327434</v>
      </c>
    </row>
    <row r="513" customFormat="false" ht="15" hidden="true" customHeight="true" outlineLevel="0" collapsed="false">
      <c r="A513" s="128" t="n">
        <f aca="false">D513-150-46-115</f>
        <v>-0.5</v>
      </c>
      <c r="B513" s="127" t="n">
        <f aca="false">B512+D513-C513</f>
        <v>5042.75</v>
      </c>
      <c r="D513" s="146" t="n">
        <f aca="false">310.5</f>
        <v>310.5</v>
      </c>
      <c r="E513" s="147" t="n">
        <v>391</v>
      </c>
      <c r="F513" s="147" t="n">
        <f aca="false">IFERROR(VLOOKUP(H513,$AD$1:$AE$301,2,0),"")</f>
        <v>1007976</v>
      </c>
      <c r="G513" s="147" t="str">
        <f aca="false">IFERROR(VLOOKUP(F513,$AE$2:$AF$290,2, 0),"")</f>
        <v>ضباء</v>
      </c>
      <c r="H513" s="212" t="s">
        <v>77</v>
      </c>
      <c r="I513" s="246" t="n">
        <f aca="false">SUM(K513:R513)</f>
        <v>1</v>
      </c>
      <c r="J513" s="182" t="n">
        <v>45607</v>
      </c>
      <c r="K513" s="184" t="n">
        <v>1</v>
      </c>
      <c r="L513" s="185"/>
      <c r="S513" s="192" t="n">
        <f aca="false">(K513+O513+Q513)*24 /1130+(L513+M513+P513+R513)*12/1130+(N513*30)/1130</f>
        <v>0.0212389380530973</v>
      </c>
    </row>
    <row r="514" customFormat="false" ht="15" hidden="true" customHeight="true" outlineLevel="0" collapsed="false">
      <c r="B514" s="127" t="n">
        <f aca="false">B513+D514-C514</f>
        <v>5991.5</v>
      </c>
      <c r="D514" s="146" t="n">
        <f aca="false">316.25*3</f>
        <v>948.75</v>
      </c>
      <c r="E514" s="147" t="n">
        <v>393</v>
      </c>
      <c r="F514" s="147" t="n">
        <f aca="false">IFERROR(VLOOKUP(H514,$AD$1:$AE$301,2,0),"")</f>
        <v>1008023</v>
      </c>
      <c r="G514" s="147" t="str">
        <f aca="false">IFERROR(VLOOKUP(F514,$AE$2:$AF$290,2, 0),"")</f>
        <v>ضباء</v>
      </c>
      <c r="H514" s="212" t="s">
        <v>95</v>
      </c>
      <c r="I514" s="246" t="n">
        <f aca="false">SUM(K514:R514)</f>
        <v>3</v>
      </c>
      <c r="J514" s="182" t="n">
        <v>45607</v>
      </c>
      <c r="K514" s="184"/>
      <c r="L514" s="185"/>
      <c r="N514" s="151" t="n">
        <v>3</v>
      </c>
      <c r="S514" s="192" t="n">
        <f aca="false">(K514+O514+Q514)*24 /1130+(L514+M514+P514+R514)*12/1130+(N514*30)/1130</f>
        <v>0.079646017699115</v>
      </c>
    </row>
    <row r="515" customFormat="false" ht="15" hidden="true" customHeight="true" outlineLevel="0" collapsed="false">
      <c r="B515" s="127" t="n">
        <f aca="false">B514+D515-C515</f>
        <v>6302</v>
      </c>
      <c r="D515" s="146" t="n">
        <f aca="false">155.25*2</f>
        <v>310.5</v>
      </c>
      <c r="E515" s="147" t="n">
        <v>395</v>
      </c>
      <c r="F515" s="147" t="n">
        <f aca="false">IFERROR(VLOOKUP(H515,$AD$1:$AE$301,2,0),"")</f>
        <v>1008025</v>
      </c>
      <c r="G515" s="147" t="str">
        <f aca="false">IFERROR(VLOOKUP(F515,$AE$2:$AF$290,2, 0),"")</f>
        <v>ضباء</v>
      </c>
      <c r="H515" s="212" t="s">
        <v>97</v>
      </c>
      <c r="I515" s="246" t="n">
        <f aca="false">SUM(K515:R515)</f>
        <v>2</v>
      </c>
      <c r="J515" s="182" t="n">
        <v>45607</v>
      </c>
      <c r="K515" s="184"/>
      <c r="L515" s="185"/>
      <c r="R515" s="155" t="n">
        <v>2</v>
      </c>
      <c r="S515" s="192" t="n">
        <f aca="false">(K515+O515+Q515)*24 /1130+(L515+M515+P515+R515)*12/1130+(N515*30)/1130</f>
        <v>0.0212389380530973</v>
      </c>
    </row>
    <row r="516" customFormat="false" ht="15" hidden="true" customHeight="true" outlineLevel="0" collapsed="false">
      <c r="B516" s="127" t="n">
        <f aca="false">B515+D516-C516</f>
        <v>6854</v>
      </c>
      <c r="D516" s="146" t="n">
        <f aca="false">241.5+310.5</f>
        <v>552</v>
      </c>
      <c r="E516" s="147" t="n">
        <v>396</v>
      </c>
      <c r="F516" s="147" t="n">
        <f aca="false">IFERROR(VLOOKUP(H516,$AD$1:$AE$301,2,0),"")</f>
        <v>1007988</v>
      </c>
      <c r="G516" s="147" t="str">
        <f aca="false">IFERROR(VLOOKUP(F516,$AE$2:$AF$290,2, 0),"")</f>
        <v>ضباء</v>
      </c>
      <c r="H516" s="212" t="s">
        <v>89</v>
      </c>
      <c r="I516" s="246" t="n">
        <f aca="false">SUM(K516:R516)</f>
        <v>2</v>
      </c>
      <c r="J516" s="182" t="n">
        <v>45607</v>
      </c>
      <c r="K516" s="184" t="n">
        <v>1</v>
      </c>
      <c r="L516" s="185"/>
      <c r="M516" s="150" t="n">
        <v>1</v>
      </c>
      <c r="S516" s="192" t="n">
        <f aca="false">(K516+O516+Q516)*24 /1130+(L516+M516+P516+R516)*12/1130+(N516*30)/1130</f>
        <v>0.031858407079646</v>
      </c>
    </row>
    <row r="517" customFormat="false" ht="15" hidden="true" customHeight="true" outlineLevel="0" collapsed="false">
      <c r="B517" s="127" t="n">
        <f aca="false">B516+D517-C517</f>
        <v>7055.25</v>
      </c>
      <c r="D517" s="146" t="n">
        <v>201.25</v>
      </c>
      <c r="E517" s="147" t="n">
        <v>397</v>
      </c>
      <c r="F517" s="147" t="n">
        <f aca="false">IFERROR(VLOOKUP(H517,$AD$1:$AE$301,2,0),"")</f>
        <v>1008032</v>
      </c>
      <c r="G517" s="147" t="str">
        <f aca="false">IFERROR(VLOOKUP(F517,$AE$2:$AF$290,2, 0),"")</f>
        <v>ضباء</v>
      </c>
      <c r="H517" s="212" t="s">
        <v>101</v>
      </c>
      <c r="I517" s="246" t="n">
        <f aca="false">SUM(K517:R517)</f>
        <v>1</v>
      </c>
      <c r="J517" s="182" t="n">
        <v>45607</v>
      </c>
      <c r="K517" s="184"/>
      <c r="L517" s="185"/>
      <c r="M517" s="150" t="n">
        <v>1</v>
      </c>
      <c r="S517" s="192" t="n">
        <f aca="false">(K517+O517+Q517)*24 /1130+(L517+M517+P517+R517)*12/1130+(N517*30)/1130</f>
        <v>0.0106194690265487</v>
      </c>
    </row>
    <row r="518" customFormat="false" ht="15" hidden="true" customHeight="true" outlineLevel="0" collapsed="false">
      <c r="B518" s="127" t="n">
        <f aca="false">B517+D518-C518</f>
        <v>9395.5</v>
      </c>
      <c r="D518" s="146" t="n">
        <f aca="false">4*310.5+4*224.5+200.25</f>
        <v>2340.25</v>
      </c>
      <c r="E518" s="147" t="n">
        <v>398</v>
      </c>
      <c r="F518" s="147" t="n">
        <f aca="false">IFERROR(VLOOKUP(H518,$AD$1:$AE$301,2,0),"")</f>
        <v>1008047</v>
      </c>
      <c r="G518" s="147" t="str">
        <f aca="false">IFERROR(VLOOKUP(F518,$AE$2:$AF$290,2, 0),"")</f>
        <v>الوجه</v>
      </c>
      <c r="H518" s="212" t="s">
        <v>422</v>
      </c>
      <c r="I518" s="246" t="n">
        <f aca="false">SUM(K518:R518)</f>
        <v>9</v>
      </c>
      <c r="J518" s="182" t="n">
        <v>45607</v>
      </c>
      <c r="K518" s="184" t="n">
        <v>4</v>
      </c>
      <c r="L518" s="185"/>
      <c r="M518" s="150" t="n">
        <f aca="false">4+1</f>
        <v>5</v>
      </c>
      <c r="S518" s="192" t="n">
        <f aca="false">(K518+O518+Q518)*24 /1130+(L518+M518+P518+R518)*12/1130+(N518*30)/1130</f>
        <v>0.138053097345133</v>
      </c>
    </row>
    <row r="519" customFormat="false" ht="15" hidden="true" customHeight="true" outlineLevel="0" collapsed="false">
      <c r="B519" s="127" t="n">
        <f aca="false">B518+D519-C519</f>
        <v>9706</v>
      </c>
      <c r="D519" s="146" t="n">
        <v>310.5</v>
      </c>
      <c r="E519" s="147" t="n">
        <v>399</v>
      </c>
      <c r="F519" s="147" t="n">
        <f aca="false">IFERROR(VLOOKUP(H519,$AD$1:$AE$301,2,0),"")</f>
        <v>1008049</v>
      </c>
      <c r="G519" s="147" t="str">
        <f aca="false">IFERROR(VLOOKUP(F519,$AE$2:$AF$290,2, 0),"")</f>
        <v>الوجه</v>
      </c>
      <c r="H519" s="212" t="s">
        <v>111</v>
      </c>
      <c r="I519" s="246" t="n">
        <f aca="false">SUM(K519:R519)</f>
        <v>1</v>
      </c>
      <c r="J519" s="182" t="n">
        <v>45607</v>
      </c>
      <c r="K519" s="184" t="n">
        <v>1</v>
      </c>
      <c r="L519" s="185"/>
      <c r="S519" s="192" t="n">
        <f aca="false">(K519+O519+Q519)*24 /1130+(L519+M519+P519+R519)*12/1130+(N519*30)/1130</f>
        <v>0.0212389380530973</v>
      </c>
    </row>
    <row r="520" customFormat="false" ht="15" hidden="true" customHeight="true" outlineLevel="0" collapsed="false">
      <c r="A520" s="128" t="n">
        <f aca="false">D520</f>
        <v>0</v>
      </c>
      <c r="B520" s="127" t="n">
        <f aca="false">B519+D520-C520</f>
        <v>6262</v>
      </c>
      <c r="C520" s="127" t="n">
        <f aca="false">488+2206+750</f>
        <v>3444</v>
      </c>
      <c r="E520" s="212" t="s">
        <v>470</v>
      </c>
      <c r="F520" s="147" t="str">
        <f aca="false">IFERROR(VLOOKUP(H520,$AD$1:$AE$301,2,0),"")</f>
        <v/>
      </c>
      <c r="G520" s="147" t="str">
        <f aca="false">IFERROR(VLOOKUP(F520,$AE$2:$AF$290,2, 0),"")</f>
        <v/>
      </c>
      <c r="H520" s="212" t="s">
        <v>393</v>
      </c>
      <c r="I520" s="246" t="n">
        <f aca="false">SUM(K520:R520)</f>
        <v>0</v>
      </c>
      <c r="J520" s="182" t="n">
        <v>45607</v>
      </c>
      <c r="K520" s="184"/>
      <c r="L520" s="185"/>
      <c r="S520" s="192" t="n">
        <f aca="false">(K520+O520+Q520)*24 /1130+(L520+M520+P520+R520)*12/1130+(N520*30)/1130</f>
        <v>0</v>
      </c>
    </row>
    <row r="521" customFormat="false" ht="15" hidden="true" customHeight="true" outlineLevel="0" collapsed="false">
      <c r="B521" s="127" t="n">
        <f aca="false">B520+D521-C521</f>
        <v>0</v>
      </c>
      <c r="C521" s="127" t="n">
        <v>6262</v>
      </c>
      <c r="E521" s="212" t="s">
        <v>392</v>
      </c>
      <c r="F521" s="147" t="str">
        <f aca="false">IFERROR(VLOOKUP(H521,$AD$1:$AE$301,2,0),"")</f>
        <v/>
      </c>
      <c r="G521" s="147" t="str">
        <f aca="false">IFERROR(VLOOKUP(F521,$AE$2:$AF$290,2, 0),"")</f>
        <v/>
      </c>
      <c r="H521" s="212" t="s">
        <v>393</v>
      </c>
      <c r="I521" s="246" t="n">
        <f aca="false">SUM(K521:R521)</f>
        <v>0</v>
      </c>
      <c r="J521" s="182" t="n">
        <v>45608</v>
      </c>
      <c r="K521" s="184"/>
      <c r="L521" s="185"/>
      <c r="S521" s="192" t="n">
        <f aca="false">(K521+O521+Q521)*24 /1130+(L521+M521+P521+R521)*12/1130+(N521*30)/1130</f>
        <v>0</v>
      </c>
    </row>
    <row r="522" customFormat="false" ht="15" hidden="true" customHeight="true" outlineLevel="0" collapsed="false">
      <c r="B522" s="127" t="n">
        <f aca="false">B521+D522-C522</f>
        <v>3105</v>
      </c>
      <c r="D522" s="146" t="n">
        <f aca="false">310.5*10</f>
        <v>3105</v>
      </c>
      <c r="E522" s="147" t="n">
        <v>402</v>
      </c>
      <c r="F522" s="147" t="n">
        <f aca="false">IFERROR(VLOOKUP(H522,$AD$1:$AE$301,2,0),"")</f>
        <v>1008014</v>
      </c>
      <c r="G522" s="147" t="str">
        <f aca="false">IFERROR(VLOOKUP(F522,$AE$2:$AF$290,2, 0),"")</f>
        <v>البدع</v>
      </c>
      <c r="H522" s="212" t="s">
        <v>322</v>
      </c>
      <c r="I522" s="246" t="n">
        <f aca="false">SUM(K522:R522)</f>
        <v>10</v>
      </c>
      <c r="J522" s="182" t="n">
        <v>45608</v>
      </c>
      <c r="K522" s="184" t="n">
        <v>10</v>
      </c>
      <c r="L522" s="185"/>
      <c r="S522" s="192" t="n">
        <f aca="false">(K522+O522+Q522)*24 /1130+(L522+M522+P522+R522)*12/1130+(N522*30)/1130</f>
        <v>0.212389380530973</v>
      </c>
    </row>
    <row r="523" customFormat="false" ht="15" hidden="true" customHeight="true" outlineLevel="0" collapsed="false">
      <c r="B523" s="127" t="n">
        <f aca="false">B522+D523-C523</f>
        <v>3639.75</v>
      </c>
      <c r="D523" s="146" t="n">
        <f aca="false">310.5+224.25</f>
        <v>534.75</v>
      </c>
      <c r="E523" s="147" t="n">
        <v>404</v>
      </c>
      <c r="F523" s="147" t="n">
        <f aca="false">IFERROR(VLOOKUP(H523,$AD$1:$AE$301,2,0),"")</f>
        <v>1006522</v>
      </c>
      <c r="G523" s="147" t="str">
        <f aca="false">IFERROR(VLOOKUP(F523,$AE$2:$AF$290,2, 0),"")</f>
        <v>البدع</v>
      </c>
      <c r="H523" s="212" t="s">
        <v>317</v>
      </c>
      <c r="I523" s="246" t="n">
        <f aca="false">SUM(K523:R523)</f>
        <v>2</v>
      </c>
      <c r="J523" s="182" t="n">
        <v>45608</v>
      </c>
      <c r="K523" s="184" t="n">
        <v>1</v>
      </c>
      <c r="L523" s="185"/>
      <c r="M523" s="150" t="n">
        <v>1</v>
      </c>
      <c r="S523" s="192" t="n">
        <f aca="false">(K523+O523+Q523)*24 /1130+(L523+M523+P523+R523)*12/1130+(N523*30)/1130</f>
        <v>0.031858407079646</v>
      </c>
    </row>
    <row r="524" customFormat="false" ht="15" hidden="true" customHeight="true" outlineLevel="0" collapsed="false">
      <c r="B524" s="127" t="n">
        <f aca="false">B523+D524-C524</f>
        <v>4214.75</v>
      </c>
      <c r="D524" s="146" t="n">
        <f aca="false">310.5+264.5</f>
        <v>575</v>
      </c>
      <c r="E524" s="147" t="n">
        <v>403</v>
      </c>
      <c r="F524" s="147" t="n">
        <f aca="false">IFERROR(VLOOKUP(H524,$AD$1:$AE$301,2,0),"")</f>
        <v>1008019</v>
      </c>
      <c r="G524" s="147" t="str">
        <f aca="false">IFERROR(VLOOKUP(F524,$AE$2:$AF$290,2, 0),"")</f>
        <v>البدع</v>
      </c>
      <c r="H524" s="212" t="s">
        <v>327</v>
      </c>
      <c r="I524" s="246" t="n">
        <f aca="false">SUM(K524:R524)</f>
        <v>2</v>
      </c>
      <c r="J524" s="182" t="n">
        <v>45608</v>
      </c>
      <c r="K524" s="184" t="n">
        <v>1</v>
      </c>
      <c r="L524" s="185"/>
      <c r="M524" s="150" t="n">
        <v>1</v>
      </c>
      <c r="S524" s="192" t="n">
        <f aca="false">(K524+O524+Q524)*24 /1130+(L524+M524+P524+R524)*12/1130+(N524*30)/1130</f>
        <v>0.031858407079646</v>
      </c>
    </row>
    <row r="525" customFormat="false" ht="15" hidden="true" customHeight="true" outlineLevel="0" collapsed="false">
      <c r="B525" s="127" t="n">
        <f aca="false">B524+D525-C525</f>
        <v>4479.25</v>
      </c>
      <c r="D525" s="146" t="n">
        <v>264.5</v>
      </c>
      <c r="E525" s="147" t="n">
        <v>401</v>
      </c>
      <c r="F525" s="147" t="n">
        <f aca="false">IFERROR(VLOOKUP(H525,$AD$1:$AE$301,2,0),"")</f>
        <v>1007989</v>
      </c>
      <c r="G525" s="147" t="str">
        <f aca="false">IFERROR(VLOOKUP(F525,$AE$2:$AF$290,2, 0),"")</f>
        <v>ضباء</v>
      </c>
      <c r="H525" s="212" t="s">
        <v>90</v>
      </c>
      <c r="I525" s="246" t="n">
        <f aca="false">SUM(K525:R525)</f>
        <v>1</v>
      </c>
      <c r="J525" s="182" t="n">
        <v>45608</v>
      </c>
      <c r="K525" s="184"/>
      <c r="L525" s="185"/>
      <c r="M525" s="150" t="n">
        <v>1</v>
      </c>
      <c r="S525" s="192" t="n">
        <f aca="false">(K525+O525+Q525)*24 /1130+(L525+M525+P525+R525)*12/1130+(N525*30)/1130</f>
        <v>0.0106194690265487</v>
      </c>
    </row>
    <row r="526" customFormat="false" ht="15" hidden="true" customHeight="true" outlineLevel="0" collapsed="false">
      <c r="B526" s="127" t="n">
        <f aca="false">B525+D526-C526</f>
        <v>5313</v>
      </c>
      <c r="D526" s="146" t="n">
        <f aca="false">316.25+2*258.75</f>
        <v>833.75</v>
      </c>
      <c r="E526" s="147" t="n">
        <v>400</v>
      </c>
      <c r="F526" s="147" t="n">
        <f aca="false">IFERROR(VLOOKUP(H526,$AD$1:$AE$301,2,0),"")</f>
        <v>1007989</v>
      </c>
      <c r="G526" s="147" t="str">
        <f aca="false">IFERROR(VLOOKUP(F526,$AE$2:$AF$290,2, 0),"")</f>
        <v>ضباء</v>
      </c>
      <c r="H526" s="212" t="s">
        <v>90</v>
      </c>
      <c r="I526" s="246" t="n">
        <f aca="false">SUM(K526:R526)</f>
        <v>3</v>
      </c>
      <c r="J526" s="182" t="n">
        <v>45608</v>
      </c>
      <c r="K526" s="184"/>
      <c r="L526" s="185"/>
      <c r="N526" s="151" t="n">
        <v>1</v>
      </c>
      <c r="O526" s="152" t="n">
        <v>2</v>
      </c>
      <c r="S526" s="192" t="n">
        <f aca="false">(K526+O526+Q526)*24 /1130+(L526+M526+P526+R526)*12/1130+(N526*30)/1130</f>
        <v>0.0690265486725664</v>
      </c>
    </row>
    <row r="527" customFormat="false" ht="15" hidden="true" customHeight="true" outlineLevel="0" collapsed="false">
      <c r="B527" s="127" t="n">
        <f aca="false">B526+D527-C527</f>
        <v>5934</v>
      </c>
      <c r="D527" s="146" t="n">
        <f aca="false">310.5*2</f>
        <v>621</v>
      </c>
      <c r="E527" s="147" t="n">
        <v>406</v>
      </c>
      <c r="F527" s="147" t="n">
        <f aca="false">IFERROR(VLOOKUP(H527,$AD$1:$AE$301,2,0),"")</f>
        <v>1007965</v>
      </c>
      <c r="G527" s="147" t="str">
        <f aca="false">IFERROR(VLOOKUP(F527,$AE$2:$AF$290,2, 0),"")</f>
        <v>البير</v>
      </c>
      <c r="H527" s="212" t="s">
        <v>290</v>
      </c>
      <c r="I527" s="246" t="n">
        <f aca="false">SUM(K527:R527)</f>
        <v>2</v>
      </c>
      <c r="J527" s="182" t="n">
        <v>45608</v>
      </c>
      <c r="K527" s="184" t="n">
        <v>2</v>
      </c>
      <c r="L527" s="185"/>
      <c r="S527" s="192" t="n">
        <f aca="false">(K527+O527+Q527)*24 /1130+(L527+M527+P527+R527)*12/1130+(N527*30)/1130</f>
        <v>0.0424778761061947</v>
      </c>
    </row>
    <row r="528" customFormat="false" ht="15" hidden="true" customHeight="true" outlineLevel="0" collapsed="false">
      <c r="B528" s="127" t="n">
        <f aca="false">B527+D528-C528</f>
        <v>6077.75</v>
      </c>
      <c r="D528" s="146" t="n">
        <v>143.75</v>
      </c>
      <c r="E528" s="147" t="n">
        <v>405</v>
      </c>
      <c r="F528" s="147" t="n">
        <f aca="false">IFERROR(VLOOKUP(H528,$AD$1:$AE$301,2,0),"")</f>
        <v>1008040</v>
      </c>
      <c r="G528" s="147" t="str">
        <f aca="false">IFERROR(VLOOKUP(F528,$AE$2:$AF$290,2, 0),"")</f>
        <v>البير</v>
      </c>
      <c r="H528" s="212" t="s">
        <v>292</v>
      </c>
      <c r="I528" s="246" t="n">
        <f aca="false">SUM(K528:R528)</f>
        <v>1</v>
      </c>
      <c r="J528" s="182" t="n">
        <v>45608</v>
      </c>
      <c r="K528" s="184"/>
      <c r="L528" s="185"/>
      <c r="P528" s="153" t="n">
        <v>1</v>
      </c>
      <c r="S528" s="192" t="n">
        <f aca="false">(K528+O528+Q528)*24 /1130+(L528+M528+P528+R528)*12/1130+(N528*30)/1130</f>
        <v>0.0106194690265487</v>
      </c>
    </row>
    <row r="529" customFormat="false" ht="15" hidden="true" customHeight="true" outlineLevel="0" collapsed="false">
      <c r="B529" s="127" t="n">
        <f aca="false">B528+D529-C529</f>
        <v>7164.5</v>
      </c>
      <c r="D529" s="146" t="n">
        <f aca="false">258.75*3+310.5</f>
        <v>1086.75</v>
      </c>
      <c r="E529" s="147" t="n">
        <v>407</v>
      </c>
      <c r="F529" s="147" t="n">
        <f aca="false">IFERROR(VLOOKUP(H529,$AD$1:$AE$301,2,0),"")</f>
        <v>1007996</v>
      </c>
      <c r="G529" s="147" t="str">
        <f aca="false">IFERROR(VLOOKUP(F529,$AE$2:$AF$290,2, 0),"")</f>
        <v>البير</v>
      </c>
      <c r="H529" s="212" t="s">
        <v>295</v>
      </c>
      <c r="I529" s="246" t="n">
        <f aca="false">SUM(K529:R529)</f>
        <v>4</v>
      </c>
      <c r="J529" s="182" t="n">
        <v>45608</v>
      </c>
      <c r="K529" s="184" t="n">
        <v>1</v>
      </c>
      <c r="L529" s="185"/>
      <c r="O529" s="152" t="n">
        <v>3</v>
      </c>
      <c r="S529" s="192" t="n">
        <f aca="false">(K529+O529+Q529)*24 /1130+(L529+M529+P529+R529)*12/1130+(N529*30)/1130</f>
        <v>0.0849557522123894</v>
      </c>
    </row>
    <row r="530" customFormat="false" ht="15" hidden="true" customHeight="true" outlineLevel="0" collapsed="false">
      <c r="B530" s="127" t="n">
        <f aca="false">B529+D530-C530</f>
        <v>9565.7</v>
      </c>
      <c r="D530" s="146" t="n">
        <f aca="false">12*200.1</f>
        <v>2401.2</v>
      </c>
      <c r="E530" s="147" t="n">
        <v>408</v>
      </c>
      <c r="F530" s="147" t="n">
        <f aca="false">IFERROR(VLOOKUP(H530,$AD$1:$AE$301,2,0),"")</f>
        <v>1007997</v>
      </c>
      <c r="G530" s="147" t="str">
        <f aca="false">IFERROR(VLOOKUP(F530,$AE$2:$AF$290,2, 0),"")</f>
        <v>البير</v>
      </c>
      <c r="H530" s="212" t="s">
        <v>296</v>
      </c>
      <c r="I530" s="246" t="n">
        <f aca="false">SUM(K530:R530)</f>
        <v>12</v>
      </c>
      <c r="J530" s="182" t="n">
        <v>45608</v>
      </c>
      <c r="K530" s="184"/>
      <c r="L530" s="185"/>
      <c r="Q530" s="154" t="n">
        <v>12</v>
      </c>
      <c r="S530" s="192" t="n">
        <f aca="false">(K530+O530+Q530)*24 /1130+(L530+M530+P530+R530)*12/1130+(N530*30)/1130</f>
        <v>0.254867256637168</v>
      </c>
    </row>
    <row r="531" customFormat="false" ht="15" hidden="true" customHeight="true" outlineLevel="0" collapsed="false">
      <c r="B531" s="127" t="n">
        <f aca="false">B530+D531-C531</f>
        <v>9830.2</v>
      </c>
      <c r="D531" s="146" t="n">
        <v>264.5</v>
      </c>
      <c r="E531" s="147" t="n">
        <v>409</v>
      </c>
      <c r="F531" s="147" t="n">
        <f aca="false">IFERROR(VLOOKUP(H531,$AD$1:$AE$301,2,0),"")</f>
        <v>1008030</v>
      </c>
      <c r="G531" s="147" t="str">
        <f aca="false">IFERROR(VLOOKUP(F531,$AE$2:$AF$290,2, 0),"")</f>
        <v>البير</v>
      </c>
      <c r="H531" s="212" t="s">
        <v>298</v>
      </c>
      <c r="I531" s="246" t="n">
        <f aca="false">SUM(K531:R531)</f>
        <v>1</v>
      </c>
      <c r="J531" s="182" t="n">
        <v>45608</v>
      </c>
      <c r="K531" s="184"/>
      <c r="L531" s="185"/>
      <c r="M531" s="150" t="n">
        <v>1</v>
      </c>
      <c r="S531" s="192" t="n">
        <f aca="false">(K531+O531+Q531)*24 /1130+(L531+M531+P531+R531)*12/1130+(N531*30)/1130</f>
        <v>0.0106194690265487</v>
      </c>
    </row>
    <row r="532" customFormat="false" ht="15" hidden="true" customHeight="true" outlineLevel="0" collapsed="false">
      <c r="B532" s="127" t="n">
        <f aca="false">B531+D532-C532</f>
        <v>2576.45</v>
      </c>
      <c r="C532" s="127" t="n">
        <f aca="false">1035.25+D522+549+2150+264.5+150</f>
        <v>7253.75</v>
      </c>
      <c r="E532" s="212" t="s">
        <v>470</v>
      </c>
      <c r="F532" s="147" t="str">
        <f aca="false">IFERROR(VLOOKUP(H532,$AD$1:$AE$301,2,0),"")</f>
        <v/>
      </c>
      <c r="G532" s="147" t="str">
        <f aca="false">IFERROR(VLOOKUP(F532,$AE$2:$AF$290,2, 0),"")</f>
        <v/>
      </c>
      <c r="H532" s="212" t="s">
        <v>393</v>
      </c>
      <c r="I532" s="246" t="n">
        <f aca="false">SUM(K532:R532)</f>
        <v>0</v>
      </c>
      <c r="J532" s="182" t="n">
        <v>45608</v>
      </c>
      <c r="K532" s="184"/>
      <c r="L532" s="185"/>
      <c r="S532" s="192" t="n">
        <f aca="false">(K532+O532+Q532)*24 /1130+(L532+M532+P532+R532)*12/1130+(N532*30)/1130</f>
        <v>0</v>
      </c>
    </row>
    <row r="533" customFormat="false" ht="15" hidden="true" customHeight="true" outlineLevel="0" collapsed="false">
      <c r="B533" s="127" t="n">
        <f aca="false">B532+D533-C533</f>
        <v>0.450000000000728</v>
      </c>
      <c r="C533" s="127" t="n">
        <v>2576</v>
      </c>
      <c r="E533" s="212" t="s">
        <v>392</v>
      </c>
      <c r="F533" s="147" t="str">
        <f aca="false">IFERROR(VLOOKUP(H533,$AD$1:$AE$301,2,0),"")</f>
        <v/>
      </c>
      <c r="G533" s="147" t="str">
        <f aca="false">IFERROR(VLOOKUP(F533,$AE$2:$AF$290,2, 0),"")</f>
        <v/>
      </c>
      <c r="H533" s="212" t="s">
        <v>393</v>
      </c>
      <c r="I533" s="246" t="n">
        <f aca="false">SUM(K533:R533)</f>
        <v>0</v>
      </c>
      <c r="J533" s="182" t="n">
        <v>45608</v>
      </c>
      <c r="K533" s="184"/>
      <c r="L533" s="185"/>
      <c r="S533" s="192" t="n">
        <f aca="false">(K533+O533+Q533)*24 /1130+(L533+M533+P533+R533)*12/1130+(N533*30)/1130</f>
        <v>0</v>
      </c>
    </row>
    <row r="534" customFormat="false" ht="15" hidden="true" customHeight="true" outlineLevel="0" collapsed="false">
      <c r="B534" s="127" t="n">
        <f aca="false">B533+D534-C534</f>
        <v>310.950000000001</v>
      </c>
      <c r="D534" s="146" t="n">
        <f aca="false">310.5</f>
        <v>310.5</v>
      </c>
      <c r="E534" s="147" t="n">
        <v>410</v>
      </c>
      <c r="F534" s="147" t="n">
        <f aca="false">IFERROR(VLOOKUP(H534,$AD$1:$AE$301,2,0),"")</f>
        <v>1002940</v>
      </c>
      <c r="G534" s="147" t="str">
        <f aca="false">IFERROR(VLOOKUP(F534,$AE$2:$AF$290,2, 0),"")</f>
        <v>تبوك</v>
      </c>
      <c r="H534" s="212" t="s">
        <v>167</v>
      </c>
      <c r="I534" s="246" t="n">
        <f aca="false">SUM(K534:R534)</f>
        <v>1</v>
      </c>
      <c r="J534" s="182" t="n">
        <v>45609</v>
      </c>
      <c r="K534" s="184" t="n">
        <v>1</v>
      </c>
      <c r="L534" s="185"/>
      <c r="S534" s="192" t="n">
        <f aca="false">(K534+O534+Q534)*24 /1130+(L534+M534+P534+R534)*12/1130+(N534*30)/1130</f>
        <v>0.0212389380530973</v>
      </c>
    </row>
    <row r="535" customFormat="false" ht="15" hidden="true" customHeight="true" outlineLevel="0" collapsed="false">
      <c r="B535" s="127" t="n">
        <f aca="false">B534+D535-C535</f>
        <v>621.450000000001</v>
      </c>
      <c r="D535" s="146" t="n">
        <v>310.5</v>
      </c>
      <c r="E535" s="147" t="n">
        <v>411</v>
      </c>
      <c r="F535" s="147" t="n">
        <f aca="false">IFERROR(VLOOKUP(H535,$AD$1:$AE$301,2,0),"")</f>
        <v>1008266</v>
      </c>
      <c r="G535" s="147" t="str">
        <f aca="false">IFERROR(VLOOKUP(F535,$AE$2:$AF$290,2, 0),"")</f>
        <v>تبوك</v>
      </c>
      <c r="H535" s="212" t="s">
        <v>178</v>
      </c>
      <c r="I535" s="246" t="n">
        <f aca="false">SUM(K535:R535)</f>
        <v>1</v>
      </c>
      <c r="J535" s="182" t="n">
        <v>45609</v>
      </c>
      <c r="K535" s="184" t="n">
        <v>1</v>
      </c>
      <c r="L535" s="185"/>
      <c r="S535" s="192" t="n">
        <f aca="false">(K535+O535+Q535)*24 /1130+(L535+M535+P535+R535)*12/1130+(N535*30)/1130</f>
        <v>0.0212389380530973</v>
      </c>
    </row>
    <row r="536" customFormat="false" ht="15" hidden="true" customHeight="true" outlineLevel="0" collapsed="false">
      <c r="B536" s="127" t="n">
        <f aca="false">B535+D536-C536</f>
        <v>1242.45</v>
      </c>
      <c r="D536" s="146" t="n">
        <f aca="false">310.5*2</f>
        <v>621</v>
      </c>
      <c r="E536" s="147" t="n">
        <v>412</v>
      </c>
      <c r="F536" s="147" t="n">
        <f aca="false">IFERROR(VLOOKUP(H536,$AD$1:$AE$301,2,0),"")</f>
        <v>1007996</v>
      </c>
      <c r="G536" s="147" t="str">
        <f aca="false">IFERROR(VLOOKUP(F536,$AE$2:$AF$290,2, 0),"")</f>
        <v>البير</v>
      </c>
      <c r="H536" s="212" t="s">
        <v>295</v>
      </c>
      <c r="I536" s="246" t="n">
        <f aca="false">SUM(K536:R536)</f>
        <v>2</v>
      </c>
      <c r="J536" s="182" t="n">
        <v>45609</v>
      </c>
      <c r="K536" s="184" t="n">
        <v>2</v>
      </c>
      <c r="L536" s="185"/>
      <c r="S536" s="192" t="n">
        <f aca="false">(K536+O536+Q536)*24 /1130+(L536+M536+P536+R536)*12/1130+(N536*30)/1130</f>
        <v>0.0424778761061947</v>
      </c>
    </row>
    <row r="537" customFormat="false" ht="15" hidden="true" customHeight="true" outlineLevel="0" collapsed="false">
      <c r="B537" s="127" t="n">
        <f aca="false">B536+D537-C537</f>
        <v>0</v>
      </c>
      <c r="C537" s="127" t="n">
        <f aca="false">D535+D536-6+316.5</f>
        <v>1242</v>
      </c>
      <c r="D537" s="146" t="n">
        <v>-0.45</v>
      </c>
      <c r="E537" s="212" t="s">
        <v>470</v>
      </c>
      <c r="F537" s="147" t="str">
        <f aca="false">IFERROR(VLOOKUP(H537,$AD$1:$AE$301,2,0),"")</f>
        <v/>
      </c>
      <c r="G537" s="147" t="str">
        <f aca="false">IFERROR(VLOOKUP(F537,$AE$2:$AF$290,2, 0),"")</f>
        <v/>
      </c>
      <c r="H537" s="212" t="s">
        <v>393</v>
      </c>
      <c r="I537" s="246" t="n">
        <f aca="false">SUM(K537:R537)</f>
        <v>0</v>
      </c>
      <c r="J537" s="182" t="n">
        <v>45609</v>
      </c>
      <c r="K537" s="184"/>
      <c r="L537" s="185"/>
      <c r="S537" s="192" t="n">
        <f aca="false">(K537+O537+Q537)*24 /1130+(L537+M537+P537+R537)*12/1130+(N537*30)/1130</f>
        <v>0</v>
      </c>
    </row>
    <row r="538" customFormat="false" ht="15" hidden="true" customHeight="true" outlineLevel="0" collapsed="false">
      <c r="A538" s="128" t="n">
        <f aca="false">D538-400-218.25-100-145-5</f>
        <v>0</v>
      </c>
      <c r="B538" s="127" t="n">
        <f aca="false">B537+D538-C538</f>
        <v>868.25</v>
      </c>
      <c r="D538" s="146" t="n">
        <f aca="false">310.5+155.25+264.5+138</f>
        <v>868.25</v>
      </c>
      <c r="E538" s="147" t="n">
        <v>413</v>
      </c>
      <c r="F538" s="147" t="n">
        <f aca="false">IFERROR(VLOOKUP(H538,$AD$1:$AE$301,2,0),"")</f>
        <v>943</v>
      </c>
      <c r="G538" s="147" t="str">
        <f aca="false">IFERROR(VLOOKUP(F538,$AE$2:$AF$290,2, 0),"")</f>
        <v>تبوك</v>
      </c>
      <c r="H538" s="212" t="s">
        <v>259</v>
      </c>
      <c r="I538" s="246" t="n">
        <f aca="false">SUM(K538:R538)</f>
        <v>4</v>
      </c>
      <c r="J538" s="182" t="n">
        <v>45610</v>
      </c>
      <c r="K538" s="184" t="n">
        <v>1</v>
      </c>
      <c r="L538" s="185"/>
      <c r="M538" s="150" t="n">
        <v>1</v>
      </c>
      <c r="Q538" s="154" t="n">
        <v>1</v>
      </c>
      <c r="R538" s="155" t="n">
        <v>1</v>
      </c>
      <c r="S538" s="192" t="n">
        <f aca="false">(K538+O538+Q538)*24 /1130+(L538+M538+P538+R538)*12/1130+(N538*30)/1130</f>
        <v>0.063716814159292</v>
      </c>
    </row>
    <row r="539" customFormat="false" ht="15" hidden="true" customHeight="true" outlineLevel="0" collapsed="false">
      <c r="B539" s="127" t="n">
        <f aca="false">B538+D539-C539</f>
        <v>1477.75</v>
      </c>
      <c r="D539" s="146" t="n">
        <f aca="false">155.25*2+299</f>
        <v>609.5</v>
      </c>
      <c r="E539" s="147" t="n">
        <v>414</v>
      </c>
      <c r="F539" s="147" t="n">
        <f aca="false">IFERROR(VLOOKUP(H539,$AD$1:$AE$301,2,0),"")</f>
        <v>553</v>
      </c>
      <c r="G539" s="147" t="str">
        <f aca="false">IFERROR(VLOOKUP(F539,$AE$2:$AF$290,2, 0),"")</f>
        <v>تبوك</v>
      </c>
      <c r="H539" s="212" t="s">
        <v>150</v>
      </c>
      <c r="I539" s="246" t="n">
        <f aca="false">SUM(K539:R539)</f>
        <v>3</v>
      </c>
      <c r="J539" s="182" t="n">
        <v>45610</v>
      </c>
      <c r="K539" s="184"/>
      <c r="L539" s="185"/>
      <c r="R539" s="155" t="n">
        <f aca="false">1+2</f>
        <v>3</v>
      </c>
      <c r="S539" s="192" t="n">
        <f aca="false">(K539+O539+Q539)*24 /1130+(L539+M539+P539+R539)*12/1130+(N539*30)/1130</f>
        <v>0.031858407079646</v>
      </c>
    </row>
    <row r="540" customFormat="false" ht="15" hidden="true" customHeight="true" outlineLevel="0" collapsed="false">
      <c r="B540" s="127" t="n">
        <f aca="false">B539+D540-C540</f>
        <v>1615.75</v>
      </c>
      <c r="D540" s="146" t="n">
        <f aca="false">138</f>
        <v>138</v>
      </c>
      <c r="E540" s="147" t="n">
        <v>417</v>
      </c>
      <c r="F540" s="147" t="n">
        <f aca="false">IFERROR(VLOOKUP(H540,$AD$1:$AE$301,2,0),"")</f>
        <v>549</v>
      </c>
      <c r="G540" s="147" t="str">
        <f aca="false">IFERROR(VLOOKUP(F540,$AE$2:$AF$290,2, 0),"")</f>
        <v>تبوك</v>
      </c>
      <c r="H540" s="212" t="s">
        <v>238</v>
      </c>
      <c r="I540" s="246" t="n">
        <f aca="false">SUM(K540:R540)</f>
        <v>2</v>
      </c>
      <c r="J540" s="182" t="n">
        <v>45610</v>
      </c>
      <c r="K540" s="184"/>
      <c r="L540" s="185"/>
      <c r="O540" s="152" t="n">
        <v>1</v>
      </c>
      <c r="Q540" s="154" t="n">
        <v>1</v>
      </c>
      <c r="S540" s="192" t="n">
        <f aca="false">(K540+O540+Q540)*24 /1130+(L540+M540+P540+R540)*12/1130+(N540*30)/1130</f>
        <v>0.0424778761061947</v>
      </c>
    </row>
    <row r="541" customFormat="false" ht="15" hidden="true" customHeight="true" outlineLevel="0" collapsed="false">
      <c r="A541" s="128" t="n">
        <f aca="false">D541-200-65</f>
        <v>-0.5</v>
      </c>
      <c r="B541" s="127" t="n">
        <f aca="false">B540+D541-C541</f>
        <v>1880.25</v>
      </c>
      <c r="D541" s="146" t="n">
        <v>264.5</v>
      </c>
      <c r="E541" s="147" t="n">
        <v>418</v>
      </c>
      <c r="F541" s="147" t="n">
        <f aca="false">IFERROR(VLOOKUP(H541,$AD$1:$AE$301,2,0),"")</f>
        <v>1008277</v>
      </c>
      <c r="G541" s="147" t="str">
        <f aca="false">IFERROR(VLOOKUP(F541,$AE$2:$AF$290,2, 0),"")</f>
        <v>تبوك</v>
      </c>
      <c r="H541" s="212" t="s">
        <v>233</v>
      </c>
      <c r="I541" s="246" t="n">
        <f aca="false">SUM(K541:R541)</f>
        <v>1</v>
      </c>
      <c r="J541" s="182" t="n">
        <v>45610</v>
      </c>
      <c r="K541" s="184"/>
      <c r="L541" s="185"/>
      <c r="M541" s="150" t="n">
        <v>1</v>
      </c>
      <c r="S541" s="192" t="n">
        <f aca="false">(K541+O541+Q541)*24 /1130+(L541+M541+P541+R541)*12/1130+(N541*30)/1130</f>
        <v>0.0106194690265487</v>
      </c>
    </row>
    <row r="542" customFormat="false" ht="15" hidden="true" customHeight="true" outlineLevel="0" collapsed="false">
      <c r="B542" s="127" t="n">
        <f aca="false">B541+D542-C542</f>
        <v>2501.25</v>
      </c>
      <c r="D542" s="146" t="n">
        <f aca="false">310.5*2</f>
        <v>621</v>
      </c>
      <c r="E542" s="147" t="n">
        <v>415</v>
      </c>
      <c r="F542" s="147" t="n">
        <f aca="false">IFERROR(VLOOKUP(H542,$AD$1:$AE$301,2,0),"")</f>
        <v>548</v>
      </c>
      <c r="G542" s="147" t="str">
        <f aca="false">IFERROR(VLOOKUP(F542,$AE$2:$AF$290,2, 0),"")</f>
        <v>تبوك</v>
      </c>
      <c r="H542" s="212" t="s">
        <v>151</v>
      </c>
      <c r="I542" s="246" t="n">
        <f aca="false">SUM(K542:R542)</f>
        <v>2</v>
      </c>
      <c r="J542" s="182" t="n">
        <v>45610</v>
      </c>
      <c r="K542" s="184" t="n">
        <f aca="false">1+1</f>
        <v>2</v>
      </c>
      <c r="L542" s="185"/>
      <c r="S542" s="192" t="n">
        <f aca="false">(K542+O542+Q542)*24 /1130+(L542+M542+P542+R542)*12/1130+(N542*30)/1130</f>
        <v>0.0424778761061947</v>
      </c>
    </row>
    <row r="543" customFormat="false" ht="15" hidden="true" customHeight="true" outlineLevel="0" collapsed="false">
      <c r="B543" s="127" t="n">
        <f aca="false">B542+D543-C543</f>
        <v>2800.25</v>
      </c>
      <c r="D543" s="146" t="n">
        <v>299</v>
      </c>
      <c r="E543" s="147" t="n">
        <v>420</v>
      </c>
      <c r="F543" s="147" t="n">
        <f aca="false">IFERROR(VLOOKUP(H543,$AD$1:$AE$301,2,0),"")</f>
        <v>556</v>
      </c>
      <c r="G543" s="147" t="str">
        <f aca="false">IFERROR(VLOOKUP(F543,$AE$2:$AF$290,2, 0),"")</f>
        <v>تبوك</v>
      </c>
      <c r="H543" s="212" t="s">
        <v>253</v>
      </c>
      <c r="I543" s="246" t="n">
        <f aca="false">SUM(K543:R543)</f>
        <v>1</v>
      </c>
      <c r="J543" s="182" t="n">
        <v>45610</v>
      </c>
      <c r="K543" s="184"/>
      <c r="L543" s="185"/>
      <c r="R543" s="155" t="n">
        <v>1</v>
      </c>
      <c r="S543" s="192" t="n">
        <f aca="false">(K543+O543+Q543)*24 /1130+(L543+M543+P543+R543)*12/1130+(N543*30)/1130</f>
        <v>0.0106194690265487</v>
      </c>
    </row>
    <row r="544" customFormat="false" ht="15" hidden="true" customHeight="true" outlineLevel="0" collapsed="false">
      <c r="B544" s="127" t="n">
        <f aca="false">B543+D544-C544</f>
        <v>3519</v>
      </c>
      <c r="D544" s="146" t="n">
        <f aca="false">155.25+264.5+299</f>
        <v>718.75</v>
      </c>
      <c r="E544" s="147" t="n">
        <v>416</v>
      </c>
      <c r="F544" s="147" t="n">
        <f aca="false">IFERROR(VLOOKUP(H544,$AD$1:$AE$301,2,0),"")</f>
        <v>1002852</v>
      </c>
      <c r="G544" s="147" t="str">
        <f aca="false">IFERROR(VLOOKUP(F544,$AE$2:$AF$290,2, 0),"")</f>
        <v>تبوك</v>
      </c>
      <c r="H544" s="212" t="s">
        <v>159</v>
      </c>
      <c r="I544" s="246" t="n">
        <f aca="false">SUM(K544:R544)</f>
        <v>3</v>
      </c>
      <c r="J544" s="182" t="n">
        <v>45610</v>
      </c>
      <c r="K544" s="184"/>
      <c r="L544" s="185"/>
      <c r="R544" s="402" t="n">
        <f aca="false">1+1+1</f>
        <v>3</v>
      </c>
      <c r="S544" s="192" t="n">
        <f aca="false">(K544+O544+Q544)*24 /1130+(L544+M544+P544+R544)*12/1130+(N544*30)/1130</f>
        <v>0.031858407079646</v>
      </c>
    </row>
    <row r="545" customFormat="false" ht="15" hidden="true" customHeight="true" outlineLevel="0" collapsed="false">
      <c r="B545" s="127" t="n">
        <f aca="false">B544+D545-C545</f>
        <v>5968.5</v>
      </c>
      <c r="D545" s="146" t="n">
        <f aca="false">5*264.5+2*264.5+2*299</f>
        <v>2449.5</v>
      </c>
      <c r="E545" s="147" t="n">
        <v>421</v>
      </c>
      <c r="F545" s="147" t="n">
        <f aca="false">IFERROR(VLOOKUP(H545,$AD$1:$AE$301,2,0),"")</f>
        <v>1076</v>
      </c>
      <c r="G545" s="147" t="str">
        <f aca="false">IFERROR(VLOOKUP(F545,$AE$2:$AF$290,2, 0),"")</f>
        <v>تبوك</v>
      </c>
      <c r="H545" s="212" t="s">
        <v>244</v>
      </c>
      <c r="I545" s="246" t="n">
        <f aca="false">SUM(K545:R545)</f>
        <v>9</v>
      </c>
      <c r="J545" s="182" t="n">
        <v>45610</v>
      </c>
      <c r="K545" s="184"/>
      <c r="L545" s="185"/>
      <c r="M545" s="150" t="n">
        <v>5</v>
      </c>
      <c r="R545" s="402" t="n">
        <f aca="false">2+2</f>
        <v>4</v>
      </c>
      <c r="S545" s="192" t="n">
        <f aca="false">(K545+O545+Q545)*24 /1130+(L545+M545+P545+R545)*12/1130+(N545*30)/1130</f>
        <v>0.0955752212389381</v>
      </c>
    </row>
    <row r="546" customFormat="false" ht="15" hidden="true" customHeight="true" outlineLevel="0" collapsed="false">
      <c r="B546" s="127" t="n">
        <f aca="false">B545+D546-C546</f>
        <v>6279</v>
      </c>
      <c r="D546" s="146" t="n">
        <v>310.5</v>
      </c>
      <c r="E546" s="147" t="n">
        <v>422</v>
      </c>
      <c r="F546" s="147" t="n">
        <f aca="false">IFERROR(VLOOKUP(H546,$AD$1:$AE$301,2,0),"")</f>
        <v>1076</v>
      </c>
      <c r="G546" s="147" t="str">
        <f aca="false">IFERROR(VLOOKUP(F546,$AE$2:$AF$290,2, 0),"")</f>
        <v>تبوك</v>
      </c>
      <c r="H546" s="212" t="s">
        <v>244</v>
      </c>
      <c r="I546" s="246" t="n">
        <f aca="false">SUM(K546:R546)</f>
        <v>1</v>
      </c>
      <c r="J546" s="182" t="n">
        <v>45610</v>
      </c>
      <c r="K546" s="184" t="n">
        <v>1</v>
      </c>
      <c r="L546" s="185"/>
      <c r="S546" s="192" t="n">
        <f aca="false">(K546+O546+Q546)*24 /1130+(L546+M546+P546+R546)*12/1130+(N546*30)/1130</f>
        <v>0.0212389380530973</v>
      </c>
    </row>
    <row r="547" customFormat="false" ht="15" hidden="true" customHeight="true" outlineLevel="0" collapsed="false">
      <c r="B547" s="127" t="n">
        <f aca="false">B546+D547-C547</f>
        <v>6589.5</v>
      </c>
      <c r="D547" s="146" t="n">
        <v>310.5</v>
      </c>
      <c r="E547" s="147" t="n">
        <v>419</v>
      </c>
      <c r="F547" s="147" t="n">
        <f aca="false">IFERROR(VLOOKUP(H547,$AD$1:$AE$301,2,0),"")</f>
        <v>1008055</v>
      </c>
      <c r="G547" s="147" t="str">
        <f aca="false">IFERROR(VLOOKUP(F547,$AE$2:$AF$290,2, 0),"")</f>
        <v>تبوك</v>
      </c>
      <c r="H547" s="212" t="s">
        <v>578</v>
      </c>
      <c r="I547" s="246" t="n">
        <f aca="false">SUM(K547:R547)</f>
        <v>1</v>
      </c>
      <c r="J547" s="182" t="n">
        <v>45610</v>
      </c>
      <c r="K547" s="184" t="n">
        <v>1</v>
      </c>
      <c r="L547" s="185"/>
      <c r="S547" s="192" t="n">
        <f aca="false">(K547+O547+Q547)*24 /1130+(L547+M547+P547+R547)*12/1130+(N547*30)/1130</f>
        <v>0.0212389380530973</v>
      </c>
    </row>
    <row r="548" customFormat="false" ht="15" hidden="true" customHeight="true" outlineLevel="0" collapsed="false">
      <c r="B548" s="127" t="n">
        <f aca="false">B547+D548-C548</f>
        <v>1733</v>
      </c>
      <c r="C548" s="127" t="n">
        <f aca="false">D546+356.75+101+D545+D539+D547+D544</f>
        <v>4856.5</v>
      </c>
      <c r="E548" s="212" t="s">
        <v>470</v>
      </c>
      <c r="F548" s="147" t="str">
        <f aca="false">IFERROR(VLOOKUP(H548,$AD$1:$AE$301,2,0),"")</f>
        <v/>
      </c>
      <c r="G548" s="147" t="str">
        <f aca="false">IFERROR(VLOOKUP(F548,$AE$2:$AF$290,2, 0),"")</f>
        <v/>
      </c>
      <c r="H548" s="212" t="s">
        <v>393</v>
      </c>
      <c r="I548" s="246" t="n">
        <f aca="false">SUM(K548:R548)</f>
        <v>0</v>
      </c>
      <c r="J548" s="182" t="n">
        <v>45610</v>
      </c>
      <c r="K548" s="184"/>
      <c r="L548" s="185"/>
      <c r="S548" s="192" t="n">
        <f aca="false">(K548+O548+Q548)*24 /1130+(L548+M548+P548+R548)*12/1130+(N548*30)/1130</f>
        <v>0</v>
      </c>
    </row>
    <row r="549" customFormat="false" ht="15" hidden="true" customHeight="true" outlineLevel="0" collapsed="false">
      <c r="B549" s="127" t="n">
        <f aca="false">B548+D549-C549</f>
        <v>0</v>
      </c>
      <c r="C549" s="127" t="n">
        <v>1733</v>
      </c>
      <c r="E549" s="403" t="s">
        <v>392</v>
      </c>
      <c r="F549" s="147" t="str">
        <f aca="false">IFERROR(VLOOKUP(H549,$AD$1:$AE$301,2,0),"")</f>
        <v/>
      </c>
      <c r="G549" s="147" t="str">
        <f aca="false">IFERROR(VLOOKUP(F549,$AE$2:$AF$290,2, 0),"")</f>
        <v/>
      </c>
      <c r="H549" s="212" t="s">
        <v>393</v>
      </c>
      <c r="I549" s="246" t="n">
        <f aca="false">SUM(K549:R549)</f>
        <v>0</v>
      </c>
      <c r="J549" s="182" t="n">
        <v>45613</v>
      </c>
      <c r="K549" s="184"/>
      <c r="L549" s="185"/>
      <c r="S549" s="192" t="n">
        <f aca="false">(K549+O549+Q549)*24 /1130+(L549+M549+P549+R549)*12/1130+(N549*30)/1130</f>
        <v>0</v>
      </c>
    </row>
    <row r="550" customFormat="false" ht="15" hidden="true" customHeight="true" outlineLevel="0" collapsed="false">
      <c r="A550" s="265" t="n">
        <f aca="false">D550-25+1.5-400-150-1.5</f>
        <v>0</v>
      </c>
      <c r="B550" s="127" t="n">
        <f aca="false">B549+D550-C550</f>
        <v>575</v>
      </c>
      <c r="D550" s="146" t="n">
        <f aca="false">310.5+264.5</f>
        <v>575</v>
      </c>
      <c r="E550" s="147" t="n">
        <v>423</v>
      </c>
      <c r="F550" s="147" t="n">
        <f aca="false">IFERROR(VLOOKUP(H550,$AD$1:$AE$301,2,0),"")</f>
        <v>1002901</v>
      </c>
      <c r="G550" s="147" t="str">
        <f aca="false">IFERROR(VLOOKUP(F550,$AE$2:$AF$290,2, 0),"")</f>
        <v>تبوك</v>
      </c>
      <c r="H550" s="212" t="s">
        <v>153</v>
      </c>
      <c r="I550" s="246" t="n">
        <f aca="false">SUM(K550:R550)</f>
        <v>2</v>
      </c>
      <c r="J550" s="182" t="n">
        <v>45613</v>
      </c>
      <c r="K550" s="184" t="n">
        <v>1</v>
      </c>
      <c r="L550" s="185"/>
      <c r="R550" s="402" t="n">
        <v>1</v>
      </c>
      <c r="S550" s="192" t="n">
        <f aca="false">(K550+O550+Q550)*24 /1130+(L550+M550+P550+R550)*12/1130+(N550*30)/1130</f>
        <v>0.031858407079646</v>
      </c>
    </row>
    <row r="551" customFormat="false" ht="15" hidden="true" customHeight="true" outlineLevel="0" collapsed="false">
      <c r="B551" s="127" t="n">
        <f aca="false">B550+D551-C551</f>
        <v>0</v>
      </c>
      <c r="C551" s="127" t="n">
        <f aca="false">D543+250+26</f>
        <v>575</v>
      </c>
      <c r="E551" s="212" t="s">
        <v>470</v>
      </c>
      <c r="F551" s="147" t="str">
        <f aca="false">IFERROR(VLOOKUP(H551,$AD$1:$AE$301,2,0),"")</f>
        <v/>
      </c>
      <c r="G551" s="147" t="str">
        <f aca="false">IFERROR(VLOOKUP(F551,$AE$2:$AF$290,2, 0),"")</f>
        <v/>
      </c>
      <c r="H551" s="212" t="s">
        <v>393</v>
      </c>
      <c r="I551" s="246" t="n">
        <f aca="false">SUM(K551:R551)</f>
        <v>0</v>
      </c>
      <c r="J551" s="182" t="n">
        <v>45613</v>
      </c>
      <c r="K551" s="184"/>
      <c r="L551" s="185"/>
      <c r="S551" s="192" t="n">
        <f aca="false">(K551+O551+Q551)*24 /1130+(L551+M551+P551+R551)*12/1130+(N551*30)/1130</f>
        <v>0</v>
      </c>
    </row>
    <row r="552" customFormat="false" ht="15" hidden="true" customHeight="true" outlineLevel="0" collapsed="false">
      <c r="A552" s="128" t="n">
        <f aca="false">D552-310.5</f>
        <v>0</v>
      </c>
      <c r="B552" s="127" t="n">
        <f aca="false">B551+D552-C552</f>
        <v>310.5</v>
      </c>
      <c r="D552" s="146" t="n">
        <v>310.5</v>
      </c>
      <c r="E552" s="147" t="n">
        <v>424</v>
      </c>
      <c r="F552" s="147" t="n">
        <f aca="false">IFERROR(VLOOKUP(H552,$AD$1:$AE$301,2,0),"")</f>
        <v>553</v>
      </c>
      <c r="G552" s="147" t="str">
        <f aca="false">IFERROR(VLOOKUP(F552,$AE$2:$AF$290,2, 0),"")</f>
        <v>تبوك</v>
      </c>
      <c r="H552" s="212" t="s">
        <v>150</v>
      </c>
      <c r="I552" s="246" t="n">
        <f aca="false">SUM(K552:R552)</f>
        <v>1</v>
      </c>
      <c r="J552" s="182" t="n">
        <v>45614</v>
      </c>
      <c r="K552" s="184" t="n">
        <v>1</v>
      </c>
      <c r="L552" s="185"/>
      <c r="S552" s="192" t="n">
        <f aca="false">(K552+O552+Q552)*24 /1130+(L552+M552+P552+R552)*12/1130+(N552*30)/1130</f>
        <v>0.0212389380530973</v>
      </c>
    </row>
    <row r="553" customFormat="false" ht="15" hidden="true" customHeight="true" outlineLevel="0" collapsed="false">
      <c r="A553" s="128" t="n">
        <f aca="false">D553-265</f>
        <v>-0.5</v>
      </c>
      <c r="B553" s="127" t="n">
        <f aca="false">B552+D553-C553</f>
        <v>575</v>
      </c>
      <c r="D553" s="146" t="n">
        <v>264.5</v>
      </c>
      <c r="E553" s="147" t="n">
        <v>425</v>
      </c>
      <c r="F553" s="147" t="n">
        <f aca="false">IFERROR(VLOOKUP(H553,$AD$1:$AE$301,2,0),"")</f>
        <v>1008266</v>
      </c>
      <c r="G553" s="147" t="str">
        <f aca="false">IFERROR(VLOOKUP(F553,$AE$2:$AF$290,2, 0),"")</f>
        <v>تبوك</v>
      </c>
      <c r="H553" s="212" t="s">
        <v>178</v>
      </c>
      <c r="I553" s="246" t="n">
        <f aca="false">SUM(K553:R553)</f>
        <v>1</v>
      </c>
      <c r="J553" s="182" t="n">
        <v>45614</v>
      </c>
      <c r="K553" s="184"/>
      <c r="L553" s="185"/>
      <c r="M553" s="150" t="n">
        <v>1</v>
      </c>
      <c r="S553" s="192" t="n">
        <f aca="false">(K553+O553+Q553)*24 /1130+(L553+M553+P553+R553)*12/1130+(N553*30)/1130</f>
        <v>0.0106194690265487</v>
      </c>
    </row>
    <row r="554" customFormat="false" ht="15" hidden="true" customHeight="true" outlineLevel="0" collapsed="false">
      <c r="B554" s="127" t="n">
        <f aca="false">B553+D554-C554</f>
        <v>0</v>
      </c>
      <c r="C554" s="127" t="n">
        <f aca="false">575</f>
        <v>575</v>
      </c>
      <c r="E554" s="212" t="s">
        <v>470</v>
      </c>
      <c r="F554" s="147" t="str">
        <f aca="false">IFERROR(VLOOKUP(H554,$AD$1:$AE$301,2,0),"")</f>
        <v/>
      </c>
      <c r="G554" s="147" t="str">
        <f aca="false">IFERROR(VLOOKUP(F554,$AE$2:$AF$290,2, 0),"")</f>
        <v/>
      </c>
      <c r="H554" s="212" t="s">
        <v>393</v>
      </c>
      <c r="I554" s="246" t="n">
        <f aca="false">SUM(K554:R554)</f>
        <v>0</v>
      </c>
      <c r="J554" s="182" t="n">
        <v>45614</v>
      </c>
      <c r="K554" s="184"/>
      <c r="L554" s="185"/>
      <c r="S554" s="192" t="n">
        <f aca="false">(K554+O554+Q554)*24 /1130+(L554+M554+P554+R554)*12/1130+(N554*30)/1130</f>
        <v>0</v>
      </c>
    </row>
    <row r="555" customFormat="false" ht="15" hidden="true" customHeight="true" outlineLevel="0" collapsed="false">
      <c r="B555" s="127" t="n">
        <f aca="false">B554+D555-C555</f>
        <v>948.75</v>
      </c>
      <c r="D555" s="146" t="n">
        <f aca="false">316.25*3</f>
        <v>948.75</v>
      </c>
      <c r="E555" s="147" t="n">
        <v>428</v>
      </c>
      <c r="F555" s="147" t="n">
        <f aca="false">IFERROR(VLOOKUP(H555,$AD$1:$AE$301,2,0),"")</f>
        <v>1008024</v>
      </c>
      <c r="G555" s="147" t="str">
        <f aca="false">IFERROR(VLOOKUP(F555,$AE$2:$AF$290,2, 0),"")</f>
        <v>ضباء</v>
      </c>
      <c r="H555" s="212" t="s">
        <v>96</v>
      </c>
      <c r="I555" s="246" t="n">
        <f aca="false">SUM(K555:R555)</f>
        <v>3</v>
      </c>
      <c r="J555" s="182" t="n">
        <v>45615</v>
      </c>
      <c r="K555" s="184"/>
      <c r="L555" s="185"/>
      <c r="N555" s="151" t="n">
        <v>3</v>
      </c>
      <c r="S555" s="192" t="n">
        <f aca="false">(K555+O555+Q555)*24 /1130+(L555+M555+P555+R555)*12/1130+(N555*30)/1130</f>
        <v>0.079646017699115</v>
      </c>
    </row>
    <row r="556" customFormat="false" ht="15" hidden="true" customHeight="true" outlineLevel="0" collapsed="false">
      <c r="B556" s="127" t="n">
        <f aca="false">B555+D556-C556</f>
        <v>1569.75</v>
      </c>
      <c r="D556" s="146" t="n">
        <f aca="false">310.5*2</f>
        <v>621</v>
      </c>
      <c r="E556" s="147" t="n">
        <v>430</v>
      </c>
      <c r="F556" s="147" t="n">
        <f aca="false">IFERROR(VLOOKUP(H556,$AD$1:$AE$301,2,0),"")</f>
        <v>1008032</v>
      </c>
      <c r="G556" s="147" t="str">
        <f aca="false">IFERROR(VLOOKUP(F556,$AE$2:$AF$290,2, 0),"")</f>
        <v>ضباء</v>
      </c>
      <c r="H556" s="212" t="s">
        <v>101</v>
      </c>
      <c r="I556" s="246" t="n">
        <f aca="false">SUM(K556:R556)</f>
        <v>2</v>
      </c>
      <c r="J556" s="182" t="n">
        <v>45615</v>
      </c>
      <c r="K556" s="184" t="n">
        <f aca="false">1+1</f>
        <v>2</v>
      </c>
      <c r="L556" s="185"/>
      <c r="S556" s="192" t="n">
        <f aca="false">(K556+O556+Q556)*24 /1130+(L556+M556+P556+R556)*12/1130+(N556*30)/1130</f>
        <v>0.0424778761061947</v>
      </c>
    </row>
    <row r="557" customFormat="false" ht="15" hidden="true" customHeight="true" outlineLevel="0" collapsed="false">
      <c r="B557" s="127" t="n">
        <f aca="false">B556+D557-C557</f>
        <v>1707.75</v>
      </c>
      <c r="D557" s="146" t="n">
        <f aca="false">138</f>
        <v>138</v>
      </c>
      <c r="E557" s="147" t="n">
        <v>429</v>
      </c>
      <c r="F557" s="147" t="n">
        <f aca="false">IFERROR(VLOOKUP(H557,$AD$1:$AE$301,2,0),"")</f>
        <v>1008025</v>
      </c>
      <c r="G557" s="147" t="str">
        <f aca="false">IFERROR(VLOOKUP(F557,$AE$2:$AF$290,2, 0),"")</f>
        <v>ضباء</v>
      </c>
      <c r="H557" s="212" t="s">
        <v>97</v>
      </c>
      <c r="I557" s="246" t="n">
        <f aca="false">SUM(K557:R557)</f>
        <v>1</v>
      </c>
      <c r="J557" s="182" t="n">
        <v>45615</v>
      </c>
      <c r="K557" s="184"/>
      <c r="L557" s="185"/>
      <c r="Q557" s="154" t="n">
        <v>1</v>
      </c>
      <c r="S557" s="192" t="n">
        <f aca="false">(K557+O557+Q557)*24 /1130+(L557+M557+P557+R557)*12/1130+(N557*30)/1130</f>
        <v>0.0212389380530973</v>
      </c>
    </row>
    <row r="558" customFormat="false" ht="15" hidden="true" customHeight="true" outlineLevel="0" collapsed="false">
      <c r="B558" s="127" t="n">
        <f aca="false">B557+D558-C558</f>
        <v>2006.75</v>
      </c>
      <c r="D558" s="146" t="n">
        <v>299</v>
      </c>
      <c r="E558" s="147" t="n">
        <v>427</v>
      </c>
      <c r="F558" s="147" t="n">
        <f aca="false">IFERROR(VLOOKUP(H558,$AD$1:$AE$301,2,0),"")</f>
        <v>1007969</v>
      </c>
      <c r="G558" s="147" t="str">
        <f aca="false">IFERROR(VLOOKUP(F558,$AE$2:$AF$290,2, 0),"")</f>
        <v>حقل</v>
      </c>
      <c r="H558" s="212" t="s">
        <v>309</v>
      </c>
      <c r="I558" s="246" t="n">
        <f aca="false">SUM(K558:R558)</f>
        <v>1</v>
      </c>
      <c r="J558" s="182" t="n">
        <v>45615</v>
      </c>
      <c r="K558" s="184"/>
      <c r="L558" s="185"/>
      <c r="R558" s="155" t="n">
        <v>1</v>
      </c>
      <c r="S558" s="192" t="n">
        <f aca="false">(K558+O558+Q558)*24 /1130+(L558+M558+P558+R558)*12/1130+(N558*30)/1130</f>
        <v>0.0106194690265487</v>
      </c>
    </row>
    <row r="559" customFormat="false" ht="15" hidden="true" customHeight="true" outlineLevel="0" collapsed="false">
      <c r="B559" s="127" t="n">
        <f aca="false">B558+D559-C559</f>
        <v>2305.75</v>
      </c>
      <c r="D559" s="146" t="n">
        <v>299</v>
      </c>
      <c r="E559" s="147" t="n">
        <v>426</v>
      </c>
      <c r="F559" s="147" t="n">
        <f aca="false">IFERROR(VLOOKUP(H559,$AD$1:$AE$301,2,0),"")</f>
        <v>1008004</v>
      </c>
      <c r="G559" s="147" t="str">
        <f aca="false">IFERROR(VLOOKUP(F559,$AE$2:$AF$290,2, 0),"")</f>
        <v>حقل</v>
      </c>
      <c r="H559" s="212" t="s">
        <v>316</v>
      </c>
      <c r="I559" s="246" t="n">
        <f aca="false">SUM(K559:R559)</f>
        <v>1</v>
      </c>
      <c r="J559" s="182" t="n">
        <v>45615</v>
      </c>
      <c r="K559" s="184"/>
      <c r="L559" s="185"/>
      <c r="R559" s="155" t="n">
        <v>1</v>
      </c>
      <c r="S559" s="192" t="n">
        <f aca="false">(K559+O559+Q559)*24 /1130+(L559+M559+P559+R559)*12/1130+(N559*30)/1130</f>
        <v>0.0106194690265487</v>
      </c>
    </row>
    <row r="560" customFormat="false" ht="15" hidden="true" customHeight="true" outlineLevel="0" collapsed="false">
      <c r="B560" s="127" t="n">
        <f aca="false">B559+D560-C560</f>
        <v>3858.25</v>
      </c>
      <c r="D560" s="146" t="n">
        <f aca="false">5*310.5</f>
        <v>1552.5</v>
      </c>
      <c r="E560" s="147" t="n">
        <v>431</v>
      </c>
      <c r="F560" s="147" t="n">
        <f aca="false">IFERROR(VLOOKUP(H560,$AD$1:$AE$301,2,0),"")</f>
        <v>1008045</v>
      </c>
      <c r="G560" s="147" t="str">
        <f aca="false">IFERROR(VLOOKUP(F560,$AE$2:$AF$290,2, 0),"")</f>
        <v>الوجه</v>
      </c>
      <c r="H560" s="212" t="s">
        <v>107</v>
      </c>
      <c r="I560" s="246" t="n">
        <f aca="false">SUM(K560:R560)</f>
        <v>5</v>
      </c>
      <c r="J560" s="182" t="n">
        <v>45615</v>
      </c>
      <c r="K560" s="184" t="n">
        <f aca="false">5</f>
        <v>5</v>
      </c>
      <c r="L560" s="185"/>
      <c r="S560" s="192" t="n">
        <f aca="false">(K560+O560+Q560)*24 /1130+(L560+M560+P560+R560)*12/1130+(N560*30)/1130</f>
        <v>0.106194690265487</v>
      </c>
    </row>
    <row r="561" customFormat="false" ht="15" hidden="true" customHeight="true" outlineLevel="0" collapsed="false">
      <c r="B561" s="127" t="n">
        <f aca="false">B560+D561-C561</f>
        <v>0</v>
      </c>
      <c r="C561" s="127" t="n">
        <f aca="false">D555-60+D557+D559+D560+D556+359</f>
        <v>3858.25</v>
      </c>
      <c r="E561" s="212" t="s">
        <v>470</v>
      </c>
      <c r="F561" s="147" t="str">
        <f aca="false">IFERROR(VLOOKUP(H561,$AD$1:$AE$301,2,0),"")</f>
        <v/>
      </c>
      <c r="G561" s="147" t="str">
        <f aca="false">IFERROR(VLOOKUP(F561,$AE$2:$AF$290,2, 0),"")</f>
        <v/>
      </c>
      <c r="H561" s="212" t="s">
        <v>393</v>
      </c>
      <c r="I561" s="246" t="n">
        <f aca="false">SUM(K561:R561)</f>
        <v>0</v>
      </c>
      <c r="J561" s="182" t="n">
        <v>45615</v>
      </c>
      <c r="K561" s="184"/>
      <c r="L561" s="185"/>
      <c r="S561" s="192" t="n">
        <f aca="false">(K561+O561+Q561)*24 /1130+(L561+M561+P561+R561)*12/1130+(N561*30)/1130</f>
        <v>0</v>
      </c>
    </row>
    <row r="562" customFormat="false" ht="15" hidden="true" customHeight="true" outlineLevel="0" collapsed="false">
      <c r="B562" s="127" t="n">
        <f aca="false">B561+D562-C562</f>
        <v>2401.2</v>
      </c>
      <c r="D562" s="146" t="n">
        <v>2401.2</v>
      </c>
      <c r="E562" s="147" t="n">
        <v>432</v>
      </c>
      <c r="F562" s="147" t="n">
        <f aca="false">IFERROR(VLOOKUP(H562,$AD$1:$AE$301,2,0),"")</f>
        <v>1007997</v>
      </c>
      <c r="G562" s="147" t="str">
        <f aca="false">IFERROR(VLOOKUP(F562,$AE$2:$AF$290,2, 0),"")</f>
        <v>البير</v>
      </c>
      <c r="H562" s="212" t="s">
        <v>296</v>
      </c>
      <c r="I562" s="246" t="n">
        <f aca="false">SUM(K562:R562)</f>
        <v>12</v>
      </c>
      <c r="J562" s="182" t="n">
        <v>45616</v>
      </c>
      <c r="K562" s="184"/>
      <c r="L562" s="185"/>
      <c r="Q562" s="154" t="n">
        <v>12</v>
      </c>
      <c r="S562" s="192" t="n">
        <f aca="false">(K562+O562+Q562)*24 /1130+(L562+M562+P562+R562)*12/1130+(N562*30)/1130</f>
        <v>0.254867256637168</v>
      </c>
    </row>
    <row r="563" customFormat="false" ht="15" hidden="true" customHeight="true" outlineLevel="0" collapsed="false">
      <c r="B563" s="127" t="n">
        <f aca="false">B562+D563-C563</f>
        <v>0.199999999999818</v>
      </c>
      <c r="C563" s="127" t="n">
        <v>2401</v>
      </c>
      <c r="E563" s="212" t="s">
        <v>392</v>
      </c>
      <c r="F563" s="147" t="str">
        <f aca="false">IFERROR(VLOOKUP(H563,$AD$1:$AE$301,2,0),"")</f>
        <v/>
      </c>
      <c r="G563" s="147" t="str">
        <f aca="false">IFERROR(VLOOKUP(F563,$AE$2:$AF$290,2, 0),"")</f>
        <v/>
      </c>
      <c r="H563" s="212" t="s">
        <v>393</v>
      </c>
      <c r="I563" s="246" t="n">
        <f aca="false">SUM(K563:R563)</f>
        <v>0</v>
      </c>
      <c r="J563" s="182" t="n">
        <v>45615</v>
      </c>
      <c r="K563" s="184"/>
      <c r="L563" s="185"/>
      <c r="S563" s="192" t="n">
        <f aca="false">(K563+O563+Q563)*24 /1130+(L563+M563+P563+R563)*12/1130+(N563*30)/1130</f>
        <v>0</v>
      </c>
    </row>
    <row r="564" customFormat="false" ht="15" hidden="true" customHeight="true" outlineLevel="0" collapsed="false">
      <c r="A564" s="128" t="n">
        <f aca="false">D564-60-280.75-200-500</f>
        <v>0</v>
      </c>
      <c r="B564" s="127" t="n">
        <f aca="false">B563+D564-C564</f>
        <v>1040.95</v>
      </c>
      <c r="D564" s="146" t="n">
        <f aca="false">258.75*3+264.5</f>
        <v>1040.75</v>
      </c>
      <c r="E564" s="147" t="n">
        <v>433</v>
      </c>
      <c r="F564" s="147" t="n">
        <f aca="false">IFERROR(VLOOKUP(H564,$AD$1:$AE$301,2,0),"")</f>
        <v>654</v>
      </c>
      <c r="G564" s="147" t="str">
        <f aca="false">IFERROR(VLOOKUP(F564,$AE$2:$AF$290,2, 0),"")</f>
        <v>تبوك</v>
      </c>
      <c r="H564" s="212" t="s">
        <v>266</v>
      </c>
      <c r="I564" s="246" t="n">
        <f aca="false">SUM(K564:R564)</f>
        <v>4</v>
      </c>
      <c r="J564" s="182" t="n">
        <v>45617</v>
      </c>
      <c r="K564" s="184"/>
      <c r="L564" s="185"/>
      <c r="M564" s="150" t="n">
        <v>1</v>
      </c>
      <c r="O564" s="152" t="n">
        <f aca="false">2+1</f>
        <v>3</v>
      </c>
      <c r="S564" s="192" t="n">
        <f aca="false">(K564+O564+Q564)*24 /1130+(L564+M564+P564+R564)*12/1130+(N564*30)/1130</f>
        <v>0.0743362831858407</v>
      </c>
    </row>
    <row r="565" customFormat="false" ht="15" hidden="true" customHeight="true" outlineLevel="0" collapsed="false">
      <c r="A565" s="128" t="n">
        <f aca="false">D565-100-180-150-20</f>
        <v>-1.5</v>
      </c>
      <c r="B565" s="127" t="n">
        <f aca="false">B564+D565-C565</f>
        <v>1489.45</v>
      </c>
      <c r="D565" s="146" t="n">
        <f aca="false">310.5+138</f>
        <v>448.5</v>
      </c>
      <c r="E565" s="147" t="n">
        <v>434</v>
      </c>
      <c r="F565" s="147" t="n">
        <f aca="false">IFERROR(VLOOKUP(H565,$AD$1:$AE$301,2,0),"")</f>
        <v>1008264</v>
      </c>
      <c r="G565" s="147" t="str">
        <f aca="false">IFERROR(VLOOKUP(F565,$AE$2:$AF$290,2, 0),"")</f>
        <v>تبوك</v>
      </c>
      <c r="H565" s="212" t="s">
        <v>160</v>
      </c>
      <c r="I565" s="246" t="n">
        <f aca="false">SUM(K565:R565)</f>
        <v>2</v>
      </c>
      <c r="J565" s="182" t="n">
        <v>45617</v>
      </c>
      <c r="K565" s="184" t="n">
        <v>1</v>
      </c>
      <c r="L565" s="185"/>
      <c r="Q565" s="154" t="n">
        <v>1</v>
      </c>
      <c r="S565" s="192" t="n">
        <f aca="false">(K565+O565+Q565)*24 /1130+(L565+M565+P565+R565)*12/1130+(N565*30)/1130</f>
        <v>0.0424778761061947</v>
      </c>
    </row>
    <row r="566" customFormat="false" ht="15" hidden="true" customHeight="true" outlineLevel="0" collapsed="false">
      <c r="A566" s="128" t="n">
        <f aca="false">D566-448</f>
        <v>0.5</v>
      </c>
      <c r="B566" s="127" t="n">
        <f aca="false">B565+D566-C566</f>
        <v>1937.95</v>
      </c>
      <c r="D566" s="146" t="n">
        <f aca="false">310.5+138</f>
        <v>448.5</v>
      </c>
      <c r="E566" s="147" t="n">
        <v>435</v>
      </c>
      <c r="F566" s="147" t="n">
        <f aca="false">IFERROR(VLOOKUP(H566,$AD$1:$AE$301,2,0),"")</f>
        <v>1002852</v>
      </c>
      <c r="G566" s="147" t="str">
        <f aca="false">IFERROR(VLOOKUP(F566,$AE$2:$AF$290,2, 0),"")</f>
        <v>تبوك</v>
      </c>
      <c r="H566" s="212" t="s">
        <v>159</v>
      </c>
      <c r="I566" s="246" t="n">
        <f aca="false">SUM(K566:R566)</f>
        <v>2</v>
      </c>
      <c r="J566" s="182" t="n">
        <v>45617</v>
      </c>
      <c r="K566" s="184" t="n">
        <v>1</v>
      </c>
      <c r="L566" s="185"/>
      <c r="Q566" s="154" t="n">
        <v>1</v>
      </c>
      <c r="S566" s="192" t="n">
        <f aca="false">(K566+O566+Q566)*24 /1130+(L566+M566+P566+R566)*12/1130+(N566*30)/1130</f>
        <v>0.0424778761061947</v>
      </c>
    </row>
    <row r="567" customFormat="false" ht="15" hidden="true" customHeight="true" outlineLevel="0" collapsed="false">
      <c r="A567" s="404" t="n">
        <f aca="false">D567-46-55-35-2</f>
        <v>0</v>
      </c>
      <c r="B567" s="127" t="n">
        <f aca="false">B566+D567-C567</f>
        <v>2075.95</v>
      </c>
      <c r="D567" s="146" t="n">
        <v>138</v>
      </c>
      <c r="E567" s="147" t="n">
        <v>436</v>
      </c>
      <c r="F567" s="147" t="n">
        <f aca="false">IFERROR(VLOOKUP(H567,$AD$1:$AE$301,2,0),"")</f>
        <v>562</v>
      </c>
      <c r="G567" s="147" t="str">
        <f aca="false">IFERROR(VLOOKUP(F567,$AE$2:$AF$290,2, 0),"")</f>
        <v>تبوك</v>
      </c>
      <c r="H567" s="212" t="s">
        <v>234</v>
      </c>
      <c r="I567" s="246" t="n">
        <f aca="false">SUM(K567:R567)</f>
        <v>1</v>
      </c>
      <c r="J567" s="182" t="n">
        <v>45617</v>
      </c>
      <c r="K567" s="184"/>
      <c r="L567" s="185"/>
      <c r="Q567" s="154" t="n">
        <v>1</v>
      </c>
      <c r="S567" s="192" t="n">
        <f aca="false">(K567+O567+Q567)*24 /1130+(L567+M567+P567+R567)*12/1130+(N567*30)/1130</f>
        <v>0.0212389380530973</v>
      </c>
    </row>
    <row r="568" customFormat="false" ht="15" hidden="true" customHeight="true" outlineLevel="0" collapsed="false">
      <c r="B568" s="127" t="n">
        <f aca="false">B567+D568-C568</f>
        <v>0.199999999999818</v>
      </c>
      <c r="C568" s="127" t="n">
        <f aca="false">270+280.75+D552+D566+500+266</f>
        <v>2075.75</v>
      </c>
      <c r="E568" s="403" t="s">
        <v>470</v>
      </c>
      <c r="F568" s="147" t="str">
        <f aca="false">IFERROR(VLOOKUP(H568,$AD$1:$AE$301,2,0),"")</f>
        <v/>
      </c>
      <c r="G568" s="147" t="str">
        <f aca="false">IFERROR(VLOOKUP(F568,$AE$2:$AF$290,2, 0),"")</f>
        <v/>
      </c>
      <c r="H568" s="212" t="s">
        <v>393</v>
      </c>
      <c r="I568" s="246" t="n">
        <f aca="false">SUM(K568:R568)</f>
        <v>0</v>
      </c>
      <c r="J568" s="182" t="n">
        <v>45610</v>
      </c>
      <c r="K568" s="184"/>
      <c r="L568" s="185"/>
      <c r="S568" s="192" t="n">
        <f aca="false">(K568+O568+Q568)*24 /1130+(L568+M568+P568+R568)*12/1130+(N568*30)/1130</f>
        <v>0</v>
      </c>
    </row>
    <row r="569" customFormat="false" ht="15" hidden="true" customHeight="true" outlineLevel="0" collapsed="false">
      <c r="B569" s="127" t="n">
        <f aca="false">B568+D569-C569</f>
        <v>738.5</v>
      </c>
      <c r="D569" s="146" t="n">
        <f aca="false">246.1*3</f>
        <v>738.3</v>
      </c>
      <c r="E569" s="147" t="n">
        <v>438</v>
      </c>
      <c r="F569" s="147" t="n">
        <f aca="false">IFERROR(VLOOKUP(H569,$AD$1:$AE$301,2,0),"")</f>
        <v>1002940</v>
      </c>
      <c r="G569" s="147" t="str">
        <f aca="false">IFERROR(VLOOKUP(F569,$AE$2:$AF$290,2, 0),"")</f>
        <v>تبوك</v>
      </c>
      <c r="H569" s="212" t="s">
        <v>167</v>
      </c>
      <c r="I569" s="246" t="n">
        <f aca="false">SUM(K569:R569)</f>
        <v>3</v>
      </c>
      <c r="J569" s="182" t="n">
        <v>45620</v>
      </c>
      <c r="K569" s="184"/>
      <c r="L569" s="185"/>
      <c r="Q569" s="154" t="n">
        <v>3</v>
      </c>
      <c r="S569" s="192" t="n">
        <f aca="false">(K569+O569+Q569)*24 /1130+(L569+M569+P569+R569)*12/1130+(N569*30)/1130</f>
        <v>0.063716814159292</v>
      </c>
    </row>
    <row r="570" customFormat="false" ht="15" hidden="true" customHeight="true" outlineLevel="0" collapsed="false">
      <c r="A570" s="404" t="n">
        <f aca="false">D570-155</f>
        <v>0.25</v>
      </c>
      <c r="B570" s="127" t="n">
        <f aca="false">B569+D570-C570</f>
        <v>893.75</v>
      </c>
      <c r="D570" s="146" t="n">
        <v>155.25</v>
      </c>
      <c r="E570" s="147" t="n">
        <v>437</v>
      </c>
      <c r="F570" s="147" t="n">
        <f aca="false">IFERROR(VLOOKUP(H570,$AD$1:$AE$301,2,0),"")</f>
        <v>562</v>
      </c>
      <c r="G570" s="147" t="str">
        <f aca="false">IFERROR(VLOOKUP(F570,$AE$2:$AF$290,2, 0),"")</f>
        <v>تبوك</v>
      </c>
      <c r="H570" s="212" t="s">
        <v>234</v>
      </c>
      <c r="I570" s="246" t="n">
        <f aca="false">SUM(K570:R570)</f>
        <v>1</v>
      </c>
      <c r="J570" s="182" t="n">
        <v>45620</v>
      </c>
      <c r="K570" s="184"/>
      <c r="L570" s="185"/>
      <c r="R570" s="155" t="n">
        <v>1</v>
      </c>
      <c r="S570" s="192" t="n">
        <f aca="false">(K570+O570+Q570)*24 /1130+(L570+M570+P570+R570)*12/1130+(N570*30)/1130</f>
        <v>0.0106194690265487</v>
      </c>
    </row>
    <row r="571" customFormat="false" ht="15" hidden="true" customHeight="true" outlineLevel="0" collapsed="false">
      <c r="B571" s="127" t="n">
        <f aca="false">B570+D571-C571</f>
        <v>0.249999999999773</v>
      </c>
      <c r="C571" s="127" t="n">
        <v>893.5</v>
      </c>
      <c r="E571" s="212" t="s">
        <v>638</v>
      </c>
      <c r="F571" s="147" t="str">
        <f aca="false">IFERROR(VLOOKUP(H571,$AD$1:$AE$301,2,0),"")</f>
        <v/>
      </c>
      <c r="G571" s="147" t="str">
        <f aca="false">IFERROR(VLOOKUP(F571,$AE$2:$AF$290,2, 0),"")</f>
        <v/>
      </c>
      <c r="H571" s="212" t="s">
        <v>393</v>
      </c>
      <c r="I571" s="246" t="n">
        <f aca="false">SUM(K571:R571)</f>
        <v>0</v>
      </c>
      <c r="J571" s="182" t="n">
        <v>45621</v>
      </c>
      <c r="K571" s="184"/>
      <c r="L571" s="185"/>
      <c r="S571" s="192" t="n">
        <f aca="false">(K571+O571+Q571)*24 /1130+(L571+M571+P571+R571)*12/1130+(N571*30)/1130</f>
        <v>0</v>
      </c>
    </row>
    <row r="572" customFormat="false" ht="15" hidden="true" customHeight="true" outlineLevel="0" collapsed="false">
      <c r="B572" s="127" t="n">
        <f aca="false">B571+D572-C572</f>
        <v>138.25</v>
      </c>
      <c r="D572" s="146" t="n">
        <v>138</v>
      </c>
      <c r="E572" s="147" t="n">
        <v>439</v>
      </c>
      <c r="F572" s="147" t="n">
        <f aca="false">IFERROR(VLOOKUP(H572,$AD$1:$AE$301,2,0),"")</f>
        <v>1008274</v>
      </c>
      <c r="G572" s="147" t="str">
        <f aca="false">IFERROR(VLOOKUP(F572,$AE$2:$AF$290,2, 0),"")</f>
        <v>تبوك</v>
      </c>
      <c r="H572" s="212" t="s">
        <v>147</v>
      </c>
      <c r="I572" s="246" t="n">
        <f aca="false">SUM(K572:R572)</f>
        <v>1</v>
      </c>
      <c r="J572" s="182" t="n">
        <v>45621</v>
      </c>
      <c r="K572" s="184"/>
      <c r="L572" s="185"/>
      <c r="Q572" s="154" t="n">
        <v>1</v>
      </c>
      <c r="S572" s="192" t="n">
        <f aca="false">(K572+O572+Q572)*24 /1130+(L572+M572+P572+R572)*12/1130+(N572*30)/1130</f>
        <v>0.0212389380530973</v>
      </c>
    </row>
    <row r="573" customFormat="false" ht="15" hidden="true" customHeight="true" outlineLevel="0" collapsed="false">
      <c r="A573" s="128" t="n">
        <f aca="false">D573-155</f>
        <v>0.25</v>
      </c>
      <c r="B573" s="127" t="n">
        <f aca="false">B572+D573-C573</f>
        <v>293.5</v>
      </c>
      <c r="D573" s="146" t="n">
        <v>155.25</v>
      </c>
      <c r="E573" s="212" t="s">
        <v>651</v>
      </c>
      <c r="F573" s="147" t="n">
        <f aca="false">IFERROR(VLOOKUP(H573,$AD$1:$AE$301,2,0),"")</f>
        <v>1008273</v>
      </c>
      <c r="G573" s="147" t="str">
        <f aca="false">IFERROR(VLOOKUP(F573,$AE$2:$AF$290,2, 0),"")</f>
        <v>تبوك</v>
      </c>
      <c r="H573" s="212" t="s">
        <v>144</v>
      </c>
      <c r="I573" s="246" t="n">
        <f aca="false">SUM(K573:R573)</f>
        <v>1</v>
      </c>
      <c r="J573" s="182" t="n">
        <v>45620</v>
      </c>
      <c r="K573" s="184"/>
      <c r="L573" s="185"/>
      <c r="R573" s="155" t="n">
        <v>1</v>
      </c>
      <c r="S573" s="192" t="n">
        <f aca="false">(K573+O573+Q573)*24 /1130+(L573+M573+P573+R573)*12/1130+(N573*30)/1130</f>
        <v>0.0106194690265487</v>
      </c>
    </row>
    <row r="574" customFormat="false" ht="15" hidden="true" customHeight="true" outlineLevel="0" collapsed="false">
      <c r="A574" s="128" t="n">
        <f aca="false">D574-166.25-12</f>
        <v>0</v>
      </c>
      <c r="B574" s="127" t="n">
        <f aca="false">B573+D574-C574</f>
        <v>471.75</v>
      </c>
      <c r="D574" s="146" t="n">
        <v>178.25</v>
      </c>
      <c r="E574" s="147" t="n">
        <v>442</v>
      </c>
      <c r="F574" s="147" t="n">
        <f aca="false">IFERROR(VLOOKUP(H574,$AD$1:$AE$301,2,0),"")</f>
        <v>1008266</v>
      </c>
      <c r="G574" s="147" t="str">
        <f aca="false">IFERROR(VLOOKUP(F574,$AE$2:$AF$290,2, 0),"")</f>
        <v>تبوك</v>
      </c>
      <c r="H574" s="212" t="s">
        <v>178</v>
      </c>
      <c r="I574" s="246" t="n">
        <f aca="false">SUM(K574:R574)</f>
        <v>1</v>
      </c>
      <c r="J574" s="182" t="n">
        <v>45620</v>
      </c>
      <c r="K574" s="184"/>
      <c r="L574" s="185" t="n">
        <v>1</v>
      </c>
      <c r="S574" s="192" t="n">
        <f aca="false">(K574+O574+Q574)*24 /1130+(L574+M574+P574+R574)*12/1130+(N574*30)/1130</f>
        <v>0.0106194690265487</v>
      </c>
    </row>
    <row r="575" customFormat="false" ht="15" hidden="true" customHeight="true" outlineLevel="0" collapsed="false">
      <c r="A575" s="128" t="n">
        <f aca="false">D575-264.5</f>
        <v>0</v>
      </c>
      <c r="B575" s="127" t="n">
        <f aca="false">B574+D575-C575</f>
        <v>736.25</v>
      </c>
      <c r="D575" s="146" t="n">
        <v>264.5</v>
      </c>
      <c r="E575" s="147" t="n">
        <v>443</v>
      </c>
      <c r="F575" s="147" t="n">
        <f aca="false">IFERROR(VLOOKUP(H575,$AD$1:$AE$301,2,0),"")</f>
        <v>553</v>
      </c>
      <c r="G575" s="147" t="str">
        <f aca="false">IFERROR(VLOOKUP(F575,$AE$2:$AF$290,2, 0),"")</f>
        <v>تبوك</v>
      </c>
      <c r="H575" s="212" t="s">
        <v>150</v>
      </c>
      <c r="I575" s="246" t="n">
        <f aca="false">SUM(K575:R575)</f>
        <v>1</v>
      </c>
      <c r="J575" s="182" t="n">
        <v>45620</v>
      </c>
      <c r="K575" s="184"/>
      <c r="L575" s="185"/>
      <c r="R575" s="402" t="n">
        <v>1</v>
      </c>
      <c r="S575" s="192" t="n">
        <f aca="false">(K575+O575+Q575)*24 /1130+(L575+M575+P575+R575)*12/1130+(N575*30)/1130</f>
        <v>0.0106194690265487</v>
      </c>
    </row>
    <row r="576" customFormat="false" ht="15" hidden="true" customHeight="true" outlineLevel="0" collapsed="false">
      <c r="A576" s="128" t="n">
        <f aca="false">D576-300-10</f>
        <v>0.5</v>
      </c>
      <c r="B576" s="127" t="n">
        <f aca="false">B575+D576-C576</f>
        <v>1046.75</v>
      </c>
      <c r="D576" s="146" t="n">
        <v>310.5</v>
      </c>
      <c r="E576" s="147" t="n">
        <v>446</v>
      </c>
      <c r="F576" s="147" t="n">
        <f aca="false">IFERROR(VLOOKUP(H576,$AD$1:$AE$301,2,0),"")</f>
        <v>539</v>
      </c>
      <c r="G576" s="147" t="str">
        <f aca="false">IFERROR(VLOOKUP(F576,$AE$2:$AF$290,2, 0),"")</f>
        <v>تبوك</v>
      </c>
      <c r="H576" s="212" t="s">
        <v>237</v>
      </c>
      <c r="I576" s="246" t="n">
        <f aca="false">SUM(K576:R576)</f>
        <v>1</v>
      </c>
      <c r="J576" s="182" t="n">
        <v>45621</v>
      </c>
      <c r="K576" s="184" t="n">
        <v>1</v>
      </c>
      <c r="S576" s="192" t="n">
        <f aca="false">(K576+O576+Q576)*24 /1130+(L576+M576+P576+R576)*12/1130+(N576*30)/1130</f>
        <v>0.0212389380530973</v>
      </c>
    </row>
    <row r="577" customFormat="false" ht="15" hidden="true" customHeight="true" outlineLevel="0" collapsed="false">
      <c r="A577" s="405" t="n">
        <f aca="false">D577-100-165</f>
        <v>-0.5</v>
      </c>
      <c r="B577" s="127" t="n">
        <f aca="false">B576+D577-C577</f>
        <v>1311.25</v>
      </c>
      <c r="D577" s="146" t="n">
        <v>264.5</v>
      </c>
      <c r="E577" s="147" t="n">
        <v>445</v>
      </c>
      <c r="F577" s="147" t="n">
        <f aca="false">IFERROR(VLOOKUP(H577,$AD$1:$AE$301,2,0),"")</f>
        <v>1002901</v>
      </c>
      <c r="G577" s="147" t="str">
        <f aca="false">IFERROR(VLOOKUP(F577,$AE$2:$AF$290,2, 0),"")</f>
        <v>تبوك</v>
      </c>
      <c r="H577" s="212" t="s">
        <v>153</v>
      </c>
      <c r="I577" s="246" t="n">
        <f aca="false">SUM(K577:R577)</f>
        <v>1</v>
      </c>
      <c r="J577" s="182" t="n">
        <v>45621</v>
      </c>
      <c r="K577" s="184"/>
      <c r="L577" s="185"/>
      <c r="M577" s="150" t="n">
        <v>1</v>
      </c>
      <c r="S577" s="192" t="n">
        <f aca="false">(K577+O577+Q577)*24 /1130+(L577+M577+P577+R577)*12/1130+(N577*30)/1130</f>
        <v>0.0106194690265487</v>
      </c>
    </row>
    <row r="578" customFormat="false" ht="15" hidden="true" customHeight="true" outlineLevel="0" collapsed="false">
      <c r="A578" s="128" t="n">
        <f aca="false">D578-155.25</f>
        <v>0</v>
      </c>
      <c r="B578" s="127" t="n">
        <f aca="false">B577+D578-C578</f>
        <v>1466.5</v>
      </c>
      <c r="D578" s="146" t="n">
        <v>155.25</v>
      </c>
      <c r="E578" s="147" t="n">
        <v>444</v>
      </c>
      <c r="F578" s="147" t="n">
        <f aca="false">IFERROR(VLOOKUP(H578,$AD$1:$AE$301,2,0),"")</f>
        <v>622</v>
      </c>
      <c r="G578" s="147" t="str">
        <f aca="false">IFERROR(VLOOKUP(F578,$AE$2:$AF$290,2, 0),"")</f>
        <v>تبوك</v>
      </c>
      <c r="H578" s="212" t="s">
        <v>177</v>
      </c>
      <c r="I578" s="246" t="n">
        <f aca="false">SUM(K578:R578)</f>
        <v>1</v>
      </c>
      <c r="J578" s="182" t="n">
        <v>45621</v>
      </c>
      <c r="K578" s="184"/>
      <c r="L578" s="185"/>
      <c r="R578" s="155" t="n">
        <v>1</v>
      </c>
      <c r="S578" s="192" t="n">
        <f aca="false">(K578+O578+Q578)*24 /1130+(L578+M578+P578+R578)*12/1130+(N578*30)/1130</f>
        <v>0.0106194690265487</v>
      </c>
    </row>
    <row r="579" customFormat="false" ht="15" hidden="true" customHeight="true" outlineLevel="0" collapsed="false">
      <c r="A579" s="265" t="n">
        <f aca="false">D579+245-200-155-30-300-8.5</f>
        <v>0</v>
      </c>
      <c r="B579" s="127" t="n">
        <f aca="false">B578+D579-C579</f>
        <v>1915</v>
      </c>
      <c r="D579" s="146" t="n">
        <f aca="false">310.5+138</f>
        <v>448.5</v>
      </c>
      <c r="E579" s="147" t="n">
        <v>447</v>
      </c>
      <c r="F579" s="147" t="n">
        <f aca="false">IFERROR(VLOOKUP(H579,$AD$1:$AE$301,2,0),"")</f>
        <v>1002940</v>
      </c>
      <c r="G579" s="147" t="str">
        <f aca="false">IFERROR(VLOOKUP(F579,$AE$2:$AF$290,2, 0),"")</f>
        <v>تبوك</v>
      </c>
      <c r="H579" s="212" t="s">
        <v>167</v>
      </c>
      <c r="I579" s="246" t="n">
        <f aca="false">SUM(K579:R579)</f>
        <v>2</v>
      </c>
      <c r="J579" s="182" t="n">
        <v>45621</v>
      </c>
      <c r="K579" s="184" t="n">
        <v>1</v>
      </c>
      <c r="L579" s="185"/>
      <c r="Q579" s="154" t="n">
        <v>1</v>
      </c>
      <c r="S579" s="192" t="n">
        <f aca="false">(K579+O579+Q579)*24 /1130+(L579+M579+P579+R579)*12/1130+(N579*30)/1130</f>
        <v>0.0424778761061947</v>
      </c>
    </row>
    <row r="580" customFormat="false" ht="15" hidden="true" customHeight="true" outlineLevel="0" collapsed="false">
      <c r="A580" s="128" t="n">
        <f aca="false">D580-155</f>
        <v>0.25</v>
      </c>
      <c r="B580" s="127" t="n">
        <f aca="false">B579+D580-C580</f>
        <v>2070.25</v>
      </c>
      <c r="D580" s="146" t="n">
        <v>155.25</v>
      </c>
      <c r="E580" s="147" t="n">
        <v>441</v>
      </c>
      <c r="F580" s="147" t="n">
        <f aca="false">IFERROR(VLOOKUP(H580,$AD$1:$AE$301,2,0),"")</f>
        <v>575</v>
      </c>
      <c r="G580" s="147" t="str">
        <f aca="false">IFERROR(VLOOKUP(F580,$AE$2:$AF$290,2, 0),"")</f>
        <v>تبوك</v>
      </c>
      <c r="H580" s="212" t="s">
        <v>132</v>
      </c>
      <c r="I580" s="246" t="n">
        <f aca="false">SUM(K580:R580)</f>
        <v>1</v>
      </c>
      <c r="J580" s="182" t="n">
        <v>45621</v>
      </c>
      <c r="R580" s="155" t="n">
        <v>1</v>
      </c>
      <c r="S580" s="192" t="n">
        <f aca="false">(K580+O580+Q580)*24 /1130+(L580+M580+P580+R580)*12/1130+(N580*30)/1130</f>
        <v>0.0106194690265487</v>
      </c>
    </row>
    <row r="581" customFormat="false" ht="15" hidden="true" customHeight="true" outlineLevel="0" collapsed="false">
      <c r="B581" s="127" t="n">
        <f aca="false">B580+D581-C581</f>
        <v>1720.25</v>
      </c>
      <c r="C581" s="127" t="n">
        <f aca="false">350</f>
        <v>350</v>
      </c>
      <c r="E581" s="212" t="s">
        <v>470</v>
      </c>
      <c r="F581" s="147" t="str">
        <f aca="false">IFERROR(VLOOKUP(H581,$AD$1:$AE$301,2,0),"")</f>
        <v/>
      </c>
      <c r="G581" s="147" t="str">
        <f aca="false">IFERROR(VLOOKUP(F581,$AE$2:$AF$290,2, 0),"")</f>
        <v/>
      </c>
      <c r="H581" s="212" t="s">
        <v>393</v>
      </c>
      <c r="I581" s="246" t="n">
        <f aca="false">SUM(K581:R581)</f>
        <v>0</v>
      </c>
      <c r="J581" s="182" t="n">
        <v>45622</v>
      </c>
      <c r="K581" s="184"/>
      <c r="L581" s="185"/>
      <c r="S581" s="192" t="n">
        <f aca="false">(K581+O581+Q581)*24 /1130+(L581+M581+P581+R581)*12/1130+(N581*30)/1130</f>
        <v>0</v>
      </c>
    </row>
    <row r="582" customFormat="false" ht="15" hidden="true" customHeight="true" outlineLevel="0" collapsed="false">
      <c r="B582" s="127" t="n">
        <f aca="false">B581+D582-C582</f>
        <v>0.25</v>
      </c>
      <c r="C582" s="127" t="n">
        <v>1720</v>
      </c>
      <c r="E582" s="212" t="s">
        <v>392</v>
      </c>
      <c r="F582" s="147" t="str">
        <f aca="false">IFERROR(VLOOKUP(H582,$AD$1:$AE$301,2,0),"")</f>
        <v/>
      </c>
      <c r="G582" s="147" t="str">
        <f aca="false">IFERROR(VLOOKUP(F582,$AE$2:$AF$290,2, 0),"")</f>
        <v/>
      </c>
      <c r="H582" s="212" t="s">
        <v>393</v>
      </c>
      <c r="I582" s="246" t="n">
        <f aca="false">SUM(K582:R582)</f>
        <v>0</v>
      </c>
      <c r="J582" s="182" t="n">
        <v>45622</v>
      </c>
      <c r="K582" s="184"/>
      <c r="L582" s="185"/>
      <c r="S582" s="192" t="n">
        <f aca="false">(K582+O582+Q582)*24 /1130+(L582+M582+P582+R582)*12/1130+(N582*30)/1130</f>
        <v>0</v>
      </c>
    </row>
    <row r="583" customFormat="false" ht="15" hidden="true" customHeight="true" outlineLevel="0" collapsed="false">
      <c r="B583" s="127" t="n">
        <f aca="false">B582+D583-C583</f>
        <v>155.5</v>
      </c>
      <c r="D583" s="146" t="n">
        <v>155.25</v>
      </c>
      <c r="E583" s="147" t="n">
        <v>448</v>
      </c>
      <c r="F583" s="147" t="n">
        <f aca="false">IFERROR(VLOOKUP(H583,$AD$1:$AE$301,2,0),"")</f>
        <v>1007980</v>
      </c>
      <c r="G583" s="147" t="str">
        <f aca="false">IFERROR(VLOOKUP(F583,$AE$2:$AF$290,2, 0),"")</f>
        <v>ضباء</v>
      </c>
      <c r="H583" s="212" t="s">
        <v>81</v>
      </c>
      <c r="I583" s="246" t="n">
        <f aca="false">SUM(K583:R583)</f>
        <v>1</v>
      </c>
      <c r="J583" s="182" t="n">
        <v>45622</v>
      </c>
      <c r="K583" s="184"/>
      <c r="L583" s="185"/>
      <c r="R583" s="155" t="n">
        <v>1</v>
      </c>
      <c r="S583" s="192" t="n">
        <f aca="false">(K583+O583+Q583)*24 /1130+(L583+M583+P583+R583)*12/1130+(N583*30)/1130</f>
        <v>0.0106194690265487</v>
      </c>
    </row>
    <row r="584" customFormat="false" ht="15" hidden="true" customHeight="true" outlineLevel="0" collapsed="false">
      <c r="B584" s="127" t="n">
        <f aca="false">B583+D584-C584</f>
        <v>293.5</v>
      </c>
      <c r="D584" s="146" t="n">
        <v>138</v>
      </c>
      <c r="E584" s="147" t="n">
        <v>449</v>
      </c>
      <c r="F584" s="147" t="n">
        <f aca="false">IFERROR(VLOOKUP(H584,$AD$1:$AE$301,2,0),"")</f>
        <v>1007980</v>
      </c>
      <c r="G584" s="147" t="str">
        <f aca="false">IFERROR(VLOOKUP(F584,$AE$2:$AF$290,2, 0),"")</f>
        <v>ضباء</v>
      </c>
      <c r="H584" s="212" t="s">
        <v>81</v>
      </c>
      <c r="I584" s="246" t="n">
        <f aca="false">SUM(K584:R584)</f>
        <v>1</v>
      </c>
      <c r="J584" s="182" t="n">
        <v>45622</v>
      </c>
      <c r="K584" s="184"/>
      <c r="L584" s="185"/>
      <c r="Q584" s="154" t="n">
        <v>1</v>
      </c>
      <c r="S584" s="192" t="n">
        <f aca="false">(K584+O584+Q584)*24 /1130+(L584+M584+P584+R584)*12/1130+(N584*30)/1130</f>
        <v>0.0212389380530973</v>
      </c>
    </row>
    <row r="585" customFormat="false" ht="15" hidden="true" customHeight="true" outlineLevel="0" collapsed="false">
      <c r="B585" s="127" t="n">
        <f aca="false">B584+D585-C585</f>
        <v>759.25</v>
      </c>
      <c r="D585" s="146" t="n">
        <f aca="false">155.25+310.5</f>
        <v>465.75</v>
      </c>
      <c r="E585" s="147" t="n">
        <v>450</v>
      </c>
      <c r="F585" s="147" t="n">
        <f aca="false">IFERROR(VLOOKUP(H585,$AD$1:$AE$301,2,0),"")</f>
        <v>1007976</v>
      </c>
      <c r="G585" s="147" t="str">
        <f aca="false">IFERROR(VLOOKUP(F585,$AE$2:$AF$290,2, 0),"")</f>
        <v>ضباء</v>
      </c>
      <c r="H585" s="212" t="s">
        <v>77</v>
      </c>
      <c r="I585" s="246" t="n">
        <f aca="false">SUM(K585:R585)</f>
        <v>2</v>
      </c>
      <c r="J585" s="182" t="n">
        <v>45622</v>
      </c>
      <c r="K585" s="184" t="n">
        <v>1</v>
      </c>
      <c r="L585" s="185"/>
      <c r="R585" s="155" t="n">
        <v>1</v>
      </c>
      <c r="S585" s="192" t="n">
        <f aca="false">(K585+O585+Q585)*24 /1130+(L585+M585+P585+R585)*12/1130+(N585*30)/1130</f>
        <v>0.031858407079646</v>
      </c>
    </row>
    <row r="586" customFormat="false" ht="15" hidden="true" customHeight="true" outlineLevel="0" collapsed="false">
      <c r="B586" s="127" t="n">
        <f aca="false">B585+D586-C586</f>
        <v>897.25</v>
      </c>
      <c r="D586" s="146" t="n">
        <v>138</v>
      </c>
      <c r="E586" s="147" t="n">
        <v>451</v>
      </c>
      <c r="F586" s="147" t="n">
        <f aca="false">IFERROR(VLOOKUP(H586,$AD$1:$AE$301,2,0),"")</f>
        <v>1007976</v>
      </c>
      <c r="G586" s="147" t="str">
        <f aca="false">IFERROR(VLOOKUP(F586,$AE$2:$AF$290,2, 0),"")</f>
        <v>ضباء</v>
      </c>
      <c r="H586" s="212" t="s">
        <v>77</v>
      </c>
      <c r="I586" s="246" t="n">
        <f aca="false">SUM(K586:R586)</f>
        <v>1</v>
      </c>
      <c r="J586" s="182" t="n">
        <v>45622</v>
      </c>
      <c r="K586" s="184"/>
      <c r="L586" s="185"/>
      <c r="Q586" s="154" t="n">
        <v>1</v>
      </c>
      <c r="S586" s="192" t="n">
        <f aca="false">(K586+O586+Q586)*24 /1130+(L586+M586+P586+R586)*12/1130+(N586*30)/1130</f>
        <v>0.0212389380530973</v>
      </c>
    </row>
    <row r="587" customFormat="false" ht="15" hidden="true" customHeight="true" outlineLevel="0" collapsed="false">
      <c r="B587" s="127" t="n">
        <f aca="false">B586+D587-C587</f>
        <v>1995.5</v>
      </c>
      <c r="D587" s="146" t="n">
        <f aca="false">2*258.75+316.25+264.5</f>
        <v>1098.25</v>
      </c>
      <c r="E587" s="147" t="n">
        <v>452</v>
      </c>
      <c r="F587" s="147" t="n">
        <f aca="false">IFERROR(VLOOKUP(H587,$AD$1:$AE$301,2,0),"")</f>
        <v>1008028</v>
      </c>
      <c r="G587" s="147" t="str">
        <f aca="false">IFERROR(VLOOKUP(F587,$AE$2:$AF$290,2, 0),"")</f>
        <v>ضباء</v>
      </c>
      <c r="H587" s="212" t="s">
        <v>99</v>
      </c>
      <c r="I587" s="246" t="n">
        <f aca="false">SUM(K587:R587)</f>
        <v>4</v>
      </c>
      <c r="J587" s="182" t="n">
        <v>45622</v>
      </c>
      <c r="K587" s="184"/>
      <c r="L587" s="185"/>
      <c r="M587" s="150" t="n">
        <v>1</v>
      </c>
      <c r="N587" s="151" t="n">
        <v>1</v>
      </c>
      <c r="O587" s="152" t="n">
        <v>2</v>
      </c>
      <c r="S587" s="192" t="n">
        <f aca="false">(K587+O587+Q587)*24 /1130+(L587+M587+P587+R587)*12/1130+(N587*30)/1130</f>
        <v>0.079646017699115</v>
      </c>
    </row>
    <row r="588" customFormat="false" ht="15" hidden="true" customHeight="true" outlineLevel="0" collapsed="false">
      <c r="B588" s="127" t="n">
        <f aca="false">B587+D588-C588</f>
        <v>2306</v>
      </c>
      <c r="D588" s="146" t="n">
        <v>310.5</v>
      </c>
      <c r="E588" s="147" t="n">
        <v>453</v>
      </c>
      <c r="F588" s="147" t="n">
        <f aca="false">IFERROR(VLOOKUP(H588,$AD$1:$AE$301,2,0),"")</f>
        <v>1008027</v>
      </c>
      <c r="G588" s="147" t="str">
        <f aca="false">IFERROR(VLOOKUP(F588,$AE$2:$AF$290,2, 0),"")</f>
        <v>ضباء</v>
      </c>
      <c r="H588" s="212" t="s">
        <v>100</v>
      </c>
      <c r="I588" s="246" t="n">
        <f aca="false">SUM(K588:R588)</f>
        <v>1</v>
      </c>
      <c r="J588" s="182" t="n">
        <v>45622</v>
      </c>
      <c r="K588" s="184" t="n">
        <v>1</v>
      </c>
      <c r="L588" s="185"/>
      <c r="S588" s="192" t="n">
        <f aca="false">(K588+O588+Q588)*24 /1130+(L588+M588+P588+R588)*12/1130+(N588*30)/1130</f>
        <v>0.0212389380530973</v>
      </c>
    </row>
    <row r="589" customFormat="false" ht="15" hidden="true" customHeight="true" outlineLevel="0" collapsed="false">
      <c r="A589" s="128" t="n">
        <f aca="false">D589-370-250</f>
        <v>1</v>
      </c>
      <c r="B589" s="127" t="n">
        <f aca="false">B588+D589-C589</f>
        <v>2927</v>
      </c>
      <c r="D589" s="146" t="n">
        <f aca="false">310.5*2</f>
        <v>621</v>
      </c>
      <c r="E589" s="147" t="n">
        <v>454</v>
      </c>
      <c r="F589" s="147" t="n">
        <f aca="false">IFERROR(VLOOKUP(H589,$AD$1:$AE$301,2,0),"")</f>
        <v>1008054</v>
      </c>
      <c r="G589" s="147" t="str">
        <f aca="false">IFERROR(VLOOKUP(F589,$AE$2:$AF$290,2, 0),"")</f>
        <v>الوجه</v>
      </c>
      <c r="H589" s="212" t="s">
        <v>112</v>
      </c>
      <c r="I589" s="246" t="n">
        <f aca="false">SUM(K589:R589)</f>
        <v>2</v>
      </c>
      <c r="J589" s="182" t="n">
        <v>45622</v>
      </c>
      <c r="K589" s="184" t="n">
        <v>2</v>
      </c>
      <c r="L589" s="185"/>
      <c r="S589" s="192" t="n">
        <f aca="false">(K589+O589+Q589)*24 /1130+(L589+M589+P589+R589)*12/1130+(N589*30)/1130</f>
        <v>0.0424778761061947</v>
      </c>
    </row>
    <row r="590" customFormat="false" ht="15" hidden="true" customHeight="true" outlineLevel="0" collapsed="false">
      <c r="B590" s="127" t="n">
        <f aca="false">B589+D590-C590</f>
        <v>4169</v>
      </c>
      <c r="D590" s="146" t="n">
        <f aca="false">2*310.5+2*310.5</f>
        <v>1242</v>
      </c>
      <c r="E590" s="147" t="n">
        <v>455</v>
      </c>
      <c r="F590" s="147" t="n">
        <f aca="false">IFERROR(VLOOKUP(H590,$AD$1:$AE$301,2,0),"")</f>
        <v>1008046</v>
      </c>
      <c r="G590" s="147" t="str">
        <f aca="false">IFERROR(VLOOKUP(F590,$AE$2:$AF$290,2, 0),"")</f>
        <v>الوجه</v>
      </c>
      <c r="H590" s="212" t="s">
        <v>108</v>
      </c>
      <c r="I590" s="246" t="n">
        <f aca="false">SUM(K590:R590)</f>
        <v>4</v>
      </c>
      <c r="J590" s="182" t="n">
        <v>45622</v>
      </c>
      <c r="K590" s="184" t="n">
        <f aca="false">2+2</f>
        <v>4</v>
      </c>
      <c r="L590" s="185"/>
      <c r="S590" s="192" t="n">
        <f aca="false">(K590+O590+Q590)*24 /1130+(L590+M590+P590+R590)*12/1130+(N590*30)/1130</f>
        <v>0.0849557522123894</v>
      </c>
    </row>
    <row r="591" customFormat="false" ht="15" hidden="true" customHeight="true" outlineLevel="0" collapsed="false">
      <c r="B591" s="127" t="n">
        <f aca="false">B590+D591-C591</f>
        <v>4479.5</v>
      </c>
      <c r="D591" s="146" t="n">
        <v>310.5</v>
      </c>
      <c r="E591" s="147" t="n">
        <v>456</v>
      </c>
      <c r="F591" s="147" t="n">
        <f aca="false">IFERROR(VLOOKUP(H591,$AD$1:$AE$301,2,0),"")</f>
        <v>1008049</v>
      </c>
      <c r="G591" s="147" t="str">
        <f aca="false">IFERROR(VLOOKUP(F591,$AE$2:$AF$290,2, 0),"")</f>
        <v>الوجه</v>
      </c>
      <c r="H591" s="212" t="s">
        <v>111</v>
      </c>
      <c r="I591" s="246" t="n">
        <f aca="false">SUM(K591:R591)</f>
        <v>1</v>
      </c>
      <c r="J591" s="182" t="n">
        <v>45622</v>
      </c>
      <c r="K591" s="184" t="n">
        <v>1</v>
      </c>
      <c r="L591" s="185"/>
      <c r="S591" s="192" t="n">
        <f aca="false">(K591+O591+Q591)*24 /1130+(L591+M591+P591+R591)*12/1130+(N591*30)/1130</f>
        <v>0.0212389380530973</v>
      </c>
    </row>
    <row r="592" customFormat="false" ht="15" hidden="true" customHeight="true" outlineLevel="0" collapsed="false">
      <c r="B592" s="127" t="n">
        <f aca="false">B591+D592-C592</f>
        <v>8205.5</v>
      </c>
      <c r="D592" s="146" t="n">
        <f aca="false">310.5*12</f>
        <v>3726</v>
      </c>
      <c r="E592" s="147" t="n">
        <v>457</v>
      </c>
      <c r="F592" s="147" t="n">
        <f aca="false">IFERROR(VLOOKUP(H592,$AD$1:$AE$301,2,0),"")</f>
        <v>1008048</v>
      </c>
      <c r="G592" s="147" t="str">
        <f aca="false">IFERROR(VLOOKUP(F592,$AE$2:$AF$290,2, 0),"")</f>
        <v>الوجه</v>
      </c>
      <c r="H592" s="212" t="s">
        <v>110</v>
      </c>
      <c r="I592" s="246" t="n">
        <f aca="false">SUM(K592:R592)</f>
        <v>12</v>
      </c>
      <c r="J592" s="182" t="n">
        <v>45622</v>
      </c>
      <c r="K592" s="184" t="n">
        <f aca="false">10+2</f>
        <v>12</v>
      </c>
      <c r="L592" s="185"/>
      <c r="S592" s="192" t="n">
        <f aca="false">(K592+O592+Q592)*24 /1130+(L592+M592+P592+R592)*12/1130+(N592*30)/1130</f>
        <v>0.254867256637168</v>
      </c>
    </row>
    <row r="593" customFormat="false" ht="15" hidden="true" customHeight="true" outlineLevel="0" collapsed="false">
      <c r="B593" s="127" t="n">
        <f aca="false">B592+D593-C593</f>
        <v>9137</v>
      </c>
      <c r="D593" s="146" t="n">
        <f aca="false">310.5+2*310.5</f>
        <v>931.5</v>
      </c>
      <c r="E593" s="147" t="n">
        <v>458</v>
      </c>
      <c r="F593" s="147" t="n">
        <f aca="false">IFERROR(VLOOKUP(H593,$AD$1:$AE$301,2,0),"")</f>
        <v>1008267</v>
      </c>
      <c r="G593" s="147" t="str">
        <f aca="false">IFERROR(VLOOKUP(F593,$AE$2:$AF$290,2, 0),"")</f>
        <v>الوجه</v>
      </c>
      <c r="H593" s="212" t="s">
        <v>114</v>
      </c>
      <c r="I593" s="246" t="n">
        <f aca="false">SUM(K593:R593)</f>
        <v>3</v>
      </c>
      <c r="J593" s="182" t="n">
        <v>45622</v>
      </c>
      <c r="K593" s="184" t="n">
        <f aca="false">1+2</f>
        <v>3</v>
      </c>
      <c r="L593" s="185"/>
      <c r="S593" s="192" t="n">
        <f aca="false">(K593+O593+Q593)*24 /1130+(L593+M593+P593+R593)*12/1130+(N593*30)/1130</f>
        <v>0.063716814159292</v>
      </c>
    </row>
    <row r="594" customFormat="false" ht="15" hidden="true" customHeight="true" outlineLevel="0" collapsed="false">
      <c r="A594" s="128" t="n">
        <f aca="false">160-80-80</f>
        <v>0</v>
      </c>
      <c r="B594" s="127" t="n">
        <f aca="false">B593+D594-C594</f>
        <v>11437</v>
      </c>
      <c r="D594" s="146" t="n">
        <f aca="false">224.5*4+4*310.5+160</f>
        <v>2300</v>
      </c>
      <c r="E594" s="147" t="n">
        <v>459</v>
      </c>
      <c r="F594" s="147" t="n">
        <f aca="false">IFERROR(VLOOKUP(H594,$AD$1:$AE$301,2,0),"")</f>
        <v>1008047</v>
      </c>
      <c r="G594" s="147" t="str">
        <f aca="false">IFERROR(VLOOKUP(F594,$AE$2:$AF$290,2, 0),"")</f>
        <v>الوجه</v>
      </c>
      <c r="H594" s="212" t="s">
        <v>422</v>
      </c>
      <c r="I594" s="246" t="n">
        <f aca="false">SUM(K594:R594)</f>
        <v>8</v>
      </c>
      <c r="J594" s="182" t="n">
        <v>45622</v>
      </c>
      <c r="K594" s="184" t="n">
        <v>4</v>
      </c>
      <c r="L594" s="185"/>
      <c r="M594" s="150" t="n">
        <v>4</v>
      </c>
      <c r="S594" s="192" t="n">
        <f aca="false">(K594+O594+Q594)*24 /1130+(L594+M594+P594+R594)*12/1130+(N594*30)/1130</f>
        <v>0.127433628318584</v>
      </c>
    </row>
    <row r="595" customFormat="false" ht="15" hidden="true" customHeight="true" outlineLevel="0" collapsed="false">
      <c r="B595" s="127" t="n">
        <f aca="false">B594+D595-C595</f>
        <v>11747.5</v>
      </c>
      <c r="D595" s="146" t="n">
        <f aca="false">155.25*2</f>
        <v>310.5</v>
      </c>
      <c r="E595" s="147" t="n">
        <v>460</v>
      </c>
      <c r="F595" s="147" t="n">
        <f aca="false">IFERROR(VLOOKUP(H595,$AD$1:$AE$301,2,0),"")</f>
        <v>1008047</v>
      </c>
      <c r="G595" s="147" t="str">
        <f aca="false">IFERROR(VLOOKUP(F595,$AE$2:$AF$290,2, 0),"")</f>
        <v>الوجه</v>
      </c>
      <c r="H595" s="212" t="s">
        <v>422</v>
      </c>
      <c r="I595" s="246" t="n">
        <f aca="false">SUM(K595:R595)</f>
        <v>2</v>
      </c>
      <c r="J595" s="182" t="n">
        <v>45622</v>
      </c>
      <c r="K595" s="184"/>
      <c r="L595" s="185"/>
      <c r="R595" s="155" t="n">
        <v>2</v>
      </c>
      <c r="S595" s="192" t="n">
        <f aca="false">(K595+O595+Q595)*24 /1130+(L595+M595+P595+R595)*12/1130+(N595*30)/1130</f>
        <v>0.0212389380530973</v>
      </c>
    </row>
    <row r="596" customFormat="false" ht="15" hidden="true" customHeight="true" outlineLevel="0" collapsed="false">
      <c r="B596" s="127" t="n">
        <f aca="false">B595+D596-C596</f>
        <v>13604.75</v>
      </c>
      <c r="D596" s="146" t="n">
        <f aca="false">241.5*4+258.75+316.25*2</f>
        <v>1857.25</v>
      </c>
      <c r="E596" s="147" t="n">
        <v>463</v>
      </c>
      <c r="F596" s="147" t="n">
        <f aca="false">IFERROR(VLOOKUP(H596,$AD$1:$AE$301,2,0),"")</f>
        <v>1007988</v>
      </c>
      <c r="G596" s="147" t="str">
        <f aca="false">IFERROR(VLOOKUP(F596,$AE$2:$AF$290,2, 0),"")</f>
        <v>ضباء</v>
      </c>
      <c r="H596" s="212" t="s">
        <v>89</v>
      </c>
      <c r="I596" s="246" t="n">
        <f aca="false">SUM(K596:R596)</f>
        <v>5</v>
      </c>
      <c r="J596" s="182" t="n">
        <v>45622</v>
      </c>
      <c r="K596" s="184"/>
      <c r="L596" s="185"/>
      <c r="M596" s="150" t="n">
        <v>2</v>
      </c>
      <c r="N596" s="151" t="n">
        <v>2</v>
      </c>
      <c r="O596" s="152" t="n">
        <v>1</v>
      </c>
      <c r="S596" s="192" t="n">
        <f aca="false">(K596+O596+Q596)*24 /1130+(L596+M596+P596+R596)*12/1130+(N596*30)/1130</f>
        <v>0.0955752212389381</v>
      </c>
    </row>
    <row r="597" customFormat="false" ht="15" hidden="true" customHeight="true" outlineLevel="0" collapsed="false">
      <c r="A597" s="128" t="n">
        <f aca="false">D597-402.5</f>
        <v>0</v>
      </c>
      <c r="B597" s="127" t="n">
        <f aca="false">B596+D597-C597</f>
        <v>14007.25</v>
      </c>
      <c r="D597" s="146" t="n">
        <f aca="false">264.5+138</f>
        <v>402.5</v>
      </c>
      <c r="E597" s="147" t="n">
        <v>462</v>
      </c>
      <c r="F597" s="147" t="n">
        <f aca="false">IFERROR(VLOOKUP(H597,$AD$1:$AE$301,2,0),"")</f>
        <v>1007996</v>
      </c>
      <c r="G597" s="147" t="str">
        <f aca="false">IFERROR(VLOOKUP(F597,$AE$2:$AF$290,2, 0),"")</f>
        <v>البير</v>
      </c>
      <c r="H597" s="212" t="s">
        <v>295</v>
      </c>
      <c r="I597" s="246" t="n">
        <f aca="false">SUM(K597:R597)</f>
        <v>2</v>
      </c>
      <c r="J597" s="182" t="n">
        <v>45622</v>
      </c>
      <c r="K597" s="184"/>
      <c r="L597" s="185"/>
      <c r="M597" s="150" t="n">
        <v>1</v>
      </c>
      <c r="Q597" s="154" t="n">
        <v>1</v>
      </c>
      <c r="S597" s="192" t="n">
        <f aca="false">(K597+O597+Q597)*24 /1130+(L597+M597+P597+R597)*12/1130+(N597*30)/1130</f>
        <v>0.031858407079646</v>
      </c>
    </row>
    <row r="598" customFormat="false" ht="15" hidden="true" customHeight="true" outlineLevel="0" collapsed="false">
      <c r="B598" s="127" t="n">
        <f aca="false">B597+D598-C598</f>
        <v>14317.75</v>
      </c>
      <c r="D598" s="146" t="n">
        <v>310.5</v>
      </c>
      <c r="E598" s="147" t="n">
        <v>461</v>
      </c>
      <c r="F598" s="147" t="n">
        <f aca="false">IFERROR(VLOOKUP(H598,$AD$1:$AE$301,2,0),"")</f>
        <v>1008032</v>
      </c>
      <c r="G598" s="147" t="str">
        <f aca="false">IFERROR(VLOOKUP(F598,$AE$2:$AF$290,2, 0),"")</f>
        <v>ضباء</v>
      </c>
      <c r="H598" s="212" t="s">
        <v>101</v>
      </c>
      <c r="I598" s="246" t="n">
        <f aca="false">SUM(K598:R598)</f>
        <v>1</v>
      </c>
      <c r="J598" s="182" t="n">
        <v>45622</v>
      </c>
      <c r="K598" s="184" t="n">
        <v>1</v>
      </c>
      <c r="S598" s="192" t="n">
        <f aca="false">(K598+O598+Q598)*24 /1130+(L598+M598+P598+R598)*12/1130+(N598*30)/1130</f>
        <v>0.0212389380530973</v>
      </c>
    </row>
    <row r="599" customFormat="false" ht="15" hidden="true" customHeight="true" outlineLevel="0" collapsed="false">
      <c r="B599" s="127" t="n">
        <f aca="false">B598+D599-C599</f>
        <v>16025.5</v>
      </c>
      <c r="D599" s="146" t="n">
        <f aca="false">258.75*3+310.5*3</f>
        <v>1707.75</v>
      </c>
      <c r="E599" s="147" t="n">
        <v>465</v>
      </c>
      <c r="F599" s="147" t="n">
        <f aca="false">IFERROR(VLOOKUP(H599,$AD$1:$AE$301,2,0),"")</f>
        <v>1008024</v>
      </c>
      <c r="G599" s="147" t="str">
        <f aca="false">IFERROR(VLOOKUP(F599,$AE$2:$AF$290,2, 0),"")</f>
        <v>ضباء</v>
      </c>
      <c r="H599" s="212" t="s">
        <v>96</v>
      </c>
      <c r="I599" s="246" t="n">
        <f aca="false">SUM(K599:R599)</f>
        <v>6</v>
      </c>
      <c r="J599" s="182" t="n">
        <v>45622</v>
      </c>
      <c r="K599" s="184" t="n">
        <v>3</v>
      </c>
      <c r="O599" s="152" t="n">
        <v>3</v>
      </c>
      <c r="S599" s="192" t="n">
        <f aca="false">(K599+O599+Q599)*24 /1130+(L599+M599+P599+R599)*12/1130+(N599*30)/1130</f>
        <v>0.127433628318584</v>
      </c>
    </row>
    <row r="600" customFormat="false" ht="15" hidden="true" customHeight="true" outlineLevel="0" collapsed="false">
      <c r="B600" s="127" t="n">
        <f aca="false">B599+D600-C600</f>
        <v>16554.5</v>
      </c>
      <c r="D600" s="146" t="n">
        <f aca="false">264.5*2</f>
        <v>529</v>
      </c>
      <c r="E600" s="147" t="n">
        <v>464</v>
      </c>
      <c r="F600" s="147" t="n">
        <f aca="false">IFERROR(VLOOKUP(H600,$AD$1:$AE$301,2,0),"")</f>
        <v>1007989</v>
      </c>
      <c r="G600" s="147" t="str">
        <f aca="false">IFERROR(VLOOKUP(F600,$AE$2:$AF$290,2, 0),"")</f>
        <v>ضباء</v>
      </c>
      <c r="H600" s="212" t="s">
        <v>90</v>
      </c>
      <c r="I600" s="246" t="n">
        <f aca="false">SUM(K600:R600)</f>
        <v>2</v>
      </c>
      <c r="J600" s="182" t="n">
        <v>45622</v>
      </c>
      <c r="K600" s="184"/>
      <c r="M600" s="150" t="n">
        <v>2</v>
      </c>
      <c r="S600" s="192" t="n">
        <f aca="false">(K600+O600+Q600)*24 /1130+(L600+M600+P600+R600)*12/1130+(N600*30)/1130</f>
        <v>0.0212389380530973</v>
      </c>
    </row>
    <row r="601" customFormat="false" ht="15" hidden="true" customHeight="true" outlineLevel="0" collapsed="false">
      <c r="B601" s="127" t="n">
        <f aca="false">B600+D601-C601</f>
        <v>8832.5</v>
      </c>
      <c r="C601" s="127" t="n">
        <f aca="false">155.25+138+1098.25+931.5+1222.25+529+1647.75+1750+250</f>
        <v>7722</v>
      </c>
      <c r="E601" s="212" t="s">
        <v>470</v>
      </c>
      <c r="F601" s="147" t="str">
        <f aca="false">IFERROR(VLOOKUP(H601,$AD$1:$AE$301,2,0),"")</f>
        <v/>
      </c>
      <c r="G601" s="147" t="str">
        <f aca="false">IFERROR(VLOOKUP(F601,$AE$2:$AF$290,2, 0),"")</f>
        <v/>
      </c>
      <c r="H601" s="398" t="s">
        <v>393</v>
      </c>
      <c r="I601" s="246" t="n">
        <f aca="false">SUM(K601:R601)</f>
        <v>0</v>
      </c>
      <c r="J601" s="182" t="n">
        <v>45622</v>
      </c>
      <c r="K601" s="184"/>
      <c r="S601" s="192" t="n">
        <f aca="false">(K601+O601+Q601)*24 /1130+(L601+M601+P601+R601)*12/1130+(N601*30)/1130</f>
        <v>0</v>
      </c>
    </row>
    <row r="602" customFormat="false" ht="15" hidden="true" customHeight="true" outlineLevel="0" collapsed="false">
      <c r="B602" s="127" t="n">
        <f aca="false">B601+D602-C602</f>
        <v>0.5</v>
      </c>
      <c r="C602" s="127" t="n">
        <f aca="false">8832</f>
        <v>8832</v>
      </c>
      <c r="E602" s="212" t="s">
        <v>392</v>
      </c>
      <c r="F602" s="147" t="str">
        <f aca="false">IFERROR(VLOOKUP(H602,$AD$1:$AE$301,2,0),"")</f>
        <v/>
      </c>
      <c r="G602" s="147" t="str">
        <f aca="false">IFERROR(VLOOKUP(F602,$AE$2:$AF$290,2, 0),"")</f>
        <v/>
      </c>
      <c r="H602" s="212" t="s">
        <v>393</v>
      </c>
      <c r="I602" s="246" t="n">
        <f aca="false">SUM(K602:R602)</f>
        <v>0</v>
      </c>
      <c r="J602" s="182" t="n">
        <v>45622</v>
      </c>
      <c r="K602" s="184"/>
      <c r="S602" s="192" t="n">
        <f aca="false">(K602+O602+Q602)*24 /1130+(L602+M602+P602+R602)*12/1130+(N602*30)/1130</f>
        <v>0</v>
      </c>
    </row>
    <row r="603" customFormat="false" ht="15" hidden="true" customHeight="true" outlineLevel="0" collapsed="false">
      <c r="A603" s="406" t="n">
        <f aca="false">D603-138</f>
        <v>0</v>
      </c>
      <c r="B603" s="127" t="n">
        <f aca="false">B602+D603-C603</f>
        <v>138.5</v>
      </c>
      <c r="D603" s="146" t="n">
        <v>138</v>
      </c>
      <c r="E603" s="147" t="n">
        <v>466</v>
      </c>
      <c r="F603" s="147" t="n">
        <f aca="false">IFERROR(VLOOKUP(H603,$AD$1:$AE$301,2,0),"")</f>
        <v>1008262</v>
      </c>
      <c r="G603" s="147" t="str">
        <f aca="false">IFERROR(VLOOKUP(F603,$AE$2:$AF$290,2, 0),"")</f>
        <v>تبوك</v>
      </c>
      <c r="H603" s="212" t="s">
        <v>176</v>
      </c>
      <c r="I603" s="246" t="n">
        <f aca="false">SUM(K603:R603)</f>
        <v>1</v>
      </c>
      <c r="J603" s="182" t="n">
        <v>45623</v>
      </c>
      <c r="K603" s="184"/>
      <c r="Q603" s="154" t="n">
        <v>1</v>
      </c>
      <c r="S603" s="192" t="n">
        <f aca="false">(K603+O603+Q603)*24 /1130+(L603+M603+P603+R603)*12/1130+(N603*30)/1130</f>
        <v>0.0212389380530973</v>
      </c>
    </row>
    <row r="604" customFormat="false" ht="15" hidden="true" customHeight="true" outlineLevel="0" collapsed="false">
      <c r="B604" s="127" t="n">
        <f aca="false">B603+D604-C604</f>
        <v>627.25</v>
      </c>
      <c r="D604" s="146" t="n">
        <f aca="false">310.5+178.25</f>
        <v>488.75</v>
      </c>
      <c r="E604" s="147" t="n">
        <v>467</v>
      </c>
      <c r="F604" s="147" t="n">
        <f aca="false">IFERROR(VLOOKUP(H604,$AD$1:$AE$301,2,0),"")</f>
        <v>1008275</v>
      </c>
      <c r="G604" s="147" t="str">
        <f aca="false">IFERROR(VLOOKUP(F604,$AE$2:$AF$290,2, 0),"")</f>
        <v>تبوك</v>
      </c>
      <c r="H604" s="212" t="s">
        <v>179</v>
      </c>
      <c r="I604" s="246" t="n">
        <f aca="false">SUM(K604:R604)</f>
        <v>2</v>
      </c>
      <c r="J604" s="182" t="n">
        <v>45623</v>
      </c>
      <c r="K604" s="184" t="n">
        <v>1</v>
      </c>
      <c r="L604" s="149" t="n">
        <v>1</v>
      </c>
      <c r="S604" s="192" t="n">
        <f aca="false">(K604+O604+Q604)*24 /1130+(L604+M604+P604+R604)*12/1130+(N604*30)/1130</f>
        <v>0.031858407079646</v>
      </c>
    </row>
    <row r="605" customFormat="false" ht="15" hidden="true" customHeight="true" outlineLevel="0" collapsed="false">
      <c r="A605" s="128" t="n">
        <f aca="false">D605-310.5</f>
        <v>0</v>
      </c>
      <c r="B605" s="127" t="n">
        <f aca="false">B604+D605-C605</f>
        <v>937.75</v>
      </c>
      <c r="D605" s="146" t="n">
        <v>310.5</v>
      </c>
      <c r="E605" s="147" t="n">
        <v>468</v>
      </c>
      <c r="F605" s="147" t="n">
        <f aca="false">IFERROR(VLOOKUP(H605,$AD$1:$AE$301,2,0),"")</f>
        <v>1008266</v>
      </c>
      <c r="G605" s="147" t="str">
        <f aca="false">IFERROR(VLOOKUP(F605,$AE$2:$AF$290,2, 0),"")</f>
        <v>تبوك</v>
      </c>
      <c r="H605" s="212" t="s">
        <v>178</v>
      </c>
      <c r="I605" s="246" t="n">
        <f aca="false">SUM(K605:R605)</f>
        <v>1</v>
      </c>
      <c r="J605" s="182" t="n">
        <v>45623</v>
      </c>
      <c r="K605" s="184" t="n">
        <v>1</v>
      </c>
      <c r="S605" s="192" t="n">
        <f aca="false">(K605+O605+Q605)*24 /1130+(L605+M605+P605+R605)*12/1130+(N605*30)/1130</f>
        <v>0.0212389380530973</v>
      </c>
    </row>
    <row r="606" customFormat="false" ht="15" hidden="true" customHeight="true" outlineLevel="0" collapsed="false">
      <c r="A606" s="128" t="n">
        <f aca="false">D606-1-200-100-65-250-5</f>
        <v>0</v>
      </c>
      <c r="B606" s="127" t="n">
        <f aca="false">B605+D606-C606</f>
        <v>1558.75</v>
      </c>
      <c r="D606" s="146" t="n">
        <f aca="false">310.5*2</f>
        <v>621</v>
      </c>
      <c r="E606" s="147" t="n">
        <v>469</v>
      </c>
      <c r="F606" s="147" t="n">
        <f aca="false">IFERROR(VLOOKUP(H606,$AD$1:$AE$301,2,0),"")</f>
        <v>1008264</v>
      </c>
      <c r="G606" s="147" t="str">
        <f aca="false">IFERROR(VLOOKUP(F606,$AE$2:$AF$290,2, 0),"")</f>
        <v>تبوك</v>
      </c>
      <c r="H606" s="212" t="s">
        <v>160</v>
      </c>
      <c r="I606" s="246" t="n">
        <f aca="false">SUM(K606:R606)</f>
        <v>2</v>
      </c>
      <c r="J606" s="182" t="n">
        <v>45623</v>
      </c>
      <c r="K606" s="184" t="n">
        <v>2</v>
      </c>
      <c r="S606" s="192" t="n">
        <f aca="false">(K606+O606+Q606)*24 /1130+(L606+M606+P606+R606)*12/1130+(N606*30)/1130</f>
        <v>0.0424778761061947</v>
      </c>
    </row>
    <row r="607" customFormat="false" ht="15" hidden="true" customHeight="true" outlineLevel="0" collapsed="false">
      <c r="B607" s="127" t="n">
        <f aca="false">B606+D607-C607</f>
        <v>1869.25</v>
      </c>
      <c r="D607" s="146" t="n">
        <v>310.5</v>
      </c>
      <c r="E607" s="147" t="n">
        <v>470</v>
      </c>
      <c r="F607" s="147" t="n">
        <f aca="false">IFERROR(VLOOKUP(H607,$AD$1:$AE$301,2,0),"")</f>
        <v>1002901</v>
      </c>
      <c r="G607" s="147" t="str">
        <f aca="false">IFERROR(VLOOKUP(F607,$AE$2:$AF$290,2, 0),"")</f>
        <v>تبوك</v>
      </c>
      <c r="H607" s="407" t="s">
        <v>153</v>
      </c>
      <c r="I607" s="246" t="n">
        <f aca="false">SUM(K607:R607)</f>
        <v>1</v>
      </c>
      <c r="J607" s="182" t="n">
        <v>45623</v>
      </c>
      <c r="K607" s="184" t="n">
        <v>1</v>
      </c>
      <c r="S607" s="192" t="n">
        <f aca="false">(K607+O607+Q607)*24 /1130+(L607+M607+P607+R607)*12/1130+(N607*30)/1130</f>
        <v>0.0212389380530973</v>
      </c>
    </row>
    <row r="608" customFormat="false" ht="15" hidden="true" customHeight="true" outlineLevel="0" collapsed="false">
      <c r="A608" s="128" t="n">
        <f aca="false">D608+10.5-250-54</f>
        <v>-0.25</v>
      </c>
      <c r="B608" s="127" t="n">
        <f aca="false">B607+D608-C608</f>
        <v>2162.5</v>
      </c>
      <c r="D608" s="146" t="n">
        <f aca="false">138+155.25</f>
        <v>293.25</v>
      </c>
      <c r="E608" s="147" t="n">
        <v>471</v>
      </c>
      <c r="F608" s="147" t="n">
        <f aca="false">IFERROR(VLOOKUP(H608,$AD$1:$AE$301,2,0),"")</f>
        <v>539</v>
      </c>
      <c r="G608" s="147" t="str">
        <f aca="false">IFERROR(VLOOKUP(F608,$AE$2:$AF$290,2, 0),"")</f>
        <v>تبوك</v>
      </c>
      <c r="H608" s="212" t="s">
        <v>237</v>
      </c>
      <c r="I608" s="246" t="n">
        <f aca="false">SUM(K608:R608)</f>
        <v>2</v>
      </c>
      <c r="J608" s="182" t="n">
        <v>45624</v>
      </c>
      <c r="K608" s="184"/>
      <c r="Q608" s="154" t="n">
        <v>1</v>
      </c>
      <c r="R608" s="155" t="n">
        <v>1</v>
      </c>
      <c r="S608" s="192" t="n">
        <f aca="false">(K608+O608+Q608)*24 /1130+(L608+M608+P608+R608)*12/1130+(N608*30)/1130</f>
        <v>0.031858407079646</v>
      </c>
    </row>
    <row r="609" customFormat="false" ht="15" hidden="true" customHeight="true" outlineLevel="0" collapsed="false">
      <c r="B609" s="127" t="n">
        <f aca="false">B608+D609-C609</f>
        <v>2300.5</v>
      </c>
      <c r="D609" s="146" t="n">
        <v>138</v>
      </c>
      <c r="E609" s="147" t="n">
        <v>472</v>
      </c>
      <c r="F609" s="147" t="n">
        <f aca="false">IFERROR(VLOOKUP(H609,$AD$1:$AE$301,2,0),"")</f>
        <v>1008057</v>
      </c>
      <c r="G609" s="147" t="str">
        <f aca="false">IFERROR(VLOOKUP(F609,$AE$2:$AF$290,2, 0),"")</f>
        <v>تبوك</v>
      </c>
      <c r="H609" s="212" t="s">
        <v>242</v>
      </c>
      <c r="I609" s="246" t="n">
        <f aca="false">SUM(K609:R609)</f>
        <v>1</v>
      </c>
      <c r="J609" s="182" t="n">
        <v>45624</v>
      </c>
      <c r="K609" s="184"/>
      <c r="Q609" s="154" t="n">
        <v>1</v>
      </c>
      <c r="S609" s="192" t="n">
        <f aca="false">(K609+O609+Q609)*24 /1130+(L609+M609+P609+R609)*12/1130+(N609*30)/1130</f>
        <v>0.0212389380530973</v>
      </c>
    </row>
    <row r="610" customFormat="false" ht="15" hidden="true" customHeight="true" outlineLevel="0" collapsed="false">
      <c r="A610" s="128" t="n">
        <f aca="false">D610-135-3</f>
        <v>0</v>
      </c>
      <c r="B610" s="127" t="n">
        <f aca="false">B609+D610-C610</f>
        <v>2438.5</v>
      </c>
      <c r="D610" s="146" t="n">
        <v>138</v>
      </c>
      <c r="E610" s="147" t="n">
        <v>473</v>
      </c>
      <c r="F610" s="147" t="n">
        <f aca="false">IFERROR(VLOOKUP(H610,$AD$1:$AE$301,2,0),"")</f>
        <v>630</v>
      </c>
      <c r="G610" s="147" t="str">
        <f aca="false">IFERROR(VLOOKUP(F610,$AE$2:$AF$290,2, 0),"")</f>
        <v>تبوك</v>
      </c>
      <c r="H610" s="212" t="s">
        <v>252</v>
      </c>
      <c r="I610" s="246" t="n">
        <f aca="false">SUM(K610:R610)</f>
        <v>1</v>
      </c>
      <c r="J610" s="182" t="n">
        <v>45624</v>
      </c>
      <c r="K610" s="184"/>
      <c r="Q610" s="154" t="n">
        <v>1</v>
      </c>
      <c r="S610" s="192" t="n">
        <f aca="false">(K610+O610+Q610)*24 /1130+(L610+M610+P610+R610)*12/1130+(N610*30)/1130</f>
        <v>0.0212389380530973</v>
      </c>
    </row>
    <row r="611" customFormat="false" ht="15" hidden="true" customHeight="true" outlineLevel="0" collapsed="false">
      <c r="A611" s="128" t="n">
        <f aca="false">D611-150-435</f>
        <v>1.5</v>
      </c>
      <c r="B611" s="127" t="n">
        <f aca="false">B610+D611-C611</f>
        <v>3025</v>
      </c>
      <c r="D611" s="146" t="n">
        <f aca="false">138*2+155.25*2</f>
        <v>586.5</v>
      </c>
      <c r="E611" s="147" t="n">
        <v>474</v>
      </c>
      <c r="F611" s="147" t="n">
        <f aca="false">IFERROR(VLOOKUP(H611,$AD$1:$AE$301,2,0),"")</f>
        <v>1008053</v>
      </c>
      <c r="G611" s="147" t="str">
        <f aca="false">IFERROR(VLOOKUP(F611,$AE$2:$AF$290,2, 0),"")</f>
        <v>تبوك</v>
      </c>
      <c r="H611" s="212" t="s">
        <v>254</v>
      </c>
      <c r="I611" s="246" t="n">
        <f aca="false">SUM(K611:R611)</f>
        <v>4</v>
      </c>
      <c r="J611" s="182" t="n">
        <v>45624</v>
      </c>
      <c r="K611" s="184"/>
      <c r="Q611" s="154" t="n">
        <v>2</v>
      </c>
      <c r="R611" s="155" t="n">
        <v>2</v>
      </c>
      <c r="S611" s="192" t="n">
        <f aca="false">(K611+O611+Q611)*24 /1130+(L611+M611+P611+R611)*12/1130+(N611*30)/1130</f>
        <v>0.063716814159292</v>
      </c>
    </row>
    <row r="612" customFormat="false" ht="15" hidden="true" customHeight="true" outlineLevel="0" collapsed="false">
      <c r="B612" s="127" t="n">
        <f aca="false">B611+D612-C612</f>
        <v>1200.25</v>
      </c>
      <c r="C612" s="127" t="n">
        <f aca="false">166.25+D578+125+50+D607+218.25+799.5</f>
        <v>1824.75</v>
      </c>
      <c r="E612" s="212" t="s">
        <v>470</v>
      </c>
      <c r="F612" s="147" t="str">
        <f aca="false">IFERROR(VLOOKUP(H612,$AD$1:$AE$301,2,0),"")</f>
        <v/>
      </c>
      <c r="G612" s="147" t="str">
        <f aca="false">IFERROR(VLOOKUP(F612,$AE$2:$AF$290,2, 0),"")</f>
        <v/>
      </c>
      <c r="H612" s="212" t="s">
        <v>393</v>
      </c>
      <c r="I612" s="246" t="n">
        <f aca="false">SUM(K612:R612)</f>
        <v>0</v>
      </c>
      <c r="J612" s="182" t="n">
        <v>45624</v>
      </c>
      <c r="K612" s="184"/>
      <c r="S612" s="192" t="n">
        <f aca="false">(K612+O612+Q612)*24 /1130+(L612+M612+P612+R612)*12/1130+(N612*30)/1130</f>
        <v>0</v>
      </c>
    </row>
    <row r="613" customFormat="false" ht="15" hidden="true" customHeight="true" outlineLevel="0" collapsed="false">
      <c r="B613" s="127" t="n">
        <f aca="false">B612+D613-C613</f>
        <v>0.25</v>
      </c>
      <c r="C613" s="127" t="n">
        <v>1200</v>
      </c>
      <c r="E613" s="212" t="s">
        <v>392</v>
      </c>
      <c r="F613" s="147" t="str">
        <f aca="false">IFERROR(VLOOKUP(H613,$AD$1:$AE$301,2,0),"")</f>
        <v/>
      </c>
      <c r="G613" s="147" t="str">
        <f aca="false">IFERROR(VLOOKUP(F613,$AE$2:$AF$290,2, 0),"")</f>
        <v/>
      </c>
      <c r="H613" s="212" t="s">
        <v>393</v>
      </c>
      <c r="I613" s="246" t="n">
        <f aca="false">SUM(K613:R613)</f>
        <v>0</v>
      </c>
      <c r="J613" s="182" t="n">
        <v>45624</v>
      </c>
      <c r="S613" s="192" t="n">
        <f aca="false">(K613+O613+Q613)*24 /1130+(L613+M613+P613+R613)*12/1130+(N613*30)/1130</f>
        <v>0</v>
      </c>
    </row>
    <row r="614" customFormat="false" ht="15" hidden="true" customHeight="true" outlineLevel="0" collapsed="false">
      <c r="A614" s="128" t="n">
        <f aca="false">D614-310.5</f>
        <v>0</v>
      </c>
      <c r="B614" s="127" t="n">
        <f aca="false">B613+D614-C614</f>
        <v>310.75</v>
      </c>
      <c r="D614" s="146" t="n">
        <v>310.5</v>
      </c>
      <c r="E614" s="147" t="n">
        <v>476</v>
      </c>
      <c r="F614" s="147" t="n">
        <f aca="false">IFERROR(VLOOKUP(H614,$AD$1:$AE$301,2,0),"")</f>
        <v>1008266</v>
      </c>
      <c r="G614" s="147" t="str">
        <f aca="false">IFERROR(VLOOKUP(F614,$AE$2:$AF$290,2, 0),"")</f>
        <v>تبوك</v>
      </c>
      <c r="H614" s="212" t="s">
        <v>178</v>
      </c>
      <c r="I614" s="246" t="n">
        <f aca="false">SUM(K614:R614)</f>
        <v>1</v>
      </c>
      <c r="J614" s="182" t="n">
        <v>45627</v>
      </c>
      <c r="K614" s="184" t="n">
        <v>1</v>
      </c>
      <c r="S614" s="192" t="n">
        <f aca="false">(K614+O614+Q614)*24 /1130+(L614+M614+P614+R614)*12/1130+(N614*30)/1130</f>
        <v>0.0212389380530973</v>
      </c>
    </row>
    <row r="615" customFormat="false" ht="15" hidden="true" customHeight="true" outlineLevel="0" collapsed="false">
      <c r="B615" s="127" t="n">
        <f aca="false">B614+D615-C615</f>
        <v>621.25</v>
      </c>
      <c r="D615" s="146" t="n">
        <v>310.5</v>
      </c>
      <c r="E615" s="147" t="n">
        <v>475</v>
      </c>
      <c r="F615" s="147" t="n">
        <f aca="false">IFERROR(VLOOKUP(H615,$AD$1:$AE$301,2,0),"")</f>
        <v>1007971</v>
      </c>
      <c r="G615" s="147" t="str">
        <f aca="false">IFERROR(VLOOKUP(F615,$AE$2:$AF$290,2, 0),"")</f>
        <v>تبوك</v>
      </c>
      <c r="H615" s="212" t="s">
        <v>126</v>
      </c>
      <c r="I615" s="246" t="n">
        <f aca="false">SUM(K615:R615)</f>
        <v>1</v>
      </c>
      <c r="J615" s="182" t="n">
        <v>45628</v>
      </c>
      <c r="K615" s="184" t="n">
        <v>1</v>
      </c>
      <c r="S615" s="192" t="n">
        <f aca="false">(K615+O615+Q615)*24 /1130+(L615+M615+P615+R615)*12/1130+(N615*30)/1130</f>
        <v>0.0212389380530973</v>
      </c>
    </row>
    <row r="616" customFormat="false" ht="15" hidden="true" customHeight="true" outlineLevel="0" collapsed="false">
      <c r="B616" s="127" t="n">
        <f aca="false">B615+D616-C616</f>
        <v>300.25</v>
      </c>
      <c r="C616" s="127" t="n">
        <f aca="false">D615-12+22.5</f>
        <v>321</v>
      </c>
      <c r="E616" s="212" t="s">
        <v>470</v>
      </c>
      <c r="F616" s="147" t="str">
        <f aca="false">IFERROR(VLOOKUP(H616,$AD$1:$AE$301,2,0),"")</f>
        <v/>
      </c>
      <c r="G616" s="147" t="str">
        <f aca="false">IFERROR(VLOOKUP(F616,$AE$2:$AF$290,2, 0),"")</f>
        <v/>
      </c>
      <c r="H616" s="212" t="s">
        <v>393</v>
      </c>
      <c r="I616" s="246" t="n">
        <f aca="false">SUM(K616:R616)</f>
        <v>0</v>
      </c>
      <c r="J616" s="182" t="n">
        <v>45629</v>
      </c>
      <c r="K616" s="184"/>
      <c r="S616" s="192" t="n">
        <f aca="false">(K616+O616+Q616)*24 /1130+(L616+M616+P616+R616)*12/1130+(N616*30)/1130</f>
        <v>0</v>
      </c>
    </row>
    <row r="617" customFormat="false" ht="15" hidden="true" customHeight="true" outlineLevel="0" collapsed="false">
      <c r="B617" s="127" t="n">
        <f aca="false">B616+D617-C617</f>
        <v>0.25</v>
      </c>
      <c r="C617" s="127" t="n">
        <v>300</v>
      </c>
      <c r="E617" s="212" t="s">
        <v>652</v>
      </c>
      <c r="F617" s="147" t="str">
        <f aca="false">IFERROR(VLOOKUP(H617,$AD$1:$AE$301,2,0),"")</f>
        <v/>
      </c>
      <c r="G617" s="147" t="str">
        <f aca="false">IFERROR(VLOOKUP(F617,$AE$2:$AF$290,2, 0),"")</f>
        <v/>
      </c>
      <c r="H617" s="212" t="s">
        <v>393</v>
      </c>
      <c r="I617" s="246" t="n">
        <f aca="false">SUM(K617:R617)</f>
        <v>0</v>
      </c>
      <c r="J617" s="182" t="n">
        <v>45630</v>
      </c>
      <c r="K617" s="184"/>
      <c r="S617" s="192" t="n">
        <f aca="false">(K617+O617+Q617)*24 /1130+(L617+M617+P617+R617)*12/1130+(N617*30)/1130</f>
        <v>0</v>
      </c>
    </row>
    <row r="618" customFormat="false" ht="15" hidden="true" customHeight="true" outlineLevel="0" collapsed="false">
      <c r="B618" s="127" t="n">
        <f aca="false">B617+D618-C618</f>
        <v>2401.45</v>
      </c>
      <c r="D618" s="146" t="n">
        <f aca="false">12*200.1</f>
        <v>2401.2</v>
      </c>
      <c r="E618" s="147" t="n">
        <v>477</v>
      </c>
      <c r="F618" s="147" t="n">
        <f aca="false">IFERROR(VLOOKUP(H618,$AD$1:$AE$301,2,0),"")</f>
        <v>1007997</v>
      </c>
      <c r="G618" s="147" t="str">
        <f aca="false">IFERROR(VLOOKUP(F618,$AE$2:$AF$290,2, 0),"")</f>
        <v>البير</v>
      </c>
      <c r="H618" s="212" t="s">
        <v>296</v>
      </c>
      <c r="I618" s="246" t="n">
        <f aca="false">SUM(K618:R618)</f>
        <v>12</v>
      </c>
      <c r="J618" s="182" t="n">
        <v>45631</v>
      </c>
      <c r="K618" s="184"/>
      <c r="Q618" s="154" t="n">
        <v>12</v>
      </c>
      <c r="S618" s="192" t="n">
        <f aca="false">(K618+O618+Q618)*24 /1130+(L618+M618+P618+R618)*12/1130+(N618*30)/1130</f>
        <v>0.254867256637168</v>
      </c>
    </row>
    <row r="619" customFormat="false" ht="15" hidden="true" customHeight="true" outlineLevel="0" collapsed="false">
      <c r="B619" s="127" t="n">
        <f aca="false">B618+D619-C619</f>
        <v>2660.2</v>
      </c>
      <c r="D619" s="146" t="n">
        <v>258.75</v>
      </c>
      <c r="E619" s="147" t="n">
        <v>478</v>
      </c>
      <c r="F619" s="147" t="n">
        <f aca="false">IFERROR(VLOOKUP(H619,$AD$1:$AE$301,2,0),"")</f>
        <v>1007996</v>
      </c>
      <c r="G619" s="147" t="str">
        <f aca="false">IFERROR(VLOOKUP(F619,$AE$2:$AF$290,2, 0),"")</f>
        <v>البير</v>
      </c>
      <c r="H619" s="212" t="s">
        <v>295</v>
      </c>
      <c r="I619" s="246" t="n">
        <f aca="false">SUM(K619:R619)</f>
        <v>1</v>
      </c>
      <c r="J619" s="182" t="n">
        <v>45632</v>
      </c>
      <c r="K619" s="184"/>
      <c r="O619" s="152" t="n">
        <v>1</v>
      </c>
      <c r="S619" s="192" t="n">
        <f aca="false">(K619+O619+Q619)*24 /1130+(L619+M619+P619+R619)*12/1130+(N619*30)/1130</f>
        <v>0.0212389380530973</v>
      </c>
    </row>
    <row r="620" customFormat="false" ht="15" hidden="true" customHeight="true" outlineLevel="0" collapsed="false">
      <c r="B620" s="127" t="n">
        <f aca="false">B619+D620-C620</f>
        <v>3591.7</v>
      </c>
      <c r="D620" s="146" t="n">
        <f aca="false">3*310.5</f>
        <v>931.5</v>
      </c>
      <c r="E620" s="147" t="n">
        <v>479</v>
      </c>
      <c r="F620" s="147" t="n">
        <f aca="false">IFERROR(VLOOKUP(H620,$AD$1:$AE$301,2,0),"")</f>
        <v>1007965</v>
      </c>
      <c r="G620" s="147" t="str">
        <f aca="false">IFERROR(VLOOKUP(F620,$AE$2:$AF$290,2, 0),"")</f>
        <v>البير</v>
      </c>
      <c r="H620" s="212" t="s">
        <v>290</v>
      </c>
      <c r="I620" s="246" t="n">
        <f aca="false">SUM(K620:R620)</f>
        <v>3</v>
      </c>
      <c r="J620" s="182" t="n">
        <v>45633</v>
      </c>
      <c r="K620" s="184" t="n">
        <v>3</v>
      </c>
      <c r="S620" s="192" t="n">
        <f aca="false">(K620+O620+Q620)*24 /1130+(L620+M620+P620+R620)*12/1130+(N620*30)/1130</f>
        <v>0.063716814159292</v>
      </c>
    </row>
    <row r="621" customFormat="false" ht="15" hidden="true" customHeight="true" outlineLevel="0" collapsed="false">
      <c r="B621" s="127" t="n">
        <f aca="false">B620+D621-C621</f>
        <v>3902.2</v>
      </c>
      <c r="D621" s="146" t="n">
        <v>310.5</v>
      </c>
      <c r="E621" s="147" t="n">
        <v>480</v>
      </c>
      <c r="F621" s="147" t="n">
        <f aca="false">IFERROR(VLOOKUP(H621,$AD$1:$AE$301,2,0),"")</f>
        <v>1008030</v>
      </c>
      <c r="G621" s="147" t="str">
        <f aca="false">IFERROR(VLOOKUP(F621,$AE$2:$AF$290,2, 0),"")</f>
        <v>البير</v>
      </c>
      <c r="H621" s="212" t="s">
        <v>298</v>
      </c>
      <c r="I621" s="246" t="n">
        <f aca="false">SUM(K621:R621)</f>
        <v>1</v>
      </c>
      <c r="J621" s="182" t="n">
        <v>45628</v>
      </c>
      <c r="K621" s="184" t="n">
        <v>1</v>
      </c>
      <c r="S621" s="192" t="n">
        <f aca="false">(K621+O621+Q621)*24 /1130+(L621+M621+P621+R621)*12/1130+(N621*30)/1130</f>
        <v>0.0212389380530973</v>
      </c>
    </row>
    <row r="622" customFormat="false" ht="15" hidden="true" customHeight="true" outlineLevel="0" collapsed="false">
      <c r="B622" s="127" t="n">
        <f aca="false">B621+D622-C622</f>
        <v>1130.95</v>
      </c>
      <c r="C622" s="127" t="n">
        <f aca="false">D619+D597+2110</f>
        <v>2771.25</v>
      </c>
      <c r="E622" s="212" t="s">
        <v>470</v>
      </c>
      <c r="F622" s="147" t="str">
        <f aca="false">IFERROR(VLOOKUP(H622,$AD$1:$AE$301,2,0),"")</f>
        <v/>
      </c>
      <c r="G622" s="147" t="str">
        <f aca="false">IFERROR(VLOOKUP(F622,$AE$2:$AF$290,2, 0),"")</f>
        <v/>
      </c>
      <c r="H622" s="212" t="s">
        <v>393</v>
      </c>
      <c r="I622" s="246" t="n">
        <f aca="false">SUM(K622:R622)</f>
        <v>0</v>
      </c>
      <c r="J622" s="182" t="n">
        <v>45628</v>
      </c>
      <c r="S622" s="192" t="n">
        <f aca="false">(K622+O622+Q622)*24 /1130+(L622+M622+P622+R622)*12/1130+(N622*30)/1130</f>
        <v>0</v>
      </c>
    </row>
    <row r="623" customFormat="false" ht="15" hidden="true" customHeight="true" outlineLevel="0" collapsed="false">
      <c r="B623" s="127" t="n">
        <f aca="false">B622+D623-C623</f>
        <v>0</v>
      </c>
      <c r="C623" s="127" t="n">
        <v>1131</v>
      </c>
      <c r="D623" s="146" t="n">
        <v>0.05</v>
      </c>
      <c r="E623" s="212" t="s">
        <v>392</v>
      </c>
      <c r="F623" s="147" t="str">
        <f aca="false">IFERROR(VLOOKUP(H623,$AD$1:$AE$301,2,0),"")</f>
        <v/>
      </c>
      <c r="G623" s="147" t="str">
        <f aca="false">IFERROR(VLOOKUP(F623,$AE$2:$AF$290,2, 0),"")</f>
        <v/>
      </c>
      <c r="H623" s="212" t="s">
        <v>393</v>
      </c>
      <c r="I623" s="246" t="n">
        <f aca="false">SUM(K623:R623)</f>
        <v>0</v>
      </c>
      <c r="J623" s="182" t="n">
        <v>45629</v>
      </c>
      <c r="S623" s="192" t="n">
        <f aca="false">(K623+O623+Q623)*24 /1130+(L623+M623+P623+R623)*12/1130+(N623*30)/1130</f>
        <v>0</v>
      </c>
    </row>
    <row r="624" customFormat="false" ht="15" hidden="true" customHeight="true" outlineLevel="0" collapsed="false">
      <c r="B624" s="127" t="n">
        <f aca="false">B623+D624-C624</f>
        <v>155.25</v>
      </c>
      <c r="D624" s="146" t="n">
        <v>155.25</v>
      </c>
      <c r="E624" s="147" t="n">
        <v>481</v>
      </c>
      <c r="F624" s="147" t="n">
        <f aca="false">IFERROR(VLOOKUP(H624,$AD$1:$AE$301,2,0),"")</f>
        <v>549</v>
      </c>
      <c r="G624" s="147" t="str">
        <f aca="false">IFERROR(VLOOKUP(F624,$AE$2:$AF$290,2, 0),"")</f>
        <v>تبوك</v>
      </c>
      <c r="H624" s="212" t="s">
        <v>238</v>
      </c>
      <c r="I624" s="246" t="n">
        <f aca="false">SUM(K624:R624)</f>
        <v>1</v>
      </c>
      <c r="J624" s="182" t="n">
        <v>45629</v>
      </c>
      <c r="R624" s="155" t="n">
        <v>1</v>
      </c>
      <c r="S624" s="192" t="n">
        <f aca="false">(K624+O624+Q624)*24 /1130+(L624+M624+P624+R624)*12/1130+(N624*30)/1130</f>
        <v>0.0106194690265487</v>
      </c>
    </row>
    <row r="625" customFormat="false" ht="15" hidden="true" customHeight="true" outlineLevel="0" collapsed="false">
      <c r="A625" s="128" t="n">
        <f aca="false">D625-300-10.5</f>
        <v>0</v>
      </c>
      <c r="B625" s="127" t="n">
        <f aca="false">B624+D625-C625</f>
        <v>465.75</v>
      </c>
      <c r="D625" s="146" t="n">
        <v>310.5</v>
      </c>
      <c r="E625" s="147" t="n">
        <v>482</v>
      </c>
      <c r="F625" s="147" t="n">
        <f aca="false">IFERROR(VLOOKUP(H625,$AD$1:$AE$301,2,0),"")</f>
        <v>1008272</v>
      </c>
      <c r="G625" s="147" t="str">
        <f aca="false">IFERROR(VLOOKUP(F625,$AE$2:$AF$290,2, 0),"")</f>
        <v>تبوك</v>
      </c>
      <c r="H625" s="212" t="s">
        <v>143</v>
      </c>
      <c r="I625" s="246" t="n">
        <f aca="false">SUM(K625:R625)</f>
        <v>1</v>
      </c>
      <c r="J625" s="182" t="n">
        <v>45629</v>
      </c>
      <c r="K625" s="184" t="n">
        <v>1</v>
      </c>
      <c r="S625" s="192" t="n">
        <f aca="false">(K625+O625+Q625)*24 /1130+(L625+M625+P625+R625)*12/1130+(N625*30)/1130</f>
        <v>0.0212389380530973</v>
      </c>
    </row>
    <row r="626" customFormat="false" ht="15" hidden="true" customHeight="true" outlineLevel="0" collapsed="false">
      <c r="B626" s="127" t="n">
        <f aca="false">B625+D626-C626</f>
        <v>776.25</v>
      </c>
      <c r="D626" s="146" t="n">
        <v>310.5</v>
      </c>
      <c r="E626" s="147" t="n">
        <v>483</v>
      </c>
      <c r="F626" s="147" t="n">
        <f aca="false">IFERROR(VLOOKUP(H626,$AD$1:$AE$301,2,0),"")</f>
        <v>1008273</v>
      </c>
      <c r="G626" s="147" t="str">
        <f aca="false">IFERROR(VLOOKUP(F626,$AE$2:$AF$290,2, 0),"")</f>
        <v>تبوك</v>
      </c>
      <c r="H626" s="212" t="s">
        <v>144</v>
      </c>
      <c r="I626" s="246" t="n">
        <f aca="false">SUM(K626:R626)</f>
        <v>1</v>
      </c>
      <c r="J626" s="182" t="n">
        <v>45629</v>
      </c>
      <c r="K626" s="184" t="n">
        <v>1</v>
      </c>
      <c r="S626" s="192" t="n">
        <f aca="false">(K626+O626+Q626)*24 /1130+(L626+M626+P626+R626)*12/1130+(N626*30)/1130</f>
        <v>0.0212389380530973</v>
      </c>
    </row>
    <row r="627" customFormat="false" ht="15" hidden="true" customHeight="true" outlineLevel="0" collapsed="false">
      <c r="B627" s="127" t="n">
        <f aca="false">B626+D627-C627</f>
        <v>0</v>
      </c>
      <c r="C627" s="127" t="n">
        <f aca="false">D624+400+221</f>
        <v>776.25</v>
      </c>
      <c r="E627" s="212" t="s">
        <v>470</v>
      </c>
      <c r="F627" s="147" t="str">
        <f aca="false">IFERROR(VLOOKUP(H627,$AD$1:$AE$301,2,0),"")</f>
        <v/>
      </c>
      <c r="G627" s="147" t="str">
        <f aca="false">IFERROR(VLOOKUP(F627,$AE$2:$AF$290,2, 0),"")</f>
        <v/>
      </c>
      <c r="H627" s="212" t="s">
        <v>393</v>
      </c>
      <c r="I627" s="246" t="n">
        <f aca="false">SUM(K627:R627)</f>
        <v>0</v>
      </c>
      <c r="J627" s="182" t="n">
        <v>45629</v>
      </c>
      <c r="K627" s="184"/>
      <c r="S627" s="192" t="n">
        <f aca="false">(K627+O627+Q627)*24 /1130+(L627+M627+P627+R627)*12/1130+(N627*30)/1130</f>
        <v>0</v>
      </c>
    </row>
    <row r="628" customFormat="false" ht="15" hidden="true" customHeight="true" outlineLevel="0" collapsed="false">
      <c r="B628" s="127" t="n">
        <f aca="false">B627+D628-C628</f>
        <v>310.5</v>
      </c>
      <c r="D628" s="146" t="n">
        <v>310.5</v>
      </c>
      <c r="E628" s="147" t="n">
        <v>484</v>
      </c>
      <c r="F628" s="147" t="n">
        <f aca="false">IFERROR(VLOOKUP(H628,$AD$1:$AE$301,2,0),"")</f>
        <v>1008022</v>
      </c>
      <c r="G628" s="147" t="str">
        <f aca="false">IFERROR(VLOOKUP(F628,$AE$2:$AF$290,2, 0),"")</f>
        <v>ضباء</v>
      </c>
      <c r="H628" s="212" t="s">
        <v>94</v>
      </c>
      <c r="I628" s="246" t="n">
        <f aca="false">SUM(K628:R628)</f>
        <v>1</v>
      </c>
      <c r="J628" s="182" t="n">
        <v>45630</v>
      </c>
      <c r="K628" s="184" t="n">
        <v>1</v>
      </c>
      <c r="S628" s="192" t="n">
        <f aca="false">(K628+O628+Q628)*24 /1130+(L628+M628+P628+R628)*12/1130+(N628*30)/1130</f>
        <v>0.0212389380530973</v>
      </c>
    </row>
    <row r="629" customFormat="false" ht="15" hidden="true" customHeight="true" outlineLevel="0" collapsed="false">
      <c r="B629" s="127" t="n">
        <f aca="false">B628+D629-C629</f>
        <v>569.25</v>
      </c>
      <c r="D629" s="146" t="n">
        <v>258.75</v>
      </c>
      <c r="E629" s="147" t="n">
        <v>485</v>
      </c>
      <c r="F629" s="147" t="n">
        <f aca="false">IFERROR(VLOOKUP(H629,$AD$1:$AE$301,2,0),"")</f>
        <v>1007989</v>
      </c>
      <c r="G629" s="147" t="str">
        <f aca="false">IFERROR(VLOOKUP(F629,$AE$2:$AF$290,2, 0),"")</f>
        <v>ضباء</v>
      </c>
      <c r="H629" s="212" t="s">
        <v>90</v>
      </c>
      <c r="I629" s="246" t="n">
        <f aca="false">SUM(K629:R629)</f>
        <v>1</v>
      </c>
      <c r="J629" s="182" t="n">
        <v>45630</v>
      </c>
      <c r="K629" s="184"/>
      <c r="O629" s="152" t="n">
        <v>1</v>
      </c>
      <c r="S629" s="192" t="n">
        <f aca="false">(K629+O629+Q629)*24 /1130+(L629+M629+P629+R629)*12/1130+(N629*30)/1130</f>
        <v>0.0212389380530973</v>
      </c>
    </row>
    <row r="630" customFormat="false" ht="15" hidden="true" customHeight="true" outlineLevel="0" collapsed="false">
      <c r="B630" s="127" t="n">
        <f aca="false">B629+D630-C630</f>
        <v>925.75</v>
      </c>
      <c r="D630" s="146" t="n">
        <f aca="false">178.25*2</f>
        <v>356.5</v>
      </c>
      <c r="E630" s="147" t="n">
        <v>486</v>
      </c>
      <c r="F630" s="147" t="n">
        <f aca="false">IFERROR(VLOOKUP(H630,$AD$1:$AE$301,2,0),"")</f>
        <v>1008050</v>
      </c>
      <c r="G630" s="147" t="str">
        <f aca="false">IFERROR(VLOOKUP(F630,$AE$2:$AF$290,2, 0),"")</f>
        <v>ضباء</v>
      </c>
      <c r="H630" s="212" t="s">
        <v>92</v>
      </c>
      <c r="I630" s="246" t="n">
        <f aca="false">SUM(K630:R630)</f>
        <v>2</v>
      </c>
      <c r="J630" s="182" t="n">
        <v>45630</v>
      </c>
      <c r="K630" s="184"/>
      <c r="L630" s="149" t="n">
        <v>2</v>
      </c>
      <c r="S630" s="192" t="n">
        <f aca="false">(K630+O630+Q630)*24 /1130+(L630+M630+P630+R630)*12/1130+(N630*30)/1130</f>
        <v>0.0212389380530973</v>
      </c>
    </row>
    <row r="631" customFormat="false" ht="15" hidden="true" customHeight="true" outlineLevel="0" collapsed="false">
      <c r="B631" s="127" t="n">
        <f aca="false">B630+D631-C631</f>
        <v>1236.25</v>
      </c>
      <c r="D631" s="146" t="n">
        <v>310.5</v>
      </c>
      <c r="E631" s="147" t="n">
        <v>487</v>
      </c>
      <c r="F631" s="147" t="n">
        <f aca="false">IFERROR(VLOOKUP(H631,$AD$1:$AE$301,2,0),"")</f>
        <v>1008050</v>
      </c>
      <c r="G631" s="147" t="str">
        <f aca="false">IFERROR(VLOOKUP(F631,$AE$2:$AF$290,2, 0),"")</f>
        <v>ضباء</v>
      </c>
      <c r="H631" s="212" t="s">
        <v>92</v>
      </c>
      <c r="I631" s="246" t="n">
        <f aca="false">SUM(K631:R631)</f>
        <v>1</v>
      </c>
      <c r="J631" s="182" t="n">
        <v>45630</v>
      </c>
      <c r="K631" s="184" t="n">
        <v>1</v>
      </c>
      <c r="S631" s="192" t="n">
        <f aca="false">(K631+O631+Q631)*24 /1130+(L631+M631+P631+R631)*12/1130+(N631*30)/1130</f>
        <v>0.0212389380530973</v>
      </c>
    </row>
    <row r="632" customFormat="false" ht="15" hidden="true" customHeight="true" outlineLevel="0" collapsed="false">
      <c r="B632" s="127" t="n">
        <f aca="false">B631+D632-C632</f>
        <v>1857.25</v>
      </c>
      <c r="D632" s="146" t="n">
        <f aca="false">310.5*2</f>
        <v>621</v>
      </c>
      <c r="E632" s="147" t="n">
        <v>488</v>
      </c>
      <c r="F632" s="147" t="n">
        <f aca="false">IFERROR(VLOOKUP(H632,$AD$1:$AE$301,2,0),"")</f>
        <v>1008043</v>
      </c>
      <c r="G632" s="147" t="str">
        <f aca="false">IFERROR(VLOOKUP(F632,$AE$2:$AF$290,2, 0),"")</f>
        <v>الوجه</v>
      </c>
      <c r="H632" s="212" t="s">
        <v>104</v>
      </c>
      <c r="I632" s="246" t="n">
        <f aca="false">SUM(K632:R632)</f>
        <v>2</v>
      </c>
      <c r="J632" s="182" t="n">
        <v>45630</v>
      </c>
      <c r="K632" s="184" t="n">
        <f aca="false">1+1</f>
        <v>2</v>
      </c>
      <c r="S632" s="192" t="n">
        <f aca="false">(K632+O632+Q632)*24 /1130+(L632+M632+P632+R632)*12/1130+(N632*30)/1130</f>
        <v>0.0424778761061947</v>
      </c>
    </row>
    <row r="633" customFormat="false" ht="15" hidden="true" customHeight="true" outlineLevel="0" collapsed="false">
      <c r="B633" s="127" t="n">
        <f aca="false">B632+D633-C633</f>
        <v>2012.5</v>
      </c>
      <c r="D633" s="146" t="n">
        <v>155.25</v>
      </c>
      <c r="E633" s="147" t="n">
        <v>489</v>
      </c>
      <c r="F633" s="147" t="n">
        <f aca="false">IFERROR(VLOOKUP(H633,$AD$1:$AE$301,2,0),"")</f>
        <v>1008043</v>
      </c>
      <c r="G633" s="147" t="str">
        <f aca="false">IFERROR(VLOOKUP(F633,$AE$2:$AF$290,2, 0),"")</f>
        <v>الوجه</v>
      </c>
      <c r="H633" s="212" t="s">
        <v>104</v>
      </c>
      <c r="I633" s="246" t="n">
        <f aca="false">SUM(K633:R633)</f>
        <v>1</v>
      </c>
      <c r="J633" s="182" t="n">
        <v>45630</v>
      </c>
      <c r="K633" s="184"/>
      <c r="R633" s="155" t="n">
        <v>1</v>
      </c>
      <c r="S633" s="192" t="n">
        <f aca="false">(K633+O633+Q633)*24 /1130+(L633+M633+P633+R633)*12/1130+(N633*30)/1130</f>
        <v>0.0106194690265487</v>
      </c>
    </row>
    <row r="634" customFormat="false" ht="15" hidden="true" customHeight="true" outlineLevel="0" collapsed="false">
      <c r="A634" s="265"/>
      <c r="B634" s="127" t="n">
        <f aca="false">B633+D634-C634</f>
        <v>2714</v>
      </c>
      <c r="D634" s="146" t="n">
        <f aca="false">345+178.25*2</f>
        <v>701.5</v>
      </c>
      <c r="E634" s="147" t="n">
        <v>492</v>
      </c>
      <c r="F634" s="147" t="n">
        <f aca="false">IFERROR(VLOOKUP(H634,$AD$1:$AE$301,2,0),"")</f>
        <v>1008046</v>
      </c>
      <c r="G634" s="147" t="str">
        <f aca="false">IFERROR(VLOOKUP(F634,$AE$2:$AF$290,2, 0),"")</f>
        <v>الوجه</v>
      </c>
      <c r="H634" s="212" t="s">
        <v>108</v>
      </c>
      <c r="I634" s="246" t="n">
        <f aca="false">SUM(K634:R634)</f>
        <v>3</v>
      </c>
      <c r="J634" s="182" t="n">
        <v>45630</v>
      </c>
      <c r="K634" s="184"/>
      <c r="L634" s="149" t="n">
        <v>2</v>
      </c>
      <c r="M634" s="150" t="n">
        <v>1</v>
      </c>
      <c r="S634" s="192" t="n">
        <f aca="false">(K634+O634+Q634)*24 /1130+(L634+M634+P634+R634)*12/1130+(N634*30)/1130</f>
        <v>0.031858407079646</v>
      </c>
    </row>
    <row r="635" customFormat="false" ht="15" hidden="true" customHeight="true" outlineLevel="0" collapsed="false">
      <c r="A635" s="265"/>
      <c r="B635" s="127" t="n">
        <f aca="false">B634+D635-C635</f>
        <v>2869.25</v>
      </c>
      <c r="D635" s="146" t="n">
        <v>155.25</v>
      </c>
      <c r="E635" s="147" t="n">
        <v>493</v>
      </c>
      <c r="F635" s="147" t="n">
        <f aca="false">IFERROR(VLOOKUP(H635,$AD$1:$AE$301,2,0),"")</f>
        <v>1008046</v>
      </c>
      <c r="G635" s="147" t="str">
        <f aca="false">IFERROR(VLOOKUP(F635,$AE$2:$AF$290,2, 0),"")</f>
        <v>الوجه</v>
      </c>
      <c r="H635" s="212" t="s">
        <v>108</v>
      </c>
      <c r="I635" s="246" t="n">
        <f aca="false">SUM(K635:R635)</f>
        <v>1</v>
      </c>
      <c r="J635" s="182" t="n">
        <v>45630</v>
      </c>
      <c r="K635" s="184"/>
      <c r="R635" s="155" t="n">
        <v>1</v>
      </c>
      <c r="S635" s="192" t="n">
        <f aca="false">(K635+O635+Q635)*24 /1130+(L635+M635+P635+R635)*12/1130+(N635*30)/1130</f>
        <v>0.0106194690265487</v>
      </c>
    </row>
    <row r="636" customFormat="false" ht="15" hidden="true" customHeight="true" outlineLevel="0" collapsed="false">
      <c r="B636" s="127" t="n">
        <f aca="false">B635+D636-C636</f>
        <v>4421.75</v>
      </c>
      <c r="D636" s="146" t="n">
        <f aca="false">310.5*5</f>
        <v>1552.5</v>
      </c>
      <c r="E636" s="147" t="n">
        <v>494</v>
      </c>
      <c r="F636" s="147" t="n">
        <f aca="false">IFERROR(VLOOKUP(H636,$AD$1:$AE$301,2,0),"")</f>
        <v>1008047</v>
      </c>
      <c r="G636" s="147" t="str">
        <f aca="false">IFERROR(VLOOKUP(F636,$AE$2:$AF$290,2, 0),"")</f>
        <v>الوجه</v>
      </c>
      <c r="H636" s="212" t="s">
        <v>422</v>
      </c>
      <c r="I636" s="246" t="n">
        <f aca="false">SUM(K636:R636)</f>
        <v>5</v>
      </c>
      <c r="J636" s="182" t="n">
        <v>45630</v>
      </c>
      <c r="K636" s="184" t="n">
        <f aca="false">4+1</f>
        <v>5</v>
      </c>
      <c r="S636" s="192" t="n">
        <f aca="false">(K636+O636+Q636)*24 /1130+(L636+M636+P636+R636)*12/1130+(N636*30)/1130</f>
        <v>0.106194690265487</v>
      </c>
    </row>
    <row r="637" customFormat="false" ht="15" hidden="true" customHeight="true" outlineLevel="0" collapsed="false">
      <c r="B637" s="127" t="n">
        <f aca="false">B636+D637-C637</f>
        <v>5974.25</v>
      </c>
      <c r="D637" s="146" t="n">
        <f aca="false">310.5*5</f>
        <v>1552.5</v>
      </c>
      <c r="E637" s="147" t="n">
        <v>491</v>
      </c>
      <c r="F637" s="147" t="n">
        <f aca="false">IFERROR(VLOOKUP(H637,$AD$1:$AE$301,2,0),"")</f>
        <v>1008045</v>
      </c>
      <c r="G637" s="147" t="str">
        <f aca="false">IFERROR(VLOOKUP(F637,$AE$2:$AF$290,2, 0),"")</f>
        <v>الوجه</v>
      </c>
      <c r="H637" s="212" t="s">
        <v>107</v>
      </c>
      <c r="I637" s="246" t="n">
        <f aca="false">SUM(K637:R637)</f>
        <v>5</v>
      </c>
      <c r="J637" s="182" t="n">
        <v>45627</v>
      </c>
      <c r="K637" s="184" t="n">
        <f aca="false">4+1</f>
        <v>5</v>
      </c>
      <c r="S637" s="192" t="n">
        <f aca="false">(K637+O637+Q637)*24 /1130+(L637+M637+P637+R637)*12/1130+(N637*30)/1130</f>
        <v>0.106194690265487</v>
      </c>
    </row>
    <row r="638" customFormat="false" ht="15" hidden="true" customHeight="true" outlineLevel="0" collapsed="false">
      <c r="B638" s="127" t="n">
        <f aca="false">B637+D638-C638</f>
        <v>6595.25</v>
      </c>
      <c r="D638" s="146" t="n">
        <f aca="false">310.5*2</f>
        <v>621</v>
      </c>
      <c r="E638" s="147" t="n">
        <v>490</v>
      </c>
      <c r="F638" s="147" t="n">
        <f aca="false">IFERROR(VLOOKUP(H638,$AD$1:$AE$301,2,0),"")</f>
        <v>1008051</v>
      </c>
      <c r="G638" s="147" t="str">
        <f aca="false">IFERROR(VLOOKUP(F638,$AE$2:$AF$290,2, 0),"")</f>
        <v>الوجه</v>
      </c>
      <c r="H638" s="212" t="s">
        <v>113</v>
      </c>
      <c r="I638" s="246" t="n">
        <f aca="false">SUM(K638:R638)</f>
        <v>2</v>
      </c>
      <c r="J638" s="182" t="n">
        <v>45627</v>
      </c>
      <c r="K638" s="184" t="n">
        <f aca="false">1+1</f>
        <v>2</v>
      </c>
      <c r="S638" s="192" t="n">
        <f aca="false">(K638+O638+Q638)*24 /1130+(L638+M638+P638+R638)*12/1130+(N638*30)/1130</f>
        <v>0.0424778761061947</v>
      </c>
    </row>
    <row r="639" customFormat="false" ht="15" hidden="true" customHeight="true" outlineLevel="0" collapsed="false">
      <c r="A639" s="128" t="n">
        <f aca="false">D639-81-1333.5</f>
        <v>0</v>
      </c>
      <c r="B639" s="127" t="n">
        <f aca="false">B638+D639-C639</f>
        <v>8009.75</v>
      </c>
      <c r="D639" s="146" t="n">
        <f aca="false">310.5*3+241.5*2</f>
        <v>1414.5</v>
      </c>
      <c r="E639" s="147" t="n">
        <v>496</v>
      </c>
      <c r="F639" s="147" t="n">
        <f aca="false">IFERROR(VLOOKUP(H639,$AD$1:$AE$301,2,0),"")</f>
        <v>1008024</v>
      </c>
      <c r="G639" s="147" t="str">
        <f aca="false">IFERROR(VLOOKUP(F639,$AE$2:$AF$290,2, 0),"")</f>
        <v>ضباء</v>
      </c>
      <c r="H639" s="212" t="s">
        <v>96</v>
      </c>
      <c r="I639" s="246" t="n">
        <f aca="false">SUM(K639:R639)</f>
        <v>5</v>
      </c>
      <c r="J639" s="182" t="n">
        <v>45630</v>
      </c>
      <c r="K639" s="184" t="n">
        <f aca="false">1+2</f>
        <v>3</v>
      </c>
      <c r="M639" s="150" t="n">
        <v>2</v>
      </c>
      <c r="S639" s="192" t="n">
        <f aca="false">(K639+O639+Q639)*24 /1130+(L639+M639+P639+R639)*12/1130+(N639*30)/1130</f>
        <v>0.0849557522123894</v>
      </c>
    </row>
    <row r="640" customFormat="false" ht="15" hidden="true" customHeight="true" outlineLevel="0" collapsed="false">
      <c r="A640" s="128" t="n">
        <f aca="false">D640-52*5-246</f>
        <v>0</v>
      </c>
      <c r="B640" s="127" t="n">
        <f aca="false">B639+D640-C640</f>
        <v>8515.75</v>
      </c>
      <c r="D640" s="146" t="n">
        <f aca="false">241.5+264.5</f>
        <v>506</v>
      </c>
      <c r="E640" s="147" t="n">
        <v>495</v>
      </c>
      <c r="F640" s="147" t="n">
        <f aca="false">IFERROR(VLOOKUP(H640,$AD$1:$AE$301,2,0),"")</f>
        <v>1007988</v>
      </c>
      <c r="G640" s="147" t="str">
        <f aca="false">IFERROR(VLOOKUP(F640,$AE$2:$AF$290,2, 0),"")</f>
        <v>ضباء</v>
      </c>
      <c r="H640" s="212" t="s">
        <v>89</v>
      </c>
      <c r="I640" s="246" t="n">
        <f aca="false">SUM(K640:R640)</f>
        <v>2</v>
      </c>
      <c r="J640" s="182" t="n">
        <v>45630</v>
      </c>
      <c r="K640" s="184"/>
      <c r="M640" s="150" t="n">
        <v>2</v>
      </c>
      <c r="S640" s="192" t="n">
        <f aca="false">(K640+O640+Q640)*24 /1130+(L640+M640+P640+R640)*12/1130+(N640*30)/1130</f>
        <v>0.0212389380530973</v>
      </c>
    </row>
    <row r="641" customFormat="false" ht="15" hidden="true" customHeight="true" outlineLevel="0" collapsed="false">
      <c r="B641" s="127" t="n">
        <f aca="false">B640+D641-C641</f>
        <v>5084.25</v>
      </c>
      <c r="C641" s="127" t="n">
        <f aca="false">29+1512.5+310.5+246+1333.5</f>
        <v>3431.5</v>
      </c>
      <c r="E641" s="212" t="s">
        <v>470</v>
      </c>
      <c r="F641" s="147" t="str">
        <f aca="false">IFERROR(VLOOKUP(H641,$AD$1:$AE$301,2,0),"")</f>
        <v/>
      </c>
      <c r="G641" s="147" t="str">
        <f aca="false">IFERROR(VLOOKUP(F641,$AE$2:$AF$290,2, 0),"")</f>
        <v/>
      </c>
      <c r="H641" s="212" t="s">
        <v>393</v>
      </c>
      <c r="I641" s="246" t="n">
        <f aca="false">SUM(K641:R641)</f>
        <v>0</v>
      </c>
      <c r="J641" s="182" t="n">
        <v>45628</v>
      </c>
      <c r="K641" s="184"/>
      <c r="S641" s="192" t="n">
        <f aca="false">(K641+O641+Q641)*24 /1130+(L641+M641+P641+R641)*12/1130+(N641*30)/1130</f>
        <v>0</v>
      </c>
    </row>
    <row r="642" customFormat="false" ht="15" hidden="true" customHeight="true" outlineLevel="0" collapsed="false">
      <c r="B642" s="127" t="n">
        <f aca="false">B641+D642-C642</f>
        <v>0.25</v>
      </c>
      <c r="C642" s="127" t="n">
        <v>5084</v>
      </c>
      <c r="E642" s="212" t="s">
        <v>392</v>
      </c>
      <c r="F642" s="147" t="str">
        <f aca="false">IFERROR(VLOOKUP(H642,$AD$1:$AE$301,2,0),"")</f>
        <v/>
      </c>
      <c r="G642" s="147" t="str">
        <f aca="false">IFERROR(VLOOKUP(F642,$AE$2:$AF$290,2, 0),"")</f>
        <v/>
      </c>
      <c r="H642" s="212" t="s">
        <v>393</v>
      </c>
      <c r="I642" s="246" t="n">
        <f aca="false">SUM(K642:R642)</f>
        <v>0</v>
      </c>
      <c r="J642" s="182" t="n">
        <v>45630</v>
      </c>
      <c r="K642" s="184"/>
      <c r="S642" s="192" t="n">
        <f aca="false">(K642+O642+Q642)*24 /1130+(L642+M642+P642+R642)*12/1130+(N642*30)/1130</f>
        <v>0</v>
      </c>
    </row>
    <row r="643" customFormat="false" ht="15" hidden="true" customHeight="true" outlineLevel="0" collapsed="false">
      <c r="A643" s="128" t="n">
        <f aca="false">D643-370.25-15</f>
        <v>0</v>
      </c>
      <c r="B643" s="127" t="n">
        <f aca="false">B642+D643-C643</f>
        <v>385.5</v>
      </c>
      <c r="D643" s="146" t="n">
        <f aca="false">247.25+138</f>
        <v>385.25</v>
      </c>
      <c r="E643" s="147" t="n">
        <v>497</v>
      </c>
      <c r="F643" s="147" t="n">
        <f aca="false">IFERROR(VLOOKUP(H643,$AD$1:$AE$301,2,0),"")</f>
        <v>633</v>
      </c>
      <c r="G643" s="147" t="str">
        <f aca="false">IFERROR(VLOOKUP(F643,$AE$2:$AF$290,2, 0),"")</f>
        <v>تبوك</v>
      </c>
      <c r="H643" s="212" t="s">
        <v>230</v>
      </c>
      <c r="I643" s="246" t="n">
        <f aca="false">SUM(K643:R643)</f>
        <v>2</v>
      </c>
      <c r="J643" s="182" t="n">
        <v>45631</v>
      </c>
      <c r="K643" s="184"/>
      <c r="O643" s="152" t="n">
        <v>1</v>
      </c>
      <c r="Q643" s="154" t="n">
        <v>1</v>
      </c>
      <c r="S643" s="192" t="n">
        <f aca="false">(K643+O643+Q643)*24 /1130+(L643+M643+P643+R643)*12/1130+(N643*30)/1130</f>
        <v>0.0424778761061947</v>
      </c>
    </row>
    <row r="644" customFormat="false" ht="15" hidden="true" customHeight="true" outlineLevel="0" collapsed="false">
      <c r="B644" s="127" t="n">
        <f aca="false">B643+D644-C644</f>
        <v>839.75</v>
      </c>
      <c r="D644" s="146" t="n">
        <f aca="false">155.25+299</f>
        <v>454.25</v>
      </c>
      <c r="E644" s="147" t="n">
        <v>498</v>
      </c>
      <c r="F644" s="147" t="n">
        <f aca="false">IFERROR(VLOOKUP(H644,$AD$1:$AE$301,2,0),"")</f>
        <v>587</v>
      </c>
      <c r="G644" s="147" t="str">
        <f aca="false">IFERROR(VLOOKUP(F644,$AE$2:$AF$290,2, 0),"")</f>
        <v>تبوك</v>
      </c>
      <c r="H644" s="212" t="s">
        <v>226</v>
      </c>
      <c r="I644" s="246" t="n">
        <f aca="false">SUM(K644:R644)</f>
        <v>2</v>
      </c>
      <c r="J644" s="182" t="n">
        <v>45631</v>
      </c>
      <c r="N644" s="151" t="n">
        <v>1</v>
      </c>
      <c r="R644" s="155" t="n">
        <v>1</v>
      </c>
      <c r="S644" s="192" t="n">
        <f aca="false">(K644+O644+Q644)*24 /1130+(L644+M644+P644+R644)*12/1130+(N644*30)/1130</f>
        <v>0.0371681415929204</v>
      </c>
    </row>
    <row r="645" customFormat="false" ht="15" hidden="true" customHeight="true" outlineLevel="0" collapsed="false">
      <c r="A645" s="128" t="n">
        <f aca="false">D645-35-50-70</f>
        <v>0.25</v>
      </c>
      <c r="B645" s="127" t="n">
        <f aca="false">B644+D645-C645</f>
        <v>995</v>
      </c>
      <c r="D645" s="146" t="n">
        <v>155.25</v>
      </c>
      <c r="E645" s="147" t="n">
        <v>499</v>
      </c>
      <c r="F645" s="147" t="n">
        <f aca="false">IFERROR(VLOOKUP(H645,$AD$1:$AE$301,2,0),"")</f>
        <v>1008270</v>
      </c>
      <c r="G645" s="147" t="str">
        <f aca="false">IFERROR(VLOOKUP(F645,$AE$2:$AF$290,2, 0),"")</f>
        <v>تبوك</v>
      </c>
      <c r="H645" s="212" t="s">
        <v>236</v>
      </c>
      <c r="I645" s="246" t="n">
        <f aca="false">SUM(K645:R645)</f>
        <v>1</v>
      </c>
      <c r="J645" s="182" t="n">
        <v>45631</v>
      </c>
      <c r="R645" s="155" t="n">
        <v>1</v>
      </c>
      <c r="S645" s="192" t="n">
        <f aca="false">(K645+O645+Q645)*24 /1130+(L645+M645+P645+R645)*12/1130+(N645*30)/1130</f>
        <v>0.0106194690265487</v>
      </c>
    </row>
    <row r="646" customFormat="false" ht="15" hidden="true" customHeight="true" outlineLevel="0" collapsed="false">
      <c r="A646" s="128" t="n">
        <f aca="false">D646-264.5</f>
        <v>0</v>
      </c>
      <c r="B646" s="127" t="n">
        <f aca="false">B645+D646-C646</f>
        <v>1259.5</v>
      </c>
      <c r="D646" s="146" t="n">
        <v>264.5</v>
      </c>
      <c r="E646" s="147" t="n">
        <v>503</v>
      </c>
      <c r="F646" s="147" t="n">
        <f aca="false">IFERROR(VLOOKUP(H646,$AD$1:$AE$301,2,0),"")</f>
        <v>1002852</v>
      </c>
      <c r="G646" s="147" t="str">
        <f aca="false">IFERROR(VLOOKUP(F646,$AE$2:$AF$290,2, 0),"")</f>
        <v>تبوك</v>
      </c>
      <c r="H646" s="212" t="s">
        <v>159</v>
      </c>
      <c r="I646" s="246" t="n">
        <f aca="false">SUM(K646:R646)</f>
        <v>1</v>
      </c>
      <c r="J646" s="182" t="n">
        <v>45631</v>
      </c>
      <c r="M646" s="150" t="n">
        <v>1</v>
      </c>
      <c r="S646" s="192" t="n">
        <f aca="false">(K646+O646+Q646)*24 /1130+(L646+M646+P646+R646)*12/1130+(N646*30)/1130</f>
        <v>0.0106194690265487</v>
      </c>
    </row>
    <row r="647" customFormat="false" ht="15" hidden="true" customHeight="true" outlineLevel="0" collapsed="false">
      <c r="A647" s="128" t="n">
        <f aca="false">D647-178.25</f>
        <v>0</v>
      </c>
      <c r="B647" s="127" t="n">
        <f aca="false">B646+D647-C647</f>
        <v>1437.75</v>
      </c>
      <c r="D647" s="146" t="n">
        <v>178.25</v>
      </c>
      <c r="E647" s="147" t="n">
        <v>501</v>
      </c>
      <c r="F647" s="147" t="n">
        <f aca="false">IFERROR(VLOOKUP(H647,$AD$1:$AE$301,2,0),"")</f>
        <v>1008266</v>
      </c>
      <c r="G647" s="147" t="str">
        <f aca="false">IFERROR(VLOOKUP(F647,$AE$2:$AF$290,2, 0),"")</f>
        <v>تبوك</v>
      </c>
      <c r="H647" s="212" t="s">
        <v>178</v>
      </c>
      <c r="I647" s="246" t="n">
        <f aca="false">SUM(K647:R647)</f>
        <v>1</v>
      </c>
      <c r="J647" s="182" t="n">
        <v>45631</v>
      </c>
      <c r="K647" s="184"/>
      <c r="L647" s="149" t="n">
        <v>1</v>
      </c>
      <c r="S647" s="192" t="n">
        <f aca="false">(K647+O647+Q647)*24 /1130+(L647+M647+P647+R647)*12/1130+(N647*30)/1130</f>
        <v>0.0106194690265487</v>
      </c>
    </row>
    <row r="648" customFormat="false" ht="15" hidden="true" customHeight="true" outlineLevel="0" collapsed="false">
      <c r="A648" s="128" t="n">
        <f aca="false">D648-264.5</f>
        <v>0</v>
      </c>
      <c r="B648" s="127" t="n">
        <f aca="false">B647+D648-C648</f>
        <v>1702.25</v>
      </c>
      <c r="D648" s="146" t="n">
        <v>264.5</v>
      </c>
      <c r="E648" s="147" t="n">
        <v>500</v>
      </c>
      <c r="F648" s="147" t="n">
        <f aca="false">IFERROR(VLOOKUP(H648,$AD$1:$AE$301,2,0),"")</f>
        <v>636</v>
      </c>
      <c r="G648" s="147" t="str">
        <f aca="false">IFERROR(VLOOKUP(F648,$AE$2:$AF$290,2, 0),"")</f>
        <v>تبوك</v>
      </c>
      <c r="H648" s="212" t="s">
        <v>134</v>
      </c>
      <c r="I648" s="246" t="n">
        <f aca="false">SUM(K648:R648)</f>
        <v>1</v>
      </c>
      <c r="J648" s="182" t="n">
        <v>45631</v>
      </c>
      <c r="K648" s="184"/>
      <c r="M648" s="150" t="n">
        <v>1</v>
      </c>
      <c r="S648" s="192" t="n">
        <f aca="false">(K648+O648+Q648)*24 /1130+(L648+M648+P648+R648)*12/1130+(N648*30)/1130</f>
        <v>0.0106194690265487</v>
      </c>
    </row>
    <row r="649" customFormat="false" ht="15" hidden="true" customHeight="true" outlineLevel="0" collapsed="false">
      <c r="A649" s="265" t="n">
        <f aca="false">D649-110-28</f>
        <v>0</v>
      </c>
      <c r="B649" s="127" t="n">
        <f aca="false">B648+D649-C649</f>
        <v>1840.25</v>
      </c>
      <c r="D649" s="146" t="n">
        <v>138</v>
      </c>
      <c r="E649" s="147" t="n">
        <v>502</v>
      </c>
      <c r="F649" s="147" t="n">
        <f aca="false">IFERROR(VLOOKUP(H649,$AD$1:$AE$301,2,0),"")</f>
        <v>1002901</v>
      </c>
      <c r="G649" s="147" t="str">
        <f aca="false">IFERROR(VLOOKUP(F649,$AE$2:$AF$290,2, 0),"")</f>
        <v>تبوك</v>
      </c>
      <c r="H649" s="212" t="s">
        <v>153</v>
      </c>
      <c r="I649" s="246" t="n">
        <f aca="false">SUM(K649:R649)</f>
        <v>1</v>
      </c>
      <c r="J649" s="182" t="n">
        <v>45631</v>
      </c>
      <c r="K649" s="184"/>
      <c r="Q649" s="154" t="n">
        <v>1</v>
      </c>
      <c r="S649" s="192" t="n">
        <f aca="false">(K649+O649+Q649)*24 /1130+(L649+M649+P649+R649)*12/1130+(N649*30)/1130</f>
        <v>0.0212389380530973</v>
      </c>
    </row>
    <row r="650" customFormat="false" ht="15" hidden="true" customHeight="true" outlineLevel="0" collapsed="false">
      <c r="A650" s="128" t="n">
        <f aca="false">D650</f>
        <v>0</v>
      </c>
      <c r="B650" s="127" t="n">
        <f aca="false">B649+D650-C650</f>
        <v>498.25</v>
      </c>
      <c r="C650" s="127" t="n">
        <f aca="false">D648+370.25+D646+D575+D647</f>
        <v>1342</v>
      </c>
      <c r="E650" s="212" t="s">
        <v>470</v>
      </c>
      <c r="F650" s="147" t="str">
        <f aca="false">IFERROR(VLOOKUP(H650,$AD$1:$AE$301,2,0),"")</f>
        <v/>
      </c>
      <c r="G650" s="147" t="str">
        <f aca="false">IFERROR(VLOOKUP(F650,$AE$2:$AF$290,2, 0),"")</f>
        <v/>
      </c>
      <c r="H650" s="212" t="s">
        <v>393</v>
      </c>
      <c r="I650" s="246" t="n">
        <f aca="false">SUM(K650:R650)</f>
        <v>0</v>
      </c>
      <c r="J650" s="182" t="n">
        <v>45631</v>
      </c>
      <c r="K650" s="184"/>
      <c r="S650" s="192" t="n">
        <f aca="false">(K650+O650+Q650)*24 /1130+(L650+M650+P650+R650)*12/1130+(N650*30)/1130</f>
        <v>0</v>
      </c>
    </row>
    <row r="651" customFormat="false" ht="15" hidden="true" customHeight="true" outlineLevel="0" collapsed="false">
      <c r="A651" s="128" t="n">
        <f aca="false">D651</f>
        <v>-0.25</v>
      </c>
      <c r="B651" s="127" t="n">
        <f aca="false">B650+D651-C651</f>
        <v>0</v>
      </c>
      <c r="C651" s="127" t="n">
        <v>498</v>
      </c>
      <c r="D651" s="146" t="n">
        <v>-0.25</v>
      </c>
      <c r="E651" s="212" t="s">
        <v>392</v>
      </c>
      <c r="F651" s="147" t="str">
        <f aca="false">IFERROR(VLOOKUP(H651,$AD$1:$AE$301,2,0),"")</f>
        <v/>
      </c>
      <c r="G651" s="147" t="str">
        <f aca="false">IFERROR(VLOOKUP(F651,$AE$2:$AF$290,2, 0),"")</f>
        <v/>
      </c>
      <c r="H651" s="212" t="s">
        <v>393</v>
      </c>
      <c r="I651" s="246" t="n">
        <f aca="false">SUM(K651:R651)</f>
        <v>0</v>
      </c>
      <c r="J651" s="182" t="n">
        <v>45634</v>
      </c>
      <c r="K651" s="184"/>
      <c r="S651" s="192" t="n">
        <f aca="false">(K651+O651+Q651)*24 /1130+(L651+M651+P651+R651)*12/1130+(N651*30)/1130</f>
        <v>0</v>
      </c>
    </row>
    <row r="652" customFormat="false" ht="15" hidden="true" customHeight="true" outlineLevel="0" collapsed="false">
      <c r="B652" s="127" t="n">
        <f aca="false">B651+D652-C652</f>
        <v>155.25</v>
      </c>
      <c r="D652" s="146" t="n">
        <v>155.25</v>
      </c>
      <c r="E652" s="147" t="n">
        <v>504</v>
      </c>
      <c r="F652" s="147" t="n">
        <f aca="false">IFERROR(VLOOKUP(H652,$AD$1:$AE$301,2,0),"")</f>
        <v>549</v>
      </c>
      <c r="G652" s="147" t="str">
        <f aca="false">IFERROR(VLOOKUP(F652,$AE$2:$AF$290,2, 0),"")</f>
        <v>تبوك</v>
      </c>
      <c r="H652" s="212" t="s">
        <v>238</v>
      </c>
      <c r="I652" s="246" t="n">
        <f aca="false">SUM(K652:R652)</f>
        <v>1</v>
      </c>
      <c r="J652" s="182" t="n">
        <v>45634</v>
      </c>
      <c r="K652" s="184"/>
      <c r="R652" s="155" t="n">
        <v>1</v>
      </c>
      <c r="S652" s="192" t="n">
        <f aca="false">(K652+O652+Q652)*24 /1130+(L652+M652+P652+R652)*12/1130+(N652*30)/1130</f>
        <v>0.0106194690265487</v>
      </c>
    </row>
    <row r="653" customFormat="false" ht="15" hidden="true" customHeight="true" outlineLevel="0" collapsed="false">
      <c r="A653" s="128" t="n">
        <f aca="false">D653-110-200.5</f>
        <v>0</v>
      </c>
      <c r="B653" s="127" t="n">
        <f aca="false">B652+D653-C653</f>
        <v>465.75</v>
      </c>
      <c r="D653" s="146" t="n">
        <v>310.5</v>
      </c>
      <c r="E653" s="147" t="n">
        <v>505</v>
      </c>
      <c r="F653" s="147" t="n">
        <f aca="false">IFERROR(VLOOKUP(H653,$AD$1:$AE$301,2,0),"")</f>
        <v>635</v>
      </c>
      <c r="G653" s="147" t="str">
        <f aca="false">IFERROR(VLOOKUP(F653,$AE$2:$AF$290,2, 0),"")</f>
        <v>تبوك</v>
      </c>
      <c r="H653" s="212" t="s">
        <v>157</v>
      </c>
      <c r="I653" s="246" t="n">
        <f aca="false">SUM(K653:R653)</f>
        <v>1</v>
      </c>
      <c r="J653" s="182" t="n">
        <v>45634</v>
      </c>
      <c r="K653" s="184" t="n">
        <v>1</v>
      </c>
      <c r="S653" s="192" t="n">
        <f aca="false">(K653+O653+Q653)*24 /1130+(L653+M653+P653+R653)*12/1130+(N653*30)/1130</f>
        <v>0.0212389380530973</v>
      </c>
    </row>
    <row r="654" customFormat="false" ht="15" hidden="true" customHeight="true" outlineLevel="0" collapsed="false">
      <c r="A654" s="128" t="n">
        <f aca="false">D654-450-309</f>
        <v>0</v>
      </c>
      <c r="B654" s="127" t="n">
        <f aca="false">B653+D654-C654</f>
        <v>1224.75</v>
      </c>
      <c r="D654" s="146" t="n">
        <f aca="false">310.5+310.5+138</f>
        <v>759</v>
      </c>
      <c r="E654" s="147" t="n">
        <v>506</v>
      </c>
      <c r="F654" s="147" t="n">
        <f aca="false">IFERROR(VLOOKUP(H654,$AD$1:$AE$301,2,0),"")</f>
        <v>1008057</v>
      </c>
      <c r="G654" s="147" t="str">
        <f aca="false">IFERROR(VLOOKUP(F654,$AE$2:$AF$290,2, 0),"")</f>
        <v>تبوك</v>
      </c>
      <c r="H654" s="212" t="s">
        <v>242</v>
      </c>
      <c r="I654" s="246" t="n">
        <f aca="false">SUM(K654:R654)</f>
        <v>3</v>
      </c>
      <c r="J654" s="182" t="n">
        <v>45634</v>
      </c>
      <c r="K654" s="184" t="n">
        <f aca="false">1+1</f>
        <v>2</v>
      </c>
      <c r="R654" s="155" t="n">
        <v>1</v>
      </c>
      <c r="S654" s="192" t="n">
        <f aca="false">(K654+O654+Q654)*24 /1130+(L654+M654+P654+R654)*12/1130+(N654*30)/1130</f>
        <v>0.0530973451327434</v>
      </c>
    </row>
    <row r="655" customFormat="false" ht="15" hidden="true" customHeight="true" outlineLevel="0" collapsed="false">
      <c r="B655" s="127" t="n">
        <f aca="false">B654+D655-C655</f>
        <v>969.5</v>
      </c>
      <c r="C655" s="127" t="n">
        <f aca="false">D652+100</f>
        <v>255.25</v>
      </c>
      <c r="E655" s="212" t="s">
        <v>470</v>
      </c>
      <c r="F655" s="147" t="str">
        <f aca="false">IFERROR(VLOOKUP(H655,$AD$1:$AE$301,2,0),"")</f>
        <v/>
      </c>
      <c r="G655" s="147" t="str">
        <f aca="false">IFERROR(VLOOKUP(F655,$AE$2:$AF$290,2, 0),"")</f>
        <v/>
      </c>
      <c r="H655" s="212" t="s">
        <v>393</v>
      </c>
      <c r="I655" s="246" t="n">
        <f aca="false">SUM(K655:R655)</f>
        <v>0</v>
      </c>
      <c r="J655" s="182" t="n">
        <v>45634</v>
      </c>
      <c r="K655" s="184"/>
      <c r="S655" s="192" t="n">
        <f aca="false">(K655+O655+Q655)*24 /1130+(L655+M655+P655+R655)*12/1130+(N655*30)/1130</f>
        <v>0</v>
      </c>
    </row>
    <row r="656" customFormat="false" ht="15" hidden="true" customHeight="true" outlineLevel="0" collapsed="false">
      <c r="B656" s="127" t="n">
        <f aca="false">B655+D656-C656</f>
        <v>0.5</v>
      </c>
      <c r="C656" s="127" t="n">
        <v>969</v>
      </c>
      <c r="E656" s="212" t="s">
        <v>392</v>
      </c>
      <c r="F656" s="147" t="str">
        <f aca="false">IFERROR(VLOOKUP(H656,$AD$1:$AE$301,2,0),"")</f>
        <v/>
      </c>
      <c r="G656" s="147" t="str">
        <f aca="false">IFERROR(VLOOKUP(F656,$AE$2:$AF$290,2, 0),"")</f>
        <v/>
      </c>
      <c r="H656" s="212" t="s">
        <v>393</v>
      </c>
      <c r="I656" s="246" t="n">
        <f aca="false">SUM(K656:R656)</f>
        <v>0</v>
      </c>
      <c r="J656" s="182" t="n">
        <v>45634</v>
      </c>
      <c r="K656" s="184"/>
      <c r="S656" s="192" t="n">
        <f aca="false">(K656+O656+Q656)*24 /1130+(L656+M656+P656+R656)*12/1130+(N656*30)/1130</f>
        <v>0</v>
      </c>
    </row>
    <row r="657" customFormat="false" ht="15" hidden="true" customHeight="true" outlineLevel="0" collapsed="false">
      <c r="A657" s="128" t="n">
        <f aca="false">D657-155.25</f>
        <v>0</v>
      </c>
      <c r="B657" s="127" t="n">
        <f aca="false">B656+D657-C657</f>
        <v>155.75</v>
      </c>
      <c r="D657" s="146" t="n">
        <v>155.25</v>
      </c>
      <c r="E657" s="147" t="n">
        <v>507</v>
      </c>
      <c r="F657" s="147" t="n">
        <f aca="false">IFERROR(VLOOKUP(H657,$AD$1:$AE$301,2,0),"")</f>
        <v>636</v>
      </c>
      <c r="G657" s="147" t="str">
        <f aca="false">IFERROR(VLOOKUP(F657,$AE$2:$AF$290,2, 0),"")</f>
        <v>تبوك</v>
      </c>
      <c r="H657" s="212" t="s">
        <v>134</v>
      </c>
      <c r="I657" s="246" t="n">
        <f aca="false">SUM(K657:R657)</f>
        <v>1</v>
      </c>
      <c r="J657" s="182" t="n">
        <v>45635</v>
      </c>
      <c r="K657" s="184"/>
      <c r="R657" s="155" t="n">
        <v>1</v>
      </c>
      <c r="S657" s="192" t="n">
        <f aca="false">(K657+O657+Q657)*24 /1130+(L657+M657+P657+R657)*12/1130+(N657*30)/1130</f>
        <v>0.0106194690265487</v>
      </c>
    </row>
    <row r="658" customFormat="false" ht="15" hidden="true" customHeight="true" outlineLevel="0" collapsed="false">
      <c r="A658" s="128" t="n">
        <f aca="false">D658+3-80-60</f>
        <v>1</v>
      </c>
      <c r="B658" s="127" t="n">
        <f aca="false">B657+D658-C658</f>
        <v>293.75</v>
      </c>
      <c r="D658" s="146" t="n">
        <v>138</v>
      </c>
      <c r="E658" s="147" t="n">
        <v>508</v>
      </c>
      <c r="F658" s="147" t="n">
        <f aca="false">IFERROR(VLOOKUP(H658,$AD$1:$AE$301,2,0),"")</f>
        <v>630</v>
      </c>
      <c r="G658" s="147" t="str">
        <f aca="false">IFERROR(VLOOKUP(F658,$AE$2:$AF$290,2, 0),"")</f>
        <v>تبوك</v>
      </c>
      <c r="H658" s="212" t="s">
        <v>252</v>
      </c>
      <c r="I658" s="246" t="n">
        <f aca="false">SUM(K658:R658)</f>
        <v>1</v>
      </c>
      <c r="J658" s="182" t="n">
        <v>45635</v>
      </c>
      <c r="K658" s="184"/>
      <c r="R658" s="155" t="n">
        <v>1</v>
      </c>
      <c r="S658" s="192" t="n">
        <f aca="false">(K658+O658+Q658)*24 /1130+(L658+M658+P658+R658)*12/1130+(N658*30)/1130</f>
        <v>0.0106194690265487</v>
      </c>
    </row>
    <row r="659" customFormat="false" ht="15" hidden="true" customHeight="true" outlineLevel="0" collapsed="false">
      <c r="B659" s="127" t="n">
        <f aca="false">B658+D659-C659</f>
        <v>0.75</v>
      </c>
      <c r="C659" s="127" t="n">
        <v>293</v>
      </c>
      <c r="E659" s="212" t="s">
        <v>470</v>
      </c>
      <c r="F659" s="147" t="str">
        <f aca="false">IFERROR(VLOOKUP(H659,$AD$1:$AE$301,2,0),"")</f>
        <v/>
      </c>
      <c r="G659" s="147" t="str">
        <f aca="false">IFERROR(VLOOKUP(F659,$AE$2:$AF$290,2, 0),"")</f>
        <v/>
      </c>
      <c r="H659" s="212" t="s">
        <v>393</v>
      </c>
      <c r="I659" s="246" t="n">
        <f aca="false">SUM(K659:R659)</f>
        <v>0</v>
      </c>
      <c r="J659" s="182" t="n">
        <v>45636</v>
      </c>
      <c r="K659" s="184"/>
      <c r="S659" s="192" t="n">
        <f aca="false">(K659+O659+Q659)*24 /1130+(L659+M659+P659+R659)*12/1130+(N659*30)/1130</f>
        <v>0</v>
      </c>
    </row>
    <row r="660" customFormat="false" ht="15" hidden="true" customHeight="true" outlineLevel="0" collapsed="false">
      <c r="B660" s="127" t="n">
        <f aca="false">B659+D660-C660</f>
        <v>495.25</v>
      </c>
      <c r="D660" s="146" t="n">
        <f aca="false">247.25*2</f>
        <v>494.5</v>
      </c>
      <c r="E660" s="147" t="n">
        <v>509</v>
      </c>
      <c r="F660" s="147" t="n">
        <f aca="false">IFERROR(VLOOKUP(H660,$AD$1:$AE$301,2,0),"")</f>
        <v>1007996</v>
      </c>
      <c r="G660" s="147" t="str">
        <f aca="false">IFERROR(VLOOKUP(F660,$AE$2:$AF$290,2, 0),"")</f>
        <v>البير</v>
      </c>
      <c r="H660" s="212" t="s">
        <v>295</v>
      </c>
      <c r="I660" s="246" t="n">
        <f aca="false">SUM(K660:R660)</f>
        <v>2</v>
      </c>
      <c r="J660" s="182" t="n">
        <v>45636</v>
      </c>
      <c r="K660" s="184"/>
      <c r="O660" s="152" t="n">
        <v>2</v>
      </c>
      <c r="S660" s="192" t="n">
        <f aca="false">(K660+O660+Q660)*24 /1130+(L660+M660+P660+R660)*12/1130+(N660*30)/1130</f>
        <v>0.0424778761061947</v>
      </c>
    </row>
    <row r="661" customFormat="false" ht="15" hidden="true" customHeight="true" outlineLevel="0" collapsed="false">
      <c r="B661" s="127" t="n">
        <f aca="false">B660+D661-C661</f>
        <v>805.75</v>
      </c>
      <c r="D661" s="146" t="n">
        <v>310.5</v>
      </c>
      <c r="E661" s="147" t="n">
        <v>510</v>
      </c>
      <c r="F661" s="147" t="n">
        <f aca="false">IFERROR(VLOOKUP(H661,$AD$1:$AE$301,2,0),"")</f>
        <v>1008021</v>
      </c>
      <c r="G661" s="147" t="str">
        <f aca="false">IFERROR(VLOOKUP(F661,$AE$2:$AF$290,2, 0),"")</f>
        <v>البير</v>
      </c>
      <c r="H661" s="212" t="s">
        <v>294</v>
      </c>
      <c r="I661" s="246" t="n">
        <f aca="false">SUM(K661:R661)</f>
        <v>1</v>
      </c>
      <c r="J661" s="182" t="n">
        <v>45636</v>
      </c>
      <c r="K661" s="184" t="n">
        <v>1</v>
      </c>
      <c r="S661" s="192" t="n">
        <f aca="false">(K661+O661+Q661)*24 /1130+(L661+M661+P661+R661)*12/1130+(N661*30)/1130</f>
        <v>0.0212389380530973</v>
      </c>
    </row>
    <row r="662" customFormat="false" ht="15" hidden="true" customHeight="true" outlineLevel="0" collapsed="false">
      <c r="B662" s="127" t="n">
        <f aca="false">B661+D662-C662</f>
        <v>1116.25</v>
      </c>
      <c r="D662" s="146" t="n">
        <v>310.5</v>
      </c>
      <c r="E662" s="147" t="n">
        <v>511</v>
      </c>
      <c r="F662" s="147" t="n">
        <f aca="false">IFERROR(VLOOKUP(H662,$AD$1:$AE$301,2,0),"")</f>
        <v>1007964</v>
      </c>
      <c r="G662" s="147" t="str">
        <f aca="false">IFERROR(VLOOKUP(F662,$AE$2:$AF$290,2, 0),"")</f>
        <v>البير</v>
      </c>
      <c r="H662" s="212" t="s">
        <v>289</v>
      </c>
      <c r="I662" s="246" t="n">
        <f aca="false">SUM(K662:R662)</f>
        <v>1</v>
      </c>
      <c r="J662" s="182" t="n">
        <v>45636</v>
      </c>
      <c r="K662" s="184" t="n">
        <v>1</v>
      </c>
      <c r="S662" s="192" t="n">
        <f aca="false">(K662+O662+Q662)*24 /1130+(L662+M662+P662+R662)*12/1130+(N662*30)/1130</f>
        <v>0.0212389380530973</v>
      </c>
    </row>
    <row r="663" customFormat="false" ht="15" hidden="true" customHeight="true" outlineLevel="0" collapsed="false">
      <c r="B663" s="127" t="n">
        <f aca="false">B662+D663-C663</f>
        <v>1854.55</v>
      </c>
      <c r="D663" s="146" t="n">
        <f aca="false">246.1*3</f>
        <v>738.3</v>
      </c>
      <c r="E663" s="147" t="n">
        <v>512</v>
      </c>
      <c r="F663" s="147" t="n">
        <f aca="false">IFERROR(VLOOKUP(H663,$AD$1:$AE$301,2,0),"")</f>
        <v>1007964</v>
      </c>
      <c r="G663" s="147" t="str">
        <f aca="false">IFERROR(VLOOKUP(F663,$AE$2:$AF$290,2, 0),"")</f>
        <v>البير</v>
      </c>
      <c r="H663" s="212" t="s">
        <v>289</v>
      </c>
      <c r="I663" s="246" t="n">
        <f aca="false">SUM(K663:R663)</f>
        <v>3</v>
      </c>
      <c r="J663" s="182" t="n">
        <v>45636</v>
      </c>
      <c r="K663" s="184"/>
      <c r="Q663" s="154" t="n">
        <v>3</v>
      </c>
      <c r="S663" s="192" t="n">
        <f aca="false">(K663+O663+Q663)*24 /1130+(L663+M663+P663+R663)*12/1130+(N663*30)/1130</f>
        <v>0.063716814159292</v>
      </c>
    </row>
    <row r="664" customFormat="false" ht="15" hidden="true" customHeight="true" outlineLevel="0" collapsed="false">
      <c r="B664" s="127" t="n">
        <f aca="false">B663+D664-C664</f>
        <v>2165.05</v>
      </c>
      <c r="D664" s="146" t="n">
        <f aca="false">155.25*2</f>
        <v>310.5</v>
      </c>
      <c r="E664" s="147" t="n">
        <v>513</v>
      </c>
      <c r="F664" s="147" t="n">
        <f aca="false">IFERROR(VLOOKUP(H664,$AD$1:$AE$301,2,0),"")</f>
        <v>1007964</v>
      </c>
      <c r="G664" s="147" t="str">
        <f aca="false">IFERROR(VLOOKUP(F664,$AE$2:$AF$290,2, 0),"")</f>
        <v>البير</v>
      </c>
      <c r="H664" s="212" t="s">
        <v>289</v>
      </c>
      <c r="I664" s="246" t="n">
        <f aca="false">SUM(K664:R664)</f>
        <v>2</v>
      </c>
      <c r="J664" s="182" t="n">
        <v>45636</v>
      </c>
      <c r="K664" s="184"/>
      <c r="R664" s="155" t="n">
        <v>2</v>
      </c>
      <c r="S664" s="192" t="n">
        <f aca="false">(K664+O664+Q664)*24 /1130+(L664+M664+P664+R664)*12/1130+(N664*30)/1130</f>
        <v>0.0212389380530973</v>
      </c>
    </row>
    <row r="665" customFormat="false" ht="15" hidden="true" customHeight="true" outlineLevel="0" collapsed="false">
      <c r="B665" s="127" t="n">
        <f aca="false">B664+D665-C665</f>
        <v>2475.55</v>
      </c>
      <c r="D665" s="146" t="n">
        <v>310.5</v>
      </c>
      <c r="E665" s="147" t="n">
        <v>514</v>
      </c>
      <c r="F665" s="147" t="n">
        <f aca="false">IFERROR(VLOOKUP(H665,$AD$1:$AE$301,2,0),"")</f>
        <v>1007965</v>
      </c>
      <c r="G665" s="147" t="str">
        <f aca="false">IFERROR(VLOOKUP(F665,$AE$2:$AF$290,2, 0),"")</f>
        <v>البير</v>
      </c>
      <c r="H665" s="212" t="s">
        <v>290</v>
      </c>
      <c r="I665" s="246" t="n">
        <f aca="false">SUM(K665:R665)</f>
        <v>1</v>
      </c>
      <c r="J665" s="182" t="n">
        <v>45636</v>
      </c>
      <c r="K665" s="184" t="n">
        <v>1</v>
      </c>
      <c r="S665" s="192" t="n">
        <f aca="false">(K665+O665+Q665)*24 /1130+(L665+M665+P665+R665)*12/1130+(N665*30)/1130</f>
        <v>0.0212389380530973</v>
      </c>
    </row>
    <row r="666" customFormat="false" ht="15" hidden="true" customHeight="true" outlineLevel="0" collapsed="false">
      <c r="B666" s="127" t="n">
        <f aca="false">B665+D666-C666</f>
        <v>2786.05</v>
      </c>
      <c r="D666" s="146" t="n">
        <v>310.5</v>
      </c>
      <c r="E666" s="147" t="n">
        <v>515</v>
      </c>
      <c r="F666" s="147" t="n">
        <f aca="false">IFERROR(VLOOKUP(H666,$AD$1:$AE$301,2,0),"")</f>
        <v>1008040</v>
      </c>
      <c r="G666" s="147" t="str">
        <f aca="false">IFERROR(VLOOKUP(F666,$AE$2:$AF$290,2, 0),"")</f>
        <v>البير</v>
      </c>
      <c r="H666" s="212" t="s">
        <v>292</v>
      </c>
      <c r="I666" s="246" t="n">
        <f aca="false">SUM(K666:R666)</f>
        <v>1</v>
      </c>
      <c r="J666" s="182" t="n">
        <v>45636</v>
      </c>
      <c r="K666" s="184" t="n">
        <v>1</v>
      </c>
      <c r="S666" s="192" t="n">
        <f aca="false">(K666+O666+Q666)*24 /1130+(L666+M666+P666+R666)*12/1130+(N666*30)/1130</f>
        <v>0.0212389380530973</v>
      </c>
    </row>
    <row r="667" customFormat="false" ht="15" hidden="true" customHeight="true" outlineLevel="0" collapsed="false">
      <c r="B667" s="127" t="n">
        <f aca="false">B666+D667-C667</f>
        <v>3067.8</v>
      </c>
      <c r="D667" s="146" t="n">
        <f aca="false">143.75+138</f>
        <v>281.75</v>
      </c>
      <c r="E667" s="147" t="n">
        <v>516</v>
      </c>
      <c r="F667" s="147" t="n">
        <f aca="false">IFERROR(VLOOKUP(H667,$AD$1:$AE$301,2,0),"")</f>
        <v>1008031</v>
      </c>
      <c r="G667" s="147" t="str">
        <f aca="false">IFERROR(VLOOKUP(F667,$AE$2:$AF$290,2, 0),"")</f>
        <v>البير</v>
      </c>
      <c r="H667" s="212" t="s">
        <v>299</v>
      </c>
      <c r="I667" s="246" t="n">
        <f aca="false">SUM(K667:R667)</f>
        <v>2</v>
      </c>
      <c r="J667" s="182" t="n">
        <v>45636</v>
      </c>
      <c r="K667" s="184"/>
      <c r="P667" s="153" t="n">
        <v>1</v>
      </c>
      <c r="Q667" s="154" t="n">
        <v>1</v>
      </c>
      <c r="S667" s="192" t="n">
        <f aca="false">(K667+O667+Q667)*24 /1130+(L667+M667+P667+R667)*12/1130+(N667*30)/1130</f>
        <v>0.031858407079646</v>
      </c>
    </row>
    <row r="668" customFormat="false" ht="15" hidden="true" customHeight="true" outlineLevel="0" collapsed="false">
      <c r="B668" s="127" t="n">
        <f aca="false">B667+D668-C668</f>
        <v>3205.8</v>
      </c>
      <c r="D668" s="146" t="n">
        <v>138</v>
      </c>
      <c r="E668" s="147" t="n">
        <v>517</v>
      </c>
      <c r="F668" s="147" t="n">
        <f aca="false">IFERROR(VLOOKUP(H668,$AD$1:$AE$301,2,0),"")</f>
        <v>1007967</v>
      </c>
      <c r="G668" s="147" t="str">
        <f aca="false">IFERROR(VLOOKUP(F668,$AE$2:$AF$290,2, 0),"")</f>
        <v>حقل</v>
      </c>
      <c r="H668" s="212" t="s">
        <v>307</v>
      </c>
      <c r="I668" s="246" t="n">
        <f aca="false">SUM(K668:R668)</f>
        <v>1</v>
      </c>
      <c r="J668" s="182" t="n">
        <v>45636</v>
      </c>
      <c r="K668" s="184"/>
      <c r="Q668" s="154" t="n">
        <v>1</v>
      </c>
      <c r="S668" s="192" t="n">
        <f aca="false">(K668+O668+Q668)*24 /1130+(L668+M668+P668+R668)*12/1130+(N668*30)/1130</f>
        <v>0.0212389380530973</v>
      </c>
    </row>
    <row r="669" customFormat="false" ht="15" hidden="true" customHeight="true" outlineLevel="0" collapsed="false">
      <c r="B669" s="127" t="n">
        <f aca="false">B668+D669-C669</f>
        <v>4447.8</v>
      </c>
      <c r="D669" s="146" t="n">
        <f aca="false">310.5*4</f>
        <v>1242</v>
      </c>
      <c r="E669" s="147" t="n">
        <v>518</v>
      </c>
      <c r="F669" s="147" t="n">
        <f aca="false">IFERROR(VLOOKUP(H669,$AD$1:$AE$301,2,0),"")</f>
        <v>1007999</v>
      </c>
      <c r="G669" s="147" t="str">
        <f aca="false">IFERROR(VLOOKUP(F669,$AE$2:$AF$290,2, 0),"")</f>
        <v>حقل</v>
      </c>
      <c r="H669" s="212" t="s">
        <v>312</v>
      </c>
      <c r="I669" s="246" t="n">
        <f aca="false">SUM(K669:R669)</f>
        <v>4</v>
      </c>
      <c r="J669" s="182" t="n">
        <v>45636</v>
      </c>
      <c r="K669" s="184" t="n">
        <v>4</v>
      </c>
      <c r="S669" s="192" t="n">
        <f aca="false">(K669+O669+Q669)*24 /1130+(L669+M669+P669+R669)*12/1130+(N669*30)/1130</f>
        <v>0.0849557522123894</v>
      </c>
    </row>
    <row r="670" customFormat="false" ht="15" hidden="true" customHeight="true" outlineLevel="0" collapsed="false">
      <c r="B670" s="127" t="n">
        <f aca="false">B669+D670-C670</f>
        <v>0.300000000000182</v>
      </c>
      <c r="C670" s="127" t="n">
        <f aca="false">494.5+1000+18+2935</f>
        <v>4447.5</v>
      </c>
      <c r="E670" s="212" t="s">
        <v>470</v>
      </c>
      <c r="F670" s="147" t="str">
        <f aca="false">IFERROR(VLOOKUP(H670,$AD$1:$AE$301,2,0),"")</f>
        <v/>
      </c>
      <c r="G670" s="147" t="str">
        <f aca="false">IFERROR(VLOOKUP(F670,$AE$2:$AF$290,2, 0),"")</f>
        <v/>
      </c>
      <c r="H670" s="212" t="s">
        <v>393</v>
      </c>
      <c r="I670" s="246" t="n">
        <f aca="false">SUM(K670:R670)</f>
        <v>0</v>
      </c>
      <c r="J670" s="182" t="n">
        <v>45636</v>
      </c>
      <c r="K670" s="184"/>
      <c r="S670" s="192" t="n">
        <f aca="false">(K670+O670+Q670)*24 /1130+(L670+M670+P670+R670)*12/1130+(N670*30)/1130</f>
        <v>0</v>
      </c>
    </row>
    <row r="671" customFormat="false" ht="15" hidden="true" customHeight="true" outlineLevel="0" collapsed="false">
      <c r="B671" s="127" t="n">
        <f aca="false">B670+D671-C671</f>
        <v>477.55</v>
      </c>
      <c r="D671" s="146" t="n">
        <f aca="false">299+178.25</f>
        <v>477.25</v>
      </c>
      <c r="E671" s="147" t="n">
        <v>519</v>
      </c>
      <c r="F671" s="147" t="n">
        <f aca="false">IFERROR(VLOOKUP(H671,$AD$1:$AE$301,2,0),"")</f>
        <v>1007976</v>
      </c>
      <c r="G671" s="147" t="str">
        <f aca="false">IFERROR(VLOOKUP(F671,$AE$2:$AF$290,2, 0),"")</f>
        <v>ضباء</v>
      </c>
      <c r="H671" s="212" t="s">
        <v>77</v>
      </c>
      <c r="I671" s="246" t="n">
        <f aca="false">SUM(K671:R671)</f>
        <v>2</v>
      </c>
      <c r="J671" s="182" t="n">
        <v>45637</v>
      </c>
      <c r="K671" s="184"/>
      <c r="L671" s="149" t="n">
        <v>1</v>
      </c>
      <c r="N671" s="151" t="n">
        <v>1</v>
      </c>
      <c r="S671" s="192" t="n">
        <f aca="false">(K671+O671+Q671)*24 /1130+(L671+M671+P671+R671)*12/1130+(N671*30)/1130</f>
        <v>0.0371681415929204</v>
      </c>
    </row>
    <row r="672" customFormat="false" ht="15" hidden="true" customHeight="true" outlineLevel="0" collapsed="false">
      <c r="A672" s="128" t="n">
        <f aca="false">D672-150-338.75</f>
        <v>0</v>
      </c>
      <c r="B672" s="127" t="n">
        <f aca="false">B671+D672-C672</f>
        <v>966.3</v>
      </c>
      <c r="D672" s="146" t="n">
        <f aca="false">310.5+178.25</f>
        <v>488.75</v>
      </c>
      <c r="E672" s="147" t="n">
        <v>520</v>
      </c>
      <c r="F672" s="147" t="n">
        <f aca="false">IFERROR(VLOOKUP(H672,$AD$1:$AE$301,2,0),"")</f>
        <v>1008032</v>
      </c>
      <c r="G672" s="147" t="str">
        <f aca="false">IFERROR(VLOOKUP(F672,$AE$2:$AF$290,2, 0),"")</f>
        <v>ضباء</v>
      </c>
      <c r="H672" s="212" t="s">
        <v>101</v>
      </c>
      <c r="I672" s="246" t="n">
        <f aca="false">SUM(K672:R672)</f>
        <v>2</v>
      </c>
      <c r="J672" s="182" t="n">
        <v>45637</v>
      </c>
      <c r="K672" s="184" t="n">
        <v>1</v>
      </c>
      <c r="L672" s="149" t="n">
        <v>1</v>
      </c>
      <c r="S672" s="192" t="n">
        <f aca="false">(K672+O672+Q672)*24 /1130+(L672+M672+P672+R672)*12/1130+(N672*30)/1130</f>
        <v>0.031858407079646</v>
      </c>
    </row>
    <row r="673" customFormat="false" ht="15" hidden="true" customHeight="true" outlineLevel="0" collapsed="false">
      <c r="B673" s="127" t="n">
        <f aca="false">B672+D673-C673</f>
        <v>1897.8</v>
      </c>
      <c r="D673" s="146" t="n">
        <f aca="false">310.5*3</f>
        <v>931.5</v>
      </c>
      <c r="E673" s="147" t="n">
        <v>521</v>
      </c>
      <c r="F673" s="147" t="n">
        <f aca="false">IFERROR(VLOOKUP(H673,$AD$1:$AE$301,2,0),"")</f>
        <v>1008045</v>
      </c>
      <c r="G673" s="147" t="str">
        <f aca="false">IFERROR(VLOOKUP(F673,$AE$2:$AF$290,2, 0),"")</f>
        <v>الوجه</v>
      </c>
      <c r="H673" s="212" t="s">
        <v>107</v>
      </c>
      <c r="I673" s="246" t="n">
        <f aca="false">SUM(K673:R673)</f>
        <v>3</v>
      </c>
      <c r="J673" s="182" t="n">
        <v>45637</v>
      </c>
      <c r="K673" s="184" t="n">
        <v>3</v>
      </c>
      <c r="S673" s="192" t="n">
        <f aca="false">(K673+O673+Q673)*24 /1130+(L673+M673+P673+R673)*12/1130+(N673*30)/1130</f>
        <v>0.063716814159292</v>
      </c>
    </row>
    <row r="674" customFormat="false" ht="15" hidden="true" customHeight="true" outlineLevel="0" collapsed="false">
      <c r="B674" s="127" t="n">
        <f aca="false">B673+D674-C674</f>
        <v>2208.3</v>
      </c>
      <c r="D674" s="146" t="n">
        <v>310.5</v>
      </c>
      <c r="E674" s="147" t="n">
        <v>522</v>
      </c>
      <c r="F674" s="147" t="n">
        <f aca="false">IFERROR(VLOOKUP(H674,$AD$1:$AE$301,2,0),"")</f>
        <v>1008054</v>
      </c>
      <c r="G674" s="147" t="str">
        <f aca="false">IFERROR(VLOOKUP(F674,$AE$2:$AF$290,2, 0),"")</f>
        <v>الوجه</v>
      </c>
      <c r="H674" s="212" t="s">
        <v>112</v>
      </c>
      <c r="I674" s="246" t="n">
        <f aca="false">SUM(K674:R674)</f>
        <v>1</v>
      </c>
      <c r="J674" s="182" t="n">
        <v>45637</v>
      </c>
      <c r="K674" s="184" t="n">
        <v>1</v>
      </c>
      <c r="S674" s="192" t="n">
        <f aca="false">(K674+O674+Q674)*24 /1130+(L674+M674+P674+R674)*12/1130+(N674*30)/1130</f>
        <v>0.0212389380530973</v>
      </c>
    </row>
    <row r="675" customFormat="false" ht="15" hidden="true" customHeight="true" outlineLevel="0" collapsed="false">
      <c r="B675" s="127" t="n">
        <f aca="false">B674+D675-C675</f>
        <v>2518.8</v>
      </c>
      <c r="D675" s="146" t="n">
        <v>310.5</v>
      </c>
      <c r="E675" s="147" t="n">
        <v>523</v>
      </c>
      <c r="F675" s="147" t="n">
        <f aca="false">IFERROR(VLOOKUP(H675,$AD$1:$AE$301,2,0),"")</f>
        <v>1008051</v>
      </c>
      <c r="G675" s="147" t="str">
        <f aca="false">IFERROR(VLOOKUP(F675,$AE$2:$AF$290,2, 0),"")</f>
        <v>الوجه</v>
      </c>
      <c r="H675" s="212" t="s">
        <v>113</v>
      </c>
      <c r="I675" s="246" t="n">
        <f aca="false">SUM(K675:R675)</f>
        <v>1</v>
      </c>
      <c r="J675" s="182" t="n">
        <v>45637</v>
      </c>
      <c r="K675" s="184" t="n">
        <v>1</v>
      </c>
      <c r="S675" s="192" t="n">
        <f aca="false">(K675+O675+Q675)*24 /1130+(L675+M675+P675+R675)*12/1130+(N675*30)/1130</f>
        <v>0.0212389380530973</v>
      </c>
    </row>
    <row r="676" customFormat="false" ht="15" hidden="true" customHeight="true" outlineLevel="0" collapsed="false">
      <c r="B676" s="127" t="n">
        <f aca="false">B675+D676-C676</f>
        <v>2829.3</v>
      </c>
      <c r="D676" s="146" t="n">
        <v>310.5</v>
      </c>
      <c r="E676" s="147" t="n">
        <v>524</v>
      </c>
      <c r="F676" s="147" t="n">
        <f aca="false">IFERROR(VLOOKUP(H676,$AD$1:$AE$301,2,0),"")</f>
        <v>1008043</v>
      </c>
      <c r="G676" s="147" t="str">
        <f aca="false">IFERROR(VLOOKUP(F676,$AE$2:$AF$290,2, 0),"")</f>
        <v>الوجه</v>
      </c>
      <c r="H676" s="212" t="s">
        <v>104</v>
      </c>
      <c r="I676" s="246" t="n">
        <f aca="false">SUM(K676:R676)</f>
        <v>1</v>
      </c>
      <c r="J676" s="182" t="n">
        <v>45637</v>
      </c>
      <c r="K676" s="184" t="n">
        <v>1</v>
      </c>
      <c r="S676" s="192" t="n">
        <f aca="false">(K676+O676+Q676)*24 /1130+(L676+M676+P676+R676)*12/1130+(N676*30)/1130</f>
        <v>0.0212389380530973</v>
      </c>
    </row>
    <row r="677" customFormat="false" ht="15" hidden="true" customHeight="true" outlineLevel="0" collapsed="false">
      <c r="B677" s="127" t="n">
        <f aca="false">B676+D677-C677</f>
        <v>3007.55</v>
      </c>
      <c r="D677" s="146" t="n">
        <v>178.25</v>
      </c>
      <c r="E677" s="147" t="n">
        <v>525</v>
      </c>
      <c r="F677" s="147" t="n">
        <f aca="false">IFERROR(VLOOKUP(H677,$AD$1:$AE$301,2,0),"")</f>
        <v>1008043</v>
      </c>
      <c r="G677" s="147" t="str">
        <f aca="false">IFERROR(VLOOKUP(F677,$AE$2:$AF$290,2, 0),"")</f>
        <v>الوجه</v>
      </c>
      <c r="H677" s="212" t="s">
        <v>104</v>
      </c>
      <c r="I677" s="246" t="n">
        <f aca="false">SUM(K677:R677)</f>
        <v>1</v>
      </c>
      <c r="J677" s="182" t="n">
        <v>45637</v>
      </c>
      <c r="K677" s="184"/>
      <c r="L677" s="149" t="n">
        <v>1</v>
      </c>
      <c r="S677" s="192" t="n">
        <f aca="false">(K677+O677+Q677)*24 /1130+(L677+M677+P677+R677)*12/1130+(N677*30)/1130</f>
        <v>0.0106194690265487</v>
      </c>
    </row>
    <row r="678" customFormat="false" ht="15" hidden="true" customHeight="true" outlineLevel="0" collapsed="false">
      <c r="B678" s="127" t="n">
        <f aca="false">B677+D678-C678</f>
        <v>3605.55</v>
      </c>
      <c r="D678" s="146" t="n">
        <f aca="false">299*2</f>
        <v>598</v>
      </c>
      <c r="E678" s="147" t="n">
        <v>526</v>
      </c>
      <c r="F678" s="147" t="n">
        <f aca="false">IFERROR(VLOOKUP(H678,$AD$1:$AE$301,2,0),"")</f>
        <v>1008022</v>
      </c>
      <c r="G678" s="147" t="str">
        <f aca="false">IFERROR(VLOOKUP(F678,$AE$2:$AF$290,2, 0),"")</f>
        <v>ضباء</v>
      </c>
      <c r="H678" s="212" t="s">
        <v>94</v>
      </c>
      <c r="I678" s="246" t="n">
        <f aca="false">SUM(K678:R678)</f>
        <v>2</v>
      </c>
      <c r="J678" s="182" t="n">
        <v>45637</v>
      </c>
      <c r="K678" s="184"/>
      <c r="N678" s="151" t="n">
        <v>2</v>
      </c>
      <c r="S678" s="192" t="n">
        <f aca="false">(K678+O678+Q678)*24 /1130+(L678+M678+P678+R678)*12/1130+(N678*30)/1130</f>
        <v>0.0530973451327434</v>
      </c>
    </row>
    <row r="679" customFormat="false" ht="15" hidden="true" customHeight="true" outlineLevel="0" collapsed="false">
      <c r="B679" s="127" t="n">
        <f aca="false">B678+D679-C679</f>
        <v>4100.05</v>
      </c>
      <c r="D679" s="146" t="n">
        <f aca="false">247.25*2</f>
        <v>494.5</v>
      </c>
      <c r="E679" s="147" t="n">
        <v>527</v>
      </c>
      <c r="F679" s="147" t="n">
        <f aca="false">IFERROR(VLOOKUP(H679,$AD$1:$AE$301,2,0),"")</f>
        <v>1008024</v>
      </c>
      <c r="G679" s="147" t="str">
        <f aca="false">IFERROR(VLOOKUP(F679,$AE$2:$AF$290,2, 0),"")</f>
        <v>ضباء</v>
      </c>
      <c r="H679" s="212" t="s">
        <v>96</v>
      </c>
      <c r="I679" s="246" t="n">
        <f aca="false">SUM(K679:R679)</f>
        <v>2</v>
      </c>
      <c r="J679" s="182" t="n">
        <v>45637</v>
      </c>
      <c r="K679" s="184"/>
      <c r="O679" s="152" t="n">
        <v>2</v>
      </c>
      <c r="S679" s="192" t="n">
        <f aca="false">(K679+O679+Q679)*24 /1130+(L679+M679+P679+R679)*12/1130+(N679*30)/1130</f>
        <v>0.0424778761061947</v>
      </c>
    </row>
    <row r="680" customFormat="false" ht="15" hidden="true" customHeight="true" outlineLevel="0" collapsed="false">
      <c r="B680" s="127" t="n">
        <f aca="false">B679+D680-C680</f>
        <v>1715.3</v>
      </c>
      <c r="C680" s="127" t="n">
        <f aca="false">D614+931.5+500+304+338.75</f>
        <v>2384.75</v>
      </c>
      <c r="E680" s="212" t="s">
        <v>470</v>
      </c>
      <c r="F680" s="147" t="str">
        <f aca="false">IFERROR(VLOOKUP(H680,$AD$1:$AE$301,2,0),"")</f>
        <v/>
      </c>
      <c r="G680" s="147" t="str">
        <f aca="false">IFERROR(VLOOKUP(F680,$AE$2:$AF$290,2, 0),"")</f>
        <v/>
      </c>
      <c r="H680" s="212" t="s">
        <v>393</v>
      </c>
      <c r="I680" s="246" t="n">
        <f aca="false">SUM(K680:R680)</f>
        <v>0</v>
      </c>
      <c r="J680" s="182" t="n">
        <v>45637</v>
      </c>
      <c r="K680" s="184"/>
      <c r="S680" s="192" t="n">
        <f aca="false">(K680+O680+Q680)*24 /1130+(L680+M680+P680+R680)*12/1130+(N680*30)/1130</f>
        <v>0</v>
      </c>
    </row>
    <row r="681" customFormat="false" ht="15" hidden="true" customHeight="true" outlineLevel="0" collapsed="false">
      <c r="B681" s="127" t="n">
        <f aca="false">B680+D681-C681</f>
        <v>0.250000000000227</v>
      </c>
      <c r="C681" s="127" t="n">
        <v>1715</v>
      </c>
      <c r="D681" s="146" t="n">
        <v>-0.05</v>
      </c>
      <c r="E681" s="212" t="s">
        <v>392</v>
      </c>
      <c r="F681" s="147" t="str">
        <f aca="false">IFERROR(VLOOKUP(H681,$AD$1:$AE$301,2,0),"")</f>
        <v/>
      </c>
      <c r="G681" s="147" t="str">
        <f aca="false">IFERROR(VLOOKUP(F681,$AE$2:$AF$290,2, 0),"")</f>
        <v/>
      </c>
      <c r="H681" s="212" t="s">
        <v>393</v>
      </c>
      <c r="I681" s="246" t="n">
        <f aca="false">SUM(K681:R681)</f>
        <v>0</v>
      </c>
      <c r="J681" s="182" t="n">
        <v>45637</v>
      </c>
      <c r="K681" s="184"/>
      <c r="S681" s="192" t="n">
        <f aca="false">(K681+O681+Q681)*24 /1130+(L681+M681+P681+R681)*12/1130+(N681*30)/1130</f>
        <v>0</v>
      </c>
    </row>
    <row r="682" customFormat="false" ht="15" hidden="true" customHeight="true" outlineLevel="0" collapsed="false">
      <c r="B682" s="127" t="n">
        <f aca="false">B681+D682-C682</f>
        <v>2401.45</v>
      </c>
      <c r="D682" s="146" t="n">
        <f aca="false">200.1*12</f>
        <v>2401.2</v>
      </c>
      <c r="E682" s="147" t="n">
        <v>528</v>
      </c>
      <c r="F682" s="147" t="n">
        <f aca="false">IFERROR(VLOOKUP(H682,$AD$1:$AE$301,2,0),"")</f>
        <v>1007997</v>
      </c>
      <c r="G682" s="147" t="str">
        <f aca="false">IFERROR(VLOOKUP(F682,$AE$2:$AF$290,2, 0),"")</f>
        <v>البير</v>
      </c>
      <c r="H682" s="212" t="s">
        <v>296</v>
      </c>
      <c r="I682" s="246" t="n">
        <f aca="false">SUM(K682:R682)</f>
        <v>12</v>
      </c>
      <c r="J682" s="182" t="n">
        <v>45638</v>
      </c>
      <c r="K682" s="184"/>
      <c r="Q682" s="154" t="n">
        <v>12</v>
      </c>
      <c r="S682" s="192" t="n">
        <f aca="false">(K682+O682+Q682)*24 /1130+(L682+M682+P682+R682)*12/1130+(N682*30)/1130</f>
        <v>0.254867256637168</v>
      </c>
    </row>
    <row r="683" customFormat="false" ht="15" hidden="true" customHeight="true" outlineLevel="0" collapsed="false">
      <c r="B683" s="127" t="n">
        <f aca="false">B682+D683-C683</f>
        <v>2665.95</v>
      </c>
      <c r="D683" s="146" t="n">
        <v>264.5</v>
      </c>
      <c r="E683" s="147" t="n">
        <v>529</v>
      </c>
      <c r="F683" s="147" t="n">
        <f aca="false">IFERROR(VLOOKUP(H683,$AD$1:$AE$301,2,0),"")</f>
        <v>1008030</v>
      </c>
      <c r="G683" s="147" t="str">
        <f aca="false">IFERROR(VLOOKUP(F683,$AE$2:$AF$290,2, 0),"")</f>
        <v>البير</v>
      </c>
      <c r="H683" s="212" t="s">
        <v>298</v>
      </c>
      <c r="I683" s="246" t="n">
        <f aca="false">SUM(K683:R683)</f>
        <v>1</v>
      </c>
      <c r="J683" s="182" t="n">
        <v>45638</v>
      </c>
      <c r="K683" s="184"/>
      <c r="M683" s="150" t="n">
        <v>1</v>
      </c>
      <c r="S683" s="192" t="n">
        <f aca="false">(K683+O683+Q683)*24 /1130+(L683+M683+P683+R683)*12/1130+(N683*30)/1130</f>
        <v>0.0106194690265487</v>
      </c>
    </row>
    <row r="684" customFormat="false" ht="15" hidden="true" customHeight="true" outlineLevel="0" collapsed="false">
      <c r="B684" s="127" t="n">
        <f aca="false">B683+D684-C684</f>
        <v>2930.45</v>
      </c>
      <c r="D684" s="146" t="n">
        <v>264.5</v>
      </c>
      <c r="E684" s="147" t="n">
        <v>530</v>
      </c>
      <c r="F684" s="147" t="n">
        <f aca="false">IFERROR(VLOOKUP(H684,$AD$1:$AE$301,2,0),"")</f>
        <v>1007965</v>
      </c>
      <c r="G684" s="147" t="str">
        <f aca="false">IFERROR(VLOOKUP(F684,$AE$2:$AF$290,2, 0),"")</f>
        <v>البير</v>
      </c>
      <c r="H684" s="212" t="s">
        <v>290</v>
      </c>
      <c r="I684" s="246" t="n">
        <f aca="false">SUM(K684:R684)</f>
        <v>1</v>
      </c>
      <c r="J684" s="182" t="n">
        <v>45638</v>
      </c>
      <c r="K684" s="184"/>
      <c r="O684" s="152" t="n">
        <v>1</v>
      </c>
      <c r="S684" s="192" t="n">
        <f aca="false">(K684+O684+Q684)*24 /1130+(L684+M684+P684+R684)*12/1130+(N684*30)/1130</f>
        <v>0.0212389380530973</v>
      </c>
    </row>
    <row r="685" customFormat="false" ht="15" hidden="true" customHeight="true" outlineLevel="0" collapsed="false">
      <c r="B685" s="127" t="n">
        <f aca="false">B684+D685-C685</f>
        <v>3194.95</v>
      </c>
      <c r="D685" s="146" t="n">
        <f aca="false">264.5</f>
        <v>264.5</v>
      </c>
      <c r="E685" s="147" t="n">
        <v>531</v>
      </c>
      <c r="F685" s="147" t="n">
        <f aca="false">IFERROR(VLOOKUP(H685,$AD$1:$AE$301,2,0),"")</f>
        <v>1008275</v>
      </c>
      <c r="G685" s="147" t="str">
        <f aca="false">IFERROR(VLOOKUP(F685,$AE$2:$AF$290,2, 0),"")</f>
        <v>تبوك</v>
      </c>
      <c r="H685" s="212" t="s">
        <v>179</v>
      </c>
      <c r="I685" s="246" t="n">
        <f aca="false">SUM(K685:R685)</f>
        <v>1</v>
      </c>
      <c r="J685" s="182" t="n">
        <v>45636</v>
      </c>
      <c r="K685" s="184"/>
      <c r="M685" s="150" t="n">
        <v>1</v>
      </c>
      <c r="S685" s="192" t="n">
        <f aca="false">(K685+O685+Q685)*24 /1130+(L685+M685+P685+R685)*12/1130+(N685*30)/1130</f>
        <v>0.0106194690265487</v>
      </c>
    </row>
    <row r="686" customFormat="false" ht="15" hidden="true" customHeight="true" outlineLevel="0" collapsed="false">
      <c r="B686" s="127" t="n">
        <f aca="false">B685+D686-C686</f>
        <v>1480.45</v>
      </c>
      <c r="C686" s="127" t="n">
        <f aca="false">1700+14.5</f>
        <v>1714.5</v>
      </c>
      <c r="E686" s="212" t="s">
        <v>470</v>
      </c>
      <c r="F686" s="147" t="str">
        <f aca="false">IFERROR(VLOOKUP(H686,$AD$1:$AE$301,2,0),"")</f>
        <v/>
      </c>
      <c r="G686" s="147" t="str">
        <f aca="false">IFERROR(VLOOKUP(F686,$AE$2:$AF$290,2, 0),"")</f>
        <v/>
      </c>
      <c r="H686" s="212" t="s">
        <v>393</v>
      </c>
      <c r="I686" s="246" t="n">
        <f aca="false">SUM(K686:R686)</f>
        <v>0</v>
      </c>
      <c r="J686" s="182" t="n">
        <v>45640</v>
      </c>
      <c r="K686" s="184"/>
      <c r="S686" s="192" t="n">
        <f aca="false">(K686+O686+Q686)*24 /1130+(L686+M686+P686+R686)*12/1130+(N686*30)/1130</f>
        <v>0</v>
      </c>
    </row>
    <row r="687" customFormat="false" ht="15" hidden="true" customHeight="true" outlineLevel="0" collapsed="false">
      <c r="B687" s="127" t="n">
        <f aca="false">B686+D687-C687</f>
        <v>0.449999999999818</v>
      </c>
      <c r="C687" s="127" t="n">
        <v>1480</v>
      </c>
      <c r="E687" s="212" t="s">
        <v>392</v>
      </c>
      <c r="F687" s="147" t="str">
        <f aca="false">IFERROR(VLOOKUP(H687,$AD$1:$AE$301,2,0),"")</f>
        <v/>
      </c>
      <c r="G687" s="147" t="str">
        <f aca="false">IFERROR(VLOOKUP(F687,$AE$2:$AF$290,2, 0),"")</f>
        <v/>
      </c>
      <c r="H687" s="212" t="s">
        <v>393</v>
      </c>
      <c r="I687" s="246" t="n">
        <f aca="false">SUM(K687:R687)</f>
        <v>0</v>
      </c>
      <c r="J687" s="182" t="n">
        <v>45641</v>
      </c>
      <c r="K687" s="184"/>
      <c r="S687" s="192" t="n">
        <f aca="false">(K687+O687+Q687)*24 /1130+(L687+M687+P687+R687)*12/1130+(N687*30)/1130</f>
        <v>0</v>
      </c>
    </row>
    <row r="688" customFormat="false" ht="15" hidden="true" customHeight="true" outlineLevel="0" collapsed="false">
      <c r="A688" s="128" t="n">
        <f aca="false">D688-150-60-100</f>
        <v>0.5</v>
      </c>
      <c r="B688" s="127" t="n">
        <f aca="false">B687+D688-C688</f>
        <v>310.95</v>
      </c>
      <c r="D688" s="146" t="n">
        <v>310.5</v>
      </c>
      <c r="E688" s="147" t="n">
        <v>533</v>
      </c>
      <c r="F688" s="147" t="n">
        <f aca="false">IFERROR(VLOOKUP(H688,$AD$1:$AE$301,2,0),"")</f>
        <v>1008056</v>
      </c>
      <c r="G688" s="147" t="str">
        <f aca="false">IFERROR(VLOOKUP(F688,$AE$2:$AF$290,2, 0),"")</f>
        <v>تبوك</v>
      </c>
      <c r="H688" s="212" t="s">
        <v>241</v>
      </c>
      <c r="I688" s="246" t="n">
        <f aca="false">SUM(K688:R688)</f>
        <v>1</v>
      </c>
      <c r="J688" s="182" t="n">
        <v>45641</v>
      </c>
      <c r="K688" s="184" t="n">
        <v>1</v>
      </c>
      <c r="S688" s="192" t="n">
        <f aca="false">(K688+O688+Q688)*24 /1130+(L688+M688+P688+R688)*12/1130+(N688*30)/1130</f>
        <v>0.0212389380530973</v>
      </c>
    </row>
    <row r="689" customFormat="false" ht="15" hidden="true" customHeight="true" outlineLevel="0" collapsed="false">
      <c r="A689" s="128" t="n">
        <f aca="false">D689-45-93</f>
        <v>0</v>
      </c>
      <c r="B689" s="127" t="n">
        <f aca="false">B688+D689-C689</f>
        <v>448.95</v>
      </c>
      <c r="D689" s="146" t="n">
        <v>138</v>
      </c>
      <c r="E689" s="147" t="n">
        <v>532</v>
      </c>
      <c r="F689" s="147" t="n">
        <f aca="false">IFERROR(VLOOKUP(H689,$AD$1:$AE$301,2,0),"")</f>
        <v>1008277</v>
      </c>
      <c r="G689" s="147" t="str">
        <f aca="false">IFERROR(VLOOKUP(F689,$AE$2:$AF$290,2, 0),"")</f>
        <v>تبوك</v>
      </c>
      <c r="H689" s="212" t="s">
        <v>233</v>
      </c>
      <c r="I689" s="246" t="n">
        <f aca="false">SUM(K689:R689)</f>
        <v>1</v>
      </c>
      <c r="J689" s="182" t="n">
        <v>45641</v>
      </c>
      <c r="K689" s="184"/>
      <c r="Q689" s="154" t="n">
        <v>1</v>
      </c>
      <c r="S689" s="192" t="n">
        <f aca="false">(K689+O689+Q689)*24 /1130+(L689+M689+P689+R689)*12/1130+(N689*30)/1130</f>
        <v>0.0212389380530973</v>
      </c>
    </row>
    <row r="690" customFormat="false" ht="15" hidden="true" customHeight="true" outlineLevel="0" collapsed="false">
      <c r="A690" s="128" t="n">
        <f aca="false">D690-26-35-8-109</f>
        <v>0.25</v>
      </c>
      <c r="B690" s="127" t="n">
        <f aca="false">B689+D690-C690</f>
        <v>627.2</v>
      </c>
      <c r="D690" s="146" t="n">
        <v>178.25</v>
      </c>
      <c r="E690" s="147" t="n">
        <v>534</v>
      </c>
      <c r="F690" s="147" t="n">
        <f aca="false">IFERROR(VLOOKUP(H690,$AD$1:$AE$301,2,0),"")</f>
        <v>1008275</v>
      </c>
      <c r="G690" s="147" t="str">
        <f aca="false">IFERROR(VLOOKUP(F690,$AE$2:$AF$290,2, 0),"")</f>
        <v>تبوك</v>
      </c>
      <c r="H690" s="212" t="s">
        <v>179</v>
      </c>
      <c r="I690" s="246" t="n">
        <f aca="false">SUM(K690:R690)</f>
        <v>1</v>
      </c>
      <c r="J690" s="182" t="n">
        <v>45641</v>
      </c>
      <c r="K690" s="184"/>
      <c r="L690" s="149" t="n">
        <v>1</v>
      </c>
      <c r="S690" s="192" t="n">
        <f aca="false">(K690+O690+Q690)*24 /1130+(L690+M690+P690+R690)*12/1130+(N690*30)/1130</f>
        <v>0.0106194690265487</v>
      </c>
    </row>
    <row r="691" customFormat="false" ht="15" hidden="true" customHeight="true" outlineLevel="0" collapsed="false">
      <c r="B691" s="127" t="n">
        <f aca="false">B690+D691-C691</f>
        <v>0.249999999999773</v>
      </c>
      <c r="C691" s="127" t="n">
        <v>627</v>
      </c>
      <c r="D691" s="146" t="n">
        <v>0.05</v>
      </c>
      <c r="E691" s="212" t="s">
        <v>392</v>
      </c>
      <c r="F691" s="147" t="str">
        <f aca="false">IFERROR(VLOOKUP(H691,$AD$1:$AE$301,2,0),"")</f>
        <v/>
      </c>
      <c r="G691" s="147" t="str">
        <f aca="false">IFERROR(VLOOKUP(F691,$AE$2:$AF$290,2, 0),"")</f>
        <v/>
      </c>
      <c r="H691" s="212" t="s">
        <v>393</v>
      </c>
      <c r="I691" s="246" t="n">
        <f aca="false">SUM(K691:R691)</f>
        <v>0</v>
      </c>
      <c r="J691" s="182" t="n">
        <v>45642</v>
      </c>
      <c r="K691" s="184"/>
      <c r="S691" s="192" t="n">
        <f aca="false">(K691+O691+Q691)*24 /1130+(L691+M691+P691+R691)*12/1130+(N691*30)/1130</f>
        <v>0</v>
      </c>
    </row>
    <row r="692" customFormat="false" ht="15" hidden="true" customHeight="true" outlineLevel="0" collapsed="false">
      <c r="A692" s="128" t="n">
        <f aca="false">D692-10.5-300</f>
        <v>0</v>
      </c>
      <c r="B692" s="127" t="n">
        <f aca="false">B691+D692-C692</f>
        <v>310.75</v>
      </c>
      <c r="D692" s="146" t="n">
        <v>310.5</v>
      </c>
      <c r="E692" s="147" t="n">
        <v>535</v>
      </c>
      <c r="F692" s="147" t="n">
        <f aca="false">IFERROR(VLOOKUP(H692,$AD$1:$AE$301,2,0),"")</f>
        <v>548</v>
      </c>
      <c r="G692" s="147" t="str">
        <f aca="false">IFERROR(VLOOKUP(F692,$AE$2:$AF$290,2, 0),"")</f>
        <v>تبوك</v>
      </c>
      <c r="H692" s="212" t="s">
        <v>151</v>
      </c>
      <c r="I692" s="246" t="n">
        <f aca="false">SUM(K692:R692)</f>
        <v>1</v>
      </c>
      <c r="J692" s="182" t="n">
        <v>45641</v>
      </c>
      <c r="K692" s="184" t="n">
        <v>1</v>
      </c>
      <c r="S692" s="192" t="n">
        <f aca="false">(K692+O692+Q692)*24 /1130+(L692+M692+P692+R692)*12/1130+(N692*30)/1130</f>
        <v>0.0212389380530973</v>
      </c>
    </row>
    <row r="693" customFormat="false" ht="15" hidden="true" customHeight="true" outlineLevel="0" collapsed="false">
      <c r="B693" s="127" t="n">
        <f aca="false">B692+D693-C693</f>
        <v>535</v>
      </c>
      <c r="D693" s="146" t="n">
        <v>224.25</v>
      </c>
      <c r="E693" s="147" t="n">
        <v>536</v>
      </c>
      <c r="F693" s="147" t="n">
        <f aca="false">IFERROR(VLOOKUP(H693,$AD$1:$AE$301,2,0),"")</f>
        <v>1007971</v>
      </c>
      <c r="G693" s="147" t="str">
        <f aca="false">IFERROR(VLOOKUP(F693,$AE$2:$AF$290,2, 0),"")</f>
        <v>تبوك</v>
      </c>
      <c r="H693" s="212" t="s">
        <v>126</v>
      </c>
      <c r="I693" s="246" t="n">
        <f aca="false">SUM(K693:R693)</f>
        <v>1</v>
      </c>
      <c r="J693" s="182" t="n">
        <v>45642</v>
      </c>
      <c r="K693" s="184"/>
      <c r="M693" s="150" t="n">
        <v>1</v>
      </c>
      <c r="S693" s="192" t="n">
        <f aca="false">(K693+O693+Q693)*24 /1130+(L693+M693+P693+R693)*12/1130+(N693*30)/1130</f>
        <v>0.0106194690265487</v>
      </c>
    </row>
    <row r="694" customFormat="false" ht="15" hidden="true" customHeight="true" outlineLevel="0" collapsed="false">
      <c r="B694" s="127" t="n">
        <f aca="false">B693+D694-C694</f>
        <v>1391.75</v>
      </c>
      <c r="D694" s="146" t="n">
        <f aca="false">247.25+299+310.5</f>
        <v>856.75</v>
      </c>
      <c r="E694" s="147" t="n">
        <v>537</v>
      </c>
      <c r="F694" s="147" t="n">
        <f aca="false">IFERROR(VLOOKUP(H694,$AD$1:$AE$301,2,0),"")</f>
        <v>786</v>
      </c>
      <c r="G694" s="147" t="str">
        <f aca="false">IFERROR(VLOOKUP(F694,$AE$2:$AF$290,2, 0),"")</f>
        <v>البدع</v>
      </c>
      <c r="H694" s="212" t="s">
        <v>319</v>
      </c>
      <c r="I694" s="246" t="n">
        <f aca="false">SUM(K694:R694)</f>
        <v>3</v>
      </c>
      <c r="J694" s="182" t="n">
        <v>45642</v>
      </c>
      <c r="K694" s="184" t="n">
        <v>1</v>
      </c>
      <c r="N694" s="151" t="n">
        <v>1</v>
      </c>
      <c r="O694" s="152" t="n">
        <v>1</v>
      </c>
      <c r="S694" s="192" t="n">
        <f aca="false">(K694+O694+Q694)*24 /1130+(L694+M694+P694+R694)*12/1130+(N694*30)/1130</f>
        <v>0.0690265486725664</v>
      </c>
    </row>
    <row r="695" customFormat="false" ht="15" hidden="true" customHeight="true" outlineLevel="0" collapsed="false">
      <c r="A695" s="128" t="n">
        <f aca="false">D695-495</f>
        <v>-0.5</v>
      </c>
      <c r="B695" s="127" t="n">
        <f aca="false">B694+D695-C695</f>
        <v>1886.25</v>
      </c>
      <c r="D695" s="146" t="n">
        <f aca="false">247.25*2</f>
        <v>494.5</v>
      </c>
      <c r="E695" s="147" t="n">
        <v>538</v>
      </c>
      <c r="F695" s="147" t="n">
        <f aca="false">IFERROR(VLOOKUP(H695,$AD$1:$AE$301,2,0),"")</f>
        <v>1008019</v>
      </c>
      <c r="G695" s="147" t="str">
        <f aca="false">IFERROR(VLOOKUP(F695,$AE$2:$AF$290,2, 0),"")</f>
        <v>البدع</v>
      </c>
      <c r="H695" s="212" t="s">
        <v>327</v>
      </c>
      <c r="I695" s="246" t="n">
        <f aca="false">SUM(K695:R695)</f>
        <v>2</v>
      </c>
      <c r="J695" s="182" t="n">
        <v>45642</v>
      </c>
      <c r="K695" s="184"/>
      <c r="O695" s="152" t="n">
        <v>2</v>
      </c>
      <c r="S695" s="192" t="n">
        <f aca="false">(K695+O695+Q695)*24 /1130+(L695+M695+P695+R695)*12/1130+(N695*30)/1130</f>
        <v>0.0424778761061947</v>
      </c>
    </row>
    <row r="696" customFormat="false" ht="15" hidden="true" customHeight="true" outlineLevel="0" collapsed="false">
      <c r="B696" s="127" t="n">
        <f aca="false">B695+D696-C696</f>
        <v>2444</v>
      </c>
      <c r="D696" s="146" t="n">
        <f aca="false">247.25+310.5</f>
        <v>557.75</v>
      </c>
      <c r="E696" s="147" t="n">
        <v>539</v>
      </c>
      <c r="F696" s="147" t="n">
        <f aca="false">IFERROR(VLOOKUP(H696,$AD$1:$AE$301,2,0),"")</f>
        <v>1008010</v>
      </c>
      <c r="G696" s="147" t="str">
        <f aca="false">IFERROR(VLOOKUP(F696,$AE$2:$AF$290,2, 0),"")</f>
        <v>البدع</v>
      </c>
      <c r="H696" s="212" t="s">
        <v>318</v>
      </c>
      <c r="I696" s="246" t="n">
        <f aca="false">SUM(K696:R696)</f>
        <v>2</v>
      </c>
      <c r="J696" s="182" t="n">
        <v>45642</v>
      </c>
      <c r="K696" s="184" t="n">
        <v>1</v>
      </c>
      <c r="O696" s="152" t="n">
        <v>1</v>
      </c>
      <c r="S696" s="192" t="n">
        <f aca="false">(K696+O696+Q696)*24 /1130+(L696+M696+P696+R696)*12/1130+(N696*30)/1130</f>
        <v>0.0424778761061947</v>
      </c>
    </row>
    <row r="697" customFormat="false" ht="15" hidden="true" customHeight="true" outlineLevel="0" collapsed="false">
      <c r="A697" s="128" t="n">
        <f aca="false">D697</f>
        <v>0</v>
      </c>
      <c r="B697" s="127" t="n">
        <f aca="false">B696+D697-C697</f>
        <v>1576.75</v>
      </c>
      <c r="C697" s="127" t="n">
        <f aca="false">D694+10.5</f>
        <v>867.25</v>
      </c>
      <c r="E697" s="212" t="s">
        <v>470</v>
      </c>
      <c r="F697" s="147" t="str">
        <f aca="false">IFERROR(VLOOKUP(H697,$AD$1:$AE$301,2,0),"")</f>
        <v/>
      </c>
      <c r="G697" s="147" t="str">
        <f aca="false">IFERROR(VLOOKUP(F697,$AE$2:$AF$290,2, 0),"")</f>
        <v/>
      </c>
      <c r="H697" s="212" t="s">
        <v>393</v>
      </c>
      <c r="I697" s="246" t="n">
        <f aca="false">SUM(K697:R697)</f>
        <v>0</v>
      </c>
      <c r="J697" s="182" t="n">
        <v>45642</v>
      </c>
      <c r="K697" s="184"/>
      <c r="S697" s="192" t="n">
        <f aca="false">(K697+O697+Q697)*24 /1130+(L697+M697+P697+R697)*12/1130+(N697*30)/1130</f>
        <v>0</v>
      </c>
    </row>
    <row r="698" customFormat="false" ht="15" hidden="true" customHeight="true" outlineLevel="0" collapsed="false">
      <c r="B698" s="127" t="n">
        <f aca="false">B697+D698-C698</f>
        <v>0.75</v>
      </c>
      <c r="C698" s="127" t="n">
        <v>1576</v>
      </c>
      <c r="E698" s="212" t="s">
        <v>392</v>
      </c>
      <c r="F698" s="147" t="str">
        <f aca="false">IFERROR(VLOOKUP(H698,$AD$1:$AE$301,2,0),"")</f>
        <v/>
      </c>
      <c r="G698" s="147" t="str">
        <f aca="false">IFERROR(VLOOKUP(F698,$AE$2:$AF$290,2, 0),"")</f>
        <v/>
      </c>
      <c r="H698" s="212" t="s">
        <v>393</v>
      </c>
      <c r="I698" s="246" t="n">
        <f aca="false">SUM(K698:R698)</f>
        <v>0</v>
      </c>
      <c r="J698" s="182" t="n">
        <v>45643</v>
      </c>
      <c r="K698" s="184"/>
      <c r="S698" s="192" t="n">
        <f aca="false">(K698+O698+Q698)*24 /1130+(L698+M698+P698+R698)*12/1130+(N698*30)/1130</f>
        <v>0</v>
      </c>
    </row>
    <row r="699" customFormat="false" ht="15" hidden="true" customHeight="true" outlineLevel="0" collapsed="false">
      <c r="B699" s="127" t="n">
        <f aca="false">B698+D699-C699</f>
        <v>156</v>
      </c>
      <c r="D699" s="146" t="n">
        <v>155.25</v>
      </c>
      <c r="E699" s="147" t="n">
        <v>540</v>
      </c>
      <c r="F699" s="147" t="n">
        <f aca="false">IFERROR(VLOOKUP(H699,$AD$1:$AE$301,2,0),"")</f>
        <v>1008260</v>
      </c>
      <c r="G699" s="147" t="str">
        <f aca="false">IFERROR(VLOOKUP(F699,$AE$2:$AF$290,2, 0),"")</f>
        <v>تبوك</v>
      </c>
      <c r="H699" s="212" t="s">
        <v>184</v>
      </c>
      <c r="I699" s="246" t="n">
        <f aca="false">SUM(K699:R699)</f>
        <v>1</v>
      </c>
      <c r="J699" s="182" t="n">
        <v>45643</v>
      </c>
      <c r="K699" s="184"/>
      <c r="R699" s="155" t="n">
        <v>1</v>
      </c>
      <c r="S699" s="192" t="n">
        <f aca="false">(K699+O699+Q699)*24 /1130+(L699+M699+P699+R699)*12/1130+(N699*30)/1130</f>
        <v>0.0106194690265487</v>
      </c>
    </row>
    <row r="700" customFormat="false" ht="15" hidden="true" customHeight="true" outlineLevel="0" collapsed="false">
      <c r="A700" s="128" t="n">
        <f aca="false">D700</f>
        <v>0</v>
      </c>
      <c r="B700" s="127" t="n">
        <f aca="false">B699+D700-C700</f>
        <v>0</v>
      </c>
      <c r="C700" s="127" t="n">
        <f aca="false">150+6</f>
        <v>156</v>
      </c>
      <c r="E700" s="212" t="s">
        <v>470</v>
      </c>
      <c r="F700" s="147" t="str">
        <f aca="false">IFERROR(VLOOKUP(H700,$AD$1:$AE$301,2,0),"")</f>
        <v/>
      </c>
      <c r="G700" s="147" t="str">
        <f aca="false">IFERROR(VLOOKUP(F700,$AE$2:$AF$290,2, 0),"")</f>
        <v/>
      </c>
      <c r="H700" s="212" t="s">
        <v>393</v>
      </c>
      <c r="I700" s="246" t="n">
        <f aca="false">SUM(K700:R700)</f>
        <v>0</v>
      </c>
      <c r="J700" s="182" t="n">
        <v>45641</v>
      </c>
      <c r="K700" s="184"/>
      <c r="S700" s="192" t="n">
        <f aca="false">(K700+O700+Q700)*24 /1130+(L700+M700+P700+R700)*12/1130+(N700*30)/1130</f>
        <v>0</v>
      </c>
    </row>
    <row r="701" customFormat="false" ht="15" hidden="true" customHeight="true" outlineLevel="0" collapsed="false">
      <c r="B701" s="127" t="n">
        <f aca="false">B700+D701-C701</f>
        <v>138</v>
      </c>
      <c r="D701" s="146" t="n">
        <v>138</v>
      </c>
      <c r="E701" s="147" t="n">
        <v>541</v>
      </c>
      <c r="F701" s="147" t="n">
        <f aca="false">IFERROR(VLOOKUP(H701,$AD$1:$AE$301,2,0),"")</f>
        <v>1007976</v>
      </c>
      <c r="G701" s="147" t="str">
        <f aca="false">IFERROR(VLOOKUP(F701,$AE$2:$AF$290,2, 0),"")</f>
        <v>ضباء</v>
      </c>
      <c r="H701" s="212" t="s">
        <v>77</v>
      </c>
      <c r="I701" s="246" t="n">
        <f aca="false">SUM(K701:R701)</f>
        <v>1</v>
      </c>
      <c r="J701" s="182" t="n">
        <v>45644</v>
      </c>
      <c r="K701" s="184"/>
      <c r="Q701" s="154" t="n">
        <v>1</v>
      </c>
      <c r="S701" s="192" t="n">
        <f aca="false">(K701+O701+Q701)*24 /1130+(L701+M701+P701+R701)*12/1130+(N701*30)/1130</f>
        <v>0.0212389380530973</v>
      </c>
    </row>
    <row r="702" customFormat="false" ht="15" hidden="true" customHeight="true" outlineLevel="0" collapsed="false">
      <c r="B702" s="127" t="n">
        <f aca="false">B701+D702-C702</f>
        <v>793.5</v>
      </c>
      <c r="D702" s="146" t="n">
        <f aca="false">345+310.5</f>
        <v>655.5</v>
      </c>
      <c r="E702" s="147" t="n">
        <v>542</v>
      </c>
      <c r="F702" s="147" t="n">
        <f aca="false">IFERROR(VLOOKUP(H702,$AD$1:$AE$301,2,0),"")</f>
        <v>1008022</v>
      </c>
      <c r="G702" s="147" t="str">
        <f aca="false">IFERROR(VLOOKUP(F702,$AE$2:$AF$290,2, 0),"")</f>
        <v>ضباء</v>
      </c>
      <c r="H702" s="212" t="s">
        <v>94</v>
      </c>
      <c r="I702" s="246" t="n">
        <f aca="false">SUM(K702:R702)</f>
        <v>2</v>
      </c>
      <c r="J702" s="182" t="n">
        <v>45644</v>
      </c>
      <c r="K702" s="184" t="n">
        <v>1</v>
      </c>
      <c r="M702" s="150" t="n">
        <v>1</v>
      </c>
      <c r="S702" s="192" t="n">
        <f aca="false">(K702+O702+Q702)*24 /1130+(L702+M702+P702+R702)*12/1130+(N702*30)/1130</f>
        <v>0.031858407079646</v>
      </c>
    </row>
    <row r="703" customFormat="false" ht="15" hidden="true" customHeight="true" outlineLevel="0" collapsed="false">
      <c r="B703" s="127" t="n">
        <f aca="false">B702+D703-C703</f>
        <v>2035.5</v>
      </c>
      <c r="D703" s="146" t="n">
        <f aca="false">4*310.5</f>
        <v>1242</v>
      </c>
      <c r="E703" s="147" t="n">
        <v>543</v>
      </c>
      <c r="F703" s="147" t="n">
        <f aca="false">IFERROR(VLOOKUP(H703,$AD$1:$AE$301,2,0),"")</f>
        <v>1008045</v>
      </c>
      <c r="G703" s="147" t="str">
        <f aca="false">IFERROR(VLOOKUP(F703,$AE$2:$AF$290,2, 0),"")</f>
        <v>الوجه</v>
      </c>
      <c r="H703" s="212" t="s">
        <v>107</v>
      </c>
      <c r="I703" s="246" t="n">
        <f aca="false">SUM(K703:R703)</f>
        <v>4</v>
      </c>
      <c r="J703" s="182" t="n">
        <v>45644</v>
      </c>
      <c r="K703" s="184" t="n">
        <f aca="false">2+2</f>
        <v>4</v>
      </c>
      <c r="S703" s="192" t="n">
        <f aca="false">(K703+O703+Q703)*24 /1130+(L703+M703+P703+R703)*12/1130+(N703*30)/1130</f>
        <v>0.0849557522123894</v>
      </c>
    </row>
    <row r="704" customFormat="false" ht="15" hidden="true" customHeight="true" outlineLevel="0" collapsed="false">
      <c r="B704" s="127" t="n">
        <f aca="false">B703+D704-C704</f>
        <v>3105</v>
      </c>
      <c r="D704" s="146" t="n">
        <f aca="false">310.5*2+224.25*2</f>
        <v>1069.5</v>
      </c>
      <c r="E704" s="147" t="n">
        <v>544</v>
      </c>
      <c r="F704" s="147" t="n">
        <f aca="false">IFERROR(VLOOKUP(H704,$AD$1:$AE$301,2,0),"")</f>
        <v>1008047</v>
      </c>
      <c r="G704" s="147" t="str">
        <f aca="false">IFERROR(VLOOKUP(F704,$AE$2:$AF$290,2, 0),"")</f>
        <v>الوجه</v>
      </c>
      <c r="H704" s="212" t="s">
        <v>422</v>
      </c>
      <c r="I704" s="246" t="n">
        <f aca="false">SUM(K704:R704)</f>
        <v>4</v>
      </c>
      <c r="J704" s="182" t="n">
        <v>45644</v>
      </c>
      <c r="K704" s="184" t="n">
        <f aca="false">2</f>
        <v>2</v>
      </c>
      <c r="M704" s="150" t="n">
        <v>2</v>
      </c>
      <c r="S704" s="192" t="n">
        <f aca="false">(K704+O704+Q704)*24 /1130+(L704+M704+P704+R704)*12/1130+(N704*30)/1130</f>
        <v>0.063716814159292</v>
      </c>
    </row>
    <row r="705" customFormat="false" ht="15" hidden="true" customHeight="true" outlineLevel="0" collapsed="false">
      <c r="B705" s="127" t="n">
        <f aca="false">B704+D705-C705</f>
        <v>3260.25</v>
      </c>
      <c r="D705" s="146" t="n">
        <v>155.25</v>
      </c>
      <c r="E705" s="147" t="n">
        <v>545</v>
      </c>
      <c r="F705" s="147" t="n">
        <f aca="false">IFERROR(VLOOKUP(H705,$AD$1:$AE$301,2,0),"")</f>
        <v>1008043</v>
      </c>
      <c r="G705" s="147" t="str">
        <f aca="false">IFERROR(VLOOKUP(F705,$AE$2:$AF$290,2, 0),"")</f>
        <v>الوجه</v>
      </c>
      <c r="H705" s="212" t="s">
        <v>104</v>
      </c>
      <c r="I705" s="246" t="n">
        <f aca="false">SUM(K705:R705)</f>
        <v>1</v>
      </c>
      <c r="J705" s="182" t="n">
        <v>45644</v>
      </c>
      <c r="K705" s="184"/>
      <c r="R705" s="155" t="n">
        <v>1</v>
      </c>
      <c r="S705" s="192" t="n">
        <f aca="false">(K705+O705+Q705)*24 /1130+(L705+M705+P705+R705)*12/1130+(N705*30)/1130</f>
        <v>0.0106194690265487</v>
      </c>
    </row>
    <row r="706" customFormat="false" ht="15" hidden="true" customHeight="true" outlineLevel="0" collapsed="false">
      <c r="B706" s="127" t="n">
        <f aca="false">B705+D706-C706</f>
        <v>3749</v>
      </c>
      <c r="D706" s="146" t="n">
        <f aca="false">310.5+178.25</f>
        <v>488.75</v>
      </c>
      <c r="E706" s="147" t="n">
        <v>546</v>
      </c>
      <c r="F706" s="147" t="n">
        <f aca="false">IFERROR(VLOOKUP(H706,$AD$1:$AE$301,2,0),"")</f>
        <v>1008025</v>
      </c>
      <c r="G706" s="147" t="str">
        <f aca="false">IFERROR(VLOOKUP(F706,$AE$2:$AF$290,2, 0),"")</f>
        <v>ضباء</v>
      </c>
      <c r="H706" s="212" t="s">
        <v>97</v>
      </c>
      <c r="I706" s="246" t="n">
        <f aca="false">SUM(K706:R706)</f>
        <v>2</v>
      </c>
      <c r="J706" s="182" t="n">
        <v>45644</v>
      </c>
      <c r="K706" s="184" t="n">
        <v>1</v>
      </c>
      <c r="L706" s="149" t="n">
        <v>1</v>
      </c>
      <c r="S706" s="192" t="n">
        <f aca="false">(K706+O706+Q706)*24 /1130+(L706+M706+P706+R706)*12/1130+(N706*30)/1130</f>
        <v>0.031858407079646</v>
      </c>
    </row>
    <row r="707" customFormat="false" ht="15" hidden="true" customHeight="true" outlineLevel="0" collapsed="false">
      <c r="B707" s="127" t="n">
        <f aca="false">B706+D707-C707</f>
        <v>4105.5</v>
      </c>
      <c r="D707" s="146" t="n">
        <f aca="false">178.25*2</f>
        <v>356.5</v>
      </c>
      <c r="E707" s="147" t="n">
        <v>547</v>
      </c>
      <c r="F707" s="147" t="n">
        <f aca="false">IFERROR(VLOOKUP(H707,$AD$1:$AE$301,2,0),"")</f>
        <v>1008025</v>
      </c>
      <c r="G707" s="147" t="str">
        <f aca="false">IFERROR(VLOOKUP(F707,$AE$2:$AF$290,2, 0),"")</f>
        <v>ضباء</v>
      </c>
      <c r="H707" s="212" t="s">
        <v>97</v>
      </c>
      <c r="I707" s="246" t="n">
        <f aca="false">SUM(K707:R707)</f>
        <v>2</v>
      </c>
      <c r="J707" s="182" t="n">
        <v>45644</v>
      </c>
      <c r="K707" s="184"/>
      <c r="L707" s="149" t="n">
        <v>2</v>
      </c>
      <c r="S707" s="192" t="n">
        <f aca="false">(K707+O707+Q707)*24 /1130+(L707+M707+P707+R707)*12/1130+(N707*30)/1130</f>
        <v>0.0212389380530973</v>
      </c>
    </row>
    <row r="708" customFormat="false" ht="15" hidden="true" customHeight="true" outlineLevel="0" collapsed="false">
      <c r="B708" s="127" t="n">
        <f aca="false">B707+D708-C708</f>
        <v>5347.5</v>
      </c>
      <c r="D708" s="146" t="n">
        <f aca="false">299+2*247.25+264.5*2-80.5</f>
        <v>1242</v>
      </c>
      <c r="E708" s="147" t="n">
        <v>548</v>
      </c>
      <c r="F708" s="147" t="n">
        <f aca="false">IFERROR(VLOOKUP(H708,$AD$1:$AE$301,2,0),"")</f>
        <v>1007989</v>
      </c>
      <c r="G708" s="147" t="str">
        <f aca="false">IFERROR(VLOOKUP(F708,$AE$2:$AF$290,2, 0),"")</f>
        <v>ضباء</v>
      </c>
      <c r="H708" s="212" t="s">
        <v>90</v>
      </c>
      <c r="I708" s="246" t="n">
        <f aca="false">SUM(K708:R708)</f>
        <v>5</v>
      </c>
      <c r="J708" s="182" t="n">
        <v>45644</v>
      </c>
      <c r="K708" s="184"/>
      <c r="M708" s="150" t="n">
        <v>2</v>
      </c>
      <c r="N708" s="151" t="n">
        <v>1</v>
      </c>
      <c r="O708" s="152" t="n">
        <v>2</v>
      </c>
      <c r="S708" s="192" t="n">
        <f aca="false">(K708+O708+Q708)*24 /1130+(L708+M708+P708+R708)*12/1130+(N708*30)/1130</f>
        <v>0.0902654867256637</v>
      </c>
    </row>
    <row r="709" customFormat="false" ht="15" hidden="true" customHeight="true" outlineLevel="0" collapsed="false">
      <c r="B709" s="127" t="n">
        <f aca="false">B708+D709-C709</f>
        <v>6210</v>
      </c>
      <c r="D709" s="146" t="n">
        <f aca="false">310.5*2+241.5</f>
        <v>862.5</v>
      </c>
      <c r="E709" s="147" t="n">
        <v>549</v>
      </c>
      <c r="F709" s="147" t="n">
        <f aca="false">IFERROR(VLOOKUP(H709,$AD$1:$AE$301,2,0),"")</f>
        <v>1008024</v>
      </c>
      <c r="G709" s="147" t="str">
        <f aca="false">IFERROR(VLOOKUP(F709,$AE$2:$AF$290,2, 0),"")</f>
        <v>ضباء</v>
      </c>
      <c r="H709" s="212" t="s">
        <v>96</v>
      </c>
      <c r="I709" s="246" t="n">
        <f aca="false">SUM(K709:R709)</f>
        <v>3</v>
      </c>
      <c r="J709" s="182" t="n">
        <v>45644</v>
      </c>
      <c r="K709" s="184" t="n">
        <f aca="false">2</f>
        <v>2</v>
      </c>
      <c r="M709" s="150" t="n">
        <v>1</v>
      </c>
      <c r="S709" s="192" t="n">
        <f aca="false">(K709+O709+Q709)*24 /1130+(L709+M709+P709+R709)*12/1130+(N709*30)/1130</f>
        <v>0.0530973451327434</v>
      </c>
    </row>
    <row r="710" customFormat="false" ht="15" hidden="true" customHeight="true" outlineLevel="0" collapsed="false">
      <c r="A710" s="128" t="n">
        <f aca="false">D710</f>
        <v>0</v>
      </c>
      <c r="B710" s="127" t="n">
        <f aca="false">B709+D710-C710</f>
        <v>3280.5</v>
      </c>
      <c r="C710" s="127" t="n">
        <f aca="false">D702+89+1322.5+D709</f>
        <v>2929.5</v>
      </c>
      <c r="E710" s="212" t="s">
        <v>470</v>
      </c>
      <c r="F710" s="147" t="str">
        <f aca="false">IFERROR(VLOOKUP(H710,$AD$1:$AE$301,2,0),"")</f>
        <v/>
      </c>
      <c r="G710" s="147" t="str">
        <f aca="false">IFERROR(VLOOKUP(F710,$AE$2:$AF$290,2, 0),"")</f>
        <v/>
      </c>
      <c r="H710" s="212" t="s">
        <v>393</v>
      </c>
      <c r="I710" s="246" t="n">
        <f aca="false">SUM(K710:R710)</f>
        <v>0</v>
      </c>
      <c r="J710" s="182" t="n">
        <v>45644</v>
      </c>
      <c r="K710" s="184"/>
      <c r="S710" s="192" t="n">
        <f aca="false">(K710+O710+Q710)*24 /1130+(L710+M710+P710+R710)*12/1130+(N710*30)/1130</f>
        <v>0</v>
      </c>
    </row>
    <row r="711" customFormat="false" ht="15" hidden="true" customHeight="true" outlineLevel="0" collapsed="false">
      <c r="B711" s="127" t="n">
        <f aca="false">B710+D711-C711</f>
        <v>0.5</v>
      </c>
      <c r="C711" s="127" t="n">
        <v>3280</v>
      </c>
      <c r="E711" s="212" t="s">
        <v>392</v>
      </c>
      <c r="F711" s="147" t="str">
        <f aca="false">IFERROR(VLOOKUP(H711,$AD$1:$AE$301,2,0),"")</f>
        <v/>
      </c>
      <c r="G711" s="147" t="str">
        <f aca="false">IFERROR(VLOOKUP(F711,$AE$2:$AF$290,2, 0),"")</f>
        <v/>
      </c>
      <c r="H711" s="212" t="s">
        <v>393</v>
      </c>
      <c r="I711" s="246" t="n">
        <f aca="false">SUM(K711:R711)</f>
        <v>0</v>
      </c>
      <c r="J711" s="182" t="n">
        <v>45645</v>
      </c>
      <c r="K711" s="184"/>
      <c r="S711" s="192" t="n">
        <f aca="false">(K711+O711+Q711)*24 /1130+(L711+M711+P711+R711)*12/1130+(N711*30)/1130</f>
        <v>0</v>
      </c>
    </row>
    <row r="712" customFormat="false" ht="15" hidden="true" customHeight="true" outlineLevel="0" collapsed="false">
      <c r="B712" s="127" t="n">
        <f aca="false">B711+D712-C712</f>
        <v>311</v>
      </c>
      <c r="D712" s="146" t="n">
        <f aca="false">155.25*2</f>
        <v>310.5</v>
      </c>
      <c r="E712" s="147" t="n">
        <v>551</v>
      </c>
      <c r="F712" s="147" t="n">
        <f aca="false">IFERROR(VLOOKUP(H712,$AD$1:$AE$301,2,0),"")</f>
        <v>587</v>
      </c>
      <c r="G712" s="147" t="str">
        <f aca="false">IFERROR(VLOOKUP(F712,$AE$2:$AF$290,2, 0),"")</f>
        <v>تبوك</v>
      </c>
      <c r="H712" s="212" t="s">
        <v>226</v>
      </c>
      <c r="I712" s="246" t="n">
        <f aca="false">SUM(K712:R712)</f>
        <v>2</v>
      </c>
      <c r="J712" s="182" t="n">
        <v>45645</v>
      </c>
      <c r="K712" s="184"/>
      <c r="R712" s="155" t="n">
        <v>2</v>
      </c>
      <c r="S712" s="192" t="n">
        <f aca="false">(K712+O712+Q712)*24 /1130+(L712+M712+P712+R712)*12/1130+(N712*30)/1130</f>
        <v>0.0212389380530973</v>
      </c>
    </row>
    <row r="713" customFormat="false" ht="15" hidden="true" customHeight="true" outlineLevel="0" collapsed="false">
      <c r="B713" s="127" t="n">
        <f aca="false">B712+D713-C713</f>
        <v>840</v>
      </c>
      <c r="D713" s="146" t="n">
        <f aca="false">264.5*2</f>
        <v>529</v>
      </c>
      <c r="E713" s="147" t="n">
        <v>550</v>
      </c>
      <c r="F713" s="147" t="n">
        <f aca="false">IFERROR(VLOOKUP(H713,$AD$1:$AE$301,2,0),"")</f>
        <v>1076</v>
      </c>
      <c r="G713" s="147" t="str">
        <f aca="false">IFERROR(VLOOKUP(F713,$AE$2:$AF$290,2, 0),"")</f>
        <v>تبوك</v>
      </c>
      <c r="H713" s="212" t="s">
        <v>244</v>
      </c>
      <c r="I713" s="246" t="n">
        <f aca="false">SUM(K713:R713)</f>
        <v>2</v>
      </c>
      <c r="J713" s="182" t="n">
        <v>45645</v>
      </c>
      <c r="K713" s="184"/>
      <c r="R713" s="155" t="n">
        <v>2</v>
      </c>
      <c r="S713" s="192" t="n">
        <f aca="false">(K713+O713+Q713)*24 /1130+(L713+M713+P713+R713)*12/1130+(N713*30)/1130</f>
        <v>0.0212389380530973</v>
      </c>
    </row>
    <row r="714" customFormat="false" ht="15" hidden="true" customHeight="true" outlineLevel="0" collapsed="false">
      <c r="B714" s="127" t="n">
        <f aca="false">B713+D714-C714</f>
        <v>0.25</v>
      </c>
      <c r="C714" s="127" t="n">
        <f aca="false">200.5+110+250+279.25</f>
        <v>839.75</v>
      </c>
      <c r="E714" s="212" t="s">
        <v>470</v>
      </c>
      <c r="F714" s="147" t="str">
        <f aca="false">IFERROR(VLOOKUP(H714,$AD$1:$AE$301,2,0),"")</f>
        <v/>
      </c>
      <c r="G714" s="147" t="str">
        <f aca="false">IFERROR(VLOOKUP(F714,$AE$2:$AF$290,2, 0),"")</f>
        <v/>
      </c>
      <c r="H714" s="212" t="s">
        <v>393</v>
      </c>
      <c r="I714" s="246" t="n">
        <f aca="false">SUM(K714:R714)</f>
        <v>0</v>
      </c>
      <c r="J714" s="182" t="n">
        <v>45645</v>
      </c>
      <c r="K714" s="184"/>
      <c r="S714" s="192" t="n">
        <f aca="false">(K714+O714+Q714)*24 /1130+(L714+M714+P714+R714)*12/1130+(N714*30)/1130</f>
        <v>0</v>
      </c>
    </row>
    <row r="715" customFormat="false" ht="15" hidden="true" customHeight="true" outlineLevel="0" collapsed="false">
      <c r="B715" s="127" t="n">
        <f aca="false">B714+D715-C715</f>
        <v>276.25</v>
      </c>
      <c r="D715" s="146" t="n">
        <f aca="false">138*2</f>
        <v>276</v>
      </c>
      <c r="E715" s="147" t="n">
        <v>552</v>
      </c>
      <c r="F715" s="147" t="n">
        <f aca="false">IFERROR(VLOOKUP(H715,$AD$1:$AE$301,2,0),"")</f>
        <v>562</v>
      </c>
      <c r="G715" s="147" t="str">
        <f aca="false">IFERROR(VLOOKUP(F715,$AE$2:$AF$290,2, 0),"")</f>
        <v>تبوك</v>
      </c>
      <c r="H715" s="212" t="s">
        <v>234</v>
      </c>
      <c r="I715" s="246" t="n">
        <f aca="false">SUM(K715:R715)</f>
        <v>2</v>
      </c>
      <c r="J715" s="182" t="n">
        <v>45648</v>
      </c>
      <c r="K715" s="184"/>
      <c r="Q715" s="154" t="n">
        <v>2</v>
      </c>
      <c r="S715" s="192" t="n">
        <f aca="false">(K715+O715+Q715)*24 /1130+(L715+M715+P715+R715)*12/1130+(N715*30)/1130</f>
        <v>0.0424778761061947</v>
      </c>
    </row>
    <row r="716" customFormat="false" ht="15" hidden="true" customHeight="true" outlineLevel="0" collapsed="false">
      <c r="B716" s="127" t="n">
        <f aca="false">B715+D716-C716</f>
        <v>586.75</v>
      </c>
      <c r="D716" s="146" t="n">
        <f aca="false">155.25*2</f>
        <v>310.5</v>
      </c>
      <c r="E716" s="147" t="n">
        <v>553</v>
      </c>
      <c r="F716" s="147" t="n">
        <f aca="false">IFERROR(VLOOKUP(H716,$AD$1:$AE$301,2,0),"")</f>
        <v>549</v>
      </c>
      <c r="G716" s="147" t="str">
        <f aca="false">IFERROR(VLOOKUP(F716,$AE$2:$AF$290,2, 0),"")</f>
        <v>تبوك</v>
      </c>
      <c r="H716" s="212" t="s">
        <v>238</v>
      </c>
      <c r="I716" s="246" t="n">
        <f aca="false">SUM(K716:R716)</f>
        <v>2</v>
      </c>
      <c r="J716" s="182" t="n">
        <v>45648</v>
      </c>
      <c r="K716" s="184"/>
      <c r="R716" s="155" t="n">
        <v>2</v>
      </c>
      <c r="S716" s="192" t="n">
        <f aca="false">(K716+O716+Q716)*24 /1130+(L716+M716+P716+R716)*12/1130+(N716*30)/1130</f>
        <v>0.0212389380530973</v>
      </c>
    </row>
    <row r="717" customFormat="false" ht="15" hidden="true" customHeight="true" outlineLevel="0" collapsed="false">
      <c r="A717" s="128" t="n">
        <f aca="false">D717-250+2-45.25</f>
        <v>0</v>
      </c>
      <c r="B717" s="127" t="n">
        <f aca="false">B716+D717-C717</f>
        <v>880</v>
      </c>
      <c r="D717" s="146" t="n">
        <f aca="false">138+155.25</f>
        <v>293.25</v>
      </c>
      <c r="E717" s="147" t="n">
        <v>554</v>
      </c>
      <c r="F717" s="147" t="n">
        <f aca="false">IFERROR(VLOOKUP(H717,$AD$1:$AE$301,2,0),"")</f>
        <v>562</v>
      </c>
      <c r="G717" s="147" t="str">
        <f aca="false">IFERROR(VLOOKUP(F717,$AE$2:$AF$290,2, 0),"")</f>
        <v>تبوك</v>
      </c>
      <c r="H717" s="212" t="s">
        <v>234</v>
      </c>
      <c r="I717" s="246" t="n">
        <f aca="false">SUM(K717:R717)</f>
        <v>2</v>
      </c>
      <c r="J717" s="182" t="n">
        <v>45648</v>
      </c>
      <c r="K717" s="184"/>
      <c r="Q717" s="154" t="n">
        <v>1</v>
      </c>
      <c r="R717" s="155" t="n">
        <v>1</v>
      </c>
      <c r="S717" s="192" t="n">
        <f aca="false">(K717+O717+Q717)*24 /1130+(L717+M717+P717+R717)*12/1130+(N717*30)/1130</f>
        <v>0.031858407079646</v>
      </c>
    </row>
    <row r="718" customFormat="false" ht="15" hidden="true" customHeight="true" outlineLevel="0" collapsed="false">
      <c r="A718" s="128" t="n">
        <f aca="false">D718-293.5-17</f>
        <v>0</v>
      </c>
      <c r="B718" s="127" t="n">
        <f aca="false">B717+D718-C718</f>
        <v>1190.5</v>
      </c>
      <c r="D718" s="146" t="n">
        <v>310.5</v>
      </c>
      <c r="E718" s="147" t="n">
        <v>555</v>
      </c>
      <c r="F718" s="147" t="n">
        <f aca="false">IFERROR(VLOOKUP(H718,$AD$1:$AE$301,2,0),"")</f>
        <v>622</v>
      </c>
      <c r="G718" s="147" t="str">
        <f aca="false">IFERROR(VLOOKUP(F718,$AE$2:$AF$290,2, 0),"")</f>
        <v>تبوك</v>
      </c>
      <c r="H718" s="212" t="s">
        <v>177</v>
      </c>
      <c r="I718" s="246" t="n">
        <f aca="false">SUM(K718:R718)</f>
        <v>1</v>
      </c>
      <c r="J718" s="182" t="n">
        <v>45648</v>
      </c>
      <c r="K718" s="184" t="n">
        <v>1</v>
      </c>
      <c r="S718" s="192" t="n">
        <f aca="false">(K718+O718+Q718)*24 /1130+(L718+M718+P718+R718)*12/1130+(N718*30)/1130</f>
        <v>0.0212389380530973</v>
      </c>
    </row>
    <row r="719" customFormat="false" ht="15" hidden="true" customHeight="true" outlineLevel="0" collapsed="false">
      <c r="A719" s="128" t="n">
        <f aca="false">D719</f>
        <v>0</v>
      </c>
      <c r="B719" s="127" t="n">
        <f aca="false">B718+D719-C719</f>
        <v>0</v>
      </c>
      <c r="C719" s="127" t="n">
        <f aca="false">D716+D715+293.5+17+293.5</f>
        <v>1190.5</v>
      </c>
      <c r="E719" s="212" t="s">
        <v>470</v>
      </c>
      <c r="F719" s="147" t="str">
        <f aca="false">IFERROR(VLOOKUP(H719,$AD$1:$AE$301,2,0),"")</f>
        <v/>
      </c>
      <c r="G719" s="147" t="str">
        <f aca="false">IFERROR(VLOOKUP(F719,$AE$2:$AF$290,2, 0),"")</f>
        <v/>
      </c>
      <c r="H719" s="212" t="s">
        <v>393</v>
      </c>
      <c r="I719" s="246" t="n">
        <f aca="false">SUM(K719:R719)</f>
        <v>0</v>
      </c>
      <c r="J719" s="182" t="n">
        <v>45648</v>
      </c>
      <c r="K719" s="184"/>
      <c r="S719" s="192" t="n">
        <f aca="false">(K719+O719+Q719)*24 /1130+(L719+M719+P719+R719)*12/1130+(N719*30)/1130</f>
        <v>0</v>
      </c>
    </row>
    <row r="720" customFormat="false" ht="15" hidden="true" customHeight="true" outlineLevel="0" collapsed="false">
      <c r="B720" s="127" t="n">
        <f aca="false">B719+D720-C720</f>
        <v>494.5</v>
      </c>
      <c r="D720" s="146" t="n">
        <f aca="false">247.25*2</f>
        <v>494.5</v>
      </c>
      <c r="E720" s="147" t="n">
        <v>556</v>
      </c>
      <c r="F720" s="147" t="n">
        <f aca="false">IFERROR(VLOOKUP(H720,$AD$1:$AE$301,2,0),"")</f>
        <v>1007996</v>
      </c>
      <c r="G720" s="147" t="str">
        <f aca="false">IFERROR(VLOOKUP(F720,$AE$2:$AF$290,2, 0),"")</f>
        <v>البير</v>
      </c>
      <c r="H720" s="212" t="s">
        <v>295</v>
      </c>
      <c r="I720" s="246" t="n">
        <f aca="false">SUM(K720:R720)</f>
        <v>2</v>
      </c>
      <c r="J720" s="182" t="n">
        <v>45649</v>
      </c>
      <c r="K720" s="184"/>
      <c r="O720" s="152" t="n">
        <f aca="false">1+1</f>
        <v>2</v>
      </c>
      <c r="S720" s="192" t="n">
        <f aca="false">(K720+O720+Q720)*24 /1130+(L720+M720+P720+R720)*12/1130+(N720*30)/1130</f>
        <v>0.0424778761061947</v>
      </c>
    </row>
    <row r="721" customFormat="false" ht="15" hidden="true" customHeight="true" outlineLevel="0" collapsed="false">
      <c r="A721" s="128" t="n">
        <f aca="false">D721-309</f>
        <v>1.5</v>
      </c>
      <c r="B721" s="127" t="n">
        <f aca="false">B720+D721-C721</f>
        <v>805</v>
      </c>
      <c r="D721" s="146" t="n">
        <v>310.5</v>
      </c>
      <c r="E721" s="147" t="n">
        <v>559</v>
      </c>
      <c r="F721" s="147" t="n">
        <f aca="false">IFERROR(VLOOKUP(H721,$AD$1:$AE$301,2,0),"")</f>
        <v>1008030</v>
      </c>
      <c r="G721" s="147" t="str">
        <f aca="false">IFERROR(VLOOKUP(F721,$AE$2:$AF$290,2, 0),"")</f>
        <v>البير</v>
      </c>
      <c r="H721" s="212" t="s">
        <v>298</v>
      </c>
      <c r="I721" s="246" t="n">
        <f aca="false">SUM(K721:R721)</f>
        <v>1</v>
      </c>
      <c r="J721" s="182" t="n">
        <v>45649</v>
      </c>
      <c r="K721" s="184" t="n">
        <v>1</v>
      </c>
      <c r="S721" s="192" t="n">
        <f aca="false">(K721+O721+Q721)*24 /1130+(L721+M721+P721+R721)*12/1130+(N721*30)/1130</f>
        <v>0.0212389380530973</v>
      </c>
    </row>
    <row r="722" customFormat="false" ht="15" hidden="true" customHeight="true" outlineLevel="0" collapsed="false">
      <c r="A722" s="128" t="n">
        <f aca="false">D722-2000-673.75</f>
        <v>0</v>
      </c>
      <c r="B722" s="127" t="n">
        <f aca="false">B721+D722-C722</f>
        <v>3478.75</v>
      </c>
      <c r="D722" s="146" t="n">
        <f aca="false">224.25*5+310.5*5</f>
        <v>2673.75</v>
      </c>
      <c r="E722" s="147" t="n">
        <v>557</v>
      </c>
      <c r="F722" s="147" t="n">
        <f aca="false">IFERROR(VLOOKUP(H722,$AD$1:$AE$301,2,0),"")</f>
        <v>1008014</v>
      </c>
      <c r="G722" s="147" t="str">
        <f aca="false">IFERROR(VLOOKUP(F722,$AE$2:$AF$290,2, 0),"")</f>
        <v>البدع</v>
      </c>
      <c r="H722" s="212" t="s">
        <v>322</v>
      </c>
      <c r="I722" s="246" t="n">
        <f aca="false">SUM(K722:R722)</f>
        <v>10</v>
      </c>
      <c r="J722" s="182" t="n">
        <v>45649</v>
      </c>
      <c r="K722" s="184" t="n">
        <v>5</v>
      </c>
      <c r="M722" s="150" t="n">
        <v>5</v>
      </c>
      <c r="S722" s="192" t="n">
        <f aca="false">(K722+O722+Q722)*24 /1130+(L722+M722+P722+R722)*12/1130+(N722*30)/1130</f>
        <v>0.15929203539823</v>
      </c>
    </row>
    <row r="723" customFormat="false" ht="15" hidden="true" customHeight="true" outlineLevel="0" collapsed="false">
      <c r="A723" s="128" t="n">
        <f aca="false">D723-5.5-293</f>
        <v>0.5</v>
      </c>
      <c r="B723" s="127" t="n">
        <f aca="false">B722+D723-C723</f>
        <v>3777.75</v>
      </c>
      <c r="D723" s="146" t="n">
        <v>299</v>
      </c>
      <c r="E723" s="147" t="n">
        <v>558</v>
      </c>
      <c r="F723" s="147" t="n">
        <f aca="false">IFERROR(VLOOKUP(H723,$AD$1:$AE$301,2,0),"")</f>
        <v>1008019</v>
      </c>
      <c r="G723" s="147" t="str">
        <f aca="false">IFERROR(VLOOKUP(F723,$AE$2:$AF$290,2, 0),"")</f>
        <v>البدع</v>
      </c>
      <c r="H723" s="212" t="s">
        <v>327</v>
      </c>
      <c r="I723" s="246" t="n">
        <f aca="false">SUM(K723:R723)</f>
        <v>1</v>
      </c>
      <c r="J723" s="182" t="n">
        <v>45642</v>
      </c>
      <c r="K723" s="184"/>
      <c r="N723" s="151" t="n">
        <v>1</v>
      </c>
      <c r="S723" s="192" t="n">
        <f aca="false">(K723+O723+Q723)*24 /1130+(L723+M723+P723+R723)*12/1130+(N723*30)/1130</f>
        <v>0.0265486725663717</v>
      </c>
    </row>
    <row r="724" customFormat="false" ht="15" hidden="true" customHeight="true" outlineLevel="0" collapsed="false">
      <c r="B724" s="127" t="n">
        <f aca="false">B723+D724-C724</f>
        <v>2674.25</v>
      </c>
      <c r="C724" s="127" t="n">
        <f aca="false">494.5+609</f>
        <v>1103.5</v>
      </c>
      <c r="E724" s="212" t="s">
        <v>470</v>
      </c>
      <c r="F724" s="147" t="str">
        <f aca="false">IFERROR(VLOOKUP(H724,$AD$1:$AE$301,2,0),"")</f>
        <v/>
      </c>
      <c r="G724" s="147" t="str">
        <f aca="false">IFERROR(VLOOKUP(F724,$AE$2:$AF$290,2, 0),"")</f>
        <v/>
      </c>
      <c r="H724" s="212" t="s">
        <v>393</v>
      </c>
      <c r="I724" s="246" t="n">
        <f aca="false">SUM(K724:R724)</f>
        <v>0</v>
      </c>
      <c r="J724" s="182" t="n">
        <v>45649</v>
      </c>
      <c r="K724" s="184"/>
      <c r="S724" s="192" t="n">
        <f aca="false">(K724+O724+Q724)*24 /1130+(L724+M724+P724+R724)*12/1130+(N724*30)/1130</f>
        <v>0</v>
      </c>
    </row>
    <row r="725" customFormat="false" ht="15" hidden="true" customHeight="true" outlineLevel="0" collapsed="false">
      <c r="B725" s="127" t="n">
        <f aca="false">B724+D725-C725</f>
        <v>0.25</v>
      </c>
      <c r="C725" s="127" t="n">
        <v>2674</v>
      </c>
      <c r="E725" s="212" t="s">
        <v>392</v>
      </c>
      <c r="F725" s="147" t="str">
        <f aca="false">IFERROR(VLOOKUP(H725,$AD$1:$AE$301,2,0),"")</f>
        <v/>
      </c>
      <c r="G725" s="147" t="str">
        <f aca="false">IFERROR(VLOOKUP(F725,$AE$2:$AF$290,2, 0),"")</f>
        <v/>
      </c>
      <c r="H725" s="212" t="s">
        <v>393</v>
      </c>
      <c r="I725" s="246" t="n">
        <f aca="false">SUM(K725:R725)</f>
        <v>0</v>
      </c>
      <c r="J725" s="182" t="n">
        <v>45649</v>
      </c>
      <c r="K725" s="184"/>
      <c r="S725" s="192" t="n">
        <f aca="false">(K725+O725+Q725)*24 /1130+(L725+M725+P725+R725)*12/1130+(N725*30)/1130</f>
        <v>0</v>
      </c>
    </row>
    <row r="726" customFormat="false" ht="15" hidden="true" customHeight="true" outlineLevel="0" collapsed="false">
      <c r="B726" s="127" t="n">
        <f aca="false">B725+D726-C726</f>
        <v>299.25</v>
      </c>
      <c r="D726" s="146" t="n">
        <v>299</v>
      </c>
      <c r="E726" s="147" t="n">
        <v>560</v>
      </c>
      <c r="F726" s="147" t="n">
        <f aca="false">IFERROR(VLOOKUP(H726,$AD$1:$AE$301,2,0),"")</f>
        <v>652</v>
      </c>
      <c r="G726" s="147" t="str">
        <f aca="false">IFERROR(VLOOKUP(F726,$AE$2:$AF$290,2, 0),"")</f>
        <v>تبوك</v>
      </c>
      <c r="H726" s="212" t="s">
        <v>263</v>
      </c>
      <c r="I726" s="246" t="n">
        <f aca="false">SUM(K726:R726)</f>
        <v>1</v>
      </c>
      <c r="J726" s="182" t="n">
        <v>45650</v>
      </c>
      <c r="K726" s="184"/>
      <c r="R726" s="155" t="n">
        <v>1</v>
      </c>
      <c r="S726" s="192" t="n">
        <f aca="false">(K726+O726+Q726)*24 /1130+(L726+M726+P726+R726)*12/1130+(N726*30)/1130</f>
        <v>0.0106194690265487</v>
      </c>
    </row>
    <row r="727" customFormat="false" ht="15" hidden="true" customHeight="true" outlineLevel="0" collapsed="false">
      <c r="B727" s="127" t="n">
        <f aca="false">B726+D727-C727</f>
        <v>920.25</v>
      </c>
      <c r="D727" s="146" t="n">
        <f aca="false">310.5*2</f>
        <v>621</v>
      </c>
      <c r="E727" s="147" t="n">
        <v>561</v>
      </c>
      <c r="F727" s="147" t="n">
        <f aca="false">IFERROR(VLOOKUP(H727,$AD$1:$AE$301,2,0),"")</f>
        <v>566</v>
      </c>
      <c r="G727" s="147" t="str">
        <f aca="false">IFERROR(VLOOKUP(F727,$AE$2:$AF$290,2, 0),"")</f>
        <v>تبوك</v>
      </c>
      <c r="H727" s="212" t="s">
        <v>168</v>
      </c>
      <c r="I727" s="246" t="n">
        <f aca="false">SUM(K727:R727)</f>
        <v>2</v>
      </c>
      <c r="J727" s="182" t="n">
        <v>45650</v>
      </c>
      <c r="K727" s="184" t="n">
        <v>2</v>
      </c>
      <c r="S727" s="192" t="n">
        <f aca="false">(K727+O727+Q727)*24 /1130+(L727+M727+P727+R727)*12/1130+(N727*30)/1130</f>
        <v>0.0424778761061947</v>
      </c>
    </row>
    <row r="728" customFormat="false" ht="15" hidden="true" customHeight="true" outlineLevel="0" collapsed="false">
      <c r="A728" s="128" t="n">
        <f aca="false">D728-264.5</f>
        <v>0</v>
      </c>
      <c r="B728" s="127" t="n">
        <f aca="false">B727+D728-C728</f>
        <v>1184.75</v>
      </c>
      <c r="D728" s="146" t="n">
        <v>264.5</v>
      </c>
      <c r="E728" s="147" t="n">
        <v>562</v>
      </c>
      <c r="F728" s="147" t="n">
        <f aca="false">IFERROR(VLOOKUP(H728,$AD$1:$AE$301,2,0),"")</f>
        <v>540</v>
      </c>
      <c r="G728" s="147" t="str">
        <f aca="false">IFERROR(VLOOKUP(F728,$AE$2:$AF$290,2, 0),"")</f>
        <v>تبوك</v>
      </c>
      <c r="H728" s="212" t="s">
        <v>222</v>
      </c>
      <c r="I728" s="246" t="n">
        <f aca="false">SUM(K728:R728)</f>
        <v>1</v>
      </c>
      <c r="J728" s="182" t="n">
        <v>45641</v>
      </c>
      <c r="K728" s="184"/>
      <c r="M728" s="150" t="n">
        <v>1</v>
      </c>
      <c r="S728" s="192" t="n">
        <f aca="false">(K728+O728+Q728)*24 /1130+(L728+M728+P728+R728)*12/1130+(N728*30)/1130</f>
        <v>0.0106194690265487</v>
      </c>
    </row>
    <row r="729" customFormat="false" ht="15" hidden="true" customHeight="true" outlineLevel="0" collapsed="false">
      <c r="B729" s="127" t="n">
        <f aca="false">B728+D729-C729</f>
        <v>0.25</v>
      </c>
      <c r="C729" s="127" t="n">
        <f aca="false">D726+D727+D728</f>
        <v>1184.5</v>
      </c>
      <c r="E729" s="212" t="s">
        <v>470</v>
      </c>
      <c r="F729" s="147" t="str">
        <f aca="false">IFERROR(VLOOKUP(H729,$AD$1:$AE$301,2,0),"")</f>
        <v/>
      </c>
      <c r="G729" s="147" t="str">
        <f aca="false">IFERROR(VLOOKUP(F729,$AE$2:$AF$290,2, 0),"")</f>
        <v/>
      </c>
      <c r="H729" s="212" t="s">
        <v>393</v>
      </c>
      <c r="I729" s="246" t="n">
        <f aca="false">SUM(K729:R729)</f>
        <v>0</v>
      </c>
      <c r="J729" s="182" t="n">
        <v>45650</v>
      </c>
      <c r="K729" s="184"/>
      <c r="S729" s="192" t="n">
        <f aca="false">(K729+O729+Q729)*24 /1130+(L729+M729+P729+R729)*12/1130+(N729*30)/1130</f>
        <v>0</v>
      </c>
    </row>
    <row r="730" customFormat="false" ht="15" hidden="true" customHeight="true" outlineLevel="0" collapsed="false">
      <c r="B730" s="127" t="n">
        <f aca="false">B729+D730-C730</f>
        <v>310.75</v>
      </c>
      <c r="D730" s="146" t="n">
        <v>310.5</v>
      </c>
      <c r="E730" s="147" t="n">
        <v>563</v>
      </c>
      <c r="F730" s="147" t="n">
        <f aca="false">IFERROR(VLOOKUP(H730,$AD$1:$AE$301,2,0),"")</f>
        <v>1007980</v>
      </c>
      <c r="G730" s="147" t="str">
        <f aca="false">IFERROR(VLOOKUP(F730,$AE$2:$AF$290,2, 0),"")</f>
        <v>ضباء</v>
      </c>
      <c r="H730" s="212" t="s">
        <v>81</v>
      </c>
      <c r="I730" s="246" t="n">
        <f aca="false">SUM(K730:R730)</f>
        <v>1</v>
      </c>
      <c r="J730" s="182" t="n">
        <v>45651</v>
      </c>
      <c r="K730" s="184" t="n">
        <v>1</v>
      </c>
      <c r="S730" s="192" t="n">
        <f aca="false">(K730+O730+Q730)*24 /1130+(L730+M730+P730+R730)*12/1130+(N730*30)/1130</f>
        <v>0.0212389380530973</v>
      </c>
    </row>
    <row r="731" customFormat="false" ht="15" hidden="true" customHeight="true" outlineLevel="0" collapsed="false">
      <c r="B731" s="127" t="n">
        <f aca="false">B730+D731-C731</f>
        <v>621.25</v>
      </c>
      <c r="D731" s="146" t="n">
        <v>310.5</v>
      </c>
      <c r="E731" s="147" t="n">
        <v>564</v>
      </c>
      <c r="F731" s="147" t="n">
        <f aca="false">IFERROR(VLOOKUP(H731,$AD$1:$AE$301,2,0),"")</f>
        <v>1008027</v>
      </c>
      <c r="G731" s="147" t="str">
        <f aca="false">IFERROR(VLOOKUP(F731,$AE$2:$AF$290,2, 0),"")</f>
        <v>ضباء</v>
      </c>
      <c r="H731" s="212" t="s">
        <v>100</v>
      </c>
      <c r="I731" s="246" t="n">
        <f aca="false">SUM(K731:R731)</f>
        <v>1</v>
      </c>
      <c r="J731" s="182" t="n">
        <v>45651</v>
      </c>
      <c r="K731" s="184" t="n">
        <v>1</v>
      </c>
      <c r="S731" s="192" t="n">
        <f aca="false">(K731+O731+Q731)*24 /1130+(L731+M731+P731+R731)*12/1130+(N731*30)/1130</f>
        <v>0.0212389380530973</v>
      </c>
    </row>
    <row r="732" customFormat="false" ht="15" hidden="true" customHeight="true" outlineLevel="0" collapsed="false">
      <c r="B732" s="127" t="n">
        <f aca="false">B731+D732-C732</f>
        <v>868.5</v>
      </c>
      <c r="D732" s="146" t="n">
        <v>247.25</v>
      </c>
      <c r="E732" s="147" t="n">
        <v>565</v>
      </c>
      <c r="F732" s="147" t="n">
        <f aca="false">IFERROR(VLOOKUP(H732,$AD$1:$AE$301,2,0),"")</f>
        <v>1008023</v>
      </c>
      <c r="G732" s="147" t="str">
        <f aca="false">IFERROR(VLOOKUP(F732,$AE$2:$AF$290,2, 0),"")</f>
        <v>ضباء</v>
      </c>
      <c r="H732" s="212" t="s">
        <v>95</v>
      </c>
      <c r="I732" s="246" t="n">
        <f aca="false">SUM(K732:R732)</f>
        <v>1</v>
      </c>
      <c r="J732" s="182" t="n">
        <v>45648</v>
      </c>
      <c r="K732" s="184"/>
      <c r="M732" s="150" t="n">
        <v>1</v>
      </c>
      <c r="S732" s="192" t="n">
        <f aca="false">(K732+O732+Q732)*24 /1130+(L732+M732+P732+R732)*12/1130+(N732*30)/1130</f>
        <v>0.0106194690265487</v>
      </c>
    </row>
    <row r="733" customFormat="false" ht="15" hidden="true" customHeight="true" outlineLevel="0" collapsed="false">
      <c r="A733" s="128" t="n">
        <f aca="false">D733-250-60</f>
        <v>0.5</v>
      </c>
      <c r="B733" s="127" t="n">
        <f aca="false">B732+D733-C733</f>
        <v>1179</v>
      </c>
      <c r="D733" s="146" t="n">
        <v>310.5</v>
      </c>
      <c r="E733" s="147" t="n">
        <v>566</v>
      </c>
      <c r="F733" s="147" t="n">
        <f aca="false">IFERROR(VLOOKUP(H733,$AD$1:$AE$301,2,0),"")</f>
        <v>1008032</v>
      </c>
      <c r="G733" s="147" t="str">
        <f aca="false">IFERROR(VLOOKUP(F733,$AE$2:$AF$290,2, 0),"")</f>
        <v>ضباء</v>
      </c>
      <c r="H733" s="212" t="s">
        <v>101</v>
      </c>
      <c r="I733" s="246" t="n">
        <f aca="false">SUM(K733:R733)</f>
        <v>1</v>
      </c>
      <c r="J733" s="182" t="n">
        <v>45651</v>
      </c>
      <c r="K733" s="184" t="n">
        <v>1</v>
      </c>
      <c r="S733" s="192" t="n">
        <f aca="false">(K733+O733+Q733)*24 /1130+(L733+M733+P733+R733)*12/1130+(N733*30)/1130</f>
        <v>0.0212389380530973</v>
      </c>
    </row>
    <row r="734" customFormat="false" ht="15" hidden="true" customHeight="true" outlineLevel="0" collapsed="false">
      <c r="B734" s="127" t="n">
        <f aca="false">B733+D734-C734</f>
        <v>1800</v>
      </c>
      <c r="D734" s="146" t="n">
        <f aca="false">310.5*2</f>
        <v>621</v>
      </c>
      <c r="E734" s="147" t="n">
        <v>567</v>
      </c>
      <c r="F734" s="147" t="n">
        <f aca="false">IFERROR(VLOOKUP(H734,$AD$1:$AE$301,2,0),"")</f>
        <v>1008048</v>
      </c>
      <c r="G734" s="147" t="str">
        <f aca="false">IFERROR(VLOOKUP(F734,$AE$2:$AF$290,2, 0),"")</f>
        <v>الوجه</v>
      </c>
      <c r="H734" s="212" t="s">
        <v>110</v>
      </c>
      <c r="I734" s="246" t="n">
        <f aca="false">SUM(K734:R734)</f>
        <v>2</v>
      </c>
      <c r="J734" s="182" t="n">
        <v>45651</v>
      </c>
      <c r="K734" s="184" t="n">
        <v>2</v>
      </c>
      <c r="S734" s="192" t="n">
        <f aca="false">(K734+O734+Q734)*24 /1130+(L734+M734+P734+R734)*12/1130+(N734*30)/1130</f>
        <v>0.0424778761061947</v>
      </c>
    </row>
    <row r="735" customFormat="false" ht="15" hidden="true" customHeight="true" outlineLevel="0" collapsed="false">
      <c r="B735" s="127" t="n">
        <f aca="false">B734+D735-C735</f>
        <v>2110.5</v>
      </c>
      <c r="D735" s="146" t="n">
        <v>310.5</v>
      </c>
      <c r="E735" s="147" t="n">
        <v>568</v>
      </c>
      <c r="F735" s="147" t="n">
        <f aca="false">IFERROR(VLOOKUP(H735,$AD$1:$AE$301,2,0),"")</f>
        <v>1008043</v>
      </c>
      <c r="G735" s="147" t="str">
        <f aca="false">IFERROR(VLOOKUP(F735,$AE$2:$AF$290,2, 0),"")</f>
        <v>الوجه</v>
      </c>
      <c r="H735" s="212" t="s">
        <v>104</v>
      </c>
      <c r="I735" s="246" t="n">
        <f aca="false">SUM(K735:R735)</f>
        <v>1</v>
      </c>
      <c r="J735" s="182" t="n">
        <v>45651</v>
      </c>
      <c r="K735" s="184" t="n">
        <v>1</v>
      </c>
      <c r="S735" s="192" t="n">
        <f aca="false">(K735+O735+Q735)*24 /1130+(L735+M735+P735+R735)*12/1130+(N735*30)/1130</f>
        <v>0.0212389380530973</v>
      </c>
    </row>
    <row r="736" customFormat="false" ht="15" hidden="true" customHeight="true" outlineLevel="0" collapsed="false">
      <c r="B736" s="127" t="n">
        <f aca="false">B735+D736-C736</f>
        <v>3490.5</v>
      </c>
      <c r="D736" s="146" t="n">
        <f aca="false">310.5*3+224.25*2</f>
        <v>1380</v>
      </c>
      <c r="E736" s="147" t="n">
        <v>569</v>
      </c>
      <c r="F736" s="147" t="n">
        <f aca="false">IFERROR(VLOOKUP(H736,$AD$1:$AE$301,2,0),"")</f>
        <v>1008047</v>
      </c>
      <c r="G736" s="147" t="str">
        <f aca="false">IFERROR(VLOOKUP(F736,$AE$2:$AF$290,2, 0),"")</f>
        <v>الوجه</v>
      </c>
      <c r="H736" s="212" t="s">
        <v>422</v>
      </c>
      <c r="I736" s="246" t="n">
        <f aca="false">SUM(K736:R736)</f>
        <v>5</v>
      </c>
      <c r="J736" s="182" t="n">
        <v>45651</v>
      </c>
      <c r="K736" s="184" t="n">
        <f aca="false">2+1</f>
        <v>3</v>
      </c>
      <c r="M736" s="150" t="n">
        <v>2</v>
      </c>
      <c r="S736" s="192" t="n">
        <f aca="false">(K736+O736+Q736)*24 /1130+(L736+M736+P736+R736)*12/1130+(N736*30)/1130</f>
        <v>0.0849557522123894</v>
      </c>
    </row>
    <row r="737" customFormat="false" ht="15" hidden="true" customHeight="true" outlineLevel="0" collapsed="false">
      <c r="A737" s="128" t="n">
        <f aca="false">D737-200-20-90.5</f>
        <v>0</v>
      </c>
      <c r="B737" s="127" t="n">
        <f aca="false">B736+D737-C737</f>
        <v>3801</v>
      </c>
      <c r="D737" s="146" t="n">
        <v>310.5</v>
      </c>
      <c r="E737" s="147" t="n">
        <v>570</v>
      </c>
      <c r="F737" s="147" t="n">
        <f aca="false">IFERROR(VLOOKUP(H737,$AD$1:$AE$301,2,0),"")</f>
        <v>656</v>
      </c>
      <c r="G737" s="147" t="str">
        <f aca="false">IFERROR(VLOOKUP(F737,$AE$2:$AF$290,2, 0),"")</f>
        <v>الوجه</v>
      </c>
      <c r="H737" s="212" t="s">
        <v>115</v>
      </c>
      <c r="I737" s="246" t="n">
        <f aca="false">SUM(K737:R737)</f>
        <v>1</v>
      </c>
      <c r="J737" s="182" t="n">
        <v>45651</v>
      </c>
      <c r="K737" s="184" t="n">
        <v>1</v>
      </c>
      <c r="S737" s="192" t="n">
        <f aca="false">(K737+O737+Q737)*24 /1130+(L737+M737+P737+R737)*12/1130+(N737*30)/1130</f>
        <v>0.0212389380530973</v>
      </c>
    </row>
    <row r="738" customFormat="false" ht="15" hidden="true" customHeight="true" outlineLevel="0" collapsed="false">
      <c r="A738" s="128" t="n">
        <f aca="false">D738-500-300</f>
        <v>-0.75</v>
      </c>
      <c r="B738" s="127" t="n">
        <f aca="false">B737+D738-C738</f>
        <v>4600.25</v>
      </c>
      <c r="D738" s="146" t="n">
        <f aca="false">310.5*2+178.25</f>
        <v>799.25</v>
      </c>
      <c r="E738" s="147" t="n">
        <v>571</v>
      </c>
      <c r="F738" s="147" t="n">
        <f aca="false">IFERROR(VLOOKUP(H738,$AD$1:$AE$301,2,0),"")</f>
        <v>1008050</v>
      </c>
      <c r="G738" s="147" t="str">
        <f aca="false">IFERROR(VLOOKUP(F738,$AE$2:$AF$290,2, 0),"")</f>
        <v>ضباء</v>
      </c>
      <c r="H738" s="212" t="s">
        <v>92</v>
      </c>
      <c r="I738" s="246" t="n">
        <f aca="false">SUM(K738:R738)</f>
        <v>3</v>
      </c>
      <c r="J738" s="182" t="n">
        <v>45651</v>
      </c>
      <c r="K738" s="184" t="n">
        <v>2</v>
      </c>
      <c r="L738" s="149" t="n">
        <v>1</v>
      </c>
      <c r="S738" s="192" t="n">
        <f aca="false">(K738+O738+Q738)*24 /1130+(L738+M738+P738+R738)*12/1130+(N738*30)/1130</f>
        <v>0.0530973451327434</v>
      </c>
    </row>
    <row r="739" customFormat="false" ht="15" hidden="true" customHeight="true" outlineLevel="0" collapsed="false">
      <c r="B739" s="127" t="n">
        <f aca="false">B738+D739-C739</f>
        <v>5048.75</v>
      </c>
      <c r="D739" s="146" t="n">
        <f aca="false">155.25*2+138</f>
        <v>448.5</v>
      </c>
      <c r="E739" s="147" t="n">
        <v>572</v>
      </c>
      <c r="F739" s="147" t="n">
        <f aca="false">IFERROR(VLOOKUP(H739,$AD$1:$AE$301,2,0),"")</f>
        <v>1008022</v>
      </c>
      <c r="G739" s="147" t="str">
        <f aca="false">IFERROR(VLOOKUP(F739,$AE$2:$AF$290,2, 0),"")</f>
        <v>ضباء</v>
      </c>
      <c r="H739" s="212" t="s">
        <v>94</v>
      </c>
      <c r="I739" s="246" t="n">
        <f aca="false">SUM(K739:R739)</f>
        <v>3</v>
      </c>
      <c r="J739" s="182" t="n">
        <v>45651</v>
      </c>
      <c r="K739" s="184"/>
      <c r="Q739" s="154" t="n">
        <v>1</v>
      </c>
      <c r="R739" s="155" t="n">
        <v>2</v>
      </c>
      <c r="S739" s="192" t="n">
        <f aca="false">(K739+O739+Q739)*24 /1130+(L739+M739+P739+R739)*12/1130+(N739*30)/1130</f>
        <v>0.0424778761061947</v>
      </c>
    </row>
    <row r="740" customFormat="false" ht="15" hidden="true" customHeight="true" outlineLevel="0" collapsed="false">
      <c r="A740" s="128" t="n">
        <f aca="false">D740-1628.5-200</f>
        <v>0</v>
      </c>
      <c r="B740" s="127" t="n">
        <f aca="false">B739+D740-C740</f>
        <v>6877.25</v>
      </c>
      <c r="D740" s="146" t="n">
        <f aca="false">5*241.5+2*310.5</f>
        <v>1828.5</v>
      </c>
      <c r="E740" s="147" t="n">
        <v>573</v>
      </c>
      <c r="F740" s="147" t="n">
        <f aca="false">IFERROR(VLOOKUP(H740,$AD$1:$AE$301,2,0),"")</f>
        <v>1008024</v>
      </c>
      <c r="G740" s="147" t="str">
        <f aca="false">IFERROR(VLOOKUP(F740,$AE$2:$AF$290,2, 0),"")</f>
        <v>ضباء</v>
      </c>
      <c r="H740" s="212" t="s">
        <v>96</v>
      </c>
      <c r="I740" s="246" t="n">
        <f aca="false">SUM(K740:R740)</f>
        <v>7</v>
      </c>
      <c r="J740" s="182" t="n">
        <v>45651</v>
      </c>
      <c r="K740" s="184" t="n">
        <v>2</v>
      </c>
      <c r="M740" s="150" t="n">
        <v>5</v>
      </c>
      <c r="S740" s="192" t="n">
        <f aca="false">(K740+O740+Q740)*24 /1130+(L740+M740+P740+R740)*12/1130+(N740*30)/1130</f>
        <v>0.0955752212389381</v>
      </c>
    </row>
    <row r="741" customFormat="false" ht="15" hidden="true" customHeight="true" outlineLevel="0" collapsed="false">
      <c r="B741" s="127" t="n">
        <f aca="false">B740+D741-C741</f>
        <v>8130.75</v>
      </c>
      <c r="D741" s="146" t="n">
        <f aca="false">264.5*2+241.5*3</f>
        <v>1253.5</v>
      </c>
      <c r="E741" s="147" t="n">
        <v>574</v>
      </c>
      <c r="F741" s="147" t="n">
        <f aca="false">IFERROR(VLOOKUP(H741,$AD$1:$AE$301,2,0),"")</f>
        <v>1007988</v>
      </c>
      <c r="G741" s="147" t="str">
        <f aca="false">IFERROR(VLOOKUP(F741,$AE$2:$AF$290,2, 0),"")</f>
        <v>ضباء</v>
      </c>
      <c r="H741" s="212" t="s">
        <v>89</v>
      </c>
      <c r="I741" s="246" t="n">
        <f aca="false">SUM(K741:R741)</f>
        <v>5</v>
      </c>
      <c r="J741" s="182" t="n">
        <v>45651</v>
      </c>
      <c r="K741" s="184"/>
      <c r="M741" s="150" t="n">
        <f aca="false">3+2</f>
        <v>5</v>
      </c>
      <c r="S741" s="192" t="n">
        <f aca="false">(K741+O741+Q741)*24 /1130+(L741+M741+P741+R741)*12/1130+(N741*30)/1130</f>
        <v>0.0530973451327434</v>
      </c>
    </row>
    <row r="742" customFormat="false" ht="15" hidden="true" customHeight="true" outlineLevel="0" collapsed="false">
      <c r="B742" s="127" t="n">
        <f aca="false">B741+D742-C742</f>
        <v>8878.25</v>
      </c>
      <c r="D742" s="146" t="n">
        <f aca="false">224.25*2+299</f>
        <v>747.5</v>
      </c>
      <c r="E742" s="147" t="n">
        <v>575</v>
      </c>
      <c r="F742" s="147" t="n">
        <f aca="false">IFERROR(VLOOKUP(H742,$AD$1:$AE$301,2,0),"")</f>
        <v>1007989</v>
      </c>
      <c r="G742" s="147" t="str">
        <f aca="false">IFERROR(VLOOKUP(F742,$AE$2:$AF$290,2, 0),"")</f>
        <v>ضباء</v>
      </c>
      <c r="H742" s="212" t="s">
        <v>90</v>
      </c>
      <c r="I742" s="246" t="n">
        <f aca="false">SUM(K742:R742)</f>
        <v>3</v>
      </c>
      <c r="J742" s="182" t="n">
        <v>45651</v>
      </c>
      <c r="K742" s="184"/>
      <c r="M742" s="150" t="n">
        <v>2</v>
      </c>
      <c r="N742" s="151" t="n">
        <v>1</v>
      </c>
      <c r="S742" s="192" t="n">
        <f aca="false">(K742+O742+Q742)*24 /1130+(L742+M742+P742+R742)*12/1130+(N742*30)/1130</f>
        <v>0.047787610619469</v>
      </c>
    </row>
    <row r="743" customFormat="false" ht="15" hidden="true" customHeight="true" outlineLevel="0" collapsed="false">
      <c r="B743" s="127" t="n">
        <f aca="false">B742+D743-C743</f>
        <v>5237.25</v>
      </c>
      <c r="C743" s="127" t="n">
        <f aca="false">D730+D739+D741+D740-200</f>
        <v>3641</v>
      </c>
      <c r="E743" s="212" t="s">
        <v>470</v>
      </c>
      <c r="F743" s="147" t="str">
        <f aca="false">IFERROR(VLOOKUP(H743,$AD$1:$AE$301,2,0),"")</f>
        <v/>
      </c>
      <c r="G743" s="147" t="str">
        <f aca="false">IFERROR(VLOOKUP(F743,$AE$2:$AF$290,2, 0),"")</f>
        <v/>
      </c>
      <c r="H743" s="212" t="s">
        <v>393</v>
      </c>
      <c r="I743" s="246" t="n">
        <f aca="false">SUM(K743:R743)</f>
        <v>0</v>
      </c>
      <c r="J743" s="182" t="n">
        <v>45651</v>
      </c>
      <c r="K743" s="184"/>
      <c r="S743" s="192" t="n">
        <f aca="false">(K743+O743+Q743)*24 /1130+(L743+M743+P743+R743)*12/1130+(N743*30)/1130</f>
        <v>0</v>
      </c>
    </row>
    <row r="744" customFormat="false" ht="15" hidden="true" customHeight="true" outlineLevel="0" collapsed="false">
      <c r="B744" s="127" t="n">
        <f aca="false">B743+D744-C744</f>
        <v>0</v>
      </c>
      <c r="C744" s="127" t="n">
        <v>5237</v>
      </c>
      <c r="D744" s="146" t="n">
        <v>-0.25</v>
      </c>
      <c r="E744" s="212" t="s">
        <v>653</v>
      </c>
      <c r="F744" s="147" t="str">
        <f aca="false">IFERROR(VLOOKUP(H744,$AD$1:$AE$301,2,0),"")</f>
        <v/>
      </c>
      <c r="G744" s="147" t="str">
        <f aca="false">IFERROR(VLOOKUP(F744,$AE$2:$AF$290,2, 0),"")</f>
        <v/>
      </c>
      <c r="H744" s="212" t="s">
        <v>393</v>
      </c>
      <c r="I744" s="246" t="n">
        <f aca="false">SUM(K744:R744)</f>
        <v>0</v>
      </c>
      <c r="J744" s="182" t="n">
        <v>45652</v>
      </c>
      <c r="K744" s="184"/>
      <c r="S744" s="192" t="n">
        <f aca="false">(K744+O744+Q744)*24 /1130+(L744+M744+P744+R744)*12/1130+(N744*30)/1130</f>
        <v>0</v>
      </c>
    </row>
    <row r="745" customFormat="false" ht="15" hidden="true" customHeight="true" outlineLevel="0" collapsed="false">
      <c r="A745" s="128" t="n">
        <f aca="false">D745+10.5-300-21</f>
        <v>0</v>
      </c>
      <c r="B745" s="127" t="n">
        <f aca="false">B744+D745-C745</f>
        <v>310.5</v>
      </c>
      <c r="D745" s="146" t="n">
        <v>310.5</v>
      </c>
      <c r="E745" s="147" t="n">
        <v>676</v>
      </c>
      <c r="F745" s="147" t="n">
        <f aca="false">IFERROR(VLOOKUP(H745,$AD$1:$AE$301,2,0),"")</f>
        <v>1008272</v>
      </c>
      <c r="G745" s="147" t="str">
        <f aca="false">IFERROR(VLOOKUP(F745,$AE$2:$AF$290,2, 0),"")</f>
        <v>تبوك</v>
      </c>
      <c r="H745" s="212" t="s">
        <v>143</v>
      </c>
      <c r="I745" s="246" t="n">
        <f aca="false">SUM(K745:R745)</f>
        <v>1</v>
      </c>
      <c r="J745" s="182" t="n">
        <v>45652</v>
      </c>
      <c r="K745" s="184" t="n">
        <v>1</v>
      </c>
      <c r="S745" s="192" t="n">
        <f aca="false">(K745+O745+Q745)*24 /1130+(L745+M745+P745+R745)*12/1130+(N745*30)/1130</f>
        <v>0.0212389380530973</v>
      </c>
    </row>
    <row r="746" customFormat="false" ht="15" hidden="true" customHeight="true" outlineLevel="0" collapsed="false">
      <c r="A746" s="230" t="n">
        <f aca="false">D746+45.25-150-50</f>
        <v>0.5</v>
      </c>
      <c r="B746" s="127" t="n">
        <f aca="false">B745+D746-C746</f>
        <v>465.75</v>
      </c>
      <c r="D746" s="146" t="n">
        <v>155.25</v>
      </c>
      <c r="E746" s="147" t="n">
        <v>578</v>
      </c>
      <c r="F746" s="147" t="n">
        <f aca="false">IFERROR(VLOOKUP(H746,$AD$1:$AE$301,2,0),"")</f>
        <v>562</v>
      </c>
      <c r="G746" s="147" t="str">
        <f aca="false">IFERROR(VLOOKUP(F746,$AE$2:$AF$290,2, 0),"")</f>
        <v>تبوك</v>
      </c>
      <c r="H746" s="212" t="s">
        <v>234</v>
      </c>
      <c r="I746" s="246" t="n">
        <f aca="false">SUM(K746:R746)</f>
        <v>1</v>
      </c>
      <c r="J746" s="182" t="n">
        <v>45652</v>
      </c>
      <c r="K746" s="184"/>
      <c r="R746" s="155" t="n">
        <v>1</v>
      </c>
      <c r="S746" s="192" t="n">
        <f aca="false">(K746+O746+Q746)*24 /1130+(L746+M746+P746+R746)*12/1130+(N746*30)/1130</f>
        <v>0.0106194690265487</v>
      </c>
    </row>
    <row r="747" customFormat="false" ht="15" hidden="true" customHeight="true" outlineLevel="0" collapsed="false">
      <c r="A747" s="128" t="n">
        <f aca="false">D747-62-202.5</f>
        <v>0</v>
      </c>
      <c r="B747" s="127" t="n">
        <f aca="false">B746+D747-C747</f>
        <v>730.25</v>
      </c>
      <c r="D747" s="146" t="n">
        <v>264.5</v>
      </c>
      <c r="E747" s="147" t="n">
        <v>577</v>
      </c>
      <c r="F747" s="147" t="n">
        <f aca="false">IFERROR(VLOOKUP(H747,$AD$1:$AE$301,2,0),"")</f>
        <v>654</v>
      </c>
      <c r="G747" s="147" t="str">
        <f aca="false">IFERROR(VLOOKUP(F747,$AE$2:$AF$290,2, 0),"")</f>
        <v>تبوك</v>
      </c>
      <c r="H747" s="212" t="s">
        <v>266</v>
      </c>
      <c r="I747" s="246" t="n">
        <f aca="false">SUM(K747:R747)</f>
        <v>1</v>
      </c>
      <c r="J747" s="182" t="n">
        <v>45652</v>
      </c>
      <c r="K747" s="184"/>
      <c r="M747" s="150" t="n">
        <v>1</v>
      </c>
      <c r="S747" s="192" t="n">
        <f aca="false">(K747+O747+Q747)*24 /1130+(L747+M747+P747+R747)*12/1130+(N747*30)/1130</f>
        <v>0.0106194690265487</v>
      </c>
    </row>
    <row r="748" customFormat="false" ht="15" hidden="true" customHeight="true" outlineLevel="0" collapsed="false">
      <c r="A748" s="128" t="n">
        <f aca="false">D748-494.5</f>
        <v>0</v>
      </c>
      <c r="B748" s="127" t="n">
        <f aca="false">B747+D748-C748</f>
        <v>1224.75</v>
      </c>
      <c r="D748" s="146" t="n">
        <f aca="false">247.25*2</f>
        <v>494.5</v>
      </c>
      <c r="E748" s="147" t="n">
        <v>579</v>
      </c>
      <c r="F748" s="147" t="n">
        <f aca="false">IFERROR(VLOOKUP(H748,$AD$1:$AE$301,2,0),"")</f>
        <v>636</v>
      </c>
      <c r="G748" s="147" t="str">
        <f aca="false">IFERROR(VLOOKUP(F748,$AE$2:$AF$290,2, 0),"")</f>
        <v>تبوك</v>
      </c>
      <c r="H748" s="212" t="s">
        <v>134</v>
      </c>
      <c r="I748" s="246" t="n">
        <f aca="false">SUM(K748:R748)</f>
        <v>2</v>
      </c>
      <c r="J748" s="182" t="n">
        <v>45652</v>
      </c>
      <c r="K748" s="184"/>
      <c r="O748" s="152" t="n">
        <v>2</v>
      </c>
      <c r="S748" s="192" t="n">
        <f aca="false">(K748+O748+Q748)*24 /1130+(L748+M748+P748+R748)*12/1130+(N748*30)/1130</f>
        <v>0.0424778761061947</v>
      </c>
    </row>
    <row r="749" customFormat="false" ht="15" hidden="true" customHeight="true" outlineLevel="0" collapsed="false">
      <c r="A749" s="128" t="n">
        <f aca="false">D749-1900-90</f>
        <v>-0.5</v>
      </c>
      <c r="B749" s="127" t="n">
        <f aca="false">B748+D749-C749</f>
        <v>3214.25</v>
      </c>
      <c r="D749" s="146" t="n">
        <f aca="false">310.5*4+345+247.25+155.25</f>
        <v>1989.5</v>
      </c>
      <c r="E749" s="147" t="n">
        <v>580</v>
      </c>
      <c r="F749" s="147" t="n">
        <f aca="false">IFERROR(VLOOKUP(H749,$AD$1:$AE$301,2,0),"")</f>
        <v>575</v>
      </c>
      <c r="G749" s="147" t="str">
        <f aca="false">IFERROR(VLOOKUP(F749,$AE$2:$AF$290,2, 0),"")</f>
        <v>تبوك</v>
      </c>
      <c r="H749" s="212" t="s">
        <v>132</v>
      </c>
      <c r="I749" s="246" t="n">
        <f aca="false">SUM(K749:R749)</f>
        <v>7</v>
      </c>
      <c r="J749" s="182" t="n">
        <v>45654</v>
      </c>
      <c r="K749" s="184" t="n">
        <f aca="false">2+2</f>
        <v>4</v>
      </c>
      <c r="M749" s="150" t="n">
        <v>1</v>
      </c>
      <c r="O749" s="152" t="n">
        <v>1</v>
      </c>
      <c r="R749" s="155" t="n">
        <v>1</v>
      </c>
      <c r="S749" s="192" t="n">
        <f aca="false">(K749+O749+Q749)*24 /1130+(L749+M749+P749+R749)*12/1130+(N749*30)/1130</f>
        <v>0.127433628318584</v>
      </c>
    </row>
    <row r="750" customFormat="false" ht="15" hidden="true" customHeight="true" outlineLevel="0" collapsed="false">
      <c r="A750" s="128" t="n">
        <f aca="false">D750-310.5</f>
        <v>0</v>
      </c>
      <c r="B750" s="127" t="n">
        <f aca="false">B749+D750-C750</f>
        <v>3524.75</v>
      </c>
      <c r="D750" s="146" t="n">
        <v>310.5</v>
      </c>
      <c r="E750" s="147" t="n">
        <v>581</v>
      </c>
      <c r="F750" s="147" t="n">
        <f aca="false">IFERROR(VLOOKUP(H750,$AD$1:$AE$301,2,0),"")</f>
        <v>636</v>
      </c>
      <c r="G750" s="147" t="str">
        <f aca="false">IFERROR(VLOOKUP(F750,$AE$2:$AF$290,2, 0),"")</f>
        <v>تبوك</v>
      </c>
      <c r="H750" s="212" t="s">
        <v>134</v>
      </c>
      <c r="I750" s="246" t="n">
        <f aca="false">SUM(K750:R750)</f>
        <v>1</v>
      </c>
      <c r="J750" s="182" t="n">
        <v>45654</v>
      </c>
      <c r="K750" s="184" t="n">
        <v>1</v>
      </c>
      <c r="S750" s="192" t="n">
        <f aca="false">(K750+O750+Q750)*24 /1130+(L750+M750+P750+R750)*12/1130+(N750*30)/1130</f>
        <v>0.0212389380530973</v>
      </c>
    </row>
    <row r="751" customFormat="false" ht="15" hidden="true" customHeight="true" outlineLevel="0" collapsed="false">
      <c r="B751" s="127" t="n">
        <f aca="false">B750+D751-C751</f>
        <v>3680</v>
      </c>
      <c r="D751" s="146" t="n">
        <v>155.25</v>
      </c>
      <c r="E751" s="147" t="n">
        <v>582</v>
      </c>
      <c r="F751" s="147" t="n">
        <f aca="false">IFERROR(VLOOKUP(H751,$AD$1:$AE$301,2,0),"")</f>
        <v>622</v>
      </c>
      <c r="G751" s="147" t="str">
        <f aca="false">IFERROR(VLOOKUP(F751,$AE$2:$AF$290,2, 0),"")</f>
        <v>تبوك</v>
      </c>
      <c r="H751" s="212" t="s">
        <v>177</v>
      </c>
      <c r="I751" s="246" t="n">
        <f aca="false">SUM(K751:R751)</f>
        <v>1</v>
      </c>
      <c r="J751" s="182" t="n">
        <v>45654</v>
      </c>
      <c r="K751" s="184"/>
      <c r="R751" s="155" t="n">
        <v>1</v>
      </c>
      <c r="S751" s="192" t="n">
        <f aca="false">(K751+O751+Q751)*24 /1130+(L751+M751+P751+R751)*12/1130+(N751*30)/1130</f>
        <v>0.0106194690265487</v>
      </c>
    </row>
    <row r="752" customFormat="false" ht="15" hidden="true" customHeight="true" outlineLevel="0" collapsed="false">
      <c r="A752" s="128" t="n">
        <f aca="false">D752-150-106-20-10-60-50-45-85</f>
        <v>3</v>
      </c>
      <c r="B752" s="127" t="n">
        <f aca="false">B751+D752-C752</f>
        <v>4209</v>
      </c>
      <c r="D752" s="146" t="n">
        <f aca="false">264.5*2</f>
        <v>529</v>
      </c>
      <c r="E752" s="147" t="n">
        <v>583</v>
      </c>
      <c r="F752" s="147" t="n">
        <f aca="false">IFERROR(VLOOKUP(H752,$AD$1:$AE$301,2,0),"")</f>
        <v>540</v>
      </c>
      <c r="G752" s="147" t="str">
        <f aca="false">IFERROR(VLOOKUP(F752,$AE$2:$AF$290,2, 0),"")</f>
        <v>تبوك</v>
      </c>
      <c r="H752" s="212" t="s">
        <v>222</v>
      </c>
      <c r="I752" s="246" t="n">
        <f aca="false">SUM(K752:R752)</f>
        <v>2</v>
      </c>
      <c r="J752" s="182" t="n">
        <v>45654</v>
      </c>
      <c r="K752" s="184"/>
      <c r="M752" s="150" t="n">
        <v>2</v>
      </c>
      <c r="S752" s="192" t="n">
        <f aca="false">(K752+O752+Q752)*24 /1130+(L752+M752+P752+R752)*12/1130+(N752*30)/1130</f>
        <v>0.0212389380530973</v>
      </c>
    </row>
    <row r="753" customFormat="false" ht="15" hidden="true" customHeight="true" outlineLevel="0" collapsed="false">
      <c r="B753" s="127" t="n">
        <f aca="false">B752+D753-C753</f>
        <v>812</v>
      </c>
      <c r="C753" s="127" t="n">
        <v>3397</v>
      </c>
      <c r="E753" s="212" t="s">
        <v>654</v>
      </c>
      <c r="F753" s="147" t="str">
        <f aca="false">IFERROR(VLOOKUP(H753,$AD$1:$AE$301,2,0),"")</f>
        <v/>
      </c>
      <c r="G753" s="147" t="str">
        <f aca="false">IFERROR(VLOOKUP(F753,$AE$2:$AF$290,2, 0),"")</f>
        <v/>
      </c>
      <c r="H753" s="212" t="s">
        <v>393</v>
      </c>
      <c r="I753" s="246" t="n">
        <f aca="false">SUM(K753:R753)</f>
        <v>0</v>
      </c>
      <c r="J753" s="182" t="n">
        <v>45655</v>
      </c>
      <c r="K753" s="184"/>
      <c r="S753" s="192" t="n">
        <f aca="false">(K753+O753+Q753)*24 /1130+(L753+M753+P753+R753)*12/1130+(N753*30)/1130</f>
        <v>0</v>
      </c>
    </row>
    <row r="754" customFormat="false" ht="15" hidden="true" customHeight="true" outlineLevel="0" collapsed="false">
      <c r="B754" s="127" t="n">
        <f aca="false">B753+D754-C754</f>
        <v>0.25</v>
      </c>
      <c r="C754" s="127" t="n">
        <f aca="false">D750+D751+10+60+20+106+150</f>
        <v>811.75</v>
      </c>
      <c r="E754" s="212" t="s">
        <v>470</v>
      </c>
      <c r="F754" s="147" t="str">
        <f aca="false">IFERROR(VLOOKUP(H754,$AD$1:$AE$301,2,0),"")</f>
        <v/>
      </c>
      <c r="G754" s="147" t="str">
        <f aca="false">IFERROR(VLOOKUP(F754,$AE$2:$AF$290,2, 0),"")</f>
        <v/>
      </c>
      <c r="H754" s="212" t="s">
        <v>393</v>
      </c>
      <c r="I754" s="246" t="n">
        <f aca="false">SUM(K754:R754)</f>
        <v>0</v>
      </c>
      <c r="J754" s="182" t="n">
        <v>45655</v>
      </c>
      <c r="K754" s="184"/>
      <c r="S754" s="192" t="n">
        <f aca="false">(K754+O754+Q754)*24 /1130+(L754+M754+P754+R754)*12/1130+(N754*30)/1130</f>
        <v>0</v>
      </c>
    </row>
    <row r="755" customFormat="false" ht="15" hidden="true" customHeight="true" outlineLevel="0" collapsed="false">
      <c r="A755" s="128" t="n">
        <f aca="false">D755+8.5-200-350-20-100-200-179.25</f>
        <v>0</v>
      </c>
      <c r="B755" s="127" t="n">
        <f aca="false">B754+D755-C755</f>
        <v>1041</v>
      </c>
      <c r="D755" s="146" t="n">
        <f aca="false">310.5+310.5+155.25+264.5</f>
        <v>1040.75</v>
      </c>
      <c r="E755" s="147" t="n">
        <v>584</v>
      </c>
      <c r="F755" s="147" t="n">
        <f aca="false">IFERROR(VLOOKUP(H755,$AD$1:$AE$301,2,0),"")</f>
        <v>1002940</v>
      </c>
      <c r="G755" s="147" t="str">
        <f aca="false">IFERROR(VLOOKUP(F755,$AE$2:$AF$290,2, 0),"")</f>
        <v>تبوك</v>
      </c>
      <c r="H755" s="212" t="s">
        <v>167</v>
      </c>
      <c r="I755" s="246" t="n">
        <f aca="false">SUM(K755:R755)</f>
        <v>4</v>
      </c>
      <c r="J755" s="182" t="n">
        <v>45655</v>
      </c>
      <c r="K755" s="184" t="n">
        <f aca="false">1+1</f>
        <v>2</v>
      </c>
      <c r="M755" s="150" t="n">
        <v>1</v>
      </c>
      <c r="R755" s="155" t="n">
        <v>1</v>
      </c>
      <c r="S755" s="192" t="n">
        <f aca="false">(K755+O755+Q755)*24 /1130+(L755+M755+P755+R755)*12/1130+(N755*30)/1130</f>
        <v>0.063716814159292</v>
      </c>
    </row>
    <row r="756" customFormat="false" ht="15" hidden="true" customHeight="true" outlineLevel="0" collapsed="false">
      <c r="B756" s="127" t="n">
        <f aca="false">B755+D756-C756</f>
        <v>0</v>
      </c>
      <c r="C756" s="127" t="n">
        <f aca="false">D748+546.5</f>
        <v>1041</v>
      </c>
      <c r="E756" s="212" t="s">
        <v>470</v>
      </c>
      <c r="F756" s="147" t="str">
        <f aca="false">IFERROR(VLOOKUP(H756,$AD$1:$AE$301,2,0),"")</f>
        <v/>
      </c>
      <c r="G756" s="147" t="str">
        <f aca="false">IFERROR(VLOOKUP(F756,$AE$2:$AF$290,2, 0),"")</f>
        <v/>
      </c>
      <c r="H756" s="212" t="s">
        <v>393</v>
      </c>
      <c r="I756" s="246" t="n">
        <f aca="false">SUM(K756:R756)</f>
        <v>0</v>
      </c>
      <c r="J756" s="182" t="n">
        <v>45655</v>
      </c>
      <c r="K756" s="184"/>
      <c r="S756" s="192" t="n">
        <f aca="false">(K756+O756+Q756)*24 /1130+(L756+M756+P756+R756)*12/1130+(N756*30)/1130</f>
        <v>0</v>
      </c>
    </row>
    <row r="757" customFormat="false" ht="15" hidden="true" customHeight="true" outlineLevel="0" collapsed="false">
      <c r="B757" s="127" t="n">
        <f aca="false">B756+D757-C757</f>
        <v>138</v>
      </c>
      <c r="D757" s="146" t="n">
        <v>138</v>
      </c>
      <c r="E757" s="147" t="n">
        <v>585</v>
      </c>
      <c r="F757" s="147" t="n">
        <f aca="false">IFERROR(VLOOKUP(H757,$AD$1:$AE$301,2,0),"")</f>
        <v>1007980</v>
      </c>
      <c r="G757" s="147" t="str">
        <f aca="false">IFERROR(VLOOKUP(F757,$AE$2:$AF$290,2, 0),"")</f>
        <v>ضباء</v>
      </c>
      <c r="H757" s="212" t="s">
        <v>81</v>
      </c>
      <c r="I757" s="246" t="n">
        <f aca="false">SUM(K757:R757)</f>
        <v>1</v>
      </c>
      <c r="J757" s="182" t="n">
        <v>45656</v>
      </c>
      <c r="K757" s="184"/>
      <c r="Q757" s="154" t="n">
        <v>1</v>
      </c>
      <c r="S757" s="192" t="n">
        <f aca="false">(K757+O757+Q757)*24 /1130+(L757+M757+P757+R757)*12/1130+(N757*30)/1130</f>
        <v>0.0212389380530973</v>
      </c>
    </row>
    <row r="758" customFormat="false" ht="15" hidden="true" customHeight="true" outlineLevel="0" collapsed="false">
      <c r="B758" s="127" t="n">
        <f aca="false">B757+D758-C758</f>
        <v>448.5</v>
      </c>
      <c r="D758" s="146" t="n">
        <v>310.5</v>
      </c>
      <c r="E758" s="147" t="n">
        <v>586</v>
      </c>
      <c r="F758" s="147" t="n">
        <f aca="false">IFERROR(VLOOKUP(H758,$AD$1:$AE$301,2,0),"")</f>
        <v>1007976</v>
      </c>
      <c r="G758" s="147" t="str">
        <f aca="false">IFERROR(VLOOKUP(F758,$AE$2:$AF$290,2, 0),"")</f>
        <v>ضباء</v>
      </c>
      <c r="H758" s="212" t="s">
        <v>77</v>
      </c>
      <c r="I758" s="246" t="n">
        <f aca="false">SUM(K758:R758)</f>
        <v>1</v>
      </c>
      <c r="J758" s="182" t="n">
        <v>45656</v>
      </c>
      <c r="K758" s="184" t="n">
        <v>1</v>
      </c>
      <c r="S758" s="192" t="n">
        <f aca="false">(K758+O758+Q758)*24 /1130+(L758+M758+P758+R758)*12/1130+(N758*30)/1130</f>
        <v>0.0212389380530973</v>
      </c>
    </row>
    <row r="759" customFormat="false" ht="15" hidden="true" customHeight="true" outlineLevel="0" collapsed="false">
      <c r="A759" s="128" t="n">
        <f aca="false">D759-310</f>
        <v>0.5</v>
      </c>
      <c r="B759" s="127" t="n">
        <f aca="false">B758+D759-C759</f>
        <v>759</v>
      </c>
      <c r="D759" s="146" t="n">
        <f aca="false">155.25*2</f>
        <v>310.5</v>
      </c>
      <c r="E759" s="147" t="n">
        <v>587</v>
      </c>
      <c r="F759" s="147" t="n">
        <f aca="false">IFERROR(VLOOKUP(H759,$AD$1:$AE$301,2,0),"")</f>
        <v>1008024</v>
      </c>
      <c r="G759" s="147" t="str">
        <f aca="false">IFERROR(VLOOKUP(F759,$AE$2:$AF$290,2, 0),"")</f>
        <v>ضباء</v>
      </c>
      <c r="H759" s="212" t="s">
        <v>96</v>
      </c>
      <c r="I759" s="246" t="n">
        <f aca="false">SUM(K759:R759)</f>
        <v>2</v>
      </c>
      <c r="J759" s="182" t="n">
        <v>45656</v>
      </c>
      <c r="K759" s="184"/>
      <c r="R759" s="155" t="n">
        <v>2</v>
      </c>
      <c r="S759" s="192" t="n">
        <f aca="false">(K759+O759+Q759)*24 /1130+(L759+M759+P759+R759)*12/1130+(N759*30)/1130</f>
        <v>0.0212389380530973</v>
      </c>
    </row>
    <row r="760" customFormat="false" ht="15" hidden="true" customHeight="true" outlineLevel="0" collapsed="false">
      <c r="B760" s="127" t="n">
        <f aca="false">B759+D760-C760</f>
        <v>1058</v>
      </c>
      <c r="D760" s="146" t="n">
        <v>299</v>
      </c>
      <c r="E760" s="147" t="n">
        <v>588</v>
      </c>
      <c r="F760" s="147" t="n">
        <f aca="false">IFERROR(VLOOKUP(H760,$AD$1:$AE$301,2,0),"")</f>
        <v>1007989</v>
      </c>
      <c r="G760" s="147" t="str">
        <f aca="false">IFERROR(VLOOKUP(F760,$AE$2:$AF$290,2, 0),"")</f>
        <v>ضباء</v>
      </c>
      <c r="H760" s="212" t="s">
        <v>90</v>
      </c>
      <c r="I760" s="246" t="n">
        <f aca="false">SUM(K760:R760)</f>
        <v>1</v>
      </c>
      <c r="J760" s="182" t="n">
        <v>45656</v>
      </c>
      <c r="K760" s="184"/>
      <c r="N760" s="151" t="n">
        <v>1</v>
      </c>
      <c r="S760" s="192" t="n">
        <f aca="false">(K760+O760+Q760)*24 /1130+(L760+M760+P760+R760)*12/1130+(N760*30)/1130</f>
        <v>0.0265486725663717</v>
      </c>
    </row>
    <row r="761" customFormat="false" ht="15" hidden="true" customHeight="true" outlineLevel="0" collapsed="false">
      <c r="A761" s="128" t="n">
        <f aca="false">D761-310</f>
        <v>0.5</v>
      </c>
      <c r="B761" s="127" t="n">
        <f aca="false">B760+D761-C761</f>
        <v>1368.5</v>
      </c>
      <c r="D761" s="146" t="n">
        <v>310.5</v>
      </c>
      <c r="E761" s="147" t="n">
        <v>589</v>
      </c>
      <c r="F761" s="147" t="n">
        <f aca="false">IFERROR(VLOOKUP(H761,$AD$1:$AE$301,2,0),"")</f>
        <v>1008050</v>
      </c>
      <c r="G761" s="147" t="str">
        <f aca="false">IFERROR(VLOOKUP(F761,$AE$2:$AF$290,2, 0),"")</f>
        <v>ضباء</v>
      </c>
      <c r="H761" s="212" t="s">
        <v>92</v>
      </c>
      <c r="I761" s="246" t="n">
        <f aca="false">SUM(K761:R761)</f>
        <v>1</v>
      </c>
      <c r="J761" s="182" t="n">
        <v>45656</v>
      </c>
      <c r="K761" s="184" t="n">
        <v>1</v>
      </c>
      <c r="S761" s="192" t="n">
        <f aca="false">(K761+O761+Q761)*24 /1130+(L761+M761+P761+R761)*12/1130+(N761*30)/1130</f>
        <v>0.0212389380530973</v>
      </c>
    </row>
    <row r="762" customFormat="false" ht="15" hidden="true" customHeight="true" outlineLevel="0" collapsed="false">
      <c r="A762" s="128" t="n">
        <f aca="false">D762+90.5-400</f>
        <v>1</v>
      </c>
      <c r="B762" s="127" t="n">
        <f aca="false">B761+D762-C762</f>
        <v>1679</v>
      </c>
      <c r="D762" s="146" t="n">
        <v>310.5</v>
      </c>
      <c r="E762" s="147" t="n">
        <v>590</v>
      </c>
      <c r="F762" s="147" t="n">
        <f aca="false">IFERROR(VLOOKUP(H762,$AD$1:$AE$301,2,0),"")</f>
        <v>656</v>
      </c>
      <c r="G762" s="147" t="str">
        <f aca="false">IFERROR(VLOOKUP(F762,$AE$2:$AF$290,2, 0),"")</f>
        <v>الوجه</v>
      </c>
      <c r="H762" s="212" t="s">
        <v>115</v>
      </c>
      <c r="I762" s="246" t="n">
        <f aca="false">SUM(K762:R762)</f>
        <v>1</v>
      </c>
      <c r="J762" s="182" t="n">
        <v>45656</v>
      </c>
      <c r="K762" s="184" t="n">
        <v>1</v>
      </c>
      <c r="S762" s="192" t="n">
        <f aca="false">(K762+O762+Q762)*24 /1130+(L762+M762+P762+R762)*12/1130+(N762*30)/1130</f>
        <v>0.0212389380530973</v>
      </c>
    </row>
    <row r="763" customFormat="false" ht="15" hidden="true" customHeight="true" outlineLevel="0" collapsed="false">
      <c r="B763" s="127" t="n">
        <f aca="false">B762+D763-C763</f>
        <v>1817</v>
      </c>
      <c r="D763" s="146" t="n">
        <v>138</v>
      </c>
      <c r="E763" s="147" t="n">
        <v>591</v>
      </c>
      <c r="F763" s="147" t="n">
        <f aca="false">IFERROR(VLOOKUP(H763,$AD$1:$AE$301,2,0),"")</f>
        <v>656</v>
      </c>
      <c r="G763" s="147" t="str">
        <f aca="false">IFERROR(VLOOKUP(F763,$AE$2:$AF$290,2, 0),"")</f>
        <v>الوجه</v>
      </c>
      <c r="H763" s="212" t="s">
        <v>115</v>
      </c>
      <c r="I763" s="246" t="n">
        <f aca="false">SUM(K763:R763)</f>
        <v>1</v>
      </c>
      <c r="J763" s="182" t="n">
        <v>45656</v>
      </c>
      <c r="K763" s="184"/>
      <c r="Q763" s="154" t="n">
        <v>1</v>
      </c>
      <c r="S763" s="192" t="n">
        <f aca="false">(K763+O763+Q763)*24 /1130+(L763+M763+P763+R763)*12/1130+(N763*30)/1130</f>
        <v>0.0212389380530973</v>
      </c>
    </row>
    <row r="764" customFormat="false" ht="15" hidden="true" customHeight="true" outlineLevel="0" collapsed="false">
      <c r="B764" s="127" t="n">
        <f aca="false">B763+D764-C764</f>
        <v>1972.25</v>
      </c>
      <c r="D764" s="146" t="n">
        <v>155.25</v>
      </c>
      <c r="E764" s="147" t="n">
        <v>592</v>
      </c>
      <c r="F764" s="147" t="n">
        <f aca="false">IFERROR(VLOOKUP(H764,$AD$1:$AE$301,2,0),"")</f>
        <v>1008046</v>
      </c>
      <c r="G764" s="147" t="str">
        <f aca="false">IFERROR(VLOOKUP(F764,$AE$2:$AF$290,2, 0),"")</f>
        <v>الوجه</v>
      </c>
      <c r="H764" s="212" t="s">
        <v>108</v>
      </c>
      <c r="I764" s="246" t="n">
        <f aca="false">SUM(K764:R764)</f>
        <v>1</v>
      </c>
      <c r="J764" s="182" t="n">
        <v>45656</v>
      </c>
      <c r="K764" s="184"/>
      <c r="R764" s="155" t="n">
        <v>1</v>
      </c>
      <c r="S764" s="192" t="n">
        <f aca="false">(K764+O764+Q764)*24 /1130+(L764+M764+P764+R764)*12/1130+(N764*30)/1130</f>
        <v>0.0106194690265487</v>
      </c>
    </row>
    <row r="765" customFormat="false" ht="15" hidden="true" customHeight="true" outlineLevel="0" collapsed="false">
      <c r="A765" s="128" t="n">
        <f aca="false">D765-14-296</f>
        <v>0.5</v>
      </c>
      <c r="B765" s="127" t="n">
        <f aca="false">B764+D765-C765</f>
        <v>2282.75</v>
      </c>
      <c r="D765" s="146" t="n">
        <v>310.5</v>
      </c>
      <c r="E765" s="147" t="n">
        <v>593</v>
      </c>
      <c r="F765" s="147" t="n">
        <f aca="false">IFERROR(VLOOKUP(H765,$AD$1:$AE$301,2,0),"")</f>
        <v>1008267</v>
      </c>
      <c r="G765" s="147" t="str">
        <f aca="false">IFERROR(VLOOKUP(F765,$AE$2:$AF$290,2, 0),"")</f>
        <v>الوجه</v>
      </c>
      <c r="H765" s="212" t="s">
        <v>114</v>
      </c>
      <c r="I765" s="246" t="n">
        <f aca="false">SUM(K765:R765)</f>
        <v>1</v>
      </c>
      <c r="J765" s="182" t="n">
        <v>45656</v>
      </c>
      <c r="K765" s="184" t="n">
        <v>1</v>
      </c>
      <c r="S765" s="192" t="n">
        <f aca="false">(K765+O765+Q765)*24 /1130+(L765+M765+P765+R765)*12/1130+(N765*30)/1130</f>
        <v>0.0212389380530973</v>
      </c>
    </row>
    <row r="766" customFormat="false" ht="15" hidden="true" customHeight="true" outlineLevel="0" collapsed="false">
      <c r="B766" s="127" t="n">
        <f aca="false">B765+D766-C766</f>
        <v>2593.25</v>
      </c>
      <c r="D766" s="146" t="n">
        <v>310.5</v>
      </c>
      <c r="E766" s="147" t="n">
        <v>594</v>
      </c>
      <c r="F766" s="147" t="n">
        <f aca="false">IFERROR(VLOOKUP(H766,$AD$1:$AE$301,2,0),"")</f>
        <v>1008049</v>
      </c>
      <c r="G766" s="147" t="str">
        <f aca="false">IFERROR(VLOOKUP(F766,$AE$2:$AF$290,2, 0),"")</f>
        <v>الوجه</v>
      </c>
      <c r="H766" s="212" t="s">
        <v>111</v>
      </c>
      <c r="I766" s="246" t="n">
        <f aca="false">SUM(K766:R766)</f>
        <v>1</v>
      </c>
      <c r="J766" s="182" t="n">
        <v>45656</v>
      </c>
      <c r="K766" s="184" t="n">
        <v>1</v>
      </c>
      <c r="S766" s="192" t="n">
        <f aca="false">(K766+O766+Q766)*24 /1130+(L766+M766+P766+R766)*12/1130+(N766*30)/1130</f>
        <v>0.0212389380530973</v>
      </c>
    </row>
    <row r="767" customFormat="false" ht="15" hidden="true" customHeight="true" outlineLevel="0" collapsed="false">
      <c r="A767" s="128" t="n">
        <f aca="false">D767-70-10-316</f>
        <v>0.75</v>
      </c>
      <c r="B767" s="127" t="n">
        <f aca="false">B766+D767-C767</f>
        <v>2990</v>
      </c>
      <c r="D767" s="146" t="n">
        <f aca="false">241.5+155.25</f>
        <v>396.75</v>
      </c>
      <c r="E767" s="147" t="n">
        <v>595</v>
      </c>
      <c r="F767" s="147" t="n">
        <f aca="false">IFERROR(VLOOKUP(H767,$AD$1:$AE$301,2,0),"")</f>
        <v>1007988</v>
      </c>
      <c r="G767" s="147" t="str">
        <f aca="false">IFERROR(VLOOKUP(F767,$AE$2:$AF$290,2, 0),"")</f>
        <v>ضباء</v>
      </c>
      <c r="H767" s="212" t="s">
        <v>89</v>
      </c>
      <c r="I767" s="246" t="n">
        <f aca="false">SUM(K767:R767)</f>
        <v>2</v>
      </c>
      <c r="J767" s="182" t="n">
        <v>45656</v>
      </c>
      <c r="K767" s="184"/>
      <c r="M767" s="150" t="n">
        <v>1</v>
      </c>
      <c r="R767" s="155" t="n">
        <v>1</v>
      </c>
      <c r="S767" s="192" t="n">
        <f aca="false">(K767+O767+Q767)*24 /1130+(L767+M767+P767+R767)*12/1130+(N767*30)/1130</f>
        <v>0.0212389380530973</v>
      </c>
    </row>
    <row r="768" customFormat="false" ht="15" hidden="true" customHeight="true" outlineLevel="0" collapsed="false">
      <c r="A768" s="128" t="n">
        <f aca="false">D768-38-100</f>
        <v>0</v>
      </c>
      <c r="B768" s="127" t="n">
        <f aca="false">B767+D768-C768</f>
        <v>3128</v>
      </c>
      <c r="D768" s="146" t="n">
        <f aca="false">138</f>
        <v>138</v>
      </c>
      <c r="E768" s="147" t="n">
        <v>596</v>
      </c>
      <c r="F768" s="147" t="n">
        <f aca="false">IFERROR(VLOOKUP(H768,$AD$1:$AE$301,2,0),"")</f>
        <v>1008269</v>
      </c>
      <c r="G768" s="147" t="str">
        <f aca="false">IFERROR(VLOOKUP(F768,$AE$2:$AF$290,2, 0),"")</f>
        <v>تبوك</v>
      </c>
      <c r="H768" s="212" t="s">
        <v>166</v>
      </c>
      <c r="I768" s="246" t="n">
        <f aca="false">SUM(K768:R768)</f>
        <v>1</v>
      </c>
      <c r="J768" s="182" t="n">
        <v>45656</v>
      </c>
      <c r="K768" s="184"/>
      <c r="Q768" s="154" t="n">
        <v>1</v>
      </c>
      <c r="S768" s="192" t="n">
        <f aca="false">(K768+O768+Q768)*24 /1130+(L768+M768+P768+R768)*12/1130+(N768*30)/1130</f>
        <v>0.0212389380530973</v>
      </c>
    </row>
    <row r="769" customFormat="false" ht="15" hidden="true" customHeight="true" outlineLevel="0" collapsed="false">
      <c r="A769" s="128" t="n">
        <f aca="false">D769-300</f>
        <v>-1</v>
      </c>
      <c r="B769" s="127" t="n">
        <f aca="false">B768+D769-C769</f>
        <v>3427</v>
      </c>
      <c r="D769" s="146" t="n">
        <f aca="false">299</f>
        <v>299</v>
      </c>
      <c r="E769" s="147" t="n">
        <v>597</v>
      </c>
      <c r="F769" s="147" t="n">
        <f aca="false">IFERROR(VLOOKUP(H769,$AD$1:$AE$301,2,0),"")</f>
        <v>545</v>
      </c>
      <c r="G769" s="147" t="str">
        <f aca="false">IFERROR(VLOOKUP(F769,$AE$2:$AF$290,2, 0),"")</f>
        <v>تبوك</v>
      </c>
      <c r="H769" s="212" t="s">
        <v>261</v>
      </c>
      <c r="I769" s="246" t="n">
        <f aca="false">SUM(K769:R769)</f>
        <v>1</v>
      </c>
      <c r="J769" s="182" t="n">
        <v>45656</v>
      </c>
      <c r="K769" s="184"/>
      <c r="N769" s="151" t="n">
        <v>1</v>
      </c>
      <c r="S769" s="192" t="n">
        <f aca="false">(K769+O769+Q769)*24 /1130+(L769+M769+P769+R769)*12/1130+(N769*30)/1130</f>
        <v>0.0265486725663717</v>
      </c>
    </row>
    <row r="770" customFormat="false" ht="15" hidden="true" customHeight="true" outlineLevel="0" collapsed="false">
      <c r="A770" s="128" t="n">
        <f aca="false">D770-300</f>
        <v>-1</v>
      </c>
      <c r="B770" s="127" t="n">
        <f aca="false">B769+D770-C770</f>
        <v>3726</v>
      </c>
      <c r="D770" s="146" t="n">
        <v>299</v>
      </c>
      <c r="E770" s="147" t="n">
        <v>598</v>
      </c>
      <c r="F770" s="147" t="n">
        <f aca="false">IFERROR(VLOOKUP(H770,$AD$1:$AE$301,2,0),"")</f>
        <v>1076</v>
      </c>
      <c r="G770" s="147" t="str">
        <f aca="false">IFERROR(VLOOKUP(F770,$AE$2:$AF$290,2, 0),"")</f>
        <v>تبوك</v>
      </c>
      <c r="H770" s="212" t="s">
        <v>244</v>
      </c>
      <c r="I770" s="246" t="n">
        <f aca="false">SUM(K770:R770)</f>
        <v>1</v>
      </c>
      <c r="J770" s="182" t="n">
        <v>45656</v>
      </c>
      <c r="K770" s="184"/>
      <c r="R770" s="155" t="n">
        <v>1</v>
      </c>
      <c r="S770" s="192" t="n">
        <f aca="false">(K770+O770+Q770)*24 /1130+(L770+M770+P770+R770)*12/1130+(N770*30)/1130</f>
        <v>0.0106194690265487</v>
      </c>
    </row>
    <row r="771" customFormat="false" ht="15" hidden="true" customHeight="true" outlineLevel="0" collapsed="false">
      <c r="A771" s="128" t="n">
        <f aca="false">D771</f>
        <v>0</v>
      </c>
      <c r="B771" s="127" t="n">
        <f aca="false">B770+D771-C771</f>
        <v>0</v>
      </c>
      <c r="C771" s="127" t="n">
        <f aca="false">D757+D760+D763+300+2000+851</f>
        <v>3726</v>
      </c>
      <c r="E771" s="212" t="s">
        <v>470</v>
      </c>
      <c r="F771" s="147" t="str">
        <f aca="false">IFERROR(VLOOKUP(H771,$AD$1:$AE$301,2,0),"")</f>
        <v/>
      </c>
      <c r="G771" s="147" t="str">
        <f aca="false">IFERROR(VLOOKUP(F771,$AE$2:$AF$290,2, 0),"")</f>
        <v/>
      </c>
      <c r="H771" s="212" t="s">
        <v>393</v>
      </c>
      <c r="I771" s="246" t="n">
        <f aca="false">SUM(K771:R771)</f>
        <v>0</v>
      </c>
      <c r="J771" s="182" t="n">
        <v>45656</v>
      </c>
      <c r="K771" s="184"/>
      <c r="S771" s="192" t="n">
        <f aca="false">(K771+O771+Q771)*24 /1130+(L771+M771+P771+R771)*12/1130+(N771*30)/1130</f>
        <v>0</v>
      </c>
    </row>
    <row r="772" customFormat="false" ht="15" hidden="true" customHeight="true" outlineLevel="0" collapsed="false">
      <c r="A772" s="128" t="n">
        <f aca="false">D772-500-35</f>
        <v>-0.25</v>
      </c>
      <c r="B772" s="127" t="n">
        <f aca="false">B771+D772-C772</f>
        <v>534.75</v>
      </c>
      <c r="D772" s="146" t="n">
        <f aca="false">310.5+224.25</f>
        <v>534.75</v>
      </c>
      <c r="E772" s="147" t="n">
        <v>599</v>
      </c>
      <c r="F772" s="147" t="n">
        <f aca="false">IFERROR(VLOOKUP(H772,$AD$1:$AE$301,2,0),"")</f>
        <v>659</v>
      </c>
      <c r="G772" s="147" t="str">
        <f aca="false">IFERROR(VLOOKUP(F772,$AE$2:$AF$290,2, 0),"")</f>
        <v>تبوك</v>
      </c>
      <c r="H772" s="212" t="s">
        <v>265</v>
      </c>
      <c r="I772" s="246" t="n">
        <f aca="false">SUM(K772:R772)</f>
        <v>2</v>
      </c>
      <c r="J772" s="182" t="n">
        <v>45657</v>
      </c>
      <c r="K772" s="184" t="n">
        <v>1</v>
      </c>
      <c r="M772" s="150" t="n">
        <v>1</v>
      </c>
      <c r="S772" s="192" t="n">
        <f aca="false">(K772+O772+Q772)*24 /1130+(L772+M772+P772+R772)*12/1130+(N772*30)/1130</f>
        <v>0.031858407079646</v>
      </c>
    </row>
    <row r="773" customFormat="false" ht="15" hidden="true" customHeight="true" outlineLevel="0" collapsed="false">
      <c r="A773" s="128" t="n">
        <f aca="false">D773+5+2-190-35-200-200-313.5</f>
        <v>0</v>
      </c>
      <c r="B773" s="127" t="n">
        <f aca="false">B772+D773-C773</f>
        <v>1466.25</v>
      </c>
      <c r="D773" s="146" t="n">
        <f aca="false">310.5*2+310.5</f>
        <v>931.5</v>
      </c>
      <c r="E773" s="147" t="n">
        <v>600</v>
      </c>
      <c r="F773" s="147" t="n">
        <f aca="false">IFERROR(VLOOKUP(H773,$AD$1:$AE$301,2,0),"")</f>
        <v>1008264</v>
      </c>
      <c r="G773" s="147" t="str">
        <f aca="false">IFERROR(VLOOKUP(F773,$AE$2:$AF$290,2, 0),"")</f>
        <v>تبوك</v>
      </c>
      <c r="H773" s="212" t="s">
        <v>160</v>
      </c>
      <c r="I773" s="246" t="n">
        <f aca="false">SUM(K773:R773)</f>
        <v>3</v>
      </c>
      <c r="J773" s="182" t="n">
        <v>45657</v>
      </c>
      <c r="K773" s="184" t="n">
        <f aca="false">2+1</f>
        <v>3</v>
      </c>
      <c r="S773" s="192" t="n">
        <f aca="false">(K773+O773+Q773)*24 /1130+(L773+M773+P773+R773)*12/1130+(N773*30)/1130</f>
        <v>0.063716814159292</v>
      </c>
    </row>
    <row r="774" customFormat="false" ht="15" hidden="true" customHeight="true" outlineLevel="0" collapsed="false">
      <c r="A774" s="128" t="n">
        <f aca="false">D774+28+1.5-340</f>
        <v>0</v>
      </c>
      <c r="B774" s="127" t="n">
        <f aca="false">B773+D774-C774</f>
        <v>1776.75</v>
      </c>
      <c r="D774" s="146" t="n">
        <f aca="false">310.5</f>
        <v>310.5</v>
      </c>
      <c r="E774" s="147" t="n">
        <v>602</v>
      </c>
      <c r="F774" s="147" t="n">
        <f aca="false">IFERROR(VLOOKUP(H774,$AD$1:$AE$301,2,0),"")</f>
        <v>1002901</v>
      </c>
      <c r="G774" s="147" t="str">
        <f aca="false">IFERROR(VLOOKUP(F774,$AE$2:$AF$290,2, 0),"")</f>
        <v>تبوك</v>
      </c>
      <c r="H774" s="212" t="s">
        <v>153</v>
      </c>
      <c r="I774" s="246" t="n">
        <f aca="false">SUM(K774:R774)</f>
        <v>1</v>
      </c>
      <c r="J774" s="182" t="n">
        <v>45657</v>
      </c>
      <c r="K774" s="184" t="n">
        <f aca="false">1</f>
        <v>1</v>
      </c>
      <c r="S774" s="192" t="n">
        <f aca="false">(K774+O774+Q774)*24 /1130+(L774+M774+P774+R774)*12/1130+(N774*30)/1130</f>
        <v>0.0212389380530973</v>
      </c>
    </row>
    <row r="775" customFormat="false" ht="15" hidden="true" customHeight="true" outlineLevel="0" collapsed="false">
      <c r="A775" s="128" t="n">
        <f aca="false">D775-310.5</f>
        <v>0</v>
      </c>
      <c r="B775" s="127" t="n">
        <f aca="false">B774+D775-C775</f>
        <v>2087.25</v>
      </c>
      <c r="D775" s="146" t="n">
        <v>310.5</v>
      </c>
      <c r="E775" s="147" t="n">
        <v>601</v>
      </c>
      <c r="F775" s="147" t="n">
        <f aca="false">IFERROR(VLOOKUP(H775,$AD$1:$AE$301,2,0),"")</f>
        <v>1008266</v>
      </c>
      <c r="G775" s="147" t="str">
        <f aca="false">IFERROR(VLOOKUP(F775,$AE$2:$AF$290,2, 0),"")</f>
        <v>تبوك</v>
      </c>
      <c r="H775" s="212" t="s">
        <v>178</v>
      </c>
      <c r="I775" s="246" t="n">
        <f aca="false">SUM(K775:R775)</f>
        <v>1</v>
      </c>
      <c r="J775" s="182" t="n">
        <v>45657</v>
      </c>
      <c r="K775" s="184" t="n">
        <v>1</v>
      </c>
      <c r="S775" s="192" t="n">
        <f aca="false">(K775+O775+Q775)*24 /1130+(L775+M775+P775+R775)*12/1130+(N775*30)/1130</f>
        <v>0.0212389380530973</v>
      </c>
    </row>
    <row r="776" customFormat="false" ht="15" hidden="true" customHeight="true" outlineLevel="0" collapsed="false">
      <c r="A776" s="128" t="n">
        <f aca="false">D776-150-5*5-50-203-115-6*5-250-5</f>
        <v>0</v>
      </c>
      <c r="B776" s="127" t="n">
        <f aca="false">B775+D776-C776</f>
        <v>2915.25</v>
      </c>
      <c r="D776" s="146" t="n">
        <f aca="false">299+264.5+264.5</f>
        <v>828</v>
      </c>
      <c r="E776" s="147" t="n">
        <v>603</v>
      </c>
      <c r="F776" s="147" t="n">
        <f aca="false">IFERROR(VLOOKUP(H776,$AD$1:$AE$301,2,0),"")</f>
        <v>1002852</v>
      </c>
      <c r="G776" s="147" t="str">
        <f aca="false">IFERROR(VLOOKUP(F776,$AE$2:$AF$290,2, 0),"")</f>
        <v>تبوك</v>
      </c>
      <c r="H776" s="212" t="s">
        <v>159</v>
      </c>
      <c r="I776" s="246" t="n">
        <f aca="false">SUM(K776:R776)</f>
        <v>3</v>
      </c>
      <c r="J776" s="182" t="n">
        <v>45657</v>
      </c>
      <c r="K776" s="184"/>
      <c r="M776" s="150" t="n">
        <f aca="false">1+1</f>
        <v>2</v>
      </c>
      <c r="R776" s="155" t="n">
        <v>1</v>
      </c>
      <c r="S776" s="192" t="n">
        <f aca="false">(K776+O776+Q776)*24 /1130+(L776+M776+P776+R776)*12/1130+(N776*30)/1130</f>
        <v>0.031858407079646</v>
      </c>
    </row>
    <row r="777" customFormat="false" ht="15" hidden="true" customHeight="true" outlineLevel="0" collapsed="false">
      <c r="A777" s="128" t="n">
        <f aca="false">D777-138</f>
        <v>0</v>
      </c>
      <c r="B777" s="127" t="n">
        <f aca="false">B776+D777-C777</f>
        <v>3053.25</v>
      </c>
      <c r="D777" s="146" t="n">
        <v>138</v>
      </c>
      <c r="E777" s="147" t="n">
        <v>604</v>
      </c>
      <c r="F777" s="147" t="n">
        <f aca="false">IFERROR(VLOOKUP(H777,$AD$1:$AE$301,2,0),"")</f>
        <v>580</v>
      </c>
      <c r="G777" s="147" t="str">
        <f aca="false">IFERROR(VLOOKUP(F777,$AE$2:$AF$290,2, 0),"")</f>
        <v>تبوك</v>
      </c>
      <c r="H777" s="212" t="s">
        <v>256</v>
      </c>
      <c r="I777" s="246" t="n">
        <f aca="false">SUM(K777:R777)</f>
        <v>1</v>
      </c>
      <c r="J777" s="182" t="n">
        <v>45657</v>
      </c>
      <c r="K777" s="184"/>
      <c r="Q777" s="154" t="n">
        <v>1</v>
      </c>
      <c r="S777" s="192" t="n">
        <f aca="false">(K777+O777+Q777)*24 /1130+(L777+M777+P777+R777)*12/1130+(N777*30)/1130</f>
        <v>0.0212389380530973</v>
      </c>
    </row>
    <row r="778" customFormat="false" ht="15" hidden="true" customHeight="true" outlineLevel="0" collapsed="false">
      <c r="A778" s="230" t="n">
        <f aca="false">D778-500-437.25</f>
        <v>0</v>
      </c>
      <c r="B778" s="127" t="n">
        <f aca="false">B777+D778-C778</f>
        <v>3990.5</v>
      </c>
      <c r="D778" s="146" t="n">
        <f aca="false">155.25+264.5+258.75*2</f>
        <v>937.25</v>
      </c>
      <c r="E778" s="147" t="n">
        <v>606</v>
      </c>
      <c r="F778" s="147" t="n">
        <f aca="false">IFERROR(VLOOKUP(H778,$AD$1:$AE$301,2,0),"")</f>
        <v>636</v>
      </c>
      <c r="G778" s="147" t="str">
        <f aca="false">IFERROR(VLOOKUP(F778,$AE$2:$AF$290,2, 0),"")</f>
        <v>تبوك</v>
      </c>
      <c r="H778" s="212" t="s">
        <v>134</v>
      </c>
      <c r="I778" s="246" t="n">
        <f aca="false">SUM(K778:R778)</f>
        <v>4</v>
      </c>
      <c r="J778" s="182" t="n">
        <v>45656</v>
      </c>
      <c r="K778" s="184"/>
      <c r="M778" s="150" t="n">
        <v>1</v>
      </c>
      <c r="Q778" s="154" t="n">
        <v>2</v>
      </c>
      <c r="R778" s="155" t="n">
        <v>1</v>
      </c>
      <c r="S778" s="192" t="n">
        <f aca="false">(K778+O778+Q778)*24 /1130+(L778+M778+P778+R778)*12/1130+(N778*30)/1130</f>
        <v>0.063716814159292</v>
      </c>
    </row>
    <row r="779" customFormat="false" ht="15" hidden="true" customHeight="true" outlineLevel="0" collapsed="false">
      <c r="A779" s="128" t="n">
        <f aca="false">D779-276</f>
        <v>0</v>
      </c>
      <c r="B779" s="127" t="n">
        <f aca="false">B778+D779-C779</f>
        <v>4266.5</v>
      </c>
      <c r="D779" s="146" t="n">
        <f aca="false">138*2</f>
        <v>276</v>
      </c>
      <c r="E779" s="147" t="n">
        <v>605</v>
      </c>
      <c r="F779" s="147" t="n">
        <f aca="false">IFERROR(VLOOKUP(H779,$AD$1:$AE$301,2,0),"")</f>
        <v>580</v>
      </c>
      <c r="G779" s="147" t="str">
        <f aca="false">IFERROR(VLOOKUP(F779,$AE$2:$AF$290,2, 0),"")</f>
        <v>تبوك</v>
      </c>
      <c r="H779" s="212" t="s">
        <v>256</v>
      </c>
      <c r="I779" s="246" t="n">
        <f aca="false">SUM(K779:R779)</f>
        <v>2</v>
      </c>
      <c r="J779" s="182" t="n">
        <v>45657</v>
      </c>
      <c r="K779" s="184"/>
      <c r="Q779" s="154" t="n">
        <v>2</v>
      </c>
      <c r="S779" s="192" t="n">
        <f aca="false">(K779+O779+Q779)*24 /1130+(L779+M779+P779+R779)*12/1130+(N779*30)/1130</f>
        <v>0.0424778761061947</v>
      </c>
    </row>
    <row r="780" customFormat="false" ht="15" hidden="true" customHeight="true" outlineLevel="0" collapsed="false">
      <c r="A780" s="128" t="n">
        <f aca="false">D780</f>
        <v>0</v>
      </c>
      <c r="B780" s="127" t="n">
        <f aca="false">B779+D780-C780</f>
        <v>2766</v>
      </c>
      <c r="C780" s="127" t="n">
        <f aca="false">D772-34.75+190+500+D775</f>
        <v>1500.5</v>
      </c>
      <c r="E780" s="212" t="s">
        <v>470</v>
      </c>
      <c r="F780" s="147" t="str">
        <f aca="false">IFERROR(VLOOKUP(H780,$AD$1:$AE$301,2,0),"")</f>
        <v/>
      </c>
      <c r="G780" s="147" t="str">
        <f aca="false">IFERROR(VLOOKUP(F780,$AE$2:$AF$290,2, 0),"")</f>
        <v/>
      </c>
      <c r="H780" s="212" t="s">
        <v>393</v>
      </c>
      <c r="I780" s="246" t="n">
        <f aca="false">SUM(K780:R780)</f>
        <v>0</v>
      </c>
      <c r="J780" s="182" t="n">
        <v>45657</v>
      </c>
      <c r="K780" s="184"/>
      <c r="S780" s="192" t="n">
        <f aca="false">(K780+O780+Q780)*24 /1130+(L780+M780+P780+R780)*12/1130+(N780*30)/1130</f>
        <v>0</v>
      </c>
    </row>
    <row r="781" customFormat="false" ht="15" hidden="true" customHeight="true" outlineLevel="0" collapsed="false">
      <c r="A781" s="408"/>
      <c r="B781" s="127" t="n">
        <f aca="false">B780+D781-C781</f>
        <v>0</v>
      </c>
      <c r="C781" s="127" t="n">
        <v>2766</v>
      </c>
      <c r="E781" s="212" t="s">
        <v>653</v>
      </c>
      <c r="F781" s="147" t="str">
        <f aca="false">IFERROR(VLOOKUP(H781,$AD$1:$AE$301,2,0),"")</f>
        <v/>
      </c>
      <c r="G781" s="147" t="str">
        <f aca="false">IFERROR(VLOOKUP(F781,$AE$2:$AF$290,2, 0),"")</f>
        <v/>
      </c>
      <c r="H781" s="212" t="s">
        <v>393</v>
      </c>
      <c r="I781" s="246" t="n">
        <f aca="false">SUM(K781:R781)</f>
        <v>0</v>
      </c>
      <c r="J781" s="182" t="n">
        <v>45657</v>
      </c>
      <c r="S781" s="192" t="n">
        <f aca="false">(K781+O781+Q781)*24 /1130+(L781+M781+P781+R781)*12/1130+(N781*30)/1130</f>
        <v>0</v>
      </c>
    </row>
    <row r="782" customFormat="false" ht="15" hidden="true" customHeight="true" outlineLevel="0" collapsed="false">
      <c r="A782" s="128" t="n">
        <f aca="false">D782-155</f>
        <v>0.25</v>
      </c>
      <c r="B782" s="127" t="n">
        <f aca="false">B781+D782-C782</f>
        <v>155.25</v>
      </c>
      <c r="D782" s="146" t="n">
        <v>155.25</v>
      </c>
      <c r="E782" s="147" t="n">
        <v>607</v>
      </c>
      <c r="F782" s="147" t="n">
        <f aca="false">IFERROR(VLOOKUP(H782,$AD$1:$AE$301,2,0),"")</f>
        <v>635</v>
      </c>
      <c r="G782" s="147" t="str">
        <f aca="false">IFERROR(VLOOKUP(F782,$AE$2:$AF$290,2, 0),"")</f>
        <v>تبوك</v>
      </c>
      <c r="H782" s="212" t="s">
        <v>157</v>
      </c>
      <c r="I782" s="246" t="n">
        <f aca="false">SUM(K782:R782)</f>
        <v>1</v>
      </c>
      <c r="J782" s="182" t="n">
        <v>45662</v>
      </c>
      <c r="K782" s="184"/>
      <c r="R782" s="155" t="n">
        <v>1</v>
      </c>
      <c r="S782" s="192" t="n">
        <f aca="false">(K782+O782+Q782)*24 /1130+(L782+M782+P782+R782)*12/1130+(N782*30)/1130</f>
        <v>0.0106194690265487</v>
      </c>
    </row>
    <row r="783" customFormat="false" ht="15" hidden="true" customHeight="true" outlineLevel="0" collapsed="false">
      <c r="A783" s="230" t="n">
        <f aca="false">D783-299</f>
        <v>0</v>
      </c>
      <c r="B783" s="127" t="n">
        <f aca="false">B782+D783-C783</f>
        <v>454.25</v>
      </c>
      <c r="D783" s="146" t="n">
        <v>299</v>
      </c>
      <c r="E783" s="147" t="n">
        <v>609</v>
      </c>
      <c r="F783" s="147" t="n">
        <f aca="false">IFERROR(VLOOKUP(H783,$AD$1:$AE$301,2,0),"")</f>
        <v>562</v>
      </c>
      <c r="G783" s="147" t="str">
        <f aca="false">IFERROR(VLOOKUP(F783,$AE$2:$AF$290,2, 0),"")</f>
        <v>تبوك</v>
      </c>
      <c r="H783" s="212" t="s">
        <v>234</v>
      </c>
      <c r="I783" s="246" t="n">
        <f aca="false">SUM(K783:R783)</f>
        <v>1</v>
      </c>
      <c r="J783" s="182" t="n">
        <v>45662</v>
      </c>
      <c r="K783" s="184"/>
      <c r="R783" s="155" t="n">
        <v>1</v>
      </c>
      <c r="S783" s="192" t="n">
        <f aca="false">(K783+O783+Q783)*24 /1130+(L783+M783+P783+R783)*12/1130+(N783*30)/1130</f>
        <v>0.0106194690265487</v>
      </c>
    </row>
    <row r="784" customFormat="false" ht="15" hidden="true" customHeight="true" outlineLevel="0" collapsed="false">
      <c r="A784" s="128" t="n">
        <f aca="false">D784-17-431</f>
        <v>0.5</v>
      </c>
      <c r="B784" s="127" t="n">
        <f aca="false">B783+D784-C784</f>
        <v>902.75</v>
      </c>
      <c r="D784" s="146" t="n">
        <f aca="false">293.25+155.25</f>
        <v>448.5</v>
      </c>
      <c r="E784" s="147" t="n">
        <v>608</v>
      </c>
      <c r="F784" s="147" t="n">
        <f aca="false">IFERROR(VLOOKUP(H784,$AD$1:$AE$301,2,0),"")</f>
        <v>549</v>
      </c>
      <c r="G784" s="147" t="str">
        <f aca="false">IFERROR(VLOOKUP(F784,$AE$2:$AF$290,2, 0),"")</f>
        <v>تبوك</v>
      </c>
      <c r="H784" s="212" t="s">
        <v>238</v>
      </c>
      <c r="I784" s="246" t="n">
        <f aca="false">SUM(K784:R784)</f>
        <v>2</v>
      </c>
      <c r="J784" s="182" t="n">
        <v>45662</v>
      </c>
      <c r="K784" s="184"/>
      <c r="M784" s="150" t="n">
        <v>1</v>
      </c>
      <c r="R784" s="155" t="n">
        <v>1</v>
      </c>
      <c r="S784" s="192" t="n">
        <f aca="false">(K784+O784+Q784)*24 /1130+(L784+M784+P784+R784)*12/1130+(N784*30)/1130</f>
        <v>0.0212389380530973</v>
      </c>
    </row>
    <row r="785" customFormat="false" ht="15" hidden="true" customHeight="true" outlineLevel="0" collapsed="false">
      <c r="B785" s="127" t="n">
        <f aca="false">B784+D785-C785</f>
        <v>609.75</v>
      </c>
      <c r="C785" s="127" t="n">
        <f aca="false">93+200</f>
        <v>293</v>
      </c>
      <c r="E785" s="212" t="s">
        <v>470</v>
      </c>
      <c r="F785" s="147" t="str">
        <f aca="false">IFERROR(VLOOKUP(H785,$AD$1:$AE$301,2,0),"")</f>
        <v/>
      </c>
      <c r="G785" s="147" t="str">
        <f aca="false">IFERROR(VLOOKUP(F785,$AE$2:$AF$290,2, 0),"")</f>
        <v/>
      </c>
      <c r="H785" s="212" t="s">
        <v>393</v>
      </c>
      <c r="I785" s="246" t="n">
        <f aca="false">SUM(K785:R785)</f>
        <v>0</v>
      </c>
      <c r="J785" s="182" t="n">
        <v>45662</v>
      </c>
      <c r="K785" s="184"/>
      <c r="S785" s="192" t="n">
        <f aca="false">(K785+O785+Q785)*24 /1130+(L785+M785+P785+R785)*12/1130+(N785*30)/1130</f>
        <v>0</v>
      </c>
    </row>
    <row r="786" customFormat="false" ht="15" hidden="true" customHeight="true" outlineLevel="0" collapsed="false">
      <c r="B786" s="127" t="n">
        <f aca="false">B785+D786-C786</f>
        <v>0.75</v>
      </c>
      <c r="C786" s="127" t="n">
        <v>609</v>
      </c>
      <c r="E786" s="212" t="s">
        <v>653</v>
      </c>
      <c r="F786" s="147" t="str">
        <f aca="false">IFERROR(VLOOKUP(H786,$AD$1:$AE$301,2,0),"")</f>
        <v/>
      </c>
      <c r="G786" s="147" t="str">
        <f aca="false">IFERROR(VLOOKUP(F786,$AE$2:$AF$290,2, 0),"")</f>
        <v/>
      </c>
      <c r="H786" s="212" t="s">
        <v>393</v>
      </c>
      <c r="I786" s="246" t="n">
        <f aca="false">SUM(K786:R786)</f>
        <v>0</v>
      </c>
      <c r="J786" s="182" t="n">
        <v>45662</v>
      </c>
      <c r="K786" s="184"/>
      <c r="S786" s="192" t="n">
        <f aca="false">(K786+O786+Q786)*24 /1130+(L786+M786+P786+R786)*12/1130+(N786*30)/1130</f>
        <v>0</v>
      </c>
    </row>
    <row r="787" customFormat="false" ht="15" hidden="true" customHeight="true" outlineLevel="0" collapsed="false">
      <c r="A787" s="128" t="n">
        <f aca="false">D787-20-1337</f>
        <v>0</v>
      </c>
      <c r="B787" s="127" t="n">
        <f aca="false">B786+D787-C787</f>
        <v>1357.75</v>
      </c>
      <c r="D787" s="146" t="n">
        <f aca="false">299+241.5*2+287.5*2</f>
        <v>1357</v>
      </c>
      <c r="E787" s="147" t="n">
        <v>610</v>
      </c>
      <c r="F787" s="147" t="n">
        <f aca="false">IFERROR(VLOOKUP(H787,$AD$1:$AE$301,2,0),"")</f>
        <v>1007996</v>
      </c>
      <c r="G787" s="147" t="str">
        <f aca="false">IFERROR(VLOOKUP(F787,$AE$2:$AF$290,2, 0),"")</f>
        <v>البير</v>
      </c>
      <c r="H787" s="212" t="s">
        <v>295</v>
      </c>
      <c r="I787" s="246" t="n">
        <f aca="false">SUM(K787:R787)</f>
        <v>5</v>
      </c>
      <c r="J787" s="182" t="n">
        <v>45664</v>
      </c>
      <c r="K787" s="184" t="n">
        <v>1</v>
      </c>
      <c r="N787" s="151" t="n">
        <f aca="false">1+1</f>
        <v>2</v>
      </c>
      <c r="O787" s="152" t="n">
        <f aca="false">1+1</f>
        <v>2</v>
      </c>
      <c r="S787" s="192" t="n">
        <f aca="false">(K787+O787+Q787)*24 /1130+(L787+M787+P787+R787)*12/1130+(N787*30)/1130</f>
        <v>0.116814159292035</v>
      </c>
    </row>
    <row r="788" customFormat="false" ht="15" hidden="true" customHeight="true" outlineLevel="0" collapsed="false">
      <c r="A788" s="128" t="n">
        <f aca="false">D788-299</f>
        <v>0</v>
      </c>
      <c r="B788" s="127" t="n">
        <f aca="false">B787+D788-C788</f>
        <v>1656.75</v>
      </c>
      <c r="D788" s="146" t="n">
        <v>299</v>
      </c>
      <c r="E788" s="147" t="n">
        <v>611</v>
      </c>
      <c r="F788" s="147" t="n">
        <f aca="false">IFERROR(VLOOKUP(H788,$AD$1:$AE$301,2,0),"")</f>
        <v>1008021</v>
      </c>
      <c r="G788" s="147" t="str">
        <f aca="false">IFERROR(VLOOKUP(F788,$AE$2:$AF$290,2, 0),"")</f>
        <v>البير</v>
      </c>
      <c r="H788" s="212" t="s">
        <v>294</v>
      </c>
      <c r="I788" s="246" t="n">
        <f aca="false">SUM(K788:R788)</f>
        <v>1</v>
      </c>
      <c r="J788" s="182" t="n">
        <v>45664</v>
      </c>
      <c r="K788" s="184" t="n">
        <v>1</v>
      </c>
      <c r="S788" s="192" t="n">
        <f aca="false">(K788+O788+Q788)*24 /1130+(L788+M788+P788+R788)*12/1130+(N788*30)/1130</f>
        <v>0.0212389380530973</v>
      </c>
    </row>
    <row r="789" customFormat="false" ht="15" hidden="true" customHeight="true" outlineLevel="0" collapsed="false">
      <c r="A789" s="128" t="n">
        <f aca="false">D789-121-133.5</f>
        <v>-1.5</v>
      </c>
      <c r="B789" s="127" t="n">
        <f aca="false">B788+D789-C789</f>
        <v>1909.75</v>
      </c>
      <c r="D789" s="146" t="n">
        <f aca="false">253</f>
        <v>253</v>
      </c>
      <c r="E789" s="147" t="n">
        <v>612</v>
      </c>
      <c r="F789" s="147" t="n">
        <f aca="false">IFERROR(VLOOKUP(H789,$AD$1:$AE$301,2,0),"")</f>
        <v>1008030</v>
      </c>
      <c r="G789" s="147" t="str">
        <f aca="false">IFERROR(VLOOKUP(F789,$AE$2:$AF$290,2, 0),"")</f>
        <v>البير</v>
      </c>
      <c r="H789" s="212" t="s">
        <v>298</v>
      </c>
      <c r="I789" s="246" t="n">
        <f aca="false">SUM(K789:R789)</f>
        <v>1</v>
      </c>
      <c r="J789" s="182" t="n">
        <v>45664</v>
      </c>
      <c r="K789" s="184"/>
      <c r="M789" s="150" t="n">
        <v>1</v>
      </c>
      <c r="S789" s="192" t="n">
        <f aca="false">(K789+O789+Q789)*24 /1130+(L789+M789+P789+R789)*12/1130+(N789*30)/1130</f>
        <v>0.0106194690265487</v>
      </c>
    </row>
    <row r="790" customFormat="false" ht="15" hidden="true" customHeight="true" outlineLevel="0" collapsed="false">
      <c r="B790" s="127" t="n">
        <f aca="false">B789+D790-C790</f>
        <v>2208.75</v>
      </c>
      <c r="D790" s="146" t="n">
        <v>299</v>
      </c>
      <c r="E790" s="147" t="n">
        <v>613</v>
      </c>
      <c r="F790" s="147" t="n">
        <f aca="false">IFERROR(VLOOKUP(H790,$AD$1:$AE$301,2,0),"")</f>
        <v>1007964</v>
      </c>
      <c r="G790" s="147" t="str">
        <f aca="false">IFERROR(VLOOKUP(F790,$AE$2:$AF$290,2, 0),"")</f>
        <v>البير</v>
      </c>
      <c r="H790" s="212" t="s">
        <v>289</v>
      </c>
      <c r="I790" s="246" t="n">
        <f aca="false">SUM(K790:R790)</f>
        <v>1</v>
      </c>
      <c r="J790" s="182" t="n">
        <v>45664</v>
      </c>
      <c r="K790" s="184" t="n">
        <v>1</v>
      </c>
      <c r="S790" s="192" t="n">
        <f aca="false">(K790+O790+Q790)*24 /1130+(L790+M790+P790+R790)*12/1130+(N790*30)/1130</f>
        <v>0.0212389380530973</v>
      </c>
    </row>
    <row r="791" customFormat="false" ht="15" hidden="true" customHeight="true" outlineLevel="0" collapsed="false">
      <c r="A791" s="128" t="n">
        <f aca="false">D791-500-98</f>
        <v>0</v>
      </c>
      <c r="B791" s="127" t="n">
        <f aca="false">B790+D791-C791</f>
        <v>2806.75</v>
      </c>
      <c r="D791" s="146" t="n">
        <f aca="false">299*2</f>
        <v>598</v>
      </c>
      <c r="E791" s="147" t="n">
        <v>614</v>
      </c>
      <c r="F791" s="147" t="n">
        <f aca="false">IFERROR(VLOOKUP(H791,$AD$1:$AE$301,2,0),"")</f>
        <v>1007965</v>
      </c>
      <c r="G791" s="147" t="str">
        <f aca="false">IFERROR(VLOOKUP(F791,$AE$2:$AF$290,2, 0),"")</f>
        <v>البير</v>
      </c>
      <c r="H791" s="212" t="s">
        <v>290</v>
      </c>
      <c r="I791" s="246" t="n">
        <f aca="false">SUM(K791:R791)</f>
        <v>2</v>
      </c>
      <c r="J791" s="182" t="n">
        <v>45664</v>
      </c>
      <c r="K791" s="184" t="n">
        <v>2</v>
      </c>
      <c r="S791" s="192" t="n">
        <f aca="false">(K791+O791+Q791)*24 /1130+(L791+M791+P791+R791)*12/1130+(N791*30)/1130</f>
        <v>0.0424778761061947</v>
      </c>
    </row>
    <row r="792" customFormat="false" ht="15" hidden="true" customHeight="true" outlineLevel="0" collapsed="false">
      <c r="B792" s="127" t="n">
        <f aca="false">B791+D792-C792</f>
        <v>3404.75</v>
      </c>
      <c r="D792" s="146" t="n">
        <v>598</v>
      </c>
      <c r="E792" s="147" t="n">
        <v>615</v>
      </c>
      <c r="F792" s="147" t="n">
        <f aca="false">IFERROR(VLOOKUP(H792,$AD$1:$AE$301,2,0),"")</f>
        <v>1008040</v>
      </c>
      <c r="G792" s="147" t="str">
        <f aca="false">IFERROR(VLOOKUP(F792,$AE$2:$AF$290,2, 0),"")</f>
        <v>البير</v>
      </c>
      <c r="H792" s="212" t="s">
        <v>292</v>
      </c>
      <c r="I792" s="246" t="n">
        <f aca="false">SUM(K792:R792)</f>
        <v>2</v>
      </c>
      <c r="J792" s="182" t="n">
        <v>45664</v>
      </c>
      <c r="K792" s="184" t="n">
        <v>2</v>
      </c>
      <c r="S792" s="192" t="n">
        <f aca="false">(K792+O792+Q792)*24 /1130+(L792+M792+P792+R792)*12/1130+(N792*30)/1130</f>
        <v>0.0424778761061947</v>
      </c>
    </row>
    <row r="793" customFormat="false" ht="15" hidden="true" customHeight="true" outlineLevel="0" collapsed="false">
      <c r="B793" s="127" t="n">
        <f aca="false">B792+D793-C793</f>
        <v>4158</v>
      </c>
      <c r="D793" s="146" t="n">
        <f aca="false">299*2+155.25</f>
        <v>753.25</v>
      </c>
      <c r="E793" s="147" t="n">
        <v>616</v>
      </c>
      <c r="F793" s="147" t="n">
        <f aca="false">IFERROR(VLOOKUP(H793,$AD$1:$AE$301,2,0),"")</f>
        <v>1007966</v>
      </c>
      <c r="G793" s="147" t="str">
        <f aca="false">IFERROR(VLOOKUP(F793,$AE$2:$AF$290,2, 0),"")</f>
        <v>البير</v>
      </c>
      <c r="H793" s="212" t="s">
        <v>291</v>
      </c>
      <c r="I793" s="246" t="n">
        <f aca="false">SUM(K793:R793)</f>
        <v>3</v>
      </c>
      <c r="J793" s="182" t="n">
        <v>45664</v>
      </c>
      <c r="K793" s="184" t="n">
        <v>2</v>
      </c>
      <c r="R793" s="155" t="n">
        <v>1</v>
      </c>
      <c r="S793" s="192" t="n">
        <f aca="false">(K793+O793+Q793)*24 /1130+(L793+M793+P793+R793)*12/1130+(N793*30)/1130</f>
        <v>0.0530973451327434</v>
      </c>
    </row>
    <row r="794" customFormat="false" ht="15" hidden="true" customHeight="true" outlineLevel="0" collapsed="false">
      <c r="B794" s="127" t="n">
        <f aca="false">B793+D794-C794</f>
        <v>4457</v>
      </c>
      <c r="D794" s="146" t="n">
        <v>299</v>
      </c>
      <c r="E794" s="147" t="n">
        <v>617</v>
      </c>
      <c r="F794" s="147" t="n">
        <f aca="false">IFERROR(VLOOKUP(H794,$AD$1:$AE$301,2,0),"")</f>
        <v>1008020</v>
      </c>
      <c r="G794" s="147" t="str">
        <f aca="false">IFERROR(VLOOKUP(F794,$AE$2:$AF$290,2, 0),"")</f>
        <v>البير</v>
      </c>
      <c r="H794" s="212" t="s">
        <v>293</v>
      </c>
      <c r="I794" s="246" t="n">
        <f aca="false">SUM(K794:R794)</f>
        <v>1</v>
      </c>
      <c r="J794" s="182" t="n">
        <v>45664</v>
      </c>
      <c r="K794" s="184" t="n">
        <v>1</v>
      </c>
      <c r="S794" s="192" t="n">
        <f aca="false">(K794+O794+Q794)*24 /1130+(L794+M794+P794+R794)*12/1130+(N794*30)/1130</f>
        <v>0.0212389380530973</v>
      </c>
    </row>
    <row r="795" customFormat="false" ht="15" hidden="true" customHeight="true" outlineLevel="0" collapsed="false">
      <c r="B795" s="127" t="n">
        <f aca="false">B794+D795-C795</f>
        <v>4612.25</v>
      </c>
      <c r="D795" s="146" t="n">
        <v>155.25</v>
      </c>
      <c r="E795" s="147" t="n">
        <v>618</v>
      </c>
      <c r="F795" s="147" t="n">
        <f aca="false">IFERROR(VLOOKUP(H795,$AD$1:$AE$301,2,0),"")</f>
        <v>1008006</v>
      </c>
      <c r="G795" s="147" t="str">
        <f aca="false">IFERROR(VLOOKUP(F795,$AE$2:$AF$290,2, 0),"")</f>
        <v>حقل</v>
      </c>
      <c r="H795" s="212" t="s">
        <v>302</v>
      </c>
      <c r="I795" s="246" t="n">
        <f aca="false">SUM(K795:R795)</f>
        <v>1</v>
      </c>
      <c r="J795" s="182" t="n">
        <v>45664</v>
      </c>
      <c r="K795" s="184"/>
      <c r="R795" s="155" t="n">
        <v>1</v>
      </c>
      <c r="S795" s="192" t="n">
        <f aca="false">(K795+O795+Q795)*24 /1130+(L795+M795+P795+R795)*12/1130+(N795*30)/1130</f>
        <v>0.0106194690265487</v>
      </c>
    </row>
    <row r="796" customFormat="false" ht="15" hidden="true" customHeight="true" outlineLevel="0" collapsed="false">
      <c r="B796" s="127" t="n">
        <f aca="false">B795+D796-C796</f>
        <v>4911.25</v>
      </c>
      <c r="D796" s="146" t="n">
        <v>299</v>
      </c>
      <c r="E796" s="147" t="n">
        <v>619</v>
      </c>
      <c r="F796" s="147" t="n">
        <f aca="false">IFERROR(VLOOKUP(H796,$AD$1:$AE$301,2,0),"")</f>
        <v>1008005</v>
      </c>
      <c r="G796" s="147" t="str">
        <f aca="false">IFERROR(VLOOKUP(F796,$AE$2:$AF$290,2, 0),"")</f>
        <v>حقل</v>
      </c>
      <c r="H796" s="212" t="s">
        <v>300</v>
      </c>
      <c r="I796" s="246" t="n">
        <f aca="false">SUM(K796:R796)</f>
        <v>1</v>
      </c>
      <c r="J796" s="182" t="n">
        <v>45664</v>
      </c>
      <c r="K796" s="184" t="n">
        <v>1</v>
      </c>
      <c r="S796" s="192" t="n">
        <f aca="false">(K796+O796+Q796)*24 /1130+(L796+M796+P796+R796)*12/1130+(N796*30)/1130</f>
        <v>0.0212389380530973</v>
      </c>
    </row>
    <row r="797" customFormat="false" ht="15" hidden="true" customHeight="true" outlineLevel="0" collapsed="false">
      <c r="B797" s="127" t="n">
        <f aca="false">B796+D797-C797</f>
        <v>5187.25</v>
      </c>
      <c r="D797" s="146" t="n">
        <v>276</v>
      </c>
      <c r="E797" s="147" t="n">
        <v>620</v>
      </c>
      <c r="F797" s="147" t="n">
        <f aca="false">IFERROR(VLOOKUP(H797,$AD$1:$AE$301,2,0),"")</f>
        <v>1008004</v>
      </c>
      <c r="G797" s="147" t="str">
        <f aca="false">IFERROR(VLOOKUP(F797,$AE$2:$AF$290,2, 0),"")</f>
        <v>حقل</v>
      </c>
      <c r="H797" s="212" t="s">
        <v>316</v>
      </c>
      <c r="I797" s="246" t="n">
        <f aca="false">SUM(K797:R797)</f>
        <v>2</v>
      </c>
      <c r="J797" s="182" t="n">
        <v>45664</v>
      </c>
      <c r="K797" s="184"/>
      <c r="Q797" s="154" t="n">
        <v>2</v>
      </c>
      <c r="S797" s="192" t="n">
        <f aca="false">(K797+O797+Q797)*24 /1130+(L797+M797+P797+R797)*12/1130+(N797*30)/1130</f>
        <v>0.0424778761061947</v>
      </c>
    </row>
    <row r="798" customFormat="false" ht="15" hidden="true" customHeight="true" outlineLevel="0" collapsed="false">
      <c r="A798" s="128" t="n">
        <f aca="false">D798-99-200</f>
        <v>0</v>
      </c>
      <c r="B798" s="127" t="n">
        <f aca="false">B797+D798-C798</f>
        <v>5486.25</v>
      </c>
      <c r="D798" s="146" t="n">
        <v>299</v>
      </c>
      <c r="E798" s="147" t="n">
        <v>621</v>
      </c>
      <c r="F798" s="147" t="n">
        <f aca="false">IFERROR(VLOOKUP(H798,$AD$1:$AE$301,2,0),"")</f>
        <v>1008007</v>
      </c>
      <c r="G798" s="147" t="str">
        <f aca="false">IFERROR(VLOOKUP(F798,$AE$2:$AF$290,2, 0),"")</f>
        <v>حقل</v>
      </c>
      <c r="H798" s="212" t="s">
        <v>303</v>
      </c>
      <c r="I798" s="246" t="n">
        <f aca="false">SUM(K798:R798)</f>
        <v>1</v>
      </c>
      <c r="J798" s="182" t="n">
        <v>45658</v>
      </c>
      <c r="K798" s="184" t="n">
        <v>1</v>
      </c>
      <c r="S798" s="192" t="n">
        <f aca="false">(K798+O798+Q798)*24 /1130+(L798+M798+P798+R798)*12/1130+(N798*30)/1130</f>
        <v>0.0212389380530973</v>
      </c>
    </row>
    <row r="799" customFormat="false" ht="15" hidden="true" customHeight="true" outlineLevel="0" collapsed="false">
      <c r="B799" s="127" t="n">
        <f aca="false">B798+D799-C799</f>
        <v>0</v>
      </c>
      <c r="C799" s="127" t="n">
        <f aca="false">203+D787-20+D793+D795+D797+2743.5+18</f>
        <v>5486</v>
      </c>
      <c r="D799" s="146" t="n">
        <v>-0.25</v>
      </c>
      <c r="E799" s="212" t="s">
        <v>470</v>
      </c>
      <c r="F799" s="147" t="str">
        <f aca="false">IFERROR(VLOOKUP(H799,$AD$1:$AE$301,2,0),"")</f>
        <v/>
      </c>
      <c r="G799" s="147" t="str">
        <f aca="false">IFERROR(VLOOKUP(F799,$AE$2:$AF$290,2, 0),"")</f>
        <v/>
      </c>
      <c r="H799" s="212" t="s">
        <v>393</v>
      </c>
      <c r="I799" s="246" t="n">
        <f aca="false">SUM(K799:R799)</f>
        <v>0</v>
      </c>
      <c r="J799" s="182" t="n">
        <v>45664</v>
      </c>
      <c r="K799" s="184"/>
      <c r="S799" s="192" t="n">
        <f aca="false">(K799+O799+Q799)*24 /1130+(L799+M799+P799+R799)*12/1130+(N799*30)/1130</f>
        <v>0</v>
      </c>
    </row>
    <row r="800" customFormat="false" ht="15" hidden="true" customHeight="true" outlineLevel="0" collapsed="false">
      <c r="B800" s="127" t="n">
        <f aca="false">B799+D800-C800</f>
        <v>241.5</v>
      </c>
      <c r="D800" s="146" t="n">
        <v>241.5</v>
      </c>
      <c r="E800" s="147" t="n">
        <v>622</v>
      </c>
      <c r="F800" s="147" t="n">
        <f aca="false">IFERROR(VLOOKUP(H800,$AD$1:$AE$301,2,0),"")</f>
        <v>1007996</v>
      </c>
      <c r="G800" s="147" t="str">
        <f aca="false">IFERROR(VLOOKUP(F800,$AE$2:$AF$290,2, 0),"")</f>
        <v>البير</v>
      </c>
      <c r="H800" s="212" t="s">
        <v>295</v>
      </c>
      <c r="I800" s="246" t="n">
        <f aca="false">SUM(K800:R800)</f>
        <v>1</v>
      </c>
      <c r="J800" s="182" t="n">
        <v>45659</v>
      </c>
      <c r="Q800" s="154" t="n">
        <v>1</v>
      </c>
      <c r="S800" s="192" t="n">
        <f aca="false">(K800+O800+Q800)*24 /1130+(L800+M800+P800+R800)*12/1130+(N800*30)/1130</f>
        <v>0.0212389380530973</v>
      </c>
    </row>
    <row r="801" customFormat="false" ht="15" hidden="true" customHeight="true" outlineLevel="0" collapsed="false">
      <c r="B801" s="127" t="n">
        <f aca="false">B800+D801-C801</f>
        <v>483</v>
      </c>
      <c r="D801" s="146" t="n">
        <v>241.5</v>
      </c>
      <c r="E801" s="147" t="n">
        <v>623</v>
      </c>
      <c r="F801" s="147" t="n">
        <f aca="false">IFERROR(VLOOKUP(H801,$AD$1:$AE$301,2,0),"")</f>
        <v>1007964</v>
      </c>
      <c r="G801" s="147" t="str">
        <f aca="false">IFERROR(VLOOKUP(F801,$AE$2:$AF$290,2, 0),"")</f>
        <v>البير</v>
      </c>
      <c r="H801" s="212" t="s">
        <v>289</v>
      </c>
      <c r="I801" s="246" t="n">
        <f aca="false">SUM(K801:R801)</f>
        <v>1</v>
      </c>
      <c r="J801" s="182" t="n">
        <v>45659</v>
      </c>
      <c r="K801" s="184"/>
      <c r="Q801" s="154" t="n">
        <v>1</v>
      </c>
      <c r="S801" s="192" t="n">
        <f aca="false">(K801+O801+Q801)*24 /1130+(L801+M801+P801+R801)*12/1130+(N801*30)/1130</f>
        <v>0.0212389380530973</v>
      </c>
    </row>
    <row r="802" customFormat="false" ht="15" hidden="true" customHeight="true" outlineLevel="0" collapsed="false">
      <c r="B802" s="127" t="n">
        <f aca="false">B801+D802-C802</f>
        <v>1702</v>
      </c>
      <c r="D802" s="146" t="n">
        <f aca="false">241.5*4+253</f>
        <v>1219</v>
      </c>
      <c r="E802" s="147" t="n">
        <v>624</v>
      </c>
      <c r="F802" s="147" t="n">
        <f aca="false">IFERROR(VLOOKUP(H802,$AD$1:$AE$301,2,0),"")</f>
        <v>1007966</v>
      </c>
      <c r="G802" s="147" t="str">
        <f aca="false">IFERROR(VLOOKUP(F802,$AE$2:$AF$290,2, 0),"")</f>
        <v>البير</v>
      </c>
      <c r="H802" s="212" t="s">
        <v>291</v>
      </c>
      <c r="I802" s="246" t="n">
        <f aca="false">SUM(K802:R802)</f>
        <v>5</v>
      </c>
      <c r="J802" s="182" t="n">
        <v>45659</v>
      </c>
      <c r="K802" s="184"/>
      <c r="M802" s="150" t="n">
        <v>1</v>
      </c>
      <c r="Q802" s="154" t="n">
        <v>4</v>
      </c>
      <c r="S802" s="192" t="n">
        <f aca="false">(K802+O802+Q802)*24 /1130+(L802+M802+P802+R802)*12/1130+(N802*30)/1130</f>
        <v>0.0955752212389381</v>
      </c>
    </row>
    <row r="803" customFormat="false" ht="15" hidden="true" customHeight="true" outlineLevel="0" collapsed="false">
      <c r="B803" s="127" t="n">
        <f aca="false">B802+D803-C803</f>
        <v>2909.5</v>
      </c>
      <c r="D803" s="146" t="n">
        <f aca="false">241.5*5</f>
        <v>1207.5</v>
      </c>
      <c r="E803" s="147" t="n">
        <v>625</v>
      </c>
      <c r="F803" s="147" t="n">
        <f aca="false">IFERROR(VLOOKUP(H803,$AD$1:$AE$301,2,0),"")</f>
        <v>1008019</v>
      </c>
      <c r="G803" s="147" t="str">
        <f aca="false">IFERROR(VLOOKUP(F803,$AE$2:$AF$290,2, 0),"")</f>
        <v>البدع</v>
      </c>
      <c r="H803" s="212" t="s">
        <v>327</v>
      </c>
      <c r="I803" s="246" t="n">
        <f aca="false">SUM(K803:R803)</f>
        <v>5</v>
      </c>
      <c r="J803" s="182" t="n">
        <v>45659</v>
      </c>
      <c r="K803" s="184"/>
      <c r="O803" s="152" t="n">
        <v>5</v>
      </c>
      <c r="S803" s="192" t="n">
        <f aca="false">(K803+O803+Q803)*24 /1130+(L803+M803+P803+R803)*12/1130+(N803*30)/1130</f>
        <v>0.106194690265487</v>
      </c>
    </row>
    <row r="804" customFormat="false" ht="15" hidden="true" customHeight="true" outlineLevel="0" collapsed="false">
      <c r="B804" s="127" t="n">
        <f aca="false">B803+D804-C804</f>
        <v>3438.5</v>
      </c>
      <c r="D804" s="146" t="n">
        <f aca="false">287.5+241.5</f>
        <v>529</v>
      </c>
      <c r="E804" s="147" t="n">
        <v>626</v>
      </c>
      <c r="F804" s="147" t="n">
        <f aca="false">IFERROR(VLOOKUP(H804,$AD$1:$AE$301,2,0),"")</f>
        <v>1008042</v>
      </c>
      <c r="G804" s="147" t="str">
        <f aca="false">IFERROR(VLOOKUP(F804,$AE$2:$AF$290,2, 0),"")</f>
        <v>البدع</v>
      </c>
      <c r="H804" s="212" t="s">
        <v>329</v>
      </c>
      <c r="I804" s="246" t="n">
        <f aca="false">SUM(K804:R804)</f>
        <v>2</v>
      </c>
      <c r="J804" s="182" t="n">
        <v>45659</v>
      </c>
      <c r="K804" s="184"/>
      <c r="N804" s="151" t="n">
        <v>1</v>
      </c>
      <c r="O804" s="152" t="n">
        <v>1</v>
      </c>
      <c r="S804" s="192" t="n">
        <f aca="false">(K804+O804+Q804)*24 /1130+(L804+M804+P804+R804)*12/1130+(N804*30)/1130</f>
        <v>0.047787610619469</v>
      </c>
    </row>
    <row r="805" customFormat="false" ht="15" hidden="true" customHeight="true" outlineLevel="0" collapsed="false">
      <c r="B805" s="127" t="n">
        <f aca="false">B804+D805-C805</f>
        <v>3921.5</v>
      </c>
      <c r="D805" s="146" t="n">
        <f aca="false">241.5*2</f>
        <v>483</v>
      </c>
      <c r="E805" s="147" t="n">
        <v>627</v>
      </c>
      <c r="F805" s="147" t="n">
        <f aca="false">IFERROR(VLOOKUP(H805,$AD$1:$AE$301,2,0),"")</f>
        <v>1008022</v>
      </c>
      <c r="G805" s="147" t="str">
        <f aca="false">IFERROR(VLOOKUP(F805,$AE$2:$AF$290,2, 0),"")</f>
        <v>ضباء</v>
      </c>
      <c r="H805" s="212" t="s">
        <v>94</v>
      </c>
      <c r="I805" s="246" t="n">
        <f aca="false">SUM(K805:R805)</f>
        <v>2</v>
      </c>
      <c r="J805" s="182" t="n">
        <v>45659</v>
      </c>
      <c r="K805" s="184"/>
      <c r="O805" s="152" t="n">
        <v>2</v>
      </c>
      <c r="S805" s="192" t="n">
        <f aca="false">(K805+O805+Q805)*24 /1130+(L805+M805+P805+R805)*12/1130+(N805*30)/1130</f>
        <v>0.0424778761061947</v>
      </c>
    </row>
    <row r="806" customFormat="false" ht="15" hidden="true" customHeight="true" outlineLevel="0" collapsed="false">
      <c r="B806" s="127" t="n">
        <f aca="false">B805+D806-C806</f>
        <v>4657.5</v>
      </c>
      <c r="D806" s="146" t="n">
        <f aca="false">299*2+138</f>
        <v>736</v>
      </c>
      <c r="E806" s="147" t="n">
        <v>628</v>
      </c>
      <c r="F806" s="147" t="n">
        <f aca="false">IFERROR(VLOOKUP(H806,$AD$1:$AE$301,2,0),"")</f>
        <v>1008022</v>
      </c>
      <c r="G806" s="147" t="str">
        <f aca="false">IFERROR(VLOOKUP(F806,$AE$2:$AF$290,2, 0),"")</f>
        <v>ضباء</v>
      </c>
      <c r="H806" s="212" t="s">
        <v>94</v>
      </c>
      <c r="I806" s="246" t="n">
        <f aca="false">SUM(K806:R806)</f>
        <v>3</v>
      </c>
      <c r="J806" s="182" t="n">
        <v>45663</v>
      </c>
      <c r="K806" s="184" t="n">
        <f aca="false">1+1</f>
        <v>2</v>
      </c>
      <c r="Q806" s="154" t="n">
        <v>1</v>
      </c>
      <c r="S806" s="192" t="n">
        <f aca="false">(K806+O806+Q806)*24 /1130+(L806+M806+P806+R806)*12/1130+(N806*30)/1130</f>
        <v>0.063716814159292</v>
      </c>
    </row>
    <row r="807" customFormat="false" ht="15" hidden="true" customHeight="true" outlineLevel="0" collapsed="false">
      <c r="B807" s="127" t="n">
        <f aca="false">B806+D807-C807</f>
        <v>6900</v>
      </c>
      <c r="D807" s="146" t="n">
        <f aca="false">5*299+230*2+287.5</f>
        <v>2242.5</v>
      </c>
      <c r="E807" s="147" t="n">
        <v>629</v>
      </c>
      <c r="F807" s="147" t="n">
        <f aca="false">IFERROR(VLOOKUP(H807,$AD$1:$AE$301,2,0),"")</f>
        <v>1008024</v>
      </c>
      <c r="G807" s="147" t="str">
        <f aca="false">IFERROR(VLOOKUP(F807,$AE$2:$AF$290,2, 0),"")</f>
        <v>ضباء</v>
      </c>
      <c r="H807" s="212" t="s">
        <v>96</v>
      </c>
      <c r="I807" s="246" t="n">
        <f aca="false">SUM(K807:R807)</f>
        <v>8</v>
      </c>
      <c r="J807" s="182" t="n">
        <v>45663</v>
      </c>
      <c r="K807" s="184" t="n">
        <f aca="false">2+3</f>
        <v>5</v>
      </c>
      <c r="M807" s="150" t="n">
        <v>2</v>
      </c>
      <c r="N807" s="151" t="n">
        <v>1</v>
      </c>
      <c r="S807" s="192" t="n">
        <f aca="false">(K807+O807+Q807)*24 /1130+(L807+M807+P807+R807)*12/1130+(N807*30)/1130</f>
        <v>0.153982300884956</v>
      </c>
    </row>
    <row r="808" customFormat="false" ht="15" hidden="true" customHeight="true" outlineLevel="0" collapsed="false">
      <c r="B808" s="127" t="n">
        <f aca="false">B807+D808-C808</f>
        <v>8487</v>
      </c>
      <c r="D808" s="146" t="n">
        <f aca="false">2*299+2*253+241.5*2</f>
        <v>1587</v>
      </c>
      <c r="E808" s="147" t="n">
        <v>630</v>
      </c>
      <c r="F808" s="147" t="n">
        <f aca="false">IFERROR(VLOOKUP(H808,$AD$1:$AE$301,2,0),"")</f>
        <v>1007988</v>
      </c>
      <c r="G808" s="147" t="str">
        <f aca="false">IFERROR(VLOOKUP(F808,$AE$2:$AF$290,2, 0),"")</f>
        <v>ضباء</v>
      </c>
      <c r="H808" s="212" t="s">
        <v>89</v>
      </c>
      <c r="I808" s="246" t="n">
        <f aca="false">SUM(K808:R808)</f>
        <v>6</v>
      </c>
      <c r="J808" s="182" t="n">
        <v>45663</v>
      </c>
      <c r="K808" s="184" t="n">
        <f aca="false">1+1</f>
        <v>2</v>
      </c>
      <c r="M808" s="150" t="n">
        <v>2</v>
      </c>
      <c r="O808" s="152" t="n">
        <v>2</v>
      </c>
      <c r="S808" s="192" t="n">
        <f aca="false">(K808+O808+Q808)*24 /1130+(L808+M808+P808+R808)*12/1130+(N808*30)/1130</f>
        <v>0.106194690265487</v>
      </c>
    </row>
    <row r="809" customFormat="false" ht="15" hidden="true" customHeight="true" outlineLevel="0" collapsed="false">
      <c r="B809" s="127" t="n">
        <f aca="false">B808+D809-C809</f>
        <v>13869</v>
      </c>
      <c r="D809" s="146" t="n">
        <f aca="false">299*18</f>
        <v>5382</v>
      </c>
      <c r="E809" s="147" t="n">
        <v>631</v>
      </c>
      <c r="F809" s="147" t="n">
        <f aca="false">IFERROR(VLOOKUP(H809,$AD$1:$AE$301,2,0),"")</f>
        <v>1008048</v>
      </c>
      <c r="G809" s="147" t="str">
        <f aca="false">IFERROR(VLOOKUP(F809,$AE$2:$AF$290,2, 0),"")</f>
        <v>الوجه</v>
      </c>
      <c r="H809" s="212" t="s">
        <v>110</v>
      </c>
      <c r="I809" s="246" t="n">
        <f aca="false">SUM(K809:R809)</f>
        <v>18</v>
      </c>
      <c r="J809" s="182" t="n">
        <v>45663</v>
      </c>
      <c r="K809" s="184" t="n">
        <f aca="false">15+3</f>
        <v>18</v>
      </c>
      <c r="S809" s="192" t="n">
        <f aca="false">(K809+O809+Q809)*24 /1130+(L809+M809+P809+R809)*12/1130+(N809*30)/1130</f>
        <v>0.382300884955752</v>
      </c>
    </row>
    <row r="810" customFormat="false" ht="15" hidden="true" customHeight="true" outlineLevel="0" collapsed="false">
      <c r="B810" s="127" t="n">
        <f aca="false">B809+D810-C810</f>
        <v>14467</v>
      </c>
      <c r="D810" s="146" t="n">
        <f aca="false">299*2</f>
        <v>598</v>
      </c>
      <c r="E810" s="147" t="n">
        <v>632</v>
      </c>
      <c r="F810" s="147" t="n">
        <f aca="false">IFERROR(VLOOKUP(H810,$AD$1:$AE$301,2,0),"")</f>
        <v>1008043</v>
      </c>
      <c r="G810" s="147" t="str">
        <f aca="false">IFERROR(VLOOKUP(F810,$AE$2:$AF$290,2, 0),"")</f>
        <v>الوجه</v>
      </c>
      <c r="H810" s="212" t="s">
        <v>104</v>
      </c>
      <c r="I810" s="246" t="n">
        <f aca="false">SUM(K810:R810)</f>
        <v>2</v>
      </c>
      <c r="J810" s="182" t="n">
        <v>45663</v>
      </c>
      <c r="K810" s="184" t="n">
        <f aca="false">2</f>
        <v>2</v>
      </c>
      <c r="S810" s="192" t="n">
        <f aca="false">(K810+O810+Q810)*24 /1130+(L810+M810+P810+R810)*12/1130+(N810*30)/1130</f>
        <v>0.0424778761061947</v>
      </c>
    </row>
    <row r="811" customFormat="false" ht="15" hidden="true" customHeight="true" outlineLevel="0" collapsed="false">
      <c r="B811" s="127" t="n">
        <f aca="false">B810+D811-C811</f>
        <v>14950</v>
      </c>
      <c r="D811" s="146" t="n">
        <f aca="false">253+230</f>
        <v>483</v>
      </c>
      <c r="E811" s="147" t="n">
        <v>633</v>
      </c>
      <c r="F811" s="147" t="n">
        <f aca="false">IFERROR(VLOOKUP(H811,$AD$1:$AE$301,2,0),"")</f>
        <v>1008032</v>
      </c>
      <c r="G811" s="147" t="str">
        <f aca="false">IFERROR(VLOOKUP(F811,$AE$2:$AF$290,2, 0),"")</f>
        <v>ضباء</v>
      </c>
      <c r="H811" s="212" t="s">
        <v>101</v>
      </c>
      <c r="I811" s="246" t="n">
        <f aca="false">SUM(K811:R811)</f>
        <v>2</v>
      </c>
      <c r="J811" s="182" t="n">
        <v>45663</v>
      </c>
      <c r="K811" s="184"/>
      <c r="M811" s="150" t="n">
        <f aca="false">1+1</f>
        <v>2</v>
      </c>
      <c r="S811" s="192" t="n">
        <f aca="false">(K811+O811+Q811)*24 /1130+(L811+M811+P811+R811)*12/1130+(N811*30)/1130</f>
        <v>0.0212389380530973</v>
      </c>
    </row>
    <row r="812" customFormat="false" ht="15" hidden="true" customHeight="true" outlineLevel="0" collapsed="false">
      <c r="B812" s="127" t="n">
        <f aca="false">B811+D812-C812</f>
        <v>9791.25</v>
      </c>
      <c r="C812" s="127" t="n">
        <f aca="false">D800+673.75+1219+1242.5+1000+782</f>
        <v>5158.75</v>
      </c>
      <c r="E812" s="212" t="s">
        <v>470</v>
      </c>
      <c r="F812" s="147" t="str">
        <f aca="false">IFERROR(VLOOKUP(H812,$AD$1:$AE$301,2,0),"")</f>
        <v/>
      </c>
      <c r="G812" s="147" t="str">
        <f aca="false">IFERROR(VLOOKUP(F812,$AE$2:$AF$290,2, 0),"")</f>
        <v/>
      </c>
      <c r="H812" s="212" t="s">
        <v>393</v>
      </c>
      <c r="I812" s="246" t="n">
        <f aca="false">SUM(K812:R812)</f>
        <v>0</v>
      </c>
      <c r="J812" s="182" t="n">
        <v>45664</v>
      </c>
      <c r="K812" s="184"/>
      <c r="S812" s="192" t="n">
        <f aca="false">(K812+O812+Q812)*24 /1130+(L812+M812+P812+R812)*12/1130+(N812*30)/1130</f>
        <v>0</v>
      </c>
    </row>
    <row r="813" customFormat="false" ht="15" hidden="true" customHeight="true" outlineLevel="0" collapsed="false">
      <c r="B813" s="127" t="n">
        <f aca="false">B812+D813-C813</f>
        <v>4409.25</v>
      </c>
      <c r="C813" s="127" t="n">
        <f aca="false">D809</f>
        <v>5382</v>
      </c>
      <c r="E813" s="212" t="s">
        <v>655</v>
      </c>
      <c r="F813" s="147" t="str">
        <f aca="false">IFERROR(VLOOKUP(H813,$AD$1:$AE$301,2,0),"")</f>
        <v/>
      </c>
      <c r="G813" s="147" t="str">
        <f aca="false">IFERROR(VLOOKUP(F813,$AE$2:$AF$290,2, 0),"")</f>
        <v/>
      </c>
      <c r="H813" s="212" t="s">
        <v>393</v>
      </c>
      <c r="I813" s="246" t="n">
        <f aca="false">SUM(K813:R813)</f>
        <v>0</v>
      </c>
      <c r="J813" s="182" t="n">
        <v>45664</v>
      </c>
      <c r="K813" s="184"/>
      <c r="S813" s="192" t="n">
        <f aca="false">(K813+O813+Q813)*24 /1130+(L813+M813+P813+R813)*12/1130+(N813*30)/1130</f>
        <v>0</v>
      </c>
    </row>
    <row r="814" customFormat="false" ht="15" hidden="true" customHeight="true" outlineLevel="0" collapsed="false">
      <c r="B814" s="127" t="n">
        <f aca="false">B813+D814-C814</f>
        <v>0.25</v>
      </c>
      <c r="C814" s="127" t="n">
        <f aca="false">2000+800+1609</f>
        <v>4409</v>
      </c>
      <c r="E814" s="212" t="s">
        <v>470</v>
      </c>
      <c r="F814" s="147" t="str">
        <f aca="false">IFERROR(VLOOKUP(H814,$AD$1:$AE$301,2,0),"")</f>
        <v/>
      </c>
      <c r="G814" s="147" t="str">
        <f aca="false">IFERROR(VLOOKUP(F814,$AE$2:$AF$290,2, 0),"")</f>
        <v/>
      </c>
      <c r="H814" s="212" t="s">
        <v>393</v>
      </c>
      <c r="I814" s="246" t="n">
        <f aca="false">SUM(K814:R814)</f>
        <v>0</v>
      </c>
      <c r="J814" s="182" t="n">
        <v>45663</v>
      </c>
      <c r="K814" s="184"/>
      <c r="S814" s="192" t="n">
        <f aca="false">(K814+O814+Q814)*24 /1130+(L814+M814+P814+R814)*12/1130+(N814*30)/1130</f>
        <v>0</v>
      </c>
    </row>
    <row r="815" customFormat="false" ht="15" hidden="true" customHeight="true" outlineLevel="0" collapsed="false">
      <c r="A815" s="128" t="n">
        <f aca="false">D815-500-400+3</f>
        <v>0</v>
      </c>
      <c r="B815" s="127" t="n">
        <f aca="false">B814+D815-C815</f>
        <v>897.25</v>
      </c>
      <c r="D815" s="146" t="n">
        <f aca="false">299+299*2</f>
        <v>897</v>
      </c>
      <c r="E815" s="147" t="n">
        <v>634</v>
      </c>
      <c r="F815" s="147" t="n">
        <f aca="false">IFERROR(VLOOKUP(H815,$AD$1:$AE$301,2,0),"")</f>
        <v>560</v>
      </c>
      <c r="G815" s="147" t="str">
        <f aca="false">IFERROR(VLOOKUP(F815,$AE$2:$AF$290,2, 0),"")</f>
        <v>تبوك</v>
      </c>
      <c r="H815" s="212" t="s">
        <v>133</v>
      </c>
      <c r="I815" s="246" t="n">
        <f aca="false">SUM(K815:R815)</f>
        <v>3</v>
      </c>
      <c r="J815" s="182" t="n">
        <v>45663</v>
      </c>
      <c r="K815" s="184"/>
      <c r="R815" s="155" t="n">
        <f aca="false">1+2</f>
        <v>3</v>
      </c>
      <c r="S815" s="192" t="n">
        <f aca="false">(K815+O815+Q815)*24 /1130+(L815+M815+P815+R815)*12/1130+(N815*30)/1130</f>
        <v>0.031858407079646</v>
      </c>
    </row>
    <row r="816" customFormat="false" ht="15" hidden="true" customHeight="true" outlineLevel="0" collapsed="false">
      <c r="A816" s="128" t="n">
        <f aca="false">D816+138-237-200</f>
        <v>0</v>
      </c>
      <c r="B816" s="127" t="n">
        <f aca="false">B815+D816-C816</f>
        <v>1196.25</v>
      </c>
      <c r="D816" s="146" t="n">
        <v>299</v>
      </c>
      <c r="E816" s="147" t="n">
        <v>635</v>
      </c>
      <c r="F816" s="147" t="n">
        <f aca="false">IFERROR(VLOOKUP(H816,$AD$1:$AE$301,2,0),"")</f>
        <v>1008262</v>
      </c>
      <c r="G816" s="147" t="str">
        <f aca="false">IFERROR(VLOOKUP(F816,$AE$2:$AF$290,2, 0),"")</f>
        <v>تبوك</v>
      </c>
      <c r="H816" s="212" t="s">
        <v>176</v>
      </c>
      <c r="I816" s="246" t="n">
        <f aca="false">SUM(K816:R816)</f>
        <v>1</v>
      </c>
      <c r="J816" s="182" t="n">
        <v>45663</v>
      </c>
      <c r="K816" s="184" t="n">
        <v>1</v>
      </c>
      <c r="S816" s="192" t="n">
        <f aca="false">(K816+O816+Q816)*24 /1130+(L816+M816+P816+R816)*12/1130+(N816*30)/1130</f>
        <v>0.0212389380530973</v>
      </c>
    </row>
    <row r="817" customFormat="false" ht="15" hidden="true" customHeight="true" outlineLevel="0" collapsed="false">
      <c r="B817" s="127" t="n">
        <f aca="false">B816+D817-C817</f>
        <v>299.25</v>
      </c>
      <c r="C817" s="127" t="n">
        <f aca="false">500+309+88</f>
        <v>897</v>
      </c>
      <c r="E817" s="212" t="s">
        <v>470</v>
      </c>
      <c r="F817" s="147" t="str">
        <f aca="false">IFERROR(VLOOKUP(H817,$AD$1:$AE$301,2,0),"")</f>
        <v/>
      </c>
      <c r="G817" s="147" t="str">
        <f aca="false">IFERROR(VLOOKUP(F817,$AE$2:$AF$290,2, 0),"")</f>
        <v/>
      </c>
      <c r="H817" s="212" t="s">
        <v>393</v>
      </c>
      <c r="I817" s="246" t="n">
        <f aca="false">SUM(K817:R817)</f>
        <v>0</v>
      </c>
      <c r="J817" s="182" t="n">
        <v>45663</v>
      </c>
      <c r="K817" s="184"/>
      <c r="S817" s="192" t="n">
        <f aca="false">(K817+O817+Q817)*24 /1130+(L817+M817+P817+R817)*12/1130+(N817*30)/1130</f>
        <v>0</v>
      </c>
    </row>
    <row r="818" customFormat="false" ht="15" hidden="true" customHeight="true" outlineLevel="0" collapsed="false">
      <c r="B818" s="127" t="n">
        <f aca="false">B817+D818-C818</f>
        <v>0</v>
      </c>
      <c r="C818" s="127" t="n">
        <f aca="false">237+62</f>
        <v>299</v>
      </c>
      <c r="D818" s="146" t="n">
        <v>-0.25</v>
      </c>
      <c r="E818" s="212" t="s">
        <v>470</v>
      </c>
      <c r="F818" s="147" t="str">
        <f aca="false">IFERROR(VLOOKUP(H818,$AD$1:$AE$301,2,0),"")</f>
        <v/>
      </c>
      <c r="G818" s="147" t="str">
        <f aca="false">IFERROR(VLOOKUP(F818,$AE$2:$AF$290,2, 0),"")</f>
        <v/>
      </c>
      <c r="H818" s="212" t="s">
        <v>393</v>
      </c>
      <c r="I818" s="246" t="n">
        <f aca="false">SUM(K818:R818)</f>
        <v>0</v>
      </c>
      <c r="J818" s="182" t="n">
        <v>45669</v>
      </c>
      <c r="K818" s="184"/>
      <c r="S818" s="192" t="n">
        <f aca="false">(K818+O818+Q818)*24 /1130+(L818+M818+P818+R818)*12/1130+(N818*30)/1130</f>
        <v>0</v>
      </c>
    </row>
    <row r="819" customFormat="false" ht="15" hidden="true" customHeight="true" outlineLevel="0" collapsed="false">
      <c r="A819" s="128" t="n">
        <f aca="false">D819-700-8</f>
        <v>-0.75</v>
      </c>
      <c r="B819" s="127" t="n">
        <f aca="false">B818+D819-C819</f>
        <v>707.25</v>
      </c>
      <c r="D819" s="146" t="n">
        <f aca="false">299+230+178.25</f>
        <v>707.25</v>
      </c>
      <c r="E819" s="147" t="n">
        <v>537</v>
      </c>
      <c r="F819" s="147" t="n">
        <f aca="false">IFERROR(VLOOKUP(H819,$AD$1:$AE$301,2,0),"")</f>
        <v>555</v>
      </c>
      <c r="G819" s="147" t="str">
        <f aca="false">IFERROR(VLOOKUP(F819,$AE$2:$AF$290,2, 0),"")</f>
        <v>تبوك</v>
      </c>
      <c r="H819" s="212" t="s">
        <v>260</v>
      </c>
      <c r="I819" s="246" t="n">
        <f aca="false">SUM(K819:R819)</f>
        <v>3</v>
      </c>
      <c r="J819" s="182" t="n">
        <v>45669</v>
      </c>
      <c r="K819" s="184" t="n">
        <v>1</v>
      </c>
      <c r="L819" s="149" t="n">
        <v>1</v>
      </c>
      <c r="M819" s="150" t="n">
        <v>1</v>
      </c>
      <c r="S819" s="192" t="n">
        <f aca="false">(K819+O819+Q819)*24 /1130+(L819+M819+P819+R819)*12/1130+(N819*30)/1130</f>
        <v>0.0424778761061947</v>
      </c>
    </row>
    <row r="820" customFormat="false" ht="15" hidden="true" customHeight="true" outlineLevel="0" collapsed="false">
      <c r="A820" s="128" t="n">
        <f aca="false">D820-1075</f>
        <v>0.25</v>
      </c>
      <c r="B820" s="127" t="n">
        <f aca="false">B819+D820-C820</f>
        <v>1782.5</v>
      </c>
      <c r="D820" s="409" t="n">
        <f aca="false">299+2*299+178.25</f>
        <v>1075.25</v>
      </c>
      <c r="E820" s="147" t="n">
        <v>536</v>
      </c>
      <c r="F820" s="147" t="n">
        <f aca="false">IFERROR(VLOOKUP(H820,$AD$1:$AE$301,2,0),"")</f>
        <v>1008275</v>
      </c>
      <c r="G820" s="147" t="str">
        <f aca="false">IFERROR(VLOOKUP(F820,$AE$2:$AF$290,2, 0),"")</f>
        <v>تبوك</v>
      </c>
      <c r="H820" s="212" t="s">
        <v>179</v>
      </c>
      <c r="I820" s="246" t="n">
        <f aca="false">SUM(K820:R820)</f>
        <v>4</v>
      </c>
      <c r="J820" s="182" t="n">
        <v>45669</v>
      </c>
      <c r="K820" s="184" t="n">
        <f aca="false">1+2</f>
        <v>3</v>
      </c>
      <c r="L820" s="149" t="n">
        <v>1</v>
      </c>
      <c r="S820" s="192" t="n">
        <f aca="false">(K820+O820+Q820)*24 /1130+(L820+M820+P820+R820)*12/1130+(N820*30)/1130</f>
        <v>0.0743362831858407</v>
      </c>
    </row>
    <row r="821" customFormat="false" ht="15" hidden="true" customHeight="true" outlineLevel="0" collapsed="false">
      <c r="A821" s="128" t="n">
        <f aca="false">D821-100-200</f>
        <v>-1</v>
      </c>
      <c r="B821" s="127" t="n">
        <f aca="false">B820+D821-C821</f>
        <v>2081.5</v>
      </c>
      <c r="D821" s="146" t="n">
        <v>299</v>
      </c>
      <c r="E821" s="147" t="n">
        <v>638</v>
      </c>
      <c r="F821" s="147" t="n">
        <f aca="false">IFERROR(VLOOKUP(H821,$AD$1:$AE$301,2,0),"")</f>
        <v>1008276</v>
      </c>
      <c r="G821" s="147" t="str">
        <f aca="false">IFERROR(VLOOKUP(F821,$AE$2:$AF$290,2, 0),"")</f>
        <v>تبوك</v>
      </c>
      <c r="H821" s="212" t="s">
        <v>145</v>
      </c>
      <c r="I821" s="246" t="n">
        <f aca="false">SUM(K821:R821)</f>
        <v>1</v>
      </c>
      <c r="J821" s="182" t="n">
        <v>45669</v>
      </c>
      <c r="K821" s="184" t="n">
        <v>1</v>
      </c>
      <c r="S821" s="192" t="n">
        <f aca="false">(K821+O821+Q821)*24 /1130+(L821+M821+P821+R821)*12/1130+(N821*30)/1130</f>
        <v>0.0212389380530973</v>
      </c>
    </row>
    <row r="822" customFormat="false" ht="15" hidden="true" customHeight="true" outlineLevel="0" collapsed="false">
      <c r="A822" s="128" t="n">
        <f aca="false">D822-299</f>
        <v>0</v>
      </c>
      <c r="B822" s="127" t="n">
        <f aca="false">B821+D822-C822</f>
        <v>2380.5</v>
      </c>
      <c r="D822" s="146" t="n">
        <v>299</v>
      </c>
      <c r="E822" s="147" t="n">
        <v>639</v>
      </c>
      <c r="F822" s="147" t="n">
        <f aca="false">IFERROR(VLOOKUP(H822,$AD$1:$AE$301,2,0),"")</f>
        <v>1008032</v>
      </c>
      <c r="G822" s="147" t="str">
        <f aca="false">IFERROR(VLOOKUP(F822,$AE$2:$AF$290,2, 0),"")</f>
        <v>ضباء</v>
      </c>
      <c r="H822" s="212" t="s">
        <v>101</v>
      </c>
      <c r="I822" s="246" t="n">
        <f aca="false">SUM(K822:R822)</f>
        <v>1</v>
      </c>
      <c r="J822" s="182" t="n">
        <v>45669</v>
      </c>
      <c r="K822" s="184" t="n">
        <f aca="false">1</f>
        <v>1</v>
      </c>
      <c r="S822" s="192" t="n">
        <f aca="false">(K822+O822+Q822)*24 /1130+(L822+M822+P822+R822)*12/1130+(N822*30)/1130</f>
        <v>0.0212389380530973</v>
      </c>
    </row>
    <row r="823" customFormat="false" ht="15" hidden="true" customHeight="true" outlineLevel="0" collapsed="false">
      <c r="A823" s="230" t="n">
        <f aca="false">D823+299+50-648</f>
        <v>0</v>
      </c>
      <c r="B823" s="127" t="n">
        <f aca="false">B822+D823-C823</f>
        <v>2679.5</v>
      </c>
      <c r="D823" s="409" t="n">
        <v>299</v>
      </c>
      <c r="E823" s="147" t="n">
        <v>641</v>
      </c>
      <c r="F823" s="147" t="n">
        <f aca="false">IFERROR(VLOOKUP(H823,$AD$1:$AE$301,2,0),"")</f>
        <v>562</v>
      </c>
      <c r="G823" s="147" t="str">
        <f aca="false">IFERROR(VLOOKUP(F823,$AE$2:$AF$290,2, 0),"")</f>
        <v>تبوك</v>
      </c>
      <c r="H823" s="212" t="s">
        <v>234</v>
      </c>
      <c r="I823" s="246" t="n">
        <f aca="false">SUM(K823:R823)</f>
        <v>1</v>
      </c>
      <c r="J823" s="182" t="n">
        <v>45669</v>
      </c>
      <c r="K823" s="184"/>
      <c r="R823" s="155" t="n">
        <v>1</v>
      </c>
      <c r="S823" s="192" t="n">
        <f aca="false">(K823+O823+Q823)*24 /1130+(L823+M823+P823+R823)*12/1130+(N823*30)/1130</f>
        <v>0.0106194690265487</v>
      </c>
    </row>
    <row r="824" customFormat="false" ht="15" hidden="true" customHeight="true" outlineLevel="0" collapsed="false">
      <c r="B824" s="127" t="n">
        <f aca="false">B823+D824-C824</f>
        <v>2978.5</v>
      </c>
      <c r="D824" s="146" t="n">
        <v>299</v>
      </c>
      <c r="E824" s="147" t="n">
        <v>640</v>
      </c>
      <c r="F824" s="147" t="n">
        <f aca="false">IFERROR(VLOOKUP(H824,$AD$1:$AE$301,2,0),"")</f>
        <v>668</v>
      </c>
      <c r="G824" s="147" t="str">
        <f aca="false">IFERROR(VLOOKUP(F824,$AE$2:$AF$290,2, 0),"")</f>
        <v>تبوك</v>
      </c>
      <c r="H824" s="212" t="s">
        <v>267</v>
      </c>
      <c r="I824" s="246" t="n">
        <f aca="false">SUM(K824:R824)</f>
        <v>1</v>
      </c>
      <c r="J824" s="182" t="n">
        <v>45669</v>
      </c>
      <c r="K824" s="184" t="n">
        <v>1</v>
      </c>
      <c r="S824" s="192" t="n">
        <f aca="false">(K824+O824+Q824)*24 /1130+(L824+M824+P824+R824)*12/1130+(N824*30)/1130</f>
        <v>0.0212389380530973</v>
      </c>
    </row>
    <row r="825" customFormat="false" ht="15" hidden="true" customHeight="true" outlineLevel="0" collapsed="false">
      <c r="B825" s="127" t="n">
        <f aca="false">B824+D825-C825</f>
        <v>3289</v>
      </c>
      <c r="D825" s="146" t="n">
        <f aca="false">155.25*2</f>
        <v>310.5</v>
      </c>
      <c r="E825" s="147" t="n">
        <v>642</v>
      </c>
      <c r="F825" s="147" t="n">
        <f aca="false">IFERROR(VLOOKUP(H825,$AD$1:$AE$301,2,0),"")</f>
        <v>653</v>
      </c>
      <c r="G825" s="147" t="str">
        <f aca="false">IFERROR(VLOOKUP(F825,$AE$2:$AF$290,2, 0),"")</f>
        <v>تبوك</v>
      </c>
      <c r="H825" s="212" t="s">
        <v>264</v>
      </c>
      <c r="I825" s="246" t="n">
        <f aca="false">SUM(K825:R825)</f>
        <v>2</v>
      </c>
      <c r="J825" s="182" t="n">
        <v>45669</v>
      </c>
      <c r="K825" s="184"/>
      <c r="R825" s="155" t="n">
        <f aca="false">2</f>
        <v>2</v>
      </c>
      <c r="S825" s="192" t="n">
        <f aca="false">(K825+O825+Q825)*24 /1130+(L825+M825+P825+R825)*12/1130+(N825*30)/1130</f>
        <v>0.0212389380530973</v>
      </c>
    </row>
    <row r="826" customFormat="false" ht="15" hidden="true" customHeight="true" outlineLevel="0" collapsed="false">
      <c r="B826" s="127" t="n">
        <f aca="false">B825+D826-C826</f>
        <v>2571</v>
      </c>
      <c r="C826" s="127" t="n">
        <f aca="false">70+648</f>
        <v>718</v>
      </c>
      <c r="E826" s="212" t="s">
        <v>470</v>
      </c>
      <c r="F826" s="147" t="str">
        <f aca="false">IFERROR(VLOOKUP(H826,$AD$1:$AE$301,2,0),"")</f>
        <v/>
      </c>
      <c r="G826" s="147" t="str">
        <f aca="false">IFERROR(VLOOKUP(F826,$AE$2:$AF$290,2, 0),"")</f>
        <v/>
      </c>
      <c r="H826" s="212" t="s">
        <v>393</v>
      </c>
      <c r="I826" s="246" t="n">
        <f aca="false">SUM(K826:R826)</f>
        <v>0</v>
      </c>
      <c r="J826" s="182" t="n">
        <v>45669</v>
      </c>
      <c r="K826" s="184"/>
      <c r="S826" s="192" t="n">
        <f aca="false">(K826+O826+Q826)*24 /1130+(L826+M826+P826+R826)*12/1130+(N826*30)/1130</f>
        <v>0</v>
      </c>
    </row>
    <row r="827" customFormat="false" ht="15" hidden="true" customHeight="true" outlineLevel="0" collapsed="false">
      <c r="B827" s="127" t="n">
        <f aca="false">B826+D827-C827</f>
        <v>0</v>
      </c>
      <c r="C827" s="127" t="n">
        <v>2571</v>
      </c>
      <c r="E827" s="212" t="s">
        <v>470</v>
      </c>
      <c r="F827" s="147" t="str">
        <f aca="false">IFERROR(VLOOKUP(H827,$AD$1:$AE$301,2,0),"")</f>
        <v/>
      </c>
      <c r="G827" s="147" t="str">
        <f aca="false">IFERROR(VLOOKUP(F827,$AE$2:$AF$290,2, 0),"")</f>
        <v/>
      </c>
      <c r="H827" s="212" t="s">
        <v>393</v>
      </c>
      <c r="I827" s="246" t="n">
        <f aca="false">SUM(K827:R827)</f>
        <v>0</v>
      </c>
      <c r="J827" s="182" t="n">
        <v>45670</v>
      </c>
      <c r="K827" s="184"/>
      <c r="S827" s="192" t="n">
        <f aca="false">(K827+O827+Q827)*24 /1130+(L827+M827+P827+R827)*12/1130+(N827*30)/1130</f>
        <v>0</v>
      </c>
    </row>
    <row r="828" customFormat="false" ht="15" hidden="true" customHeight="true" outlineLevel="0" collapsed="false">
      <c r="B828" s="127" t="n">
        <f aca="false">B827+D828-C828</f>
        <v>241.5</v>
      </c>
      <c r="D828" s="146" t="n">
        <v>241.5</v>
      </c>
      <c r="E828" s="147" t="n">
        <v>643</v>
      </c>
      <c r="F828" s="147" t="n">
        <f aca="false">IFERROR(VLOOKUP(H828,$AD$1:$AE$301,2,0),"")</f>
        <v>1008021</v>
      </c>
      <c r="G828" s="147" t="str">
        <f aca="false">IFERROR(VLOOKUP(F828,$AE$2:$AF$290,2, 0),"")</f>
        <v>البير</v>
      </c>
      <c r="H828" s="212" t="s">
        <v>294</v>
      </c>
      <c r="I828" s="246" t="n">
        <f aca="false">SUM(K828:R828)</f>
        <v>1</v>
      </c>
      <c r="J828" s="182" t="n">
        <v>45670</v>
      </c>
      <c r="K828" s="184"/>
      <c r="Q828" s="154" t="n">
        <v>1</v>
      </c>
      <c r="S828" s="192" t="n">
        <f aca="false">(K828+O828+Q828)*24 /1130+(L828+M828+P828+R828)*12/1130+(N828*30)/1130</f>
        <v>0.0212389380530973</v>
      </c>
    </row>
    <row r="829" customFormat="false" ht="15" hidden="true" customHeight="true" outlineLevel="0" collapsed="false">
      <c r="B829" s="127" t="n">
        <f aca="false">B828+D829-C829</f>
        <v>494.5</v>
      </c>
      <c r="D829" s="146" t="n">
        <v>253</v>
      </c>
      <c r="E829" s="147" t="n">
        <v>644</v>
      </c>
      <c r="F829" s="147" t="n">
        <f aca="false">IFERROR(VLOOKUP(H829,$AD$1:$AE$301,2,0),"")</f>
        <v>1008030</v>
      </c>
      <c r="G829" s="147" t="str">
        <f aca="false">IFERROR(VLOOKUP(F829,$AE$2:$AF$290,2, 0),"")</f>
        <v>البير</v>
      </c>
      <c r="H829" s="212" t="s">
        <v>298</v>
      </c>
      <c r="I829" s="246" t="n">
        <f aca="false">SUM(K829:R829)</f>
        <v>1</v>
      </c>
      <c r="J829" s="182" t="n">
        <v>45670</v>
      </c>
      <c r="K829" s="184"/>
      <c r="M829" s="150" t="n">
        <v>1</v>
      </c>
      <c r="S829" s="192" t="n">
        <f aca="false">(K829+O829+Q829)*24 /1130+(L829+M829+P829+R829)*12/1130+(N829*30)/1130</f>
        <v>0.0106194690265487</v>
      </c>
    </row>
    <row r="830" customFormat="false" ht="15" hidden="true" customHeight="true" outlineLevel="0" collapsed="false">
      <c r="B830" s="127" t="n">
        <f aca="false">B829+D830-C830</f>
        <v>638.25</v>
      </c>
      <c r="D830" s="146" t="n">
        <v>143.75</v>
      </c>
      <c r="E830" s="147" t="n">
        <v>645</v>
      </c>
      <c r="F830" s="147" t="n">
        <f aca="false">IFERROR(VLOOKUP(H830,$AD$1:$AE$301,2,0),"")</f>
        <v>1008040</v>
      </c>
      <c r="G830" s="147" t="str">
        <f aca="false">IFERROR(VLOOKUP(F830,$AE$2:$AF$290,2, 0),"")</f>
        <v>البير</v>
      </c>
      <c r="H830" s="212" t="s">
        <v>292</v>
      </c>
      <c r="I830" s="246" t="n">
        <f aca="false">SUM(K830:R830)</f>
        <v>1</v>
      </c>
      <c r="J830" s="182" t="n">
        <v>45670</v>
      </c>
      <c r="K830" s="184"/>
      <c r="P830" s="153" t="n">
        <v>1</v>
      </c>
      <c r="S830" s="192" t="n">
        <f aca="false">(K830+O830+Q830)*24 /1130+(L830+M830+P830+R830)*12/1130+(N830*30)/1130</f>
        <v>0.0106194690265487</v>
      </c>
    </row>
    <row r="831" customFormat="false" ht="15" hidden="true" customHeight="true" outlineLevel="0" collapsed="false">
      <c r="A831" s="128" t="n">
        <f aca="false">D831-299</f>
        <v>0</v>
      </c>
      <c r="B831" s="127" t="n">
        <f aca="false">B830+D831-C831</f>
        <v>937.25</v>
      </c>
      <c r="D831" s="146" t="n">
        <v>299</v>
      </c>
      <c r="E831" s="147" t="n">
        <v>648</v>
      </c>
      <c r="F831" s="147" t="n">
        <f aca="false">IFERROR(VLOOKUP(H831,$AD$1:$AE$301,2,0),"")</f>
        <v>1008007</v>
      </c>
      <c r="G831" s="147" t="str">
        <f aca="false">IFERROR(VLOOKUP(F831,$AE$2:$AF$290,2, 0),"")</f>
        <v>حقل</v>
      </c>
      <c r="H831" s="212" t="s">
        <v>303</v>
      </c>
      <c r="I831" s="246" t="n">
        <f aca="false">SUM(K831:R831)</f>
        <v>1</v>
      </c>
      <c r="J831" s="182" t="n">
        <v>45670</v>
      </c>
      <c r="K831" s="184" t="n">
        <v>1</v>
      </c>
      <c r="S831" s="192" t="n">
        <f aca="false">(K831+O831+Q831)*24 /1130+(L831+M831+P831+R831)*12/1130+(N831*30)/1130</f>
        <v>0.0212389380530973</v>
      </c>
    </row>
    <row r="832" customFormat="false" ht="15" hidden="true" customHeight="true" outlineLevel="0" collapsed="false">
      <c r="B832" s="127" t="n">
        <f aca="false">B831+D832-C832</f>
        <v>2512.75</v>
      </c>
      <c r="D832" s="146" t="n">
        <f aca="false">195.5*5+299*2</f>
        <v>1575.5</v>
      </c>
      <c r="E832" s="147" t="n">
        <v>647</v>
      </c>
      <c r="F832" s="147" t="n">
        <f aca="false">IFERROR(VLOOKUP(H832,$AD$1:$AE$301,2,0),"")</f>
        <v>1007970</v>
      </c>
      <c r="G832" s="147" t="str">
        <f aca="false">IFERROR(VLOOKUP(F832,$AE$2:$AF$290,2, 0),"")</f>
        <v>حقل</v>
      </c>
      <c r="H832" s="212" t="s">
        <v>310</v>
      </c>
      <c r="I832" s="246" t="n">
        <f aca="false">SUM(K832:R832)</f>
        <v>7</v>
      </c>
      <c r="J832" s="182" t="n">
        <v>45670</v>
      </c>
      <c r="K832" s="184" t="n">
        <v>2</v>
      </c>
      <c r="Q832" s="154" t="n">
        <v>5</v>
      </c>
      <c r="S832" s="192" t="n">
        <f aca="false">(K832+O832+Q832)*24 /1130+(L832+M832+P832+R832)*12/1130+(N832*30)/1130</f>
        <v>0.148672566371681</v>
      </c>
    </row>
    <row r="833" customFormat="false" ht="15" hidden="true" customHeight="true" outlineLevel="0" collapsed="false">
      <c r="B833" s="127" t="n">
        <f aca="false">B832+D833-C833</f>
        <v>2777.25</v>
      </c>
      <c r="D833" s="146" t="n">
        <v>264.5</v>
      </c>
      <c r="E833" s="147" t="n">
        <v>646</v>
      </c>
      <c r="F833" s="147" t="n">
        <f aca="false">IFERROR(VLOOKUP(H833,$AD$1:$AE$301,2,0),"")</f>
        <v>1007969</v>
      </c>
      <c r="G833" s="147" t="str">
        <f aca="false">IFERROR(VLOOKUP(F833,$AE$2:$AF$290,2, 0),"")</f>
        <v>حقل</v>
      </c>
      <c r="H833" s="212" t="s">
        <v>309</v>
      </c>
      <c r="I833" s="246" t="n">
        <f aca="false">SUM(K833:R833)</f>
        <v>1</v>
      </c>
      <c r="J833" s="182" t="n">
        <v>45670</v>
      </c>
      <c r="K833" s="184"/>
      <c r="R833" s="155" t="n">
        <v>1</v>
      </c>
      <c r="S833" s="192" t="n">
        <f aca="false">(K833+O833+Q833)*24 /1130+(L833+M833+P833+R833)*12/1130+(N833*30)/1130</f>
        <v>0.0106194690265487</v>
      </c>
    </row>
    <row r="834" customFormat="false" ht="15" hidden="true" customHeight="true" outlineLevel="0" collapsed="false">
      <c r="B834" s="127" t="n">
        <f aca="false">B833+D834-C834</f>
        <v>4375.75</v>
      </c>
      <c r="D834" s="146" t="n">
        <f aca="false">253+138+299+299+155.25*2+299</f>
        <v>1598.5</v>
      </c>
      <c r="E834" s="147" t="n">
        <v>649</v>
      </c>
      <c r="F834" s="147" t="n">
        <f aca="false">IFERROR(VLOOKUP(H834,$AD$1:$AE$301,2,0),"")</f>
        <v>681</v>
      </c>
      <c r="G834" s="147" t="str">
        <f aca="false">IFERROR(VLOOKUP(F834,$AE$2:$AF$290,2, 0),"")</f>
        <v>تبوك</v>
      </c>
      <c r="H834" s="212" t="s">
        <v>268</v>
      </c>
      <c r="I834" s="246" t="n">
        <f aca="false">SUM(K834:R834)</f>
        <v>7</v>
      </c>
      <c r="J834" s="182" t="n">
        <v>45659</v>
      </c>
      <c r="K834" s="184" t="n">
        <f aca="false">1+1</f>
        <v>2</v>
      </c>
      <c r="M834" s="150" t="n">
        <v>1</v>
      </c>
      <c r="Q834" s="154" t="n">
        <v>1</v>
      </c>
      <c r="R834" s="155" t="n">
        <f aca="false">2+1</f>
        <v>3</v>
      </c>
      <c r="S834" s="192" t="n">
        <f aca="false">(K834+O834+Q834)*24 /1130+(L834+M834+P834+R834)*12/1130+(N834*30)/1130</f>
        <v>0.106194690265487</v>
      </c>
    </row>
    <row r="835" customFormat="false" ht="15" hidden="true" customHeight="true" outlineLevel="0" collapsed="false">
      <c r="B835" s="127" t="n">
        <f aca="false">B834+D835-C835</f>
        <v>4374.75</v>
      </c>
      <c r="C835" s="127" t="n">
        <v>1</v>
      </c>
      <c r="E835" s="212" t="s">
        <v>656</v>
      </c>
      <c r="F835" s="147" t="str">
        <f aca="false">IFERROR(VLOOKUP(H835,$AD$1:$AE$301,2,0),"")</f>
        <v/>
      </c>
      <c r="G835" s="147" t="str">
        <f aca="false">IFERROR(VLOOKUP(F835,$AE$2:$AF$290,2, 0),"")</f>
        <v/>
      </c>
      <c r="H835" s="212" t="s">
        <v>393</v>
      </c>
      <c r="I835" s="246" t="n">
        <f aca="false">SUM(K835:R835)</f>
        <v>0</v>
      </c>
      <c r="J835" s="182" t="n">
        <v>45670</v>
      </c>
      <c r="K835" s="184"/>
      <c r="S835" s="192" t="n">
        <f aca="false">(K835+O835+Q835)*24 /1130+(L835+M835+P835+R835)*12/1130+(N835*30)/1130</f>
        <v>0</v>
      </c>
    </row>
    <row r="836" customFormat="false" ht="15" hidden="true" customHeight="true" outlineLevel="0" collapsed="false">
      <c r="B836" s="127" t="n">
        <f aca="false">B835+D836-C836</f>
        <v>0</v>
      </c>
      <c r="C836" s="127" t="n">
        <f aca="false">D830+2633+1598</f>
        <v>4374.75</v>
      </c>
      <c r="E836" s="212" t="s">
        <v>470</v>
      </c>
      <c r="F836" s="147" t="str">
        <f aca="false">IFERROR(VLOOKUP(H836,$AD$1:$AE$301,2,0),"")</f>
        <v/>
      </c>
      <c r="G836" s="147" t="str">
        <f aca="false">IFERROR(VLOOKUP(F836,$AE$2:$AF$290,2, 0),"")</f>
        <v/>
      </c>
      <c r="H836" s="212" t="s">
        <v>393</v>
      </c>
      <c r="I836" s="246" t="n">
        <f aca="false">SUM(K836:R836)</f>
        <v>0</v>
      </c>
      <c r="J836" s="182" t="n">
        <v>45671</v>
      </c>
      <c r="K836" s="184"/>
      <c r="S836" s="192" t="n">
        <f aca="false">(K836+O836+Q836)*24 /1130+(L836+M836+P836+R836)*12/1130+(N836*30)/1130</f>
        <v>0</v>
      </c>
    </row>
    <row r="837" customFormat="false" ht="15" hidden="true" customHeight="true" outlineLevel="0" collapsed="false">
      <c r="A837" s="128" t="n">
        <f aca="false">D837+437.25-1000+138-300-28.5</f>
        <v>0</v>
      </c>
      <c r="B837" s="127" t="n">
        <f aca="false">B836+D837-C837</f>
        <v>753.25</v>
      </c>
      <c r="D837" s="410" t="n">
        <f aca="false">299*2+155.25</f>
        <v>753.25</v>
      </c>
      <c r="E837" s="147" t="n">
        <v>650</v>
      </c>
      <c r="F837" s="147" t="n">
        <f aca="false">IFERROR(VLOOKUP(H837,$AD$1:$AE$301,2,0),"")</f>
        <v>636</v>
      </c>
      <c r="G837" s="147" t="str">
        <f aca="false">IFERROR(VLOOKUP(F837,$AE$2:$AF$290,2, 0),"")</f>
        <v>تبوك</v>
      </c>
      <c r="H837" s="212" t="s">
        <v>134</v>
      </c>
      <c r="I837" s="246" t="n">
        <f aca="false">SUM(K837:R837)</f>
        <v>3</v>
      </c>
      <c r="J837" s="182" t="n">
        <v>45671</v>
      </c>
      <c r="K837" s="184" t="n">
        <f aca="false">1+1</f>
        <v>2</v>
      </c>
      <c r="R837" s="155" t="n">
        <v>1</v>
      </c>
      <c r="S837" s="192" t="n">
        <f aca="false">(K837+O837+Q837)*24 /1130+(L837+M837+P837+R837)*12/1130+(N837*30)/1130</f>
        <v>0.0530973451327434</v>
      </c>
    </row>
    <row r="838" customFormat="false" ht="15" hidden="true" customHeight="true" outlineLevel="0" collapsed="false">
      <c r="A838" s="128" t="n">
        <f aca="false">D838-299</f>
        <v>0</v>
      </c>
      <c r="B838" s="127" t="n">
        <f aca="false">B837+D838-C838</f>
        <v>1052.25</v>
      </c>
      <c r="D838" s="146" t="n">
        <v>299</v>
      </c>
      <c r="E838" s="147" t="n">
        <v>651</v>
      </c>
      <c r="F838" s="147" t="n">
        <f aca="false">IFERROR(VLOOKUP(H838,$AD$1:$AE$301,2,0),"")</f>
        <v>652</v>
      </c>
      <c r="G838" s="147" t="str">
        <f aca="false">IFERROR(VLOOKUP(F838,$AE$2:$AF$290,2, 0),"")</f>
        <v>تبوك</v>
      </c>
      <c r="H838" s="212" t="s">
        <v>263</v>
      </c>
      <c r="I838" s="246" t="n">
        <f aca="false">SUM(K838:R838)</f>
        <v>1</v>
      </c>
      <c r="J838" s="182" t="n">
        <v>45671</v>
      </c>
      <c r="R838" s="155" t="n">
        <v>1</v>
      </c>
      <c r="S838" s="192" t="n">
        <f aca="false">(K838+O838+Q838)*24 /1130+(L838+M838+P838+R838)*12/1130+(N838*30)/1130</f>
        <v>0.0106194690265487</v>
      </c>
    </row>
    <row r="839" customFormat="false" ht="15" hidden="true" customHeight="true" outlineLevel="0" collapsed="false">
      <c r="A839" s="128" t="n">
        <f aca="false">D839-240-10-49</f>
        <v>0</v>
      </c>
      <c r="B839" s="127" t="n">
        <f aca="false">B838+D839-C839</f>
        <v>1351.25</v>
      </c>
      <c r="D839" s="146" t="n">
        <v>299</v>
      </c>
      <c r="E839" s="147" t="n">
        <v>652</v>
      </c>
      <c r="F839" s="147" t="n">
        <f aca="false">IFERROR(VLOOKUP(H839,$AD$1:$AE$301,2,0),"")</f>
        <v>652</v>
      </c>
      <c r="G839" s="147" t="str">
        <f aca="false">IFERROR(VLOOKUP(F839,$AE$2:$AF$290,2, 0),"")</f>
        <v>تبوك</v>
      </c>
      <c r="H839" s="212" t="s">
        <v>263</v>
      </c>
      <c r="I839" s="246" t="n">
        <f aca="false">SUM(K839:R839)</f>
        <v>1</v>
      </c>
      <c r="J839" s="182" t="n">
        <v>45671</v>
      </c>
      <c r="K839" s="184" t="n">
        <v>1</v>
      </c>
      <c r="S839" s="192" t="n">
        <f aca="false">(K839+O839+Q839)*24 /1130+(L839+M839+P839+R839)*12/1130+(N839*30)/1130</f>
        <v>0.0212389380530973</v>
      </c>
    </row>
    <row r="840" customFormat="false" ht="15" hidden="true" customHeight="true" outlineLevel="0" collapsed="false">
      <c r="B840" s="127" t="n">
        <f aca="false">B839+D840-C840</f>
        <v>0</v>
      </c>
      <c r="C840" s="127" t="n">
        <f aca="false">1000+240+111</f>
        <v>1351</v>
      </c>
      <c r="D840" s="146" t="n">
        <v>-0.25</v>
      </c>
      <c r="E840" s="212" t="s">
        <v>470</v>
      </c>
      <c r="F840" s="147" t="str">
        <f aca="false">IFERROR(VLOOKUP(H840,$AD$1:$AE$301,2,0),"")</f>
        <v/>
      </c>
      <c r="G840" s="147" t="str">
        <f aca="false">IFERROR(VLOOKUP(F840,$AE$2:$AF$290,2, 0),"")</f>
        <v/>
      </c>
      <c r="H840" s="212" t="s">
        <v>393</v>
      </c>
      <c r="I840" s="246" t="n">
        <f aca="false">SUM(K840:R840)</f>
        <v>0</v>
      </c>
      <c r="J840" s="182" t="n">
        <v>45671</v>
      </c>
      <c r="S840" s="192" t="n">
        <f aca="false">(K840+O840+Q840)*24 /1130+(L840+M840+P840+R840)*12/1130+(N840*30)/1130</f>
        <v>0</v>
      </c>
    </row>
    <row r="841" customFormat="false" ht="15" hidden="true" customHeight="true" outlineLevel="0" collapsed="false">
      <c r="B841" s="127" t="n">
        <f aca="false">B840+D841-C841</f>
        <v>1794</v>
      </c>
      <c r="D841" s="146" t="n">
        <f aca="false">6*299</f>
        <v>1794</v>
      </c>
      <c r="E841" s="147" t="n">
        <v>653</v>
      </c>
      <c r="F841" s="147" t="n">
        <f aca="false">IFERROR(VLOOKUP(H841,$AD$1:$AE$301,2,0),"")</f>
        <v>1008023</v>
      </c>
      <c r="G841" s="147" t="str">
        <f aca="false">IFERROR(VLOOKUP(F841,$AE$2:$AF$290,2, 0),"")</f>
        <v>ضباء</v>
      </c>
      <c r="H841" s="212" t="s">
        <v>95</v>
      </c>
      <c r="I841" s="246" t="n">
        <f aca="false">SUM(K841:R841)</f>
        <v>6</v>
      </c>
      <c r="J841" s="182" t="n">
        <v>45672</v>
      </c>
      <c r="K841" s="184" t="n">
        <v>6</v>
      </c>
      <c r="S841" s="192" t="n">
        <f aca="false">(K841+O841+Q841)*24 /1130+(L841+M841+P841+R841)*12/1130+(N841*30)/1130</f>
        <v>0.127433628318584</v>
      </c>
    </row>
    <row r="842" customFormat="false" ht="15" hidden="true" customHeight="true" outlineLevel="0" collapsed="false">
      <c r="A842" s="128" t="n">
        <f aca="false">D842-50*5-325</f>
        <v>0</v>
      </c>
      <c r="B842" s="127" t="n">
        <f aca="false">B841+D842-C842</f>
        <v>2369</v>
      </c>
      <c r="D842" s="146" t="n">
        <f aca="false">287.5*2</f>
        <v>575</v>
      </c>
      <c r="E842" s="147" t="n">
        <v>654</v>
      </c>
      <c r="F842" s="147" t="n">
        <f aca="false">IFERROR(VLOOKUP(H842,$AD$1:$AE$301,2,0),"")</f>
        <v>1008024</v>
      </c>
      <c r="G842" s="147" t="str">
        <f aca="false">IFERROR(VLOOKUP(F842,$AE$2:$AF$290,2, 0),"")</f>
        <v>ضباء</v>
      </c>
      <c r="H842" s="212" t="s">
        <v>96</v>
      </c>
      <c r="I842" s="246" t="n">
        <f aca="false">SUM(K842:R842)</f>
        <v>2</v>
      </c>
      <c r="J842" s="182" t="n">
        <v>45672</v>
      </c>
      <c r="K842" s="184"/>
      <c r="N842" s="151" t="n">
        <v>2</v>
      </c>
      <c r="S842" s="192" t="n">
        <f aca="false">(K842+O842+Q842)*24 /1130+(L842+M842+P842+R842)*12/1130+(N842*30)/1130</f>
        <v>0.0530973451327434</v>
      </c>
    </row>
    <row r="843" customFormat="false" ht="15" hidden="true" customHeight="true" outlineLevel="0" collapsed="false">
      <c r="A843" s="128" t="n">
        <f aca="false">D843-42*2-200-72.5</f>
        <v>0</v>
      </c>
      <c r="B843" s="127" t="n">
        <f aca="false">B842+D843-C843</f>
        <v>2725.5</v>
      </c>
      <c r="D843" s="146" t="n">
        <f aca="false">178.25*2</f>
        <v>356.5</v>
      </c>
      <c r="E843" s="147" t="n">
        <v>655</v>
      </c>
      <c r="F843" s="147" t="n">
        <f aca="false">IFERROR(VLOOKUP(H843,$AD$1:$AE$301,2,0),"")</f>
        <v>1008050</v>
      </c>
      <c r="G843" s="147" t="str">
        <f aca="false">IFERROR(VLOOKUP(F843,$AE$2:$AF$290,2, 0),"")</f>
        <v>ضباء</v>
      </c>
      <c r="H843" s="212" t="s">
        <v>92</v>
      </c>
      <c r="I843" s="246" t="n">
        <f aca="false">SUM(K843:R843)</f>
        <v>2</v>
      </c>
      <c r="J843" s="182" t="n">
        <v>45672</v>
      </c>
      <c r="L843" s="149" t="n">
        <v>2</v>
      </c>
      <c r="S843" s="192" t="n">
        <f aca="false">(K843+O843+Q843)*24 /1130+(L843+M843+P843+R843)*12/1130+(N843*30)/1130</f>
        <v>0.0212389380530973</v>
      </c>
    </row>
    <row r="844" customFormat="false" ht="15" hidden="true" customHeight="true" outlineLevel="0" collapsed="false">
      <c r="B844" s="127" t="n">
        <f aca="false">B843+D844-C844</f>
        <v>3024.5</v>
      </c>
      <c r="D844" s="146" t="n">
        <v>299</v>
      </c>
      <c r="E844" s="147" t="n">
        <v>656</v>
      </c>
      <c r="F844" s="147" t="n">
        <f aca="false">IFERROR(VLOOKUP(H844,$AD$1:$AE$301,2,0),"")</f>
        <v>1008049</v>
      </c>
      <c r="G844" s="147" t="str">
        <f aca="false">IFERROR(VLOOKUP(F844,$AE$2:$AF$290,2, 0),"")</f>
        <v>الوجه</v>
      </c>
      <c r="H844" s="212" t="s">
        <v>111</v>
      </c>
      <c r="I844" s="246" t="n">
        <f aca="false">SUM(K844:R844)</f>
        <v>1</v>
      </c>
      <c r="J844" s="182" t="n">
        <v>45672</v>
      </c>
      <c r="K844" s="184" t="n">
        <v>1</v>
      </c>
      <c r="S844" s="192" t="n">
        <f aca="false">(K844+O844+Q844)*24 /1130+(L844+M844+P844+R844)*12/1130+(N844*30)/1130</f>
        <v>0.0212389380530973</v>
      </c>
    </row>
    <row r="845" customFormat="false" ht="15" hidden="true" customHeight="true" outlineLevel="0" collapsed="false">
      <c r="B845" s="127" t="n">
        <f aca="false">B844+D845-C845</f>
        <v>4519.5</v>
      </c>
      <c r="D845" s="146" t="n">
        <f aca="false">5*299</f>
        <v>1495</v>
      </c>
      <c r="E845" s="147" t="n">
        <v>657</v>
      </c>
      <c r="F845" s="147" t="n">
        <f aca="false">IFERROR(VLOOKUP(H845,$AD$1:$AE$301,2,0),"")</f>
        <v>1008045</v>
      </c>
      <c r="G845" s="147" t="str">
        <f aca="false">IFERROR(VLOOKUP(F845,$AE$2:$AF$290,2, 0),"")</f>
        <v>الوجه</v>
      </c>
      <c r="H845" s="212" t="s">
        <v>107</v>
      </c>
      <c r="I845" s="246" t="n">
        <f aca="false">SUM(K845:R845)</f>
        <v>5</v>
      </c>
      <c r="J845" s="182" t="n">
        <v>45672</v>
      </c>
      <c r="K845" s="184" t="n">
        <f aca="false">3+2</f>
        <v>5</v>
      </c>
      <c r="S845" s="192" t="n">
        <f aca="false">(K845+O845+Q845)*24 /1130+(L845+M845+P845+R845)*12/1130+(N845*30)/1130</f>
        <v>0.106194690265487</v>
      </c>
    </row>
    <row r="846" customFormat="false" ht="15" hidden="true" customHeight="true" outlineLevel="0" collapsed="false">
      <c r="B846" s="127" t="n">
        <f aca="false">B845+D846-C846</f>
        <v>5715.5</v>
      </c>
      <c r="D846" s="146" t="n">
        <f aca="false">299*4</f>
        <v>1196</v>
      </c>
      <c r="E846" s="147" t="n">
        <v>658</v>
      </c>
      <c r="F846" s="147" t="n">
        <f aca="false">IFERROR(VLOOKUP(H846,$AD$1:$AE$301,2,0),"")</f>
        <v>1008047</v>
      </c>
      <c r="G846" s="147" t="str">
        <f aca="false">IFERROR(VLOOKUP(F846,$AE$2:$AF$290,2, 0),"")</f>
        <v>الوجه</v>
      </c>
      <c r="H846" s="212" t="s">
        <v>422</v>
      </c>
      <c r="I846" s="246" t="n">
        <f aca="false">SUM(K846:R846)</f>
        <v>4</v>
      </c>
      <c r="J846" s="182" t="n">
        <v>45672</v>
      </c>
      <c r="K846" s="184" t="n">
        <f aca="false">3+1</f>
        <v>4</v>
      </c>
      <c r="S846" s="192" t="n">
        <f aca="false">(K846+O846+Q846)*24 /1130+(L846+M846+P846+R846)*12/1130+(N846*30)/1130</f>
        <v>0.0849557522123894</v>
      </c>
    </row>
    <row r="847" customFormat="false" ht="15" hidden="true" customHeight="true" outlineLevel="0" collapsed="false">
      <c r="B847" s="127" t="n">
        <f aca="false">B846+D847-C847</f>
        <v>6267.5</v>
      </c>
      <c r="D847" s="146" t="n">
        <f aca="false">253+299</f>
        <v>552</v>
      </c>
      <c r="E847" s="147" t="n">
        <v>659</v>
      </c>
      <c r="F847" s="147" t="n">
        <f aca="false">IFERROR(VLOOKUP(H847,$AD$1:$AE$301,2,0),"")</f>
        <v>1008043</v>
      </c>
      <c r="G847" s="147" t="str">
        <f aca="false">IFERROR(VLOOKUP(F847,$AE$2:$AF$290,2, 0),"")</f>
        <v>الوجه</v>
      </c>
      <c r="H847" s="212" t="s">
        <v>104</v>
      </c>
      <c r="I847" s="246" t="n">
        <f aca="false">SUM(K847:R847)</f>
        <v>2</v>
      </c>
      <c r="J847" s="182" t="n">
        <v>45672</v>
      </c>
      <c r="K847" s="184" t="n">
        <v>1</v>
      </c>
      <c r="M847" s="150" t="n">
        <v>1</v>
      </c>
      <c r="S847" s="192" t="n">
        <f aca="false">(K847+O847+Q847)*24 /1130+(L847+M847+P847+R847)*12/1130+(N847*30)/1130</f>
        <v>0.031858407079646</v>
      </c>
    </row>
    <row r="848" customFormat="false" ht="15" hidden="true" customHeight="true" outlineLevel="0" collapsed="false">
      <c r="A848" s="128" t="n">
        <f aca="false">D848-220-35+25</f>
        <v>0</v>
      </c>
      <c r="B848" s="127" t="n">
        <f aca="false">B847+D848-C848</f>
        <v>6497.5</v>
      </c>
      <c r="D848" s="146" t="n">
        <v>230</v>
      </c>
      <c r="E848" s="147" t="n">
        <v>660</v>
      </c>
      <c r="F848" s="147" t="n">
        <f aca="false">IFERROR(VLOOKUP(H848,$AD$1:$AE$301,2,0),"")</f>
        <v>1008025</v>
      </c>
      <c r="G848" s="147" t="str">
        <f aca="false">IFERROR(VLOOKUP(F848,$AE$2:$AF$290,2, 0),"")</f>
        <v>ضباء</v>
      </c>
      <c r="H848" s="212" t="s">
        <v>97</v>
      </c>
      <c r="I848" s="246" t="n">
        <f aca="false">SUM(K848:R848)</f>
        <v>1</v>
      </c>
      <c r="J848" s="182" t="n">
        <v>45672</v>
      </c>
      <c r="M848" s="150" t="n">
        <v>1</v>
      </c>
      <c r="S848" s="192" t="n">
        <f aca="false">(K848+O848+Q848)*24 /1130+(L848+M848+P848+R848)*12/1130+(N848*30)/1130</f>
        <v>0.0106194690265487</v>
      </c>
    </row>
    <row r="849" customFormat="false" ht="15" hidden="true" customHeight="true" outlineLevel="0" collapsed="false">
      <c r="A849" s="128" t="n">
        <f aca="false">D849-128*5-50</f>
        <v>0</v>
      </c>
      <c r="B849" s="127" t="n">
        <f aca="false">B848+D849-C849</f>
        <v>7187.5</v>
      </c>
      <c r="D849" s="146" t="n">
        <f aca="false">230*3</f>
        <v>690</v>
      </c>
      <c r="E849" s="147" t="n">
        <v>661</v>
      </c>
      <c r="F849" s="147" t="n">
        <f aca="false">IFERROR(VLOOKUP(H849,$AD$1:$AE$301,2,0),"")</f>
        <v>1007988</v>
      </c>
      <c r="G849" s="147" t="str">
        <f aca="false">IFERROR(VLOOKUP(F849,$AE$2:$AF$290,2, 0),"")</f>
        <v>ضباء</v>
      </c>
      <c r="H849" s="212" t="s">
        <v>89</v>
      </c>
      <c r="I849" s="246" t="n">
        <f aca="false">SUM(K849:R849)</f>
        <v>3</v>
      </c>
      <c r="J849" s="182" t="n">
        <v>45672</v>
      </c>
      <c r="K849" s="184"/>
      <c r="M849" s="150" t="n">
        <v>3</v>
      </c>
      <c r="S849" s="192" t="n">
        <f aca="false">(K849+O849+Q849)*24 /1130+(L849+M849+P849+R849)*12/1130+(N849*30)/1130</f>
        <v>0.031858407079646</v>
      </c>
    </row>
    <row r="850" customFormat="false" ht="15" hidden="true" customHeight="true" outlineLevel="0" collapsed="false">
      <c r="B850" s="127" t="n">
        <f aca="false">B849+D850-C850</f>
        <v>4400</v>
      </c>
      <c r="C850" s="127" t="n">
        <f aca="false">D845+28.5+1264</f>
        <v>2787.5</v>
      </c>
      <c r="E850" s="212" t="s">
        <v>470</v>
      </c>
      <c r="F850" s="147" t="str">
        <f aca="false">IFERROR(VLOOKUP(H850,$AD$1:$AE$301,2,0),"")</f>
        <v/>
      </c>
      <c r="G850" s="147" t="str">
        <f aca="false">IFERROR(VLOOKUP(F850,$AE$2:$AF$290,2, 0),"")</f>
        <v/>
      </c>
      <c r="H850" s="212" t="s">
        <v>393</v>
      </c>
      <c r="I850" s="246" t="n">
        <f aca="false">SUM(K850:R850)</f>
        <v>0</v>
      </c>
      <c r="J850" s="182" t="n">
        <v>45672</v>
      </c>
      <c r="K850" s="184"/>
      <c r="S850" s="192" t="n">
        <f aca="false">(K850+O850+Q850)*24 /1130+(L850+M850+P850+R850)*12/1130+(N850*30)/1130</f>
        <v>0</v>
      </c>
    </row>
    <row r="851" customFormat="false" ht="15" hidden="true" customHeight="true" outlineLevel="0" collapsed="false">
      <c r="B851" s="127" t="n">
        <f aca="false">B850+D851-C851</f>
        <v>0</v>
      </c>
      <c r="C851" s="127" t="n">
        <f aca="false">4050+350</f>
        <v>4400</v>
      </c>
      <c r="E851" s="212" t="s">
        <v>653</v>
      </c>
      <c r="F851" s="147" t="str">
        <f aca="false">IFERROR(VLOOKUP(H851,$AD$1:$AE$301,2,0),"")</f>
        <v/>
      </c>
      <c r="G851" s="147" t="str">
        <f aca="false">IFERROR(VLOOKUP(F851,$AE$2:$AF$290,2, 0),"")</f>
        <v/>
      </c>
      <c r="H851" s="212" t="s">
        <v>393</v>
      </c>
      <c r="I851" s="246" t="n">
        <f aca="false">SUM(K851:R851)</f>
        <v>0</v>
      </c>
      <c r="J851" s="182" t="n">
        <v>45673</v>
      </c>
      <c r="K851" s="184"/>
      <c r="S851" s="192" t="n">
        <f aca="false">(K851+O851+Q851)*24 /1130+(L851+M851+P851+R851)*12/1130+(N851*30)/1130</f>
        <v>0</v>
      </c>
    </row>
    <row r="852" customFormat="false" ht="15" hidden="true" customHeight="true" outlineLevel="0" collapsed="false">
      <c r="B852" s="127" t="n">
        <f aca="false">B851+D852-C852</f>
        <v>437</v>
      </c>
      <c r="D852" s="146" t="n">
        <f aca="false">299+138</f>
        <v>437</v>
      </c>
      <c r="E852" s="147" t="n">
        <v>662</v>
      </c>
      <c r="F852" s="147" t="n">
        <f aca="false">IFERROR(VLOOKUP(H852,$AD$1:$AE$301,2,0),"")</f>
        <v>668</v>
      </c>
      <c r="G852" s="147" t="str">
        <f aca="false">IFERROR(VLOOKUP(F852,$AE$2:$AF$290,2, 0),"")</f>
        <v>تبوك</v>
      </c>
      <c r="H852" s="212" t="s">
        <v>267</v>
      </c>
      <c r="I852" s="246" t="n">
        <f aca="false">SUM(K852:R852)</f>
        <v>2</v>
      </c>
      <c r="J852" s="182" t="n">
        <v>45673</v>
      </c>
      <c r="Q852" s="154" t="n">
        <v>1</v>
      </c>
      <c r="R852" s="155" t="n">
        <f aca="false">1</f>
        <v>1</v>
      </c>
      <c r="S852" s="192" t="n">
        <f aca="false">(K852+O852+Q852)*24 /1130+(L852+M852+P852+R852)*12/1130+(N852*30)/1130</f>
        <v>0.031858407079646</v>
      </c>
    </row>
    <row r="853" customFormat="false" ht="15" hidden="true" customHeight="true" outlineLevel="0" collapsed="false">
      <c r="B853" s="127" t="n">
        <f aca="false">B852+D853-C853</f>
        <v>1012</v>
      </c>
      <c r="D853" s="146" t="n">
        <f aca="false">287.5*2</f>
        <v>575</v>
      </c>
      <c r="E853" s="147" t="n">
        <v>663</v>
      </c>
      <c r="F853" s="147" t="n">
        <f aca="false">IFERROR(VLOOKUP(H853,$AD$1:$AE$301,2,0),"")</f>
        <v>587</v>
      </c>
      <c r="G853" s="147" t="str">
        <f aca="false">IFERROR(VLOOKUP(F853,$AE$2:$AF$290,2, 0),"")</f>
        <v>تبوك</v>
      </c>
      <c r="H853" s="212" t="s">
        <v>226</v>
      </c>
      <c r="I853" s="246" t="n">
        <f aca="false">SUM(K853:R853)</f>
        <v>2</v>
      </c>
      <c r="J853" s="182" t="n">
        <v>45673</v>
      </c>
      <c r="K853" s="184"/>
      <c r="N853" s="151" t="n">
        <v>2</v>
      </c>
      <c r="S853" s="192" t="n">
        <f aca="false">(K853+O853+Q853)*24 /1130+(L853+M853+P853+R853)*12/1130+(N853*30)/1130</f>
        <v>0.0530973451327434</v>
      </c>
    </row>
    <row r="854" customFormat="false" ht="15" hidden="true" customHeight="true" outlineLevel="0" collapsed="false">
      <c r="A854" s="128" t="n">
        <f aca="false">D854-299</f>
        <v>0</v>
      </c>
      <c r="B854" s="127" t="n">
        <f aca="false">B853+D854-C854</f>
        <v>1311</v>
      </c>
      <c r="D854" s="146" t="n">
        <v>299</v>
      </c>
      <c r="E854" s="147" t="n">
        <v>664</v>
      </c>
      <c r="F854" s="147" t="n">
        <f aca="false">IFERROR(VLOOKUP(H854,$AD$1:$AE$301,2,0),"")</f>
        <v>622</v>
      </c>
      <c r="G854" s="147" t="str">
        <f aca="false">IFERROR(VLOOKUP(F854,$AE$2:$AF$290,2, 0),"")</f>
        <v>تبوك</v>
      </c>
      <c r="H854" s="212" t="s">
        <v>177</v>
      </c>
      <c r="I854" s="246" t="n">
        <f aca="false">SUM(K854:R854)</f>
        <v>1</v>
      </c>
      <c r="J854" s="182" t="n">
        <v>45673</v>
      </c>
      <c r="K854" s="184" t="n">
        <v>1</v>
      </c>
      <c r="S854" s="192" t="n">
        <f aca="false">(K854+O854+Q854)*24 /1130+(L854+M854+P854+R854)*12/1130+(N854*30)/1130</f>
        <v>0.0212389380530973</v>
      </c>
    </row>
    <row r="855" customFormat="false" ht="15" hidden="true" customHeight="true" outlineLevel="0" collapsed="false">
      <c r="B855" s="127" t="n">
        <f aca="false">B854+D855-C855</f>
        <v>1610</v>
      </c>
      <c r="D855" s="146" t="n">
        <v>299</v>
      </c>
      <c r="E855" s="147" t="n">
        <v>665</v>
      </c>
      <c r="F855" s="147" t="n">
        <f aca="false">IFERROR(VLOOKUP(H855,$AD$1:$AE$301,2,0),"")</f>
        <v>629</v>
      </c>
      <c r="G855" s="147" t="str">
        <f aca="false">IFERROR(VLOOKUP(F855,$AE$2:$AF$290,2, 0),"")</f>
        <v>تبوك</v>
      </c>
      <c r="H855" s="212" t="s">
        <v>246</v>
      </c>
      <c r="I855" s="246" t="n">
        <f aca="false">SUM(K855:R855)</f>
        <v>1</v>
      </c>
      <c r="J855" s="182" t="n">
        <v>45673</v>
      </c>
      <c r="K855" s="148" t="n">
        <v>1</v>
      </c>
      <c r="S855" s="192" t="n">
        <f aca="false">(K855+O855+Q855)*24 /1130+(L855+M855+P855+R855)*12/1130+(N855*30)/1130</f>
        <v>0.0212389380530973</v>
      </c>
    </row>
    <row r="856" customFormat="false" ht="15" hidden="true" customHeight="true" outlineLevel="0" collapsed="false">
      <c r="B856" s="127" t="n">
        <f aca="false">B855+D856-C856</f>
        <v>715.75</v>
      </c>
      <c r="C856" s="127" t="n">
        <f aca="false">D852+49+D858</f>
        <v>894.25</v>
      </c>
      <c r="E856" s="212" t="s">
        <v>470</v>
      </c>
      <c r="F856" s="147" t="str">
        <f aca="false">IFERROR(VLOOKUP(H856,$AD$1:$AE$301,2,0),"")</f>
        <v/>
      </c>
      <c r="G856" s="147" t="str">
        <f aca="false">IFERROR(VLOOKUP(F856,$AE$2:$AF$290,2, 0),"")</f>
        <v/>
      </c>
      <c r="H856" s="212" t="s">
        <v>393</v>
      </c>
      <c r="I856" s="246" t="n">
        <f aca="false">SUM(K856:R856)</f>
        <v>0</v>
      </c>
      <c r="J856" s="182" t="n">
        <v>45673</v>
      </c>
      <c r="S856" s="192" t="n">
        <f aca="false">(K856+O856+Q856)*24 /1130+(L856+M856+P856+R856)*12/1130+(N856*30)/1130</f>
        <v>0</v>
      </c>
    </row>
    <row r="857" customFormat="false" ht="15" hidden="true" customHeight="true" outlineLevel="0" collapsed="false">
      <c r="B857" s="127" t="n">
        <f aca="false">B856+D857-C857</f>
        <v>0.25</v>
      </c>
      <c r="C857" s="127" t="n">
        <f aca="false">120+285+169+141.5</f>
        <v>715.5</v>
      </c>
      <c r="E857" s="212" t="s">
        <v>470</v>
      </c>
      <c r="F857" s="147" t="str">
        <f aca="false">IFERROR(VLOOKUP(H857,$AD$1:$AE$301,2,0),"")</f>
        <v/>
      </c>
      <c r="G857" s="147" t="str">
        <f aca="false">IFERROR(VLOOKUP(F857,$AE$2:$AF$290,2, 0),"")</f>
        <v/>
      </c>
      <c r="H857" s="212" t="s">
        <v>393</v>
      </c>
      <c r="I857" s="246" t="n">
        <f aca="false">SUM(K857:R857)</f>
        <v>0</v>
      </c>
      <c r="J857" s="182" t="n">
        <v>45676</v>
      </c>
      <c r="S857" s="192" t="n">
        <f aca="false">(K857+O857+Q857)*24 /1130+(L857+M857+P857+R857)*12/1130+(N857*30)/1130</f>
        <v>0</v>
      </c>
    </row>
    <row r="858" customFormat="false" ht="15" hidden="true" customHeight="true" outlineLevel="0" collapsed="false">
      <c r="A858" s="128" t="n">
        <f aca="false">D858-408.25</f>
        <v>0</v>
      </c>
      <c r="B858" s="127" t="n">
        <f aca="false">B857+D858-C858</f>
        <v>408.5</v>
      </c>
      <c r="D858" s="146" t="n">
        <f aca="false">253+155.25</f>
        <v>408.25</v>
      </c>
      <c r="E858" s="147" t="n">
        <v>669</v>
      </c>
      <c r="F858" s="147" t="n">
        <f aca="false">IFERROR(VLOOKUP(H858,$AD$1:$AE$301,2,0),"")</f>
        <v>562</v>
      </c>
      <c r="G858" s="147" t="str">
        <f aca="false">IFERROR(VLOOKUP(F858,$AE$2:$AF$290,2, 0),"")</f>
        <v>تبوك</v>
      </c>
      <c r="H858" s="212" t="s">
        <v>234</v>
      </c>
      <c r="I858" s="246" t="n">
        <f aca="false">SUM(K858:R858)</f>
        <v>2</v>
      </c>
      <c r="J858" s="182" t="n">
        <v>45676</v>
      </c>
      <c r="M858" s="150" t="n">
        <v>1</v>
      </c>
      <c r="R858" s="155" t="n">
        <v>1</v>
      </c>
      <c r="S858" s="192" t="n">
        <f aca="false">(K858+O858+Q858)*24 /1130+(L858+M858+P858+R858)*12/1130+(N858*30)/1130</f>
        <v>0.0212389380530973</v>
      </c>
    </row>
    <row r="859" customFormat="false" ht="15" hidden="true" customHeight="true" outlineLevel="0" collapsed="false">
      <c r="A859" s="128" t="n">
        <f aca="false">D859+313.5-612</f>
        <v>0.5</v>
      </c>
      <c r="B859" s="127" t="n">
        <f aca="false">B858+D859-C859</f>
        <v>707.5</v>
      </c>
      <c r="D859" s="146" t="n">
        <v>299</v>
      </c>
      <c r="E859" s="147" t="n">
        <v>667</v>
      </c>
      <c r="F859" s="147" t="n">
        <f aca="false">IFERROR(VLOOKUP(H859,$AD$1:$AE$301,2,0),"")</f>
        <v>1008264</v>
      </c>
      <c r="G859" s="147" t="str">
        <f aca="false">IFERROR(VLOOKUP(F859,$AE$2:$AF$290,2, 0),"")</f>
        <v>تبوك</v>
      </c>
      <c r="H859" s="212" t="s">
        <v>160</v>
      </c>
      <c r="I859" s="246" t="n">
        <f aca="false">SUM(K859:R859)</f>
        <v>1</v>
      </c>
      <c r="J859" s="182" t="n">
        <v>45676</v>
      </c>
      <c r="K859" s="184" t="n">
        <v>1</v>
      </c>
      <c r="S859" s="192" t="n">
        <f aca="false">(K859+O859+Q859)*24 /1130+(L859+M859+P859+R859)*12/1130+(N859*30)/1130</f>
        <v>0.0212389380530973</v>
      </c>
    </row>
    <row r="860" customFormat="false" ht="15" hidden="true" customHeight="true" outlineLevel="0" collapsed="false">
      <c r="B860" s="127" t="n">
        <f aca="false">B859+D860-C860</f>
        <v>1305.5</v>
      </c>
      <c r="D860" s="146" t="n">
        <f aca="false">299*2</f>
        <v>598</v>
      </c>
      <c r="E860" s="147" t="n">
        <v>666</v>
      </c>
      <c r="F860" s="147" t="n">
        <f aca="false">IFERROR(VLOOKUP(H860,$AD$1:$AE$301,2,0),"")</f>
        <v>681</v>
      </c>
      <c r="G860" s="147" t="str">
        <f aca="false">IFERROR(VLOOKUP(F860,$AE$2:$AF$290,2, 0),"")</f>
        <v>تبوك</v>
      </c>
      <c r="H860" s="212" t="s">
        <v>268</v>
      </c>
      <c r="I860" s="246" t="n">
        <f aca="false">SUM(K860:R860)</f>
        <v>2</v>
      </c>
      <c r="J860" s="182" t="n">
        <v>45676</v>
      </c>
      <c r="K860" s="184" t="n">
        <f aca="false">1+1</f>
        <v>2</v>
      </c>
      <c r="S860" s="192" t="n">
        <f aca="false">(K860+O860+Q860)*24 /1130+(L860+M860+P860+R860)*12/1130+(N860*30)/1130</f>
        <v>0.0424778761061947</v>
      </c>
    </row>
    <row r="861" customFormat="false" ht="15" hidden="true" customHeight="true" outlineLevel="0" collapsed="false">
      <c r="B861" s="127" t="n">
        <f aca="false">B860+D861-C861</f>
        <v>1903.5</v>
      </c>
      <c r="D861" s="146" t="n">
        <f aca="false">299*2</f>
        <v>598</v>
      </c>
      <c r="E861" s="147" t="n">
        <v>668</v>
      </c>
      <c r="F861" s="147" t="n">
        <f aca="false">IFERROR(VLOOKUP(H861,$AD$1:$AE$301,2,0),"")</f>
        <v>635</v>
      </c>
      <c r="G861" s="147" t="str">
        <f aca="false">IFERROR(VLOOKUP(F861,$AE$2:$AF$290,2, 0),"")</f>
        <v>تبوك</v>
      </c>
      <c r="H861" s="212" t="s">
        <v>157</v>
      </c>
      <c r="I861" s="246" t="n">
        <f aca="false">SUM(K861:R861)</f>
        <v>2</v>
      </c>
      <c r="J861" s="182" t="n">
        <v>45676</v>
      </c>
      <c r="K861" s="184" t="n">
        <v>2</v>
      </c>
      <c r="S861" s="192" t="n">
        <f aca="false">(K861+O861+Q861)*24 /1130+(L861+M861+P861+R861)*12/1130+(N861*30)/1130</f>
        <v>0.0424778761061947</v>
      </c>
    </row>
    <row r="862" customFormat="false" ht="15" hidden="true" customHeight="true" outlineLevel="0" collapsed="false">
      <c r="A862" s="128" t="n">
        <f aca="false">D862-200-237+138</f>
        <v>0</v>
      </c>
      <c r="B862" s="127" t="n">
        <f aca="false">B861+D862-C862</f>
        <v>2202.5</v>
      </c>
      <c r="D862" s="146" t="n">
        <f aca="false">299+138-138</f>
        <v>299</v>
      </c>
      <c r="E862" s="147" t="n">
        <v>670</v>
      </c>
      <c r="F862" s="147" t="n">
        <f aca="false">IFERROR(VLOOKUP(H862,$AD$1:$AE$301,2,0),"")</f>
        <v>539</v>
      </c>
      <c r="G862" s="147" t="str">
        <f aca="false">IFERROR(VLOOKUP(F862,$AE$2:$AF$290,2, 0),"")</f>
        <v>تبوك</v>
      </c>
      <c r="H862" s="212" t="s">
        <v>237</v>
      </c>
      <c r="I862" s="246" t="n">
        <f aca="false">SUM(K862:R862)</f>
        <v>1</v>
      </c>
      <c r="J862" s="182" t="n">
        <v>45676</v>
      </c>
      <c r="K862" s="184" t="n">
        <v>1</v>
      </c>
      <c r="S862" s="192" t="n">
        <f aca="false">(K862+O862+Q862)*24 /1130+(L862+M862+P862+R862)*12/1130+(N862*30)/1130</f>
        <v>0.0212389380530973</v>
      </c>
    </row>
    <row r="863" customFormat="false" ht="15" hidden="true" customHeight="true" outlineLevel="0" collapsed="false">
      <c r="A863" s="128" t="n">
        <f aca="false">D863-20-25-210</f>
        <v>-2</v>
      </c>
      <c r="B863" s="127" t="n">
        <f aca="false">B862+D863-C863</f>
        <v>2455.5</v>
      </c>
      <c r="D863" s="146" t="n">
        <v>253</v>
      </c>
      <c r="E863" s="147" t="n">
        <v>671</v>
      </c>
      <c r="F863" s="147" t="n">
        <f aca="false">IFERROR(VLOOKUP(H863,$AD$1:$AE$301,2,0),"")</f>
        <v>1008057</v>
      </c>
      <c r="G863" s="147" t="str">
        <f aca="false">IFERROR(VLOOKUP(F863,$AE$2:$AF$290,2, 0),"")</f>
        <v>تبوك</v>
      </c>
      <c r="H863" s="212" t="s">
        <v>242</v>
      </c>
      <c r="I863" s="246" t="n">
        <f aca="false">SUM(K863:R863)</f>
        <v>1</v>
      </c>
      <c r="J863" s="182" t="n">
        <v>45676</v>
      </c>
      <c r="K863" s="184"/>
      <c r="M863" s="150" t="n">
        <v>1</v>
      </c>
      <c r="S863" s="192" t="n">
        <f aca="false">(K863+O863+Q863)*24 /1130+(L863+M863+P863+R863)*12/1130+(N863*30)/1130</f>
        <v>0.0106194690265487</v>
      </c>
    </row>
    <row r="864" customFormat="false" ht="15" hidden="true" customHeight="true" outlineLevel="0" collapsed="false">
      <c r="A864" s="128" t="n">
        <f aca="false">D864-574-400-135.75</f>
        <v>0</v>
      </c>
      <c r="B864" s="127" t="n">
        <f aca="false">B863+D864-C864</f>
        <v>3565.25</v>
      </c>
      <c r="D864" s="146" t="n">
        <f aca="false">258.75+241.5+304.75*2</f>
        <v>1109.75</v>
      </c>
      <c r="E864" s="147" t="n">
        <v>672</v>
      </c>
      <c r="F864" s="147" t="n">
        <f aca="false">IFERROR(VLOOKUP(H864,$AD$1:$AE$301,2,0),"")</f>
        <v>636</v>
      </c>
      <c r="G864" s="147" t="str">
        <f aca="false">IFERROR(VLOOKUP(F864,$AE$2:$AF$290,2, 0),"")</f>
        <v>تبوك</v>
      </c>
      <c r="H864" s="212" t="s">
        <v>134</v>
      </c>
      <c r="I864" s="246" t="n">
        <f aca="false">SUM(K864:R864)</f>
        <v>4</v>
      </c>
      <c r="J864" s="182" t="n">
        <v>45676</v>
      </c>
      <c r="K864" s="184"/>
      <c r="N864" s="151" t="n">
        <v>2</v>
      </c>
      <c r="O864" s="152" t="n">
        <v>1</v>
      </c>
      <c r="Q864" s="154" t="n">
        <v>1</v>
      </c>
      <c r="S864" s="192" t="n">
        <f aca="false">(K864+O864+Q864)*24 /1130+(L864+M864+P864+R864)*12/1130+(N864*30)/1130</f>
        <v>0.0955752212389381</v>
      </c>
    </row>
    <row r="865" customFormat="false" ht="15" hidden="true" customHeight="true" outlineLevel="0" collapsed="false">
      <c r="B865" s="127" t="n">
        <f aca="false">B864+D865-C865</f>
        <v>897.25</v>
      </c>
      <c r="C865" s="127" t="n">
        <v>2668</v>
      </c>
      <c r="E865" s="212" t="s">
        <v>653</v>
      </c>
      <c r="F865" s="147" t="str">
        <f aca="false">IFERROR(VLOOKUP(H865,$AD$1:$AE$301,2,0),"")</f>
        <v/>
      </c>
      <c r="G865" s="147" t="str">
        <f aca="false">IFERROR(VLOOKUP(F865,$AE$2:$AF$290,2, 0),"")</f>
        <v/>
      </c>
      <c r="H865" s="212" t="s">
        <v>393</v>
      </c>
      <c r="I865" s="246" t="n">
        <f aca="false">SUM(K865:R865)</f>
        <v>0</v>
      </c>
      <c r="J865" s="182" t="n">
        <v>45676</v>
      </c>
      <c r="K865" s="184"/>
      <c r="S865" s="192" t="n">
        <f aca="false">(K865+O865+Q865)*24 /1130+(L865+M865+P865+R865)*12/1130+(N865*30)/1130</f>
        <v>0</v>
      </c>
    </row>
    <row r="866" customFormat="false" ht="15" hidden="true" customHeight="true" outlineLevel="0" collapsed="false">
      <c r="B866" s="127" t="n">
        <f aca="false">B865+D866-C866</f>
        <v>0</v>
      </c>
      <c r="C866" s="127" t="n">
        <f aca="false">D860+D854</f>
        <v>897</v>
      </c>
      <c r="D866" s="146" t="n">
        <v>-0.25</v>
      </c>
      <c r="E866" s="212" t="s">
        <v>470</v>
      </c>
      <c r="F866" s="147" t="str">
        <f aca="false">IFERROR(VLOOKUP(H866,$AD$1:$AE$301,2,0),"")</f>
        <v/>
      </c>
      <c r="G866" s="147" t="str">
        <f aca="false">IFERROR(VLOOKUP(F866,$AE$2:$AF$290,2, 0),"")</f>
        <v/>
      </c>
      <c r="H866" s="212" t="s">
        <v>393</v>
      </c>
      <c r="I866" s="246" t="n">
        <f aca="false">SUM(K866:R866)</f>
        <v>0</v>
      </c>
      <c r="J866" s="182" t="n">
        <v>45676</v>
      </c>
      <c r="K866" s="184"/>
      <c r="S866" s="192" t="n">
        <f aca="false">(K866+O866+Q866)*24 /1130+(L866+M866+P866+R866)*12/1130+(N866*30)/1130</f>
        <v>0</v>
      </c>
    </row>
    <row r="867" customFormat="false" ht="15" hidden="true" customHeight="true" outlineLevel="0" collapsed="false">
      <c r="A867" s="128" t="n">
        <f aca="false">D867-40-259-1600+1600</f>
        <v>0</v>
      </c>
      <c r="B867" s="127" t="n">
        <f aca="false">B866+D867-C867</f>
        <v>299</v>
      </c>
      <c r="D867" s="146" t="n">
        <v>299</v>
      </c>
      <c r="E867" s="147" t="n">
        <v>673</v>
      </c>
      <c r="F867" s="147" t="n">
        <f aca="false">IFERROR(VLOOKUP(H867,$AD$1:$AE$301,2,0),"")</f>
        <v>1008030</v>
      </c>
      <c r="G867" s="147" t="str">
        <f aca="false">IFERROR(VLOOKUP(F867,$AE$2:$AF$290,2, 0),"")</f>
        <v>البير</v>
      </c>
      <c r="H867" s="212" t="s">
        <v>298</v>
      </c>
      <c r="I867" s="246" t="n">
        <f aca="false">SUM(K867:R867)</f>
        <v>1</v>
      </c>
      <c r="J867" s="182" t="n">
        <v>45677</v>
      </c>
      <c r="K867" s="184" t="n">
        <v>1</v>
      </c>
      <c r="S867" s="192" t="n">
        <f aca="false">(K867+O867+Q867)*24 /1130+(L867+M867+P867+R867)*12/1130+(N867*30)/1130</f>
        <v>0.0212389380530973</v>
      </c>
    </row>
    <row r="868" customFormat="false" ht="15" hidden="true" customHeight="true" outlineLevel="0" collapsed="false">
      <c r="B868" s="127" t="n">
        <f aca="false">B867+D868-C868</f>
        <v>1115.5</v>
      </c>
      <c r="D868" s="146" t="n">
        <f aca="false">4*155.25+195.5</f>
        <v>816.5</v>
      </c>
      <c r="E868" s="147" t="n">
        <v>674</v>
      </c>
      <c r="F868" s="147" t="n">
        <f aca="false">IFERROR(VLOOKUP(H868,$AD$1:$AE$301,2,0),"")</f>
        <v>1007997</v>
      </c>
      <c r="G868" s="147" t="str">
        <f aca="false">IFERROR(VLOOKUP(F868,$AE$2:$AF$290,2, 0),"")</f>
        <v>البير</v>
      </c>
      <c r="H868" s="212" t="s">
        <v>296</v>
      </c>
      <c r="I868" s="246" t="n">
        <f aca="false">SUM(K868:R868)</f>
        <v>5</v>
      </c>
      <c r="J868" s="182" t="n">
        <v>45677</v>
      </c>
      <c r="K868" s="184"/>
      <c r="Q868" s="154" t="n">
        <v>1</v>
      </c>
      <c r="R868" s="155" t="n">
        <v>4</v>
      </c>
      <c r="S868" s="192" t="n">
        <f aca="false">(K868+O868+Q868)*24 /1130+(L868+M868+P868+R868)*12/1130+(N868*30)/1130</f>
        <v>0.063716814159292</v>
      </c>
    </row>
    <row r="869" customFormat="false" ht="15" hidden="true" customHeight="true" outlineLevel="0" collapsed="false">
      <c r="B869" s="127" t="n">
        <f aca="false">B868+D869-C869</f>
        <v>1270.75</v>
      </c>
      <c r="D869" s="146" t="n">
        <v>155.25</v>
      </c>
      <c r="E869" s="147" t="n">
        <v>675</v>
      </c>
      <c r="F869" s="147" t="n">
        <f aca="false">IFERROR(VLOOKUP(H869,$AD$1:$AE$301,2,0),"")</f>
        <v>1008020</v>
      </c>
      <c r="G869" s="147" t="str">
        <f aca="false">IFERROR(VLOOKUP(F869,$AE$2:$AF$290,2, 0),"")</f>
        <v>البير</v>
      </c>
      <c r="H869" s="212" t="s">
        <v>293</v>
      </c>
      <c r="I869" s="246" t="n">
        <f aca="false">SUM(K869:R869)</f>
        <v>1</v>
      </c>
      <c r="J869" s="182" t="n">
        <v>45677</v>
      </c>
      <c r="K869" s="184"/>
      <c r="R869" s="155" t="n">
        <v>1</v>
      </c>
      <c r="S869" s="192" t="n">
        <f aca="false">(K869+O869+Q869)*24 /1130+(L869+M869+P869+R869)*12/1130+(N869*30)/1130</f>
        <v>0.0106194690265487</v>
      </c>
    </row>
    <row r="870" customFormat="false" ht="15" hidden="true" customHeight="true" outlineLevel="0" collapsed="false">
      <c r="B870" s="127" t="n">
        <f aca="false">B869+D870-C870</f>
        <v>2248.25</v>
      </c>
      <c r="D870" s="146" t="n">
        <f aca="false">195.5*5</f>
        <v>977.5</v>
      </c>
      <c r="E870" s="147" t="n">
        <v>676</v>
      </c>
      <c r="F870" s="147" t="n">
        <f aca="false">IFERROR(VLOOKUP(H870,$AD$1:$AE$301,2,0),"")</f>
        <v>1008042</v>
      </c>
      <c r="G870" s="147" t="str">
        <f aca="false">IFERROR(VLOOKUP(F870,$AE$2:$AF$290,2, 0),"")</f>
        <v>البدع</v>
      </c>
      <c r="H870" s="212" t="s">
        <v>329</v>
      </c>
      <c r="I870" s="246" t="n">
        <f aca="false">SUM(K870:R870)</f>
        <v>5</v>
      </c>
      <c r="J870" s="182" t="n">
        <v>45677</v>
      </c>
      <c r="K870" s="184"/>
      <c r="Q870" s="154" t="n">
        <v>5</v>
      </c>
      <c r="S870" s="192" t="n">
        <f aca="false">(K870+O870+Q870)*24 /1130+(L870+M870+P870+R870)*12/1130+(N870*30)/1130</f>
        <v>0.106194690265487</v>
      </c>
    </row>
    <row r="871" customFormat="false" ht="15" hidden="true" customHeight="true" outlineLevel="0" collapsed="false">
      <c r="A871" s="128" t="n">
        <f aca="false">D871-4*5-233</f>
        <v>0</v>
      </c>
      <c r="B871" s="127" t="n">
        <f aca="false">B870+D871-C871</f>
        <v>2501.25</v>
      </c>
      <c r="D871" s="146" t="n">
        <v>253</v>
      </c>
      <c r="E871" s="147" t="n">
        <v>677</v>
      </c>
      <c r="F871" s="147" t="n">
        <f aca="false">IFERROR(VLOOKUP(H871,$AD$1:$AE$301,2,0),"")</f>
        <v>1008019</v>
      </c>
      <c r="G871" s="147" t="str">
        <f aca="false">IFERROR(VLOOKUP(F871,$AE$2:$AF$290,2, 0),"")</f>
        <v>البدع</v>
      </c>
      <c r="H871" s="212" t="s">
        <v>327</v>
      </c>
      <c r="I871" s="246" t="n">
        <f aca="false">SUM(K871:R871)</f>
        <v>1</v>
      </c>
      <c r="J871" s="182" t="n">
        <v>45677</v>
      </c>
      <c r="K871" s="184"/>
      <c r="M871" s="150" t="n">
        <v>1</v>
      </c>
      <c r="S871" s="192" t="n">
        <f aca="false">(K871+O871+Q871)*24 /1130+(L871+M871+P871+R871)*12/1130+(N871*30)/1130</f>
        <v>0.0106194690265487</v>
      </c>
    </row>
    <row r="872" customFormat="false" ht="15" hidden="true" customHeight="true" outlineLevel="0" collapsed="false">
      <c r="B872" s="127" t="n">
        <f aca="false">B871+D872-C872</f>
        <v>2731.25</v>
      </c>
      <c r="D872" s="146" t="n">
        <v>230</v>
      </c>
      <c r="E872" s="147" t="n">
        <v>678</v>
      </c>
      <c r="F872" s="147" t="n">
        <f aca="false">IFERROR(VLOOKUP(H872,$AD$1:$AE$301,2,0),"")</f>
        <v>1006522</v>
      </c>
      <c r="G872" s="147" t="str">
        <f aca="false">IFERROR(VLOOKUP(F872,$AE$2:$AF$290,2, 0),"")</f>
        <v>البدع</v>
      </c>
      <c r="H872" s="212" t="s">
        <v>317</v>
      </c>
      <c r="I872" s="246" t="n">
        <f aca="false">SUM(K872:R872)</f>
        <v>1</v>
      </c>
      <c r="J872" s="182" t="n">
        <v>45677</v>
      </c>
      <c r="K872" s="184"/>
      <c r="M872" s="150" t="n">
        <v>1</v>
      </c>
      <c r="S872" s="192" t="n">
        <f aca="false">(K872+O872+Q872)*24 /1130+(L872+M872+P872+R872)*12/1130+(N872*30)/1130</f>
        <v>0.0106194690265487</v>
      </c>
    </row>
    <row r="873" customFormat="false" ht="15" hidden="true" customHeight="true" outlineLevel="0" collapsed="false">
      <c r="B873" s="127" t="n">
        <f aca="false">B872+D873-C873</f>
        <v>3030.25</v>
      </c>
      <c r="D873" s="146" t="n">
        <v>299</v>
      </c>
      <c r="E873" s="147" t="n">
        <v>679</v>
      </c>
      <c r="F873" s="147" t="n">
        <f aca="false">IFERROR(VLOOKUP(H873,$AD$1:$AE$301,2,0),"")</f>
        <v>1008006</v>
      </c>
      <c r="G873" s="147" t="str">
        <f aca="false">IFERROR(VLOOKUP(F873,$AE$2:$AF$290,2, 0),"")</f>
        <v>حقل</v>
      </c>
      <c r="H873" s="212" t="s">
        <v>302</v>
      </c>
      <c r="I873" s="246" t="n">
        <f aca="false">SUM(K873:R873)</f>
        <v>1</v>
      </c>
      <c r="J873" s="182" t="n">
        <v>45677</v>
      </c>
      <c r="K873" s="184" t="n">
        <v>1</v>
      </c>
      <c r="S873" s="192" t="n">
        <f aca="false">(K873+O873+Q873)*24 /1130+(L873+M873+P873+R873)*12/1130+(N873*30)/1130</f>
        <v>0.0212389380530973</v>
      </c>
    </row>
    <row r="874" customFormat="false" ht="15" hidden="true" customHeight="true" outlineLevel="0" collapsed="false">
      <c r="B874" s="127" t="n">
        <f aca="false">B873+D874-C874</f>
        <v>3208.5</v>
      </c>
      <c r="D874" s="146" t="n">
        <v>178.25</v>
      </c>
      <c r="E874" s="147" t="n">
        <v>680</v>
      </c>
      <c r="F874" s="147" t="n">
        <f aca="false">IFERROR(VLOOKUP(H874,$AD$1:$AE$301,2,0),"")</f>
        <v>1008006</v>
      </c>
      <c r="G874" s="147" t="str">
        <f aca="false">IFERROR(VLOOKUP(F874,$AE$2:$AF$290,2, 0),"")</f>
        <v>حقل</v>
      </c>
      <c r="H874" s="212" t="s">
        <v>302</v>
      </c>
      <c r="I874" s="246" t="n">
        <f aca="false">SUM(K874:R874)</f>
        <v>1</v>
      </c>
      <c r="J874" s="182" t="n">
        <v>45677</v>
      </c>
      <c r="L874" s="149" t="n">
        <v>1</v>
      </c>
      <c r="S874" s="192" t="n">
        <f aca="false">(K874+O874+Q874)*24 /1130+(L874+M874+P874+R874)*12/1130+(N874*30)/1130</f>
        <v>0.0106194690265487</v>
      </c>
    </row>
    <row r="875" customFormat="false" ht="15" hidden="true" customHeight="true" outlineLevel="0" collapsed="false">
      <c r="B875" s="127" t="n">
        <f aca="false">B874+D875-C875</f>
        <v>6716</v>
      </c>
      <c r="D875" s="146" t="n">
        <f aca="false">8*299+264.5*2+155.25*2+138*2</f>
        <v>3507.5</v>
      </c>
      <c r="E875" s="147" t="n">
        <v>681</v>
      </c>
      <c r="F875" s="147" t="n">
        <f aca="false">IFERROR(VLOOKUP(H875,$AD$1:$AE$301,2,0),"")</f>
        <v>1007970</v>
      </c>
      <c r="G875" s="147" t="str">
        <f aca="false">IFERROR(VLOOKUP(F875,$AE$2:$AF$290,2, 0),"")</f>
        <v>حقل</v>
      </c>
      <c r="H875" s="212" t="s">
        <v>310</v>
      </c>
      <c r="I875" s="246" t="n">
        <f aca="false">SUM(K875:R875)</f>
        <v>14</v>
      </c>
      <c r="J875" s="182" t="n">
        <v>45663</v>
      </c>
      <c r="K875" s="184" t="n">
        <f aca="false">5+3</f>
        <v>8</v>
      </c>
      <c r="Q875" s="154" t="n">
        <v>2</v>
      </c>
      <c r="R875" s="155" t="n">
        <f aca="false">2+2</f>
        <v>4</v>
      </c>
      <c r="S875" s="192" t="n">
        <f aca="false">(K875+O875+Q875)*24 /1130+(L875+M875+P875+R875)*12/1130+(N875*30)/1130</f>
        <v>0.254867256637168</v>
      </c>
    </row>
    <row r="876" customFormat="false" ht="15" hidden="true" customHeight="true" outlineLevel="0" collapsed="false">
      <c r="A876" s="128" t="n">
        <f aca="false">D876-598</f>
        <v>0</v>
      </c>
      <c r="B876" s="127" t="n">
        <f aca="false">B875+D876-C876</f>
        <v>7314</v>
      </c>
      <c r="D876" s="146" t="n">
        <f aca="false">299*2</f>
        <v>598</v>
      </c>
      <c r="E876" s="147" t="n">
        <v>682</v>
      </c>
      <c r="F876" s="147" t="n">
        <f aca="false">IFERROR(VLOOKUP(H876,$AD$1:$AE$301,2,0),"")</f>
        <v>1008004</v>
      </c>
      <c r="G876" s="147" t="str">
        <f aca="false">IFERROR(VLOOKUP(F876,$AE$2:$AF$290,2, 0),"")</f>
        <v>حقل</v>
      </c>
      <c r="H876" s="212" t="s">
        <v>316</v>
      </c>
      <c r="I876" s="246" t="n">
        <f aca="false">SUM(K876:R876)</f>
        <v>2</v>
      </c>
      <c r="J876" s="182" t="n">
        <v>45677</v>
      </c>
      <c r="K876" s="184" t="n">
        <v>2</v>
      </c>
      <c r="S876" s="192" t="n">
        <f aca="false">(K876+O876+Q876)*24 /1130+(L876+M876+P876+R876)*12/1130+(N876*30)/1130</f>
        <v>0.0424778761061947</v>
      </c>
    </row>
    <row r="877" customFormat="false" ht="15" hidden="true" customHeight="true" outlineLevel="0" collapsed="false">
      <c r="B877" s="127" t="n">
        <f aca="false">B876+D877-C877</f>
        <v>7797</v>
      </c>
      <c r="D877" s="146" t="n">
        <f aca="false">241.5+241.5</f>
        <v>483</v>
      </c>
      <c r="E877" s="147" t="n">
        <v>683</v>
      </c>
      <c r="F877" s="147" t="n">
        <f aca="false">IFERROR(VLOOKUP(H877,$AD$1:$AE$301,2,0),"")</f>
        <v>1007996</v>
      </c>
      <c r="G877" s="147" t="str">
        <f aca="false">IFERROR(VLOOKUP(F877,$AE$2:$AF$290,2, 0),"")</f>
        <v>البير</v>
      </c>
      <c r="H877" s="212" t="s">
        <v>295</v>
      </c>
      <c r="I877" s="246" t="n">
        <f aca="false">SUM(K877:R877)</f>
        <v>2</v>
      </c>
      <c r="J877" s="182" t="n">
        <v>45677</v>
      </c>
      <c r="K877" s="184"/>
      <c r="O877" s="152" t="n">
        <v>1</v>
      </c>
      <c r="Q877" s="154" t="n">
        <v>1</v>
      </c>
      <c r="S877" s="192" t="n">
        <f aca="false">(K877+O877+Q877)*24 /1130+(L877+M877+P877+R877)*12/1130+(N877*30)/1130</f>
        <v>0.0424778761061947</v>
      </c>
    </row>
    <row r="878" customFormat="false" ht="15" hidden="true" customHeight="true" outlineLevel="0" collapsed="false">
      <c r="B878" s="127" t="n">
        <f aca="false">B877+D878-C878</f>
        <v>2575</v>
      </c>
      <c r="C878" s="127" t="n">
        <v>5222</v>
      </c>
      <c r="E878" s="212" t="s">
        <v>653</v>
      </c>
      <c r="F878" s="147" t="str">
        <f aca="false">IFERROR(VLOOKUP(H878,$AD$1:$AE$301,2,0),"")</f>
        <v/>
      </c>
      <c r="G878" s="147" t="str">
        <f aca="false">IFERROR(VLOOKUP(F878,$AE$2:$AF$290,2, 0),"")</f>
        <v/>
      </c>
      <c r="H878" s="212" t="s">
        <v>393</v>
      </c>
      <c r="I878" s="246" t="n">
        <f aca="false">SUM(K878:R878)</f>
        <v>0</v>
      </c>
      <c r="J878" s="182" t="n">
        <v>45678</v>
      </c>
      <c r="K878" s="184"/>
      <c r="S878" s="192" t="n">
        <f aca="false">(K878+O878+Q878)*24 /1130+(L878+M878+P878+R878)*12/1130+(N878*30)/1130</f>
        <v>0</v>
      </c>
    </row>
    <row r="879" customFormat="false" ht="15" hidden="true" customHeight="true" outlineLevel="0" collapsed="false">
      <c r="B879" s="127" t="n">
        <f aca="false">B878+D879-C879</f>
        <v>977.5</v>
      </c>
      <c r="C879" s="127" t="n">
        <f aca="false">D871-20+1859+D877</f>
        <v>2575</v>
      </c>
      <c r="D879" s="146" t="n">
        <f aca="false">195.5*5</f>
        <v>977.5</v>
      </c>
      <c r="E879" s="212" t="s">
        <v>470</v>
      </c>
      <c r="F879" s="147" t="str">
        <f aca="false">IFERROR(VLOOKUP(H879,$AD$1:$AE$301,2,0),"")</f>
        <v/>
      </c>
      <c r="G879" s="147" t="str">
        <f aca="false">IFERROR(VLOOKUP(F879,$AE$2:$AF$290,2, 0),"")</f>
        <v/>
      </c>
      <c r="H879" s="212" t="s">
        <v>393</v>
      </c>
      <c r="I879" s="246" t="n">
        <f aca="false">SUM(K879:R879)</f>
        <v>0</v>
      </c>
      <c r="J879" s="182" t="n">
        <v>45677</v>
      </c>
      <c r="K879" s="184"/>
      <c r="S879" s="192" t="n">
        <f aca="false">(K879+O879+Q879)*24 /1130+(L879+M879+P879+R879)*12/1130+(N879*30)/1130</f>
        <v>0</v>
      </c>
    </row>
    <row r="880" customFormat="false" ht="15" hidden="true" customHeight="true" outlineLevel="0" collapsed="false">
      <c r="B880" s="127" t="n">
        <f aca="false">B879+D880-C880</f>
        <v>977.5</v>
      </c>
      <c r="E880" s="147" t="n">
        <v>684</v>
      </c>
      <c r="F880" s="147" t="n">
        <f aca="false">IFERROR(VLOOKUP(H880,$AD$1:$AE$301,2,0),"")</f>
        <v>1007997</v>
      </c>
      <c r="G880" s="147" t="str">
        <f aca="false">IFERROR(VLOOKUP(F880,$AE$2:$AF$290,2, 0),"")</f>
        <v>البير</v>
      </c>
      <c r="H880" s="212" t="s">
        <v>296</v>
      </c>
      <c r="I880" s="246" t="n">
        <f aca="false">SUM(K880:R880)</f>
        <v>5</v>
      </c>
      <c r="J880" s="182" t="n">
        <v>45677</v>
      </c>
      <c r="K880" s="184"/>
      <c r="Q880" s="154" t="n">
        <v>5</v>
      </c>
      <c r="S880" s="192" t="n">
        <f aca="false">(K880+O880+Q880)*24 /1130+(L880+M880+P880+R880)*12/1130+(N880*30)/1130</f>
        <v>0.106194690265487</v>
      </c>
    </row>
    <row r="881" customFormat="false" ht="15" hidden="true" customHeight="true" outlineLevel="0" collapsed="false">
      <c r="B881" s="127" t="n">
        <f aca="false">B880+D881-C881</f>
        <v>0</v>
      </c>
      <c r="C881" s="127" t="n">
        <f aca="false">20+790+167</f>
        <v>977</v>
      </c>
      <c r="D881" s="146" t="n">
        <v>-0.5</v>
      </c>
      <c r="F881" s="147" t="str">
        <f aca="false">IFERROR(VLOOKUP(H881,$AD$1:$AE$301,2,0),"")</f>
        <v/>
      </c>
      <c r="G881" s="147" t="str">
        <f aca="false">IFERROR(VLOOKUP(F881,$AE$2:$AF$290,2, 0),"")</f>
        <v/>
      </c>
      <c r="H881" s="212" t="s">
        <v>393</v>
      </c>
      <c r="I881" s="246" t="n">
        <f aca="false">SUM(K881:R881)</f>
        <v>0</v>
      </c>
      <c r="J881" s="182" t="n">
        <v>45678</v>
      </c>
      <c r="K881" s="184"/>
      <c r="S881" s="192" t="n">
        <f aca="false">(K881+O881+Q881)*24 /1130+(L881+M881+P881+R881)*12/1130+(N881*30)/1130</f>
        <v>0</v>
      </c>
    </row>
    <row r="882" customFormat="false" ht="15" hidden="true" customHeight="true" outlineLevel="0" collapsed="false">
      <c r="B882" s="127" t="n">
        <f aca="false">B881+D882-C882</f>
        <v>782</v>
      </c>
      <c r="D882" s="146" t="n">
        <f aca="false">287.5+241.5+253</f>
        <v>782</v>
      </c>
      <c r="E882" s="147" t="n">
        <v>685</v>
      </c>
      <c r="F882" s="147" t="n">
        <f aca="false">IFERROR(VLOOKUP(H882,$AD$1:$AE$301,2,0),"")</f>
        <v>1008022</v>
      </c>
      <c r="G882" s="147" t="str">
        <f aca="false">IFERROR(VLOOKUP(F882,$AE$2:$AF$290,2, 0),"")</f>
        <v>ضباء</v>
      </c>
      <c r="H882" s="212" t="s">
        <v>94</v>
      </c>
      <c r="I882" s="246" t="n">
        <f aca="false">SUM(K882:R882)</f>
        <v>3</v>
      </c>
      <c r="J882" s="182" t="n">
        <v>45679</v>
      </c>
      <c r="K882" s="184"/>
      <c r="M882" s="150" t="n">
        <v>1</v>
      </c>
      <c r="N882" s="151" t="n">
        <v>1</v>
      </c>
      <c r="O882" s="152" t="n">
        <v>1</v>
      </c>
      <c r="S882" s="192" t="n">
        <f aca="false">(K882+O882+Q882)*24 /1130+(L882+M882+P882+R882)*12/1130+(N882*30)/1130</f>
        <v>0.0584070796460177</v>
      </c>
    </row>
    <row r="883" customFormat="false" ht="15" hidden="true" customHeight="true" outlineLevel="0" collapsed="false">
      <c r="A883" s="128" t="n">
        <f aca="false">D883+325-1866</f>
        <v>0</v>
      </c>
      <c r="B883" s="127" t="n">
        <f aca="false">B882+D883-C883</f>
        <v>2323</v>
      </c>
      <c r="D883" s="146" t="n">
        <f aca="false">230*2+299*2+241.5*2</f>
        <v>1541</v>
      </c>
      <c r="E883" s="147" t="n">
        <v>686</v>
      </c>
      <c r="F883" s="147" t="n">
        <f aca="false">IFERROR(VLOOKUP(H883,$AD$1:$AE$301,2,0),"")</f>
        <v>1008024</v>
      </c>
      <c r="G883" s="147" t="str">
        <f aca="false">IFERROR(VLOOKUP(F883,$AE$2:$AF$290,2, 0),"")</f>
        <v>ضباء</v>
      </c>
      <c r="H883" s="212" t="s">
        <v>96</v>
      </c>
      <c r="I883" s="246" t="n">
        <f aca="false">SUM(K883:R883)</f>
        <v>6</v>
      </c>
      <c r="J883" s="182" t="n">
        <v>45679</v>
      </c>
      <c r="K883" s="184" t="n">
        <v>2</v>
      </c>
      <c r="M883" s="150" t="n">
        <v>2</v>
      </c>
      <c r="O883" s="152" t="n">
        <v>2</v>
      </c>
      <c r="S883" s="192" t="n">
        <f aca="false">(K883+O883+Q883)*24 /1130+(L883+M883+P883+R883)*12/1130+(N883*30)/1130</f>
        <v>0.106194690265487</v>
      </c>
    </row>
    <row r="884" customFormat="false" ht="15" hidden="true" customHeight="true" outlineLevel="0" collapsed="false">
      <c r="B884" s="127" t="n">
        <f aca="false">B883+D884-C884</f>
        <v>2863.5</v>
      </c>
      <c r="D884" s="146" t="n">
        <f aca="false">241.5+299</f>
        <v>540.5</v>
      </c>
      <c r="E884" s="147" t="n">
        <v>687</v>
      </c>
      <c r="F884" s="147" t="n">
        <f aca="false">IFERROR(VLOOKUP(H884,$AD$1:$AE$301,2,0),"")</f>
        <v>1008027</v>
      </c>
      <c r="G884" s="147" t="str">
        <f aca="false">IFERROR(VLOOKUP(F884,$AE$2:$AF$290,2, 0),"")</f>
        <v>ضباء</v>
      </c>
      <c r="H884" s="212" t="s">
        <v>100</v>
      </c>
      <c r="I884" s="246" t="n">
        <f aca="false">SUM(K884:R884)</f>
        <v>2</v>
      </c>
      <c r="J884" s="182" t="n">
        <v>45679</v>
      </c>
      <c r="K884" s="184" t="n">
        <v>1</v>
      </c>
      <c r="O884" s="152" t="n">
        <v>1</v>
      </c>
      <c r="S884" s="192" t="n">
        <f aca="false">(K884+O884+Q884)*24 /1130+(L884+M884+P884+R884)*12/1130+(N884*30)/1130</f>
        <v>0.0424778761061947</v>
      </c>
    </row>
    <row r="885" customFormat="false" ht="15" hidden="true" customHeight="true" outlineLevel="0" collapsed="false">
      <c r="B885" s="127" t="n">
        <f aca="false">B884+D885-C885</f>
        <v>3369.5</v>
      </c>
      <c r="D885" s="146" t="n">
        <f aca="false">253*2</f>
        <v>506</v>
      </c>
      <c r="E885" s="147" t="n">
        <v>688</v>
      </c>
      <c r="F885" s="147" t="n">
        <f aca="false">IFERROR(VLOOKUP(H885,$AD$1:$AE$301,2,0),"")</f>
        <v>1008028</v>
      </c>
      <c r="G885" s="147" t="str">
        <f aca="false">IFERROR(VLOOKUP(F885,$AE$2:$AF$290,2, 0),"")</f>
        <v>ضباء</v>
      </c>
      <c r="H885" s="212" t="s">
        <v>99</v>
      </c>
      <c r="I885" s="246" t="n">
        <f aca="false">SUM(K885:R885)</f>
        <v>2</v>
      </c>
      <c r="J885" s="182" t="n">
        <v>45679</v>
      </c>
      <c r="K885" s="184"/>
      <c r="M885" s="150" t="n">
        <v>2</v>
      </c>
      <c r="S885" s="192" t="n">
        <f aca="false">(K885+O885+Q885)*24 /1130+(L885+M885+P885+R885)*12/1130+(N885*30)/1130</f>
        <v>0.0212389380530973</v>
      </c>
    </row>
    <row r="886" customFormat="false" ht="15" hidden="true" customHeight="true" outlineLevel="0" collapsed="false">
      <c r="B886" s="127" t="n">
        <f aca="false">B885+D886-C886</f>
        <v>3524.75</v>
      </c>
      <c r="D886" s="146" t="n">
        <v>155.25</v>
      </c>
      <c r="E886" s="147" t="n">
        <v>689</v>
      </c>
      <c r="F886" s="147" t="n">
        <f aca="false">IFERROR(VLOOKUP(H886,$AD$1:$AE$301,2,0),"")</f>
        <v>1008032</v>
      </c>
      <c r="G886" s="147" t="str">
        <f aca="false">IFERROR(VLOOKUP(F886,$AE$2:$AF$290,2, 0),"")</f>
        <v>ضباء</v>
      </c>
      <c r="H886" s="212" t="s">
        <v>101</v>
      </c>
      <c r="I886" s="246" t="n">
        <f aca="false">SUM(K886:R886)</f>
        <v>1</v>
      </c>
      <c r="J886" s="182" t="n">
        <v>45679</v>
      </c>
      <c r="K886" s="184"/>
      <c r="R886" s="155" t="n">
        <v>1</v>
      </c>
      <c r="S886" s="192" t="n">
        <f aca="false">(K886+O886+Q886)*24 /1130+(L886+M886+P886+R886)*12/1130+(N886*30)/1130</f>
        <v>0.0106194690265487</v>
      </c>
    </row>
    <row r="887" customFormat="false" ht="15" hidden="true" customHeight="true" outlineLevel="0" collapsed="false">
      <c r="B887" s="127" t="n">
        <f aca="false">B886+D887-C887</f>
        <v>3777.75</v>
      </c>
      <c r="D887" s="146" t="n">
        <v>253</v>
      </c>
      <c r="E887" s="147" t="n">
        <v>690</v>
      </c>
      <c r="F887" s="147" t="n">
        <f aca="false">IFERROR(VLOOKUP(H887,$AD$1:$AE$301,2,0),"")</f>
        <v>1007989</v>
      </c>
      <c r="G887" s="147" t="str">
        <f aca="false">IFERROR(VLOOKUP(F887,$AE$2:$AF$290,2, 0),"")</f>
        <v>ضباء</v>
      </c>
      <c r="H887" s="212" t="s">
        <v>90</v>
      </c>
      <c r="I887" s="246" t="n">
        <f aca="false">SUM(K887:R887)</f>
        <v>1</v>
      </c>
      <c r="J887" s="182" t="n">
        <v>45679</v>
      </c>
      <c r="K887" s="184"/>
      <c r="M887" s="150" t="n">
        <v>1</v>
      </c>
      <c r="S887" s="192" t="n">
        <f aca="false">(K887+O887+Q887)*24 /1130+(L887+M887+P887+R887)*12/1130+(N887*30)/1130</f>
        <v>0.0106194690265487</v>
      </c>
    </row>
    <row r="888" customFormat="false" ht="15" hidden="true" customHeight="true" outlineLevel="0" collapsed="false">
      <c r="A888" s="128" t="n">
        <f aca="false">D888-356</f>
        <v>0.5</v>
      </c>
      <c r="B888" s="127" t="n">
        <f aca="false">B887+D888-C888</f>
        <v>4134.25</v>
      </c>
      <c r="D888" s="146" t="n">
        <f aca="false">178.25*2</f>
        <v>356.5</v>
      </c>
      <c r="E888" s="147" t="n">
        <v>691</v>
      </c>
      <c r="F888" s="147" t="n">
        <f aca="false">IFERROR(VLOOKUP(H888,$AD$1:$AE$301,2,0),"")</f>
        <v>1008023</v>
      </c>
      <c r="G888" s="147" t="str">
        <f aca="false">IFERROR(VLOOKUP(F888,$AE$2:$AF$290,2, 0),"")</f>
        <v>ضباء</v>
      </c>
      <c r="H888" s="212" t="s">
        <v>95</v>
      </c>
      <c r="I888" s="246" t="n">
        <f aca="false">SUM(K888:R888)</f>
        <v>2</v>
      </c>
      <c r="J888" s="182" t="n">
        <v>45679</v>
      </c>
      <c r="K888" s="184"/>
      <c r="L888" s="149" t="n">
        <v>2</v>
      </c>
      <c r="S888" s="192" t="n">
        <f aca="false">(K888+O888+Q888)*24 /1130+(L888+M888+P888+R888)*12/1130+(N888*30)/1130</f>
        <v>0.0212389380530973</v>
      </c>
    </row>
    <row r="889" customFormat="false" ht="15" hidden="true" customHeight="true" outlineLevel="0" collapsed="false">
      <c r="A889" s="128" t="n">
        <f aca="false">D889-500-98</f>
        <v>0</v>
      </c>
      <c r="B889" s="127" t="n">
        <f aca="false">B888+D889-C889</f>
        <v>4732.25</v>
      </c>
      <c r="D889" s="146" t="n">
        <f aca="false">2*299</f>
        <v>598</v>
      </c>
      <c r="E889" s="147" t="n">
        <v>692</v>
      </c>
      <c r="F889" s="147" t="n">
        <f aca="false">IFERROR(VLOOKUP(H889,$AD$1:$AE$301,2,0),"")</f>
        <v>1008025</v>
      </c>
      <c r="G889" s="147" t="str">
        <f aca="false">IFERROR(VLOOKUP(F889,$AE$2:$AF$290,2, 0),"")</f>
        <v>ضباء</v>
      </c>
      <c r="H889" s="212" t="s">
        <v>97</v>
      </c>
      <c r="I889" s="246" t="n">
        <f aca="false">SUM(K889:R889)</f>
        <v>2</v>
      </c>
      <c r="J889" s="182" t="n">
        <v>45679</v>
      </c>
      <c r="K889" s="184"/>
      <c r="L889" s="149" t="n">
        <f aca="false">1+1</f>
        <v>2</v>
      </c>
      <c r="S889" s="192" t="n">
        <f aca="false">(K889+O889+Q889)*24 /1130+(L889+M889+P889+R889)*12/1130+(N889*30)/1130</f>
        <v>0.0212389380530973</v>
      </c>
    </row>
    <row r="890" customFormat="false" ht="15" hidden="true" customHeight="true" outlineLevel="0" collapsed="false">
      <c r="A890" s="128" t="n">
        <f aca="false">D890-230</f>
        <v>0</v>
      </c>
      <c r="B890" s="127" t="n">
        <f aca="false">B889+D890-C890</f>
        <v>4962.25</v>
      </c>
      <c r="D890" s="146" t="n">
        <f aca="false">230</f>
        <v>230</v>
      </c>
      <c r="E890" s="147" t="n">
        <v>693</v>
      </c>
      <c r="F890" s="147" t="n">
        <f aca="false">IFERROR(VLOOKUP(H890,$AD$1:$AE$301,2,0),"")</f>
        <v>1008025</v>
      </c>
      <c r="G890" s="147" t="str">
        <f aca="false">IFERROR(VLOOKUP(F890,$AE$2:$AF$290,2, 0),"")</f>
        <v>ضباء</v>
      </c>
      <c r="H890" s="212" t="s">
        <v>97</v>
      </c>
      <c r="I890" s="246" t="n">
        <f aca="false">SUM(K890:R890)</f>
        <v>1</v>
      </c>
      <c r="J890" s="182" t="n">
        <v>45679</v>
      </c>
      <c r="K890" s="184"/>
      <c r="M890" s="150" t="n">
        <v>1</v>
      </c>
      <c r="S890" s="192" t="n">
        <f aca="false">(K890+O890+Q890)*24 /1130+(L890+M890+P890+R890)*12/1130+(N890*30)/1130</f>
        <v>0.0106194690265487</v>
      </c>
    </row>
    <row r="891" customFormat="false" ht="15" hidden="true" customHeight="true" outlineLevel="0" collapsed="false">
      <c r="A891" s="128" t="n">
        <f aca="false">D891-900-1239</f>
        <v>0</v>
      </c>
      <c r="B891" s="127" t="n">
        <f aca="false">B890+D891-C891</f>
        <v>7101.25</v>
      </c>
      <c r="D891" s="146" t="n">
        <f aca="false">5*230+2*253+241.5*2</f>
        <v>2139</v>
      </c>
      <c r="E891" s="147" t="n">
        <v>694</v>
      </c>
      <c r="F891" s="147" t="n">
        <f aca="false">IFERROR(VLOOKUP(H891,$AD$1:$AE$301,2,0),"")</f>
        <v>1007988</v>
      </c>
      <c r="G891" s="147" t="str">
        <f aca="false">IFERROR(VLOOKUP(F891,$AE$2:$AF$290,2, 0),"")</f>
        <v>ضباء</v>
      </c>
      <c r="H891" s="212" t="s">
        <v>89</v>
      </c>
      <c r="I891" s="246" t="n">
        <f aca="false">SUM(K891:R891)</f>
        <v>9</v>
      </c>
      <c r="J891" s="182" t="n">
        <v>45679</v>
      </c>
      <c r="K891" s="184"/>
      <c r="M891" s="150" t="n">
        <f aca="false">5+2</f>
        <v>7</v>
      </c>
      <c r="O891" s="152" t="n">
        <v>2</v>
      </c>
      <c r="S891" s="192" t="n">
        <f aca="false">(K891+O891+Q891)*24 /1130+(L891+M891+P891+R891)*12/1130+(N891*30)/1130</f>
        <v>0.116814159292035</v>
      </c>
    </row>
    <row r="892" customFormat="false" ht="15" hidden="true" customHeight="true" outlineLevel="0" collapsed="false">
      <c r="B892" s="127" t="n">
        <f aca="false">B891+D892-C892</f>
        <v>0</v>
      </c>
      <c r="C892" s="127" t="n">
        <f aca="false">1866+1239+3996</f>
        <v>7101</v>
      </c>
      <c r="D892" s="146" t="n">
        <v>-0.25</v>
      </c>
      <c r="E892" s="147" t="n">
        <v>695</v>
      </c>
      <c r="F892" s="147" t="str">
        <f aca="false">IFERROR(VLOOKUP(H892,$AD$1:$AE$301,2,0),"")</f>
        <v/>
      </c>
      <c r="G892" s="147" t="str">
        <f aca="false">IFERROR(VLOOKUP(F892,$AE$2:$AF$290,2, 0),"")</f>
        <v/>
      </c>
      <c r="H892" s="212" t="s">
        <v>393</v>
      </c>
      <c r="I892" s="246" t="n">
        <f aca="false">SUM(K892:R892)</f>
        <v>0</v>
      </c>
      <c r="J892" s="182" t="n">
        <v>45679</v>
      </c>
      <c r="K892" s="184"/>
      <c r="S892" s="192" t="n">
        <f aca="false">(K892+O892+Q892)*24 /1130+(L892+M892+P892+R892)*12/1130+(N892*30)/1130</f>
        <v>0</v>
      </c>
    </row>
    <row r="893" customFormat="false" ht="15" hidden="true" customHeight="true" outlineLevel="0" collapsed="false">
      <c r="A893" s="128" t="n">
        <f aca="false">D893-350-403</f>
        <v>0.25</v>
      </c>
      <c r="B893" s="127" t="n">
        <f aca="false">B892+D893-C893</f>
        <v>753.25</v>
      </c>
      <c r="D893" s="146" t="n">
        <f aca="false">299*2+155.25</f>
        <v>753.25</v>
      </c>
      <c r="E893" s="147" t="n">
        <v>701</v>
      </c>
      <c r="F893" s="147" t="n">
        <f aca="false">IFERROR(VLOOKUP(H893,$AD$1:$AE$301,2,0),"")</f>
        <v>635</v>
      </c>
      <c r="G893" s="147" t="str">
        <f aca="false">IFERROR(VLOOKUP(F893,$AE$2:$AF$290,2, 0),"")</f>
        <v>تبوك</v>
      </c>
      <c r="H893" s="212" t="s">
        <v>157</v>
      </c>
      <c r="I893" s="246" t="n">
        <f aca="false">SUM(K893:R893)</f>
        <v>3</v>
      </c>
      <c r="J893" s="182" t="n">
        <v>45680</v>
      </c>
      <c r="K893" s="184" t="n">
        <f aca="false">1+1</f>
        <v>2</v>
      </c>
      <c r="R893" s="155" t="n">
        <v>1</v>
      </c>
      <c r="S893" s="192" t="n">
        <f aca="false">(K893+O893+Q893)*24 /1130+(L893+M893+P893+R893)*12/1130+(N893*30)/1130</f>
        <v>0.0530973451327434</v>
      </c>
    </row>
    <row r="894" customFormat="false" ht="15" hidden="true" customHeight="true" outlineLevel="0" collapsed="false">
      <c r="B894" s="127" t="n">
        <f aca="false">B893+D894-C894</f>
        <v>1052.25</v>
      </c>
      <c r="D894" s="146" t="n">
        <v>299</v>
      </c>
      <c r="E894" s="147" t="n">
        <v>696</v>
      </c>
      <c r="F894" s="147" t="n">
        <f aca="false">IFERROR(VLOOKUP(H894,$AD$1:$AE$301,2,0),"")</f>
        <v>1008261</v>
      </c>
      <c r="G894" s="147" t="str">
        <f aca="false">IFERROR(VLOOKUP(F894,$AE$2:$AF$290,2, 0),"")</f>
        <v>تبوك</v>
      </c>
      <c r="H894" s="212" t="s">
        <v>440</v>
      </c>
      <c r="I894" s="246" t="n">
        <f aca="false">SUM(K894:R894)</f>
        <v>1</v>
      </c>
      <c r="J894" s="182" t="n">
        <v>45680</v>
      </c>
      <c r="K894" s="184" t="n">
        <v>1</v>
      </c>
      <c r="S894" s="192" t="n">
        <f aca="false">(K894+O894+Q894)*24 /1130+(L894+M894+P894+R894)*12/1130+(N894*30)/1130</f>
        <v>0.0212389380530973</v>
      </c>
    </row>
    <row r="895" customFormat="false" ht="15" hidden="true" customHeight="true" outlineLevel="0" collapsed="false">
      <c r="A895" s="128" t="n">
        <f aca="false">D895+5-150-400+16</f>
        <v>0</v>
      </c>
      <c r="B895" s="127" t="n">
        <f aca="false">B894+D895-C895</f>
        <v>1581.25</v>
      </c>
      <c r="D895" s="146" t="n">
        <f aca="false">230+299</f>
        <v>529</v>
      </c>
      <c r="E895" s="147" t="n">
        <v>697</v>
      </c>
      <c r="F895" s="147" t="n">
        <f aca="false">IFERROR(VLOOKUP(H895,$AD$1:$AE$301,2,0),"")</f>
        <v>1002852</v>
      </c>
      <c r="G895" s="147" t="str">
        <f aca="false">IFERROR(VLOOKUP(F895,$AE$2:$AF$290,2, 0),"")</f>
        <v>تبوك</v>
      </c>
      <c r="H895" s="212" t="s">
        <v>159</v>
      </c>
      <c r="I895" s="246" t="n">
        <f aca="false">SUM(K895:R895)</f>
        <v>2</v>
      </c>
      <c r="J895" s="182" t="n">
        <v>45680</v>
      </c>
      <c r="K895" s="184"/>
      <c r="M895" s="150" t="n">
        <v>1</v>
      </c>
      <c r="R895" s="155" t="n">
        <v>1</v>
      </c>
      <c r="S895" s="192" t="n">
        <f aca="false">(K895+O895+Q895)*24 /1130+(L895+M895+P895+R895)*12/1130+(N895*30)/1130</f>
        <v>0.0212389380530973</v>
      </c>
    </row>
    <row r="896" customFormat="false" ht="15" hidden="true" customHeight="true" outlineLevel="0" collapsed="false">
      <c r="A896" s="128" t="n">
        <f aca="false">D896-200-99</f>
        <v>0</v>
      </c>
      <c r="B896" s="127" t="n">
        <f aca="false">B895+D896-C896</f>
        <v>1880.25</v>
      </c>
      <c r="D896" s="146" t="n">
        <v>299</v>
      </c>
      <c r="E896" s="147" t="n">
        <v>698</v>
      </c>
      <c r="F896" s="147" t="n">
        <f aca="false">IFERROR(VLOOKUP(H896,$AD$1:$AE$301,2,0),"")</f>
        <v>654</v>
      </c>
      <c r="G896" s="147" t="str">
        <f aca="false">IFERROR(VLOOKUP(F896,$AE$2:$AF$290,2, 0),"")</f>
        <v>تبوك</v>
      </c>
      <c r="H896" s="212" t="s">
        <v>266</v>
      </c>
      <c r="I896" s="246" t="n">
        <f aca="false">SUM(K896:R896)</f>
        <v>1</v>
      </c>
      <c r="J896" s="182" t="n">
        <v>45680</v>
      </c>
      <c r="K896" s="184" t="n">
        <v>1</v>
      </c>
      <c r="S896" s="192" t="n">
        <f aca="false">(K896+O896+Q896)*24 /1130+(L896+M896+P896+R896)*12/1130+(N896*30)/1130</f>
        <v>0.0212389380530973</v>
      </c>
    </row>
    <row r="897" customFormat="false" ht="15" hidden="true" customHeight="true" outlineLevel="0" collapsed="false">
      <c r="A897" s="128" t="n">
        <f aca="false">D897-150-140-150</f>
        <v>2.75</v>
      </c>
      <c r="B897" s="127" t="n">
        <f aca="false">B896+D897-C897</f>
        <v>2323</v>
      </c>
      <c r="D897" s="146" t="n">
        <f aca="false">287.5+155.25</f>
        <v>442.75</v>
      </c>
      <c r="E897" s="147" t="n">
        <v>699</v>
      </c>
      <c r="F897" s="147" t="n">
        <f aca="false">IFERROR(VLOOKUP(H897,$AD$1:$AE$301,2,0),"")</f>
        <v>654</v>
      </c>
      <c r="G897" s="147" t="str">
        <f aca="false">IFERROR(VLOOKUP(F897,$AE$2:$AF$290,2, 0),"")</f>
        <v>تبوك</v>
      </c>
      <c r="H897" s="212" t="s">
        <v>266</v>
      </c>
      <c r="I897" s="246" t="n">
        <f aca="false">SUM(K897:R897)</f>
        <v>2</v>
      </c>
      <c r="J897" s="182" t="n">
        <v>45680</v>
      </c>
      <c r="K897" s="184"/>
      <c r="N897" s="151" t="n">
        <v>1</v>
      </c>
      <c r="R897" s="155" t="n">
        <v>1</v>
      </c>
      <c r="S897" s="192" t="n">
        <f aca="false">(K897+O897+Q897)*24 /1130+(L897+M897+P897+R897)*12/1130+(N897*30)/1130</f>
        <v>0.0371681415929204</v>
      </c>
    </row>
    <row r="898" customFormat="false" ht="15" hidden="true" customHeight="true" outlineLevel="0" collapsed="false">
      <c r="A898" s="128" t="n">
        <f aca="false">D898-100-398-100</f>
        <v>0</v>
      </c>
      <c r="B898" s="127" t="n">
        <f aca="false">B897+D898-C898</f>
        <v>2921</v>
      </c>
      <c r="D898" s="146" t="n">
        <f aca="false">299*2</f>
        <v>598</v>
      </c>
      <c r="E898" s="147" t="n">
        <v>700</v>
      </c>
      <c r="F898" s="147" t="n">
        <f aca="false">IFERROR(VLOOKUP(H898,$AD$1:$AE$301,2,0),"")</f>
        <v>1008264</v>
      </c>
      <c r="G898" s="147" t="str">
        <f aca="false">IFERROR(VLOOKUP(F898,$AE$2:$AF$290,2, 0),"")</f>
        <v>تبوك</v>
      </c>
      <c r="H898" s="212" t="s">
        <v>160</v>
      </c>
      <c r="I898" s="246" t="n">
        <f aca="false">SUM(K898:R898)</f>
        <v>2</v>
      </c>
      <c r="J898" s="182" t="n">
        <v>45680</v>
      </c>
      <c r="K898" s="184" t="n">
        <f aca="false">1+1</f>
        <v>2</v>
      </c>
      <c r="S898" s="192" t="n">
        <f aca="false">(K898+O898+Q898)*24 /1130+(L898+M898+P898+R898)*12/1130+(N898*30)/1130</f>
        <v>0.0424778761061947</v>
      </c>
    </row>
    <row r="899" customFormat="false" ht="15" hidden="true" customHeight="true" outlineLevel="0" collapsed="false">
      <c r="A899" s="128" t="n">
        <f aca="false">D899-5*5-50-178</f>
        <v>0</v>
      </c>
      <c r="B899" s="127" t="n">
        <f aca="false">B898+D899-C899</f>
        <v>3174</v>
      </c>
      <c r="D899" s="146" t="n">
        <v>253</v>
      </c>
      <c r="E899" s="147" t="n">
        <v>701</v>
      </c>
      <c r="F899" s="147" t="n">
        <f aca="false">IFERROR(VLOOKUP(H899,$AD$1:$AE$301,2,0),"")</f>
        <v>1008277</v>
      </c>
      <c r="G899" s="147" t="str">
        <f aca="false">IFERROR(VLOOKUP(F899,$AE$2:$AF$290,2, 0),"")</f>
        <v>تبوك</v>
      </c>
      <c r="H899" s="212" t="s">
        <v>233</v>
      </c>
      <c r="I899" s="246" t="n">
        <f aca="false">SUM(K899:R899)</f>
        <v>1</v>
      </c>
      <c r="J899" s="182" t="n">
        <v>45680</v>
      </c>
      <c r="K899" s="184"/>
      <c r="M899" s="150" t="n">
        <v>1</v>
      </c>
      <c r="S899" s="192" t="n">
        <f aca="false">(K899+O899+Q899)*24 /1130+(L899+M899+P899+R899)*12/1130+(N899*30)/1130</f>
        <v>0.0106194690265487</v>
      </c>
    </row>
    <row r="900" customFormat="false" ht="15" hidden="true" customHeight="true" outlineLevel="0" collapsed="false">
      <c r="A900" s="128" t="n">
        <f aca="false">D900-70*5-972.5</f>
        <v>0</v>
      </c>
      <c r="B900" s="127" t="n">
        <f aca="false">B899+D900-C900</f>
        <v>4496.5</v>
      </c>
      <c r="D900" s="146" t="n">
        <f aca="false">264.5*5</f>
        <v>1322.5</v>
      </c>
      <c r="E900" s="147" t="n">
        <v>702</v>
      </c>
      <c r="F900" s="147" t="n">
        <f aca="false">IFERROR(VLOOKUP(H900,$AD$1:$AE$301,2,0),"")</f>
        <v>1076</v>
      </c>
      <c r="G900" s="147" t="str">
        <f aca="false">IFERROR(VLOOKUP(F900,$AE$2:$AF$290,2, 0),"")</f>
        <v>تبوك</v>
      </c>
      <c r="H900" s="212" t="s">
        <v>244</v>
      </c>
      <c r="I900" s="246" t="n">
        <f aca="false">SUM(K900:R900)</f>
        <v>5</v>
      </c>
      <c r="J900" s="182" t="n">
        <v>45681</v>
      </c>
      <c r="K900" s="184"/>
      <c r="R900" s="155" t="n">
        <v>5</v>
      </c>
      <c r="S900" s="192" t="n">
        <f aca="false">(K900+O900+Q900)*24 /1130+(L900+M900+P900+R900)*12/1130+(N900*30)/1130</f>
        <v>0.0530973451327434</v>
      </c>
    </row>
    <row r="901" customFormat="false" ht="15" hidden="true" customHeight="true" outlineLevel="0" collapsed="false">
      <c r="B901" s="127" t="n">
        <f aca="false">B900+D901-C901</f>
        <v>0</v>
      </c>
      <c r="C901" s="127" t="n">
        <f aca="false">135.75+200+D894+200+972.5+500+199+1990</f>
        <v>4496.25</v>
      </c>
      <c r="D901" s="146" t="n">
        <v>-0.25</v>
      </c>
      <c r="E901" s="212" t="s">
        <v>470</v>
      </c>
      <c r="F901" s="147" t="str">
        <f aca="false">IFERROR(VLOOKUP(H901,$AD$1:$AE$301,2,0),"")</f>
        <v/>
      </c>
      <c r="G901" s="147" t="str">
        <f aca="false">IFERROR(VLOOKUP(F901,$AE$2:$AF$290,2, 0),"")</f>
        <v/>
      </c>
      <c r="H901" s="212" t="s">
        <v>393</v>
      </c>
      <c r="I901" s="246" t="n">
        <f aca="false">SUM(K901:R901)</f>
        <v>0</v>
      </c>
      <c r="J901" s="182" t="n">
        <v>45681</v>
      </c>
      <c r="K901" s="184"/>
      <c r="S901" s="192" t="n">
        <f aca="false">(K901+O901+Q901)*24 /1130+(L901+M901+P901+R901)*12/1130+(N901*30)/1130</f>
        <v>0</v>
      </c>
    </row>
    <row r="902" customFormat="false" ht="15" hidden="true" customHeight="true" outlineLevel="0" collapsed="false">
      <c r="A902" s="128" t="n">
        <f aca="false">D902-500-500-500</f>
        <v>0.75</v>
      </c>
      <c r="B902" s="127" t="n">
        <f aca="false">B901+D902-C902</f>
        <v>1500.75</v>
      </c>
      <c r="D902" s="146" t="n">
        <f aca="false">299*2+230+253+241.5+178.25</f>
        <v>1500.75</v>
      </c>
      <c r="E902" s="147" t="n">
        <v>703</v>
      </c>
      <c r="F902" s="147" t="n">
        <f aca="false">IFERROR(VLOOKUP(H902,$AD$1:$AE$301,2,0),"")</f>
        <v>1002861</v>
      </c>
      <c r="G902" s="147" t="str">
        <f aca="false">IFERROR(VLOOKUP(F902,$AE$2:$AF$290,2, 0),"")</f>
        <v>تبوك</v>
      </c>
      <c r="H902" s="212" t="s">
        <v>275</v>
      </c>
      <c r="I902" s="246" t="n">
        <f aca="false">SUM(K902:R902)</f>
        <v>6</v>
      </c>
      <c r="J902" s="182" t="n">
        <v>45683</v>
      </c>
      <c r="K902" s="184" t="n">
        <f aca="false">1+1</f>
        <v>2</v>
      </c>
      <c r="L902" s="149" t="n">
        <v>1</v>
      </c>
      <c r="M902" s="150" t="n">
        <f aca="false">1+1</f>
        <v>2</v>
      </c>
      <c r="O902" s="152" t="n">
        <v>1</v>
      </c>
      <c r="S902" s="192" t="n">
        <f aca="false">(K902+O902+Q902)*24 /1130+(L902+M902+P902+R902)*12/1130+(N902*30)/1130</f>
        <v>0.0955752212389381</v>
      </c>
    </row>
    <row r="903" customFormat="false" ht="15" hidden="true" customHeight="true" outlineLevel="0" collapsed="false">
      <c r="B903" s="127" t="n">
        <f aca="false">B902+D903-C903</f>
        <v>2098.75</v>
      </c>
      <c r="D903" s="146" t="n">
        <v>598</v>
      </c>
      <c r="E903" s="147" t="n">
        <v>705</v>
      </c>
      <c r="F903" s="147" t="n">
        <f aca="false">IFERROR(VLOOKUP(H903,$AD$1:$AE$301,2,0),"")</f>
        <v>652</v>
      </c>
      <c r="G903" s="147" t="str">
        <f aca="false">IFERROR(VLOOKUP(F903,$AE$2:$AF$290,2, 0),"")</f>
        <v>تبوك</v>
      </c>
      <c r="H903" s="212" t="s">
        <v>263</v>
      </c>
      <c r="I903" s="246" t="n">
        <f aca="false">SUM(K903:R903)</f>
        <v>2</v>
      </c>
      <c r="J903" s="182" t="n">
        <v>45683</v>
      </c>
      <c r="K903" s="184" t="n">
        <v>2</v>
      </c>
      <c r="S903" s="192" t="n">
        <f aca="false">(K903+O903+Q903)*24 /1130+(L903+M903+P903+R903)*12/1130+(N903*30)/1130</f>
        <v>0.0424778761061947</v>
      </c>
    </row>
    <row r="904" customFormat="false" ht="15" hidden="true" customHeight="true" outlineLevel="0" collapsed="false">
      <c r="B904" s="127" t="n">
        <f aca="false">B903+D904-C904</f>
        <v>2236.75</v>
      </c>
      <c r="D904" s="146" t="n">
        <v>138</v>
      </c>
      <c r="E904" s="147" t="n">
        <v>704</v>
      </c>
      <c r="F904" s="147" t="n">
        <f aca="false">IFERROR(VLOOKUP(H904,$AD$1:$AE$301,2,0),"")</f>
        <v>1008057</v>
      </c>
      <c r="G904" s="147" t="str">
        <f aca="false">IFERROR(VLOOKUP(F904,$AE$2:$AF$290,2, 0),"")</f>
        <v>تبوك</v>
      </c>
      <c r="H904" s="212" t="s">
        <v>242</v>
      </c>
      <c r="I904" s="246" t="n">
        <f aca="false">SUM(K904:R904)</f>
        <v>1</v>
      </c>
      <c r="J904" s="182" t="n">
        <v>45683</v>
      </c>
      <c r="K904" s="184"/>
      <c r="Q904" s="154" t="n">
        <v>1</v>
      </c>
      <c r="S904" s="192" t="n">
        <f aca="false">(K904+O904+Q904)*24 /1130+(L904+M904+P904+R904)*12/1130+(N904*30)/1130</f>
        <v>0.0212389380530973</v>
      </c>
    </row>
    <row r="905" customFormat="false" ht="15" hidden="true" customHeight="true" outlineLevel="0" collapsed="false">
      <c r="B905" s="127" t="n">
        <f aca="false">B904+D905-C905</f>
        <v>2392</v>
      </c>
      <c r="D905" s="146" t="n">
        <v>155.25</v>
      </c>
      <c r="E905" s="147" t="n">
        <v>706</v>
      </c>
      <c r="F905" s="147" t="n">
        <f aca="false">IFERROR(VLOOKUP(H905,$AD$1:$AE$301,2,0),"")</f>
        <v>560</v>
      </c>
      <c r="G905" s="147" t="str">
        <f aca="false">IFERROR(VLOOKUP(F905,$AE$2:$AF$290,2, 0),"")</f>
        <v>تبوك</v>
      </c>
      <c r="H905" s="212" t="s">
        <v>133</v>
      </c>
      <c r="I905" s="246" t="n">
        <f aca="false">SUM(K905:R905)</f>
        <v>1</v>
      </c>
      <c r="J905" s="182" t="n">
        <v>45683</v>
      </c>
      <c r="K905" s="184"/>
      <c r="R905" s="155" t="n">
        <v>1</v>
      </c>
      <c r="S905" s="192" t="n">
        <f aca="false">(K905+O905+Q905)*24 /1130+(L905+M905+P905+R905)*12/1130+(N905*30)/1130</f>
        <v>0.0106194690265487</v>
      </c>
    </row>
    <row r="906" customFormat="false" ht="15" hidden="true" customHeight="true" outlineLevel="0" collapsed="false">
      <c r="B906" s="127" t="n">
        <f aca="false">B905+D906-C906</f>
        <v>0</v>
      </c>
      <c r="C906" s="127" t="n">
        <f aca="false">D904+99+1200+450+505</f>
        <v>2392</v>
      </c>
      <c r="E906" s="212" t="s">
        <v>470</v>
      </c>
      <c r="F906" s="147" t="str">
        <f aca="false">IFERROR(VLOOKUP(H906,$AD$1:$AE$301,2,0),"")</f>
        <v/>
      </c>
      <c r="G906" s="147" t="str">
        <f aca="false">IFERROR(VLOOKUP(F906,$AE$2:$AF$290,2, 0),"")</f>
        <v/>
      </c>
      <c r="H906" s="212" t="s">
        <v>393</v>
      </c>
      <c r="I906" s="246" t="n">
        <f aca="false">SUM(K906:R906)</f>
        <v>0</v>
      </c>
      <c r="J906" s="182" t="n">
        <v>45683</v>
      </c>
      <c r="K906" s="184"/>
      <c r="S906" s="192" t="n">
        <f aca="false">(K906+O906+Q906)*24 /1130+(L906+M906+P906+R906)*12/1130+(N906*30)/1130</f>
        <v>0</v>
      </c>
    </row>
    <row r="907" customFormat="false" ht="15" hidden="true" customHeight="true" outlineLevel="0" collapsed="false">
      <c r="B907" s="127" t="n">
        <f aca="false">B906+D907-C907</f>
        <v>437</v>
      </c>
      <c r="D907" s="146" t="n">
        <f aca="false">138+299</f>
        <v>437</v>
      </c>
      <c r="E907" s="147" t="n">
        <v>707</v>
      </c>
      <c r="F907" s="147" t="n">
        <f aca="false">IFERROR(VLOOKUP(H907,$AD$1:$AE$301,2,0),"")</f>
        <v>1008020</v>
      </c>
      <c r="G907" s="147" t="str">
        <f aca="false">IFERROR(VLOOKUP(F907,$AE$2:$AF$290,2, 0),"")</f>
        <v>البير</v>
      </c>
      <c r="H907" s="212" t="s">
        <v>293</v>
      </c>
      <c r="I907" s="246" t="n">
        <f aca="false">SUM(K907:R907)</f>
        <v>2</v>
      </c>
      <c r="J907" s="182" t="n">
        <v>45684</v>
      </c>
      <c r="K907" s="184" t="n">
        <v>1</v>
      </c>
      <c r="Q907" s="154" t="n">
        <v>1</v>
      </c>
      <c r="S907" s="192" t="n">
        <f aca="false">(K907+O907+Q907)*24 /1130+(L907+M907+P907+R907)*12/1130+(N907*30)/1130</f>
        <v>0.0424778761061947</v>
      </c>
    </row>
    <row r="908" customFormat="false" ht="15" hidden="true" customHeight="true" outlineLevel="0" collapsed="false">
      <c r="B908" s="127" t="n">
        <f aca="false">B907+D908-C908</f>
        <v>1265</v>
      </c>
      <c r="D908" s="146" t="n">
        <f aca="false">299+287.5+241.5</f>
        <v>828</v>
      </c>
      <c r="E908" s="147" t="n">
        <v>708</v>
      </c>
      <c r="F908" s="147" t="n">
        <f aca="false">IFERROR(VLOOKUP(H908,$AD$1:$AE$301,2,0),"")</f>
        <v>786</v>
      </c>
      <c r="G908" s="147" t="str">
        <f aca="false">IFERROR(VLOOKUP(F908,$AE$2:$AF$290,2, 0),"")</f>
        <v>البدع</v>
      </c>
      <c r="H908" s="212" t="s">
        <v>319</v>
      </c>
      <c r="I908" s="246" t="n">
        <f aca="false">SUM(K908:R908)</f>
        <v>3</v>
      </c>
      <c r="J908" s="182" t="n">
        <v>45684</v>
      </c>
      <c r="K908" s="148" t="n">
        <v>1</v>
      </c>
      <c r="N908" s="151" t="n">
        <v>1</v>
      </c>
      <c r="O908" s="152" t="n">
        <v>1</v>
      </c>
      <c r="S908" s="192" t="n">
        <f aca="false">(K908+O908+Q908)*24 /1130+(L908+M908+P908+R908)*12/1130+(N908*30)/1130</f>
        <v>0.0690265486725664</v>
      </c>
    </row>
    <row r="909" customFormat="false" ht="15" hidden="true" customHeight="true" outlineLevel="0" collapsed="false">
      <c r="A909" s="128" t="n">
        <f aca="false">D909-1700-36</f>
        <v>0.5</v>
      </c>
      <c r="B909" s="127" t="n">
        <f aca="false">B908+D909-C909</f>
        <v>3001.5</v>
      </c>
      <c r="D909" s="146" t="n">
        <f aca="false">241.5*6+287.5</f>
        <v>1736.5</v>
      </c>
      <c r="E909" s="147" t="n">
        <v>709</v>
      </c>
      <c r="F909" s="147" t="n">
        <f aca="false">IFERROR(VLOOKUP(H909,$AD$1:$AE$301,2,0),"")</f>
        <v>1008019</v>
      </c>
      <c r="G909" s="147" t="str">
        <f aca="false">IFERROR(VLOOKUP(F909,$AE$2:$AF$290,2, 0),"")</f>
        <v>البدع</v>
      </c>
      <c r="H909" s="212" t="s">
        <v>327</v>
      </c>
      <c r="I909" s="246" t="n">
        <f aca="false">SUM(K909:R909)</f>
        <v>7</v>
      </c>
      <c r="J909" s="182" t="n">
        <v>45684</v>
      </c>
      <c r="N909" s="151" t="n">
        <v>1</v>
      </c>
      <c r="O909" s="152" t="n">
        <v>6</v>
      </c>
      <c r="S909" s="192" t="n">
        <f aca="false">(K909+O909+Q909)*24 /1130+(L909+M909+P909+R909)*12/1130+(N909*30)/1130</f>
        <v>0.153982300884956</v>
      </c>
    </row>
    <row r="910" customFormat="false" ht="15" hidden="true" customHeight="true" outlineLevel="0" collapsed="false">
      <c r="A910" s="128" t="n">
        <f aca="false">D910-550</f>
        <v>2</v>
      </c>
      <c r="B910" s="127" t="n">
        <f aca="false">B909+D910-C910</f>
        <v>3553.5</v>
      </c>
      <c r="D910" s="146" t="n">
        <f aca="false">299+253</f>
        <v>552</v>
      </c>
      <c r="E910" s="147" t="n">
        <v>710</v>
      </c>
      <c r="F910" s="147" t="n">
        <f aca="false">IFERROR(VLOOKUP(H910,$AD$1:$AE$301,2,0),"")</f>
        <v>1006522</v>
      </c>
      <c r="G910" s="147" t="str">
        <f aca="false">IFERROR(VLOOKUP(F910,$AE$2:$AF$290,2, 0),"")</f>
        <v>البدع</v>
      </c>
      <c r="H910" s="212" t="s">
        <v>317</v>
      </c>
      <c r="I910" s="246" t="n">
        <f aca="false">SUM(K910:R910)</f>
        <v>2</v>
      </c>
      <c r="J910" s="182" t="n">
        <v>45684</v>
      </c>
      <c r="K910" s="148" t="n">
        <v>1</v>
      </c>
      <c r="M910" s="150" t="n">
        <v>1</v>
      </c>
      <c r="S910" s="192" t="n">
        <f aca="false">(K910+O910+Q910)*24 /1130+(L910+M910+P910+R910)*12/1130+(N910*30)/1130</f>
        <v>0.031858407079646</v>
      </c>
    </row>
    <row r="911" customFormat="false" ht="15" hidden="true" customHeight="true" outlineLevel="0" collapsed="false">
      <c r="A911" s="128" t="n">
        <f aca="false">D911-240</f>
        <v>1.5</v>
      </c>
      <c r="B911" s="127" t="n">
        <f aca="false">B910+D911-C911</f>
        <v>3795</v>
      </c>
      <c r="D911" s="146" t="n">
        <v>241.5</v>
      </c>
      <c r="E911" s="147" t="n">
        <v>711</v>
      </c>
      <c r="F911" s="147" t="n">
        <f aca="false">IFERROR(VLOOKUP(H911,$AD$1:$AE$301,2,0),"")</f>
        <v>1008042</v>
      </c>
      <c r="G911" s="147" t="str">
        <f aca="false">IFERROR(VLOOKUP(F911,$AE$2:$AF$290,2, 0),"")</f>
        <v>البدع</v>
      </c>
      <c r="H911" s="212" t="s">
        <v>329</v>
      </c>
      <c r="I911" s="246" t="n">
        <f aca="false">SUM(K911:R911)</f>
        <v>1</v>
      </c>
      <c r="J911" s="182" t="n">
        <v>45684</v>
      </c>
      <c r="O911" s="152" t="n">
        <v>1</v>
      </c>
      <c r="S911" s="192" t="n">
        <f aca="false">(K911+O911+Q911)*24 /1130+(L911+M911+P911+R911)*12/1130+(N911*30)/1130</f>
        <v>0.0212389380530973</v>
      </c>
    </row>
    <row r="912" customFormat="false" ht="15" hidden="true" customHeight="true" outlineLevel="0" collapsed="false">
      <c r="B912" s="127" t="n">
        <f aca="false">B911+D912-C912</f>
        <v>4577</v>
      </c>
      <c r="D912" s="146" t="n">
        <f aca="false">195.5*4</f>
        <v>782</v>
      </c>
      <c r="E912" s="147" t="n">
        <v>712</v>
      </c>
      <c r="F912" s="147" t="n">
        <f aca="false">IFERROR(VLOOKUP(H912,$AD$1:$AE$301,2,0),"")</f>
        <v>1007970</v>
      </c>
      <c r="G912" s="147" t="str">
        <f aca="false">IFERROR(VLOOKUP(F912,$AE$2:$AF$290,2, 0),"")</f>
        <v>حقل</v>
      </c>
      <c r="H912" s="212" t="s">
        <v>310</v>
      </c>
      <c r="I912" s="246" t="n">
        <f aca="false">SUM(K912:R912)</f>
        <v>4</v>
      </c>
      <c r="J912" s="182" t="n">
        <v>45683</v>
      </c>
      <c r="K912" s="184"/>
      <c r="Q912" s="154" t="n">
        <v>4</v>
      </c>
      <c r="S912" s="192" t="n">
        <f aca="false">(K912+O912+Q912)*24 /1130+(L912+M912+P912+R912)*12/1130+(N912*30)/1130</f>
        <v>0.0849557522123894</v>
      </c>
    </row>
    <row r="913" customFormat="false" ht="15" hidden="true" customHeight="true" outlineLevel="0" collapsed="false">
      <c r="B913" s="127" t="n">
        <f aca="false">B912+D913-C913</f>
        <v>4876</v>
      </c>
      <c r="D913" s="146" t="n">
        <v>299</v>
      </c>
      <c r="E913" s="147" t="n">
        <v>713</v>
      </c>
      <c r="F913" s="147" t="n">
        <f aca="false">IFERROR(VLOOKUP(H913,$AD$1:$AE$301,2,0),"")</f>
        <v>1008005</v>
      </c>
      <c r="G913" s="147" t="str">
        <f aca="false">IFERROR(VLOOKUP(F913,$AE$2:$AF$290,2, 0),"")</f>
        <v>حقل</v>
      </c>
      <c r="H913" s="212" t="s">
        <v>300</v>
      </c>
      <c r="I913" s="246" t="n">
        <f aca="false">SUM(K913:R913)</f>
        <v>1</v>
      </c>
      <c r="J913" s="182" t="n">
        <v>45684</v>
      </c>
      <c r="K913" s="148" t="n">
        <v>1</v>
      </c>
      <c r="S913" s="192" t="n">
        <f aca="false">(K913+O913+Q913)*24 /1130+(L913+M913+P913+R913)*12/1130+(N913*30)/1130</f>
        <v>0.0212389380530973</v>
      </c>
    </row>
    <row r="914" customFormat="false" ht="15" hidden="true" customHeight="true" outlineLevel="0" collapsed="false">
      <c r="B914" s="127" t="n">
        <f aca="false">B913+D914-C914</f>
        <v>5014</v>
      </c>
      <c r="D914" s="146" t="n">
        <v>138</v>
      </c>
      <c r="E914" s="147" t="n">
        <v>714</v>
      </c>
      <c r="F914" s="147" t="n">
        <f aca="false">IFERROR(VLOOKUP(H914,$AD$1:$AE$301,2,0),"")</f>
        <v>1008005</v>
      </c>
      <c r="G914" s="147" t="str">
        <f aca="false">IFERROR(VLOOKUP(F914,$AE$2:$AF$290,2, 0),"")</f>
        <v>حقل</v>
      </c>
      <c r="H914" s="212" t="s">
        <v>300</v>
      </c>
      <c r="I914" s="246" t="n">
        <f aca="false">SUM(K914:R914)</f>
        <v>1</v>
      </c>
      <c r="J914" s="182" t="n">
        <v>45684</v>
      </c>
      <c r="Q914" s="154" t="n">
        <v>1</v>
      </c>
      <c r="S914" s="192" t="n">
        <f aca="false">(K914+O914+Q914)*24 /1130+(L914+M914+P914+R914)*12/1130+(N914*30)/1130</f>
        <v>0.0212389380530973</v>
      </c>
    </row>
    <row r="915" customFormat="false" ht="15" hidden="true" customHeight="true" outlineLevel="0" collapsed="false">
      <c r="B915" s="127" t="n">
        <f aca="false">B914+D915-C915</f>
        <v>5152</v>
      </c>
      <c r="D915" s="146" t="n">
        <v>138</v>
      </c>
      <c r="E915" s="147" t="n">
        <v>715</v>
      </c>
      <c r="F915" s="147" t="n">
        <f aca="false">IFERROR(VLOOKUP(H915,$AD$1:$AE$301,2,0),"")</f>
        <v>1008004</v>
      </c>
      <c r="G915" s="147" t="str">
        <f aca="false">IFERROR(VLOOKUP(F915,$AE$2:$AF$290,2, 0),"")</f>
        <v>حقل</v>
      </c>
      <c r="H915" s="212" t="s">
        <v>316</v>
      </c>
      <c r="I915" s="246" t="n">
        <f aca="false">SUM(K915:R915)</f>
        <v>1</v>
      </c>
      <c r="J915" s="182" t="n">
        <v>45684</v>
      </c>
      <c r="Q915" s="154" t="n">
        <v>1</v>
      </c>
      <c r="S915" s="192" t="n">
        <f aca="false">(K915+O915+Q915)*24 /1130+(L915+M915+P915+R915)*12/1130+(N915*30)/1130</f>
        <v>0.0212389380530973</v>
      </c>
    </row>
    <row r="916" customFormat="false" ht="15" hidden="true" customHeight="true" outlineLevel="0" collapsed="false">
      <c r="B916" s="127" t="n">
        <f aca="false">B915+D916-C916</f>
        <v>5307.25</v>
      </c>
      <c r="D916" s="146" t="n">
        <v>155.25</v>
      </c>
      <c r="E916" s="147" t="n">
        <v>716</v>
      </c>
      <c r="F916" s="147" t="n">
        <f aca="false">IFERROR(VLOOKUP(H916,$AD$1:$AE$301,2,0),"")</f>
        <v>1008009</v>
      </c>
      <c r="G916" s="147" t="str">
        <f aca="false">IFERROR(VLOOKUP(F916,$AE$2:$AF$290,2, 0),"")</f>
        <v>حقل</v>
      </c>
      <c r="H916" s="212" t="s">
        <v>305</v>
      </c>
      <c r="I916" s="246" t="n">
        <f aca="false">SUM(K916:R916)</f>
        <v>1</v>
      </c>
      <c r="J916" s="182" t="n">
        <v>45684</v>
      </c>
      <c r="R916" s="155" t="n">
        <v>1</v>
      </c>
      <c r="S916" s="192" t="n">
        <f aca="false">(K916+O916+Q916)*24 /1130+(L916+M916+P916+R916)*12/1130+(N916*30)/1130</f>
        <v>0.0106194690265487</v>
      </c>
    </row>
    <row r="917" customFormat="false" ht="15" hidden="true" customHeight="true" outlineLevel="0" collapsed="false">
      <c r="B917" s="127" t="n">
        <f aca="false">B916+D917-C917</f>
        <v>5606.25</v>
      </c>
      <c r="D917" s="146" t="n">
        <v>299</v>
      </c>
      <c r="E917" s="147" t="n">
        <v>717</v>
      </c>
      <c r="F917" s="147" t="n">
        <f aca="false">IFERROR(VLOOKUP(H917,$AD$1:$AE$301,2,0),"")</f>
        <v>1007965</v>
      </c>
      <c r="G917" s="147" t="str">
        <f aca="false">IFERROR(VLOOKUP(F917,$AE$2:$AF$290,2, 0),"")</f>
        <v>البير</v>
      </c>
      <c r="H917" s="212" t="s">
        <v>290</v>
      </c>
      <c r="I917" s="246" t="n">
        <f aca="false">SUM(K917:R917)</f>
        <v>1</v>
      </c>
      <c r="J917" s="182" t="n">
        <v>45684</v>
      </c>
      <c r="K917" s="148" t="n">
        <v>1</v>
      </c>
      <c r="S917" s="192" t="n">
        <f aca="false">(K917+O917+Q917)*24 /1130+(L917+M917+P917+R917)*12/1130+(N917*30)/1130</f>
        <v>0.0212389380530973</v>
      </c>
    </row>
    <row r="918" customFormat="false" ht="15" hidden="true" customHeight="true" outlineLevel="0" collapsed="false">
      <c r="B918" s="127" t="n">
        <f aca="false">B917+D918-C918</f>
        <v>6284.75</v>
      </c>
      <c r="D918" s="146" t="n">
        <f aca="false">241.5+138+299</f>
        <v>678.5</v>
      </c>
      <c r="E918" s="147" t="n">
        <v>718</v>
      </c>
      <c r="F918" s="147" t="n">
        <f aca="false">IFERROR(VLOOKUP(H918,$AD$1:$AE$301,2,0),"")</f>
        <v>1007996</v>
      </c>
      <c r="G918" s="147" t="str">
        <f aca="false">IFERROR(VLOOKUP(F918,$AE$2:$AF$290,2, 0),"")</f>
        <v>البير</v>
      </c>
      <c r="H918" s="212" t="s">
        <v>295</v>
      </c>
      <c r="I918" s="246" t="n">
        <f aca="false">SUM(K918:R918)</f>
        <v>3</v>
      </c>
      <c r="J918" s="182" t="n">
        <v>45684</v>
      </c>
      <c r="K918" s="148" t="n">
        <v>1</v>
      </c>
      <c r="O918" s="152" t="n">
        <v>1</v>
      </c>
      <c r="Q918" s="154" t="n">
        <v>1</v>
      </c>
      <c r="S918" s="192" t="n">
        <f aca="false">(K918+O918+Q918)*24 /1130+(L918+M918+P918+R918)*12/1130+(N918*30)/1130</f>
        <v>0.063716814159292</v>
      </c>
    </row>
    <row r="919" customFormat="false" ht="15" hidden="true" customHeight="true" outlineLevel="0" collapsed="false">
      <c r="B919" s="127" t="n">
        <f aca="false">B918+D919-C919</f>
        <v>6537.75</v>
      </c>
      <c r="D919" s="146" t="n">
        <v>253</v>
      </c>
      <c r="E919" s="147" t="n">
        <v>719</v>
      </c>
      <c r="F919" s="147" t="n">
        <f aca="false">IFERROR(VLOOKUP(H919,$AD$1:$AE$301,2,0),"")</f>
        <v>1008030</v>
      </c>
      <c r="G919" s="147" t="str">
        <f aca="false">IFERROR(VLOOKUP(F919,$AE$2:$AF$290,2, 0),"")</f>
        <v>البير</v>
      </c>
      <c r="H919" s="212" t="s">
        <v>298</v>
      </c>
      <c r="I919" s="246" t="n">
        <f aca="false">SUM(K919:R919)</f>
        <v>1</v>
      </c>
      <c r="J919" s="182" t="n">
        <v>45684</v>
      </c>
      <c r="M919" s="150" t="n">
        <v>1</v>
      </c>
      <c r="S919" s="192" t="n">
        <f aca="false">(K919+O919+Q919)*24 /1130+(L919+M919+P919+R919)*12/1130+(N919*30)/1130</f>
        <v>0.0106194690265487</v>
      </c>
    </row>
    <row r="920" customFormat="false" ht="15" hidden="true" customHeight="true" outlineLevel="0" collapsed="false">
      <c r="A920" s="128" t="n">
        <f aca="false">D920-500-400-515</f>
        <v>-0.5</v>
      </c>
      <c r="B920" s="127" t="n">
        <f aca="false">B919+D920-C920</f>
        <v>7952.25</v>
      </c>
      <c r="D920" s="146" t="n">
        <f aca="false">230*4+253+241.5</f>
        <v>1414.5</v>
      </c>
      <c r="E920" s="147" t="n">
        <v>720</v>
      </c>
      <c r="F920" s="147" t="n">
        <f aca="false">IFERROR(VLOOKUP(H920,$AD$1:$AE$301,2,0),"")</f>
        <v>636</v>
      </c>
      <c r="G920" s="147" t="str">
        <f aca="false">IFERROR(VLOOKUP(F920,$AE$2:$AF$290,2, 0),"")</f>
        <v>تبوك</v>
      </c>
      <c r="H920" s="212" t="s">
        <v>134</v>
      </c>
      <c r="I920" s="246" t="n">
        <f aca="false">SUM(K920:R920)</f>
        <v>6</v>
      </c>
      <c r="J920" s="182" t="n">
        <v>45684</v>
      </c>
      <c r="K920" s="184"/>
      <c r="M920" s="150" t="n">
        <f aca="false">4+1</f>
        <v>5</v>
      </c>
      <c r="Q920" s="154" t="n">
        <v>1</v>
      </c>
      <c r="S920" s="192" t="n">
        <f aca="false">(K920+O920+Q920)*24 /1130+(L920+M920+P920+R920)*12/1130+(N920*30)/1130</f>
        <v>0.0743362831858407</v>
      </c>
    </row>
    <row r="921" customFormat="false" ht="15" hidden="true" customHeight="true" outlineLevel="0" collapsed="false">
      <c r="B921" s="127" t="n">
        <f aca="false">B920+D921-C921</f>
        <v>1653.5</v>
      </c>
      <c r="C921" s="127" t="n">
        <f aca="false">173.5+D908+736+155.25+3353+440+210+403</f>
        <v>6298.75</v>
      </c>
      <c r="E921" s="212" t="s">
        <v>470</v>
      </c>
      <c r="F921" s="147" t="str">
        <f aca="false">IFERROR(VLOOKUP(H921,$AD$1:$AE$301,2,0),"")</f>
        <v/>
      </c>
      <c r="G921" s="147" t="str">
        <f aca="false">IFERROR(VLOOKUP(F921,$AE$2:$AF$290,2, 0),"")</f>
        <v/>
      </c>
      <c r="H921" s="212" t="s">
        <v>393</v>
      </c>
      <c r="I921" s="246" t="n">
        <f aca="false">SUM(K921:R921)</f>
        <v>0</v>
      </c>
      <c r="J921" s="182" t="n">
        <v>45684</v>
      </c>
      <c r="S921" s="192" t="n">
        <f aca="false">(K921+O921+Q921)*24 /1130+(L921+M921+P921+R921)*12/1130+(N921*30)/1130</f>
        <v>0</v>
      </c>
    </row>
    <row r="922" customFormat="false" ht="15" hidden="true" customHeight="true" outlineLevel="0" collapsed="false">
      <c r="B922" s="127" t="n">
        <f aca="false">B921+D922-C922</f>
        <v>0</v>
      </c>
      <c r="C922" s="127" t="n">
        <v>1653</v>
      </c>
      <c r="D922" s="146" t="n">
        <v>-0.5</v>
      </c>
      <c r="E922" s="212" t="s">
        <v>653</v>
      </c>
      <c r="F922" s="147" t="str">
        <f aca="false">IFERROR(VLOOKUP(H922,$AD$1:$AE$301,2,0),"")</f>
        <v/>
      </c>
      <c r="G922" s="147" t="str">
        <f aca="false">IFERROR(VLOOKUP(F922,$AE$2:$AF$290,2, 0),"")</f>
        <v/>
      </c>
      <c r="H922" s="212" t="s">
        <v>393</v>
      </c>
      <c r="I922" s="246" t="n">
        <f aca="false">SUM(K922:R922)</f>
        <v>0</v>
      </c>
      <c r="J922" s="182" t="n">
        <v>45684</v>
      </c>
      <c r="S922" s="192" t="n">
        <f aca="false">(K922+O922+Q922)*24 /1130+(L922+M922+P922+R922)*12/1130+(N922*30)/1130</f>
        <v>0</v>
      </c>
    </row>
    <row r="923" customFormat="false" ht="15" hidden="true" customHeight="true" outlineLevel="0" collapsed="false">
      <c r="A923" s="128" t="n">
        <f aca="false">D923-299</f>
        <v>0</v>
      </c>
      <c r="B923" s="127" t="n">
        <f aca="false">B922+D923-C923</f>
        <v>299</v>
      </c>
      <c r="D923" s="146" t="n">
        <v>299</v>
      </c>
      <c r="E923" s="147" t="n">
        <v>721</v>
      </c>
      <c r="F923" s="147" t="n">
        <f aca="false">IFERROR(VLOOKUP(H923,$AD$1:$AE$301,2,0),"")</f>
        <v>654</v>
      </c>
      <c r="G923" s="147" t="str">
        <f aca="false">IFERROR(VLOOKUP(F923,$AE$2:$AF$290,2, 0),"")</f>
        <v>تبوك</v>
      </c>
      <c r="H923" s="212" t="s">
        <v>266</v>
      </c>
      <c r="I923" s="246" t="n">
        <f aca="false">SUM(K923:R923)</f>
        <v>1</v>
      </c>
      <c r="J923" s="182" t="n">
        <v>45685</v>
      </c>
      <c r="K923" s="184" t="n">
        <f aca="false">1</f>
        <v>1</v>
      </c>
      <c r="S923" s="192" t="n">
        <f aca="false">(K923+O923+Q923)*24 /1130+(L923+M923+P923+R923)*12/1130+(N923*30)/1130</f>
        <v>0.0212389380530973</v>
      </c>
    </row>
    <row r="924" customFormat="false" ht="15" hidden="true" customHeight="true" outlineLevel="0" collapsed="false">
      <c r="B924" s="127" t="n">
        <f aca="false">B923+D924-C924</f>
        <v>609.5</v>
      </c>
      <c r="D924" s="146" t="n">
        <f aca="false">155.25*2</f>
        <v>310.5</v>
      </c>
      <c r="E924" s="147" t="n">
        <v>722</v>
      </c>
      <c r="F924" s="147" t="n">
        <f aca="false">IFERROR(VLOOKUP(H924,$AD$1:$AE$301,2,0),"")</f>
        <v>653</v>
      </c>
      <c r="G924" s="147" t="str">
        <f aca="false">IFERROR(VLOOKUP(F924,$AE$2:$AF$290,2, 0),"")</f>
        <v>تبوك</v>
      </c>
      <c r="H924" s="212" t="s">
        <v>264</v>
      </c>
      <c r="I924" s="246" t="n">
        <f aca="false">SUM(K924:R924)</f>
        <v>2</v>
      </c>
      <c r="J924" s="182" t="n">
        <v>45685</v>
      </c>
      <c r="R924" s="155" t="n">
        <v>2</v>
      </c>
      <c r="S924" s="192" t="n">
        <f aca="false">(K924+O924+Q924)*24 /1130+(L924+M924+P924+R924)*12/1130+(N924*30)/1130</f>
        <v>0.0212389380530973</v>
      </c>
    </row>
    <row r="925" customFormat="false" ht="15" hidden="true" customHeight="true" outlineLevel="0" collapsed="false">
      <c r="A925" s="79" t="n">
        <f aca="false">D925-30*5-7*2-7*5-35-249</f>
        <v>0</v>
      </c>
      <c r="B925" s="127" t="n">
        <f aca="false">B924+D925-C925</f>
        <v>1092.5</v>
      </c>
      <c r="D925" s="146" t="n">
        <f aca="false">230+253</f>
        <v>483</v>
      </c>
      <c r="E925" s="147" t="n">
        <v>723</v>
      </c>
      <c r="F925" s="147" t="n">
        <f aca="false">IFERROR(VLOOKUP(H925,$AD$1:$AE$301,2,0),"")</f>
        <v>1002861</v>
      </c>
      <c r="G925" s="147" t="str">
        <f aca="false">IFERROR(VLOOKUP(F925,$AE$2:$AF$290,2, 0),"")</f>
        <v>تبوك</v>
      </c>
      <c r="H925" s="212" t="s">
        <v>275</v>
      </c>
      <c r="I925" s="246" t="n">
        <f aca="false">SUM(K925:R925)</f>
        <v>2</v>
      </c>
      <c r="J925" s="182" t="n">
        <v>45685</v>
      </c>
      <c r="M925" s="150" t="n">
        <f aca="false">1+1</f>
        <v>2</v>
      </c>
      <c r="S925" s="192" t="n">
        <f aca="false">(K925+O925+Q925)*24 /1130+(L925+M925+P925+R925)*12/1130+(N925*30)/1130</f>
        <v>0.0212389380530973</v>
      </c>
    </row>
    <row r="926" customFormat="false" ht="15" hidden="true" customHeight="true" outlineLevel="0" collapsed="false">
      <c r="A926" s="128" t="n">
        <f aca="false">D926-253</f>
        <v>0</v>
      </c>
      <c r="B926" s="127" t="n">
        <f aca="false">B925+D926-C926</f>
        <v>1345.5</v>
      </c>
      <c r="D926" s="146" t="n">
        <v>253</v>
      </c>
      <c r="E926" s="147" t="n">
        <v>724</v>
      </c>
      <c r="F926" s="147" t="n">
        <f aca="false">IFERROR(VLOOKUP(H926,$AD$1:$AE$301,2,0),"")</f>
        <v>575</v>
      </c>
      <c r="G926" s="147" t="str">
        <f aca="false">IFERROR(VLOOKUP(F926,$AE$2:$AF$290,2, 0),"")</f>
        <v>تبوك</v>
      </c>
      <c r="H926" s="212" t="s">
        <v>132</v>
      </c>
      <c r="I926" s="246" t="n">
        <f aca="false">SUM(K926:R926)</f>
        <v>1</v>
      </c>
      <c r="J926" s="182" t="n">
        <v>45685</v>
      </c>
      <c r="K926" s="184"/>
      <c r="M926" s="150" t="n">
        <v>1</v>
      </c>
      <c r="S926" s="192" t="n">
        <f aca="false">(K926+O926+Q926)*24 /1130+(L926+M926+P926+R926)*12/1130+(N926*30)/1130</f>
        <v>0.0106194690265487</v>
      </c>
    </row>
    <row r="927" customFormat="false" ht="15" hidden="true" customHeight="true" outlineLevel="0" collapsed="false">
      <c r="A927" s="128" t="n">
        <f aca="false">D927-300-298</f>
        <v>0</v>
      </c>
      <c r="B927" s="127" t="n">
        <f aca="false">B926+D927-C927</f>
        <v>1943.5</v>
      </c>
      <c r="D927" s="146" t="n">
        <f aca="false">299*2</f>
        <v>598</v>
      </c>
      <c r="E927" s="147" t="n">
        <v>725</v>
      </c>
      <c r="F927" s="147" t="n">
        <f aca="false">IFERROR(VLOOKUP(H927,$AD$1:$AE$301,2,0),"")</f>
        <v>1008272</v>
      </c>
      <c r="G927" s="147" t="str">
        <f aca="false">IFERROR(VLOOKUP(F927,$AE$2:$AF$290,2, 0),"")</f>
        <v>تبوك</v>
      </c>
      <c r="H927" s="212" t="s">
        <v>143</v>
      </c>
      <c r="I927" s="246" t="n">
        <f aca="false">SUM(K927:R927)</f>
        <v>2</v>
      </c>
      <c r="J927" s="182" t="n">
        <v>45685</v>
      </c>
      <c r="K927" s="184" t="n">
        <f aca="false">1+1</f>
        <v>2</v>
      </c>
      <c r="S927" s="192" t="n">
        <f aca="false">(K927+O927+Q927)*24 /1130+(L927+M927+P927+R927)*12/1130+(N927*30)/1130</f>
        <v>0.0424778761061947</v>
      </c>
    </row>
    <row r="928" customFormat="false" ht="15" hidden="true" customHeight="true" outlineLevel="0" collapsed="false">
      <c r="B928" s="127" t="n">
        <f aca="false">B927+D928-C928</f>
        <v>0</v>
      </c>
      <c r="C928" s="127" t="n">
        <f aca="false">D923+10.5+178+1456</f>
        <v>1943.5</v>
      </c>
      <c r="E928" s="212" t="s">
        <v>470</v>
      </c>
      <c r="F928" s="147" t="str">
        <f aca="false">IFERROR(VLOOKUP(H928,$AD$1:$AE$301,2,0),"")</f>
        <v/>
      </c>
      <c r="G928" s="147" t="str">
        <f aca="false">IFERROR(VLOOKUP(F928,$AE$2:$AF$290,2, 0),"")</f>
        <v/>
      </c>
      <c r="H928" s="212" t="s">
        <v>393</v>
      </c>
      <c r="I928" s="246" t="n">
        <f aca="false">SUM(K928:R928)</f>
        <v>0</v>
      </c>
      <c r="J928" s="182" t="n">
        <v>45685</v>
      </c>
      <c r="K928" s="184"/>
      <c r="S928" s="192" t="n">
        <f aca="false">(K928+O928+Q928)*24 /1130+(L928+M928+P928+R928)*12/1130+(N928*30)/1130</f>
        <v>0</v>
      </c>
    </row>
    <row r="929" customFormat="false" ht="15" hidden="true" customHeight="true" outlineLevel="0" collapsed="false">
      <c r="A929" s="128" t="n">
        <f aca="false">D929-6*2-200-598+210</f>
        <v>-2</v>
      </c>
      <c r="B929" s="127" t="n">
        <f aca="false">B928+D929-C929</f>
        <v>598</v>
      </c>
      <c r="D929" s="146" t="n">
        <f aca="false">299*2</f>
        <v>598</v>
      </c>
      <c r="E929" s="147" t="n">
        <v>726</v>
      </c>
      <c r="F929" s="147" t="n">
        <f aca="false">IFERROR(VLOOKUP(H929,$AD$1:$AE$301,2,0),"")</f>
        <v>1008266</v>
      </c>
      <c r="G929" s="147" t="str">
        <f aca="false">IFERROR(VLOOKUP(F929,$AE$2:$AF$290,2, 0),"")</f>
        <v>تبوك</v>
      </c>
      <c r="H929" s="212" t="s">
        <v>178</v>
      </c>
      <c r="I929" s="246" t="n">
        <f aca="false">SUM(K929:R929)</f>
        <v>2</v>
      </c>
      <c r="J929" s="182" t="n">
        <v>45686</v>
      </c>
      <c r="K929" s="184" t="n">
        <f aca="false">1+1</f>
        <v>2</v>
      </c>
      <c r="S929" s="192" t="n">
        <f aca="false">(K929+O929+Q929)*24 /1130+(L929+M929+P929+R929)*12/1130+(N929*30)/1130</f>
        <v>0.0424778761061947</v>
      </c>
    </row>
    <row r="930" customFormat="false" ht="15" hidden="true" customHeight="true" outlineLevel="0" collapsed="false">
      <c r="A930" s="79" t="n">
        <f aca="false">D930-510-50-268</f>
        <v>0</v>
      </c>
      <c r="B930" s="127" t="n">
        <f aca="false">B929+D930-C930</f>
        <v>1426</v>
      </c>
      <c r="D930" s="146" t="n">
        <f aca="false">299+230+299</f>
        <v>828</v>
      </c>
      <c r="E930" s="147" t="n">
        <v>727</v>
      </c>
      <c r="F930" s="147" t="n">
        <f aca="false">IFERROR(VLOOKUP(H930,$AD$1:$AE$301,2,0),"")</f>
        <v>553</v>
      </c>
      <c r="G930" s="147" t="str">
        <f aca="false">IFERROR(VLOOKUP(F930,$AE$2:$AF$290,2, 0),"")</f>
        <v>تبوك</v>
      </c>
      <c r="H930" s="212" t="s">
        <v>150</v>
      </c>
      <c r="I930" s="246" t="n">
        <f aca="false">SUM(K930:R930)</f>
        <v>3</v>
      </c>
      <c r="J930" s="182" t="n">
        <v>45686</v>
      </c>
      <c r="K930" s="184" t="n">
        <v>1</v>
      </c>
      <c r="M930" s="150" t="n">
        <v>1</v>
      </c>
      <c r="R930" s="155" t="n">
        <v>1</v>
      </c>
      <c r="S930" s="192" t="n">
        <f aca="false">(K930+O930+Q930)*24 /1130+(L930+M930+P930+R930)*12/1130+(N930*30)/1130</f>
        <v>0.0424778761061947</v>
      </c>
    </row>
    <row r="931" customFormat="false" ht="15" hidden="true" customHeight="true" outlineLevel="0" collapsed="false">
      <c r="A931" s="128" t="n">
        <f aca="false">D931+A752-24*5-135</f>
        <v>1</v>
      </c>
      <c r="B931" s="127" t="n">
        <f aca="false">B930+D931-C931</f>
        <v>1679</v>
      </c>
      <c r="D931" s="146" t="n">
        <v>253</v>
      </c>
      <c r="E931" s="147" t="n">
        <v>728</v>
      </c>
      <c r="F931" s="147" t="n">
        <f aca="false">IFERROR(VLOOKUP(H931,$AD$1:$AE$301,2,0),"")</f>
        <v>540</v>
      </c>
      <c r="G931" s="147" t="str">
        <f aca="false">IFERROR(VLOOKUP(F931,$AE$2:$AF$290,2, 0),"")</f>
        <v>تبوك</v>
      </c>
      <c r="H931" s="212" t="s">
        <v>222</v>
      </c>
      <c r="I931" s="246" t="n">
        <f aca="false">SUM(K931:R931)</f>
        <v>1</v>
      </c>
      <c r="J931" s="182" t="n">
        <v>45686</v>
      </c>
      <c r="K931" s="184"/>
      <c r="M931" s="150" t="n">
        <v>1</v>
      </c>
      <c r="S931" s="192" t="n">
        <f aca="false">(K931+O931+Q931)*24 /1130+(L931+M931+P931+R931)*12/1130+(N931*30)/1130</f>
        <v>0.0106194690265487</v>
      </c>
    </row>
    <row r="932" customFormat="false" ht="15" hidden="true" customHeight="true" outlineLevel="0" collapsed="false">
      <c r="B932" s="127" t="n">
        <f aca="false">B931+D932-C932</f>
        <v>1817</v>
      </c>
      <c r="D932" s="146" t="n">
        <v>138</v>
      </c>
      <c r="E932" s="147" t="n">
        <v>729</v>
      </c>
      <c r="F932" s="147" t="n">
        <f aca="false">IFERROR(VLOOKUP(H932,$AD$1:$AE$301,2,0),"")</f>
        <v>1008022</v>
      </c>
      <c r="G932" s="147" t="str">
        <f aca="false">IFERROR(VLOOKUP(F932,$AE$2:$AF$290,2, 0),"")</f>
        <v>ضباء</v>
      </c>
      <c r="H932" s="212" t="s">
        <v>94</v>
      </c>
      <c r="I932" s="246" t="n">
        <f aca="false">SUM(K932:R932)</f>
        <v>1</v>
      </c>
      <c r="J932" s="182" t="n">
        <v>45686</v>
      </c>
      <c r="Q932" s="154" t="n">
        <v>1</v>
      </c>
      <c r="S932" s="192" t="n">
        <f aca="false">(K932+O932+Q932)*24 /1130+(L932+M932+P932+R932)*12/1130+(N932*30)/1130</f>
        <v>0.0212389380530973</v>
      </c>
    </row>
    <row r="933" customFormat="false" ht="15" hidden="true" customHeight="true" outlineLevel="0" collapsed="false">
      <c r="B933" s="127" t="n">
        <f aca="false">B932+D933-C933</f>
        <v>2116</v>
      </c>
      <c r="D933" s="146" t="n">
        <v>299</v>
      </c>
      <c r="E933" s="147" t="n">
        <v>730</v>
      </c>
      <c r="F933" s="147" t="n">
        <f aca="false">IFERROR(VLOOKUP(H933,$AD$1:$AE$301,2,0),"")</f>
        <v>1008050</v>
      </c>
      <c r="G933" s="147" t="str">
        <f aca="false">IFERROR(VLOOKUP(F933,$AE$2:$AF$290,2, 0),"")</f>
        <v>ضباء</v>
      </c>
      <c r="H933" s="212" t="s">
        <v>92</v>
      </c>
      <c r="I933" s="246" t="n">
        <f aca="false">SUM(K933:R933)</f>
        <v>1</v>
      </c>
      <c r="J933" s="182" t="n">
        <v>45686</v>
      </c>
      <c r="K933" s="184" t="n">
        <v>1</v>
      </c>
      <c r="S933" s="192" t="n">
        <f aca="false">(K933+O933+Q933)*24 /1130+(L933+M933+P933+R933)*12/1130+(N933*30)/1130</f>
        <v>0.0212389380530973</v>
      </c>
    </row>
    <row r="934" customFormat="false" ht="15" hidden="true" customHeight="true" outlineLevel="0" collapsed="false">
      <c r="B934" s="127" t="n">
        <f aca="false">B933+D934-C934</f>
        <v>3611</v>
      </c>
      <c r="D934" s="146" t="n">
        <f aca="false">5*299</f>
        <v>1495</v>
      </c>
      <c r="E934" s="147" t="n">
        <v>731</v>
      </c>
      <c r="F934" s="147" t="n">
        <f aca="false">IFERROR(VLOOKUP(H934,$AD$1:$AE$301,2,0),"")</f>
        <v>1008048</v>
      </c>
      <c r="G934" s="147" t="str">
        <f aca="false">IFERROR(VLOOKUP(F934,$AE$2:$AF$290,2, 0),"")</f>
        <v>الوجه</v>
      </c>
      <c r="H934" s="212" t="s">
        <v>110</v>
      </c>
      <c r="I934" s="246" t="n">
        <f aca="false">SUM(K934:R934)</f>
        <v>5</v>
      </c>
      <c r="J934" s="182" t="n">
        <v>45686</v>
      </c>
      <c r="K934" s="184" t="n">
        <v>5</v>
      </c>
      <c r="S934" s="192" t="n">
        <f aca="false">(K934+O934+Q934)*24 /1130+(L934+M934+P934+R934)*12/1130+(N934*30)/1130</f>
        <v>0.106194690265487</v>
      </c>
    </row>
    <row r="935" customFormat="false" ht="15" hidden="true" customHeight="true" outlineLevel="0" collapsed="false">
      <c r="B935" s="127" t="n">
        <f aca="false">B934+D935-C935</f>
        <v>4807</v>
      </c>
      <c r="D935" s="146" t="n">
        <f aca="false">4*299</f>
        <v>1196</v>
      </c>
      <c r="E935" s="147" t="n">
        <v>732</v>
      </c>
      <c r="F935" s="147" t="n">
        <f aca="false">IFERROR(VLOOKUP(H935,$AD$1:$AE$301,2,0),"")</f>
        <v>1008045</v>
      </c>
      <c r="G935" s="147" t="str">
        <f aca="false">IFERROR(VLOOKUP(F935,$AE$2:$AF$290,2, 0),"")</f>
        <v>الوجه</v>
      </c>
      <c r="H935" s="212" t="s">
        <v>107</v>
      </c>
      <c r="I935" s="246" t="n">
        <f aca="false">SUM(K935:R935)</f>
        <v>4</v>
      </c>
      <c r="J935" s="182" t="n">
        <v>45686</v>
      </c>
      <c r="K935" s="184" t="n">
        <v>4</v>
      </c>
      <c r="S935" s="192" t="n">
        <f aca="false">(K935+O935+Q935)*24 /1130+(L935+M935+P935+R935)*12/1130+(N935*30)/1130</f>
        <v>0.0849557522123894</v>
      </c>
    </row>
    <row r="936" customFormat="false" ht="15" hidden="true" customHeight="true" outlineLevel="0" collapsed="false">
      <c r="B936" s="127" t="n">
        <f aca="false">B935+D936-C936</f>
        <v>5957</v>
      </c>
      <c r="D936" s="146" t="n">
        <f aca="false">2*299+299+253</f>
        <v>1150</v>
      </c>
      <c r="E936" s="147" t="n">
        <v>733</v>
      </c>
      <c r="F936" s="147" t="n">
        <f aca="false">IFERROR(VLOOKUP(H936,$AD$1:$AE$301,2,0),"")</f>
        <v>1008046</v>
      </c>
      <c r="G936" s="147" t="str">
        <f aca="false">IFERROR(VLOOKUP(F936,$AE$2:$AF$290,2, 0),"")</f>
        <v>الوجه</v>
      </c>
      <c r="H936" s="212" t="s">
        <v>108</v>
      </c>
      <c r="I936" s="246" t="n">
        <f aca="false">SUM(K936:R936)</f>
        <v>4</v>
      </c>
      <c r="J936" s="182" t="n">
        <v>45686</v>
      </c>
      <c r="K936" s="184" t="n">
        <f aca="false">2+1</f>
        <v>3</v>
      </c>
      <c r="M936" s="150" t="n">
        <v>1</v>
      </c>
      <c r="S936" s="192" t="n">
        <f aca="false">(K936+O936+Q936)*24 /1130+(L936+M936+P936+R936)*12/1130+(N936*30)/1130</f>
        <v>0.0743362831858407</v>
      </c>
    </row>
    <row r="937" customFormat="false" ht="15" hidden="true" customHeight="true" outlineLevel="0" collapsed="false">
      <c r="B937" s="127" t="n">
        <f aca="false">B936+D937-C937</f>
        <v>7337</v>
      </c>
      <c r="D937" s="146" t="n">
        <f aca="false">3*299+253+230</f>
        <v>1380</v>
      </c>
      <c r="E937" s="147" t="n">
        <v>734</v>
      </c>
      <c r="F937" s="147" t="n">
        <f aca="false">IFERROR(VLOOKUP(H937,$AD$1:$AE$301,2,0),"")</f>
        <v>1008047</v>
      </c>
      <c r="G937" s="147" t="str">
        <f aca="false">IFERROR(VLOOKUP(F937,$AE$2:$AF$290,2, 0),"")</f>
        <v>الوجه</v>
      </c>
      <c r="H937" s="212" t="s">
        <v>422</v>
      </c>
      <c r="I937" s="246" t="n">
        <f aca="false">SUM(K937:R937)</f>
        <v>5</v>
      </c>
      <c r="J937" s="182" t="n">
        <v>45686</v>
      </c>
      <c r="K937" s="184" t="n">
        <v>3</v>
      </c>
      <c r="M937" s="150" t="n">
        <f aca="false">1+1</f>
        <v>2</v>
      </c>
      <c r="S937" s="192" t="n">
        <f aca="false">(K937+O937+Q937)*24 /1130+(L937+M937+P937+R937)*12/1130+(N937*30)/1130</f>
        <v>0.0849557522123894</v>
      </c>
    </row>
    <row r="938" customFormat="false" ht="15" hidden="true" customHeight="true" outlineLevel="0" collapsed="false">
      <c r="B938" s="127" t="n">
        <f aca="false">B937+D938-C938</f>
        <v>8234</v>
      </c>
      <c r="D938" s="146" t="n">
        <f aca="false">299*3</f>
        <v>897</v>
      </c>
      <c r="E938" s="147" t="n">
        <v>735</v>
      </c>
      <c r="F938" s="147" t="n">
        <f aca="false">IFERROR(VLOOKUP(H938,$AD$1:$AE$301,2,0),"")</f>
        <v>1008043</v>
      </c>
      <c r="G938" s="147" t="str">
        <f aca="false">IFERROR(VLOOKUP(F938,$AE$2:$AF$290,2, 0),"")</f>
        <v>الوجه</v>
      </c>
      <c r="H938" s="212" t="s">
        <v>104</v>
      </c>
      <c r="I938" s="246" t="n">
        <f aca="false">SUM(K938:R938)</f>
        <v>3</v>
      </c>
      <c r="J938" s="182" t="n">
        <v>45686</v>
      </c>
      <c r="K938" s="184" t="n">
        <f aca="false">2+1</f>
        <v>3</v>
      </c>
      <c r="S938" s="192" t="n">
        <f aca="false">(K938+O938+Q938)*24 /1130+(L938+M938+P938+R938)*12/1130+(N938*30)/1130</f>
        <v>0.063716814159292</v>
      </c>
    </row>
    <row r="939" customFormat="false" ht="15" hidden="true" customHeight="true" outlineLevel="0" collapsed="false">
      <c r="A939" s="128" t="n">
        <f aca="false">D939+98-296-400</f>
        <v>0</v>
      </c>
      <c r="B939" s="127" t="n">
        <f aca="false">B938+D939-C939</f>
        <v>8832</v>
      </c>
      <c r="D939" s="146" t="n">
        <f aca="false">299*2</f>
        <v>598</v>
      </c>
      <c r="E939" s="147" t="n">
        <v>736</v>
      </c>
      <c r="F939" s="147" t="n">
        <f aca="false">IFERROR(VLOOKUP(H939,$AD$1:$AE$301,2,0),"")</f>
        <v>1008025</v>
      </c>
      <c r="G939" s="147" t="str">
        <f aca="false">IFERROR(VLOOKUP(F939,$AE$2:$AF$290,2, 0),"")</f>
        <v>ضباء</v>
      </c>
      <c r="H939" s="212" t="s">
        <v>97</v>
      </c>
      <c r="I939" s="246" t="n">
        <f aca="false">SUM(K939:R939)</f>
        <v>2</v>
      </c>
      <c r="J939" s="182" t="n">
        <v>45686</v>
      </c>
      <c r="K939" s="184" t="n">
        <f aca="false">2</f>
        <v>2</v>
      </c>
      <c r="S939" s="192" t="n">
        <f aca="false">(K939+O939+Q939)*24 /1130+(L939+M939+P939+R939)*12/1130+(N939*30)/1130</f>
        <v>0.0424778761061947</v>
      </c>
    </row>
    <row r="940" customFormat="false" ht="15" hidden="true" customHeight="true" outlineLevel="0" collapsed="false">
      <c r="B940" s="127" t="n">
        <f aca="false">B939+D940-C940</f>
        <v>9315</v>
      </c>
      <c r="D940" s="146" t="n">
        <f aca="false">241.5*2</f>
        <v>483</v>
      </c>
      <c r="E940" s="147" t="n">
        <v>737</v>
      </c>
      <c r="F940" s="147" t="n">
        <f aca="false">IFERROR(VLOOKUP(H940,$AD$1:$AE$301,2,0),"")</f>
        <v>1008025</v>
      </c>
      <c r="G940" s="147" t="str">
        <f aca="false">IFERROR(VLOOKUP(F940,$AE$2:$AF$290,2, 0),"")</f>
        <v>ضباء</v>
      </c>
      <c r="H940" s="212" t="s">
        <v>97</v>
      </c>
      <c r="I940" s="246" t="n">
        <f aca="false">SUM(K940:R940)</f>
        <v>2</v>
      </c>
      <c r="J940" s="182" t="n">
        <v>45686</v>
      </c>
      <c r="O940" s="152" t="n">
        <v>2</v>
      </c>
      <c r="S940" s="192" t="n">
        <f aca="false">(K940+O940+Q940)*24 /1130+(L940+M940+P940+R940)*12/1130+(N940*30)/1130</f>
        <v>0.0424778761061947</v>
      </c>
    </row>
    <row r="941" customFormat="false" ht="15" hidden="true" customHeight="true" outlineLevel="0" collapsed="false">
      <c r="A941" s="128" t="n">
        <f aca="false">D941-138</f>
        <v>0</v>
      </c>
      <c r="B941" s="127" t="n">
        <f aca="false">B940+D941-C941</f>
        <v>9453</v>
      </c>
      <c r="D941" s="146" t="n">
        <v>138</v>
      </c>
      <c r="E941" s="147" t="n">
        <v>738</v>
      </c>
      <c r="F941" s="147" t="n">
        <f aca="false">IFERROR(VLOOKUP(H941,$AD$1:$AE$301,2,0),"")</f>
        <v>1008025</v>
      </c>
      <c r="G941" s="147" t="str">
        <f aca="false">IFERROR(VLOOKUP(F941,$AE$2:$AF$290,2, 0),"")</f>
        <v>ضباء</v>
      </c>
      <c r="H941" s="212" t="s">
        <v>97</v>
      </c>
      <c r="I941" s="246" t="n">
        <f aca="false">SUM(K941:R941)</f>
        <v>1</v>
      </c>
      <c r="J941" s="182" t="n">
        <v>45686</v>
      </c>
      <c r="Q941" s="154" t="n">
        <v>1</v>
      </c>
      <c r="S941" s="192" t="n">
        <f aca="false">(K941+O941+Q941)*24 /1130+(L941+M941+P941+R941)*12/1130+(N941*30)/1130</f>
        <v>0.0212389380530973</v>
      </c>
    </row>
    <row r="942" customFormat="false" ht="15" hidden="true" customHeight="true" outlineLevel="0" collapsed="false">
      <c r="B942" s="127" t="n">
        <f aca="false">B941+D942-C942</f>
        <v>10856</v>
      </c>
      <c r="D942" s="146" t="n">
        <f aca="false">230*5+253</f>
        <v>1403</v>
      </c>
      <c r="E942" s="147" t="n">
        <v>739</v>
      </c>
      <c r="F942" s="147" t="n">
        <f aca="false">IFERROR(VLOOKUP(H942,$AD$1:$AE$301,2,0),"")</f>
        <v>1007988</v>
      </c>
      <c r="G942" s="147" t="str">
        <f aca="false">IFERROR(VLOOKUP(F942,$AE$2:$AF$290,2, 0),"")</f>
        <v>ضباء</v>
      </c>
      <c r="H942" s="212" t="s">
        <v>89</v>
      </c>
      <c r="I942" s="246" t="n">
        <f aca="false">SUM(K942:R942)</f>
        <v>6</v>
      </c>
      <c r="J942" s="182" t="n">
        <v>45686</v>
      </c>
      <c r="M942" s="150" t="n">
        <f aca="false">5+1</f>
        <v>6</v>
      </c>
      <c r="S942" s="192" t="n">
        <f aca="false">(K942+O942+Q942)*24 /1130+(L942+M942+P942+R942)*12/1130+(N942*30)/1130</f>
        <v>0.063716814159292</v>
      </c>
    </row>
    <row r="943" customFormat="false" ht="15" hidden="true" customHeight="true" outlineLevel="0" collapsed="false">
      <c r="B943" s="127" t="n">
        <f aca="false">B942+D943-C943</f>
        <v>11109</v>
      </c>
      <c r="D943" s="146" t="n">
        <v>253</v>
      </c>
      <c r="E943" s="147" t="n">
        <v>740</v>
      </c>
      <c r="F943" s="147" t="n">
        <f aca="false">IFERROR(VLOOKUP(H943,$AD$1:$AE$301,2,0),"")</f>
        <v>1007989</v>
      </c>
      <c r="G943" s="147" t="str">
        <f aca="false">IFERROR(VLOOKUP(F943,$AE$2:$AF$290,2, 0),"")</f>
        <v>ضباء</v>
      </c>
      <c r="H943" s="212" t="s">
        <v>90</v>
      </c>
      <c r="I943" s="246" t="n">
        <f aca="false">SUM(K943:R943)</f>
        <v>1</v>
      </c>
      <c r="J943" s="182" t="n">
        <v>45686</v>
      </c>
      <c r="M943" s="150" t="n">
        <v>1</v>
      </c>
      <c r="S943" s="192" t="n">
        <f aca="false">(K943+O943+Q943)*24 /1130+(L943+M943+P943+R943)*12/1130+(N943*30)/1130</f>
        <v>0.0106194690265487</v>
      </c>
    </row>
    <row r="944" customFormat="false" ht="15" hidden="true" customHeight="true" outlineLevel="0" collapsed="false">
      <c r="B944" s="127" t="n">
        <f aca="false">B943+D944-C944</f>
        <v>13650.5</v>
      </c>
      <c r="D944" s="146" t="n">
        <f aca="false">3*299+230*4+241.5*3</f>
        <v>2541.5</v>
      </c>
      <c r="E944" s="147" t="n">
        <v>741</v>
      </c>
      <c r="F944" s="147" t="n">
        <f aca="false">IFERROR(VLOOKUP(H944,$AD$1:$AE$301,2,0),"")</f>
        <v>1008024</v>
      </c>
      <c r="G944" s="147" t="str">
        <f aca="false">IFERROR(VLOOKUP(F944,$AE$2:$AF$290,2, 0),"")</f>
        <v>ضباء</v>
      </c>
      <c r="H944" s="212" t="s">
        <v>96</v>
      </c>
      <c r="I944" s="246" t="n">
        <f aca="false">SUM(K944:R944)</f>
        <v>10</v>
      </c>
      <c r="J944" s="182" t="n">
        <v>45686</v>
      </c>
      <c r="K944" s="184" t="n">
        <v>3</v>
      </c>
      <c r="M944" s="150" t="n">
        <v>4</v>
      </c>
      <c r="O944" s="152" t="n">
        <v>3</v>
      </c>
      <c r="S944" s="192" t="n">
        <f aca="false">(K944+O944+Q944)*24 /1130+(L944+M944+P944+R944)*12/1130+(N944*30)/1130</f>
        <v>0.169911504424779</v>
      </c>
    </row>
    <row r="945" customFormat="false" ht="15" hidden="true" customHeight="true" outlineLevel="0" collapsed="false">
      <c r="A945" s="128" t="n">
        <f aca="false">D945+179.25-300-477</f>
        <v>0.25</v>
      </c>
      <c r="B945" s="127" t="n">
        <f aca="false">B944+D945-C945</f>
        <v>14248.5</v>
      </c>
      <c r="D945" s="146" t="n">
        <f aca="false">299*2</f>
        <v>598</v>
      </c>
      <c r="E945" s="147" t="n">
        <v>744</v>
      </c>
      <c r="F945" s="147" t="n">
        <f aca="false">IFERROR(VLOOKUP(H945,$AD$1:$AE$301,2,0),"")</f>
        <v>1002940</v>
      </c>
      <c r="G945" s="147" t="str">
        <f aca="false">IFERROR(VLOOKUP(F945,$AE$2:$AF$290,2, 0),"")</f>
        <v>تبوك</v>
      </c>
      <c r="H945" s="212" t="s">
        <v>167</v>
      </c>
      <c r="I945" s="246" t="n">
        <f aca="false">SUM(K945:R945)</f>
        <v>2</v>
      </c>
      <c r="J945" s="182" t="n">
        <v>45687</v>
      </c>
      <c r="K945" s="184" t="n">
        <f aca="false">1+1</f>
        <v>2</v>
      </c>
      <c r="S945" s="192" t="n">
        <f aca="false">(K945+O945+Q945)*24 /1130+(L945+M945+P945+R945)*12/1130+(N945*30)/1130</f>
        <v>0.0424778761061947</v>
      </c>
    </row>
    <row r="946" customFormat="false" ht="15" hidden="true" customHeight="true" outlineLevel="0" collapsed="false">
      <c r="A946" s="128" t="n">
        <f aca="false">D946-300-298</f>
        <v>0</v>
      </c>
      <c r="B946" s="127" t="n">
        <f aca="false">B945+D946-C946</f>
        <v>14846.5</v>
      </c>
      <c r="D946" s="146" t="n">
        <f aca="false">299*2</f>
        <v>598</v>
      </c>
      <c r="E946" s="147" t="n">
        <v>745</v>
      </c>
      <c r="F946" s="147" t="n">
        <f aca="false">IFERROR(VLOOKUP(H946,$AD$1:$AE$301,2,0),"")</f>
        <v>1008262</v>
      </c>
      <c r="G946" s="147" t="str">
        <f aca="false">IFERROR(VLOOKUP(F946,$AE$2:$AF$290,2, 0),"")</f>
        <v>تبوك</v>
      </c>
      <c r="H946" s="212" t="s">
        <v>176</v>
      </c>
      <c r="I946" s="246" t="n">
        <f aca="false">SUM(K946:R946)</f>
        <v>2</v>
      </c>
      <c r="J946" s="182" t="n">
        <v>45687</v>
      </c>
      <c r="K946" s="184" t="n">
        <f aca="false">1+1</f>
        <v>2</v>
      </c>
      <c r="S946" s="192" t="n">
        <f aca="false">(K946+O946+Q946)*24 /1130+(L946+M946+P946+R946)*12/1130+(N946*30)/1130</f>
        <v>0.0424778761061947</v>
      </c>
    </row>
    <row r="947" customFormat="false" ht="15" hidden="true" customHeight="true" outlineLevel="0" collapsed="false">
      <c r="A947" s="128" t="n">
        <f aca="false">D947-200-398</f>
        <v>0</v>
      </c>
      <c r="B947" s="127" t="n">
        <f aca="false">B946+D947-C947</f>
        <v>15444.5</v>
      </c>
      <c r="D947" s="146" t="n">
        <f aca="false">299*2</f>
        <v>598</v>
      </c>
      <c r="E947" s="147" t="n">
        <v>743</v>
      </c>
      <c r="F947" s="147" t="n">
        <f aca="false">IFERROR(VLOOKUP(H947,$AD$1:$AE$301,2,0),"")</f>
        <v>1002901</v>
      </c>
      <c r="G947" s="147" t="str">
        <f aca="false">IFERROR(VLOOKUP(F947,$AE$2:$AF$290,2, 0),"")</f>
        <v>تبوك</v>
      </c>
      <c r="H947" s="212" t="s">
        <v>153</v>
      </c>
      <c r="I947" s="246" t="n">
        <f aca="false">SUM(K947:R947)</f>
        <v>2</v>
      </c>
      <c r="J947" s="182" t="n">
        <v>45687</v>
      </c>
      <c r="K947" s="184" t="n">
        <f aca="false">1+1</f>
        <v>2</v>
      </c>
      <c r="S947" s="192" t="n">
        <f aca="false">(K947+O947+Q947)*24 /1130+(L947+M947+P947+R947)*12/1130+(N947*30)/1130</f>
        <v>0.0424778761061947</v>
      </c>
    </row>
    <row r="948" customFormat="false" ht="15" hidden="true" customHeight="true" outlineLevel="0" collapsed="false">
      <c r="A948" s="128" t="n">
        <f aca="false">D948-8*5-4*2-50-100-30-20-50</f>
        <v>1</v>
      </c>
      <c r="B948" s="127" t="n">
        <f aca="false">B947+D948-C948</f>
        <v>15743.5</v>
      </c>
      <c r="D948" s="146" t="n">
        <v>299</v>
      </c>
      <c r="E948" s="147" t="n">
        <v>743</v>
      </c>
      <c r="F948" s="147" t="n">
        <f aca="false">IFERROR(VLOOKUP(H948,$AD$1:$AE$301,2,0),"")</f>
        <v>1008269</v>
      </c>
      <c r="G948" s="147" t="str">
        <f aca="false">IFERROR(VLOOKUP(F948,$AE$2:$AF$290,2, 0),"")</f>
        <v>تبوك</v>
      </c>
      <c r="H948" s="212" t="s">
        <v>166</v>
      </c>
      <c r="I948" s="246" t="n">
        <f aca="false">SUM(K948:R948)</f>
        <v>1</v>
      </c>
      <c r="J948" s="182" t="n">
        <v>45687</v>
      </c>
      <c r="K948" s="184" t="n">
        <v>1</v>
      </c>
      <c r="S948" s="192" t="n">
        <f aca="false">(K948+O948+Q948)*24 /1130+(L948+M948+P948+R948)*12/1130+(N948*30)/1130</f>
        <v>0.0212389380530973</v>
      </c>
    </row>
    <row r="949" customFormat="false" ht="15" hidden="true" customHeight="true" outlineLevel="0" collapsed="false">
      <c r="A949" s="128" t="n">
        <f aca="false">D949-400-500-500+204</f>
        <v>0</v>
      </c>
      <c r="B949" s="127" t="n">
        <f aca="false">B948+D949-C949</f>
        <v>16939.5</v>
      </c>
      <c r="D949" s="146" t="n">
        <f aca="false">230*2+253+241.5*2</f>
        <v>1196</v>
      </c>
      <c r="E949" s="147" t="n">
        <v>742</v>
      </c>
      <c r="F949" s="147" t="n">
        <f aca="false">IFERROR(VLOOKUP(H949,$AD$1:$AE$301,2,0),"")</f>
        <v>636</v>
      </c>
      <c r="G949" s="147" t="str">
        <f aca="false">IFERROR(VLOOKUP(F949,$AE$2:$AF$290,2, 0),"")</f>
        <v>تبوك</v>
      </c>
      <c r="H949" s="212" t="s">
        <v>134</v>
      </c>
      <c r="I949" s="246" t="n">
        <f aca="false">SUM(K949:R949)</f>
        <v>5</v>
      </c>
      <c r="J949" s="182" t="n">
        <v>45687</v>
      </c>
      <c r="M949" s="150" t="n">
        <f aca="false">2+1</f>
        <v>3</v>
      </c>
      <c r="Q949" s="154" t="n">
        <f aca="false">1+1</f>
        <v>2</v>
      </c>
      <c r="S949" s="192" t="n">
        <f aca="false">(K949+O949+Q949)*24 /1130+(L949+M949+P949+R949)*12/1130+(N949*30)/1130</f>
        <v>0.0743362831858407</v>
      </c>
    </row>
    <row r="950" customFormat="false" ht="15" hidden="true" customHeight="true" outlineLevel="0" collapsed="false">
      <c r="B950" s="127" t="n">
        <f aca="false">B949+D950-C950</f>
        <v>15739.5</v>
      </c>
      <c r="C950" s="127" t="n">
        <f aca="false">300+400+500</f>
        <v>1200</v>
      </c>
      <c r="E950" s="212" t="s">
        <v>470</v>
      </c>
      <c r="F950" s="147" t="str">
        <f aca="false">IFERROR(VLOOKUP(H950,$AD$1:$AE$301,2,0),"")</f>
        <v/>
      </c>
      <c r="G950" s="147" t="str">
        <f aca="false">IFERROR(VLOOKUP(F950,$AE$2:$AF$290,2, 0),"")</f>
        <v/>
      </c>
      <c r="H950" s="212" t="s">
        <v>393</v>
      </c>
      <c r="I950" s="246" t="n">
        <f aca="false">SUM(K950:R950)</f>
        <v>0</v>
      </c>
      <c r="J950" s="182" t="n">
        <v>45687</v>
      </c>
      <c r="K950" s="184"/>
      <c r="S950" s="192" t="n">
        <f aca="false">(K950+O950+Q950)*24 /1130+(L950+M950+P950+R950)*12/1130+(N950*30)/1130</f>
        <v>0</v>
      </c>
    </row>
    <row r="951" customFormat="false" ht="15" hidden="true" customHeight="true" outlineLevel="0" collapsed="false">
      <c r="B951" s="127" t="n">
        <f aca="false">B950+D951-C951</f>
        <v>12657</v>
      </c>
      <c r="C951" s="127" t="n">
        <f aca="false">D929+296+785.5+D942</f>
        <v>3082.5</v>
      </c>
      <c r="E951" s="212" t="s">
        <v>470</v>
      </c>
      <c r="F951" s="147" t="str">
        <f aca="false">IFERROR(VLOOKUP(H951,$AD$1:$AE$301,2,0),"")</f>
        <v/>
      </c>
      <c r="G951" s="147" t="str">
        <f aca="false">IFERROR(VLOOKUP(F951,$AE$2:$AF$290,2, 0),"")</f>
        <v/>
      </c>
      <c r="H951" s="212" t="s">
        <v>393</v>
      </c>
      <c r="I951" s="246" t="n">
        <f aca="false">SUM(K951:R951)</f>
        <v>0</v>
      </c>
      <c r="J951" s="182" t="n">
        <v>45687</v>
      </c>
      <c r="K951" s="184"/>
      <c r="S951" s="192" t="n">
        <f aca="false">(K951+O951+Q951)*24 /1130+(L951+M951+P951+R951)*12/1130+(N951*30)/1130</f>
        <v>0</v>
      </c>
    </row>
    <row r="952" customFormat="false" ht="15" hidden="true" customHeight="true" outlineLevel="0" collapsed="false">
      <c r="B952" s="127" t="n">
        <f aca="false">B951+D952-C952</f>
        <v>9566</v>
      </c>
      <c r="C952" s="127" t="n">
        <f aca="false">D934+D935+400</f>
        <v>3091</v>
      </c>
      <c r="E952" s="212" t="s">
        <v>657</v>
      </c>
      <c r="F952" s="147" t="str">
        <f aca="false">IFERROR(VLOOKUP(H952,$AD$1:$AE$301,2,0),"")</f>
        <v/>
      </c>
      <c r="G952" s="147" t="str">
        <f aca="false">IFERROR(VLOOKUP(F952,$AE$2:$AF$290,2, 0),"")</f>
        <v/>
      </c>
      <c r="H952" s="212" t="s">
        <v>393</v>
      </c>
      <c r="I952" s="246" t="n">
        <f aca="false">SUM(K952:R952)</f>
        <v>0</v>
      </c>
      <c r="J952" s="182" t="n">
        <v>45687</v>
      </c>
      <c r="K952" s="184"/>
      <c r="S952" s="192" t="n">
        <f aca="false">(K952+O952+Q952)*24 /1130+(L952+M952+P952+R952)*12/1130+(N952*30)/1130</f>
        <v>0</v>
      </c>
    </row>
    <row r="953" customFormat="false" ht="15" hidden="true" customHeight="true" outlineLevel="0" collapsed="false">
      <c r="A953" s="411"/>
      <c r="B953" s="127" t="n">
        <f aca="false">B952+D953-C953</f>
        <v>0</v>
      </c>
      <c r="C953" s="127" t="n">
        <v>9566</v>
      </c>
      <c r="E953" s="212" t="s">
        <v>653</v>
      </c>
      <c r="F953" s="147" t="str">
        <f aca="false">IFERROR(VLOOKUP(H953,$AD$1:$AE$301,2,0),"")</f>
        <v/>
      </c>
      <c r="G953" s="147" t="str">
        <f aca="false">IFERROR(VLOOKUP(F953,$AE$2:$AF$290,2, 0),"")</f>
        <v/>
      </c>
      <c r="H953" s="212" t="s">
        <v>393</v>
      </c>
      <c r="I953" s="246" t="n">
        <f aca="false">SUM(K953:R953)</f>
        <v>0</v>
      </c>
      <c r="J953" s="182" t="n">
        <v>45687</v>
      </c>
      <c r="K953" s="184"/>
      <c r="S953" s="192" t="n">
        <f aca="false">(K953+O953+Q953)*24 /1130+(L953+M953+P953+R953)*12/1130+(N953*30)/1130</f>
        <v>0</v>
      </c>
    </row>
    <row r="954" customFormat="false" ht="15" hidden="true" customHeight="true" outlineLevel="0" collapsed="false">
      <c r="B954" s="127" t="n">
        <f aca="false">B953+D954-C954</f>
        <v>598</v>
      </c>
      <c r="D954" s="146" t="n">
        <f aca="false">299*2</f>
        <v>598</v>
      </c>
      <c r="E954" s="147" t="n">
        <v>745</v>
      </c>
      <c r="F954" s="147" t="n">
        <f aca="false">IFERROR(VLOOKUP(H954,$AD$1:$AE$301,2,0),"")</f>
        <v>654</v>
      </c>
      <c r="G954" s="147" t="str">
        <f aca="false">IFERROR(VLOOKUP(F954,$AE$2:$AF$290,2, 0),"")</f>
        <v>تبوك</v>
      </c>
      <c r="H954" s="212" t="s">
        <v>266</v>
      </c>
      <c r="I954" s="246" t="n">
        <f aca="false">SUM(K954:R954)</f>
        <v>2</v>
      </c>
      <c r="J954" s="182" t="n">
        <v>45690</v>
      </c>
      <c r="K954" s="184" t="n">
        <v>2</v>
      </c>
      <c r="S954" s="192" t="n">
        <f aca="false">(K954+O954+Q954)*24 /1130+(L954+M954+P954+R954)*12/1130+(N954*30)/1130</f>
        <v>0.0424778761061947</v>
      </c>
    </row>
    <row r="955" customFormat="false" ht="15" hidden="true" customHeight="true" outlineLevel="0" collapsed="false">
      <c r="A955" s="128" t="n">
        <f aca="false">D955-299</f>
        <v>0</v>
      </c>
      <c r="B955" s="127" t="n">
        <f aca="false">B954+D955-C955</f>
        <v>897</v>
      </c>
      <c r="D955" s="146" t="n">
        <v>299</v>
      </c>
      <c r="E955" s="147" t="n">
        <v>746</v>
      </c>
      <c r="F955" s="147" t="n">
        <f aca="false">IFERROR(VLOOKUP(H955,$AD$1:$AE$301,2,0),"")</f>
        <v>652</v>
      </c>
      <c r="G955" s="147" t="str">
        <f aca="false">IFERROR(VLOOKUP(F955,$AE$2:$AF$290,2, 0),"")</f>
        <v>تبوك</v>
      </c>
      <c r="H955" s="212" t="s">
        <v>263</v>
      </c>
      <c r="I955" s="246" t="n">
        <f aca="false">SUM(K955:R955)</f>
        <v>1</v>
      </c>
      <c r="J955" s="182" t="n">
        <v>45690</v>
      </c>
      <c r="K955" s="184"/>
      <c r="R955" s="155" t="n">
        <v>1</v>
      </c>
      <c r="S955" s="192" t="n">
        <f aca="false">(K955+O955+Q955)*24 /1130+(L955+M955+P955+R955)*12/1130+(N955*30)/1130</f>
        <v>0.0106194690265487</v>
      </c>
    </row>
    <row r="956" customFormat="false" ht="15" hidden="true" customHeight="true" outlineLevel="0" collapsed="false">
      <c r="B956" s="127" t="n">
        <f aca="false">B955+D956-C956</f>
        <v>0</v>
      </c>
      <c r="C956" s="127" t="n">
        <v>897</v>
      </c>
      <c r="E956" s="212" t="s">
        <v>470</v>
      </c>
      <c r="F956" s="147" t="str">
        <f aca="false">IFERROR(VLOOKUP(H956,$AD$1:$AE$301,2,0),"")</f>
        <v/>
      </c>
      <c r="G956" s="147" t="str">
        <f aca="false">IFERROR(VLOOKUP(F956,$AE$2:$AF$290,2, 0),"")</f>
        <v/>
      </c>
      <c r="H956" s="212" t="s">
        <v>393</v>
      </c>
      <c r="I956" s="246" t="n">
        <f aca="false">SUM(K956:R956)</f>
        <v>0</v>
      </c>
      <c r="J956" s="182" t="n">
        <v>45690</v>
      </c>
      <c r="K956" s="184"/>
      <c r="S956" s="192" t="n">
        <f aca="false">(K956+O956+Q956)*24 /1130+(L956+M956+P956+R956)*12/1130+(N956*30)/1130</f>
        <v>0</v>
      </c>
    </row>
    <row r="957" customFormat="false" ht="15" hidden="true" customHeight="true" outlineLevel="0" collapsed="false">
      <c r="B957" s="127" t="n">
        <f aca="false">B956+D957-C957</f>
        <v>299</v>
      </c>
      <c r="D957" s="146" t="n">
        <v>299</v>
      </c>
      <c r="E957" s="147" t="n">
        <v>749</v>
      </c>
      <c r="F957" s="147" t="n">
        <f aca="false">IFERROR(VLOOKUP(H957,$AD$1:$AE$301,2,0),"")</f>
        <v>1007964</v>
      </c>
      <c r="G957" s="147" t="str">
        <f aca="false">IFERROR(VLOOKUP(F957,$AE$2:$AF$290,2, 0),"")</f>
        <v>البير</v>
      </c>
      <c r="H957" s="212" t="s">
        <v>289</v>
      </c>
      <c r="I957" s="246" t="n">
        <f aca="false">SUM(K957:R957)</f>
        <v>1</v>
      </c>
      <c r="J957" s="182" t="n">
        <v>45691</v>
      </c>
      <c r="K957" s="184" t="n">
        <v>1</v>
      </c>
      <c r="S957" s="192" t="n">
        <f aca="false">(K957+O957+Q957)*24 /1130+(L957+M957+P957+R957)*12/1130+(N957*30)/1130</f>
        <v>0.0212389380530973</v>
      </c>
    </row>
    <row r="958" customFormat="false" ht="15" hidden="true" customHeight="true" outlineLevel="0" collapsed="false">
      <c r="B958" s="127" t="n">
        <f aca="false">B957+D958-C958</f>
        <v>598</v>
      </c>
      <c r="D958" s="146" t="n">
        <v>299</v>
      </c>
      <c r="E958" s="147" t="n">
        <v>750</v>
      </c>
      <c r="F958" s="147" t="n">
        <f aca="false">IFERROR(VLOOKUP(H958,$AD$1:$AE$301,2,0),"")</f>
        <v>1008006</v>
      </c>
      <c r="G958" s="147" t="str">
        <f aca="false">IFERROR(VLOOKUP(F958,$AE$2:$AF$290,2, 0),"")</f>
        <v>حقل</v>
      </c>
      <c r="H958" s="212" t="s">
        <v>302</v>
      </c>
      <c r="I958" s="246" t="n">
        <f aca="false">SUM(K958:R958)</f>
        <v>1</v>
      </c>
      <c r="J958" s="182" t="n">
        <v>45691</v>
      </c>
      <c r="K958" s="148" t="n">
        <v>1</v>
      </c>
      <c r="S958" s="192" t="n">
        <f aca="false">(K958+O958+Q958)*24 /1130+(L958+M958+P958+R958)*12/1130+(N958*30)/1130</f>
        <v>0.0212389380530973</v>
      </c>
    </row>
    <row r="959" customFormat="false" ht="15" hidden="true" customHeight="true" outlineLevel="0" collapsed="false">
      <c r="B959" s="127" t="n">
        <f aca="false">B958+D959-C959</f>
        <v>1288</v>
      </c>
      <c r="D959" s="146" t="n">
        <f aca="false">230*3</f>
        <v>690</v>
      </c>
      <c r="E959" s="147" t="n">
        <v>751</v>
      </c>
      <c r="F959" s="147" t="n">
        <f aca="false">IFERROR(VLOOKUP(H959,$AD$1:$AE$301,2,0),"")</f>
        <v>1007970</v>
      </c>
      <c r="G959" s="147" t="str">
        <f aca="false">IFERROR(VLOOKUP(F959,$AE$2:$AF$290,2, 0),"")</f>
        <v>حقل</v>
      </c>
      <c r="H959" s="212" t="s">
        <v>310</v>
      </c>
      <c r="I959" s="246" t="n">
        <f aca="false">SUM(K959:R959)</f>
        <v>3</v>
      </c>
      <c r="J959" s="182" t="n">
        <v>45691</v>
      </c>
      <c r="M959" s="150" t="n">
        <v>3</v>
      </c>
      <c r="S959" s="192" t="n">
        <f aca="false">(K959+O959+Q959)*24 /1130+(L959+M959+P959+R959)*12/1130+(N959*30)/1130</f>
        <v>0.031858407079646</v>
      </c>
    </row>
    <row r="960" customFormat="false" ht="15" hidden="true" customHeight="true" outlineLevel="0" collapsed="false">
      <c r="B960" s="127" t="n">
        <f aca="false">B959+D960-C960</f>
        <v>1886</v>
      </c>
      <c r="D960" s="146" t="n">
        <f aca="false">299*2</f>
        <v>598</v>
      </c>
      <c r="E960" s="147" t="n">
        <v>752</v>
      </c>
      <c r="F960" s="147" t="n">
        <f aca="false">IFERROR(VLOOKUP(H960,$AD$1:$AE$301,2,0),"")</f>
        <v>1008004</v>
      </c>
      <c r="G960" s="147" t="str">
        <f aca="false">IFERROR(VLOOKUP(F960,$AE$2:$AF$290,2, 0),"")</f>
        <v>حقل</v>
      </c>
      <c r="H960" s="212" t="s">
        <v>316</v>
      </c>
      <c r="I960" s="246" t="n">
        <f aca="false">SUM(K960:R960)</f>
        <v>2</v>
      </c>
      <c r="J960" s="182" t="n">
        <v>45691</v>
      </c>
      <c r="K960" s="148" t="n">
        <v>2</v>
      </c>
      <c r="S960" s="192" t="n">
        <f aca="false">(K960+O960+Q960)*24 /1130+(L960+M960+P960+R960)*12/1130+(N960*30)/1130</f>
        <v>0.0424778761061947</v>
      </c>
    </row>
    <row r="961" customFormat="false" ht="15" hidden="true" customHeight="true" outlineLevel="0" collapsed="false">
      <c r="B961" s="127" t="n">
        <f aca="false">B960+D961-C961</f>
        <v>2024</v>
      </c>
      <c r="D961" s="146" t="n">
        <v>138</v>
      </c>
      <c r="E961" s="147" t="n">
        <v>753</v>
      </c>
      <c r="F961" s="147" t="n">
        <f aca="false">IFERROR(VLOOKUP(H961,$AD$1:$AE$301,2,0),"")</f>
        <v>1007969</v>
      </c>
      <c r="G961" s="147" t="str">
        <f aca="false">IFERROR(VLOOKUP(F961,$AE$2:$AF$290,2, 0),"")</f>
        <v>حقل</v>
      </c>
      <c r="H961" s="212" t="s">
        <v>309</v>
      </c>
      <c r="I961" s="246" t="n">
        <f aca="false">SUM(K961:R961)</f>
        <v>1</v>
      </c>
      <c r="J961" s="182" t="n">
        <v>45691</v>
      </c>
      <c r="Q961" s="154" t="n">
        <v>1</v>
      </c>
      <c r="S961" s="192" t="n">
        <f aca="false">(K961+O961+Q961)*24 /1130+(L961+M961+P961+R961)*12/1130+(N961*30)/1130</f>
        <v>0.0212389380530973</v>
      </c>
    </row>
    <row r="962" customFormat="false" ht="15" hidden="true" customHeight="true" outlineLevel="0" collapsed="false">
      <c r="B962" s="127" t="n">
        <f aca="false">B961+D962-C962</f>
        <v>2622</v>
      </c>
      <c r="D962" s="146" t="n">
        <f aca="false">2*299</f>
        <v>598</v>
      </c>
      <c r="E962" s="147" t="n">
        <v>754</v>
      </c>
      <c r="F962" s="147" t="n">
        <f aca="false">IFERROR(VLOOKUP(H962,$AD$1:$AE$301,2,0),"")</f>
        <v>1007965</v>
      </c>
      <c r="G962" s="147" t="str">
        <f aca="false">IFERROR(VLOOKUP(F962,$AE$2:$AF$290,2, 0),"")</f>
        <v>البير</v>
      </c>
      <c r="H962" s="212" t="s">
        <v>290</v>
      </c>
      <c r="I962" s="246" t="n">
        <f aca="false">SUM(K962:R962)</f>
        <v>2</v>
      </c>
      <c r="J962" s="182" t="n">
        <v>45691</v>
      </c>
      <c r="K962" s="148" t="n">
        <f aca="false">1+1</f>
        <v>2</v>
      </c>
      <c r="S962" s="192" t="n">
        <f aca="false">(K962+O962+Q962)*24 /1130+(L962+M962+P962+R962)*12/1130+(N962*30)/1130</f>
        <v>0.0424778761061947</v>
      </c>
    </row>
    <row r="963" customFormat="false" ht="15" hidden="true" customHeight="true" outlineLevel="0" collapsed="false">
      <c r="B963" s="127" t="n">
        <f aca="false">B962+D963-C963</f>
        <v>2921</v>
      </c>
      <c r="D963" s="146" t="n">
        <v>299</v>
      </c>
      <c r="E963" s="147" t="n">
        <v>763</v>
      </c>
      <c r="F963" s="147" t="n">
        <f aca="false">IFERROR(VLOOKUP(H963,$AD$1:$AE$301,2,0),"")</f>
        <v>1008021</v>
      </c>
      <c r="G963" s="147" t="str">
        <f aca="false">IFERROR(VLOOKUP(F963,$AE$2:$AF$290,2, 0),"")</f>
        <v>البير</v>
      </c>
      <c r="H963" s="212" t="s">
        <v>294</v>
      </c>
      <c r="I963" s="246" t="n">
        <f aca="false">SUM(K963:R963)</f>
        <v>1</v>
      </c>
      <c r="J963" s="182" t="n">
        <v>45691</v>
      </c>
      <c r="K963" s="184" t="n">
        <v>1</v>
      </c>
      <c r="S963" s="192" t="n">
        <f aca="false">(K963+O963+Q963)*24 /1130+(L963+M963+P963+R963)*12/1130+(N963*30)/1130</f>
        <v>0.0212389380530973</v>
      </c>
    </row>
    <row r="964" customFormat="false" ht="15" hidden="true" customHeight="true" outlineLevel="0" collapsed="false">
      <c r="B964" s="127" t="n">
        <f aca="false">B963+D964-C964</f>
        <v>3749</v>
      </c>
      <c r="D964" s="146" t="n">
        <f aca="false">287.5+241.5+299</f>
        <v>828</v>
      </c>
      <c r="E964" s="147" t="n">
        <v>764</v>
      </c>
      <c r="F964" s="147" t="n">
        <f aca="false">IFERROR(VLOOKUP(H964,$AD$1:$AE$301,2,0),"")</f>
        <v>1008030</v>
      </c>
      <c r="G964" s="147" t="str">
        <f aca="false">IFERROR(VLOOKUP(F964,$AE$2:$AF$290,2, 0),"")</f>
        <v>البير</v>
      </c>
      <c r="H964" s="212" t="s">
        <v>298</v>
      </c>
      <c r="I964" s="246" t="n">
        <f aca="false">SUM(K964:R964)</f>
        <v>3</v>
      </c>
      <c r="J964" s="182" t="n">
        <v>45691</v>
      </c>
      <c r="K964" s="184" t="n">
        <v>1</v>
      </c>
      <c r="N964" s="151" t="n">
        <v>1</v>
      </c>
      <c r="O964" s="152" t="n">
        <v>1</v>
      </c>
      <c r="S964" s="192" t="n">
        <f aca="false">(K964+O964+Q964)*24 /1130+(L964+M964+P964+R964)*12/1130+(N964*30)/1130</f>
        <v>0.0690265486725664</v>
      </c>
    </row>
    <row r="965" customFormat="false" ht="15" hidden="true" customHeight="true" outlineLevel="0" collapsed="false">
      <c r="B965" s="127" t="n">
        <f aca="false">B964+D965-C965</f>
        <v>0</v>
      </c>
      <c r="C965" s="127" t="n">
        <f aca="false">1098+2651</f>
        <v>3749</v>
      </c>
      <c r="E965" s="212" t="s">
        <v>470</v>
      </c>
      <c r="F965" s="147" t="str">
        <f aca="false">IFERROR(VLOOKUP(H965,$AD$1:$AE$301,2,0),"")</f>
        <v/>
      </c>
      <c r="G965" s="147" t="str">
        <f aca="false">IFERROR(VLOOKUP(F965,$AE$2:$AF$290,2, 0),"")</f>
        <v/>
      </c>
      <c r="H965" s="212" t="s">
        <v>393</v>
      </c>
      <c r="I965" s="246" t="n">
        <f aca="false">SUM(K965:R965)</f>
        <v>0</v>
      </c>
      <c r="J965" s="182" t="n">
        <v>45691</v>
      </c>
      <c r="K965" s="184"/>
      <c r="S965" s="192" t="n">
        <f aca="false">(K965+O965+Q965)*24 /1130+(L965+M965+P965+R965)*12/1130+(N965*30)/1130</f>
        <v>0</v>
      </c>
    </row>
    <row r="966" customFormat="false" ht="15" hidden="true" customHeight="true" outlineLevel="0" collapsed="false">
      <c r="B966" s="127" t="n">
        <f aca="false">B965+D966-C966</f>
        <v>1345.5</v>
      </c>
      <c r="D966" s="146" t="n">
        <f aca="false">287.5+2*253+155.25*2+241.5</f>
        <v>1345.5</v>
      </c>
      <c r="E966" s="147" t="n">
        <v>758</v>
      </c>
      <c r="F966" s="147" t="n">
        <f aca="false">IFERROR(VLOOKUP(H966,$AD$1:$AE$301,2,0),"")</f>
        <v>549</v>
      </c>
      <c r="G966" s="147" t="str">
        <f aca="false">IFERROR(VLOOKUP(F966,$AE$2:$AF$290,2, 0),"")</f>
        <v>تبوك</v>
      </c>
      <c r="H966" s="212" t="s">
        <v>238</v>
      </c>
      <c r="I966" s="246" t="n">
        <f aca="false">SUM(K966:R966)</f>
        <v>6</v>
      </c>
      <c r="J966" s="182" t="n">
        <v>45692</v>
      </c>
      <c r="K966" s="184"/>
      <c r="M966" s="150" t="n">
        <v>2</v>
      </c>
      <c r="N966" s="151" t="n">
        <v>1</v>
      </c>
      <c r="O966" s="152" t="n">
        <v>1</v>
      </c>
      <c r="R966" s="155" t="n">
        <v>2</v>
      </c>
      <c r="S966" s="192" t="n">
        <f aca="false">(K966+O966+Q966)*24 /1130+(L966+M966+P966+R966)*12/1130+(N966*30)/1130</f>
        <v>0.0902654867256637</v>
      </c>
    </row>
    <row r="967" customFormat="false" ht="15" hidden="true" customHeight="true" outlineLevel="0" collapsed="false">
      <c r="A967" s="128" t="n">
        <f aca="false">D967-150-149</f>
        <v>0</v>
      </c>
      <c r="B967" s="127" t="n">
        <f aca="false">B966+D967-C967</f>
        <v>1644.5</v>
      </c>
      <c r="D967" s="146" t="n">
        <v>299</v>
      </c>
      <c r="E967" s="147" t="n">
        <v>757</v>
      </c>
      <c r="F967" s="147" t="n">
        <f aca="false">IFERROR(VLOOKUP(H967,$AD$1:$AE$301,2,0),"")</f>
        <v>555</v>
      </c>
      <c r="G967" s="147" t="str">
        <f aca="false">IFERROR(VLOOKUP(F967,$AE$2:$AF$290,2, 0),"")</f>
        <v>تبوك</v>
      </c>
      <c r="H967" s="212" t="s">
        <v>260</v>
      </c>
      <c r="I967" s="246" t="n">
        <f aca="false">SUM(K967:R967)</f>
        <v>1</v>
      </c>
      <c r="J967" s="182" t="n">
        <v>45692</v>
      </c>
      <c r="K967" s="184" t="n">
        <v>1</v>
      </c>
      <c r="S967" s="192" t="n">
        <f aca="false">(K967+O967+Q967)*24 /1130+(L967+M967+P967+R967)*12/1130+(N967*30)/1130</f>
        <v>0.0212389380530973</v>
      </c>
    </row>
    <row r="968" customFormat="false" ht="15" hidden="true" customHeight="true" outlineLevel="0" collapsed="false">
      <c r="B968" s="127" t="n">
        <f aca="false">B967+D968-C968</f>
        <v>2024</v>
      </c>
      <c r="D968" s="146" t="n">
        <f aca="false">241.5+138</f>
        <v>379.5</v>
      </c>
      <c r="E968" s="147" t="n">
        <v>756</v>
      </c>
      <c r="F968" s="147" t="n">
        <f aca="false">IFERROR(VLOOKUP(H968,$AD$1:$AE$301,2,0),"")</f>
        <v>1008274</v>
      </c>
      <c r="G968" s="147" t="str">
        <f aca="false">IFERROR(VLOOKUP(F968,$AE$2:$AF$290,2, 0),"")</f>
        <v>تبوك</v>
      </c>
      <c r="H968" s="212" t="s">
        <v>147</v>
      </c>
      <c r="I968" s="246" t="n">
        <f aca="false">SUM(K968:R968)</f>
        <v>2</v>
      </c>
      <c r="J968" s="182" t="n">
        <v>45692</v>
      </c>
      <c r="K968" s="184"/>
      <c r="Q968" s="154" t="n">
        <f aca="false">1+1</f>
        <v>2</v>
      </c>
      <c r="S968" s="192" t="n">
        <f aca="false">(K968+O968+Q968)*24 /1130+(L968+M968+P968+R968)*12/1130+(N968*30)/1130</f>
        <v>0.0424778761061947</v>
      </c>
    </row>
    <row r="969" customFormat="false" ht="15" hidden="true" customHeight="true" outlineLevel="0" collapsed="false">
      <c r="B969" s="127" t="n">
        <f aca="false">B968+D969-C969</f>
        <v>2323</v>
      </c>
      <c r="D969" s="146" t="n">
        <f aca="false">299</f>
        <v>299</v>
      </c>
      <c r="E969" s="147" t="n">
        <v>764</v>
      </c>
      <c r="F969" s="147" t="n">
        <f aca="false">IFERROR(VLOOKUP(H969,$AD$1:$AE$301,2,0),"")</f>
        <v>1008058</v>
      </c>
      <c r="G969" s="147" t="str">
        <f aca="false">IFERROR(VLOOKUP(F969,$AE$2:$AF$290,2, 0),"")</f>
        <v>تبوك</v>
      </c>
      <c r="H969" s="212" t="s">
        <v>193</v>
      </c>
      <c r="I969" s="246" t="n">
        <f aca="false">SUM(K969:R969)</f>
        <v>1</v>
      </c>
      <c r="J969" s="182" t="n">
        <v>45692</v>
      </c>
      <c r="K969" s="184" t="n">
        <v>1</v>
      </c>
      <c r="S969" s="192" t="n">
        <f aca="false">(K969+O969+Q969)*24 /1130+(L969+M969+P969+R969)*12/1130+(N969*30)/1130</f>
        <v>0.0212389380530973</v>
      </c>
    </row>
    <row r="970" customFormat="false" ht="15" hidden="true" customHeight="true" outlineLevel="0" collapsed="false">
      <c r="B970" s="127" t="n">
        <f aca="false">B969+D970-C970</f>
        <v>0</v>
      </c>
      <c r="C970" s="127" t="n">
        <f aca="false">1305+D969+200+519</f>
        <v>2323</v>
      </c>
      <c r="E970" s="147" t="n">
        <v>764</v>
      </c>
      <c r="F970" s="147" t="str">
        <f aca="false">IFERROR(VLOOKUP(H970,$AD$1:$AE$301,2,0),"")</f>
        <v/>
      </c>
      <c r="G970" s="147" t="str">
        <f aca="false">IFERROR(VLOOKUP(F970,$AE$2:$AF$290,2, 0),"")</f>
        <v/>
      </c>
      <c r="H970" s="212" t="s">
        <v>393</v>
      </c>
      <c r="I970" s="246" t="n">
        <f aca="false">SUM(K970:R970)</f>
        <v>0</v>
      </c>
      <c r="J970" s="182" t="n">
        <v>45692</v>
      </c>
      <c r="K970" s="184"/>
      <c r="S970" s="192" t="n">
        <f aca="false">(K970+O970+Q970)*24 /1130+(L970+M970+P970+R970)*12/1130+(N970*30)/1130</f>
        <v>0</v>
      </c>
    </row>
    <row r="971" customFormat="false" ht="15" hidden="true" customHeight="true" outlineLevel="0" collapsed="false">
      <c r="B971" s="127" t="n">
        <f aca="false">B970+D971-C971</f>
        <v>787.75</v>
      </c>
      <c r="D971" s="146" t="n">
        <v>787.75</v>
      </c>
      <c r="E971" s="147" t="n">
        <v>764</v>
      </c>
      <c r="F971" s="147" t="n">
        <f aca="false">IFERROR(VLOOKUP(H971,$AD$1:$AE$301,2,0),"")</f>
        <v>1008022</v>
      </c>
      <c r="G971" s="147" t="str">
        <f aca="false">IFERROR(VLOOKUP(F971,$AE$2:$AF$290,2, 0),"")</f>
        <v>ضباء</v>
      </c>
      <c r="H971" s="212" t="s">
        <v>94</v>
      </c>
      <c r="I971" s="246" t="n">
        <f aca="false">SUM(K971:R971)</f>
        <v>3</v>
      </c>
      <c r="J971" s="182" t="n">
        <v>45693</v>
      </c>
      <c r="K971" s="184"/>
      <c r="N971" s="151" t="n">
        <v>1</v>
      </c>
      <c r="O971" s="152" t="n">
        <f aca="false">1+1</f>
        <v>2</v>
      </c>
      <c r="S971" s="192" t="n">
        <f aca="false">(K971+O971+Q971)*24 /1130+(L971+M971+P971+R971)*12/1130+(N971*30)/1130</f>
        <v>0.0690265486725664</v>
      </c>
    </row>
    <row r="972" customFormat="false" ht="15" hidden="true" customHeight="true" outlineLevel="0" collapsed="false">
      <c r="B972" s="127" t="n">
        <f aca="false">B971+D972-C972</f>
        <v>1075.25</v>
      </c>
      <c r="D972" s="146" t="n">
        <f aca="false">287.5</f>
        <v>287.5</v>
      </c>
      <c r="E972" s="147" t="n">
        <v>764</v>
      </c>
      <c r="F972" s="147" t="n">
        <f aca="false">IFERROR(VLOOKUP(H972,$AD$1:$AE$301,2,0),"")</f>
        <v>1007986</v>
      </c>
      <c r="G972" s="147" t="str">
        <f aca="false">IFERROR(VLOOKUP(F972,$AE$2:$AF$290,2, 0),"")</f>
        <v>ضباء</v>
      </c>
      <c r="H972" s="212" t="s">
        <v>87</v>
      </c>
      <c r="I972" s="246" t="n">
        <f aca="false">SUM(K972:R972)</f>
        <v>1</v>
      </c>
      <c r="J972" s="182" t="n">
        <v>45693</v>
      </c>
      <c r="N972" s="151" t="n">
        <v>1</v>
      </c>
      <c r="S972" s="192" t="n">
        <f aca="false">(K972+O972+Q972)*24 /1130+(L972+M972+P972+R972)*12/1130+(N972*30)/1130</f>
        <v>0.0265486725663717</v>
      </c>
    </row>
    <row r="973" customFormat="false" ht="15" hidden="true" customHeight="true" outlineLevel="0" collapsed="false">
      <c r="B973" s="127" t="n">
        <f aca="false">B972+D973-C973</f>
        <v>1972.25</v>
      </c>
      <c r="D973" s="146" t="n">
        <f aca="false">3*299</f>
        <v>897</v>
      </c>
      <c r="E973" s="147" t="n">
        <v>764</v>
      </c>
      <c r="F973" s="147" t="n">
        <f aca="false">IFERROR(VLOOKUP(H973,$AD$1:$AE$301,2,0),"")</f>
        <v>1008024</v>
      </c>
      <c r="G973" s="147" t="str">
        <f aca="false">IFERROR(VLOOKUP(F973,$AE$2:$AF$290,2, 0),"")</f>
        <v>ضباء</v>
      </c>
      <c r="H973" s="212" t="s">
        <v>96</v>
      </c>
      <c r="I973" s="246" t="n">
        <f aca="false">SUM(K973:R973)</f>
        <v>3</v>
      </c>
      <c r="J973" s="182" t="n">
        <v>45693</v>
      </c>
      <c r="K973" s="148" t="n">
        <f aca="false">2+1</f>
        <v>3</v>
      </c>
      <c r="S973" s="192" t="n">
        <f aca="false">(K973+O973+Q973)*24 /1130+(L973+M973+P973+R973)*12/1130+(N973*30)/1130</f>
        <v>0.063716814159292</v>
      </c>
    </row>
    <row r="974" customFormat="false" ht="15" hidden="true" customHeight="true" outlineLevel="0" collapsed="false">
      <c r="B974" s="127" t="n">
        <f aca="false">B973+D974-C974</f>
        <v>2271.25</v>
      </c>
      <c r="D974" s="146" t="n">
        <v>299</v>
      </c>
      <c r="E974" s="147" t="n">
        <v>764</v>
      </c>
      <c r="F974" s="147" t="n">
        <f aca="false">IFERROR(VLOOKUP(H974,$AD$1:$AE$301,2,0),"")</f>
        <v>1008032</v>
      </c>
      <c r="G974" s="147" t="str">
        <f aca="false">IFERROR(VLOOKUP(F974,$AE$2:$AF$290,2, 0),"")</f>
        <v>ضباء</v>
      </c>
      <c r="H974" s="212" t="s">
        <v>101</v>
      </c>
      <c r="I974" s="246" t="n">
        <f aca="false">SUM(K974:R974)</f>
        <v>1</v>
      </c>
      <c r="J974" s="182" t="n">
        <v>45693</v>
      </c>
      <c r="K974" s="148" t="n">
        <v>1</v>
      </c>
      <c r="S974" s="192" t="n">
        <f aca="false">(K974+O974+Q974)*24 /1130+(L974+M974+P974+R974)*12/1130+(N974*30)/1130</f>
        <v>0.0212389380530973</v>
      </c>
    </row>
    <row r="975" customFormat="false" ht="15" hidden="true" customHeight="true" outlineLevel="0" collapsed="false">
      <c r="B975" s="127" t="n">
        <f aca="false">B974+D975-C975</f>
        <v>2570.25</v>
      </c>
      <c r="D975" s="146" t="n">
        <v>299</v>
      </c>
      <c r="E975" s="147" t="n">
        <v>765</v>
      </c>
      <c r="F975" s="147" t="n">
        <f aca="false">IFERROR(VLOOKUP(H975,$AD$1:$AE$301,2,0),"")</f>
        <v>1008051</v>
      </c>
      <c r="G975" s="147" t="str">
        <f aca="false">IFERROR(VLOOKUP(F975,$AE$2:$AF$290,2, 0),"")</f>
        <v>الوجه</v>
      </c>
      <c r="H975" s="212" t="s">
        <v>113</v>
      </c>
      <c r="I975" s="246" t="n">
        <f aca="false">SUM(K975:R975)</f>
        <v>1</v>
      </c>
      <c r="J975" s="182" t="n">
        <v>45693</v>
      </c>
      <c r="K975" s="148" t="n">
        <v>1</v>
      </c>
      <c r="S975" s="192" t="n">
        <f aca="false">(K975+O975+Q975)*24 /1130+(L975+M975+P975+R975)*12/1130+(N975*30)/1130</f>
        <v>0.0212389380530973</v>
      </c>
    </row>
    <row r="976" customFormat="false" ht="15" hidden="true" customHeight="true" outlineLevel="0" collapsed="false">
      <c r="B976" s="127" t="n">
        <f aca="false">B975+D976-C976</f>
        <v>2846.25</v>
      </c>
      <c r="D976" s="146" t="n">
        <f aca="false">138*2</f>
        <v>276</v>
      </c>
      <c r="E976" s="147" t="n">
        <v>766</v>
      </c>
      <c r="F976" s="147" t="n">
        <f aca="false">IFERROR(VLOOKUP(H976,$AD$1:$AE$301,2,0),"")</f>
        <v>656</v>
      </c>
      <c r="G976" s="147" t="str">
        <f aca="false">IFERROR(VLOOKUP(F976,$AE$2:$AF$290,2, 0),"")</f>
        <v>الوجه</v>
      </c>
      <c r="H976" s="212" t="s">
        <v>115</v>
      </c>
      <c r="I976" s="246" t="n">
        <f aca="false">SUM(K976:R976)</f>
        <v>2</v>
      </c>
      <c r="J976" s="182" t="n">
        <v>45693</v>
      </c>
      <c r="Q976" s="154" t="n">
        <v>2</v>
      </c>
      <c r="S976" s="192" t="n">
        <f aca="false">(K976+O976+Q976)*24 /1130+(L976+M976+P976+R976)*12/1130+(N976*30)/1130</f>
        <v>0.0424778761061947</v>
      </c>
    </row>
    <row r="977" customFormat="false" ht="15" hidden="true" customHeight="true" outlineLevel="0" collapsed="false">
      <c r="B977" s="127" t="n">
        <f aca="false">B976+D977-C977</f>
        <v>3145.25</v>
      </c>
      <c r="D977" s="146" t="n">
        <v>299</v>
      </c>
      <c r="E977" s="147" t="n">
        <v>767</v>
      </c>
      <c r="F977" s="147" t="n">
        <f aca="false">IFERROR(VLOOKUP(H977,$AD$1:$AE$301,2,0),"")</f>
        <v>1008267</v>
      </c>
      <c r="G977" s="147" t="str">
        <f aca="false">IFERROR(VLOOKUP(F977,$AE$2:$AF$290,2, 0),"")</f>
        <v>الوجه</v>
      </c>
      <c r="H977" s="212" t="s">
        <v>114</v>
      </c>
      <c r="I977" s="246" t="n">
        <f aca="false">SUM(K977:R977)</f>
        <v>1</v>
      </c>
      <c r="J977" s="182" t="n">
        <v>45693</v>
      </c>
      <c r="K977" s="184" t="n">
        <v>1</v>
      </c>
      <c r="S977" s="192" t="n">
        <f aca="false">(K977+O977+Q977)*24 /1130+(L977+M977+P977+R977)*12/1130+(N977*30)/1130</f>
        <v>0.0212389380530973</v>
      </c>
    </row>
    <row r="978" customFormat="false" ht="15" hidden="true" customHeight="true" outlineLevel="0" collapsed="false">
      <c r="B978" s="127" t="n">
        <f aca="false">B977+D978-C978</f>
        <v>3444.25</v>
      </c>
      <c r="D978" s="146" t="n">
        <v>299</v>
      </c>
      <c r="E978" s="147" t="n">
        <v>768</v>
      </c>
      <c r="F978" s="147" t="n">
        <f aca="false">IFERROR(VLOOKUP(H978,$AD$1:$AE$301,2,0),"")</f>
        <v>1008049</v>
      </c>
      <c r="G978" s="147" t="str">
        <f aca="false">IFERROR(VLOOKUP(F978,$AE$2:$AF$290,2, 0),"")</f>
        <v>الوجه</v>
      </c>
      <c r="H978" s="212" t="s">
        <v>111</v>
      </c>
      <c r="I978" s="246" t="n">
        <f aca="false">SUM(K978:R978)</f>
        <v>1</v>
      </c>
      <c r="J978" s="182" t="n">
        <v>45693</v>
      </c>
      <c r="K978" s="184" t="n">
        <v>1</v>
      </c>
      <c r="S978" s="192" t="n">
        <f aca="false">(K978+O978+Q978)*24 /1130+(L978+M978+P978+R978)*12/1130+(N978*30)/1130</f>
        <v>0.0212389380530973</v>
      </c>
    </row>
    <row r="979" customFormat="false" ht="15" hidden="true" customHeight="true" outlineLevel="0" collapsed="false">
      <c r="B979" s="127" t="n">
        <f aca="false">B978+D979-C979</f>
        <v>3743.25</v>
      </c>
      <c r="D979" s="146" t="n">
        <v>299</v>
      </c>
      <c r="E979" s="147" t="n">
        <v>769</v>
      </c>
      <c r="F979" s="147" t="n">
        <f aca="false">IFERROR(VLOOKUP(H979,$AD$1:$AE$301,2,0),"")</f>
        <v>1007988</v>
      </c>
      <c r="G979" s="147" t="str">
        <f aca="false">IFERROR(VLOOKUP(F979,$AE$2:$AF$290,2, 0),"")</f>
        <v>ضباء</v>
      </c>
      <c r="H979" s="212" t="s">
        <v>89</v>
      </c>
      <c r="I979" s="246" t="n">
        <f aca="false">SUM(K979:R979)</f>
        <v>1</v>
      </c>
      <c r="J979" s="182" t="n">
        <v>45693</v>
      </c>
      <c r="K979" s="184" t="n">
        <v>1</v>
      </c>
      <c r="S979" s="192" t="n">
        <f aca="false">(K979+O979+Q979)*24 /1130+(L979+M979+P979+R979)*12/1130+(N979*30)/1130</f>
        <v>0.0212389380530973</v>
      </c>
    </row>
    <row r="980" customFormat="false" ht="15" hidden="true" customHeight="true" outlineLevel="0" collapsed="false">
      <c r="B980" s="127" t="n">
        <f aca="false">B979+D980-C980</f>
        <v>1184.5</v>
      </c>
      <c r="C980" s="127" t="n">
        <f aca="false">D976+D975+D973+D971+D979</f>
        <v>2558.75</v>
      </c>
      <c r="E980" s="212" t="s">
        <v>470</v>
      </c>
      <c r="F980" s="147" t="str">
        <f aca="false">IFERROR(VLOOKUP(H980,$AD$1:$AE$301,2,0),"")</f>
        <v/>
      </c>
      <c r="G980" s="147" t="str">
        <f aca="false">IFERROR(VLOOKUP(F980,$AE$2:$AF$290,2, 0),"")</f>
        <v/>
      </c>
      <c r="H980" s="212" t="s">
        <v>393</v>
      </c>
      <c r="I980" s="246" t="n">
        <f aca="false">SUM(K980:R980)</f>
        <v>0</v>
      </c>
      <c r="J980" s="182" t="n">
        <v>45693</v>
      </c>
      <c r="K980" s="184"/>
      <c r="S980" s="192" t="n">
        <f aca="false">(K980+O980+Q980)*24 /1130+(L980+M980+P980+R980)*12/1130+(N980*30)/1130</f>
        <v>0</v>
      </c>
    </row>
    <row r="981" customFormat="false" ht="15" hidden="true" customHeight="true" outlineLevel="0" collapsed="false">
      <c r="B981" s="127" t="n">
        <f aca="false">B980+D981-C981</f>
        <v>0.5</v>
      </c>
      <c r="C981" s="127" t="n">
        <v>1184</v>
      </c>
      <c r="E981" s="212" t="s">
        <v>653</v>
      </c>
      <c r="F981" s="147" t="str">
        <f aca="false">IFERROR(VLOOKUP(H981,$AD$1:$AE$301,2,0),"")</f>
        <v/>
      </c>
      <c r="G981" s="147" t="str">
        <f aca="false">IFERROR(VLOOKUP(F981,$AE$2:$AF$290,2, 0),"")</f>
        <v/>
      </c>
      <c r="H981" s="212" t="s">
        <v>393</v>
      </c>
      <c r="I981" s="246" t="n">
        <f aca="false">SUM(K981:R981)</f>
        <v>0</v>
      </c>
      <c r="J981" s="182" t="n">
        <v>45693</v>
      </c>
      <c r="K981" s="184"/>
      <c r="S981" s="192" t="n">
        <f aca="false">(K981+O981+Q981)*24 /1130+(L981+M981+P981+R981)*12/1130+(N981*30)/1130</f>
        <v>0</v>
      </c>
    </row>
    <row r="982" customFormat="false" ht="15" hidden="true" customHeight="true" outlineLevel="0" collapsed="false">
      <c r="A982" s="128" t="n">
        <f aca="false">D982-155.25</f>
        <v>0</v>
      </c>
      <c r="B982" s="127" t="n">
        <f aca="false">B981+D982-C982</f>
        <v>155.75</v>
      </c>
      <c r="D982" s="146" t="n">
        <f aca="false">155.25</f>
        <v>155.25</v>
      </c>
      <c r="E982" s="147" t="n">
        <v>770</v>
      </c>
      <c r="F982" s="147" t="n">
        <f aca="false">IFERROR(VLOOKUP(H982,$AD$1:$AE$301,2,0),"")</f>
        <v>1008260</v>
      </c>
      <c r="G982" s="147" t="str">
        <f aca="false">IFERROR(VLOOKUP(F982,$AE$2:$AF$290,2, 0),"")</f>
        <v>تبوك</v>
      </c>
      <c r="H982" s="212" t="s">
        <v>184</v>
      </c>
      <c r="I982" s="246" t="n">
        <f aca="false">SUM(K982:R982)</f>
        <v>1</v>
      </c>
      <c r="J982" s="182" t="n">
        <v>45693</v>
      </c>
      <c r="K982" s="184"/>
      <c r="R982" s="155" t="n">
        <v>1</v>
      </c>
      <c r="S982" s="192" t="n">
        <f aca="false">(K982+O982+Q982)*24 /1130+(L982+M982+P982+R982)*12/1130+(N982*30)/1130</f>
        <v>0.0106194690265487</v>
      </c>
    </row>
    <row r="983" customFormat="false" ht="15" hidden="true" customHeight="true" outlineLevel="0" collapsed="false">
      <c r="A983" s="128" t="n">
        <f aca="false">D983-299</f>
        <v>0</v>
      </c>
      <c r="B983" s="127" t="n">
        <f aca="false">B982+D983-C983</f>
        <v>454.75</v>
      </c>
      <c r="D983" s="146" t="n">
        <v>299</v>
      </c>
      <c r="E983" s="147" t="n">
        <v>772</v>
      </c>
      <c r="F983" s="147" t="n">
        <f aca="false">IFERROR(VLOOKUP(H983,$AD$1:$AE$301,2,0),"")</f>
        <v>1008265</v>
      </c>
      <c r="G983" s="147" t="str">
        <f aca="false">IFERROR(VLOOKUP(F983,$AE$2:$AF$290,2, 0),"")</f>
        <v>تبوك</v>
      </c>
      <c r="H983" s="212" t="s">
        <v>146</v>
      </c>
      <c r="I983" s="246" t="n">
        <f aca="false">SUM(K983:R983)</f>
        <v>1</v>
      </c>
      <c r="J983" s="182" t="n">
        <v>45693</v>
      </c>
      <c r="K983" s="184" t="n">
        <v>1</v>
      </c>
      <c r="S983" s="192" t="n">
        <f aca="false">(K983+O983+Q983)*24 /1130+(L983+M983+P983+R983)*12/1130+(N983*30)/1130</f>
        <v>0.0212389380530973</v>
      </c>
    </row>
    <row r="984" customFormat="false" ht="15" hidden="true" customHeight="true" outlineLevel="0" collapsed="false">
      <c r="A984" s="128" t="n">
        <f aca="false">D984-296-5*14-2</f>
        <v>0</v>
      </c>
      <c r="B984" s="127" t="n">
        <f aca="false">B983+D984-C984</f>
        <v>822.75</v>
      </c>
      <c r="D984" s="146" t="n">
        <f aca="false">230+138</f>
        <v>368</v>
      </c>
      <c r="E984" s="147" t="n">
        <v>771</v>
      </c>
      <c r="F984" s="147" t="n">
        <f aca="false">IFERROR(VLOOKUP(H984,$AD$1:$AE$301,2,0),"")</f>
        <v>555</v>
      </c>
      <c r="G984" s="147" t="str">
        <f aca="false">IFERROR(VLOOKUP(F984,$AE$2:$AF$290,2, 0),"")</f>
        <v>تبوك</v>
      </c>
      <c r="H984" s="212" t="s">
        <v>260</v>
      </c>
      <c r="I984" s="246" t="n">
        <f aca="false">SUM(K984:R984)</f>
        <v>2</v>
      </c>
      <c r="J984" s="182" t="n">
        <v>45692</v>
      </c>
      <c r="K984" s="184"/>
      <c r="M984" s="150" t="n">
        <v>1</v>
      </c>
      <c r="Q984" s="154" t="n">
        <v>1</v>
      </c>
      <c r="S984" s="192" t="n">
        <f aca="false">(K984+O984+Q984)*24 /1130+(L984+M984+P984+R984)*12/1130+(N984*30)/1130</f>
        <v>0.031858407079646</v>
      </c>
    </row>
    <row r="985" customFormat="false" ht="15" hidden="true" customHeight="true" outlineLevel="0" collapsed="false">
      <c r="A985" s="128" t="n">
        <f aca="false">D985</f>
        <v>0</v>
      </c>
      <c r="B985" s="127" t="n">
        <f aca="false">B984+D985-C985</f>
        <v>0</v>
      </c>
      <c r="C985" s="127" t="n">
        <f aca="false">D983+523.75</f>
        <v>822.75</v>
      </c>
      <c r="E985" s="212" t="s">
        <v>470</v>
      </c>
      <c r="F985" s="147" t="str">
        <f aca="false">IFERROR(VLOOKUP(H985,$AD$1:$AE$301,2,0),"")</f>
        <v/>
      </c>
      <c r="G985" s="147" t="str">
        <f aca="false">IFERROR(VLOOKUP(F985,$AE$2:$AF$290,2, 0),"")</f>
        <v/>
      </c>
      <c r="H985" s="212" t="s">
        <v>393</v>
      </c>
      <c r="I985" s="246" t="n">
        <f aca="false">SUM(K985:R985)</f>
        <v>0</v>
      </c>
      <c r="J985" s="182" t="n">
        <v>45697</v>
      </c>
      <c r="K985" s="184"/>
      <c r="S985" s="192" t="n">
        <f aca="false">(K985+O985+Q985)*24 /1130+(L985+M985+P985+R985)*12/1130+(N985*30)/1130</f>
        <v>0</v>
      </c>
    </row>
    <row r="986" customFormat="false" ht="15" hidden="true" customHeight="true" outlineLevel="0" collapsed="false">
      <c r="A986" s="128" t="n">
        <f aca="false">735+D987+D988-200-1501</f>
        <v>0</v>
      </c>
      <c r="B986" s="127" t="n">
        <f aca="false">B985+D986-C986</f>
        <v>805</v>
      </c>
      <c r="D986" s="146" t="n">
        <f aca="false">299+253*2</f>
        <v>805</v>
      </c>
      <c r="E986" s="147" t="n">
        <v>773</v>
      </c>
      <c r="F986" s="147" t="n">
        <f aca="false">IFERROR(VLOOKUP(H986,$AD$1:$AE$301,2,0),"")</f>
        <v>1008030</v>
      </c>
      <c r="G986" s="147" t="str">
        <f aca="false">IFERROR(VLOOKUP(F986,$AE$2:$AF$290,2, 0),"")</f>
        <v>البير</v>
      </c>
      <c r="H986" s="212" t="s">
        <v>298</v>
      </c>
      <c r="I986" s="246" t="n">
        <f aca="false">SUM(K986:R986)</f>
        <v>3</v>
      </c>
      <c r="J986" s="182" t="n">
        <v>45701</v>
      </c>
      <c r="K986" s="184" t="n">
        <v>1</v>
      </c>
      <c r="M986" s="150" t="n">
        <v>2</v>
      </c>
      <c r="S986" s="192" t="n">
        <f aca="false">(K986+O986+Q986)*24 /1130+(L986+M986+P986+R986)*12/1130+(N986*30)/1130</f>
        <v>0.0424778761061947</v>
      </c>
    </row>
    <row r="987" customFormat="false" ht="15" hidden="true" customHeight="true" outlineLevel="0" collapsed="false">
      <c r="B987" s="127" t="n">
        <f aca="false">B986+D987-C987</f>
        <v>1529.5</v>
      </c>
      <c r="D987" s="146" t="n">
        <f aca="false">241.5+241.5+241.5</f>
        <v>724.5</v>
      </c>
      <c r="E987" s="147" t="n">
        <v>774</v>
      </c>
      <c r="F987" s="147" t="n">
        <f aca="false">IFERROR(VLOOKUP(H987,$AD$1:$AE$301,2,0),"")</f>
        <v>1007996</v>
      </c>
      <c r="G987" s="147" t="str">
        <f aca="false">IFERROR(VLOOKUP(F987,$AE$2:$AF$290,2, 0),"")</f>
        <v>البير</v>
      </c>
      <c r="H987" s="212" t="s">
        <v>295</v>
      </c>
      <c r="I987" s="246" t="n">
        <f aca="false">SUM(K987:R987)</f>
        <v>3</v>
      </c>
      <c r="J987" s="182" t="n">
        <v>45701</v>
      </c>
      <c r="K987" s="184"/>
      <c r="O987" s="152" t="n">
        <f aca="false">1+1</f>
        <v>2</v>
      </c>
      <c r="Q987" s="154" t="n">
        <v>1</v>
      </c>
      <c r="S987" s="192" t="n">
        <f aca="false">(K987+O987+Q987)*24 /1130+(L987+M987+P987+R987)*12/1130+(N987*30)/1130</f>
        <v>0.063716814159292</v>
      </c>
    </row>
    <row r="988" customFormat="false" ht="15" hidden="true" customHeight="true" outlineLevel="0" collapsed="false">
      <c r="B988" s="127" t="n">
        <f aca="false">B987+D988-C988</f>
        <v>1771</v>
      </c>
      <c r="D988" s="146" t="n">
        <v>241.5</v>
      </c>
      <c r="E988" s="147" t="n">
        <v>775</v>
      </c>
      <c r="F988" s="147" t="n">
        <f aca="false">IFERROR(VLOOKUP(H988,$AD$1:$AE$301,2,0),"")</f>
        <v>1008006</v>
      </c>
      <c r="G988" s="147" t="str">
        <f aca="false">IFERROR(VLOOKUP(F988,$AE$2:$AF$290,2, 0),"")</f>
        <v>حقل</v>
      </c>
      <c r="H988" s="212" t="s">
        <v>302</v>
      </c>
      <c r="I988" s="246" t="n">
        <f aca="false">SUM(K988:R988)</f>
        <v>1</v>
      </c>
      <c r="J988" s="182" t="n">
        <v>45701</v>
      </c>
      <c r="K988" s="184"/>
      <c r="O988" s="152" t="n">
        <v>1</v>
      </c>
      <c r="S988" s="192" t="n">
        <f aca="false">(K988+O988+Q988)*24 /1130+(L988+M988+P988+R988)*12/1130+(N988*30)/1130</f>
        <v>0.0212389380530973</v>
      </c>
    </row>
    <row r="989" customFormat="false" ht="15" hidden="true" customHeight="true" outlineLevel="0" collapsed="false">
      <c r="A989" s="128" t="n">
        <f aca="false">D989-500-98</f>
        <v>0</v>
      </c>
      <c r="B989" s="127" t="n">
        <f aca="false">B988+D989-C989</f>
        <v>2369</v>
      </c>
      <c r="D989" s="146" t="n">
        <v>598</v>
      </c>
      <c r="E989" s="147" t="n">
        <v>776</v>
      </c>
      <c r="F989" s="147" t="n">
        <f aca="false">IFERROR(VLOOKUP(H989,$AD$1:$AE$301,2,0),"")</f>
        <v>1008004</v>
      </c>
      <c r="G989" s="147" t="str">
        <f aca="false">IFERROR(VLOOKUP(F989,$AE$2:$AF$290,2, 0),"")</f>
        <v>حقل</v>
      </c>
      <c r="H989" s="212" t="s">
        <v>316</v>
      </c>
      <c r="I989" s="246" t="n">
        <f aca="false">SUM(K989:R989)</f>
        <v>2</v>
      </c>
      <c r="J989" s="182" t="n">
        <v>45701</v>
      </c>
      <c r="K989" s="184" t="n">
        <v>2</v>
      </c>
      <c r="S989" s="192" t="n">
        <f aca="false">(K989+O989+Q989)*24 /1130+(L989+M989+P989+R989)*12/1130+(N989*30)/1130</f>
        <v>0.0424778761061947</v>
      </c>
    </row>
    <row r="990" customFormat="false" ht="15" hidden="true" customHeight="true" outlineLevel="0" collapsed="false">
      <c r="B990" s="127" t="n">
        <f aca="false">B989+D990-C990</f>
        <v>2668</v>
      </c>
      <c r="D990" s="146" t="n">
        <v>299</v>
      </c>
      <c r="E990" s="147" t="n">
        <v>777</v>
      </c>
      <c r="F990" s="147" t="n">
        <f aca="false">IFERROR(VLOOKUP(H990,$AD$1:$AE$301,2,0),"")</f>
        <v>1007967</v>
      </c>
      <c r="G990" s="147" t="str">
        <f aca="false">IFERROR(VLOOKUP(F990,$AE$2:$AF$290,2, 0),"")</f>
        <v>حقل</v>
      </c>
      <c r="H990" s="212" t="s">
        <v>307</v>
      </c>
      <c r="I990" s="246" t="n">
        <f aca="false">SUM(K990:R990)</f>
        <v>1</v>
      </c>
      <c r="J990" s="182" t="n">
        <v>45701</v>
      </c>
      <c r="K990" s="184" t="n">
        <v>1</v>
      </c>
      <c r="S990" s="192" t="n">
        <f aca="false">(K990+O990+Q990)*24 /1130+(L990+M990+P990+R990)*12/1130+(N990*30)/1130</f>
        <v>0.0212389380530973</v>
      </c>
    </row>
    <row r="991" customFormat="false" ht="15" hidden="true" customHeight="true" outlineLevel="0" collapsed="false">
      <c r="B991" s="127" t="n">
        <f aca="false">B990+D991-C991</f>
        <v>2967</v>
      </c>
      <c r="D991" s="146" t="n">
        <v>299</v>
      </c>
      <c r="E991" s="147" t="n">
        <v>778</v>
      </c>
      <c r="F991" s="147" t="n">
        <f aca="false">IFERROR(VLOOKUP(H991,$AD$1:$AE$301,2,0),"")</f>
        <v>1008020</v>
      </c>
      <c r="G991" s="147" t="str">
        <f aca="false">IFERROR(VLOOKUP(F991,$AE$2:$AF$290,2, 0),"")</f>
        <v>البير</v>
      </c>
      <c r="H991" s="212" t="s">
        <v>293</v>
      </c>
      <c r="I991" s="246" t="n">
        <f aca="false">SUM(K991:R991)</f>
        <v>1</v>
      </c>
      <c r="J991" s="182" t="n">
        <v>45701</v>
      </c>
      <c r="K991" s="184" t="n">
        <v>1</v>
      </c>
      <c r="S991" s="192" t="n">
        <f aca="false">(K991+O991+Q991)*24 /1130+(L991+M991+P991+R991)*12/1130+(N991*30)/1130</f>
        <v>0.0212389380530973</v>
      </c>
    </row>
    <row r="992" customFormat="false" ht="15" hidden="true" customHeight="true" outlineLevel="0" collapsed="false">
      <c r="B992" s="127" t="n">
        <f aca="false">B991+D992-C992</f>
        <v>3266</v>
      </c>
      <c r="D992" s="146" t="n">
        <v>299</v>
      </c>
      <c r="E992" s="147" t="n">
        <v>779</v>
      </c>
      <c r="F992" s="147" t="n">
        <f aca="false">IFERROR(VLOOKUP(H992,$AD$1:$AE$301,2,0),"")</f>
        <v>1007965</v>
      </c>
      <c r="G992" s="147" t="str">
        <f aca="false">IFERROR(VLOOKUP(F992,$AE$2:$AF$290,2, 0),"")</f>
        <v>البير</v>
      </c>
      <c r="H992" s="212" t="s">
        <v>290</v>
      </c>
      <c r="I992" s="246" t="n">
        <f aca="false">SUM(K992:R992)</f>
        <v>1</v>
      </c>
      <c r="J992" s="182" t="n">
        <v>45701</v>
      </c>
      <c r="K992" s="184" t="n">
        <v>1</v>
      </c>
      <c r="S992" s="192" t="n">
        <f aca="false">(K992+O992+Q992)*24 /1130+(L992+M992+P992+R992)*12/1130+(N992*30)/1130</f>
        <v>0.0212389380530973</v>
      </c>
    </row>
    <row r="993" customFormat="false" ht="15" hidden="true" customHeight="true" outlineLevel="0" collapsed="false">
      <c r="B993" s="127" t="n">
        <f aca="false">B992+D993-C993</f>
        <v>3864</v>
      </c>
      <c r="D993" s="146" t="n">
        <f aca="false">299*2</f>
        <v>598</v>
      </c>
      <c r="E993" s="147" t="n">
        <v>787</v>
      </c>
      <c r="F993" s="147" t="n">
        <f aca="false">IFERROR(VLOOKUP(H993,$AD$1:$AE$301,2,0),"")</f>
        <v>575</v>
      </c>
      <c r="G993" s="147" t="str">
        <f aca="false">IFERROR(VLOOKUP(F993,$AE$2:$AF$290,2, 0),"")</f>
        <v>تبوك</v>
      </c>
      <c r="H993" s="212" t="s">
        <v>132</v>
      </c>
      <c r="I993" s="246" t="n">
        <f aca="false">SUM(K993:R993)</f>
        <v>2</v>
      </c>
      <c r="J993" s="182" t="n">
        <v>45703</v>
      </c>
      <c r="K993" s="184" t="n">
        <v>2</v>
      </c>
      <c r="S993" s="192" t="n">
        <f aca="false">(K993+O993+Q993)*24 /1130+(L993+M993+P993+R993)*12/1130+(N993*30)/1130</f>
        <v>0.0424778761061947</v>
      </c>
    </row>
    <row r="994" customFormat="false" ht="15" hidden="true" customHeight="true" outlineLevel="0" collapsed="false">
      <c r="A994" s="128" t="n">
        <f aca="false">D994-54.25-400</f>
        <v>0</v>
      </c>
      <c r="B994" s="127" t="n">
        <f aca="false">B993+D994-C994</f>
        <v>4318.25</v>
      </c>
      <c r="D994" s="146" t="n">
        <f aca="false">299+155.25</f>
        <v>454.25</v>
      </c>
      <c r="E994" s="147" t="n">
        <v>780</v>
      </c>
      <c r="F994" s="147" t="n">
        <f aca="false">IFERROR(VLOOKUP(H994,$AD$1:$AE$301,2,0),"")</f>
        <v>1008260</v>
      </c>
      <c r="G994" s="147" t="str">
        <f aca="false">IFERROR(VLOOKUP(F994,$AE$2:$AF$290,2, 0),"")</f>
        <v>تبوك</v>
      </c>
      <c r="H994" s="212" t="s">
        <v>184</v>
      </c>
      <c r="I994" s="246" t="n">
        <f aca="false">SUM(K994:R994)</f>
        <v>2</v>
      </c>
      <c r="J994" s="182" t="n">
        <v>45703</v>
      </c>
      <c r="K994" s="184" t="n">
        <f aca="false">1</f>
        <v>1</v>
      </c>
      <c r="R994" s="155" t="n">
        <v>1</v>
      </c>
      <c r="S994" s="192" t="n">
        <f aca="false">(K994+O994+Q994)*24 /1130+(L994+M994+P994+R994)*12/1130+(N994*30)/1130</f>
        <v>0.031858407079646</v>
      </c>
    </row>
    <row r="995" customFormat="false" ht="15" hidden="true" customHeight="true" outlineLevel="0" collapsed="false">
      <c r="B995" s="127" t="n">
        <f aca="false">B994+D995-C995</f>
        <v>5008.25</v>
      </c>
      <c r="D995" s="146" t="n">
        <f aca="false">230*3</f>
        <v>690</v>
      </c>
      <c r="E995" s="147" t="n">
        <v>781</v>
      </c>
      <c r="F995" s="147" t="n">
        <f aca="false">IFERROR(VLOOKUP(H995,$AD$1:$AE$301,2,0),"")</f>
        <v>636</v>
      </c>
      <c r="G995" s="147" t="str">
        <f aca="false">IFERROR(VLOOKUP(F995,$AE$2:$AF$290,2, 0),"")</f>
        <v>تبوك</v>
      </c>
      <c r="H995" s="212" t="s">
        <v>134</v>
      </c>
      <c r="I995" s="246" t="n">
        <f aca="false">SUM(K995:R995)</f>
        <v>3</v>
      </c>
      <c r="J995" s="182" t="n">
        <v>45703</v>
      </c>
      <c r="K995" s="184"/>
      <c r="M995" s="150" t="n">
        <v>3</v>
      </c>
      <c r="S995" s="192" t="n">
        <f aca="false">(K995+O995+Q995)*24 /1130+(L995+M995+P995+R995)*12/1130+(N995*30)/1130</f>
        <v>0.031858407079646</v>
      </c>
    </row>
    <row r="996" customFormat="false" ht="15" hidden="true" customHeight="true" outlineLevel="0" collapsed="false">
      <c r="B996" s="127" t="n">
        <f aca="false">B995+D996-C996</f>
        <v>5307.25</v>
      </c>
      <c r="D996" s="146" t="n">
        <v>299</v>
      </c>
      <c r="E996" s="147" t="n">
        <v>782</v>
      </c>
      <c r="F996" s="147" t="n">
        <f aca="false">IFERROR(VLOOKUP(H996,$AD$1:$AE$301,2,0),"")</f>
        <v>587</v>
      </c>
      <c r="G996" s="147" t="str">
        <f aca="false">IFERROR(VLOOKUP(F996,$AE$2:$AF$290,2, 0),"")</f>
        <v>تبوك</v>
      </c>
      <c r="H996" s="212" t="s">
        <v>226</v>
      </c>
      <c r="I996" s="246" t="n">
        <f aca="false">SUM(K996:R996)</f>
        <v>1</v>
      </c>
      <c r="J996" s="182" t="n">
        <v>45703</v>
      </c>
      <c r="K996" s="184" t="n">
        <v>1</v>
      </c>
      <c r="S996" s="192" t="n">
        <f aca="false">(K996+O996+Q996)*24 /1130+(L996+M996+P996+R996)*12/1130+(N996*30)/1130</f>
        <v>0.0212389380530973</v>
      </c>
    </row>
    <row r="997" customFormat="false" ht="15" hidden="true" customHeight="true" outlineLevel="0" collapsed="false">
      <c r="B997" s="127" t="n">
        <f aca="false">B996+D997-C997</f>
        <v>6192.75</v>
      </c>
      <c r="D997" s="146" t="n">
        <f aca="false">287.5*2+155.25*2</f>
        <v>885.5</v>
      </c>
      <c r="E997" s="147" t="n">
        <v>783</v>
      </c>
      <c r="F997" s="147" t="n">
        <f aca="false">IFERROR(VLOOKUP(H997,$AD$1:$AE$301,2,0),"")</f>
        <v>587</v>
      </c>
      <c r="G997" s="147" t="str">
        <f aca="false">IFERROR(VLOOKUP(F997,$AE$2:$AF$290,2, 0),"")</f>
        <v>تبوك</v>
      </c>
      <c r="H997" s="212" t="s">
        <v>226</v>
      </c>
      <c r="I997" s="246" t="n">
        <f aca="false">SUM(K997:R997)</f>
        <v>4</v>
      </c>
      <c r="J997" s="182" t="n">
        <v>45703</v>
      </c>
      <c r="K997" s="184"/>
      <c r="N997" s="151" t="n">
        <v>2</v>
      </c>
      <c r="R997" s="155" t="n">
        <v>2</v>
      </c>
      <c r="S997" s="192" t="n">
        <f aca="false">(K997+O997+Q997)*24 /1130+(L997+M997+P997+R997)*12/1130+(N997*30)/1130</f>
        <v>0.0743362831858407</v>
      </c>
    </row>
    <row r="998" customFormat="false" ht="15" hidden="true" customHeight="true" outlineLevel="0" collapsed="false">
      <c r="A998" s="128" t="n">
        <f aca="false">D998-299</f>
        <v>0</v>
      </c>
      <c r="B998" s="127" t="n">
        <f aca="false">B997+D998-C998</f>
        <v>6491.75</v>
      </c>
      <c r="D998" s="146" t="n">
        <v>299</v>
      </c>
      <c r="E998" s="147" t="n">
        <v>784</v>
      </c>
      <c r="F998" s="147" t="n">
        <f aca="false">IFERROR(VLOOKUP(H998,$AD$1:$AE$301,2,0),"")</f>
        <v>943</v>
      </c>
      <c r="G998" s="147" t="str">
        <f aca="false">IFERROR(VLOOKUP(F998,$AE$2:$AF$290,2, 0),"")</f>
        <v>تبوك</v>
      </c>
      <c r="H998" s="212" t="s">
        <v>259</v>
      </c>
      <c r="I998" s="246" t="n">
        <f aca="false">SUM(K998:R998)</f>
        <v>1</v>
      </c>
      <c r="J998" s="182" t="n">
        <v>45703</v>
      </c>
      <c r="K998" s="184" t="n">
        <v>1</v>
      </c>
      <c r="S998" s="192" t="n">
        <f aca="false">(K998+O998+Q998)*24 /1130+(L998+M998+P998+R998)*12/1130+(N998*30)/1130</f>
        <v>0.0212389380530973</v>
      </c>
    </row>
    <row r="999" customFormat="false" ht="15" hidden="true" customHeight="true" outlineLevel="0" collapsed="false">
      <c r="A999" s="230" t="n">
        <f aca="false">D999-500-362.5</f>
        <v>0</v>
      </c>
      <c r="B999" s="127" t="n">
        <f aca="false">B998+D999-C999</f>
        <v>7354.25</v>
      </c>
      <c r="D999" s="146" t="n">
        <f aca="false">299+264.5+299</f>
        <v>862.5</v>
      </c>
      <c r="E999" s="147" t="n">
        <v>785</v>
      </c>
      <c r="F999" s="147" t="n">
        <f aca="false">IFERROR(VLOOKUP(H999,$AD$1:$AE$301,2,0),"")</f>
        <v>562</v>
      </c>
      <c r="G999" s="147" t="str">
        <f aca="false">IFERROR(VLOOKUP(F999,$AE$2:$AF$290,2, 0),"")</f>
        <v>تبوك</v>
      </c>
      <c r="H999" s="212" t="s">
        <v>234</v>
      </c>
      <c r="I999" s="246" t="n">
        <f aca="false">SUM(K999:R999)</f>
        <v>3</v>
      </c>
      <c r="J999" s="182" t="n">
        <v>45703</v>
      </c>
      <c r="K999" s="184"/>
      <c r="R999" s="155" t="n">
        <f aca="false">1+1+1</f>
        <v>3</v>
      </c>
      <c r="S999" s="192" t="n">
        <f aca="false">(K999+O999+Q999)*24 /1130+(L999+M999+P999+R999)*12/1130+(N999*30)/1130</f>
        <v>0.031858407079646</v>
      </c>
    </row>
    <row r="1000" customFormat="false" ht="15" hidden="true" customHeight="true" outlineLevel="0" collapsed="false">
      <c r="A1000" s="128" t="n">
        <f aca="false">D1000-45-185</f>
        <v>0</v>
      </c>
      <c r="B1000" s="127" t="n">
        <f aca="false">B999+D1000-C1000</f>
        <v>7584.25</v>
      </c>
      <c r="D1000" s="146" t="n">
        <v>230</v>
      </c>
      <c r="E1000" s="147" t="n">
        <v>786</v>
      </c>
      <c r="F1000" s="147" t="n">
        <f aca="false">IFERROR(VLOOKUP(H1000,$AD$1:$AE$301,2,0),"")</f>
        <v>549</v>
      </c>
      <c r="G1000" s="147" t="str">
        <f aca="false">IFERROR(VLOOKUP(F1000,$AE$2:$AF$290,2, 0),"")</f>
        <v>تبوك</v>
      </c>
      <c r="H1000" s="212" t="s">
        <v>238</v>
      </c>
      <c r="I1000" s="246" t="n">
        <f aca="false">SUM(K1000:R1000)</f>
        <v>1</v>
      </c>
      <c r="J1000" s="182" t="n">
        <v>45703</v>
      </c>
      <c r="K1000" s="184"/>
      <c r="M1000" s="150" t="n">
        <v>1</v>
      </c>
      <c r="S1000" s="192" t="n">
        <f aca="false">(K1000+O1000+Q1000)*24 /1130+(L1000+M1000+P1000+R1000)*12/1130+(N1000*30)/1130</f>
        <v>0.0106194690265487</v>
      </c>
    </row>
    <row r="1001" customFormat="false" ht="15" hidden="true" customHeight="true" outlineLevel="0" collapsed="false">
      <c r="B1001" s="127" t="n">
        <f aca="false">B1000+D1001-C1001</f>
        <v>5091.25</v>
      </c>
      <c r="C1001" s="127" t="n">
        <f aca="false">D986-70+D987+D988-200+D995+D996+3</f>
        <v>2493</v>
      </c>
      <c r="E1001" s="212" t="s">
        <v>470</v>
      </c>
      <c r="F1001" s="147" t="str">
        <f aca="false">IFERROR(VLOOKUP(H1001,$AD$1:$AE$301,2,0),"")</f>
        <v/>
      </c>
      <c r="G1001" s="147" t="str">
        <f aca="false">IFERROR(VLOOKUP(F1001,$AE$2:$AF$290,2, 0),"")</f>
        <v/>
      </c>
      <c r="H1001" s="212" t="s">
        <v>393</v>
      </c>
      <c r="I1001" s="246" t="n">
        <f aca="false">SUM(K1001:R1001)</f>
        <v>0</v>
      </c>
      <c r="J1001" s="182" t="n">
        <v>45703</v>
      </c>
      <c r="K1001" s="184"/>
      <c r="S1001" s="192" t="n">
        <f aca="false">(K1001+O1001+Q1001)*24 /1130+(L1001+M1001+P1001+R1001)*12/1130+(N1001*30)/1130</f>
        <v>0</v>
      </c>
    </row>
    <row r="1002" customFormat="false" ht="15" hidden="true" customHeight="true" outlineLevel="0" collapsed="false">
      <c r="B1002" s="127" t="n">
        <f aca="false">B1001+D1002-C1002</f>
        <v>0</v>
      </c>
      <c r="C1002" s="127" t="n">
        <v>5091</v>
      </c>
      <c r="D1002" s="146" t="n">
        <v>-0.25</v>
      </c>
      <c r="E1002" s="212" t="s">
        <v>653</v>
      </c>
      <c r="F1002" s="147" t="str">
        <f aca="false">IFERROR(VLOOKUP(H1002,$AD$1:$AE$301,2,0),"")</f>
        <v/>
      </c>
      <c r="G1002" s="147" t="str">
        <f aca="false">IFERROR(VLOOKUP(F1002,$AE$2:$AF$290,2, 0),"")</f>
        <v/>
      </c>
      <c r="H1002" s="212" t="s">
        <v>393</v>
      </c>
      <c r="I1002" s="246" t="n">
        <f aca="false">SUM(K1002:R1002)</f>
        <v>0</v>
      </c>
      <c r="J1002" s="182" t="n">
        <v>45704</v>
      </c>
      <c r="S1002" s="192" t="n">
        <f aca="false">(K1002+O1002+Q1002)*24 /1130+(L1002+M1002+P1002+R1002)*12/1130+(N1002*30)/1130</f>
        <v>0</v>
      </c>
    </row>
    <row r="1003" customFormat="false" ht="15" hidden="true" customHeight="true" outlineLevel="0" collapsed="false">
      <c r="B1003" s="127" t="n">
        <f aca="false">B1002+D1003-C1003</f>
        <v>586.5</v>
      </c>
      <c r="D1003" s="146" t="n">
        <f aca="false">287.5+299</f>
        <v>586.5</v>
      </c>
      <c r="E1003" s="147" t="n">
        <v>788</v>
      </c>
      <c r="F1003" s="147" t="n">
        <f aca="false">IFERROR(VLOOKUP(H1003,$AD$1:$AE$301,2,0),"")</f>
        <v>1008022</v>
      </c>
      <c r="G1003" s="147" t="str">
        <f aca="false">IFERROR(VLOOKUP(F1003,$AE$2:$AF$290,2, 0),"")</f>
        <v>ضباء</v>
      </c>
      <c r="H1003" s="212" t="s">
        <v>94</v>
      </c>
      <c r="I1003" s="246" t="n">
        <f aca="false">SUM(K1003:R1003)</f>
        <v>2</v>
      </c>
      <c r="J1003" s="182" t="n">
        <v>45704</v>
      </c>
      <c r="N1003" s="151" t="n">
        <f aca="false">1+1</f>
        <v>2</v>
      </c>
      <c r="S1003" s="192" t="n">
        <f aca="false">(K1003+O1003+Q1003)*24 /1130+(L1003+M1003+P1003+R1003)*12/1130+(N1003*30)/1130</f>
        <v>0.0530973451327434</v>
      </c>
    </row>
    <row r="1004" customFormat="false" ht="15" hidden="true" customHeight="true" outlineLevel="0" collapsed="false">
      <c r="B1004" s="127" t="n">
        <f aca="false">B1003+D1004-C1004</f>
        <v>885.5</v>
      </c>
      <c r="D1004" s="146" t="n">
        <v>299</v>
      </c>
      <c r="E1004" s="147" t="n">
        <v>789</v>
      </c>
      <c r="F1004" s="147" t="n">
        <f aca="false">IFERROR(VLOOKUP(H1004,$AD$1:$AE$301,2,0),"")</f>
        <v>1008049</v>
      </c>
      <c r="G1004" s="147" t="str">
        <f aca="false">IFERROR(VLOOKUP(F1004,$AE$2:$AF$290,2, 0),"")</f>
        <v>الوجه</v>
      </c>
      <c r="H1004" s="212" t="s">
        <v>111</v>
      </c>
      <c r="I1004" s="246" t="n">
        <f aca="false">SUM(K1004:R1004)</f>
        <v>1</v>
      </c>
      <c r="J1004" s="182" t="n">
        <v>45704</v>
      </c>
      <c r="K1004" s="148" t="n">
        <v>1</v>
      </c>
      <c r="S1004" s="192" t="n">
        <f aca="false">(K1004+O1004+Q1004)*24 /1130+(L1004+M1004+P1004+R1004)*12/1130+(N1004*30)/1130</f>
        <v>0.0212389380530973</v>
      </c>
    </row>
    <row r="1005" customFormat="false" ht="15" hidden="true" customHeight="true" outlineLevel="0" collapsed="false">
      <c r="B1005" s="127" t="n">
        <f aca="false">B1004+D1005-C1005</f>
        <v>1362.75</v>
      </c>
      <c r="D1005" s="146" t="n">
        <f aca="false">299+178.25</f>
        <v>477.25</v>
      </c>
      <c r="E1005" s="147" t="n">
        <v>790</v>
      </c>
      <c r="F1005" s="147" t="n">
        <f aca="false">IFERROR(VLOOKUP(H1005,$AD$1:$AE$301,2,0),"")</f>
        <v>1008046</v>
      </c>
      <c r="G1005" s="147" t="str">
        <f aca="false">IFERROR(VLOOKUP(F1005,$AE$2:$AF$290,2, 0),"")</f>
        <v>الوجه</v>
      </c>
      <c r="H1005" s="212" t="s">
        <v>108</v>
      </c>
      <c r="I1005" s="246" t="n">
        <f aca="false">SUM(K1005:R1005)</f>
        <v>2</v>
      </c>
      <c r="J1005" s="182" t="n">
        <v>45704</v>
      </c>
      <c r="K1005" s="148" t="n">
        <v>1</v>
      </c>
      <c r="L1005" s="149" t="n">
        <v>1</v>
      </c>
      <c r="S1005" s="192" t="n">
        <f aca="false">(K1005+O1005+Q1005)*24 /1130+(L1005+M1005+P1005+R1005)*12/1130+(N1005*30)/1130</f>
        <v>0.031858407079646</v>
      </c>
    </row>
    <row r="1006" customFormat="false" ht="15" hidden="true" customHeight="true" outlineLevel="0" collapsed="false">
      <c r="B1006" s="127" t="n">
        <f aca="false">B1005+D1006-C1006</f>
        <v>1845.75</v>
      </c>
      <c r="D1006" s="146" t="n">
        <f aca="false">241.5*2</f>
        <v>483</v>
      </c>
      <c r="E1006" s="147" t="n">
        <v>791</v>
      </c>
      <c r="F1006" s="147" t="n">
        <f aca="false">IFERROR(VLOOKUP(H1006,$AD$1:$AE$301,2,0),"")</f>
        <v>1008046</v>
      </c>
      <c r="G1006" s="147" t="str">
        <f aca="false">IFERROR(VLOOKUP(F1006,$AE$2:$AF$290,2, 0),"")</f>
        <v>الوجه</v>
      </c>
      <c r="H1006" s="212" t="s">
        <v>108</v>
      </c>
      <c r="I1006" s="246" t="n">
        <f aca="false">SUM(K1006:R1006)</f>
        <v>2</v>
      </c>
      <c r="J1006" s="182" t="n">
        <v>45704</v>
      </c>
      <c r="O1006" s="152" t="n">
        <v>2</v>
      </c>
      <c r="S1006" s="192" t="n">
        <f aca="false">(K1006+O1006+Q1006)*24 /1130+(L1006+M1006+P1006+R1006)*12/1130+(N1006*30)/1130</f>
        <v>0.0424778761061947</v>
      </c>
    </row>
    <row r="1007" customFormat="false" ht="15" hidden="true" customHeight="true" outlineLevel="0" collapsed="false">
      <c r="B1007" s="127" t="n">
        <f aca="false">B1006+D1007-C1007</f>
        <v>2696.75</v>
      </c>
      <c r="D1007" s="146" t="n">
        <f aca="false">299*2+253</f>
        <v>851</v>
      </c>
      <c r="E1007" s="147" t="n">
        <v>792</v>
      </c>
      <c r="F1007" s="147" t="n">
        <f aca="false">IFERROR(VLOOKUP(H1007,$AD$1:$AE$301,2,0),"")</f>
        <v>1008047</v>
      </c>
      <c r="G1007" s="147" t="str">
        <f aca="false">IFERROR(VLOOKUP(F1007,$AE$2:$AF$290,2, 0),"")</f>
        <v>الوجه</v>
      </c>
      <c r="H1007" s="212" t="s">
        <v>422</v>
      </c>
      <c r="I1007" s="246" t="n">
        <f aca="false">SUM(K1007:R1007)</f>
        <v>3</v>
      </c>
      <c r="J1007" s="182" t="n">
        <v>45704</v>
      </c>
      <c r="K1007" s="148" t="n">
        <v>2</v>
      </c>
      <c r="M1007" s="150" t="n">
        <v>1</v>
      </c>
      <c r="S1007" s="192" t="n">
        <f aca="false">(K1007+O1007+Q1007)*24 /1130+(L1007+M1007+P1007+R1007)*12/1130+(N1007*30)/1130</f>
        <v>0.0530973451327434</v>
      </c>
    </row>
    <row r="1008" customFormat="false" ht="15" hidden="true" customHeight="true" outlineLevel="0" collapsed="false">
      <c r="B1008" s="127" t="n">
        <f aca="false">B1007+D1008-C1008</f>
        <v>3455.75</v>
      </c>
      <c r="D1008" s="146" t="n">
        <f aca="false">253*3</f>
        <v>759</v>
      </c>
      <c r="E1008" s="147" t="n">
        <v>793</v>
      </c>
      <c r="F1008" s="147" t="n">
        <f aca="false">IFERROR(VLOOKUP(H1008,$AD$1:$AE$301,2,0),"")</f>
        <v>1007988</v>
      </c>
      <c r="G1008" s="147" t="str">
        <f aca="false">IFERROR(VLOOKUP(F1008,$AE$2:$AF$290,2, 0),"")</f>
        <v>ضباء</v>
      </c>
      <c r="H1008" s="212" t="s">
        <v>89</v>
      </c>
      <c r="I1008" s="246" t="n">
        <f aca="false">SUM(K1008:R1008)</f>
        <v>3</v>
      </c>
      <c r="J1008" s="182" t="n">
        <v>45704</v>
      </c>
      <c r="M1008" s="150" t="n">
        <v>3</v>
      </c>
      <c r="S1008" s="192" t="n">
        <f aca="false">(K1008+O1008+Q1008)*24 /1130+(L1008+M1008+P1008+R1008)*12/1130+(N1008*30)/1130</f>
        <v>0.031858407079646</v>
      </c>
    </row>
    <row r="1009" customFormat="false" ht="15" hidden="true" customHeight="true" outlineLevel="0" collapsed="false">
      <c r="A1009" s="128" t="n">
        <f aca="false">D1009-865-20*5</f>
        <v>1</v>
      </c>
      <c r="B1009" s="127" t="n">
        <f aca="false">B1008+D1009-C1009</f>
        <v>4421.75</v>
      </c>
      <c r="D1009" s="146" t="n">
        <f aca="false">241.5*2+230+253</f>
        <v>966</v>
      </c>
      <c r="E1009" s="147" t="n">
        <v>794</v>
      </c>
      <c r="F1009" s="147" t="n">
        <f aca="false">IFERROR(VLOOKUP(H1009,$AD$1:$AE$301,2,0),"")</f>
        <v>1008024</v>
      </c>
      <c r="G1009" s="147" t="str">
        <f aca="false">IFERROR(VLOOKUP(F1009,$AE$2:$AF$290,2, 0),"")</f>
        <v>ضباء</v>
      </c>
      <c r="H1009" s="212" t="s">
        <v>96</v>
      </c>
      <c r="I1009" s="246" t="n">
        <f aca="false">SUM(K1009:R1009)</f>
        <v>4</v>
      </c>
      <c r="J1009" s="182" t="n">
        <v>45704</v>
      </c>
      <c r="M1009" s="150" t="n">
        <f aca="false">1+1</f>
        <v>2</v>
      </c>
      <c r="O1009" s="152" t="n">
        <v>2</v>
      </c>
      <c r="S1009" s="192" t="n">
        <f aca="false">(K1009+O1009+Q1009)*24 /1130+(L1009+M1009+P1009+R1009)*12/1130+(N1009*30)/1130</f>
        <v>0.063716814159292</v>
      </c>
    </row>
    <row r="1010" customFormat="false" ht="15" hidden="true" customHeight="true" outlineLevel="0" collapsed="false">
      <c r="B1010" s="127" t="n">
        <f aca="false">B1009+D1010-C1010</f>
        <v>4697.75</v>
      </c>
      <c r="D1010" s="146" t="n">
        <f aca="false">2*138</f>
        <v>276</v>
      </c>
      <c r="E1010" s="147" t="n">
        <v>795</v>
      </c>
      <c r="F1010" s="147" t="n">
        <f aca="false">IFERROR(VLOOKUP(H1010,$AD$1:$AE$301,2,0),"")</f>
        <v>1007980</v>
      </c>
      <c r="G1010" s="147" t="str">
        <f aca="false">IFERROR(VLOOKUP(F1010,$AE$2:$AF$290,2, 0),"")</f>
        <v>ضباء</v>
      </c>
      <c r="H1010" s="212" t="s">
        <v>81</v>
      </c>
      <c r="I1010" s="246" t="n">
        <f aca="false">SUM(K1010:R1010)</f>
        <v>2</v>
      </c>
      <c r="J1010" s="182" t="n">
        <v>45704</v>
      </c>
      <c r="Q1010" s="154" t="n">
        <v>2</v>
      </c>
      <c r="S1010" s="192" t="n">
        <f aca="false">(K1010+O1010+Q1010)*24 /1130+(L1010+M1010+P1010+R1010)*12/1130+(N1010*30)/1130</f>
        <v>0.0424778761061947</v>
      </c>
    </row>
    <row r="1011" customFormat="false" ht="15" hidden="true" customHeight="true" outlineLevel="0" collapsed="false">
      <c r="B1011" s="127" t="n">
        <f aca="false">B1010+D1011-C1011</f>
        <v>6601</v>
      </c>
      <c r="D1011" s="146" t="n">
        <f aca="false">299*2+230+253+241.5+287.5+155.25+138</f>
        <v>1903.25</v>
      </c>
      <c r="E1011" s="147" t="n">
        <v>796</v>
      </c>
      <c r="F1011" s="147" t="n">
        <f aca="false">IFERROR(VLOOKUP(H1011,$AD$1:$AE$301,2,0),"")</f>
        <v>1002949</v>
      </c>
      <c r="G1011" s="147" t="str">
        <f aca="false">IFERROR(VLOOKUP(F1011,$AE$2:$AF$290,2, 0),"")</f>
        <v>تبوك</v>
      </c>
      <c r="H1011" s="212" t="s">
        <v>169</v>
      </c>
      <c r="I1011" s="246" t="n">
        <f aca="false">SUM(K1011:R1011)</f>
        <v>8</v>
      </c>
      <c r="J1011" s="182" t="n">
        <v>45704</v>
      </c>
      <c r="K1011" s="148" t="n">
        <f aca="false">1+1</f>
        <v>2</v>
      </c>
      <c r="M1011" s="150" t="n">
        <f aca="false">1+1</f>
        <v>2</v>
      </c>
      <c r="N1011" s="151" t="n">
        <v>1</v>
      </c>
      <c r="O1011" s="152" t="n">
        <v>1</v>
      </c>
      <c r="Q1011" s="154" t="n">
        <v>1</v>
      </c>
      <c r="R1011" s="155" t="n">
        <v>1</v>
      </c>
      <c r="S1011" s="192" t="n">
        <f aca="false">(K1011+O1011+Q1011)*24 /1130+(L1011+M1011+P1011+R1011)*12/1130+(N1011*30)/1130</f>
        <v>0.143362831858407</v>
      </c>
    </row>
    <row r="1012" customFormat="false" ht="15" hidden="true" customHeight="true" outlineLevel="0" collapsed="false">
      <c r="B1012" s="127" t="n">
        <f aca="false">B1011+D1012-C1012</f>
        <v>4764.5</v>
      </c>
      <c r="C1012" s="127" t="n">
        <f aca="false">D1003+D1005+D1006-60.25+350</f>
        <v>1836.5</v>
      </c>
      <c r="E1012" s="212" t="s">
        <v>470</v>
      </c>
      <c r="F1012" s="147" t="str">
        <f aca="false">IFERROR(VLOOKUP(H1012,$AD$1:$AE$301,2,0),"")</f>
        <v/>
      </c>
      <c r="G1012" s="147" t="str">
        <f aca="false">IFERROR(VLOOKUP(F1012,$AE$2:$AF$290,2, 0),"")</f>
        <v/>
      </c>
      <c r="H1012" s="212" t="s">
        <v>393</v>
      </c>
      <c r="I1012" s="246" t="n">
        <f aca="false">SUM(K1012:R1012)</f>
        <v>0</v>
      </c>
      <c r="J1012" s="182" t="n">
        <v>45704</v>
      </c>
      <c r="S1012" s="192" t="n">
        <f aca="false">(K1012+O1012+Q1012)*24 /1130+(L1012+M1012+P1012+R1012)*12/1130+(N1012*30)/1130</f>
        <v>0</v>
      </c>
    </row>
    <row r="1013" customFormat="false" ht="15" hidden="true" customHeight="true" outlineLevel="0" collapsed="false">
      <c r="B1013" s="127" t="n">
        <f aca="false">B1012+D1013-C1013</f>
        <v>549.5</v>
      </c>
      <c r="C1013" s="127" t="n">
        <v>4215</v>
      </c>
      <c r="E1013" s="212" t="s">
        <v>653</v>
      </c>
      <c r="F1013" s="147" t="str">
        <f aca="false">IFERROR(VLOOKUP(H1013,$AD$1:$AE$301,2,0),"")</f>
        <v/>
      </c>
      <c r="G1013" s="147" t="str">
        <f aca="false">IFERROR(VLOOKUP(F1013,$AE$2:$AF$290,2, 0),"")</f>
        <v/>
      </c>
      <c r="H1013" s="212" t="s">
        <v>393</v>
      </c>
      <c r="I1013" s="246" t="n">
        <f aca="false">SUM(K1013:R1013)</f>
        <v>0</v>
      </c>
      <c r="J1013" s="182" t="n">
        <v>45704</v>
      </c>
      <c r="S1013" s="192" t="n">
        <f aca="false">(K1013+O1013+Q1013)*24 /1130+(L1013+M1013+P1013+R1013)*12/1130+(N1013*30)/1130</f>
        <v>0</v>
      </c>
    </row>
    <row r="1014" customFormat="false" ht="15" hidden="true" customHeight="true" outlineLevel="0" collapsed="false">
      <c r="B1014" s="127" t="n">
        <f aca="false">B1013+D1014-C1014</f>
        <v>0</v>
      </c>
      <c r="C1014" s="127" t="n">
        <v>549.5</v>
      </c>
      <c r="E1014" s="212" t="s">
        <v>657</v>
      </c>
      <c r="F1014" s="147" t="str">
        <f aca="false">IFERROR(VLOOKUP(H1014,$AD$1:$AE$301,2,0),"")</f>
        <v/>
      </c>
      <c r="G1014" s="147" t="str">
        <f aca="false">IFERROR(VLOOKUP(F1014,$AE$2:$AF$290,2, 0),"")</f>
        <v/>
      </c>
      <c r="H1014" s="212" t="s">
        <v>393</v>
      </c>
      <c r="I1014" s="246" t="n">
        <f aca="false">SUM(K1014:R1014)</f>
        <v>0</v>
      </c>
      <c r="J1014" s="182" t="n">
        <v>45704</v>
      </c>
      <c r="S1014" s="192" t="n">
        <f aca="false">(K1014+O1014+Q1014)*24 /1130+(L1014+M1014+P1014+R1014)*12/1130+(N1014*30)/1130</f>
        <v>0</v>
      </c>
    </row>
    <row r="1015" customFormat="false" ht="15" hidden="true" customHeight="true" outlineLevel="0" collapsed="false">
      <c r="B1015" s="127" t="n">
        <f aca="false">B1014+D1015-C1015</f>
        <v>908.5</v>
      </c>
      <c r="D1015" s="146" t="n">
        <f aca="false">299*2+155.25*2</f>
        <v>908.5</v>
      </c>
      <c r="E1015" s="147" t="n">
        <v>797</v>
      </c>
      <c r="F1015" s="147" t="n">
        <f aca="false">IFERROR(VLOOKUP(H1015,$AD$1:$AE$301,2,0),"")</f>
        <v>653</v>
      </c>
      <c r="G1015" s="147" t="str">
        <f aca="false">IFERROR(VLOOKUP(F1015,$AE$2:$AF$290,2, 0),"")</f>
        <v>تبوك</v>
      </c>
      <c r="H1015" s="212" t="s">
        <v>264</v>
      </c>
      <c r="I1015" s="246" t="n">
        <f aca="false">SUM(K1015:R1015)</f>
        <v>4</v>
      </c>
      <c r="J1015" s="182" t="n">
        <v>45707</v>
      </c>
      <c r="K1015" s="148" t="n">
        <v>2</v>
      </c>
      <c r="R1015" s="155" t="n">
        <v>2</v>
      </c>
      <c r="S1015" s="192" t="n">
        <f aca="false">(K1015+O1015+Q1015)*24 /1130+(L1015+M1015+P1015+R1015)*12/1130+(N1015*30)/1130</f>
        <v>0.063716814159292</v>
      </c>
    </row>
    <row r="1016" customFormat="false" ht="15" hidden="true" customHeight="true" outlineLevel="0" collapsed="false">
      <c r="A1016" s="128" t="n">
        <f aca="false">D1016-454</f>
        <v>0.25</v>
      </c>
      <c r="B1016" s="127" t="n">
        <f aca="false">B1015+D1016-C1016</f>
        <v>1362.75</v>
      </c>
      <c r="D1016" s="146" t="n">
        <f aca="false">155.25+299</f>
        <v>454.25</v>
      </c>
      <c r="E1016" s="147" t="n">
        <v>798</v>
      </c>
      <c r="F1016" s="147" t="n">
        <f aca="false">IFERROR(VLOOKUP(H1016,$AD$1:$AE$301,2,0),"")</f>
        <v>652</v>
      </c>
      <c r="G1016" s="147" t="str">
        <f aca="false">IFERROR(VLOOKUP(F1016,$AE$2:$AF$290,2, 0),"")</f>
        <v>تبوك</v>
      </c>
      <c r="H1016" s="212" t="s">
        <v>263</v>
      </c>
      <c r="I1016" s="246" t="n">
        <f aca="false">SUM(K1016:R1016)</f>
        <v>2</v>
      </c>
      <c r="J1016" s="182" t="n">
        <v>45707</v>
      </c>
      <c r="K1016" s="184"/>
      <c r="R1016" s="155" t="n">
        <f aca="false">1+1</f>
        <v>2</v>
      </c>
      <c r="S1016" s="192" t="n">
        <f aca="false">(K1016+O1016+Q1016)*24 /1130+(L1016+M1016+P1016+R1016)*12/1130+(N1016*30)/1130</f>
        <v>0.0212389380530973</v>
      </c>
    </row>
    <row r="1017" customFormat="false" ht="15" hidden="true" customHeight="true" outlineLevel="0" collapsed="false">
      <c r="B1017" s="127" t="n">
        <f aca="false">B1016+D1017-C1017</f>
        <v>1960.75</v>
      </c>
      <c r="D1017" s="146" t="n">
        <f aca="false">299*2</f>
        <v>598</v>
      </c>
      <c r="E1017" s="147" t="n">
        <v>799</v>
      </c>
      <c r="F1017" s="147" t="n">
        <f aca="false">IFERROR(VLOOKUP(H1017,$AD$1:$AE$301,2,0),"")</f>
        <v>681</v>
      </c>
      <c r="G1017" s="147" t="str">
        <f aca="false">IFERROR(VLOOKUP(F1017,$AE$2:$AF$290,2, 0),"")</f>
        <v>تبوك</v>
      </c>
      <c r="H1017" s="212" t="s">
        <v>268</v>
      </c>
      <c r="I1017" s="246" t="n">
        <f aca="false">SUM(K1017:R1017)</f>
        <v>2</v>
      </c>
      <c r="J1017" s="182" t="n">
        <v>45707</v>
      </c>
      <c r="K1017" s="148" t="n">
        <v>2</v>
      </c>
      <c r="S1017" s="192" t="n">
        <f aca="false">(K1017+O1017+Q1017)*24 /1130+(L1017+M1017+P1017+R1017)*12/1130+(N1017*30)/1130</f>
        <v>0.0424778761061947</v>
      </c>
    </row>
    <row r="1018" customFormat="false" ht="15" hidden="true" customHeight="true" outlineLevel="0" collapsed="false">
      <c r="B1018" s="127" t="n">
        <f aca="false">B1017+D1018-C1018</f>
        <v>5077.25</v>
      </c>
      <c r="D1018" s="146" t="n">
        <f aca="false">299+4*345+5*287.5</f>
        <v>3116.5</v>
      </c>
      <c r="E1018" s="147" t="n">
        <v>800</v>
      </c>
      <c r="F1018" s="147" t="n">
        <f aca="false">IFERROR(VLOOKUP(H1018,$AD$1:$AE$301,2,0),"")</f>
        <v>1008023</v>
      </c>
      <c r="G1018" s="147" t="str">
        <f aca="false">IFERROR(VLOOKUP(F1018,$AE$2:$AF$290,2, 0),"")</f>
        <v>ضباء</v>
      </c>
      <c r="H1018" s="212" t="s">
        <v>95</v>
      </c>
      <c r="I1018" s="246" t="n">
        <f aca="false">SUM(K1018:R1018)</f>
        <v>10</v>
      </c>
      <c r="J1018" s="182" t="n">
        <v>45707</v>
      </c>
      <c r="K1018" s="148" t="n">
        <v>1</v>
      </c>
      <c r="M1018" s="150" t="n">
        <v>4</v>
      </c>
      <c r="N1018" s="151" t="n">
        <f aca="false">4+1</f>
        <v>5</v>
      </c>
      <c r="S1018" s="192" t="n">
        <f aca="false">(K1018+O1018+Q1018)*24 /1130+(L1018+M1018+P1018+R1018)*12/1130+(N1018*30)/1130</f>
        <v>0.19646017699115</v>
      </c>
    </row>
    <row r="1019" customFormat="false" ht="15" hidden="true" customHeight="true" outlineLevel="0" collapsed="false">
      <c r="B1019" s="127" t="n">
        <f aca="false">B1018+D1019-C1019</f>
        <v>5387.75</v>
      </c>
      <c r="D1019" s="146" t="n">
        <f aca="false">155.25*2</f>
        <v>310.5</v>
      </c>
      <c r="E1019" s="147" t="n">
        <v>801</v>
      </c>
      <c r="F1019" s="147" t="n">
        <f aca="false">IFERROR(VLOOKUP(H1019,$AD$1:$AE$301,2,0),"")</f>
        <v>1008025</v>
      </c>
      <c r="G1019" s="147" t="str">
        <f aca="false">IFERROR(VLOOKUP(F1019,$AE$2:$AF$290,2, 0),"")</f>
        <v>ضباء</v>
      </c>
      <c r="H1019" s="212" t="s">
        <v>97</v>
      </c>
      <c r="I1019" s="246" t="n">
        <f aca="false">SUM(K1019:R1019)</f>
        <v>2</v>
      </c>
      <c r="J1019" s="182" t="n">
        <v>45707</v>
      </c>
      <c r="R1019" s="155" t="n">
        <v>2</v>
      </c>
      <c r="S1019" s="192" t="n">
        <f aca="false">(K1019+O1019+Q1019)*24 /1130+(L1019+M1019+P1019+R1019)*12/1130+(N1019*30)/1130</f>
        <v>0.0212389380530973</v>
      </c>
    </row>
    <row r="1020" customFormat="false" ht="15" hidden="true" customHeight="true" outlineLevel="0" collapsed="false">
      <c r="B1020" s="127" t="n">
        <f aca="false">B1019+D1020-C1020</f>
        <v>5617.75</v>
      </c>
      <c r="D1020" s="146" t="n">
        <v>230</v>
      </c>
      <c r="E1020" s="147" t="n">
        <v>802</v>
      </c>
      <c r="F1020" s="147" t="n">
        <f aca="false">IFERROR(VLOOKUP(H1020,$AD$1:$AE$301,2,0),"")</f>
        <v>1008025</v>
      </c>
      <c r="G1020" s="147" t="str">
        <f aca="false">IFERROR(VLOOKUP(F1020,$AE$2:$AF$290,2, 0),"")</f>
        <v>ضباء</v>
      </c>
      <c r="H1020" s="212" t="s">
        <v>97</v>
      </c>
      <c r="I1020" s="246" t="n">
        <f aca="false">SUM(K1020:R1020)</f>
        <v>1</v>
      </c>
      <c r="J1020" s="182" t="n">
        <v>45707</v>
      </c>
      <c r="M1020" s="150" t="n">
        <v>1</v>
      </c>
      <c r="S1020" s="192" t="n">
        <f aca="false">(K1020+O1020+Q1020)*24 /1130+(L1020+M1020+P1020+R1020)*12/1130+(N1020*30)/1130</f>
        <v>0.0106194690265487</v>
      </c>
    </row>
    <row r="1021" customFormat="false" ht="15" hidden="true" customHeight="true" outlineLevel="0" collapsed="false">
      <c r="B1021" s="127" t="n">
        <f aca="false">B1020+D1021-C1021</f>
        <v>5870.75</v>
      </c>
      <c r="D1021" s="146" t="n">
        <v>253</v>
      </c>
      <c r="E1021" s="147" t="n">
        <v>803</v>
      </c>
      <c r="F1021" s="147" t="n">
        <f aca="false">IFERROR(VLOOKUP(H1021,$AD$1:$AE$301,2,0),"")</f>
        <v>1007989</v>
      </c>
      <c r="G1021" s="147" t="str">
        <f aca="false">IFERROR(VLOOKUP(F1021,$AE$2:$AF$290,2, 0),"")</f>
        <v>ضباء</v>
      </c>
      <c r="H1021" s="212" t="s">
        <v>90</v>
      </c>
      <c r="I1021" s="246" t="n">
        <f aca="false">SUM(K1021:R1021)</f>
        <v>1</v>
      </c>
      <c r="J1021" s="182" t="n">
        <v>45707</v>
      </c>
      <c r="M1021" s="150" t="n">
        <v>1</v>
      </c>
      <c r="S1021" s="192" t="n">
        <f aca="false">(K1021+O1021+Q1021)*24 /1130+(L1021+M1021+P1021+R1021)*12/1130+(N1021*30)/1130</f>
        <v>0.0106194690265487</v>
      </c>
    </row>
    <row r="1022" customFormat="false" ht="15" hidden="true" customHeight="true" outlineLevel="0" collapsed="false">
      <c r="B1022" s="127" t="n">
        <f aca="false">B1021+D1022-C1022</f>
        <v>4762.25</v>
      </c>
      <c r="C1022" s="127" t="n">
        <f aca="false">D1015+200</f>
        <v>1108.5</v>
      </c>
      <c r="E1022" s="212" t="s">
        <v>470</v>
      </c>
      <c r="F1022" s="147" t="str">
        <f aca="false">IFERROR(VLOOKUP(H1022,$AD$1:$AE$301,2,0),"")</f>
        <v/>
      </c>
      <c r="G1022" s="147" t="str">
        <f aca="false">IFERROR(VLOOKUP(F1022,$AE$2:$AF$290,2, 0),"")</f>
        <v/>
      </c>
      <c r="H1022" s="212" t="s">
        <v>393</v>
      </c>
      <c r="I1022" s="246" t="n">
        <f aca="false">SUM(K1022:R1022)</f>
        <v>0</v>
      </c>
      <c r="J1022" s="182" t="n">
        <v>45707</v>
      </c>
      <c r="S1022" s="192" t="n">
        <f aca="false">(K1022+O1022+Q1022)*24 /1130+(L1022+M1022+P1022+R1022)*12/1130+(N1022*30)/1130</f>
        <v>0</v>
      </c>
    </row>
    <row r="1023" customFormat="false" ht="15" hidden="true" customHeight="true" outlineLevel="0" collapsed="false">
      <c r="B1023" s="127" t="n">
        <f aca="false">B1022+D1023-C1023</f>
        <v>0.25</v>
      </c>
      <c r="C1023" s="127" t="n">
        <v>4762</v>
      </c>
      <c r="E1023" s="212" t="s">
        <v>653</v>
      </c>
      <c r="F1023" s="147" t="str">
        <f aca="false">IFERROR(VLOOKUP(H1023,$AD$1:$AE$301,2,0),"")</f>
        <v/>
      </c>
      <c r="G1023" s="147" t="str">
        <f aca="false">IFERROR(VLOOKUP(F1023,$AE$2:$AF$290,2, 0),"")</f>
        <v/>
      </c>
      <c r="H1023" s="212" t="s">
        <v>393</v>
      </c>
      <c r="I1023" s="246" t="n">
        <f aca="false">SUM(K1023:R1023)</f>
        <v>0</v>
      </c>
      <c r="J1023" s="182" t="n">
        <v>45707</v>
      </c>
      <c r="S1023" s="192" t="n">
        <f aca="false">(K1023+O1023+Q1023)*24 /1130+(L1023+M1023+P1023+R1023)*12/1130+(N1023*30)/1130</f>
        <v>0</v>
      </c>
    </row>
    <row r="1024" customFormat="false" ht="15" hidden="true" customHeight="true" outlineLevel="0" collapsed="false">
      <c r="A1024" s="79" t="n">
        <f aca="false">D1024-150-477-20+400-351</f>
        <v>0</v>
      </c>
      <c r="B1024" s="127" t="n">
        <f aca="false">B1023+D1024-C1024</f>
        <v>598.25</v>
      </c>
      <c r="D1024" s="146" t="n">
        <f aca="false">299*2</f>
        <v>598</v>
      </c>
      <c r="E1024" s="147" t="n">
        <v>807</v>
      </c>
      <c r="F1024" s="147" t="n">
        <f aca="false">IFERROR(VLOOKUP(H1024,$AD$1:$AE$301,2,0),"")</f>
        <v>1008266</v>
      </c>
      <c r="G1024" s="147" t="str">
        <f aca="false">IFERROR(VLOOKUP(F1024,$AE$2:$AF$290,2, 0),"")</f>
        <v>تبوك</v>
      </c>
      <c r="H1024" s="212" t="s">
        <v>178</v>
      </c>
      <c r="I1024" s="246" t="n">
        <f aca="false">SUM(K1024:R1024)</f>
        <v>2</v>
      </c>
      <c r="J1024" s="182" t="n">
        <v>45708</v>
      </c>
      <c r="K1024" s="148" t="n">
        <f aca="false">1+1</f>
        <v>2</v>
      </c>
      <c r="S1024" s="192" t="n">
        <f aca="false">(K1024+O1024+Q1024)*24 /1130+(L1024+M1024+P1024+R1024)*12/1130+(N1024*30)/1130</f>
        <v>0.0424778761061947</v>
      </c>
    </row>
    <row r="1025" customFormat="false" ht="15" hidden="true" customHeight="true" outlineLevel="0" collapsed="false">
      <c r="A1025" s="79" t="n">
        <f aca="false">D1025-1100-200-147+10</f>
        <v>0.5</v>
      </c>
      <c r="B1025" s="127" t="n">
        <f aca="false">B1024+D1025-C1025</f>
        <v>2035.75</v>
      </c>
      <c r="D1025" s="146" t="n">
        <f aca="false">299*4+241.5</f>
        <v>1437.5</v>
      </c>
      <c r="E1025" s="147" t="n">
        <v>804</v>
      </c>
      <c r="F1025" s="147" t="n">
        <f aca="false">IFERROR(VLOOKUP(H1025,$AD$1:$AE$301,2,0),"")</f>
        <v>575</v>
      </c>
      <c r="G1025" s="147" t="str">
        <f aca="false">IFERROR(VLOOKUP(F1025,$AE$2:$AF$290,2, 0),"")</f>
        <v>تبوك</v>
      </c>
      <c r="H1025" s="212" t="s">
        <v>132</v>
      </c>
      <c r="I1025" s="246" t="n">
        <f aca="false">SUM(K1025:R1025)</f>
        <v>5</v>
      </c>
      <c r="J1025" s="182" t="n">
        <v>45708</v>
      </c>
      <c r="K1025" s="184" t="n">
        <f aca="false">3+1</f>
        <v>4</v>
      </c>
      <c r="O1025" s="152" t="n">
        <v>1</v>
      </c>
      <c r="S1025" s="192" t="n">
        <f aca="false">(K1025+O1025+Q1025)*24 /1130+(L1025+M1025+P1025+R1025)*12/1130+(N1025*30)/1130</f>
        <v>0.106194690265487</v>
      </c>
    </row>
    <row r="1026" customFormat="false" ht="15" hidden="true" customHeight="true" outlineLevel="0" collapsed="false">
      <c r="A1026" s="128" t="n">
        <f aca="false">D1026-356.5</f>
        <v>0</v>
      </c>
      <c r="B1026" s="127" t="n">
        <f aca="false">B1025+D1026-C1026</f>
        <v>2392.25</v>
      </c>
      <c r="D1026" s="146" t="n">
        <f aca="false">178.25*2</f>
        <v>356.5</v>
      </c>
      <c r="E1026" s="147" t="n">
        <v>808</v>
      </c>
      <c r="F1026" s="147" t="n">
        <f aca="false">IFERROR(VLOOKUP(H1026,$AD$1:$AE$301,2,0),"")</f>
        <v>1008266</v>
      </c>
      <c r="G1026" s="147" t="str">
        <f aca="false">IFERROR(VLOOKUP(F1026,$AE$2:$AF$290,2, 0),"")</f>
        <v>تبوك</v>
      </c>
      <c r="H1026" s="212" t="s">
        <v>178</v>
      </c>
      <c r="I1026" s="246" t="n">
        <f aca="false">SUM(K1026:R1026)</f>
        <v>2</v>
      </c>
      <c r="J1026" s="182" t="n">
        <v>45708</v>
      </c>
      <c r="L1026" s="149" t="n">
        <v>2</v>
      </c>
      <c r="S1026" s="192" t="n">
        <f aca="false">(K1026+O1026+Q1026)*24 /1130+(L1026+M1026+P1026+R1026)*12/1130+(N1026*30)/1130</f>
        <v>0.0212389380530973</v>
      </c>
    </row>
    <row r="1027" customFormat="false" ht="15" hidden="true" customHeight="true" outlineLevel="0" collapsed="false">
      <c r="A1027" s="128" t="n">
        <f aca="false">D1027-5-547</f>
        <v>0</v>
      </c>
      <c r="B1027" s="127" t="n">
        <f aca="false">B1026+D1027-C1027</f>
        <v>2944.25</v>
      </c>
      <c r="D1027" s="146" t="n">
        <f aca="false">299+253</f>
        <v>552</v>
      </c>
      <c r="E1027" s="147" t="n">
        <v>805</v>
      </c>
      <c r="F1027" s="147" t="n">
        <f aca="false">IFERROR(VLOOKUP(H1027,$AD$1:$AE$301,2,0),"")</f>
        <v>1008261</v>
      </c>
      <c r="G1027" s="147" t="str">
        <f aca="false">IFERROR(VLOOKUP(F1027,$AE$2:$AF$290,2, 0),"")</f>
        <v>تبوك</v>
      </c>
      <c r="H1027" s="212" t="s">
        <v>440</v>
      </c>
      <c r="I1027" s="246" t="n">
        <f aca="false">SUM(K1027:R1027)</f>
        <v>2</v>
      </c>
      <c r="J1027" s="182" t="n">
        <v>45708</v>
      </c>
      <c r="K1027" s="148" t="n">
        <v>1</v>
      </c>
      <c r="M1027" s="150" t="n">
        <v>1</v>
      </c>
      <c r="S1027" s="192" t="n">
        <f aca="false">(K1027+O1027+Q1027)*24 /1130+(L1027+M1027+P1027+R1027)*12/1130+(N1027*30)/1130</f>
        <v>0.031858407079646</v>
      </c>
    </row>
    <row r="1028" customFormat="false" ht="15" hidden="true" customHeight="true" outlineLevel="0" collapsed="false">
      <c r="B1028" s="127" t="n">
        <f aca="false">B1027+D1028-C1028</f>
        <v>4025.25</v>
      </c>
      <c r="D1028" s="146" t="n">
        <f aca="false">299*2+253+230</f>
        <v>1081</v>
      </c>
      <c r="E1028" s="147" t="n">
        <v>806</v>
      </c>
      <c r="F1028" s="147" t="n">
        <f aca="false">IFERROR(VLOOKUP(H1028,$AD$1:$AE$301,2,0),"")</f>
        <v>1008275</v>
      </c>
      <c r="G1028" s="147" t="str">
        <f aca="false">IFERROR(VLOOKUP(F1028,$AE$2:$AF$290,2, 0),"")</f>
        <v>تبوك</v>
      </c>
      <c r="H1028" s="212" t="s">
        <v>179</v>
      </c>
      <c r="I1028" s="246" t="n">
        <f aca="false">SUM(K1028:R1028)</f>
        <v>4</v>
      </c>
      <c r="J1028" s="182" t="n">
        <v>45708</v>
      </c>
      <c r="K1028" s="148" t="n">
        <f aca="false">1+1</f>
        <v>2</v>
      </c>
      <c r="M1028" s="150" t="n">
        <f aca="false">1+1</f>
        <v>2</v>
      </c>
      <c r="S1028" s="192" t="n">
        <f aca="false">(K1028+O1028+Q1028)*24 /1130+(L1028+M1028+P1028+R1028)*12/1130+(N1028*30)/1130</f>
        <v>0.063716814159292</v>
      </c>
    </row>
    <row r="1029" customFormat="false" ht="15" hidden="true" customHeight="true" outlineLevel="0" collapsed="false">
      <c r="A1029" s="128" t="n">
        <f aca="false">D1029-200-100</f>
        <v>-1</v>
      </c>
      <c r="B1029" s="127" t="n">
        <f aca="false">B1028+D1029-C1029</f>
        <v>4324.25</v>
      </c>
      <c r="D1029" s="146" t="n">
        <v>299</v>
      </c>
      <c r="E1029" s="147" t="n">
        <v>812</v>
      </c>
      <c r="F1029" s="147" t="n">
        <f aca="false">IFERROR(VLOOKUP(H1029,$AD$1:$AE$301,2,0),"")</f>
        <v>555</v>
      </c>
      <c r="G1029" s="147" t="str">
        <f aca="false">IFERROR(VLOOKUP(F1029,$AE$2:$AF$290,2, 0),"")</f>
        <v>تبوك</v>
      </c>
      <c r="H1029" s="212" t="s">
        <v>260</v>
      </c>
      <c r="I1029" s="246" t="n">
        <f aca="false">SUM(K1029:R1029)</f>
        <v>1</v>
      </c>
      <c r="J1029" s="182" t="n">
        <v>45710</v>
      </c>
      <c r="K1029" s="148" t="n">
        <v>1</v>
      </c>
      <c r="S1029" s="192" t="n">
        <f aca="false">(K1029+O1029+Q1029)*24 /1130+(L1029+M1029+P1029+R1029)*12/1130+(N1029*30)/1130</f>
        <v>0.0212389380530973</v>
      </c>
    </row>
    <row r="1030" customFormat="false" ht="15" hidden="true" customHeight="true" outlineLevel="0" collapsed="false">
      <c r="A1030" s="230" t="n">
        <f aca="false">D1030-500-75</f>
        <v>0</v>
      </c>
      <c r="B1030" s="127" t="n">
        <f aca="false">B1029+D1030-C1030</f>
        <v>4899.25</v>
      </c>
      <c r="D1030" s="146" t="n">
        <f aca="false">2*287.5</f>
        <v>575</v>
      </c>
      <c r="E1030" s="147" t="n">
        <v>813</v>
      </c>
      <c r="F1030" s="147" t="n">
        <f aca="false">IFERROR(VLOOKUP(H1030,$AD$1:$AE$301,2,0),"")</f>
        <v>555</v>
      </c>
      <c r="G1030" s="147" t="str">
        <f aca="false">IFERROR(VLOOKUP(F1030,$AE$2:$AF$290,2, 0),"")</f>
        <v>تبوك</v>
      </c>
      <c r="H1030" s="212" t="s">
        <v>260</v>
      </c>
      <c r="I1030" s="246" t="n">
        <f aca="false">SUM(K1030:R1030)</f>
        <v>2</v>
      </c>
      <c r="J1030" s="182" t="n">
        <v>45710</v>
      </c>
      <c r="K1030" s="184"/>
      <c r="N1030" s="151" t="n">
        <v>2</v>
      </c>
      <c r="S1030" s="192" t="n">
        <f aca="false">(K1030+O1030+Q1030)*24 /1130+(L1030+M1030+P1030+R1030)*12/1130+(N1030*30)/1130</f>
        <v>0.0530973451327434</v>
      </c>
    </row>
    <row r="1031" customFormat="false" ht="15" hidden="true" customHeight="true" outlineLevel="0" collapsed="false">
      <c r="A1031" s="128" t="n">
        <f aca="false">D1031-237-200</f>
        <v>0</v>
      </c>
      <c r="B1031" s="127" t="n">
        <f aca="false">B1030+D1031-C1031</f>
        <v>5336.25</v>
      </c>
      <c r="D1031" s="146" t="n">
        <f aca="false">299+138</f>
        <v>437</v>
      </c>
      <c r="E1031" s="147" t="n">
        <v>809</v>
      </c>
      <c r="F1031" s="147" t="n">
        <f aca="false">IFERROR(VLOOKUP(H1031,$AD$1:$AE$301,2,0),"")</f>
        <v>1008057</v>
      </c>
      <c r="G1031" s="147" t="str">
        <f aca="false">IFERROR(VLOOKUP(F1031,$AE$2:$AF$290,2, 0),"")</f>
        <v>تبوك</v>
      </c>
      <c r="H1031" s="212" t="s">
        <v>242</v>
      </c>
      <c r="I1031" s="246" t="n">
        <f aca="false">SUM(K1031:R1031)</f>
        <v>2</v>
      </c>
      <c r="J1031" s="182" t="n">
        <v>45710</v>
      </c>
      <c r="K1031" s="148" t="n">
        <v>1</v>
      </c>
      <c r="Q1031" s="154" t="n">
        <v>1</v>
      </c>
      <c r="S1031" s="192" t="n">
        <f aca="false">(K1031+O1031+Q1031)*24 /1130+(L1031+M1031+P1031+R1031)*12/1130+(N1031*30)/1130</f>
        <v>0.0424778761061947</v>
      </c>
    </row>
    <row r="1032" customFormat="false" ht="15" hidden="true" customHeight="true" outlineLevel="0" collapsed="false">
      <c r="A1032" s="128" t="n">
        <f aca="false">D1032-255-44</f>
        <v>0</v>
      </c>
      <c r="B1032" s="127" t="n">
        <f aca="false">B1031+D1032-C1032</f>
        <v>5635.25</v>
      </c>
      <c r="D1032" s="146" t="n">
        <v>299</v>
      </c>
      <c r="E1032" s="147" t="n">
        <v>810</v>
      </c>
      <c r="F1032" s="147" t="n">
        <f aca="false">IFERROR(VLOOKUP(H1032,$AD$1:$AE$301,2,0),"")</f>
        <v>539</v>
      </c>
      <c r="G1032" s="147" t="str">
        <f aca="false">IFERROR(VLOOKUP(F1032,$AE$2:$AF$290,2, 0),"")</f>
        <v>تبوك</v>
      </c>
      <c r="H1032" s="212" t="s">
        <v>237</v>
      </c>
      <c r="I1032" s="246" t="n">
        <f aca="false">SUM(K1032:R1032)</f>
        <v>1</v>
      </c>
      <c r="J1032" s="182" t="n">
        <v>45710</v>
      </c>
      <c r="K1032" s="148" t="n">
        <v>1</v>
      </c>
      <c r="S1032" s="192" t="n">
        <f aca="false">(K1032+O1032+Q1032)*24 /1130+(L1032+M1032+P1032+R1032)*12/1130+(N1032*30)/1130</f>
        <v>0.0212389380530973</v>
      </c>
    </row>
    <row r="1033" customFormat="false" ht="15" hidden="true" customHeight="true" outlineLevel="0" collapsed="false">
      <c r="A1033" s="79" t="n">
        <f aca="false">D1033-141-100</f>
        <v>0.5</v>
      </c>
      <c r="B1033" s="127" t="n">
        <f aca="false">B1032+D1033-C1033</f>
        <v>5876.75</v>
      </c>
      <c r="D1033" s="146" t="n">
        <v>241.5</v>
      </c>
      <c r="E1033" s="147" t="n">
        <v>811</v>
      </c>
      <c r="F1033" s="147" t="n">
        <f aca="false">IFERROR(VLOOKUP(H1033,$AD$1:$AE$301,2,0),"")</f>
        <v>635</v>
      </c>
      <c r="G1033" s="147" t="str">
        <f aca="false">IFERROR(VLOOKUP(F1033,$AE$2:$AF$290,2, 0),"")</f>
        <v>تبوك</v>
      </c>
      <c r="H1033" s="212" t="s">
        <v>157</v>
      </c>
      <c r="I1033" s="246" t="n">
        <f aca="false">SUM(K1033:R1033)</f>
        <v>1</v>
      </c>
      <c r="J1033" s="182" t="n">
        <v>45707</v>
      </c>
      <c r="Q1033" s="154" t="n">
        <v>1</v>
      </c>
      <c r="S1033" s="192" t="n">
        <f aca="false">(K1033+O1033+Q1033)*24 /1130+(L1033+M1033+P1033+R1033)*12/1130+(N1033*30)/1130</f>
        <v>0.0212389380530973</v>
      </c>
    </row>
    <row r="1034" customFormat="false" ht="15" hidden="true" customHeight="true" outlineLevel="0" collapsed="false">
      <c r="B1034" s="127" t="n">
        <f aca="false">B1033+D1034-C1034</f>
        <v>4793.75</v>
      </c>
      <c r="C1034" s="127" t="n">
        <f aca="false">D1028+2</f>
        <v>1083</v>
      </c>
      <c r="E1034" s="212" t="s">
        <v>657</v>
      </c>
      <c r="F1034" s="147" t="str">
        <f aca="false">IFERROR(VLOOKUP(H1034,$AD$1:$AE$301,2,0),"")</f>
        <v/>
      </c>
      <c r="G1034" s="147" t="str">
        <f aca="false">IFERROR(VLOOKUP(F1034,$AE$2:$AF$290,2, 0),"")</f>
        <v/>
      </c>
      <c r="H1034" s="212" t="s">
        <v>393</v>
      </c>
      <c r="I1034" s="246" t="n">
        <f aca="false">SUM(K1034:R1034)</f>
        <v>0</v>
      </c>
      <c r="J1034" s="182" t="n">
        <v>45708</v>
      </c>
      <c r="S1034" s="192" t="n">
        <f aca="false">(K1034+O1034+Q1034)*24 /1130+(L1034+M1034+P1034+R1034)*12/1130+(N1034*30)/1130</f>
        <v>0</v>
      </c>
    </row>
    <row r="1035" customFormat="false" ht="15" hidden="true" customHeight="true" outlineLevel="0" collapsed="false">
      <c r="B1035" s="127" t="n">
        <f aca="false">B1034+D1035-C1035</f>
        <v>3710.75</v>
      </c>
      <c r="C1035" s="127" t="n">
        <f aca="false">D1027-5+D1029+D1031-200</f>
        <v>1083</v>
      </c>
      <c r="E1035" s="212" t="s">
        <v>470</v>
      </c>
      <c r="F1035" s="147" t="str">
        <f aca="false">IFERROR(VLOOKUP(H1035,$AD$1:$AE$301,2,0),"")</f>
        <v/>
      </c>
      <c r="G1035" s="147" t="str">
        <f aca="false">IFERROR(VLOOKUP(F1035,$AE$2:$AF$290,2, 0),"")</f>
        <v/>
      </c>
      <c r="H1035" s="212" t="s">
        <v>393</v>
      </c>
      <c r="I1035" s="246" t="n">
        <f aca="false">SUM(K1035:R1035)</f>
        <v>0</v>
      </c>
      <c r="J1035" s="182" t="n">
        <v>45708</v>
      </c>
      <c r="S1035" s="192" t="n">
        <f aca="false">(K1035+O1035+Q1035)*24 /1130+(L1035+M1035+P1035+R1035)*12/1130+(N1035*30)/1130</f>
        <v>0</v>
      </c>
    </row>
    <row r="1036" customFormat="false" ht="15" hidden="true" customHeight="true" outlineLevel="0" collapsed="false">
      <c r="B1036" s="127" t="n">
        <f aca="false">B1035+D1036-C1036</f>
        <v>0</v>
      </c>
      <c r="C1036" s="127" t="n">
        <v>3710.75</v>
      </c>
      <c r="E1036" s="212" t="s">
        <v>653</v>
      </c>
      <c r="F1036" s="147" t="str">
        <f aca="false">IFERROR(VLOOKUP(H1036,$AD$1:$AE$301,2,0),"")</f>
        <v/>
      </c>
      <c r="G1036" s="147" t="str">
        <f aca="false">IFERROR(VLOOKUP(F1036,$AE$2:$AF$290,2, 0),"")</f>
        <v/>
      </c>
      <c r="H1036" s="212" t="s">
        <v>393</v>
      </c>
      <c r="I1036" s="246" t="n">
        <f aca="false">SUM(K1036:R1036)</f>
        <v>0</v>
      </c>
      <c r="J1036" s="182" t="n">
        <v>45710</v>
      </c>
      <c r="S1036" s="192" t="n">
        <f aca="false">(K1036+O1036+Q1036)*24 /1130+(L1036+M1036+P1036+R1036)*12/1130+(N1036*30)/1130</f>
        <v>0</v>
      </c>
    </row>
    <row r="1037" customFormat="false" ht="15" hidden="true" customHeight="true" outlineLevel="0" collapsed="false">
      <c r="B1037" s="127" t="n">
        <f aca="false">B1036+D1037-C1037</f>
        <v>483</v>
      </c>
      <c r="D1037" s="146" t="n">
        <f aca="false">241.5*2</f>
        <v>483</v>
      </c>
      <c r="E1037" s="147" t="n">
        <v>814</v>
      </c>
      <c r="F1037" s="147" t="n">
        <f aca="false">IFERROR(VLOOKUP(H1037,$AD$1:$AE$301,2,0),"")</f>
        <v>1007996</v>
      </c>
      <c r="G1037" s="147" t="str">
        <f aca="false">IFERROR(VLOOKUP(F1037,$AE$2:$AF$290,2, 0),"")</f>
        <v>البير</v>
      </c>
      <c r="H1037" s="212" t="s">
        <v>295</v>
      </c>
      <c r="I1037" s="246" t="n">
        <f aca="false">SUM(K1037:R1037)</f>
        <v>2</v>
      </c>
      <c r="J1037" s="182" t="n">
        <v>45712</v>
      </c>
      <c r="O1037" s="152" t="n">
        <f aca="false">1+1</f>
        <v>2</v>
      </c>
      <c r="S1037" s="192" t="n">
        <f aca="false">(K1037+O1037+Q1037)*24 /1130+(L1037+M1037+P1037+R1037)*12/1130+(N1037*30)/1130</f>
        <v>0.0424778761061947</v>
      </c>
    </row>
    <row r="1038" customFormat="false" ht="15" hidden="true" customHeight="true" outlineLevel="0" collapsed="false">
      <c r="B1038" s="127" t="n">
        <f aca="false">B1037+D1038-C1038</f>
        <v>782</v>
      </c>
      <c r="D1038" s="146" t="n">
        <v>299</v>
      </c>
      <c r="E1038" s="147" t="n">
        <v>815</v>
      </c>
      <c r="F1038" s="147" t="n">
        <f aca="false">IFERROR(VLOOKUP(H1038,$AD$1:$AE$301,2,0),"")</f>
        <v>1008040</v>
      </c>
      <c r="G1038" s="147" t="str">
        <f aca="false">IFERROR(VLOOKUP(F1038,$AE$2:$AF$290,2, 0),"")</f>
        <v>البير</v>
      </c>
      <c r="H1038" s="212" t="s">
        <v>292</v>
      </c>
      <c r="I1038" s="246" t="n">
        <f aca="false">SUM(K1038:R1038)</f>
        <v>1</v>
      </c>
      <c r="J1038" s="182" t="n">
        <v>45712</v>
      </c>
      <c r="K1038" s="148" t="n">
        <v>1</v>
      </c>
      <c r="S1038" s="192" t="n">
        <f aca="false">(K1038+O1038+Q1038)*24 /1130+(L1038+M1038+P1038+R1038)*12/1130+(N1038*30)/1130</f>
        <v>0.0212389380530973</v>
      </c>
    </row>
    <row r="1039" customFormat="false" ht="15" hidden="true" customHeight="true" outlineLevel="0" collapsed="false">
      <c r="B1039" s="127" t="n">
        <f aca="false">B1038+D1039-C1039</f>
        <v>1081</v>
      </c>
      <c r="D1039" s="146" t="n">
        <v>299</v>
      </c>
      <c r="E1039" s="147" t="n">
        <v>816</v>
      </c>
      <c r="F1039" s="147" t="n">
        <f aca="false">IFERROR(VLOOKUP(H1039,$AD$1:$AE$301,2,0),"")</f>
        <v>1008020</v>
      </c>
      <c r="G1039" s="147" t="str">
        <f aca="false">IFERROR(VLOOKUP(F1039,$AE$2:$AF$290,2, 0),"")</f>
        <v>البير</v>
      </c>
      <c r="H1039" s="212" t="s">
        <v>293</v>
      </c>
      <c r="I1039" s="246" t="n">
        <f aca="false">SUM(K1039:R1039)</f>
        <v>1</v>
      </c>
      <c r="J1039" s="182" t="n">
        <v>45712</v>
      </c>
      <c r="K1039" s="148" t="n">
        <v>1</v>
      </c>
      <c r="S1039" s="192" t="n">
        <f aca="false">(K1039+O1039+Q1039)*24 /1130+(L1039+M1039+P1039+R1039)*12/1130+(N1039*30)/1130</f>
        <v>0.0212389380530973</v>
      </c>
    </row>
    <row r="1040" customFormat="false" ht="15" hidden="true" customHeight="true" outlineLevel="0" collapsed="false">
      <c r="A1040" s="128" t="n">
        <f aca="false">D1040-3150-960</f>
        <v>1.25</v>
      </c>
      <c r="B1040" s="127" t="n">
        <f aca="false">B1039+D1040-C1040</f>
        <v>5192.25</v>
      </c>
      <c r="D1040" s="146" t="n">
        <f aca="false">236.75*5+252*5+345*2+5*195.5</f>
        <v>4111.25</v>
      </c>
      <c r="E1040" s="147" t="n">
        <v>817</v>
      </c>
      <c r="F1040" s="147" t="n">
        <f aca="false">IFERROR(VLOOKUP(H1040,$AD$1:$AE$301,2,0),"")</f>
        <v>1007970</v>
      </c>
      <c r="G1040" s="147" t="str">
        <f aca="false">IFERROR(VLOOKUP(F1040,$AE$2:$AF$290,2, 0),"")</f>
        <v>حقل</v>
      </c>
      <c r="H1040" s="212" t="s">
        <v>310</v>
      </c>
      <c r="I1040" s="246" t="n">
        <f aca="false">SUM(K1040:R1040)</f>
        <v>17</v>
      </c>
      <c r="J1040" s="182" t="n">
        <v>45703</v>
      </c>
      <c r="K1040" s="184"/>
      <c r="M1040" s="150" t="n">
        <f aca="false">5+5+2</f>
        <v>12</v>
      </c>
      <c r="Q1040" s="154" t="n">
        <v>5</v>
      </c>
      <c r="S1040" s="192" t="n">
        <f aca="false">(K1040+O1040+Q1040)*24 /1130+(L1040+M1040+P1040+R1040)*12/1130+(N1040*30)/1130</f>
        <v>0.233628318584071</v>
      </c>
    </row>
    <row r="1041" customFormat="false" ht="15" hidden="true" customHeight="true" outlineLevel="0" collapsed="false">
      <c r="B1041" s="127" t="n">
        <f aca="false">B1040+D1041-C1041</f>
        <v>5491.25</v>
      </c>
      <c r="D1041" s="146" t="n">
        <v>299</v>
      </c>
      <c r="E1041" s="147" t="n">
        <v>818</v>
      </c>
      <c r="F1041" s="147" t="n">
        <f aca="false">IFERROR(VLOOKUP(H1041,$AD$1:$AE$301,2,0),"")</f>
        <v>1006522</v>
      </c>
      <c r="G1041" s="147" t="str">
        <f aca="false">IFERROR(VLOOKUP(F1041,$AE$2:$AF$290,2, 0),"")</f>
        <v>البدع</v>
      </c>
      <c r="H1041" s="212" t="s">
        <v>317</v>
      </c>
      <c r="I1041" s="246" t="n">
        <f aca="false">SUM(K1041:R1041)</f>
        <v>1</v>
      </c>
      <c r="J1041" s="182" t="n">
        <v>45712</v>
      </c>
      <c r="K1041" s="148" t="n">
        <v>1</v>
      </c>
      <c r="S1041" s="192" t="n">
        <f aca="false">(K1041+O1041+Q1041)*24 /1130+(L1041+M1041+P1041+R1041)*12/1130+(N1041*30)/1130</f>
        <v>0.0212389380530973</v>
      </c>
    </row>
    <row r="1042" customFormat="false" ht="15" hidden="true" customHeight="true" outlineLevel="0" collapsed="false">
      <c r="B1042" s="127" t="n">
        <f aca="false">B1041+D1042-C1042</f>
        <v>7515.25</v>
      </c>
      <c r="D1042" s="146" t="n">
        <f aca="false">253*8</f>
        <v>2024</v>
      </c>
      <c r="E1042" s="147" t="n">
        <v>819</v>
      </c>
      <c r="F1042" s="147" t="n">
        <f aca="false">IFERROR(VLOOKUP(H1042,$AD$1:$AE$301,2,0),"")</f>
        <v>1008014</v>
      </c>
      <c r="G1042" s="147" t="str">
        <f aca="false">IFERROR(VLOOKUP(F1042,$AE$2:$AF$290,2, 0),"")</f>
        <v>البدع</v>
      </c>
      <c r="H1042" s="212" t="s">
        <v>322</v>
      </c>
      <c r="I1042" s="246" t="n">
        <f aca="false">SUM(K1042:R1042)</f>
        <v>8</v>
      </c>
      <c r="J1042" s="182" t="n">
        <v>45712</v>
      </c>
      <c r="M1042" s="150" t="n">
        <v>8</v>
      </c>
      <c r="S1042" s="192" t="n">
        <f aca="false">(K1042+O1042+Q1042)*24 /1130+(L1042+M1042+P1042+R1042)*12/1130+(N1042*30)/1130</f>
        <v>0.0849557522123894</v>
      </c>
    </row>
    <row r="1043" customFormat="false" ht="15" hidden="true" customHeight="true" outlineLevel="0" collapsed="false">
      <c r="B1043" s="127" t="n">
        <f aca="false">B1042+D1043-C1043</f>
        <v>8239.75</v>
      </c>
      <c r="D1043" s="146" t="n">
        <f aca="false">241.5*3</f>
        <v>724.5</v>
      </c>
      <c r="E1043" s="147" t="n">
        <v>820</v>
      </c>
      <c r="F1043" s="147" t="n">
        <f aca="false">IFERROR(VLOOKUP(H1043,$AD$1:$AE$301,2,0),"")</f>
        <v>1008019</v>
      </c>
      <c r="G1043" s="147" t="str">
        <f aca="false">IFERROR(VLOOKUP(F1043,$AE$2:$AF$290,2, 0),"")</f>
        <v>البدع</v>
      </c>
      <c r="H1043" s="212" t="s">
        <v>327</v>
      </c>
      <c r="I1043" s="246" t="n">
        <f aca="false">SUM(K1043:R1043)</f>
        <v>3</v>
      </c>
      <c r="J1043" s="182" t="n">
        <v>45712</v>
      </c>
      <c r="O1043" s="152" t="n">
        <f aca="false">3</f>
        <v>3</v>
      </c>
      <c r="S1043" s="192" t="n">
        <f aca="false">(K1043+O1043+Q1043)*24 /1130+(L1043+M1043+P1043+R1043)*12/1130+(N1043*30)/1130</f>
        <v>0.063716814159292</v>
      </c>
    </row>
    <row r="1044" customFormat="false" ht="15" hidden="true" customHeight="true" outlineLevel="0" collapsed="false">
      <c r="B1044" s="127" t="n">
        <f aca="false">B1043+D1044-C1044</f>
        <v>7984.75</v>
      </c>
      <c r="C1044" s="127" t="n">
        <f aca="false">D1032-44</f>
        <v>255</v>
      </c>
      <c r="E1044" s="212" t="s">
        <v>657</v>
      </c>
      <c r="F1044" s="147" t="str">
        <f aca="false">IFERROR(VLOOKUP(H1044,$AD$1:$AE$301,2,0),"")</f>
        <v/>
      </c>
      <c r="G1044" s="147" t="str">
        <f aca="false">IFERROR(VLOOKUP(F1044,$AE$2:$AF$290,2, 0),"")</f>
        <v/>
      </c>
      <c r="H1044" s="212" t="s">
        <v>393</v>
      </c>
      <c r="I1044" s="246" t="n">
        <f aca="false">SUM(K1044:R1044)</f>
        <v>0</v>
      </c>
      <c r="J1044" s="182" t="n">
        <v>45712</v>
      </c>
      <c r="S1044" s="192" t="n">
        <f aca="false">(K1044+O1044+Q1044)*24 /1130+(L1044+M1044+P1044+R1044)*12/1130+(N1044*30)/1130</f>
        <v>0</v>
      </c>
    </row>
    <row r="1045" customFormat="false" ht="15" hidden="true" customHeight="true" outlineLevel="0" collapsed="false">
      <c r="B1045" s="127" t="n">
        <f aca="false">B1044+D1045-C1045</f>
        <v>6860.75</v>
      </c>
      <c r="C1045" s="127" t="n">
        <f aca="false">500+124+D1043-224.5</f>
        <v>1124</v>
      </c>
      <c r="E1045" s="212" t="s">
        <v>470</v>
      </c>
      <c r="F1045" s="147" t="str">
        <f aca="false">IFERROR(VLOOKUP(H1045,$AD$1:$AE$301,2,0),"")</f>
        <v/>
      </c>
      <c r="G1045" s="147" t="str">
        <f aca="false">IFERROR(VLOOKUP(F1045,$AE$2:$AF$290,2, 0),"")</f>
        <v/>
      </c>
      <c r="H1045" s="212" t="s">
        <v>393</v>
      </c>
      <c r="I1045" s="246" t="n">
        <f aca="false">SUM(K1045:R1045)</f>
        <v>0</v>
      </c>
      <c r="J1045" s="182" t="n">
        <v>45712</v>
      </c>
      <c r="S1045" s="192" t="n">
        <f aca="false">(K1045+O1045+Q1045)*24 /1130+(L1045+M1045+P1045+R1045)*12/1130+(N1045*30)/1130</f>
        <v>0</v>
      </c>
    </row>
    <row r="1046" customFormat="false" ht="15" hidden="true" customHeight="true" outlineLevel="0" collapsed="false">
      <c r="B1046" s="127" t="n">
        <f aca="false">B1045+D1046-C1046</f>
        <v>0</v>
      </c>
      <c r="C1046" s="127" t="n">
        <f aca="false">500*7+200*5+100*14+50*6+10*6+600.75</f>
        <v>6860.75</v>
      </c>
      <c r="E1046" s="212" t="s">
        <v>653</v>
      </c>
      <c r="F1046" s="147" t="str">
        <f aca="false">IFERROR(VLOOKUP(H1046,$AD$1:$AE$301,2,0),"")</f>
        <v/>
      </c>
      <c r="G1046" s="147" t="str">
        <f aca="false">IFERROR(VLOOKUP(F1046,$AE$2:$AF$290,2, 0),"")</f>
        <v/>
      </c>
      <c r="H1046" s="212" t="s">
        <v>393</v>
      </c>
      <c r="I1046" s="246" t="n">
        <f aca="false">SUM(K1046:R1046)</f>
        <v>0</v>
      </c>
      <c r="J1046" s="182" t="n">
        <v>45712</v>
      </c>
      <c r="S1046" s="192" t="n">
        <f aca="false">(K1046+O1046+Q1046)*24 /1130+(L1046+M1046+P1046+R1046)*12/1130+(N1046*30)/1130</f>
        <v>0</v>
      </c>
    </row>
    <row r="1047" customFormat="false" ht="15" hidden="true" customHeight="true" outlineLevel="0" collapsed="false">
      <c r="A1047" s="79" t="n">
        <f aca="false">D1047-391</f>
        <v>0</v>
      </c>
      <c r="B1047" s="127" t="n">
        <f aca="false">B1046+D1047-C1047</f>
        <v>391</v>
      </c>
      <c r="D1047" s="146" t="n">
        <f aca="false">253+138</f>
        <v>391</v>
      </c>
      <c r="E1047" s="147" t="n">
        <v>821</v>
      </c>
      <c r="F1047" s="147" t="n">
        <f aca="false">IFERROR(VLOOKUP(H1047,$AD$1:$AE$301,2,0),"")</f>
        <v>653</v>
      </c>
      <c r="G1047" s="147" t="str">
        <f aca="false">IFERROR(VLOOKUP(F1047,$AE$2:$AF$290,2, 0),"")</f>
        <v>تبوك</v>
      </c>
      <c r="H1047" s="212" t="s">
        <v>264</v>
      </c>
      <c r="I1047" s="246" t="n">
        <f aca="false">SUM(K1047:R1047)</f>
        <v>2</v>
      </c>
      <c r="J1047" s="182" t="n">
        <v>45713</v>
      </c>
      <c r="M1047" s="150" t="n">
        <v>1</v>
      </c>
      <c r="Q1047" s="154" t="n">
        <v>1</v>
      </c>
      <c r="S1047" s="192" t="n">
        <f aca="false">(K1047+O1047+Q1047)*24 /1130+(L1047+M1047+P1047+R1047)*12/1130+(N1047*30)/1130</f>
        <v>0.031858407079646</v>
      </c>
    </row>
    <row r="1048" customFormat="false" ht="15" hidden="true" customHeight="true" outlineLevel="0" collapsed="false">
      <c r="A1048" s="79" t="n">
        <f aca="false">D1048+362.5-517.75</f>
        <v>0</v>
      </c>
      <c r="B1048" s="127" t="n">
        <f aca="false">B1047+D1048-C1048</f>
        <v>546.25</v>
      </c>
      <c r="D1048" s="146" t="n">
        <v>155.25</v>
      </c>
      <c r="E1048" s="147" t="n">
        <v>822</v>
      </c>
      <c r="F1048" s="147" t="n">
        <f aca="false">IFERROR(VLOOKUP(H1048,$AD$1:$AE$301,2,0),"")</f>
        <v>562</v>
      </c>
      <c r="G1048" s="147" t="str">
        <f aca="false">IFERROR(VLOOKUP(F1048,$AE$2:$AF$290,2, 0),"")</f>
        <v>تبوك</v>
      </c>
      <c r="H1048" s="212" t="s">
        <v>234</v>
      </c>
      <c r="I1048" s="246" t="n">
        <f aca="false">SUM(K1048:R1048)</f>
        <v>1</v>
      </c>
      <c r="J1048" s="182" t="n">
        <v>45713</v>
      </c>
      <c r="R1048" s="155" t="n">
        <v>1</v>
      </c>
      <c r="S1048" s="192" t="n">
        <f aca="false">(K1048+O1048+Q1048)*24 /1130+(L1048+M1048+P1048+R1048)*12/1130+(N1048*30)/1130</f>
        <v>0.0106194690265487</v>
      </c>
    </row>
    <row r="1049" customFormat="false" ht="15" hidden="true" customHeight="true" outlineLevel="0" collapsed="false">
      <c r="A1049" s="128" t="n">
        <f aca="false">D1049-299</f>
        <v>0</v>
      </c>
      <c r="B1049" s="127" t="n">
        <f aca="false">B1048+D1049-C1049</f>
        <v>845.25</v>
      </c>
      <c r="D1049" s="146" t="n">
        <v>299</v>
      </c>
      <c r="E1049" s="147" t="n">
        <v>823</v>
      </c>
      <c r="F1049" s="147" t="n">
        <f aca="false">IFERROR(VLOOKUP(H1049,$AD$1:$AE$301,2,0),"")</f>
        <v>1008266</v>
      </c>
      <c r="G1049" s="147" t="str">
        <f aca="false">IFERROR(VLOOKUP(F1049,$AE$2:$AF$290,2, 0),"")</f>
        <v>تبوك</v>
      </c>
      <c r="H1049" s="212" t="s">
        <v>178</v>
      </c>
      <c r="I1049" s="246" t="n">
        <f aca="false">SUM(K1049:R1049)</f>
        <v>1</v>
      </c>
      <c r="J1049" s="182" t="n">
        <v>45713</v>
      </c>
      <c r="K1049" s="148" t="n">
        <v>1</v>
      </c>
      <c r="S1049" s="192" t="n">
        <f aca="false">(K1049+O1049+Q1049)*24 /1130+(L1049+M1049+P1049+R1049)*12/1130+(N1049*30)/1130</f>
        <v>0.0212389380530973</v>
      </c>
    </row>
    <row r="1050" customFormat="false" ht="15" hidden="true" customHeight="true" outlineLevel="0" collapsed="false">
      <c r="A1050" s="79" t="n">
        <f aca="false">D1050-100+40+1500-1739-150-149</f>
        <v>0</v>
      </c>
      <c r="B1050" s="127" t="n">
        <f aca="false">B1049+D1050-C1050</f>
        <v>1443.25</v>
      </c>
      <c r="D1050" s="146" t="n">
        <v>598</v>
      </c>
      <c r="E1050" s="147" t="n">
        <v>824</v>
      </c>
      <c r="F1050" s="147" t="n">
        <f aca="false">IFERROR(VLOOKUP(H1050,$AD$1:$AE$301,2,0),"")</f>
        <v>622</v>
      </c>
      <c r="G1050" s="147" t="str">
        <f aca="false">IFERROR(VLOOKUP(F1050,$AE$2:$AF$290,2, 0),"")</f>
        <v>تبوك</v>
      </c>
      <c r="H1050" s="212" t="s">
        <v>177</v>
      </c>
      <c r="I1050" s="246" t="n">
        <f aca="false">SUM(K1050:R1050)</f>
        <v>2</v>
      </c>
      <c r="J1050" s="182" t="n">
        <v>45713</v>
      </c>
      <c r="K1050" s="148" t="n">
        <f aca="false">1+1</f>
        <v>2</v>
      </c>
      <c r="S1050" s="192" t="n">
        <f aca="false">(K1050+O1050+Q1050)*24 /1130+(L1050+M1050+P1050+R1050)*12/1130+(N1050*30)/1130</f>
        <v>0.0424778761061947</v>
      </c>
    </row>
    <row r="1051" customFormat="false" ht="15" hidden="true" customHeight="true" outlineLevel="0" collapsed="false">
      <c r="A1051" s="79" t="n">
        <f aca="false">D1051-989</f>
        <v>0</v>
      </c>
      <c r="B1051" s="127" t="n">
        <f aca="false">B1050+D1051-C1051</f>
        <v>2432.25</v>
      </c>
      <c r="D1051" s="146" t="n">
        <f aca="false">253+253+241.5+241.5</f>
        <v>989</v>
      </c>
      <c r="E1051" s="147" t="n">
        <v>825</v>
      </c>
      <c r="F1051" s="147" t="n">
        <f aca="false">IFERROR(VLOOKUP(H1051,$AD$1:$AE$301,2,0),"")</f>
        <v>1002949</v>
      </c>
      <c r="G1051" s="147" t="str">
        <f aca="false">IFERROR(VLOOKUP(F1051,$AE$2:$AF$290,2, 0),"")</f>
        <v>تبوك</v>
      </c>
      <c r="H1051" s="212" t="s">
        <v>169</v>
      </c>
      <c r="I1051" s="246" t="n">
        <f aca="false">SUM(K1051:R1051)</f>
        <v>4</v>
      </c>
      <c r="J1051" s="182" t="n">
        <v>45713</v>
      </c>
      <c r="M1051" s="150" t="n">
        <f aca="false">1+1</f>
        <v>2</v>
      </c>
      <c r="Q1051" s="154" t="n">
        <v>2</v>
      </c>
      <c r="S1051" s="192" t="n">
        <f aca="false">(K1051+O1051+Q1051)*24 /1130+(L1051+M1051+P1051+R1051)*12/1130+(N1051*30)/1130</f>
        <v>0.063716814159292</v>
      </c>
    </row>
    <row r="1052" customFormat="false" ht="15" hidden="true" customHeight="true" outlineLevel="0" collapsed="false">
      <c r="A1052" s="79" t="n">
        <f aca="false">D1052-204-500-200-150-600-250-16.5</f>
        <v>0</v>
      </c>
      <c r="B1052" s="127" t="n">
        <f aca="false">B1051+D1052-C1052</f>
        <v>4352.75</v>
      </c>
      <c r="D1052" s="146" t="n">
        <f aca="false">253*2+230*3+241.5*3</f>
        <v>1920.5</v>
      </c>
      <c r="E1052" s="147" t="n">
        <v>826</v>
      </c>
      <c r="F1052" s="147" t="n">
        <f aca="false">IFERROR(VLOOKUP(H1052,$AD$1:$AE$301,2,0),"")</f>
        <v>636</v>
      </c>
      <c r="G1052" s="147" t="str">
        <f aca="false">IFERROR(VLOOKUP(F1052,$AE$2:$AF$290,2, 0),"")</f>
        <v>تبوك</v>
      </c>
      <c r="H1052" s="212" t="s">
        <v>134</v>
      </c>
      <c r="I1052" s="246" t="n">
        <f aca="false">SUM(K1052:R1052)</f>
        <v>8</v>
      </c>
      <c r="J1052" s="182" t="n">
        <v>45713</v>
      </c>
      <c r="M1052" s="150" t="n">
        <f aca="false">3+2</f>
        <v>5</v>
      </c>
      <c r="O1052" s="152" t="n">
        <f aca="false">2+1</f>
        <v>3</v>
      </c>
      <c r="S1052" s="192" t="n">
        <f aca="false">(K1052+O1052+Q1052)*24 /1130+(L1052+M1052+P1052+R1052)*12/1130+(N1052*30)/1130</f>
        <v>0.116814159292035</v>
      </c>
    </row>
    <row r="1053" customFormat="false" ht="15" hidden="true" customHeight="true" outlineLevel="0" collapsed="false">
      <c r="B1053" s="127" t="n">
        <f aca="false">B1052+D1053-C1053</f>
        <v>833.75</v>
      </c>
      <c r="C1053" s="127" t="n">
        <v>3519</v>
      </c>
      <c r="E1053" s="212" t="s">
        <v>658</v>
      </c>
      <c r="F1053" s="147" t="str">
        <f aca="false">IFERROR(VLOOKUP(H1053,$AD$1:$AE$301,2,0),"")</f>
        <v/>
      </c>
      <c r="G1053" s="147" t="str">
        <f aca="false">IFERROR(VLOOKUP(F1053,$AE$2:$AF$290,2, 0),"")</f>
        <v/>
      </c>
      <c r="H1053" s="212" t="s">
        <v>393</v>
      </c>
      <c r="I1053" s="246" t="n">
        <f aca="false">SUM(K1053:R1053)</f>
        <v>0</v>
      </c>
      <c r="J1053" s="182" t="n">
        <v>45714</v>
      </c>
      <c r="S1053" s="192" t="n">
        <f aca="false">(K1053+O1053+Q1053)*24 /1130+(L1053+M1053+P1053+R1053)*12/1130+(N1053*30)/1130</f>
        <v>0</v>
      </c>
    </row>
    <row r="1054" customFormat="false" ht="15" hidden="true" customHeight="true" outlineLevel="0" collapsed="false">
      <c r="B1054" s="127" t="n">
        <f aca="false">B1053+D1054-C1054</f>
        <v>0.25</v>
      </c>
      <c r="C1054" s="127" t="n">
        <f aca="false">D1026+477</f>
        <v>833.5</v>
      </c>
      <c r="E1054" s="212" t="s">
        <v>470</v>
      </c>
      <c r="F1054" s="147" t="str">
        <f aca="false">IFERROR(VLOOKUP(H1054,$AD$1:$AE$301,2,0),"")</f>
        <v/>
      </c>
      <c r="G1054" s="147" t="str">
        <f aca="false">IFERROR(VLOOKUP(F1054,$AE$2:$AF$290,2, 0),"")</f>
        <v/>
      </c>
      <c r="H1054" s="212" t="s">
        <v>393</v>
      </c>
      <c r="I1054" s="246" t="n">
        <f aca="false">SUM(K1054:R1054)</f>
        <v>0</v>
      </c>
      <c r="J1054" s="182" t="n">
        <v>45713</v>
      </c>
      <c r="S1054" s="192" t="n">
        <f aca="false">(K1054+O1054+Q1054)*24 /1130+(L1054+M1054+P1054+R1054)*12/1130+(N1054*30)/1130</f>
        <v>0</v>
      </c>
    </row>
    <row r="1055" customFormat="false" ht="15" hidden="true" customHeight="true" outlineLevel="0" collapsed="false">
      <c r="B1055" s="127" t="n">
        <f aca="false">B1054+D1055-C1055</f>
        <v>598.25</v>
      </c>
      <c r="D1055" s="146" t="n">
        <f aca="false">299*2</f>
        <v>598</v>
      </c>
      <c r="E1055" s="147" t="n">
        <v>827</v>
      </c>
      <c r="F1055" s="147" t="n">
        <f aca="false">IFERROR(VLOOKUP(H1055,$AD$1:$AE$301,2,0),"")</f>
        <v>566</v>
      </c>
      <c r="G1055" s="147" t="str">
        <f aca="false">IFERROR(VLOOKUP(F1055,$AE$2:$AF$290,2, 0),"")</f>
        <v>تبوك</v>
      </c>
      <c r="H1055" s="212" t="s">
        <v>168</v>
      </c>
      <c r="I1055" s="246" t="n">
        <f aca="false">SUM(K1055:R1055)</f>
        <v>2</v>
      </c>
      <c r="J1055" s="182" t="n">
        <v>45714</v>
      </c>
      <c r="K1055" s="148" t="n">
        <f aca="false">1+1</f>
        <v>2</v>
      </c>
      <c r="S1055" s="192" t="n">
        <f aca="false">(K1055+O1055+Q1055)*24 /1130+(L1055+M1055+P1055+R1055)*12/1130+(N1055*30)/1130</f>
        <v>0.0424778761061947</v>
      </c>
    </row>
    <row r="1056" customFormat="false" ht="15" hidden="true" customHeight="true" outlineLevel="0" collapsed="false">
      <c r="A1056" s="128" t="n">
        <f aca="false">D1056-100-100-260-40-100-150-40-200</f>
        <v>-1</v>
      </c>
      <c r="B1056" s="127" t="n">
        <f aca="false">B1055+D1056-C1056</f>
        <v>1587.25</v>
      </c>
      <c r="D1056" s="146" t="n">
        <f aca="false">138+598+253</f>
        <v>989</v>
      </c>
      <c r="E1056" s="147" t="n">
        <v>828</v>
      </c>
      <c r="F1056" s="147" t="n">
        <f aca="false">IFERROR(VLOOKUP(H1056,$AD$1:$AE$301,2,0),"")</f>
        <v>1002940</v>
      </c>
      <c r="G1056" s="147" t="str">
        <f aca="false">IFERROR(VLOOKUP(F1056,$AE$2:$AF$290,2, 0),"")</f>
        <v>تبوك</v>
      </c>
      <c r="H1056" s="212" t="s">
        <v>167</v>
      </c>
      <c r="I1056" s="246" t="n">
        <f aca="false">SUM(K1056:R1056)</f>
        <v>4</v>
      </c>
      <c r="J1056" s="182" t="n">
        <v>45714</v>
      </c>
      <c r="K1056" s="148" t="n">
        <f aca="false">1+1</f>
        <v>2</v>
      </c>
      <c r="M1056" s="150" t="n">
        <v>1</v>
      </c>
      <c r="Q1056" s="154" t="n">
        <v>1</v>
      </c>
      <c r="S1056" s="192" t="n">
        <f aca="false">(K1056+O1056+Q1056)*24 /1130+(L1056+M1056+P1056+R1056)*12/1130+(N1056*30)/1130</f>
        <v>0.0743362831858407</v>
      </c>
    </row>
    <row r="1057" customFormat="false" ht="15" hidden="true" customHeight="true" outlineLevel="0" collapsed="false">
      <c r="A1057" s="79" t="n">
        <f aca="false">D1057-200-100-100-198</f>
        <v>0</v>
      </c>
      <c r="B1057" s="127" t="n">
        <f aca="false">B1056+D1057-C1057</f>
        <v>2185.25</v>
      </c>
      <c r="D1057" s="146" t="n">
        <f aca="false">299*2</f>
        <v>598</v>
      </c>
      <c r="E1057" s="147" t="n">
        <v>829</v>
      </c>
      <c r="F1057" s="147" t="n">
        <f aca="false">IFERROR(VLOOKUP(H1057,$AD$1:$AE$301,2,0),"")</f>
        <v>1008269</v>
      </c>
      <c r="G1057" s="147" t="str">
        <f aca="false">IFERROR(VLOOKUP(F1057,$AE$2:$AF$290,2, 0),"")</f>
        <v>تبوك</v>
      </c>
      <c r="H1057" s="212" t="s">
        <v>166</v>
      </c>
      <c r="I1057" s="246" t="n">
        <f aca="false">SUM(K1057:R1057)</f>
        <v>2</v>
      </c>
      <c r="J1057" s="182" t="n">
        <v>45714</v>
      </c>
      <c r="K1057" s="148" t="n">
        <f aca="false">1+1</f>
        <v>2</v>
      </c>
      <c r="S1057" s="192" t="n">
        <f aca="false">(K1057+O1057+Q1057)*24 /1130+(L1057+M1057+P1057+R1057)*12/1130+(N1057*30)/1130</f>
        <v>0.0424778761061947</v>
      </c>
    </row>
    <row r="1058" customFormat="false" ht="15" hidden="true" customHeight="true" outlineLevel="0" collapsed="false">
      <c r="A1058" s="128" t="n">
        <f aca="false">D1058-570-25-3</f>
        <v>0</v>
      </c>
      <c r="B1058" s="127" t="n">
        <f aca="false">B1057+D1058-C1058</f>
        <v>2783.25</v>
      </c>
      <c r="D1058" s="146" t="n">
        <f aca="false">299*2</f>
        <v>598</v>
      </c>
      <c r="E1058" s="147" t="n">
        <v>830</v>
      </c>
      <c r="F1058" s="147" t="n">
        <f aca="false">IFERROR(VLOOKUP(H1058,$AD$1:$AE$301,2,0),"")</f>
        <v>1002901</v>
      </c>
      <c r="G1058" s="147" t="str">
        <f aca="false">IFERROR(VLOOKUP(F1058,$AE$2:$AF$290,2, 0),"")</f>
        <v>تبوك</v>
      </c>
      <c r="H1058" s="212" t="s">
        <v>153</v>
      </c>
      <c r="I1058" s="246" t="n">
        <f aca="false">SUM(K1058:R1058)</f>
        <v>2</v>
      </c>
      <c r="J1058" s="182" t="n">
        <v>45714</v>
      </c>
      <c r="K1058" s="148" t="n">
        <v>2</v>
      </c>
      <c r="S1058" s="192" t="n">
        <f aca="false">(K1058+O1058+Q1058)*24 /1130+(L1058+M1058+P1058+R1058)*12/1130+(N1058*30)/1130</f>
        <v>0.0424778761061947</v>
      </c>
    </row>
    <row r="1059" customFormat="false" ht="15" hidden="true" customHeight="true" outlineLevel="0" collapsed="false">
      <c r="A1059" s="128" t="n">
        <f aca="false">D1059+75-125-237</f>
        <v>0.5</v>
      </c>
      <c r="B1059" s="127" t="n">
        <f aca="false">B1058+D1059-C1059</f>
        <v>3070.75</v>
      </c>
      <c r="D1059" s="146" t="n">
        <v>287.5</v>
      </c>
      <c r="E1059" s="147" t="n">
        <v>831</v>
      </c>
      <c r="F1059" s="147" t="n">
        <f aca="false">IFERROR(VLOOKUP(H1059,$AD$1:$AE$301,2,0),"")</f>
        <v>1008269</v>
      </c>
      <c r="G1059" s="147" t="str">
        <f aca="false">IFERROR(VLOOKUP(F1059,$AE$2:$AF$290,2, 0),"")</f>
        <v>تبوك</v>
      </c>
      <c r="H1059" s="212" t="s">
        <v>166</v>
      </c>
      <c r="I1059" s="246" t="n">
        <f aca="false">SUM(K1059:R1059)</f>
        <v>1</v>
      </c>
      <c r="J1059" s="182" t="n">
        <v>45714</v>
      </c>
      <c r="N1059" s="151" t="n">
        <v>1</v>
      </c>
      <c r="S1059" s="192" t="n">
        <f aca="false">(K1059+O1059+Q1059)*24 /1130+(L1059+M1059+P1059+R1059)*12/1130+(N1059*30)/1130</f>
        <v>0.0265486725663717</v>
      </c>
    </row>
    <row r="1060" customFormat="false" ht="15" hidden="true" customHeight="true" outlineLevel="0" collapsed="false">
      <c r="B1060" s="127" t="n">
        <f aca="false">B1059+D1060-C1060</f>
        <v>4266.75</v>
      </c>
      <c r="D1060" s="146" t="n">
        <f aca="false">4*299</f>
        <v>1196</v>
      </c>
      <c r="E1060" s="147" t="n">
        <v>832</v>
      </c>
      <c r="F1060" s="147" t="n">
        <f aca="false">IFERROR(VLOOKUP(H1060,$AD$1:$AE$301,2,0),"")</f>
        <v>1008045</v>
      </c>
      <c r="G1060" s="147" t="str">
        <f aca="false">IFERROR(VLOOKUP(F1060,$AE$2:$AF$290,2, 0),"")</f>
        <v>الوجه</v>
      </c>
      <c r="H1060" s="212" t="s">
        <v>107</v>
      </c>
      <c r="I1060" s="246" t="n">
        <f aca="false">SUM(K1060:R1060)</f>
        <v>4</v>
      </c>
      <c r="J1060" s="182" t="n">
        <v>45714</v>
      </c>
      <c r="K1060" s="148" t="n">
        <v>4</v>
      </c>
      <c r="S1060" s="192" t="n">
        <f aca="false">(K1060+O1060+Q1060)*24 /1130+(L1060+M1060+P1060+R1060)*12/1130+(N1060*30)/1130</f>
        <v>0.0849557522123894</v>
      </c>
    </row>
    <row r="1061" customFormat="false" ht="15" hidden="true" customHeight="true" outlineLevel="0" collapsed="false">
      <c r="B1061" s="127" t="n">
        <f aca="false">B1060+D1061-C1061</f>
        <v>4611.75</v>
      </c>
      <c r="D1061" s="146" t="n">
        <v>345</v>
      </c>
      <c r="E1061" s="147" t="n">
        <v>833</v>
      </c>
      <c r="F1061" s="147" t="n">
        <f aca="false">IFERROR(VLOOKUP(H1061,$AD$1:$AE$301,2,0),"")</f>
        <v>1008046</v>
      </c>
      <c r="G1061" s="147" t="str">
        <f aca="false">IFERROR(VLOOKUP(F1061,$AE$2:$AF$290,2, 0),"")</f>
        <v>الوجه</v>
      </c>
      <c r="H1061" s="212" t="s">
        <v>108</v>
      </c>
      <c r="I1061" s="246" t="n">
        <f aca="false">SUM(K1061:R1061)</f>
        <v>1</v>
      </c>
      <c r="J1061" s="182" t="n">
        <v>45714</v>
      </c>
      <c r="M1061" s="150" t="n">
        <v>1</v>
      </c>
      <c r="S1061" s="192" t="n">
        <f aca="false">(K1061+O1061+Q1061)*24 /1130+(L1061+M1061+P1061+R1061)*12/1130+(N1061*30)/1130</f>
        <v>0.0106194690265487</v>
      </c>
    </row>
    <row r="1062" customFormat="false" ht="15" hidden="true" customHeight="true" outlineLevel="0" collapsed="false">
      <c r="B1062" s="127" t="n">
        <f aca="false">B1061+D1062-C1062</f>
        <v>4749.75</v>
      </c>
      <c r="D1062" s="146" t="n">
        <v>138</v>
      </c>
      <c r="E1062" s="147" t="n">
        <v>834</v>
      </c>
      <c r="F1062" s="147" t="n">
        <f aca="false">IFERROR(VLOOKUP(H1062,$AD$1:$AE$301,2,0),"")</f>
        <v>656</v>
      </c>
      <c r="G1062" s="147" t="str">
        <f aca="false">IFERROR(VLOOKUP(F1062,$AE$2:$AF$290,2, 0),"")</f>
        <v>الوجه</v>
      </c>
      <c r="H1062" s="212" t="s">
        <v>115</v>
      </c>
      <c r="I1062" s="246" t="n">
        <f aca="false">SUM(K1062:R1062)</f>
        <v>1</v>
      </c>
      <c r="J1062" s="182" t="n">
        <v>45714</v>
      </c>
      <c r="Q1062" s="154" t="n">
        <v>1</v>
      </c>
      <c r="S1062" s="192" t="n">
        <f aca="false">(K1062+O1062+Q1062)*24 /1130+(L1062+M1062+P1062+R1062)*12/1130+(N1062*30)/1130</f>
        <v>0.0212389380530973</v>
      </c>
    </row>
    <row r="1063" customFormat="false" ht="15" hidden="true" customHeight="true" outlineLevel="0" collapsed="false">
      <c r="B1063" s="127" t="n">
        <f aca="false">B1062+D1063-C1063</f>
        <v>5347.75</v>
      </c>
      <c r="D1063" s="146" t="n">
        <v>598</v>
      </c>
      <c r="E1063" s="147" t="n">
        <v>835</v>
      </c>
      <c r="F1063" s="147" t="n">
        <f aca="false">IFERROR(VLOOKUP(H1063,$AD$1:$AE$301,2,0),"")</f>
        <v>1008267</v>
      </c>
      <c r="G1063" s="147" t="str">
        <f aca="false">IFERROR(VLOOKUP(F1063,$AE$2:$AF$290,2, 0),"")</f>
        <v>الوجه</v>
      </c>
      <c r="H1063" s="212" t="s">
        <v>114</v>
      </c>
      <c r="I1063" s="246" t="n">
        <f aca="false">SUM(K1063:R1063)</f>
        <v>2</v>
      </c>
      <c r="J1063" s="182" t="n">
        <v>45714</v>
      </c>
      <c r="K1063" s="148" t="n">
        <f aca="false">1+1</f>
        <v>2</v>
      </c>
      <c r="S1063" s="192" t="n">
        <f aca="false">(K1063+O1063+Q1063)*24 /1130+(L1063+M1063+P1063+R1063)*12/1130+(N1063*30)/1130</f>
        <v>0.0424778761061947</v>
      </c>
    </row>
    <row r="1064" customFormat="false" ht="15" hidden="true" customHeight="true" outlineLevel="0" collapsed="false">
      <c r="B1064" s="127" t="n">
        <f aca="false">B1063+D1064-C1064</f>
        <v>6244.75</v>
      </c>
      <c r="D1064" s="146" t="n">
        <f aca="false">3*299</f>
        <v>897</v>
      </c>
      <c r="E1064" s="147" t="n">
        <v>836</v>
      </c>
      <c r="F1064" s="147" t="n">
        <f aca="false">IFERROR(VLOOKUP(H1064,$AD$1:$AE$301,2,0),"")</f>
        <v>1008048</v>
      </c>
      <c r="G1064" s="147" t="str">
        <f aca="false">IFERROR(VLOOKUP(F1064,$AE$2:$AF$290,2, 0),"")</f>
        <v>الوجه</v>
      </c>
      <c r="H1064" s="212" t="s">
        <v>110</v>
      </c>
      <c r="I1064" s="246" t="n">
        <f aca="false">SUM(K1064:R1064)</f>
        <v>3</v>
      </c>
      <c r="J1064" s="182" t="n">
        <v>45714</v>
      </c>
      <c r="K1064" s="148" t="n">
        <v>3</v>
      </c>
      <c r="S1064" s="192" t="n">
        <f aca="false">(K1064+O1064+Q1064)*24 /1130+(L1064+M1064+P1064+R1064)*12/1130+(N1064*30)/1130</f>
        <v>0.063716814159292</v>
      </c>
    </row>
    <row r="1065" customFormat="false" ht="15" hidden="true" customHeight="true" outlineLevel="0" collapsed="false">
      <c r="B1065" s="127" t="n">
        <f aca="false">B1064+D1065-C1065</f>
        <v>6998</v>
      </c>
      <c r="D1065" s="146" t="n">
        <f aca="false">2*299+155.25</f>
        <v>753.25</v>
      </c>
      <c r="E1065" s="147" t="n">
        <v>837</v>
      </c>
      <c r="F1065" s="147" t="n">
        <f aca="false">IFERROR(VLOOKUP(H1065,$AD$1:$AE$301,2,0),"")</f>
        <v>1008043</v>
      </c>
      <c r="G1065" s="147" t="str">
        <f aca="false">IFERROR(VLOOKUP(F1065,$AE$2:$AF$290,2, 0),"")</f>
        <v>الوجه</v>
      </c>
      <c r="H1065" s="212" t="s">
        <v>104</v>
      </c>
      <c r="I1065" s="246" t="n">
        <f aca="false">SUM(K1065:R1065)</f>
        <v>3</v>
      </c>
      <c r="J1065" s="182" t="n">
        <v>45714</v>
      </c>
      <c r="K1065" s="148" t="n">
        <v>2</v>
      </c>
      <c r="R1065" s="155" t="n">
        <v>1</v>
      </c>
      <c r="S1065" s="192" t="n">
        <f aca="false">(K1065+O1065+Q1065)*24 /1130+(L1065+M1065+P1065+R1065)*12/1130+(N1065*30)/1130</f>
        <v>0.0530973451327434</v>
      </c>
    </row>
    <row r="1066" customFormat="false" ht="15" hidden="true" customHeight="true" outlineLevel="0" collapsed="false">
      <c r="B1066" s="127" t="n">
        <f aca="false">B1065+D1066-C1066</f>
        <v>7297</v>
      </c>
      <c r="D1066" s="146" t="n">
        <v>299</v>
      </c>
      <c r="E1066" s="147" t="n">
        <v>838</v>
      </c>
      <c r="F1066" s="147" t="n">
        <f aca="false">IFERROR(VLOOKUP(H1066,$AD$1:$AE$301,2,0),"")</f>
        <v>1008050</v>
      </c>
      <c r="G1066" s="147" t="str">
        <f aca="false">IFERROR(VLOOKUP(F1066,$AE$2:$AF$290,2, 0),"")</f>
        <v>ضباء</v>
      </c>
      <c r="H1066" s="212" t="s">
        <v>92</v>
      </c>
      <c r="I1066" s="246" t="n">
        <f aca="false">SUM(K1066:R1066)</f>
        <v>1</v>
      </c>
      <c r="J1066" s="182" t="n">
        <v>45714</v>
      </c>
      <c r="K1066" s="148" t="n">
        <v>1</v>
      </c>
      <c r="S1066" s="192" t="n">
        <f aca="false">(K1066+O1066+Q1066)*24 /1130+(L1066+M1066+P1066+R1066)*12/1130+(N1066*30)/1130</f>
        <v>0.0212389380530973</v>
      </c>
    </row>
    <row r="1067" customFormat="false" ht="15" hidden="true" customHeight="true" outlineLevel="0" collapsed="false">
      <c r="A1067" s="128" t="n">
        <f aca="false">D1067+138-358-200</f>
        <v>-0.25</v>
      </c>
      <c r="B1067" s="127" t="n">
        <f aca="false">B1066+D1067-C1067</f>
        <v>7716.75</v>
      </c>
      <c r="D1067" s="146" t="n">
        <f aca="false">241.5+178.25</f>
        <v>419.75</v>
      </c>
      <c r="E1067" s="147" t="n">
        <v>839</v>
      </c>
      <c r="F1067" s="147" t="n">
        <f aca="false">IFERROR(VLOOKUP(H1067,$AD$1:$AE$301,2,0),"")</f>
        <v>1008050</v>
      </c>
      <c r="G1067" s="147" t="str">
        <f aca="false">IFERROR(VLOOKUP(F1067,$AE$2:$AF$290,2, 0),"")</f>
        <v>ضباء</v>
      </c>
      <c r="H1067" s="212" t="s">
        <v>92</v>
      </c>
      <c r="I1067" s="246" t="n">
        <f aca="false">SUM(K1067:R1067)</f>
        <v>2</v>
      </c>
      <c r="J1067" s="182" t="n">
        <v>45714</v>
      </c>
      <c r="L1067" s="149" t="n">
        <v>1</v>
      </c>
      <c r="O1067" s="152" t="n">
        <v>1</v>
      </c>
      <c r="S1067" s="192" t="n">
        <f aca="false">(K1067+O1067+Q1067)*24 /1130+(L1067+M1067+P1067+R1067)*12/1130+(N1067*30)/1130</f>
        <v>0.031858407079646</v>
      </c>
    </row>
    <row r="1068" customFormat="false" ht="15" hidden="true" customHeight="true" outlineLevel="0" collapsed="false">
      <c r="A1068" s="128" t="n">
        <f aca="false">D1068-500-80-235-170-441</f>
        <v>0</v>
      </c>
      <c r="B1068" s="127" t="n">
        <f aca="false">B1067+D1068-C1068</f>
        <v>9142.75</v>
      </c>
      <c r="D1068" s="146" t="n">
        <f aca="false">241.5*2+230*3+253</f>
        <v>1426</v>
      </c>
      <c r="E1068" s="147" t="n">
        <v>840</v>
      </c>
      <c r="F1068" s="147" t="n">
        <f aca="false">IFERROR(VLOOKUP(H1068,$AD$1:$AE$301,2,0),"")</f>
        <v>1008024</v>
      </c>
      <c r="G1068" s="147" t="str">
        <f aca="false">IFERROR(VLOOKUP(F1068,$AE$2:$AF$290,2, 0),"")</f>
        <v>ضباء</v>
      </c>
      <c r="H1068" s="212" t="s">
        <v>96</v>
      </c>
      <c r="I1068" s="246" t="n">
        <f aca="false">SUM(K1068:R1068)</f>
        <v>6</v>
      </c>
      <c r="J1068" s="182" t="n">
        <v>45714</v>
      </c>
      <c r="M1068" s="150" t="n">
        <f aca="false">3+1</f>
        <v>4</v>
      </c>
      <c r="O1068" s="152" t="n">
        <v>2</v>
      </c>
      <c r="S1068" s="192" t="n">
        <f aca="false">(K1068+O1068+Q1068)*24 /1130+(L1068+M1068+P1068+R1068)*12/1130+(N1068*30)/1130</f>
        <v>0.0849557522123894</v>
      </c>
    </row>
    <row r="1069" customFormat="false" ht="15" hidden="true" customHeight="true" outlineLevel="0" collapsed="false">
      <c r="B1069" s="127" t="n">
        <f aca="false">B1068+D1069-C1069</f>
        <v>9597</v>
      </c>
      <c r="D1069" s="146" t="n">
        <f aca="false">299+155.25</f>
        <v>454.25</v>
      </c>
      <c r="E1069" s="147" t="n">
        <v>841</v>
      </c>
      <c r="F1069" s="147" t="n">
        <f aca="false">IFERROR(VLOOKUP(H1069,$AD$1:$AE$301,2,0),"")</f>
        <v>1007988</v>
      </c>
      <c r="G1069" s="147" t="str">
        <f aca="false">IFERROR(VLOOKUP(F1069,$AE$2:$AF$290,2, 0),"")</f>
        <v>ضباء</v>
      </c>
      <c r="H1069" s="212" t="s">
        <v>89</v>
      </c>
      <c r="I1069" s="246" t="n">
        <f aca="false">SUM(K1069:R1069)</f>
        <v>2</v>
      </c>
      <c r="J1069" s="182" t="n">
        <v>45714</v>
      </c>
      <c r="K1069" s="148" t="n">
        <v>1</v>
      </c>
      <c r="R1069" s="155" t="n">
        <v>1</v>
      </c>
      <c r="S1069" s="192" t="n">
        <f aca="false">(K1069+O1069+Q1069)*24 /1130+(L1069+M1069+P1069+R1069)*12/1130+(N1069*30)/1130</f>
        <v>0.031858407079646</v>
      </c>
    </row>
    <row r="1070" customFormat="false" ht="15" hidden="true" customHeight="true" outlineLevel="0" collapsed="false">
      <c r="A1070" s="128" t="n">
        <f aca="false">D1070-640-4</f>
        <v>0</v>
      </c>
      <c r="B1070" s="127" t="n">
        <f aca="false">B1069+D1070-C1070</f>
        <v>10241</v>
      </c>
      <c r="D1070" s="146" t="n">
        <f aca="false">299+345</f>
        <v>644</v>
      </c>
      <c r="E1070" s="147" t="n">
        <v>842</v>
      </c>
      <c r="F1070" s="147" t="n">
        <f aca="false">IFERROR(VLOOKUP(H1070,$AD$1:$AE$301,2,0),"")</f>
        <v>1008022</v>
      </c>
      <c r="G1070" s="147" t="str">
        <f aca="false">IFERROR(VLOOKUP(F1070,$AE$2:$AF$290,2, 0),"")</f>
        <v>ضباء</v>
      </c>
      <c r="H1070" s="212" t="s">
        <v>94</v>
      </c>
      <c r="I1070" s="246" t="n">
        <f aca="false">SUM(K1070:R1070)</f>
        <v>2</v>
      </c>
      <c r="J1070" s="182" t="n">
        <v>45714</v>
      </c>
      <c r="K1070" s="148" t="n">
        <v>1</v>
      </c>
      <c r="M1070" s="150" t="n">
        <v>1</v>
      </c>
      <c r="S1070" s="192" t="n">
        <f aca="false">(K1070+O1070+Q1070)*24 /1130+(L1070+M1070+P1070+R1070)*12/1130+(N1070*30)/1130</f>
        <v>0.031858407079646</v>
      </c>
    </row>
    <row r="1071" customFormat="false" ht="15" hidden="true" customHeight="true" outlineLevel="0" collapsed="false">
      <c r="A1071" s="128" t="n">
        <f aca="false">D1071-30*5-102.5</f>
        <v>0.5</v>
      </c>
      <c r="B1071" s="127" t="n">
        <f aca="false">B1070+D1071-C1071</f>
        <v>10494</v>
      </c>
      <c r="D1071" s="146" t="n">
        <v>253</v>
      </c>
      <c r="E1071" s="147" t="n">
        <v>843</v>
      </c>
      <c r="F1071" s="147" t="n">
        <f aca="false">IFERROR(VLOOKUP(H1071,$AD$1:$AE$301,2,0),"")</f>
        <v>1008028</v>
      </c>
      <c r="G1071" s="147" t="str">
        <f aca="false">IFERROR(VLOOKUP(F1071,$AE$2:$AF$290,2, 0),"")</f>
        <v>ضباء</v>
      </c>
      <c r="H1071" s="212" t="s">
        <v>99</v>
      </c>
      <c r="I1071" s="246" t="n">
        <f aca="false">SUM(K1071:R1071)</f>
        <v>1</v>
      </c>
      <c r="J1071" s="182" t="n">
        <v>45714</v>
      </c>
      <c r="M1071" s="150" t="n">
        <v>1</v>
      </c>
      <c r="S1071" s="192" t="n">
        <f aca="false">(K1071+O1071+Q1071)*24 /1130+(L1071+M1071+P1071+R1071)*12/1130+(N1071*30)/1130</f>
        <v>0.0106194690265487</v>
      </c>
    </row>
    <row r="1072" customFormat="false" ht="15" hidden="true" customHeight="true" outlineLevel="0" collapsed="false">
      <c r="A1072" s="265" t="n">
        <f aca="false">D1072-16-100-125-390-30-30-5*7-15-35-6</f>
        <v>0</v>
      </c>
      <c r="B1072" s="127" t="n">
        <f aca="false">B1071+D1072-C1072</f>
        <v>11276</v>
      </c>
      <c r="D1072" s="146" t="n">
        <f aca="false">345+299+138</f>
        <v>782</v>
      </c>
      <c r="E1072" s="147" t="n">
        <v>845</v>
      </c>
      <c r="F1072" s="147" t="n">
        <f aca="false">IFERROR(VLOOKUP(H1072,$AD$1:$AE$301,2,0),"")</f>
        <v>1002852</v>
      </c>
      <c r="G1072" s="147" t="str">
        <f aca="false">IFERROR(VLOOKUP(F1072,$AE$2:$AF$290,2, 0),"")</f>
        <v>تبوك</v>
      </c>
      <c r="H1072" s="212" t="s">
        <v>159</v>
      </c>
      <c r="I1072" s="246" t="n">
        <f aca="false">SUM(K1072:R1072)</f>
        <v>3</v>
      </c>
      <c r="J1072" s="182" t="n">
        <v>45694</v>
      </c>
      <c r="K1072" s="184" t="n">
        <v>1</v>
      </c>
      <c r="M1072" s="150" t="n">
        <v>1</v>
      </c>
      <c r="Q1072" s="154" t="n">
        <v>1</v>
      </c>
      <c r="S1072" s="192" t="n">
        <f aca="false">(K1072+O1072+Q1072)*24 /1130+(L1072+M1072+P1072+R1072)*12/1130+(N1072*30)/1130</f>
        <v>0.0530973451327434</v>
      </c>
    </row>
    <row r="1073" customFormat="false" ht="15" hidden="true" customHeight="true" outlineLevel="0" collapsed="false">
      <c r="A1073" s="128" t="n">
        <f aca="false">D1073-350-200-100-100-150-25-225</f>
        <v>0</v>
      </c>
      <c r="B1073" s="127" t="n">
        <f aca="false">B1072+D1073-C1073</f>
        <v>12426</v>
      </c>
      <c r="D1073" s="146" t="n">
        <f aca="false">299*3+253</f>
        <v>1150</v>
      </c>
      <c r="E1073" s="147" t="n">
        <v>847</v>
      </c>
      <c r="F1073" s="147" t="n">
        <f aca="false">IFERROR(VLOOKUP(H1073,$AD$1:$AE$301,2,0),"")</f>
        <v>1008262</v>
      </c>
      <c r="G1073" s="147" t="str">
        <f aca="false">IFERROR(VLOOKUP(F1073,$AE$2:$AF$290,2, 0),"")</f>
        <v>تبوك</v>
      </c>
      <c r="H1073" s="212" t="s">
        <v>176</v>
      </c>
      <c r="I1073" s="246" t="n">
        <f aca="false">SUM(K1073:R1073)</f>
        <v>4</v>
      </c>
      <c r="J1073" s="182" t="n">
        <v>45700</v>
      </c>
      <c r="K1073" s="148" t="n">
        <f aca="false">2+1</f>
        <v>3</v>
      </c>
      <c r="M1073" s="150" t="n">
        <v>1</v>
      </c>
      <c r="S1073" s="192" t="n">
        <f aca="false">(K1073+O1073+Q1073)*24 /1130+(L1073+M1073+P1073+R1073)*12/1130+(N1073*30)/1130</f>
        <v>0.0743362831858407</v>
      </c>
    </row>
    <row r="1074" customFormat="false" ht="15" hidden="true" customHeight="true" outlineLevel="0" collapsed="false">
      <c r="A1074" s="128" t="n">
        <f aca="false">D1074-598</f>
        <v>0</v>
      </c>
      <c r="B1074" s="127" t="n">
        <f aca="false">B1073+D1074-C1074</f>
        <v>13024</v>
      </c>
      <c r="D1074" s="146" t="n">
        <f aca="false">299+299</f>
        <v>598</v>
      </c>
      <c r="E1074" s="147" t="n">
        <v>846</v>
      </c>
      <c r="F1074" s="147" t="n">
        <f aca="false">IFERROR(VLOOKUP(H1074,$AD$1:$AE$301,2,0),"")</f>
        <v>1008264</v>
      </c>
      <c r="G1074" s="147" t="str">
        <f aca="false">IFERROR(VLOOKUP(F1074,$AE$2:$AF$290,2, 0),"")</f>
        <v>تبوك</v>
      </c>
      <c r="H1074" s="212" t="s">
        <v>160</v>
      </c>
      <c r="I1074" s="246" t="n">
        <f aca="false">SUM(K1074:R1074)</f>
        <v>2</v>
      </c>
      <c r="J1074" s="182" t="n">
        <v>45697</v>
      </c>
      <c r="K1074" s="148" t="n">
        <f aca="false">1+1</f>
        <v>2</v>
      </c>
      <c r="S1074" s="192" t="n">
        <f aca="false">(K1074+O1074+Q1074)*24 /1130+(L1074+M1074+P1074+R1074)*12/1130+(N1074*30)/1130</f>
        <v>0.0424778761061947</v>
      </c>
    </row>
    <row r="1075" customFormat="false" ht="15" hidden="true" customHeight="true" outlineLevel="0" collapsed="false">
      <c r="B1075" s="127" t="n">
        <f aca="false">B1074+D1075-C1075</f>
        <v>13622</v>
      </c>
      <c r="D1075" s="146" t="n">
        <f aca="false">598</f>
        <v>598</v>
      </c>
      <c r="E1075" s="147" t="n">
        <v>844</v>
      </c>
      <c r="F1075" s="147" t="n">
        <f aca="false">IFERROR(VLOOKUP(H1075,$AD$1:$AE$301,2,0),"")</f>
        <v>549</v>
      </c>
      <c r="G1075" s="147" t="str">
        <f aca="false">IFERROR(VLOOKUP(F1075,$AE$2:$AF$290,2, 0),"")</f>
        <v>تبوك</v>
      </c>
      <c r="H1075" s="212" t="s">
        <v>238</v>
      </c>
      <c r="I1075" s="246" t="n">
        <f aca="false">SUM(K1075:R1075)</f>
        <v>2</v>
      </c>
      <c r="J1075" s="182" t="n">
        <v>45715</v>
      </c>
      <c r="K1075" s="148" t="n">
        <v>2</v>
      </c>
      <c r="S1075" s="192" t="n">
        <f aca="false">(K1075+O1075+Q1075)*24 /1130+(L1075+M1075+P1075+R1075)*12/1130+(N1075*30)/1130</f>
        <v>0.0424778761061947</v>
      </c>
    </row>
    <row r="1076" customFormat="false" ht="15" hidden="true" customHeight="true" outlineLevel="0" collapsed="false">
      <c r="B1076" s="127" t="n">
        <f aca="false">B1075+D1076-C1076</f>
        <v>12127</v>
      </c>
      <c r="C1076" s="127" t="n">
        <f aca="false">D1064+D1063</f>
        <v>1495</v>
      </c>
      <c r="E1076" s="212" t="s">
        <v>638</v>
      </c>
      <c r="F1076" s="147" t="str">
        <f aca="false">IFERROR(VLOOKUP(H1076,$AD$1:$AE$301,2,0),"")</f>
        <v/>
      </c>
      <c r="G1076" s="147" t="str">
        <f aca="false">IFERROR(VLOOKUP(F1076,$AE$2:$AF$290,2, 0),"")</f>
        <v/>
      </c>
      <c r="H1076" s="212" t="s">
        <v>393</v>
      </c>
      <c r="I1076" s="246" t="n">
        <f aca="false">SUM(K1076:R1076)</f>
        <v>0</v>
      </c>
      <c r="J1076" s="182" t="n">
        <v>45714</v>
      </c>
      <c r="S1076" s="192" t="n">
        <f aca="false">(K1076+O1076+Q1076)*24 /1130+(L1076+M1076+P1076+R1076)*12/1130+(N1076*30)/1130</f>
        <v>0</v>
      </c>
    </row>
    <row r="1077" customFormat="false" ht="15" hidden="true" customHeight="true" outlineLevel="0" collapsed="false">
      <c r="B1077" s="127" t="n">
        <f aca="false">B1076+D1077-C1077</f>
        <v>3400</v>
      </c>
      <c r="C1077" s="127" t="n">
        <f aca="false">D1055+D1060+D1062+358+500+80+235+170+199+154+D1047+D1075-2+D1051+1739+1384</f>
        <v>8727</v>
      </c>
      <c r="E1077" s="212" t="s">
        <v>470</v>
      </c>
      <c r="F1077" s="147" t="str">
        <f aca="false">IFERROR(VLOOKUP(H1077,$AD$1:$AE$301,2,0),"")</f>
        <v/>
      </c>
      <c r="G1077" s="147" t="str">
        <f aca="false">IFERROR(VLOOKUP(F1077,$AE$2:$AF$290,2, 0),"")</f>
        <v/>
      </c>
      <c r="H1077" s="212" t="s">
        <v>393</v>
      </c>
      <c r="I1077" s="246" t="n">
        <f aca="false">SUM(K1077:R1077)</f>
        <v>0</v>
      </c>
      <c r="J1077" s="182" t="n">
        <v>45714</v>
      </c>
      <c r="S1077" s="192" t="n">
        <f aca="false">(K1077+O1077+Q1077)*24 /1130+(L1077+M1077+P1077+R1077)*12/1130+(N1077*30)/1130</f>
        <v>0</v>
      </c>
    </row>
    <row r="1078" customFormat="false" ht="15" hidden="true" customHeight="true" outlineLevel="0" collapsed="false">
      <c r="A1078" s="412"/>
      <c r="B1078" s="127" t="n">
        <f aca="false">B1077+D1078-C1078</f>
        <v>2</v>
      </c>
      <c r="C1078" s="127" t="n">
        <f aca="false">4*500+4*200+5*100+2*50</f>
        <v>3400</v>
      </c>
      <c r="D1078" s="146" t="n">
        <v>2</v>
      </c>
      <c r="E1078" s="212" t="s">
        <v>653</v>
      </c>
      <c r="F1078" s="147" t="str">
        <f aca="false">IFERROR(VLOOKUP(H1078,$AD$1:$AE$301,2,0),"")</f>
        <v/>
      </c>
      <c r="G1078" s="147" t="str">
        <f aca="false">IFERROR(VLOOKUP(F1078,$AE$2:$AF$290,2, 0),"")</f>
        <v/>
      </c>
      <c r="H1078" s="212" t="s">
        <v>393</v>
      </c>
      <c r="I1078" s="246" t="n">
        <f aca="false">SUM(K1078:R1078)</f>
        <v>0</v>
      </c>
      <c r="J1078" s="182" t="n">
        <v>45715</v>
      </c>
      <c r="S1078" s="192" t="n">
        <f aca="false">(K1078+O1078+Q1078)*24 /1130+(L1078+M1078+P1078+R1078)*12/1130+(N1078*30)/1130</f>
        <v>0</v>
      </c>
    </row>
    <row r="1079" customFormat="false" ht="15" hidden="true" customHeight="true" outlineLevel="0" collapsed="false">
      <c r="A1079" s="128" t="n">
        <f aca="false">D1079-354-100</f>
        <v>0.25</v>
      </c>
      <c r="B1079" s="127" t="n">
        <f aca="false">B1078+D1079-C1079</f>
        <v>456.25</v>
      </c>
      <c r="C1079" s="146"/>
      <c r="D1079" s="146" t="n">
        <f aca="false">299+155.25</f>
        <v>454.25</v>
      </c>
      <c r="E1079" s="147" t="n">
        <v>848</v>
      </c>
      <c r="F1079" s="147" t="n">
        <f aca="false">IFERROR(VLOOKUP(H1079,$AD$1:$AE$301,2,0),"")</f>
        <v>549</v>
      </c>
      <c r="G1079" s="147" t="str">
        <f aca="false">IFERROR(VLOOKUP(F1079,$AE$2:$AF$290,2, 0),"")</f>
        <v>تبوك</v>
      </c>
      <c r="H1079" s="212" t="s">
        <v>238</v>
      </c>
      <c r="I1079" s="246" t="n">
        <f aca="false">SUM(K1079:R1079)</f>
        <v>2</v>
      </c>
      <c r="J1079" s="182" t="n">
        <v>45719</v>
      </c>
      <c r="K1079" s="148" t="n">
        <v>1</v>
      </c>
      <c r="R1079" s="155" t="n">
        <v>1</v>
      </c>
      <c r="S1079" s="192" t="n">
        <f aca="false">(K1079+O1079+Q1079)*24 /1130+(L1079+M1079+P1079+R1079)*12/1130+(N1079*30)/1130</f>
        <v>0.031858407079646</v>
      </c>
    </row>
    <row r="1080" customFormat="false" ht="15" hidden="true" customHeight="true" outlineLevel="0" collapsed="false">
      <c r="A1080" s="128" t="n">
        <f aca="false">D1080-609.5</f>
        <v>0</v>
      </c>
      <c r="B1080" s="127" t="n">
        <f aca="false">B1079+D1080-C1080</f>
        <v>1065.75</v>
      </c>
      <c r="D1080" s="146" t="n">
        <f aca="false">299+155.25*2</f>
        <v>609.5</v>
      </c>
      <c r="E1080" s="147" t="n">
        <v>849</v>
      </c>
      <c r="F1080" s="147" t="n">
        <f aca="false">IFERROR(VLOOKUP(H1080,$AD$1:$AE$301,2,0),"")</f>
        <v>653</v>
      </c>
      <c r="G1080" s="147" t="str">
        <f aca="false">IFERROR(VLOOKUP(F1080,$AE$2:$AF$290,2, 0),"")</f>
        <v>تبوك</v>
      </c>
      <c r="H1080" s="212" t="s">
        <v>264</v>
      </c>
      <c r="I1080" s="246" t="n">
        <f aca="false">SUM(K1080:R1080)</f>
        <v>3</v>
      </c>
      <c r="J1080" s="182" t="n">
        <v>45719</v>
      </c>
      <c r="K1080" s="148" t="n">
        <v>1</v>
      </c>
      <c r="R1080" s="155" t="n">
        <v>2</v>
      </c>
      <c r="S1080" s="192" t="n">
        <f aca="false">(K1080+O1080+Q1080)*24 /1130+(L1080+M1080+P1080+R1080)*12/1130+(N1080*30)/1130</f>
        <v>0.0424778761061947</v>
      </c>
    </row>
    <row r="1081" customFormat="false" ht="15" hidden="true" customHeight="true" outlineLevel="0" collapsed="false">
      <c r="B1081" s="127" t="n">
        <f aca="false">B1080+D1081-C1081</f>
        <v>1203.75</v>
      </c>
      <c r="D1081" s="146" t="n">
        <v>138</v>
      </c>
      <c r="E1081" s="147" t="n">
        <v>850</v>
      </c>
      <c r="F1081" s="147" t="n">
        <f aca="false">IFERROR(VLOOKUP(H1081,$AD$1:$AE$301,2,0),"")</f>
        <v>1008277</v>
      </c>
      <c r="G1081" s="147" t="str">
        <f aca="false">IFERROR(VLOOKUP(F1081,$AE$2:$AF$290,2, 0),"")</f>
        <v>تبوك</v>
      </c>
      <c r="H1081" s="212" t="s">
        <v>233</v>
      </c>
      <c r="I1081" s="246" t="n">
        <f aca="false">SUM(K1081:R1081)</f>
        <v>1</v>
      </c>
      <c r="J1081" s="182" t="n">
        <v>45719</v>
      </c>
      <c r="Q1081" s="154" t="n">
        <v>1</v>
      </c>
      <c r="S1081" s="192" t="n">
        <f aca="false">(K1081+O1081+Q1081)*24 /1130+(L1081+M1081+P1081+R1081)*12/1130+(N1081*30)/1130</f>
        <v>0.0212389380530973</v>
      </c>
    </row>
    <row r="1082" customFormat="false" ht="15" hidden="true" customHeight="true" outlineLevel="0" collapsed="false">
      <c r="A1082" s="128" t="n">
        <f aca="false">D1082-1-137</f>
        <v>0</v>
      </c>
      <c r="B1082" s="127" t="n">
        <f aca="false">B1081+D1082-C1082</f>
        <v>1341.75</v>
      </c>
      <c r="D1082" s="146" t="n">
        <v>138</v>
      </c>
      <c r="E1082" s="147" t="n">
        <v>851</v>
      </c>
      <c r="F1082" s="147" t="n">
        <f aca="false">IFERROR(VLOOKUP(H1082,$AD$1:$AE$301,2,0),"")</f>
        <v>539</v>
      </c>
      <c r="G1082" s="147" t="str">
        <f aca="false">IFERROR(VLOOKUP(F1082,$AE$2:$AF$290,2, 0),"")</f>
        <v>تبوك</v>
      </c>
      <c r="H1082" s="212" t="s">
        <v>237</v>
      </c>
      <c r="I1082" s="246" t="n">
        <f aca="false">SUM(K1082:R1082)</f>
        <v>1</v>
      </c>
      <c r="J1082" s="182" t="n">
        <v>45719</v>
      </c>
      <c r="Q1082" s="154" t="n">
        <v>1</v>
      </c>
      <c r="S1082" s="192" t="n">
        <f aca="false">(K1082+O1082+Q1082)*24 /1130+(L1082+M1082+P1082+R1082)*12/1130+(N1082*30)/1130</f>
        <v>0.0212389380530973</v>
      </c>
    </row>
    <row r="1083" customFormat="false" ht="15" hidden="true" customHeight="true" outlineLevel="0" collapsed="false">
      <c r="A1083" s="128" t="n">
        <f aca="false">D1083-299</f>
        <v>0</v>
      </c>
      <c r="B1083" s="127" t="n">
        <f aca="false">B1082+D1083-C1083</f>
        <v>1640.75</v>
      </c>
      <c r="D1083" s="146" t="n">
        <v>299</v>
      </c>
      <c r="E1083" s="147" t="n">
        <v>852</v>
      </c>
      <c r="F1083" s="147" t="n">
        <f aca="false">IFERROR(VLOOKUP(H1083,$AD$1:$AE$301,2,0),"")</f>
        <v>1008266</v>
      </c>
      <c r="G1083" s="147" t="str">
        <f aca="false">IFERROR(VLOOKUP(F1083,$AE$2:$AF$290,2, 0),"")</f>
        <v>تبوك</v>
      </c>
      <c r="H1083" s="212" t="s">
        <v>178</v>
      </c>
      <c r="I1083" s="246" t="n">
        <f aca="false">SUM(K1083:R1083)</f>
        <v>1</v>
      </c>
      <c r="J1083" s="182" t="n">
        <v>45719</v>
      </c>
      <c r="K1083" s="148" t="n">
        <v>1</v>
      </c>
      <c r="S1083" s="192" t="n">
        <f aca="false">(K1083+O1083+Q1083)*24 /1130+(L1083+M1083+P1083+R1083)*12/1130+(N1083*30)/1130</f>
        <v>0.0212389380530973</v>
      </c>
    </row>
    <row r="1084" customFormat="false" ht="15" hidden="true" customHeight="true" outlineLevel="0" collapsed="false">
      <c r="B1084" s="127" t="n">
        <f aca="false">B1083+D1084-C1084</f>
        <v>0.75</v>
      </c>
      <c r="C1084" s="127" t="n">
        <f aca="false">D1049+D1079-100-0.25+250+30+707</f>
        <v>1640</v>
      </c>
      <c r="E1084" s="212" t="s">
        <v>470</v>
      </c>
      <c r="F1084" s="147" t="str">
        <f aca="false">IFERROR(VLOOKUP(H1084,$AD$1:$AE$301,2,0),"")</f>
        <v/>
      </c>
      <c r="G1084" s="147" t="str">
        <f aca="false">IFERROR(VLOOKUP(F1084,$AE$2:$AF$290,2, 0),"")</f>
        <v/>
      </c>
      <c r="H1084" s="212" t="s">
        <v>393</v>
      </c>
      <c r="I1084" s="246" t="n">
        <f aca="false">SUM(K1084:R1084)</f>
        <v>0</v>
      </c>
      <c r="J1084" s="182" t="n">
        <v>45719</v>
      </c>
      <c r="S1084" s="192" t="n">
        <f aca="false">(K1084+O1084+Q1084)*24 /1130+(L1084+M1084+P1084+R1084)*12/1130+(N1084*30)/1130</f>
        <v>0</v>
      </c>
    </row>
    <row r="1085" customFormat="false" ht="15" hidden="true" customHeight="true" outlineLevel="0" collapsed="false">
      <c r="B1085" s="127" t="n">
        <f aca="false">B1084+D1085-C1085</f>
        <v>1357.75</v>
      </c>
      <c r="D1085" s="146" t="n">
        <f aca="false">287.5*2+299+241.5*2</f>
        <v>1357</v>
      </c>
      <c r="E1085" s="147" t="n">
        <v>853</v>
      </c>
      <c r="F1085" s="147" t="n">
        <f aca="false">IFERROR(VLOOKUP(H1085,$AD$1:$AE$301,2,0),"")</f>
        <v>1007996</v>
      </c>
      <c r="G1085" s="147" t="str">
        <f aca="false">IFERROR(VLOOKUP(F1085,$AE$2:$AF$290,2, 0),"")</f>
        <v>البير</v>
      </c>
      <c r="H1085" s="212" t="s">
        <v>295</v>
      </c>
      <c r="I1085" s="246" t="n">
        <f aca="false">SUM(K1085:R1085)</f>
        <v>5</v>
      </c>
      <c r="J1085" s="182" t="n">
        <v>45720</v>
      </c>
      <c r="K1085" s="148" t="n">
        <v>1</v>
      </c>
      <c r="N1085" s="151" t="n">
        <f aca="false">1+1</f>
        <v>2</v>
      </c>
      <c r="O1085" s="152" t="n">
        <f aca="false">1+1</f>
        <v>2</v>
      </c>
      <c r="S1085" s="192" t="n">
        <f aca="false">(K1085+O1085+Q1085)*24 /1130+(L1085+M1085+P1085+R1085)*12/1130+(N1085*30)/1130</f>
        <v>0.116814159292035</v>
      </c>
    </row>
    <row r="1086" customFormat="false" ht="15" hidden="true" customHeight="true" outlineLevel="0" collapsed="false">
      <c r="B1086" s="127" t="n">
        <f aca="false">B1085+D1086-C1086</f>
        <v>1536</v>
      </c>
      <c r="D1086" s="146" t="n">
        <v>178.25</v>
      </c>
      <c r="E1086" s="147" t="n">
        <v>854</v>
      </c>
      <c r="F1086" s="147" t="n">
        <f aca="false">IFERROR(VLOOKUP(H1086,$AD$1:$AE$301,2,0),"")</f>
        <v>1008040</v>
      </c>
      <c r="G1086" s="147" t="str">
        <f aca="false">IFERROR(VLOOKUP(F1086,$AE$2:$AF$290,2, 0),"")</f>
        <v>البير</v>
      </c>
      <c r="H1086" s="212" t="s">
        <v>292</v>
      </c>
      <c r="I1086" s="246" t="n">
        <f aca="false">SUM(K1086:R1086)</f>
        <v>1</v>
      </c>
      <c r="J1086" s="182" t="n">
        <v>45720</v>
      </c>
      <c r="L1086" s="149" t="n">
        <v>1</v>
      </c>
      <c r="S1086" s="192" t="n">
        <f aca="false">(K1086+O1086+Q1086)*24 /1130+(L1086+M1086+P1086+R1086)*12/1130+(N1086*30)/1130</f>
        <v>0.0106194690265487</v>
      </c>
    </row>
    <row r="1087" customFormat="false" ht="15" hidden="true" customHeight="true" outlineLevel="0" collapsed="false">
      <c r="A1087" s="128" t="n">
        <f aca="false">D1087-1265</f>
        <v>0</v>
      </c>
      <c r="B1087" s="127" t="n">
        <f aca="false">B1086+D1087-C1087</f>
        <v>2801</v>
      </c>
      <c r="D1087" s="146" t="n">
        <f aca="false">195.5*5+287.5</f>
        <v>1265</v>
      </c>
      <c r="E1087" s="147" t="n">
        <v>855</v>
      </c>
      <c r="F1087" s="147" t="n">
        <f aca="false">IFERROR(VLOOKUP(H1087,$AD$1:$AE$301,2,0),"")</f>
        <v>1007970</v>
      </c>
      <c r="G1087" s="147" t="str">
        <f aca="false">IFERROR(VLOOKUP(F1087,$AE$2:$AF$290,2, 0),"")</f>
        <v>حقل</v>
      </c>
      <c r="H1087" s="212" t="s">
        <v>310</v>
      </c>
      <c r="I1087" s="246" t="n">
        <f aca="false">SUM(K1087:R1087)</f>
        <v>6</v>
      </c>
      <c r="J1087" s="182" t="n">
        <v>45720</v>
      </c>
      <c r="N1087" s="151" t="n">
        <v>1</v>
      </c>
      <c r="O1087" s="152" t="n">
        <v>5</v>
      </c>
      <c r="S1087" s="192" t="n">
        <f aca="false">(K1087+O1087+Q1087)*24 /1130+(L1087+M1087+P1087+R1087)*12/1130+(N1087*30)/1130</f>
        <v>0.132743362831858</v>
      </c>
    </row>
    <row r="1088" customFormat="false" ht="15" hidden="true" customHeight="true" outlineLevel="0" collapsed="false">
      <c r="B1088" s="127" t="n">
        <f aca="false">B1087+D1088-C1088</f>
        <v>3238</v>
      </c>
      <c r="D1088" s="146" t="n">
        <f aca="false">299+138</f>
        <v>437</v>
      </c>
      <c r="E1088" s="147" t="n">
        <v>856</v>
      </c>
      <c r="F1088" s="147" t="n">
        <f aca="false">IFERROR(VLOOKUP(H1088,$AD$1:$AE$301,2,0),"")</f>
        <v>1008004</v>
      </c>
      <c r="G1088" s="147" t="str">
        <f aca="false">IFERROR(VLOOKUP(F1088,$AE$2:$AF$290,2, 0),"")</f>
        <v>حقل</v>
      </c>
      <c r="H1088" s="212" t="s">
        <v>316</v>
      </c>
      <c r="I1088" s="246" t="n">
        <f aca="false">SUM(K1088:R1088)</f>
        <v>2</v>
      </c>
      <c r="J1088" s="182" t="n">
        <v>45720</v>
      </c>
      <c r="K1088" s="148" t="n">
        <v>1</v>
      </c>
      <c r="O1088" s="152" t="n">
        <v>1</v>
      </c>
      <c r="S1088" s="192" t="n">
        <f aca="false">(K1088+O1088+Q1088)*24 /1130+(L1088+M1088+P1088+R1088)*12/1130+(N1088*30)/1130</f>
        <v>0.0424778761061947</v>
      </c>
    </row>
    <row r="1089" customFormat="false" ht="15" hidden="true" customHeight="true" outlineLevel="0" collapsed="false">
      <c r="B1089" s="127" t="n">
        <f aca="false">B1088+D1089-C1089</f>
        <v>3376</v>
      </c>
      <c r="D1089" s="146" t="n">
        <v>138</v>
      </c>
      <c r="E1089" s="147" t="n">
        <v>857</v>
      </c>
      <c r="F1089" s="147" t="n">
        <f aca="false">IFERROR(VLOOKUP(H1089,$AD$1:$AE$301,2,0),"")</f>
        <v>1007969</v>
      </c>
      <c r="G1089" s="147" t="str">
        <f aca="false">IFERROR(VLOOKUP(F1089,$AE$2:$AF$290,2, 0),"")</f>
        <v>حقل</v>
      </c>
      <c r="H1089" s="212" t="s">
        <v>309</v>
      </c>
      <c r="I1089" s="246" t="n">
        <f aca="false">SUM(K1089:R1089)</f>
        <v>1</v>
      </c>
      <c r="J1089" s="182" t="n">
        <v>45720</v>
      </c>
      <c r="O1089" s="152" t="n">
        <v>1</v>
      </c>
      <c r="S1089" s="192" t="n">
        <f aca="false">(K1089+O1089+Q1089)*24 /1130+(L1089+M1089+P1089+R1089)*12/1130+(N1089*30)/1130</f>
        <v>0.0212389380530973</v>
      </c>
    </row>
    <row r="1090" customFormat="false" ht="15" hidden="true" customHeight="true" outlineLevel="0" collapsed="false">
      <c r="B1090" s="127" t="n">
        <f aca="false">B1089+D1090-C1090</f>
        <v>3675</v>
      </c>
      <c r="D1090" s="146" t="n">
        <v>299</v>
      </c>
      <c r="E1090" s="147" t="n">
        <v>858</v>
      </c>
      <c r="F1090" s="147" t="n">
        <f aca="false">IFERROR(VLOOKUP(H1090,$AD$1:$AE$301,2,0),"")</f>
        <v>1008020</v>
      </c>
      <c r="G1090" s="147" t="str">
        <f aca="false">IFERROR(VLOOKUP(F1090,$AE$2:$AF$290,2, 0),"")</f>
        <v>البير</v>
      </c>
      <c r="H1090" s="212" t="s">
        <v>293</v>
      </c>
      <c r="I1090" s="246" t="n">
        <f aca="false">SUM(K1090:R1090)</f>
        <v>1</v>
      </c>
      <c r="J1090" s="182" t="n">
        <v>45720</v>
      </c>
      <c r="K1090" s="148" t="n">
        <v>1</v>
      </c>
      <c r="S1090" s="192" t="n">
        <f aca="false">(K1090+O1090+Q1090)*24 /1130+(L1090+M1090+P1090+R1090)*12/1130+(N1090*30)/1130</f>
        <v>0.0212389380530973</v>
      </c>
    </row>
    <row r="1091" customFormat="false" ht="15" hidden="true" customHeight="true" outlineLevel="0" collapsed="false">
      <c r="A1091" s="128" t="n">
        <f aca="false">D1091-600+2</f>
        <v>0</v>
      </c>
      <c r="B1091" s="127" t="n">
        <f aca="false">B1090+D1091-C1091</f>
        <v>4273</v>
      </c>
      <c r="D1091" s="146" t="n">
        <f aca="false">299*2</f>
        <v>598</v>
      </c>
      <c r="E1091" s="147" t="n">
        <v>859</v>
      </c>
      <c r="F1091" s="147" t="n">
        <f aca="false">IFERROR(VLOOKUP(H1091,$AD$1:$AE$301,2,0),"")</f>
        <v>1007965</v>
      </c>
      <c r="G1091" s="147" t="str">
        <f aca="false">IFERROR(VLOOKUP(F1091,$AE$2:$AF$290,2, 0),"")</f>
        <v>البير</v>
      </c>
      <c r="H1091" s="212" t="s">
        <v>290</v>
      </c>
      <c r="I1091" s="246" t="n">
        <f aca="false">SUM(K1091:R1091)</f>
        <v>2</v>
      </c>
      <c r="J1091" s="182" t="n">
        <v>45720</v>
      </c>
      <c r="K1091" s="148" t="n">
        <v>2</v>
      </c>
      <c r="S1091" s="192" t="n">
        <f aca="false">(K1091+O1091+Q1091)*24 /1130+(L1091+M1091+P1091+R1091)*12/1130+(N1091*30)/1130</f>
        <v>0.0424778761061947</v>
      </c>
    </row>
    <row r="1092" customFormat="false" ht="15" hidden="true" customHeight="true" outlineLevel="0" collapsed="false">
      <c r="B1092" s="127" t="n">
        <f aca="false">B1091+D1092-C1092</f>
        <v>4572</v>
      </c>
      <c r="D1092" s="146" t="n">
        <v>299</v>
      </c>
      <c r="E1092" s="147" t="n">
        <v>860</v>
      </c>
      <c r="F1092" s="147" t="n">
        <f aca="false">IFERROR(VLOOKUP(H1092,$AD$1:$AE$301,2,0),"")</f>
        <v>1008021</v>
      </c>
      <c r="G1092" s="147" t="str">
        <f aca="false">IFERROR(VLOOKUP(F1092,$AE$2:$AF$290,2, 0),"")</f>
        <v>البير</v>
      </c>
      <c r="H1092" s="212" t="s">
        <v>294</v>
      </c>
      <c r="I1092" s="246" t="n">
        <f aca="false">SUM(K1092:R1092)</f>
        <v>1</v>
      </c>
      <c r="J1092" s="182" t="n">
        <v>45720</v>
      </c>
      <c r="K1092" s="148" t="n">
        <v>1</v>
      </c>
      <c r="S1092" s="192" t="n">
        <f aca="false">(K1092+O1092+Q1092)*24 /1130+(L1092+M1092+P1092+R1092)*12/1130+(N1092*30)/1130</f>
        <v>0.0212389380530973</v>
      </c>
    </row>
    <row r="1093" customFormat="false" ht="15" hidden="true" customHeight="true" outlineLevel="0" collapsed="false">
      <c r="A1093" s="128" t="n">
        <f aca="false">D1093-5*12-240</f>
        <v>-1</v>
      </c>
      <c r="B1093" s="127" t="n">
        <f aca="false">B1092+D1093-C1093</f>
        <v>4871</v>
      </c>
      <c r="D1093" s="146" t="n">
        <v>299</v>
      </c>
      <c r="E1093" s="147" t="n">
        <v>861</v>
      </c>
      <c r="F1093" s="147" t="n">
        <f aca="false">IFERROR(VLOOKUP(H1093,$AD$1:$AE$301,2,0),"")</f>
        <v>1008030</v>
      </c>
      <c r="G1093" s="147" t="str">
        <f aca="false">IFERROR(VLOOKUP(F1093,$AE$2:$AF$290,2, 0),"")</f>
        <v>البير</v>
      </c>
      <c r="H1093" s="212" t="s">
        <v>298</v>
      </c>
      <c r="I1093" s="246" t="n">
        <f aca="false">SUM(K1093:R1093)</f>
        <v>1</v>
      </c>
      <c r="J1093" s="182" t="n">
        <v>45720</v>
      </c>
      <c r="K1093" s="148" t="n">
        <v>1</v>
      </c>
      <c r="S1093" s="192" t="n">
        <f aca="false">(K1093+O1093+Q1093)*24 /1130+(L1093+M1093+P1093+R1093)*12/1130+(N1093*30)/1130</f>
        <v>0.0212389380530973</v>
      </c>
    </row>
    <row r="1094" customFormat="false" ht="15" hidden="true" customHeight="true" outlineLevel="0" collapsed="false">
      <c r="B1094" s="127" t="n">
        <f aca="false">B1093+D1094-C1094</f>
        <v>1278</v>
      </c>
      <c r="C1094" s="127" t="n">
        <f aca="false">D1085+1937+D1092</f>
        <v>3593</v>
      </c>
      <c r="E1094" s="212" t="s">
        <v>470</v>
      </c>
      <c r="F1094" s="147" t="str">
        <f aca="false">IFERROR(VLOOKUP(H1094,$AD$1:$AE$301,2,0),"")</f>
        <v/>
      </c>
      <c r="G1094" s="147" t="str">
        <f aca="false">IFERROR(VLOOKUP(F1094,$AE$2:$AF$290,2, 0),"")</f>
        <v/>
      </c>
      <c r="H1094" s="212" t="s">
        <v>393</v>
      </c>
      <c r="I1094" s="246" t="n">
        <f aca="false">SUM(K1094:R1094)</f>
        <v>0</v>
      </c>
      <c r="J1094" s="182" t="n">
        <v>45720</v>
      </c>
      <c r="S1094" s="192" t="n">
        <f aca="false">(K1094+O1094+Q1094)*24 /1130+(L1094+M1094+P1094+R1094)*12/1130+(N1094*30)/1130</f>
        <v>0</v>
      </c>
    </row>
    <row r="1095" customFormat="false" ht="15" hidden="true" customHeight="true" outlineLevel="0" collapsed="false">
      <c r="B1095" s="127" t="n">
        <f aca="false">B1094+D1095-C1095</f>
        <v>0</v>
      </c>
      <c r="C1095" s="127" t="n">
        <v>1278</v>
      </c>
      <c r="E1095" s="212" t="s">
        <v>653</v>
      </c>
      <c r="F1095" s="147" t="str">
        <f aca="false">IFERROR(VLOOKUP(H1095,$AD$1:$AE$301,2,0),"")</f>
        <v/>
      </c>
      <c r="G1095" s="147" t="str">
        <f aca="false">IFERROR(VLOOKUP(F1095,$AE$2:$AF$290,2, 0),"")</f>
        <v/>
      </c>
      <c r="H1095" s="212" t="s">
        <v>393</v>
      </c>
      <c r="I1095" s="246" t="n">
        <f aca="false">SUM(K1095:R1095)</f>
        <v>0</v>
      </c>
      <c r="J1095" s="182" t="n">
        <v>45721</v>
      </c>
      <c r="S1095" s="192" t="n">
        <f aca="false">(K1095+O1095+Q1095)*24 /1130+(L1095+M1095+P1095+R1095)*12/1130+(N1095*30)/1130</f>
        <v>0</v>
      </c>
    </row>
    <row r="1096" customFormat="false" ht="15" hidden="true" customHeight="true" outlineLevel="0" collapsed="false">
      <c r="A1096" s="128" t="n">
        <f aca="false">D1096+517.75-400-95+155.25-477</f>
        <v>0</v>
      </c>
      <c r="B1096" s="127" t="n">
        <f aca="false">B1095+D1096-C1096</f>
        <v>299</v>
      </c>
      <c r="D1096" s="146" t="n">
        <v>299</v>
      </c>
      <c r="E1096" s="147" t="n">
        <v>862</v>
      </c>
      <c r="F1096" s="147" t="n">
        <f aca="false">IFERROR(VLOOKUP(H1096,$AD$1:$AE$301,2,0),"")</f>
        <v>562</v>
      </c>
      <c r="G1096" s="147" t="str">
        <f aca="false">IFERROR(VLOOKUP(F1096,$AE$2:$AF$290,2, 0),"")</f>
        <v>تبوك</v>
      </c>
      <c r="H1096" s="212" t="s">
        <v>234</v>
      </c>
      <c r="I1096" s="246" t="n">
        <f aca="false">SUM(K1096:R1096)</f>
        <v>1</v>
      </c>
      <c r="J1096" s="182" t="n">
        <v>45721</v>
      </c>
      <c r="R1096" s="155" t="n">
        <v>1</v>
      </c>
      <c r="S1096" s="192" t="n">
        <f aca="false">(K1096+O1096+Q1096)*24 /1130+(L1096+M1096+P1096+R1096)*12/1130+(N1096*30)/1130</f>
        <v>0.0106194690265487</v>
      </c>
    </row>
    <row r="1097" customFormat="false" ht="15" hidden="true" customHeight="true" outlineLevel="0" collapsed="false">
      <c r="A1097" s="128" t="n">
        <f aca="false">D1097-5-248</f>
        <v>0</v>
      </c>
      <c r="B1097" s="127" t="n">
        <f aca="false">B1096+D1097-C1097</f>
        <v>552</v>
      </c>
      <c r="D1097" s="146" t="n">
        <v>253</v>
      </c>
      <c r="E1097" s="147" t="n">
        <v>863</v>
      </c>
      <c r="F1097" s="147" t="n">
        <f aca="false">IFERROR(VLOOKUP(H1097,$AD$1:$AE$301,2,0),"")</f>
        <v>1008277</v>
      </c>
      <c r="G1097" s="147" t="str">
        <f aca="false">IFERROR(VLOOKUP(F1097,$AE$2:$AF$290,2, 0),"")</f>
        <v>تبوك</v>
      </c>
      <c r="H1097" s="212" t="s">
        <v>233</v>
      </c>
      <c r="I1097" s="246" t="n">
        <f aca="false">SUM(K1097:R1097)</f>
        <v>1</v>
      </c>
      <c r="J1097" s="182" t="n">
        <v>45721</v>
      </c>
      <c r="M1097" s="150" t="n">
        <v>1</v>
      </c>
      <c r="S1097" s="192" t="n">
        <f aca="false">(K1097+O1097+Q1097)*24 /1130+(L1097+M1097+P1097+R1097)*12/1130+(N1097*30)/1130</f>
        <v>0.0106194690265487</v>
      </c>
    </row>
    <row r="1098" customFormat="false" ht="15" hidden="true" customHeight="true" outlineLevel="0" collapsed="false">
      <c r="A1098" s="128" t="n">
        <f aca="false">D1098-299</f>
        <v>0</v>
      </c>
      <c r="B1098" s="127" t="n">
        <f aca="false">B1097+D1098-C1098</f>
        <v>851</v>
      </c>
      <c r="D1098" s="146" t="n">
        <v>299</v>
      </c>
      <c r="E1098" s="147" t="n">
        <v>864</v>
      </c>
      <c r="F1098" s="147" t="n">
        <f aca="false">IFERROR(VLOOKUP(H1098,$AD$1:$AE$301,2,0),"")</f>
        <v>555</v>
      </c>
      <c r="G1098" s="147" t="str">
        <f aca="false">IFERROR(VLOOKUP(F1098,$AE$2:$AF$290,2, 0),"")</f>
        <v>تبوك</v>
      </c>
      <c r="H1098" s="212" t="s">
        <v>260</v>
      </c>
      <c r="I1098" s="246" t="n">
        <f aca="false">SUM(K1098:R1098)</f>
        <v>1</v>
      </c>
      <c r="J1098" s="182" t="n">
        <v>45721</v>
      </c>
      <c r="K1098" s="148" t="n">
        <v>1</v>
      </c>
      <c r="S1098" s="192" t="n">
        <f aca="false">(K1098+O1098+Q1098)*24 /1130+(L1098+M1098+P1098+R1098)*12/1130+(N1098*30)/1130</f>
        <v>0.0212389380530973</v>
      </c>
    </row>
    <row r="1099" customFormat="false" ht="15" hidden="true" customHeight="true" outlineLevel="0" collapsed="false">
      <c r="B1099" s="127" t="n">
        <f aca="false">B1098+D1099-C1099</f>
        <v>1150</v>
      </c>
      <c r="D1099" s="146" t="n">
        <v>299</v>
      </c>
      <c r="E1099" s="147" t="n">
        <v>865</v>
      </c>
      <c r="F1099" s="147" t="n">
        <f aca="false">IFERROR(VLOOKUP(H1099,$AD$1:$AE$301,2,0),"")</f>
        <v>1008270</v>
      </c>
      <c r="G1099" s="147" t="str">
        <f aca="false">IFERROR(VLOOKUP(F1099,$AE$2:$AF$290,2, 0),"")</f>
        <v>تبوك</v>
      </c>
      <c r="H1099" s="212" t="s">
        <v>236</v>
      </c>
      <c r="I1099" s="246" t="n">
        <f aca="false">SUM(K1099:R1099)</f>
        <v>1</v>
      </c>
      <c r="J1099" s="182" t="n">
        <v>45721</v>
      </c>
      <c r="K1099" s="148" t="n">
        <v>1</v>
      </c>
      <c r="S1099" s="192" t="n">
        <f aca="false">(K1099+O1099+Q1099)*24 /1130+(L1099+M1099+P1099+R1099)*12/1130+(N1099*30)/1130</f>
        <v>0.0212389380530973</v>
      </c>
    </row>
    <row r="1100" customFormat="false" ht="15" hidden="true" customHeight="true" outlineLevel="0" collapsed="false">
      <c r="A1100" s="128" t="n">
        <f aca="false">D1100-299</f>
        <v>0</v>
      </c>
      <c r="B1100" s="127" t="n">
        <f aca="false">B1099+D1100-C1100</f>
        <v>1449</v>
      </c>
      <c r="D1100" s="146" t="n">
        <v>299</v>
      </c>
      <c r="E1100" s="147" t="n">
        <v>866</v>
      </c>
      <c r="F1100" s="147" t="n">
        <f aca="false">IFERROR(VLOOKUP(H1100,$AD$1:$AE$301,2,0),"")</f>
        <v>1008270</v>
      </c>
      <c r="G1100" s="147" t="str">
        <f aca="false">IFERROR(VLOOKUP(F1100,$AE$2:$AF$290,2, 0),"")</f>
        <v>تبوك</v>
      </c>
      <c r="H1100" s="212" t="s">
        <v>236</v>
      </c>
      <c r="I1100" s="246" t="n">
        <f aca="false">SUM(K1100:R1100)</f>
        <v>1</v>
      </c>
      <c r="J1100" s="182" t="n">
        <v>45721</v>
      </c>
      <c r="K1100" s="148" t="n">
        <v>1</v>
      </c>
      <c r="S1100" s="192" t="n">
        <f aca="false">(K1100+O1100+Q1100)*24 /1130+(L1100+M1100+P1100+R1100)*12/1130+(N1100*30)/1130</f>
        <v>0.0212389380530973</v>
      </c>
    </row>
    <row r="1101" customFormat="false" ht="15" hidden="true" customHeight="true" outlineLevel="0" collapsed="false">
      <c r="A1101" s="128" t="n">
        <f aca="false">D1101-55-100</f>
        <v>0.25</v>
      </c>
      <c r="B1101" s="127" t="n">
        <f aca="false">B1100+D1101-C1101</f>
        <v>1604.25</v>
      </c>
      <c r="D1101" s="146" t="n">
        <v>155.25</v>
      </c>
      <c r="E1101" s="147" t="n">
        <v>867</v>
      </c>
      <c r="F1101" s="147" t="n">
        <f aca="false">IFERROR(VLOOKUP(H1101,$AD$1:$AE$301,2,0),"")</f>
        <v>1008270</v>
      </c>
      <c r="G1101" s="147" t="str">
        <f aca="false">IFERROR(VLOOKUP(F1101,$AE$2:$AF$290,2, 0),"")</f>
        <v>تبوك</v>
      </c>
      <c r="H1101" s="212" t="s">
        <v>236</v>
      </c>
      <c r="I1101" s="246" t="n">
        <f aca="false">SUM(K1101:R1101)</f>
        <v>1</v>
      </c>
      <c r="J1101" s="182" t="n">
        <v>45721</v>
      </c>
      <c r="R1101" s="155" t="n">
        <v>1</v>
      </c>
      <c r="S1101" s="192" t="n">
        <f aca="false">(K1101+O1101+Q1101)*24 /1130+(L1101+M1101+P1101+R1101)*12/1130+(N1101*30)/1130</f>
        <v>0.0106194690265487</v>
      </c>
    </row>
    <row r="1102" customFormat="false" ht="15" hidden="true" customHeight="true" outlineLevel="0" collapsed="false">
      <c r="A1102" s="128" t="n">
        <f aca="false">D1102+6-759</f>
        <v>0.25</v>
      </c>
      <c r="B1102" s="127" t="n">
        <f aca="false">B1101+D1102-C1102</f>
        <v>2357.5</v>
      </c>
      <c r="D1102" s="146" t="n">
        <f aca="false">299*2+155.25</f>
        <v>753.25</v>
      </c>
      <c r="E1102" s="147" t="n">
        <v>868</v>
      </c>
      <c r="F1102" s="147" t="n">
        <f aca="false">IFERROR(VLOOKUP(H1102,$AD$1:$AE$301,2,0),"")</f>
        <v>1002852</v>
      </c>
      <c r="G1102" s="147" t="str">
        <f aca="false">IFERROR(VLOOKUP(F1102,$AE$2:$AF$290,2, 0),"")</f>
        <v>تبوك</v>
      </c>
      <c r="H1102" s="212" t="s">
        <v>159</v>
      </c>
      <c r="I1102" s="246" t="n">
        <f aca="false">SUM(K1102:R1102)</f>
        <v>3</v>
      </c>
      <c r="J1102" s="182" t="n">
        <v>45721</v>
      </c>
      <c r="K1102" s="148" t="n">
        <f aca="false">1+1</f>
        <v>2</v>
      </c>
      <c r="R1102" s="155" t="n">
        <v>1</v>
      </c>
      <c r="S1102" s="192" t="n">
        <f aca="false">(K1102+O1102+Q1102)*24 /1130+(L1102+M1102+P1102+R1102)*12/1130+(N1102*30)/1130</f>
        <v>0.0530973451327434</v>
      </c>
    </row>
    <row r="1103" customFormat="false" ht="15" hidden="true" customHeight="true" outlineLevel="0" collapsed="false">
      <c r="B1103" s="127" t="n">
        <f aca="false">B1102+D1103-C1103</f>
        <v>973</v>
      </c>
      <c r="C1103" s="127" t="n">
        <f aca="false">D1080+200+125+390+30+30</f>
        <v>1384.5</v>
      </c>
      <c r="E1103" s="212" t="s">
        <v>470</v>
      </c>
      <c r="F1103" s="147" t="str">
        <f aca="false">IFERROR(VLOOKUP(H1103,$AD$1:$AE$301,2,0),"")</f>
        <v/>
      </c>
      <c r="G1103" s="147" t="str">
        <f aca="false">IFERROR(VLOOKUP(F1103,$AE$2:$AF$290,2, 0),"")</f>
        <v/>
      </c>
      <c r="H1103" s="212" t="s">
        <v>393</v>
      </c>
      <c r="I1103" s="246" t="n">
        <f aca="false">SUM(K1103:R1103)</f>
        <v>0</v>
      </c>
      <c r="J1103" s="182" t="n">
        <v>45721</v>
      </c>
      <c r="S1103" s="192" t="n">
        <f aca="false">(K1103+O1103+Q1103)*24 /1130+(L1103+M1103+P1103+R1103)*12/1130+(N1103*30)/1130</f>
        <v>0</v>
      </c>
    </row>
    <row r="1104" customFormat="false" ht="15" hidden="true" customHeight="true" outlineLevel="0" collapsed="false">
      <c r="B1104" s="127" t="n">
        <f aca="false">B1103+D1104-C1104</f>
        <v>0</v>
      </c>
      <c r="C1104" s="127" t="n">
        <v>973</v>
      </c>
      <c r="E1104" s="212" t="s">
        <v>653</v>
      </c>
      <c r="F1104" s="147" t="str">
        <f aca="false">IFERROR(VLOOKUP(H1104,$AD$1:$AE$301,2,0),"")</f>
        <v/>
      </c>
      <c r="G1104" s="147" t="str">
        <f aca="false">IFERROR(VLOOKUP(F1104,$AE$2:$AF$290,2, 0),"")</f>
        <v/>
      </c>
      <c r="H1104" s="212" t="s">
        <v>393</v>
      </c>
      <c r="I1104" s="246" t="n">
        <f aca="false">SUM(K1104:R1104)</f>
        <v>0</v>
      </c>
      <c r="J1104" s="182" t="n">
        <v>45721</v>
      </c>
      <c r="S1104" s="192" t="n">
        <f aca="false">(K1104+O1104+Q1104)*24 /1130+(L1104+M1104+P1104+R1104)*12/1130+(N1104*30)/1130</f>
        <v>0</v>
      </c>
    </row>
    <row r="1105" customFormat="false" ht="15" hidden="true" customHeight="true" outlineLevel="0" collapsed="false">
      <c r="A1105" s="128" t="n">
        <f aca="false">D1105-299-290-9</f>
        <v>0</v>
      </c>
      <c r="B1105" s="127" t="n">
        <f aca="false">B1104+D1105-C1105</f>
        <v>598</v>
      </c>
      <c r="D1105" s="146" t="n">
        <f aca="false">299*2</f>
        <v>598</v>
      </c>
      <c r="E1105" s="147" t="n">
        <v>869</v>
      </c>
      <c r="F1105" s="147" t="n">
        <f aca="false">IFERROR(VLOOKUP(H1105,$AD$1:$AE$301,2,0),"")</f>
        <v>1008025</v>
      </c>
      <c r="G1105" s="147" t="str">
        <f aca="false">IFERROR(VLOOKUP(F1105,$AE$2:$AF$290,2, 0),"")</f>
        <v>ضباء</v>
      </c>
      <c r="H1105" s="212" t="s">
        <v>97</v>
      </c>
      <c r="I1105" s="246" t="n">
        <f aca="false">SUM(K1105:R1105)</f>
        <v>2</v>
      </c>
      <c r="J1105" s="182" t="n">
        <v>45721</v>
      </c>
      <c r="K1105" s="148" t="n">
        <v>2</v>
      </c>
      <c r="S1105" s="192" t="n">
        <f aca="false">(K1105+O1105+Q1105)*24 /1130+(L1105+M1105+P1105+R1105)*12/1130+(N1105*30)/1130</f>
        <v>0.0424778761061947</v>
      </c>
    </row>
    <row r="1106" customFormat="false" ht="15" hidden="true" customHeight="true" outlineLevel="0" collapsed="false">
      <c r="B1106" s="127" t="n">
        <f aca="false">B1105+D1106-C1106</f>
        <v>1460.5</v>
      </c>
      <c r="D1106" s="146" t="n">
        <f aca="false">299+230+155.25+178.25</f>
        <v>862.5</v>
      </c>
      <c r="E1106" s="147" t="n">
        <v>870</v>
      </c>
      <c r="F1106" s="147" t="n">
        <f aca="false">IFERROR(VLOOKUP(H1106,$AD$1:$AE$301,2,0),"")</f>
        <v>1008032</v>
      </c>
      <c r="G1106" s="147" t="str">
        <f aca="false">IFERROR(VLOOKUP(F1106,$AE$2:$AF$290,2, 0),"")</f>
        <v>ضباء</v>
      </c>
      <c r="H1106" s="212" t="s">
        <v>101</v>
      </c>
      <c r="I1106" s="246" t="n">
        <f aca="false">SUM(K1106:R1106)</f>
        <v>4</v>
      </c>
      <c r="J1106" s="182" t="n">
        <v>45721</v>
      </c>
      <c r="K1106" s="148" t="n">
        <v>1</v>
      </c>
      <c r="L1106" s="149" t="n">
        <v>1</v>
      </c>
      <c r="M1106" s="150" t="n">
        <v>1</v>
      </c>
      <c r="R1106" s="155" t="n">
        <v>1</v>
      </c>
      <c r="S1106" s="192" t="n">
        <f aca="false">(K1106+O1106+Q1106)*24 /1130+(L1106+M1106+P1106+R1106)*12/1130+(N1106*30)/1130</f>
        <v>0.0530973451327434</v>
      </c>
    </row>
    <row r="1107" customFormat="false" ht="15" hidden="true" customHeight="true" outlineLevel="0" collapsed="false">
      <c r="A1107" s="128" t="n">
        <f aca="false">D1107+200-500-482</f>
        <v>0</v>
      </c>
      <c r="B1107" s="127" t="n">
        <f aca="false">B1106+D1107-C1107</f>
        <v>2242.5</v>
      </c>
      <c r="D1107" s="146" t="n">
        <f aca="false">299+2*241.5</f>
        <v>782</v>
      </c>
      <c r="E1107" s="147" t="n">
        <v>871</v>
      </c>
      <c r="F1107" s="147" t="n">
        <f aca="false">IFERROR(VLOOKUP(H1107,$AD$1:$AE$301,2,0),"")</f>
        <v>1008050</v>
      </c>
      <c r="G1107" s="147" t="str">
        <f aca="false">IFERROR(VLOOKUP(F1107,$AE$2:$AF$290,2, 0),"")</f>
        <v>ضباء</v>
      </c>
      <c r="H1107" s="212" t="s">
        <v>92</v>
      </c>
      <c r="I1107" s="246" t="n">
        <f aca="false">SUM(K1107:R1107)</f>
        <v>3</v>
      </c>
      <c r="J1107" s="182" t="n">
        <v>45721</v>
      </c>
      <c r="K1107" s="148" t="n">
        <v>1</v>
      </c>
      <c r="O1107" s="152" t="n">
        <v>2</v>
      </c>
      <c r="S1107" s="192" t="n">
        <f aca="false">(K1107+O1107+Q1107)*24 /1130+(L1107+M1107+P1107+R1107)*12/1130+(N1107*30)/1130</f>
        <v>0.063716814159292</v>
      </c>
    </row>
    <row r="1108" customFormat="false" ht="15" hidden="true" customHeight="true" outlineLevel="0" collapsed="false">
      <c r="B1108" s="127" t="n">
        <f aca="false">B1107+D1108-C1108</f>
        <v>2840.5</v>
      </c>
      <c r="D1108" s="146" t="n">
        <f aca="false">299*2</f>
        <v>598</v>
      </c>
      <c r="E1108" s="147" t="n">
        <v>872</v>
      </c>
      <c r="F1108" s="147" t="n">
        <f aca="false">IFERROR(VLOOKUP(H1108,$AD$1:$AE$301,2,0),"")</f>
        <v>1008043</v>
      </c>
      <c r="G1108" s="147" t="str">
        <f aca="false">IFERROR(VLOOKUP(F1108,$AE$2:$AF$290,2, 0),"")</f>
        <v>الوجه</v>
      </c>
      <c r="H1108" s="212" t="s">
        <v>104</v>
      </c>
      <c r="I1108" s="246" t="n">
        <f aca="false">SUM(K1108:R1108)</f>
        <v>2</v>
      </c>
      <c r="J1108" s="182" t="n">
        <v>45721</v>
      </c>
      <c r="K1108" s="148" t="n">
        <v>2</v>
      </c>
      <c r="S1108" s="192" t="n">
        <f aca="false">(K1108+O1108+Q1108)*24 /1130+(L1108+M1108+P1108+R1108)*12/1130+(N1108*30)/1130</f>
        <v>0.0424778761061947</v>
      </c>
    </row>
    <row r="1109" customFormat="false" ht="15" hidden="true" customHeight="true" outlineLevel="0" collapsed="false">
      <c r="B1109" s="127" t="n">
        <f aca="false">B1108+D1109-C1109</f>
        <v>3438.5</v>
      </c>
      <c r="D1109" s="146" t="n">
        <f aca="false">299*2</f>
        <v>598</v>
      </c>
      <c r="E1109" s="147" t="n">
        <v>873</v>
      </c>
      <c r="F1109" s="147" t="n">
        <f aca="false">IFERROR(VLOOKUP(H1109,$AD$1:$AE$301,2,0),"")</f>
        <v>1008051</v>
      </c>
      <c r="G1109" s="147" t="str">
        <f aca="false">IFERROR(VLOOKUP(F1109,$AE$2:$AF$290,2, 0),"")</f>
        <v>الوجه</v>
      </c>
      <c r="H1109" s="212" t="s">
        <v>113</v>
      </c>
      <c r="I1109" s="246" t="n">
        <f aca="false">SUM(K1109:R1109)</f>
        <v>2</v>
      </c>
      <c r="J1109" s="182" t="n">
        <v>45721</v>
      </c>
      <c r="K1109" s="148" t="n">
        <v>2</v>
      </c>
      <c r="S1109" s="192" t="n">
        <f aca="false">(K1109+O1109+Q1109)*24 /1130+(L1109+M1109+P1109+R1109)*12/1130+(N1109*30)/1130</f>
        <v>0.0424778761061947</v>
      </c>
    </row>
    <row r="1110" customFormat="false" ht="15" hidden="true" customHeight="true" outlineLevel="0" collapsed="false">
      <c r="B1110" s="127" t="n">
        <f aca="false">B1109+D1110-C1110</f>
        <v>3438.5</v>
      </c>
      <c r="C1110" s="127" t="n">
        <v>4347</v>
      </c>
      <c r="D1110" s="146" t="n">
        <f aca="false">299*3+10*345</f>
        <v>4347</v>
      </c>
      <c r="E1110" s="147" t="n">
        <v>874</v>
      </c>
      <c r="F1110" s="147" t="n">
        <f aca="false">IFERROR(VLOOKUP(H1110,$AD$1:$AE$301,2,0),"")</f>
        <v>1008023</v>
      </c>
      <c r="G1110" s="147" t="str">
        <f aca="false">IFERROR(VLOOKUP(F1110,$AE$2:$AF$290,2, 0),"")</f>
        <v>ضباء</v>
      </c>
      <c r="H1110" s="212" t="s">
        <v>95</v>
      </c>
      <c r="I1110" s="246" t="n">
        <f aca="false">SUM(K1110:R1110)</f>
        <v>13</v>
      </c>
      <c r="J1110" s="182" t="n">
        <v>45721</v>
      </c>
      <c r="M1110" s="150" t="n">
        <v>10</v>
      </c>
      <c r="R1110" s="155" t="n">
        <v>3</v>
      </c>
      <c r="S1110" s="192" t="n">
        <f aca="false">(K1110+O1110+Q1110)*24 /1130+(L1110+M1110+P1110+R1110)*12/1130+(N1110*30)/1130</f>
        <v>0.138053097345133</v>
      </c>
    </row>
    <row r="1111" customFormat="false" ht="15" hidden="true" customHeight="true" outlineLevel="0" collapsed="false">
      <c r="B1111" s="127" t="n">
        <f aca="false">B1110+D1111-C1111</f>
        <v>4352.75</v>
      </c>
      <c r="D1111" s="146" t="n">
        <f aca="false">230*2+299+155.25</f>
        <v>914.25</v>
      </c>
      <c r="E1111" s="147" t="n">
        <v>875</v>
      </c>
      <c r="F1111" s="147" t="n">
        <f aca="false">IFERROR(VLOOKUP(H1111,$AD$1:$AE$301,2,0),"")</f>
        <v>1008024</v>
      </c>
      <c r="G1111" s="147" t="str">
        <f aca="false">IFERROR(VLOOKUP(F1111,$AE$2:$AF$290,2, 0),"")</f>
        <v>ضباء</v>
      </c>
      <c r="H1111" s="212" t="s">
        <v>96</v>
      </c>
      <c r="I1111" s="246" t="n">
        <f aca="false">SUM(K1111:R1111)</f>
        <v>4</v>
      </c>
      <c r="J1111" s="182" t="n">
        <v>45721</v>
      </c>
      <c r="K1111" s="148" t="n">
        <v>1</v>
      </c>
      <c r="M1111" s="150" t="n">
        <v>2</v>
      </c>
      <c r="R1111" s="155" t="n">
        <v>1</v>
      </c>
      <c r="S1111" s="192" t="n">
        <f aca="false">(K1111+O1111+Q1111)*24 /1130+(L1111+M1111+P1111+R1111)*12/1130+(N1111*30)/1130</f>
        <v>0.0530973451327434</v>
      </c>
    </row>
    <row r="1112" customFormat="false" ht="15" hidden="true" customHeight="true" outlineLevel="0" collapsed="false">
      <c r="A1112" s="128" t="n">
        <f aca="false">D1112-160-90-5*10</f>
        <v>-1</v>
      </c>
      <c r="B1112" s="127" t="n">
        <f aca="false">B1111+D1112-C1112</f>
        <v>4651.75</v>
      </c>
      <c r="D1112" s="146" t="n">
        <v>299</v>
      </c>
      <c r="E1112" s="147" t="n">
        <v>876</v>
      </c>
      <c r="F1112" s="147" t="n">
        <f aca="false">IFERROR(VLOOKUP(H1112,$AD$1:$AE$301,2,0),"")</f>
        <v>1007988</v>
      </c>
      <c r="G1112" s="147" t="str">
        <f aca="false">IFERROR(VLOOKUP(F1112,$AE$2:$AF$290,2, 0),"")</f>
        <v>ضباء</v>
      </c>
      <c r="H1112" s="212" t="s">
        <v>89</v>
      </c>
      <c r="I1112" s="246" t="n">
        <f aca="false">SUM(K1112:R1112)</f>
        <v>1</v>
      </c>
      <c r="J1112" s="182" t="n">
        <v>45721</v>
      </c>
      <c r="K1112" s="148" t="n">
        <v>1</v>
      </c>
      <c r="S1112" s="192" t="n">
        <f aca="false">(K1112+O1112+Q1112)*24 /1130+(L1112+M1112+P1112+R1112)*12/1130+(N1112*30)/1130</f>
        <v>0.0212389380530973</v>
      </c>
    </row>
    <row r="1113" customFormat="false" ht="15" hidden="true" customHeight="true" outlineLevel="0" collapsed="false">
      <c r="A1113" s="411"/>
      <c r="B1113" s="127" t="n">
        <f aca="false">B1112+D1113-C1113</f>
        <v>2547.5</v>
      </c>
      <c r="C1113" s="127" t="n">
        <f aca="false">299+290+1355.25+160</f>
        <v>2104.25</v>
      </c>
      <c r="E1113" s="212" t="s">
        <v>470</v>
      </c>
      <c r="F1113" s="147" t="str">
        <f aca="false">IFERROR(VLOOKUP(H1113,$AD$1:$AE$301,2,0),"")</f>
        <v/>
      </c>
      <c r="G1113" s="147" t="str">
        <f aca="false">IFERROR(VLOOKUP(F1113,$AE$2:$AF$290,2, 0),"")</f>
        <v/>
      </c>
      <c r="H1113" s="212" t="s">
        <v>393</v>
      </c>
      <c r="I1113" s="246" t="n">
        <f aca="false">SUM(K1113:R1113)</f>
        <v>0</v>
      </c>
      <c r="J1113" s="182" t="n">
        <v>45721</v>
      </c>
      <c r="S1113" s="192" t="n">
        <f aca="false">(K1113+O1113+Q1113)*24 /1130+(L1113+M1113+P1113+R1113)*12/1130+(N1113*30)/1130</f>
        <v>0</v>
      </c>
    </row>
    <row r="1114" customFormat="false" ht="15" hidden="true" customHeight="true" outlineLevel="0" collapsed="false">
      <c r="B1114" s="127" t="n">
        <f aca="false">B1113+D1114-C1114</f>
        <v>0</v>
      </c>
      <c r="C1114" s="127" t="n">
        <v>2547.5</v>
      </c>
      <c r="E1114" s="212" t="s">
        <v>653</v>
      </c>
      <c r="F1114" s="147" t="str">
        <f aca="false">IFERROR(VLOOKUP(H1114,$AD$1:$AE$301,2,0),"")</f>
        <v/>
      </c>
      <c r="G1114" s="147" t="str">
        <f aca="false">IFERROR(VLOOKUP(F1114,$AE$2:$AF$290,2, 0),"")</f>
        <v/>
      </c>
      <c r="H1114" s="212" t="s">
        <v>393</v>
      </c>
      <c r="I1114" s="246" t="n">
        <f aca="false">SUM(K1114:R1114)</f>
        <v>0</v>
      </c>
      <c r="J1114" s="182" t="n">
        <v>45725</v>
      </c>
      <c r="S1114" s="192" t="n">
        <f aca="false">(K1114+O1114+Q1114)*24 /1130+(L1114+M1114+P1114+R1114)*12/1130+(N1114*30)/1130</f>
        <v>0</v>
      </c>
    </row>
    <row r="1115" customFormat="false" ht="15" hidden="true" customHeight="true" outlineLevel="0" collapsed="false">
      <c r="B1115" s="127" t="n">
        <f aca="false">B1114+D1115-C1115</f>
        <v>1017.75</v>
      </c>
      <c r="D1115" s="146" t="n">
        <f aca="false">299+155.25+299+264.5</f>
        <v>1017.75</v>
      </c>
      <c r="E1115" s="147" t="n">
        <v>877</v>
      </c>
      <c r="F1115" s="147" t="n">
        <f aca="false">IFERROR(VLOOKUP(H1115,$AD$1:$AE$301,2,0),"")</f>
        <v>1008273</v>
      </c>
      <c r="G1115" s="147" t="str">
        <f aca="false">IFERROR(VLOOKUP(F1115,$AE$2:$AF$290,2, 0),"")</f>
        <v>تبوك</v>
      </c>
      <c r="H1115" s="212" t="s">
        <v>144</v>
      </c>
      <c r="I1115" s="246" t="n">
        <f aca="false">SUM(K1115:R1115)</f>
        <v>4</v>
      </c>
      <c r="J1115" s="182" t="n">
        <v>45720</v>
      </c>
      <c r="K1115" s="148" t="n">
        <v>1</v>
      </c>
      <c r="R1115" s="155" t="n">
        <f aca="false">1+1+1</f>
        <v>3</v>
      </c>
      <c r="S1115" s="192" t="n">
        <f aca="false">(K1115+O1115+Q1115)*24 /1130+(L1115+M1115+P1115+R1115)*12/1130+(N1115*30)/1130</f>
        <v>0.0530973451327434</v>
      </c>
    </row>
    <row r="1116" customFormat="false" ht="15" hidden="true" customHeight="true" outlineLevel="0" collapsed="false">
      <c r="B1116" s="127" t="n">
        <f aca="false">B1115+D1116-C1116</f>
        <v>0</v>
      </c>
      <c r="C1116" s="127" t="n">
        <f aca="false">D1074+100+319</f>
        <v>1017</v>
      </c>
      <c r="D1116" s="146" t="n">
        <v>-0.75</v>
      </c>
      <c r="E1116" s="212" t="s">
        <v>470</v>
      </c>
      <c r="F1116" s="147" t="str">
        <f aca="false">IFERROR(VLOOKUP(H1116,$AD$1:$AE$301,2,0),"")</f>
        <v/>
      </c>
      <c r="G1116" s="147" t="str">
        <f aca="false">IFERROR(VLOOKUP(F1116,$AE$2:$AF$290,2, 0),"")</f>
        <v/>
      </c>
      <c r="H1116" s="212" t="s">
        <v>393</v>
      </c>
      <c r="I1116" s="246" t="n">
        <f aca="false">SUM(K1116:R1116)</f>
        <v>0</v>
      </c>
      <c r="J1116" s="182" t="n">
        <v>45725</v>
      </c>
      <c r="S1116" s="192" t="n">
        <f aca="false">(K1116+O1116+Q1116)*24 /1130+(L1116+M1116+P1116+R1116)*12/1130+(N1116*30)/1130</f>
        <v>0</v>
      </c>
    </row>
    <row r="1117" customFormat="false" ht="15" hidden="true" customHeight="true" outlineLevel="0" collapsed="false">
      <c r="A1117" s="128" t="n">
        <f aca="false">D1117-598</f>
        <v>0</v>
      </c>
      <c r="B1117" s="127" t="n">
        <f aca="false">B1116+D1117-C1117</f>
        <v>598</v>
      </c>
      <c r="D1117" s="146" t="n">
        <f aca="false">299*2</f>
        <v>598</v>
      </c>
      <c r="E1117" s="147" t="n">
        <v>878</v>
      </c>
      <c r="F1117" s="147" t="n">
        <f aca="false">IFERROR(VLOOKUP(H1117,$AD$1:$AE$301,2,0),"")</f>
        <v>1008272</v>
      </c>
      <c r="G1117" s="147" t="str">
        <f aca="false">IFERROR(VLOOKUP(F1117,$AE$2:$AF$290,2, 0),"")</f>
        <v>تبوك</v>
      </c>
      <c r="H1117" s="212" t="s">
        <v>143</v>
      </c>
      <c r="I1117" s="246" t="n">
        <f aca="false">SUM(K1117:R1117)</f>
        <v>2</v>
      </c>
      <c r="J1117" s="182" t="n">
        <v>45727</v>
      </c>
      <c r="K1117" s="148" t="n">
        <f aca="false">1+1</f>
        <v>2</v>
      </c>
      <c r="S1117" s="192" t="n">
        <f aca="false">(K1117+O1117+Q1117)*24 /1130+(L1117+M1117+P1117+R1117)*12/1130+(N1117*30)/1130</f>
        <v>0.0424778761061947</v>
      </c>
    </row>
    <row r="1118" customFormat="false" ht="15" hidden="true" customHeight="true" outlineLevel="0" collapsed="false">
      <c r="A1118" s="128" t="n">
        <f aca="false">D1118-350-150-50-50+2</f>
        <v>0</v>
      </c>
      <c r="B1118" s="127" t="n">
        <f aca="false">B1117+D1118-C1118</f>
        <v>1196</v>
      </c>
      <c r="D1118" s="146" t="n">
        <v>598</v>
      </c>
      <c r="E1118" s="147" t="n">
        <v>879</v>
      </c>
      <c r="F1118" s="147" t="n">
        <f aca="false">IFERROR(VLOOKUP(H1118,$AD$1:$AE$301,2,0),"")</f>
        <v>1008264</v>
      </c>
      <c r="G1118" s="147" t="str">
        <f aca="false">IFERROR(VLOOKUP(F1118,$AE$2:$AF$290,2, 0),"")</f>
        <v>تبوك</v>
      </c>
      <c r="H1118" s="212" t="s">
        <v>160</v>
      </c>
      <c r="I1118" s="246" t="n">
        <f aca="false">SUM(K1118:R1118)</f>
        <v>2</v>
      </c>
      <c r="J1118" s="182" t="n">
        <v>45727</v>
      </c>
      <c r="K1118" s="148" t="n">
        <v>2</v>
      </c>
      <c r="S1118" s="192" t="n">
        <f aca="false">(K1118+O1118+Q1118)*24 /1130+(L1118+M1118+P1118+R1118)*12/1130+(N1118*30)/1130</f>
        <v>0.0424778761061947</v>
      </c>
    </row>
    <row r="1119" customFormat="false" ht="15" hidden="true" customHeight="true" outlineLevel="0" collapsed="false">
      <c r="A1119" s="128" t="n">
        <f aca="false">D1119-7*5-14*2+5.25-150-200</f>
        <v>12</v>
      </c>
      <c r="B1119" s="127" t="n">
        <f aca="false">B1118+D1119-C1119</f>
        <v>1615.75</v>
      </c>
      <c r="D1119" s="146" t="n">
        <f aca="false">264.5+155.25</f>
        <v>419.75</v>
      </c>
      <c r="E1119" s="147" t="n">
        <v>880</v>
      </c>
      <c r="F1119" s="147" t="n">
        <f aca="false">IFERROR(VLOOKUP(H1119,$AD$1:$AE$301,2,0),"")</f>
        <v>553</v>
      </c>
      <c r="G1119" s="147" t="str">
        <f aca="false">IFERROR(VLOOKUP(F1119,$AE$2:$AF$290,2, 0),"")</f>
        <v>تبوك</v>
      </c>
      <c r="H1119" s="212" t="s">
        <v>150</v>
      </c>
      <c r="I1119" s="246" t="n">
        <f aca="false">SUM(K1119:R1119)</f>
        <v>2</v>
      </c>
      <c r="J1119" s="182" t="n">
        <v>45727</v>
      </c>
      <c r="R1119" s="155" t="n">
        <f aca="false">1+1</f>
        <v>2</v>
      </c>
      <c r="S1119" s="192" t="n">
        <f aca="false">(K1119+O1119+Q1119)*24 /1130+(L1119+M1119+P1119+R1119)*12/1130+(N1119*30)/1130</f>
        <v>0.0212389380530973</v>
      </c>
    </row>
    <row r="1120" customFormat="false" ht="15" hidden="true" customHeight="true" outlineLevel="0" collapsed="false">
      <c r="A1120" s="128" t="n">
        <f aca="false">D1120+16-215-530-500</f>
        <v>1.5</v>
      </c>
      <c r="B1120" s="127" t="n">
        <f aca="false">B1119+D1120-C1120</f>
        <v>2846.25</v>
      </c>
      <c r="D1120" s="146" t="n">
        <f aca="false">241.5+299+230*3</f>
        <v>1230.5</v>
      </c>
      <c r="E1120" s="147" t="n">
        <v>881</v>
      </c>
      <c r="F1120" s="147" t="n">
        <f aca="false">IFERROR(VLOOKUP(H1120,$AD$1:$AE$301,2,0),"")</f>
        <v>636</v>
      </c>
      <c r="G1120" s="147" t="str">
        <f aca="false">IFERROR(VLOOKUP(F1120,$AE$2:$AF$290,2, 0),"")</f>
        <v>تبوك</v>
      </c>
      <c r="H1120" s="212" t="s">
        <v>134</v>
      </c>
      <c r="I1120" s="246" t="n">
        <f aca="false">SUM(K1120:R1120)</f>
        <v>5</v>
      </c>
      <c r="J1120" s="182" t="n">
        <v>45725</v>
      </c>
      <c r="K1120" s="148" t="n">
        <v>1</v>
      </c>
      <c r="M1120" s="150" t="n">
        <v>3</v>
      </c>
      <c r="Q1120" s="154" t="n">
        <v>1</v>
      </c>
      <c r="S1120" s="192" t="n">
        <f aca="false">(K1120+O1120+Q1120)*24 /1130+(L1120+M1120+P1120+R1120)*12/1130+(N1120*30)/1130</f>
        <v>0.0743362831858407</v>
      </c>
    </row>
    <row r="1121" customFormat="false" ht="15" hidden="true" customHeight="true" outlineLevel="0" collapsed="false">
      <c r="B1121" s="127" t="n">
        <f aca="false">B1120+D1121-C1121</f>
        <v>3375.25</v>
      </c>
      <c r="D1121" s="146" t="n">
        <f aca="false">230+299</f>
        <v>529</v>
      </c>
      <c r="E1121" s="147" t="n">
        <v>882</v>
      </c>
      <c r="F1121" s="147" t="n">
        <f aca="false">IFERROR(VLOOKUP(H1121,$AD$1:$AE$301,2,0),"")</f>
        <v>721</v>
      </c>
      <c r="G1121" s="147" t="str">
        <f aca="false">IFERROR(VLOOKUP(F1121,$AE$2:$AF$290,2, 0),"")</f>
        <v>تبوك</v>
      </c>
      <c r="H1121" s="212" t="s">
        <v>183</v>
      </c>
      <c r="I1121" s="246" t="n">
        <f aca="false">SUM(K1121:R1121)</f>
        <v>2</v>
      </c>
      <c r="J1121" s="182" t="n">
        <v>45727</v>
      </c>
      <c r="M1121" s="150" t="n">
        <v>1</v>
      </c>
      <c r="R1121" s="155" t="n">
        <v>1</v>
      </c>
      <c r="S1121" s="192" t="n">
        <f aca="false">(K1121+O1121+Q1121)*24 /1130+(L1121+M1121+P1121+R1121)*12/1130+(N1121*30)/1130</f>
        <v>0.0212389380530973</v>
      </c>
    </row>
    <row r="1122" customFormat="false" ht="15" hidden="true" customHeight="true" outlineLevel="0" collapsed="false">
      <c r="B1122" s="127" t="n">
        <f aca="false">B1121+D1122-C1122</f>
        <v>0.5</v>
      </c>
      <c r="C1122" s="127" t="n">
        <f aca="false">D1115+150+268+15+250+D1117+D1083+477+300</f>
        <v>3374.75</v>
      </c>
      <c r="E1122" s="212" t="s">
        <v>470</v>
      </c>
      <c r="F1122" s="147" t="str">
        <f aca="false">IFERROR(VLOOKUP(H1122,$AD$1:$AE$301,2,0),"")</f>
        <v/>
      </c>
      <c r="G1122" s="147" t="str">
        <f aca="false">IFERROR(VLOOKUP(F1122,$AE$2:$AF$290,2, 0),"")</f>
        <v/>
      </c>
      <c r="H1122" s="212" t="s">
        <v>393</v>
      </c>
      <c r="I1122" s="246" t="n">
        <f aca="false">SUM(K1122:R1122)</f>
        <v>0</v>
      </c>
      <c r="J1122" s="182" t="n">
        <v>45727</v>
      </c>
      <c r="S1122" s="192" t="n">
        <f aca="false">(K1122+O1122+Q1122)*24 /1130+(L1122+M1122+P1122+R1122)*12/1130+(N1122*30)/1130</f>
        <v>0</v>
      </c>
    </row>
    <row r="1123" customFormat="false" ht="15" hidden="true" customHeight="true" outlineLevel="0" collapsed="false">
      <c r="B1123" s="127" t="n">
        <f aca="false">B1122+D1123-C1123</f>
        <v>598.5</v>
      </c>
      <c r="D1123" s="146" t="n">
        <f aca="false">598</f>
        <v>598</v>
      </c>
      <c r="E1123" s="147" t="n">
        <v>883</v>
      </c>
      <c r="F1123" s="147" t="n">
        <f aca="false">IFERROR(VLOOKUP(H1123,$AD$1:$AE$301,2,0),"")</f>
        <v>1008046</v>
      </c>
      <c r="G1123" s="147" t="str">
        <f aca="false">IFERROR(VLOOKUP(F1123,$AE$2:$AF$290,2, 0),"")</f>
        <v>الوجه</v>
      </c>
      <c r="H1123" s="212" t="s">
        <v>108</v>
      </c>
      <c r="I1123" s="246" t="n">
        <f aca="false">SUM(K1123:R1123)</f>
        <v>2</v>
      </c>
      <c r="J1123" s="182" t="n">
        <v>45728</v>
      </c>
      <c r="K1123" s="148" t="n">
        <v>2</v>
      </c>
      <c r="S1123" s="192" t="n">
        <f aca="false">(K1123+O1123+Q1123)*24 /1130+(L1123+M1123+P1123+R1123)*12/1130+(N1123*30)/1130</f>
        <v>0.0424778761061947</v>
      </c>
    </row>
    <row r="1124" customFormat="false" ht="15" hidden="true" customHeight="true" outlineLevel="0" collapsed="false">
      <c r="B1124" s="127" t="n">
        <f aca="false">B1123+D1124-C1124</f>
        <v>736.5</v>
      </c>
      <c r="D1124" s="146" t="n">
        <v>138</v>
      </c>
      <c r="E1124" s="147" t="n">
        <v>884</v>
      </c>
      <c r="F1124" s="147" t="n">
        <f aca="false">IFERROR(VLOOKUP(H1124,$AD$1:$AE$301,2,0),"")</f>
        <v>656</v>
      </c>
      <c r="G1124" s="147" t="str">
        <f aca="false">IFERROR(VLOOKUP(F1124,$AE$2:$AF$290,2, 0),"")</f>
        <v>الوجه</v>
      </c>
      <c r="H1124" s="212" t="s">
        <v>115</v>
      </c>
      <c r="I1124" s="246" t="n">
        <f aca="false">SUM(K1124:R1124)</f>
        <v>1</v>
      </c>
      <c r="J1124" s="182" t="n">
        <v>45728</v>
      </c>
      <c r="Q1124" s="154" t="n">
        <v>1</v>
      </c>
      <c r="S1124" s="192" t="n">
        <f aca="false">(K1124+O1124+Q1124)*24 /1130+(L1124+M1124+P1124+R1124)*12/1130+(N1124*30)/1130</f>
        <v>0.0212389380530973</v>
      </c>
    </row>
    <row r="1125" customFormat="false" ht="15" hidden="true" customHeight="true" outlineLevel="0" collapsed="false">
      <c r="B1125" s="127" t="n">
        <f aca="false">B1124+D1125-C1125</f>
        <v>11201.5</v>
      </c>
      <c r="D1125" s="146" t="n">
        <f aca="false">299*35</f>
        <v>10465</v>
      </c>
      <c r="E1125" s="147" t="n">
        <v>885</v>
      </c>
      <c r="F1125" s="147" t="n">
        <f aca="false">IFERROR(VLOOKUP(H1125,$AD$1:$AE$301,2,0),"")</f>
        <v>1008048</v>
      </c>
      <c r="G1125" s="147" t="str">
        <f aca="false">IFERROR(VLOOKUP(F1125,$AE$2:$AF$290,2, 0),"")</f>
        <v>الوجه</v>
      </c>
      <c r="H1125" s="212" t="s">
        <v>110</v>
      </c>
      <c r="I1125" s="246" t="n">
        <f aca="false">SUM(K1125:R1125)</f>
        <v>35</v>
      </c>
      <c r="J1125" s="182" t="n">
        <v>45728</v>
      </c>
      <c r="K1125" s="148" t="n">
        <f aca="false">25+10</f>
        <v>35</v>
      </c>
      <c r="S1125" s="192" t="n">
        <f aca="false">(K1125+O1125+Q1125)*24 /1130+(L1125+M1125+P1125+R1125)*12/1130+(N1125*30)/1130</f>
        <v>0.743362831858407</v>
      </c>
    </row>
    <row r="1126" customFormat="false" ht="15" hidden="true" customHeight="true" outlineLevel="0" collapsed="false">
      <c r="A1126" s="128" t="n">
        <f aca="false">D1126-195-104</f>
        <v>0</v>
      </c>
      <c r="B1126" s="127" t="n">
        <f aca="false">B1125+D1126-C1126</f>
        <v>11500.5</v>
      </c>
      <c r="D1126" s="146" t="n">
        <v>299</v>
      </c>
      <c r="E1126" s="147" t="n">
        <v>886</v>
      </c>
      <c r="F1126" s="147" t="n">
        <f aca="false">IFERROR(VLOOKUP(H1126,$AD$1:$AE$301,2,0),"")</f>
        <v>1008043</v>
      </c>
      <c r="G1126" s="147" t="str">
        <f aca="false">IFERROR(VLOOKUP(F1126,$AE$2:$AF$290,2, 0),"")</f>
        <v>الوجه</v>
      </c>
      <c r="H1126" s="212" t="s">
        <v>104</v>
      </c>
      <c r="I1126" s="246" t="n">
        <f aca="false">SUM(K1126:R1126)</f>
        <v>1</v>
      </c>
      <c r="J1126" s="182" t="n">
        <v>45728</v>
      </c>
      <c r="K1126" s="148" t="n">
        <v>1</v>
      </c>
      <c r="S1126" s="192" t="n">
        <f aca="false">(K1126+O1126+Q1126)*24 /1130+(L1126+M1126+P1126+R1126)*12/1130+(N1126*30)/1130</f>
        <v>0.0212389380530973</v>
      </c>
    </row>
    <row r="1127" customFormat="false" ht="15" hidden="true" customHeight="true" outlineLevel="0" collapsed="false">
      <c r="A1127" s="128" t="n">
        <f aca="false">D1127-5*58-170</f>
        <v>0</v>
      </c>
      <c r="B1127" s="127" t="n">
        <f aca="false">B1126+D1127-C1127</f>
        <v>11960.5</v>
      </c>
      <c r="D1127" s="146" t="n">
        <f aca="false">230*2</f>
        <v>460</v>
      </c>
      <c r="E1127" s="147" t="n">
        <v>887</v>
      </c>
      <c r="F1127" s="147" t="n">
        <f aca="false">IFERROR(VLOOKUP(H1127,$AD$1:$AE$301,2,0),"")</f>
        <v>1008024</v>
      </c>
      <c r="G1127" s="147" t="str">
        <f aca="false">IFERROR(VLOOKUP(F1127,$AE$2:$AF$290,2, 0),"")</f>
        <v>ضباء</v>
      </c>
      <c r="H1127" s="212" t="s">
        <v>96</v>
      </c>
      <c r="I1127" s="246" t="n">
        <f aca="false">SUM(K1127:R1127)</f>
        <v>2</v>
      </c>
      <c r="J1127" s="182" t="n">
        <v>45728</v>
      </c>
      <c r="M1127" s="150" t="n">
        <v>2</v>
      </c>
      <c r="S1127" s="192" t="n">
        <f aca="false">(K1127+O1127+Q1127)*24 /1130+(L1127+M1127+P1127+R1127)*12/1130+(N1127*30)/1130</f>
        <v>0.0212389380530973</v>
      </c>
    </row>
    <row r="1128" customFormat="false" ht="15" hidden="true" customHeight="true" outlineLevel="0" collapsed="false">
      <c r="A1128" s="128" t="n">
        <f aca="false">D1128-13*2-152</f>
        <v>0.25</v>
      </c>
      <c r="B1128" s="127" t="n">
        <f aca="false">B1127+D1128-C1128</f>
        <v>12138.75</v>
      </c>
      <c r="D1128" s="146" t="n">
        <v>178.25</v>
      </c>
      <c r="E1128" s="147" t="n">
        <v>888</v>
      </c>
      <c r="F1128" s="147" t="n">
        <f aca="false">IFERROR(VLOOKUP(H1128,$AD$1:$AE$301,2,0),"")</f>
        <v>1007976</v>
      </c>
      <c r="G1128" s="147" t="str">
        <f aca="false">IFERROR(VLOOKUP(F1128,$AE$2:$AF$290,2, 0),"")</f>
        <v>ضباء</v>
      </c>
      <c r="H1128" s="212" t="s">
        <v>77</v>
      </c>
      <c r="I1128" s="246" t="n">
        <f aca="false">SUM(K1128:R1128)</f>
        <v>1</v>
      </c>
      <c r="J1128" s="182" t="n">
        <v>45728</v>
      </c>
      <c r="L1128" s="149" t="n">
        <v>1</v>
      </c>
      <c r="S1128" s="192" t="n">
        <f aca="false">(K1128+O1128+Q1128)*24 /1130+(L1128+M1128+P1128+R1128)*12/1130+(N1128*30)/1130</f>
        <v>0.0106194690265487</v>
      </c>
    </row>
    <row r="1129" customFormat="false" ht="15" hidden="true" customHeight="true" outlineLevel="0" collapsed="false">
      <c r="A1129" s="128" t="n">
        <f aca="false">D1129-345-210-8.5</f>
        <v>0</v>
      </c>
      <c r="B1129" s="127" t="n">
        <f aca="false">B1128+D1129-C1129</f>
        <v>12702.25</v>
      </c>
      <c r="D1129" s="146" t="n">
        <f aca="false">155.25+230+178.25</f>
        <v>563.5</v>
      </c>
      <c r="E1129" s="147" t="n">
        <v>889</v>
      </c>
      <c r="F1129" s="147" t="n">
        <f aca="false">IFERROR(VLOOKUP(H1129,$AD$1:$AE$301,2,0),"")</f>
        <v>1008260</v>
      </c>
      <c r="G1129" s="147" t="str">
        <f aca="false">IFERROR(VLOOKUP(F1129,$AE$2:$AF$290,2, 0),"")</f>
        <v>تبوك</v>
      </c>
      <c r="H1129" s="212" t="s">
        <v>184</v>
      </c>
      <c r="I1129" s="246" t="n">
        <f aca="false">SUM(K1129:R1129)</f>
        <v>3</v>
      </c>
      <c r="J1129" s="182" t="n">
        <v>45731</v>
      </c>
      <c r="L1129" s="149" t="n">
        <v>1</v>
      </c>
      <c r="M1129" s="150" t="n">
        <v>1</v>
      </c>
      <c r="P1129" s="153" t="n">
        <v>1</v>
      </c>
      <c r="S1129" s="192" t="n">
        <f aca="false">(K1129+O1129+Q1129)*24 /1130+(L1129+M1129+P1129+R1129)*12/1130+(N1129*30)/1130</f>
        <v>0.031858407079646</v>
      </c>
    </row>
    <row r="1130" customFormat="false" ht="15" hidden="true" customHeight="true" outlineLevel="0" collapsed="false">
      <c r="B1130" s="127" t="n">
        <f aca="false">B1129+D1130-C1130</f>
        <v>12932.25</v>
      </c>
      <c r="D1130" s="146" t="n">
        <v>230</v>
      </c>
      <c r="E1130" s="147" t="n">
        <v>890</v>
      </c>
      <c r="F1130" s="147" t="n">
        <f aca="false">IFERROR(VLOOKUP(H1130,$AD$1:$AE$301,2,0),"")</f>
        <v>549</v>
      </c>
      <c r="G1130" s="147" t="str">
        <f aca="false">IFERROR(VLOOKUP(F1130,$AE$2:$AF$290,2, 0),"")</f>
        <v>تبوك</v>
      </c>
      <c r="H1130" s="212" t="s">
        <v>238</v>
      </c>
      <c r="I1130" s="246" t="n">
        <f aca="false">SUM(K1130:R1130)</f>
        <v>1</v>
      </c>
      <c r="J1130" s="182" t="n">
        <v>45731</v>
      </c>
      <c r="M1130" s="150" t="n">
        <v>1</v>
      </c>
      <c r="S1130" s="192" t="n">
        <f aca="false">(K1130+O1130+Q1130)*24 /1130+(L1130+M1130+P1130+R1130)*12/1130+(N1130*30)/1130</f>
        <v>0.0106194690265487</v>
      </c>
    </row>
    <row r="1131" customFormat="false" ht="15" hidden="true" customHeight="true" outlineLevel="0" collapsed="false">
      <c r="A1131" s="128" t="n">
        <f aca="false">D1131-598</f>
        <v>0</v>
      </c>
      <c r="B1131" s="127" t="n">
        <f aca="false">B1130+D1131-C1131</f>
        <v>13530.25</v>
      </c>
      <c r="D1131" s="146" t="n">
        <f aca="false">299*2</f>
        <v>598</v>
      </c>
      <c r="E1131" s="147" t="n">
        <v>891</v>
      </c>
      <c r="F1131" s="147" t="n">
        <f aca="false">IFERROR(VLOOKUP(H1131,$AD$1:$AE$301,2,0),"")</f>
        <v>653</v>
      </c>
      <c r="G1131" s="147" t="str">
        <f aca="false">IFERROR(VLOOKUP(F1131,$AE$2:$AF$290,2, 0),"")</f>
        <v>تبوك</v>
      </c>
      <c r="H1131" s="212" t="s">
        <v>264</v>
      </c>
      <c r="I1131" s="246" t="n">
        <f aca="false">SUM(K1131:R1131)</f>
        <v>2</v>
      </c>
      <c r="J1131" s="182" t="n">
        <v>45731</v>
      </c>
      <c r="K1131" s="148" t="n">
        <v>2</v>
      </c>
      <c r="S1131" s="192" t="n">
        <f aca="false">(K1131+O1131+Q1131)*24 /1130+(L1131+M1131+P1131+R1131)*12/1130+(N1131*30)/1130</f>
        <v>0.0424778761061947</v>
      </c>
    </row>
    <row r="1132" customFormat="false" ht="15" hidden="true" customHeight="true" outlineLevel="0" collapsed="false">
      <c r="A1132" s="128" t="n">
        <f aca="false">D1132-155.25</f>
        <v>0</v>
      </c>
      <c r="B1132" s="127" t="n">
        <f aca="false">B1131+D1132-C1132</f>
        <v>13685.5</v>
      </c>
      <c r="D1132" s="146" t="n">
        <v>155.25</v>
      </c>
      <c r="E1132" s="147" t="n">
        <v>892</v>
      </c>
      <c r="F1132" s="147" t="n">
        <f aca="false">IFERROR(VLOOKUP(H1132,$AD$1:$AE$301,2,0),"")</f>
        <v>562</v>
      </c>
      <c r="G1132" s="147" t="str">
        <f aca="false">IFERROR(VLOOKUP(F1132,$AE$2:$AF$290,2, 0),"")</f>
        <v>تبوك</v>
      </c>
      <c r="H1132" s="212" t="s">
        <v>234</v>
      </c>
      <c r="I1132" s="246" t="n">
        <f aca="false">SUM(K1132:R1132)</f>
        <v>1</v>
      </c>
      <c r="J1132" s="182" t="n">
        <v>45731</v>
      </c>
      <c r="R1132" s="155" t="n">
        <v>1</v>
      </c>
      <c r="S1132" s="192" t="n">
        <f aca="false">(K1132+O1132+Q1132)*24 /1130+(L1132+M1132+P1132+R1132)*12/1130+(N1132*30)/1130</f>
        <v>0.0106194690265487</v>
      </c>
    </row>
    <row r="1133" customFormat="false" ht="15" hidden="true" customHeight="true" outlineLevel="0" collapsed="false">
      <c r="B1133" s="127" t="n">
        <f aca="false">B1132+D1133-C1133</f>
        <v>13823.5</v>
      </c>
      <c r="D1133" s="146" t="n">
        <v>138</v>
      </c>
      <c r="E1133" s="147" t="n">
        <v>893</v>
      </c>
      <c r="F1133" s="147" t="n">
        <f aca="false">IFERROR(VLOOKUP(H1133,$AD$1:$AE$301,2,0),"")</f>
        <v>539</v>
      </c>
      <c r="G1133" s="147" t="str">
        <f aca="false">IFERROR(VLOOKUP(F1133,$AE$2:$AF$290,2, 0),"")</f>
        <v>تبوك</v>
      </c>
      <c r="H1133" s="212" t="s">
        <v>237</v>
      </c>
      <c r="I1133" s="246" t="n">
        <f aca="false">SUM(K1133:R1133)</f>
        <v>1</v>
      </c>
      <c r="J1133" s="182" t="n">
        <v>45731</v>
      </c>
      <c r="Q1133" s="154" t="n">
        <v>1</v>
      </c>
      <c r="S1133" s="192" t="n">
        <f aca="false">(K1133+O1133+Q1133)*24 /1130+(L1133+M1133+P1133+R1133)*12/1130+(N1133*30)/1130</f>
        <v>0.0212389380530973</v>
      </c>
    </row>
    <row r="1134" customFormat="false" ht="15" hidden="true" customHeight="true" outlineLevel="0" collapsed="false">
      <c r="B1134" s="127" t="n">
        <f aca="false">B1133+D1134-C1134</f>
        <v>14122.5</v>
      </c>
      <c r="D1134" s="146" t="n">
        <v>299</v>
      </c>
      <c r="E1134" s="147" t="n">
        <v>894</v>
      </c>
      <c r="F1134" s="147" t="n">
        <f aca="false">IFERROR(VLOOKUP(H1134,$AD$1:$AE$301,2,0),"")</f>
        <v>1008261</v>
      </c>
      <c r="G1134" s="147" t="str">
        <f aca="false">IFERROR(VLOOKUP(F1134,$AE$2:$AF$290,2, 0),"")</f>
        <v>تبوك</v>
      </c>
      <c r="H1134" s="212" t="s">
        <v>440</v>
      </c>
      <c r="I1134" s="246" t="n">
        <f aca="false">SUM(K1134:R1134)</f>
        <v>1</v>
      </c>
      <c r="J1134" s="182" t="n">
        <v>45731</v>
      </c>
      <c r="K1134" s="148" t="n">
        <v>1</v>
      </c>
      <c r="S1134" s="192" t="n">
        <f aca="false">(K1134+O1134+Q1134)*24 /1130+(L1134+M1134+P1134+R1134)*12/1130+(N1134*30)/1130</f>
        <v>0.0212389380530973</v>
      </c>
    </row>
    <row r="1135" customFormat="false" ht="15" hidden="true" customHeight="true" outlineLevel="0" collapsed="false">
      <c r="A1135" s="128" t="n">
        <f aca="false">D1135-236</f>
        <v>-0.25</v>
      </c>
      <c r="B1135" s="127" t="n">
        <f aca="false">B1134+D1135-C1135</f>
        <v>14358.25</v>
      </c>
      <c r="D1135" s="146" t="n">
        <v>235.75</v>
      </c>
      <c r="E1135" s="147" t="n">
        <v>895</v>
      </c>
      <c r="F1135" s="147" t="n">
        <f aca="false">IFERROR(VLOOKUP(H1135,$AD$1:$AE$301,2,0),"")</f>
        <v>555</v>
      </c>
      <c r="G1135" s="147" t="str">
        <f aca="false">IFERROR(VLOOKUP(F1135,$AE$2:$AF$290,2, 0),"")</f>
        <v>تبوك</v>
      </c>
      <c r="H1135" s="212" t="s">
        <v>260</v>
      </c>
      <c r="I1135" s="246" t="n">
        <f aca="false">SUM(K1135:R1135)</f>
        <v>1</v>
      </c>
      <c r="J1135" s="182" t="n">
        <v>45731</v>
      </c>
      <c r="M1135" s="150" t="n">
        <v>1</v>
      </c>
      <c r="S1135" s="192" t="n">
        <f aca="false">(K1135+O1135+Q1135)*24 /1130+(L1135+M1135+P1135+R1135)*12/1130+(N1135*30)/1130</f>
        <v>0.0106194690265487</v>
      </c>
    </row>
    <row r="1136" customFormat="false" ht="15" hidden="true" customHeight="true" outlineLevel="0" collapsed="false">
      <c r="A1136" s="128" t="n">
        <f aca="false">D1136-1000-500-455</f>
        <v>0</v>
      </c>
      <c r="B1136" s="127" t="n">
        <f aca="false">B1135+D1136-C1136</f>
        <v>16313.25</v>
      </c>
      <c r="D1136" s="146" t="n">
        <f aca="false">345+253*2+230+299*2+138*2</f>
        <v>1955</v>
      </c>
      <c r="E1136" s="147" t="n">
        <v>896</v>
      </c>
      <c r="F1136" s="147" t="n">
        <f aca="false">IFERROR(VLOOKUP(H1136,$AD$1:$AE$301,2,0),"")</f>
        <v>943</v>
      </c>
      <c r="G1136" s="147" t="str">
        <f aca="false">IFERROR(VLOOKUP(F1136,$AE$2:$AF$290,2, 0),"")</f>
        <v>تبوك</v>
      </c>
      <c r="H1136" s="212" t="s">
        <v>259</v>
      </c>
      <c r="I1136" s="246" t="n">
        <f aca="false">SUM(K1136:R1136)</f>
        <v>8</v>
      </c>
      <c r="J1136" s="182" t="n">
        <v>45731</v>
      </c>
      <c r="K1136" s="148" t="n">
        <f aca="false">1+1</f>
        <v>2</v>
      </c>
      <c r="M1136" s="150" t="n">
        <f aca="false">2+1+1</f>
        <v>4</v>
      </c>
      <c r="Q1136" s="154" t="n">
        <f aca="false">2</f>
        <v>2</v>
      </c>
      <c r="S1136" s="192" t="n">
        <f aca="false">(K1136+O1136+Q1136)*24 /1130+(L1136+M1136+P1136+R1136)*12/1130+(N1136*30)/1130</f>
        <v>0.127433628318584</v>
      </c>
    </row>
    <row r="1137" customFormat="false" ht="15" hidden="true" customHeight="true" outlineLevel="0" collapsed="false">
      <c r="B1137" s="127" t="n">
        <f aca="false">B1136+D1137-C1137</f>
        <v>14056.25</v>
      </c>
      <c r="C1137" s="127" t="n">
        <f aca="false">D1124+482+260+D1130+210+D1134+D1131+40</f>
        <v>2257</v>
      </c>
      <c r="E1137" s="212" t="s">
        <v>470</v>
      </c>
      <c r="F1137" s="147" t="str">
        <f aca="false">IFERROR(VLOOKUP(H1137,$AD$1:$AE$301,2,0),"")</f>
        <v/>
      </c>
      <c r="G1137" s="147" t="str">
        <f aca="false">IFERROR(VLOOKUP(F1137,$AE$2:$AF$290,2, 0),"")</f>
        <v/>
      </c>
      <c r="H1137" s="212" t="s">
        <v>393</v>
      </c>
      <c r="I1137" s="246" t="n">
        <f aca="false">SUM(K1137:R1137)</f>
        <v>0</v>
      </c>
      <c r="J1137" s="182" t="n">
        <v>45731</v>
      </c>
      <c r="S1137" s="192" t="n">
        <f aca="false">(K1137+O1137+Q1137)*24 /1130+(L1137+M1137+P1137+R1137)*12/1130+(N1137*30)/1130</f>
        <v>0</v>
      </c>
    </row>
    <row r="1138" customFormat="false" ht="15" hidden="true" customHeight="true" outlineLevel="0" collapsed="false">
      <c r="A1138" s="413"/>
      <c r="B1138" s="127" t="n">
        <f aca="false">B1137+D1138-C1138</f>
        <v>2798.25</v>
      </c>
      <c r="C1138" s="127" t="n">
        <f aca="false">195+D1125+D1123</f>
        <v>11258</v>
      </c>
      <c r="E1138" s="212" t="s">
        <v>657</v>
      </c>
      <c r="F1138" s="147" t="str">
        <f aca="false">IFERROR(VLOOKUP(H1138,$AD$1:$AE$301,2,0),"")</f>
        <v/>
      </c>
      <c r="G1138" s="147" t="str">
        <f aca="false">IFERROR(VLOOKUP(F1138,$AE$2:$AF$290,2, 0),"")</f>
        <v/>
      </c>
      <c r="H1138" s="212" t="s">
        <v>393</v>
      </c>
      <c r="I1138" s="246" t="n">
        <f aca="false">SUM(K1138:R1138)</f>
        <v>0</v>
      </c>
      <c r="J1138" s="182" t="n">
        <v>45731</v>
      </c>
      <c r="S1138" s="192" t="n">
        <f aca="false">(K1138+O1138+Q1138)*24 /1130+(L1138+M1138+P1138+R1138)*12/1130+(N1138*30)/1130</f>
        <v>0</v>
      </c>
    </row>
    <row r="1139" customFormat="false" ht="15" hidden="true" customHeight="true" outlineLevel="0" collapsed="false">
      <c r="B1139" s="127" t="n">
        <f aca="false">B1138+D1139-C1139</f>
        <v>0</v>
      </c>
      <c r="C1139" s="127" t="n">
        <v>2798</v>
      </c>
      <c r="D1139" s="146" t="n">
        <v>-0.25</v>
      </c>
      <c r="E1139" s="212" t="s">
        <v>653</v>
      </c>
      <c r="F1139" s="147" t="str">
        <f aca="false">IFERROR(VLOOKUP(H1139,$AD$1:$AE$301,2,0),"")</f>
        <v/>
      </c>
      <c r="G1139" s="147" t="str">
        <f aca="false">IFERROR(VLOOKUP(F1139,$AE$2:$AF$290,2, 0),"")</f>
        <v/>
      </c>
      <c r="H1139" s="212" t="s">
        <v>393</v>
      </c>
      <c r="I1139" s="246" t="n">
        <f aca="false">SUM(K1139:R1139)</f>
        <v>0</v>
      </c>
      <c r="J1139" s="182" t="n">
        <v>45732</v>
      </c>
      <c r="S1139" s="192" t="n">
        <f aca="false">(K1139+O1139+Q1139)*24 /1130+(L1139+M1139+P1139+R1139)*12/1130+(N1139*30)/1130</f>
        <v>0</v>
      </c>
    </row>
    <row r="1140" customFormat="false" ht="15" hidden="true" customHeight="true" outlineLevel="0" collapsed="false">
      <c r="B1140" s="127" t="n">
        <f aca="false">B1139+D1140-C1140</f>
        <v>3657</v>
      </c>
      <c r="D1140" s="146" t="n">
        <f aca="false">3*299+3*299+5*253+2*299</f>
        <v>3657</v>
      </c>
      <c r="E1140" s="147" t="n">
        <v>897</v>
      </c>
      <c r="F1140" s="147" t="n">
        <f aca="false">IFERROR(VLOOKUP(H1140,$AD$1:$AE$301,2,0),"")</f>
        <v>1076</v>
      </c>
      <c r="G1140" s="147" t="str">
        <f aca="false">IFERROR(VLOOKUP(F1140,$AE$2:$AF$290,2, 0),"")</f>
        <v>تبوك</v>
      </c>
      <c r="H1140" s="212" t="s">
        <v>244</v>
      </c>
      <c r="I1140" s="246" t="n">
        <f aca="false">SUM(K1140:R1140)</f>
        <v>13</v>
      </c>
      <c r="J1140" s="182" t="n">
        <v>45733</v>
      </c>
      <c r="K1140" s="148" t="n">
        <f aca="false">3+3</f>
        <v>6</v>
      </c>
      <c r="M1140" s="150" t="n">
        <v>5</v>
      </c>
      <c r="R1140" s="155" t="n">
        <v>2</v>
      </c>
      <c r="S1140" s="192" t="n">
        <f aca="false">(K1140+O1140+Q1140)*24 /1130+(L1140+M1140+P1140+R1140)*12/1130+(N1140*30)/1130</f>
        <v>0.201769911504425</v>
      </c>
    </row>
    <row r="1141" customFormat="false" ht="15" hidden="true" customHeight="true" outlineLevel="0" collapsed="false">
      <c r="B1141" s="127" t="n">
        <f aca="false">B1140+D1141-C1141</f>
        <v>3956</v>
      </c>
      <c r="D1141" s="146" t="n">
        <v>299</v>
      </c>
      <c r="E1141" s="147" t="n">
        <v>898</v>
      </c>
      <c r="F1141" s="147" t="n">
        <f aca="false">IFERROR(VLOOKUP(H1141,$AD$1:$AE$301,2,0),"")</f>
        <v>654</v>
      </c>
      <c r="G1141" s="147" t="str">
        <f aca="false">IFERROR(VLOOKUP(F1141,$AE$2:$AF$290,2, 0),"")</f>
        <v>تبوك</v>
      </c>
      <c r="H1141" s="212" t="s">
        <v>266</v>
      </c>
      <c r="I1141" s="246" t="n">
        <f aca="false">SUM(K1141:R1141)</f>
        <v>1</v>
      </c>
      <c r="J1141" s="182" t="n">
        <v>45733</v>
      </c>
      <c r="K1141" s="148" t="n">
        <v>1</v>
      </c>
      <c r="S1141" s="192" t="n">
        <f aca="false">(K1141+O1141+Q1141)*24 /1130+(L1141+M1141+P1141+R1141)*12/1130+(N1141*30)/1130</f>
        <v>0.0212389380530973</v>
      </c>
    </row>
    <row r="1142" customFormat="false" ht="15" hidden="true" customHeight="true" outlineLevel="0" collapsed="false">
      <c r="B1142" s="127" t="n">
        <f aca="false">B1141+D1142-C1142</f>
        <v>0</v>
      </c>
      <c r="C1142" s="127" t="n">
        <f aca="false">D1140+D1141</f>
        <v>3956</v>
      </c>
      <c r="E1142" s="212" t="s">
        <v>470</v>
      </c>
      <c r="F1142" s="147" t="str">
        <f aca="false">IFERROR(VLOOKUP(H1142,$AD$1:$AE$301,2,0),"")</f>
        <v/>
      </c>
      <c r="G1142" s="147" t="str">
        <f aca="false">IFERROR(VLOOKUP(F1142,$AE$2:$AF$290,2, 0),"")</f>
        <v/>
      </c>
      <c r="H1142" s="212" t="s">
        <v>393</v>
      </c>
      <c r="I1142" s="246" t="n">
        <f aca="false">SUM(K1142:R1142)</f>
        <v>0</v>
      </c>
      <c r="J1142" s="182" t="n">
        <v>45733</v>
      </c>
      <c r="S1142" s="192" t="n">
        <f aca="false">(K1142+O1142+Q1142)*24 /1130+(L1142+M1142+P1142+R1142)*12/1130+(N1142*30)/1130</f>
        <v>0</v>
      </c>
    </row>
    <row r="1143" customFormat="false" ht="15" hidden="true" customHeight="true" outlineLevel="0" collapsed="false">
      <c r="B1143" s="127" t="n">
        <f aca="false">B1142+D1143-C1143</f>
        <v>1207.5</v>
      </c>
      <c r="D1143" s="146" t="n">
        <f aca="false">241.5*4+241.5</f>
        <v>1207.5</v>
      </c>
      <c r="E1143" s="147" t="n">
        <v>899</v>
      </c>
      <c r="F1143" s="147" t="n">
        <f aca="false">IFERROR(VLOOKUP(H1143,$AD$1:$AE$301,2,0),"")</f>
        <v>1007996</v>
      </c>
      <c r="G1143" s="147" t="str">
        <f aca="false">IFERROR(VLOOKUP(F1143,$AE$2:$AF$290,2, 0),"")</f>
        <v>البير</v>
      </c>
      <c r="H1143" s="212" t="s">
        <v>295</v>
      </c>
      <c r="I1143" s="246" t="n">
        <f aca="false">SUM(K1143:R1143)</f>
        <v>5</v>
      </c>
      <c r="J1143" s="182" t="n">
        <v>45733</v>
      </c>
      <c r="O1143" s="152" t="n">
        <f aca="false">2+2</f>
        <v>4</v>
      </c>
      <c r="Q1143" s="154" t="n">
        <v>1</v>
      </c>
      <c r="S1143" s="192" t="n">
        <f aca="false">(K1143+O1143+Q1143)*24 /1130+(L1143+M1143+P1143+R1143)*12/1130+(N1143*30)/1130</f>
        <v>0.106194690265487</v>
      </c>
    </row>
    <row r="1144" customFormat="false" ht="15" hidden="true" customHeight="true" outlineLevel="0" collapsed="false">
      <c r="A1144" s="128" t="n">
        <f aca="false">D1144-495</f>
        <v>-0.5</v>
      </c>
      <c r="B1144" s="127" t="n">
        <f aca="false">B1143+D1144-C1144</f>
        <v>1702</v>
      </c>
      <c r="D1144" s="146" t="n">
        <f aca="false">241.5+253</f>
        <v>494.5</v>
      </c>
      <c r="E1144" s="147" t="n">
        <v>900</v>
      </c>
      <c r="F1144" s="147" t="n">
        <f aca="false">IFERROR(VLOOKUP(H1144,$AD$1:$AE$301,2,0),"")</f>
        <v>1007969</v>
      </c>
      <c r="G1144" s="147" t="str">
        <f aca="false">IFERROR(VLOOKUP(F1144,$AE$2:$AF$290,2, 0),"")</f>
        <v>حقل</v>
      </c>
      <c r="H1144" s="212" t="s">
        <v>309</v>
      </c>
      <c r="I1144" s="246" t="n">
        <f aca="false">SUM(K1144:R1144)</f>
        <v>2</v>
      </c>
      <c r="J1144" s="182" t="n">
        <v>45733</v>
      </c>
      <c r="M1144" s="150" t="n">
        <v>1</v>
      </c>
      <c r="Q1144" s="154" t="n">
        <v>1</v>
      </c>
      <c r="S1144" s="192" t="n">
        <f aca="false">(K1144+O1144+Q1144)*24 /1130+(L1144+M1144+P1144+R1144)*12/1130+(N1144*30)/1130</f>
        <v>0.031858407079646</v>
      </c>
    </row>
    <row r="1145" customFormat="false" ht="15" hidden="true" customHeight="true" outlineLevel="0" collapsed="false">
      <c r="A1145" s="128" t="n">
        <f aca="false">D1145-5*1-8*2-289.5</f>
        <v>0</v>
      </c>
      <c r="B1145" s="127" t="n">
        <f aca="false">B1144+D1145-C1145</f>
        <v>2012.5</v>
      </c>
      <c r="D1145" s="146" t="n">
        <f aca="false">155.25*2</f>
        <v>310.5</v>
      </c>
      <c r="E1145" s="147" t="n">
        <v>901</v>
      </c>
      <c r="F1145" s="147" t="n">
        <f aca="false">IFERROR(VLOOKUP(H1145,$AD$1:$AE$301,2,0),"")</f>
        <v>1007999</v>
      </c>
      <c r="G1145" s="147" t="str">
        <f aca="false">IFERROR(VLOOKUP(F1145,$AE$2:$AF$290,2, 0),"")</f>
        <v>حقل</v>
      </c>
      <c r="H1145" s="212" t="s">
        <v>312</v>
      </c>
      <c r="I1145" s="246" t="n">
        <f aca="false">SUM(K1145:R1145)</f>
        <v>2</v>
      </c>
      <c r="J1145" s="182" t="n">
        <v>45733</v>
      </c>
      <c r="R1145" s="155" t="n">
        <v>2</v>
      </c>
      <c r="S1145" s="192" t="n">
        <f aca="false">(K1145+O1145+Q1145)*24 /1130+(L1145+M1145+P1145+R1145)*12/1130+(N1145*30)/1130</f>
        <v>0.0212389380530973</v>
      </c>
    </row>
    <row r="1146" customFormat="false" ht="15" hidden="true" customHeight="true" outlineLevel="0" collapsed="false">
      <c r="A1146" s="128" t="n">
        <f aca="false">D1146+36-1043-200</f>
        <v>0.5</v>
      </c>
      <c r="B1146" s="127" t="n">
        <f aca="false">B1145+D1146-C1146</f>
        <v>3220</v>
      </c>
      <c r="D1146" s="146" t="n">
        <f aca="false">241.5*5</f>
        <v>1207.5</v>
      </c>
      <c r="E1146" s="147" t="n">
        <v>902</v>
      </c>
      <c r="F1146" s="147" t="n">
        <f aca="false">IFERROR(VLOOKUP(H1146,$AD$1:$AE$301,2,0),"")</f>
        <v>1008019</v>
      </c>
      <c r="G1146" s="147" t="str">
        <f aca="false">IFERROR(VLOOKUP(F1146,$AE$2:$AF$290,2, 0),"")</f>
        <v>البدع</v>
      </c>
      <c r="H1146" s="212" t="s">
        <v>327</v>
      </c>
      <c r="I1146" s="246" t="n">
        <f aca="false">SUM(K1146:R1146)</f>
        <v>5</v>
      </c>
      <c r="J1146" s="182" t="n">
        <v>45733</v>
      </c>
      <c r="O1146" s="152" t="n">
        <v>5</v>
      </c>
      <c r="S1146" s="192" t="n">
        <f aca="false">(K1146+O1146+Q1146)*24 /1130+(L1146+M1146+P1146+R1146)*12/1130+(N1146*30)/1130</f>
        <v>0.106194690265487</v>
      </c>
    </row>
    <row r="1147" customFormat="false" ht="15" hidden="true" customHeight="true" outlineLevel="0" collapsed="false">
      <c r="B1147" s="127" t="n">
        <f aca="false">B1146+D1147-C1147</f>
        <v>4025</v>
      </c>
      <c r="D1147" s="146" t="n">
        <f aca="false">2*253+299</f>
        <v>805</v>
      </c>
      <c r="E1147" s="147" t="n">
        <v>903</v>
      </c>
      <c r="F1147" s="147" t="n">
        <f aca="false">IFERROR(VLOOKUP(H1147,$AD$1:$AE$301,2,0),"")</f>
        <v>1006522</v>
      </c>
      <c r="G1147" s="147" t="str">
        <f aca="false">IFERROR(VLOOKUP(F1147,$AE$2:$AF$290,2, 0),"")</f>
        <v>البدع</v>
      </c>
      <c r="H1147" s="212" t="s">
        <v>317</v>
      </c>
      <c r="I1147" s="246" t="n">
        <f aca="false">SUM(K1147:R1147)</f>
        <v>3</v>
      </c>
      <c r="J1147" s="182" t="n">
        <v>45733</v>
      </c>
      <c r="K1147" s="148" t="n">
        <v>1</v>
      </c>
      <c r="M1147" s="150" t="n">
        <v>2</v>
      </c>
      <c r="S1147" s="192" t="n">
        <f aca="false">(K1147+O1147+Q1147)*24 /1130+(L1147+M1147+P1147+R1147)*12/1130+(N1147*30)/1130</f>
        <v>0.0424778761061947</v>
      </c>
    </row>
    <row r="1148" customFormat="false" ht="15" hidden="true" customHeight="true" outlineLevel="0" collapsed="false">
      <c r="B1148" s="127" t="n">
        <f aca="false">B1147+D1148-C1148</f>
        <v>4663.25</v>
      </c>
      <c r="D1148" s="146" t="n">
        <f aca="false">241.5*2+155.25</f>
        <v>638.25</v>
      </c>
      <c r="E1148" s="147" t="n">
        <v>904</v>
      </c>
      <c r="F1148" s="147" t="n">
        <f aca="false">IFERROR(VLOOKUP(H1148,$AD$1:$AE$301,2,0),"")</f>
        <v>786</v>
      </c>
      <c r="G1148" s="147" t="str">
        <f aca="false">IFERROR(VLOOKUP(F1148,$AE$2:$AF$290,2, 0),"")</f>
        <v>البدع</v>
      </c>
      <c r="H1148" s="212" t="s">
        <v>319</v>
      </c>
      <c r="I1148" s="246" t="n">
        <f aca="false">SUM(K1148:R1148)</f>
        <v>3</v>
      </c>
      <c r="J1148" s="182" t="n">
        <v>45733</v>
      </c>
      <c r="O1148" s="152" t="n">
        <v>2</v>
      </c>
      <c r="R1148" s="155" t="n">
        <v>1</v>
      </c>
      <c r="S1148" s="192" t="n">
        <f aca="false">(K1148+O1148+Q1148)*24 /1130+(L1148+M1148+P1148+R1148)*12/1130+(N1148*30)/1130</f>
        <v>0.0530973451327434</v>
      </c>
    </row>
    <row r="1149" customFormat="false" ht="15" hidden="true" customHeight="true" outlineLevel="0" collapsed="false">
      <c r="A1149" s="128" t="n">
        <f aca="false">D1149-2000-470</f>
        <v>2.5</v>
      </c>
      <c r="B1149" s="127" t="n">
        <f aca="false">B1148+D1149-C1149</f>
        <v>7135.75</v>
      </c>
      <c r="D1149" s="146" t="n">
        <f aca="false">195.5*5+5*299</f>
        <v>2472.5</v>
      </c>
      <c r="E1149" s="147" t="n">
        <v>905</v>
      </c>
      <c r="F1149" s="147" t="n">
        <f aca="false">IFERROR(VLOOKUP(H1149,$AD$1:$AE$301,2,0),"")</f>
        <v>1008017</v>
      </c>
      <c r="G1149" s="147" t="str">
        <f aca="false">IFERROR(VLOOKUP(F1149,$AE$2:$AF$290,2, 0),"")</f>
        <v>البدع</v>
      </c>
      <c r="H1149" s="212" t="s">
        <v>325</v>
      </c>
      <c r="I1149" s="246" t="n">
        <f aca="false">SUM(K1149:R1149)</f>
        <v>10</v>
      </c>
      <c r="J1149" s="182" t="n">
        <v>45733</v>
      </c>
      <c r="K1149" s="148" t="n">
        <f aca="false">3+2</f>
        <v>5</v>
      </c>
      <c r="Q1149" s="154" t="n">
        <v>5</v>
      </c>
      <c r="S1149" s="192" t="n">
        <f aca="false">(K1149+O1149+Q1149)*24 /1130+(L1149+M1149+P1149+R1149)*12/1130+(N1149*30)/1130</f>
        <v>0.212389380530973</v>
      </c>
    </row>
    <row r="1150" customFormat="false" ht="15" hidden="true" customHeight="true" outlineLevel="0" collapsed="false">
      <c r="A1150" s="128" t="n">
        <f aca="false">D1150-2-7*2-582</f>
        <v>0</v>
      </c>
      <c r="B1150" s="127" t="n">
        <f aca="false">B1149+D1150-C1150</f>
        <v>7733.75</v>
      </c>
      <c r="D1150" s="146" t="n">
        <f aca="false">2*299</f>
        <v>598</v>
      </c>
      <c r="E1150" s="147" t="n">
        <v>906</v>
      </c>
      <c r="F1150" s="147" t="n">
        <f aca="false">IFERROR(VLOOKUP(H1150,$AD$1:$AE$301,2,0),"")</f>
        <v>1007965</v>
      </c>
      <c r="G1150" s="147" t="str">
        <f aca="false">IFERROR(VLOOKUP(F1150,$AE$2:$AF$290,2, 0),"")</f>
        <v>البير</v>
      </c>
      <c r="H1150" s="212" t="s">
        <v>290</v>
      </c>
      <c r="I1150" s="246" t="n">
        <f aca="false">SUM(K1150:R1150)</f>
        <v>2</v>
      </c>
      <c r="J1150" s="182" t="n">
        <v>45733</v>
      </c>
      <c r="K1150" s="148" t="n">
        <v>2</v>
      </c>
      <c r="S1150" s="192" t="n">
        <f aca="false">(K1150+O1150+Q1150)*24 /1130+(L1150+M1150+P1150+R1150)*12/1130+(N1150*30)/1130</f>
        <v>0.0424778761061947</v>
      </c>
    </row>
    <row r="1151" customFormat="false" ht="15" hidden="true" customHeight="true" outlineLevel="0" collapsed="false">
      <c r="A1151" s="128" t="n">
        <f aca="false">D1151-3*5-2*1-270</f>
        <v>0.5</v>
      </c>
      <c r="B1151" s="127" t="n">
        <f aca="false">B1150+D1151-C1151</f>
        <v>8021.25</v>
      </c>
      <c r="D1151" s="146" t="n">
        <v>287.5</v>
      </c>
      <c r="E1151" s="147" t="n">
        <v>907</v>
      </c>
      <c r="F1151" s="147" t="n">
        <f aca="false">IFERROR(VLOOKUP(H1151,$AD$1:$AE$301,2,0),"")</f>
        <v>1007996</v>
      </c>
      <c r="G1151" s="147" t="str">
        <f aca="false">IFERROR(VLOOKUP(F1151,$AE$2:$AF$290,2, 0),"")</f>
        <v>البير</v>
      </c>
      <c r="H1151" s="212" t="s">
        <v>295</v>
      </c>
      <c r="I1151" s="246" t="n">
        <f aca="false">SUM(K1151:R1151)</f>
        <v>1</v>
      </c>
      <c r="J1151" s="182" t="n">
        <v>45733</v>
      </c>
      <c r="N1151" s="151" t="n">
        <v>1</v>
      </c>
      <c r="S1151" s="192" t="n">
        <f aca="false">(K1151+O1151+Q1151)*24 /1130+(L1151+M1151+P1151+R1151)*12/1130+(N1151*30)/1130</f>
        <v>0.0265486725663717</v>
      </c>
    </row>
    <row r="1152" customFormat="false" ht="15" hidden="true" customHeight="true" outlineLevel="0" collapsed="false">
      <c r="A1152" s="128" t="n">
        <f aca="false">D1152-505-300</f>
        <v>0</v>
      </c>
      <c r="B1152" s="127" t="n">
        <f aca="false">B1151+D1152-C1152</f>
        <v>8826.25</v>
      </c>
      <c r="D1152" s="146" t="n">
        <f aca="false">253*2+299</f>
        <v>805</v>
      </c>
      <c r="E1152" s="147" t="n">
        <v>908</v>
      </c>
      <c r="F1152" s="147" t="n">
        <f aca="false">IFERROR(VLOOKUP(H1152,$AD$1:$AE$301,2,0),"")</f>
        <v>1008030</v>
      </c>
      <c r="G1152" s="147" t="str">
        <f aca="false">IFERROR(VLOOKUP(F1152,$AE$2:$AF$290,2, 0),"")</f>
        <v>البير</v>
      </c>
      <c r="H1152" s="212" t="s">
        <v>298</v>
      </c>
      <c r="I1152" s="246" t="n">
        <f aca="false">SUM(K1152:R1152)</f>
        <v>3</v>
      </c>
      <c r="J1152" s="182" t="n">
        <v>45733</v>
      </c>
      <c r="K1152" s="148" t="n">
        <v>1</v>
      </c>
      <c r="M1152" s="150" t="n">
        <f aca="false">1+1</f>
        <v>2</v>
      </c>
      <c r="S1152" s="192" t="n">
        <f aca="false">(K1152+O1152+Q1152)*24 /1130+(L1152+M1152+P1152+R1152)*12/1130+(N1152*30)/1130</f>
        <v>0.0424778761061947</v>
      </c>
    </row>
    <row r="1153" customFormat="false" ht="15" hidden="true" customHeight="true" outlineLevel="0" collapsed="false">
      <c r="A1153" s="128" t="n">
        <f aca="false">D1153+8.5-463</f>
        <v>-0.25</v>
      </c>
      <c r="B1153" s="127" t="n">
        <f aca="false">B1152+D1153-C1153</f>
        <v>9280.5</v>
      </c>
      <c r="D1153" s="146" t="n">
        <f aca="false">155.25+299</f>
        <v>454.25</v>
      </c>
      <c r="E1153" s="147" t="n">
        <v>909</v>
      </c>
      <c r="F1153" s="147" t="n">
        <f aca="false">IFERROR(VLOOKUP(H1153,$AD$1:$AE$301,2,0),"")</f>
        <v>1008260</v>
      </c>
      <c r="G1153" s="147" t="str">
        <f aca="false">IFERROR(VLOOKUP(F1153,$AE$2:$AF$290,2, 0),"")</f>
        <v>تبوك</v>
      </c>
      <c r="H1153" s="212" t="s">
        <v>184</v>
      </c>
      <c r="I1153" s="246" t="n">
        <f aca="false">SUM(K1153:R1153)</f>
        <v>2</v>
      </c>
      <c r="J1153" s="182" t="n">
        <v>45733</v>
      </c>
      <c r="K1153" s="148" t="n">
        <v>1</v>
      </c>
      <c r="R1153" s="155" t="n">
        <v>1</v>
      </c>
      <c r="S1153" s="192" t="n">
        <f aca="false">(K1153+O1153+Q1153)*24 /1130+(L1153+M1153+P1153+R1153)*12/1130+(N1153*30)/1130</f>
        <v>0.031858407079646</v>
      </c>
    </row>
    <row r="1154" customFormat="false" ht="15" hidden="true" customHeight="true" outlineLevel="0" collapsed="false">
      <c r="B1154" s="127" t="n">
        <f aca="false">B1153+D1154-C1154</f>
        <v>3797.25</v>
      </c>
      <c r="C1154" s="127" t="n">
        <f aca="false">D1143-400+D1145-21+1043+200+2000+D1148+505</f>
        <v>5483.25</v>
      </c>
      <c r="E1154" s="212" t="s">
        <v>470</v>
      </c>
      <c r="F1154" s="147" t="str">
        <f aca="false">IFERROR(VLOOKUP(H1154,$AD$1:$AE$301,2,0),"")</f>
        <v/>
      </c>
      <c r="G1154" s="147" t="str">
        <f aca="false">IFERROR(VLOOKUP(F1154,$AE$2:$AF$290,2, 0),"")</f>
        <v/>
      </c>
      <c r="H1154" s="212" t="s">
        <v>393</v>
      </c>
      <c r="I1154" s="246" t="n">
        <f aca="false">SUM(K1154:R1154)</f>
        <v>0</v>
      </c>
      <c r="J1154" s="182" t="n">
        <v>45733</v>
      </c>
      <c r="S1154" s="192" t="n">
        <f aca="false">(K1154+O1154+Q1154)*24 /1130+(L1154+M1154+P1154+R1154)*12/1130+(N1154*30)/1130</f>
        <v>0</v>
      </c>
    </row>
    <row r="1155" customFormat="false" ht="15" hidden="true" customHeight="true" outlineLevel="0" collapsed="false">
      <c r="B1155" s="127" t="n">
        <f aca="false">B1154+D1155-C1155</f>
        <v>0.25</v>
      </c>
      <c r="C1155" s="127" t="n">
        <v>3797</v>
      </c>
      <c r="E1155" s="212" t="s">
        <v>653</v>
      </c>
      <c r="F1155" s="147" t="str">
        <f aca="false">IFERROR(VLOOKUP(H1155,$AD$1:$AE$301,2,0),"")</f>
        <v/>
      </c>
      <c r="G1155" s="147" t="str">
        <f aca="false">IFERROR(VLOOKUP(F1155,$AE$2:$AF$290,2, 0),"")</f>
        <v/>
      </c>
      <c r="H1155" s="212" t="s">
        <v>393</v>
      </c>
      <c r="I1155" s="246" t="n">
        <f aca="false">SUM(K1155:R1155)</f>
        <v>0</v>
      </c>
      <c r="J1155" s="182" t="n">
        <v>45733</v>
      </c>
      <c r="S1155" s="192" t="n">
        <f aca="false">(K1155+O1155+Q1155)*24 /1130+(L1155+M1155+P1155+R1155)*12/1130+(N1155*30)/1130</f>
        <v>0</v>
      </c>
    </row>
    <row r="1156" customFormat="false" ht="15" hidden="true" customHeight="true" outlineLevel="0" collapsed="false">
      <c r="B1156" s="127" t="n">
        <f aca="false">B1155+D1156-C1156</f>
        <v>241.75</v>
      </c>
      <c r="D1156" s="146" t="n">
        <v>241.5</v>
      </c>
      <c r="E1156" s="147" t="n">
        <v>910</v>
      </c>
      <c r="F1156" s="147" t="n">
        <f aca="false">IFERROR(VLOOKUP(H1156,$AD$1:$AE$301,2,0),"")</f>
        <v>1008021</v>
      </c>
      <c r="G1156" s="147" t="str">
        <f aca="false">IFERROR(VLOOKUP(F1156,$AE$2:$AF$290,2, 0),"")</f>
        <v>البير</v>
      </c>
      <c r="H1156" s="212" t="s">
        <v>294</v>
      </c>
      <c r="I1156" s="246" t="n">
        <f aca="false">SUM(K1156:R1156)</f>
        <v>1</v>
      </c>
      <c r="J1156" s="182" t="n">
        <v>45734</v>
      </c>
      <c r="Q1156" s="154" t="n">
        <v>1</v>
      </c>
      <c r="S1156" s="192" t="n">
        <f aca="false">(K1156+O1156+Q1156)*24 /1130+(L1156+M1156+P1156+R1156)*12/1130+(N1156*30)/1130</f>
        <v>0.0212389380530973</v>
      </c>
    </row>
    <row r="1157" customFormat="false" ht="15" hidden="true" customHeight="true" outlineLevel="0" collapsed="false">
      <c r="B1157" s="127" t="n">
        <f aca="false">B1156+D1157-C1157</f>
        <v>494.75</v>
      </c>
      <c r="D1157" s="146" t="n">
        <v>253</v>
      </c>
      <c r="E1157" s="147" t="n">
        <v>911</v>
      </c>
      <c r="F1157" s="147" t="n">
        <f aca="false">IFERROR(VLOOKUP(H1157,$AD$1:$AE$301,2,0),"")</f>
        <v>1007965</v>
      </c>
      <c r="G1157" s="147" t="str">
        <f aca="false">IFERROR(VLOOKUP(F1157,$AE$2:$AF$290,2, 0),"")</f>
        <v>البير</v>
      </c>
      <c r="H1157" s="212" t="s">
        <v>290</v>
      </c>
      <c r="I1157" s="246" t="n">
        <f aca="false">SUM(K1157:R1157)</f>
        <v>1</v>
      </c>
      <c r="J1157" s="182" t="n">
        <v>45734</v>
      </c>
      <c r="M1157" s="150" t="n">
        <v>1</v>
      </c>
      <c r="S1157" s="192" t="n">
        <f aca="false">(K1157+O1157+Q1157)*24 /1130+(L1157+M1157+P1157+R1157)*12/1130+(N1157*30)/1130</f>
        <v>0.0106194690265487</v>
      </c>
    </row>
    <row r="1158" customFormat="false" ht="15" hidden="true" customHeight="true" outlineLevel="0" collapsed="false">
      <c r="A1158" s="128" t="n">
        <f aca="false">D1158-200-41.5</f>
        <v>0</v>
      </c>
      <c r="B1158" s="127" t="n">
        <f aca="false">B1157+D1158-C1158</f>
        <v>736.25</v>
      </c>
      <c r="D1158" s="146" t="n">
        <v>241.5</v>
      </c>
      <c r="E1158" s="147" t="n">
        <v>912</v>
      </c>
      <c r="F1158" s="147" t="n">
        <f aca="false">IFERROR(VLOOKUP(H1158,$AD$1:$AE$301,2,0),"")</f>
        <v>635</v>
      </c>
      <c r="G1158" s="147" t="str">
        <f aca="false">IFERROR(VLOOKUP(F1158,$AE$2:$AF$290,2, 0),"")</f>
        <v>تبوك</v>
      </c>
      <c r="H1158" s="212" t="s">
        <v>157</v>
      </c>
      <c r="I1158" s="246" t="n">
        <f aca="false">SUM(K1158:R1158)</f>
        <v>1</v>
      </c>
      <c r="J1158" s="182" t="n">
        <v>45734</v>
      </c>
      <c r="Q1158" s="154" t="n">
        <v>1</v>
      </c>
      <c r="S1158" s="192" t="n">
        <f aca="false">(K1158+O1158+Q1158)*24 /1130+(L1158+M1158+P1158+R1158)*12/1130+(N1158*30)/1130</f>
        <v>0.0212389380530973</v>
      </c>
    </row>
    <row r="1159" customFormat="false" ht="15" hidden="true" customHeight="true" outlineLevel="0" collapsed="false">
      <c r="A1159" s="128" t="n">
        <f aca="false">D1159-250-50</f>
        <v>-1</v>
      </c>
      <c r="B1159" s="127" t="n">
        <f aca="false">B1158+D1159-C1159</f>
        <v>1035.25</v>
      </c>
      <c r="D1159" s="146" t="n">
        <v>299</v>
      </c>
      <c r="E1159" s="147" t="n">
        <v>914</v>
      </c>
      <c r="F1159" s="147" t="n">
        <f aca="false">IFERROR(VLOOKUP(H1159,$AD$1:$AE$301,2,0),"")</f>
        <v>1008266</v>
      </c>
      <c r="G1159" s="147" t="str">
        <f aca="false">IFERROR(VLOOKUP(F1159,$AE$2:$AF$290,2, 0),"")</f>
        <v>تبوك</v>
      </c>
      <c r="H1159" s="212" t="s">
        <v>178</v>
      </c>
      <c r="I1159" s="246" t="n">
        <f aca="false">SUM(K1159:R1159)</f>
        <v>1</v>
      </c>
      <c r="J1159" s="182" t="n">
        <v>45734</v>
      </c>
      <c r="K1159" s="148" t="n">
        <v>1</v>
      </c>
      <c r="S1159" s="192" t="n">
        <f aca="false">(K1159+O1159+Q1159)*24 /1130+(L1159+M1159+P1159+R1159)*12/1130+(N1159*30)/1130</f>
        <v>0.0212389380530973</v>
      </c>
    </row>
    <row r="1160" customFormat="false" ht="15" hidden="true" customHeight="true" outlineLevel="0" collapsed="false">
      <c r="A1160" s="128" t="n">
        <f aca="false">D1160-520-9</f>
        <v>0</v>
      </c>
      <c r="B1160" s="127" t="n">
        <f aca="false">B1159+D1160-C1160</f>
        <v>1564.25</v>
      </c>
      <c r="D1160" s="146" t="n">
        <f aca="false">230+299</f>
        <v>529</v>
      </c>
      <c r="E1160" s="147" t="n">
        <v>915</v>
      </c>
      <c r="F1160" s="147" t="n">
        <f aca="false">IFERROR(VLOOKUP(H1160,$AD$1:$AE$301,2,0),"")</f>
        <v>1002861</v>
      </c>
      <c r="G1160" s="147" t="str">
        <f aca="false">IFERROR(VLOOKUP(F1160,$AE$2:$AF$290,2, 0),"")</f>
        <v>تبوك</v>
      </c>
      <c r="H1160" s="212" t="s">
        <v>275</v>
      </c>
      <c r="I1160" s="246" t="n">
        <f aca="false">SUM(K1160:R1160)</f>
        <v>2</v>
      </c>
      <c r="J1160" s="182" t="n">
        <v>45734</v>
      </c>
      <c r="K1160" s="148" t="n">
        <f aca="false">1</f>
        <v>1</v>
      </c>
      <c r="M1160" s="150" t="n">
        <v>1</v>
      </c>
      <c r="S1160" s="192" t="n">
        <f aca="false">(K1160+O1160+Q1160)*24 /1130+(L1160+M1160+P1160+R1160)*12/1130+(N1160*30)/1130</f>
        <v>0.031858407079646</v>
      </c>
    </row>
    <row r="1161" customFormat="false" ht="15" hidden="true" customHeight="true" outlineLevel="0" collapsed="false">
      <c r="A1161" s="128" t="n">
        <f aca="false">D1161-289-1-9</f>
        <v>0</v>
      </c>
      <c r="B1161" s="127" t="n">
        <f aca="false">B1160+D1161-C1161</f>
        <v>1863.25</v>
      </c>
      <c r="D1161" s="146" t="n">
        <v>299</v>
      </c>
      <c r="E1161" s="147" t="n">
        <v>913</v>
      </c>
      <c r="F1161" s="147" t="n">
        <f aca="false">IFERROR(VLOOKUP(H1161,$AD$1:$AE$301,2,0),"")</f>
        <v>1008275</v>
      </c>
      <c r="G1161" s="147" t="str">
        <f aca="false">IFERROR(VLOOKUP(F1161,$AE$2:$AF$290,2, 0),"")</f>
        <v>تبوك</v>
      </c>
      <c r="H1161" s="212" t="s">
        <v>179</v>
      </c>
      <c r="I1161" s="246" t="n">
        <f aca="false">SUM(K1161:R1161)</f>
        <v>1</v>
      </c>
      <c r="J1161" s="182" t="n">
        <v>45734</v>
      </c>
      <c r="K1161" s="148" t="n">
        <v>1</v>
      </c>
      <c r="S1161" s="192" t="n">
        <f aca="false">(K1161+O1161+Q1161)*24 /1130+(L1161+M1161+P1161+R1161)*12/1130+(N1161*30)/1130</f>
        <v>0.0212389380530973</v>
      </c>
    </row>
    <row r="1162" customFormat="false" ht="15" hidden="true" customHeight="true" outlineLevel="0" collapsed="false">
      <c r="B1162" s="127" t="n">
        <f aca="false">B1161+D1162-C1162</f>
        <v>1512.25</v>
      </c>
      <c r="C1162" s="127" t="n">
        <f aca="false">351</f>
        <v>351</v>
      </c>
      <c r="E1162" s="212" t="s">
        <v>653</v>
      </c>
      <c r="F1162" s="147" t="str">
        <f aca="false">IFERROR(VLOOKUP(H1162,$AD$1:$AE$301,2,0),"")</f>
        <v/>
      </c>
      <c r="G1162" s="147" t="str">
        <f aca="false">IFERROR(VLOOKUP(F1162,$AE$2:$AF$290,2, 0),"")</f>
        <v/>
      </c>
      <c r="H1162" s="212" t="s">
        <v>393</v>
      </c>
      <c r="I1162" s="246" t="n">
        <f aca="false">SUM(K1162:R1162)</f>
        <v>0</v>
      </c>
      <c r="J1162" s="182" t="n">
        <v>45734</v>
      </c>
      <c r="S1162" s="192" t="n">
        <f aca="false">(K1162+O1162+Q1162)*24 /1130+(L1162+M1162+P1162+R1162)*12/1130+(N1162*30)/1130</f>
        <v>0</v>
      </c>
    </row>
    <row r="1163" customFormat="false" ht="15" hidden="true" customHeight="true" outlineLevel="0" collapsed="false">
      <c r="B1163" s="127" t="n">
        <f aca="false">B1162+D1163-C1163</f>
        <v>0.25</v>
      </c>
      <c r="C1163" s="127" t="n">
        <v>1512</v>
      </c>
      <c r="E1163" s="212" t="s">
        <v>653</v>
      </c>
      <c r="F1163" s="147" t="str">
        <f aca="false">IFERROR(VLOOKUP(H1163,$AD$1:$AE$301,2,0),"")</f>
        <v/>
      </c>
      <c r="G1163" s="147" t="str">
        <f aca="false">IFERROR(VLOOKUP(F1163,$AE$2:$AF$290,2, 0),"")</f>
        <v/>
      </c>
      <c r="H1163" s="212" t="s">
        <v>393</v>
      </c>
      <c r="I1163" s="246" t="n">
        <f aca="false">SUM(K1163:R1163)</f>
        <v>0</v>
      </c>
      <c r="J1163" s="182" t="n">
        <v>45734</v>
      </c>
      <c r="S1163" s="192" t="n">
        <f aca="false">(K1163+O1163+Q1163)*24 /1130+(L1163+M1163+P1163+R1163)*12/1130+(N1163*30)/1130</f>
        <v>0</v>
      </c>
    </row>
    <row r="1164" customFormat="false" ht="15" hidden="true" customHeight="true" outlineLevel="0" collapsed="false">
      <c r="A1164" s="128" t="n">
        <f aca="false">D1164-994.75</f>
        <v>0</v>
      </c>
      <c r="B1164" s="127" t="n">
        <f aca="false">B1163+D1164-C1164</f>
        <v>995</v>
      </c>
      <c r="D1164" s="146" t="n">
        <f aca="false">241.5+299*2+155.25</f>
        <v>994.75</v>
      </c>
      <c r="E1164" s="147" t="n">
        <v>916</v>
      </c>
      <c r="F1164" s="147" t="n">
        <f aca="false">IFERROR(VLOOKUP(H1164,$AD$1:$AE$301,2,0),"")</f>
        <v>1002949</v>
      </c>
      <c r="G1164" s="147" t="str">
        <f aca="false">IFERROR(VLOOKUP(F1164,$AE$2:$AF$290,2, 0),"")</f>
        <v>تبوك</v>
      </c>
      <c r="H1164" s="212" t="s">
        <v>169</v>
      </c>
      <c r="I1164" s="246" t="n">
        <f aca="false">SUM(K1164:R1164)</f>
        <v>4</v>
      </c>
      <c r="J1164" s="182" t="n">
        <v>45735</v>
      </c>
      <c r="K1164" s="148" t="n">
        <f aca="false">1+1</f>
        <v>2</v>
      </c>
      <c r="Q1164" s="154" t="n">
        <v>1</v>
      </c>
      <c r="R1164" s="155" t="n">
        <v>1</v>
      </c>
      <c r="S1164" s="192" t="n">
        <f aca="false">(K1164+O1164+Q1164)*24 /1130+(L1164+M1164+P1164+R1164)*12/1130+(N1164*30)/1130</f>
        <v>0.0743362831858407</v>
      </c>
    </row>
    <row r="1165" customFormat="false" ht="15" hidden="true" customHeight="true" outlineLevel="0" collapsed="false">
      <c r="A1165" s="128" t="n">
        <f aca="false">D1165-598</f>
        <v>0</v>
      </c>
      <c r="B1165" s="127" t="n">
        <f aca="false">B1164+D1165-C1165</f>
        <v>1593</v>
      </c>
      <c r="D1165" s="146" t="n">
        <f aca="false">299*2</f>
        <v>598</v>
      </c>
      <c r="E1165" s="147" t="n">
        <v>917</v>
      </c>
      <c r="F1165" s="147" t="n">
        <f aca="false">IFERROR(VLOOKUP(H1165,$AD$1:$AE$301,2,0),"")</f>
        <v>566</v>
      </c>
      <c r="G1165" s="147" t="str">
        <f aca="false">IFERROR(VLOOKUP(F1165,$AE$2:$AF$290,2, 0),"")</f>
        <v>تبوك</v>
      </c>
      <c r="H1165" s="212" t="s">
        <v>168</v>
      </c>
      <c r="I1165" s="246" t="n">
        <f aca="false">SUM(K1165:R1165)</f>
        <v>2</v>
      </c>
      <c r="J1165" s="182" t="n">
        <v>45735</v>
      </c>
      <c r="K1165" s="148" t="n">
        <f aca="false">1+1</f>
        <v>2</v>
      </c>
      <c r="S1165" s="192" t="n">
        <f aca="false">(K1165+O1165+Q1165)*24 /1130+(L1165+M1165+P1165+R1165)*12/1130+(N1165*30)/1130</f>
        <v>0.0424778761061947</v>
      </c>
    </row>
    <row r="1166" customFormat="false" ht="15" hidden="true" customHeight="true" outlineLevel="0" collapsed="false">
      <c r="A1166" s="128" t="n">
        <f aca="false">D1166+41.5-340.5</f>
        <v>0</v>
      </c>
      <c r="B1166" s="127" t="n">
        <f aca="false">B1165+D1166-C1166</f>
        <v>1892</v>
      </c>
      <c r="D1166" s="146" t="n">
        <v>299</v>
      </c>
      <c r="E1166" s="147" t="n">
        <v>918</v>
      </c>
      <c r="F1166" s="147" t="n">
        <f aca="false">IFERROR(VLOOKUP(H1166,$AD$1:$AE$301,2,0),"")</f>
        <v>635</v>
      </c>
      <c r="G1166" s="147" t="str">
        <f aca="false">IFERROR(VLOOKUP(F1166,$AE$2:$AF$290,2, 0),"")</f>
        <v>تبوك</v>
      </c>
      <c r="H1166" s="212" t="s">
        <v>157</v>
      </c>
      <c r="I1166" s="246" t="n">
        <f aca="false">SUM(K1166:R1166)</f>
        <v>1</v>
      </c>
      <c r="J1166" s="182" t="n">
        <v>45735</v>
      </c>
      <c r="K1166" s="148" t="n">
        <v>1</v>
      </c>
      <c r="S1166" s="192" t="n">
        <f aca="false">(K1166+O1166+Q1166)*24 /1130+(L1166+M1166+P1166+R1166)*12/1130+(N1166*30)/1130</f>
        <v>0.0212389380530973</v>
      </c>
    </row>
    <row r="1167" customFormat="false" ht="15" hidden="true" customHeight="true" outlineLevel="0" collapsed="false">
      <c r="B1167" s="127" t="n">
        <f aca="false">B1166+D1167-C1167</f>
        <v>2191</v>
      </c>
      <c r="D1167" s="146" t="n">
        <v>299</v>
      </c>
      <c r="E1167" s="147" t="n">
        <v>919</v>
      </c>
      <c r="F1167" s="147" t="n">
        <f aca="false">IFERROR(VLOOKUP(H1167,$AD$1:$AE$301,2,0),"")</f>
        <v>1008275</v>
      </c>
      <c r="G1167" s="147" t="str">
        <f aca="false">IFERROR(VLOOKUP(F1167,$AE$2:$AF$290,2, 0),"")</f>
        <v>تبوك</v>
      </c>
      <c r="H1167" s="212" t="s">
        <v>179</v>
      </c>
      <c r="I1167" s="246" t="n">
        <f aca="false">SUM(K1167:R1167)</f>
        <v>1</v>
      </c>
      <c r="J1167" s="182" t="n">
        <v>45735</v>
      </c>
      <c r="K1167" s="148" t="n">
        <v>1</v>
      </c>
      <c r="S1167" s="192" t="n">
        <f aca="false">(K1167+O1167+Q1167)*24 /1130+(L1167+M1167+P1167+R1167)*12/1130+(N1167*30)/1130</f>
        <v>0.0212389380530973</v>
      </c>
    </row>
    <row r="1168" customFormat="false" ht="15" hidden="true" customHeight="true" outlineLevel="0" collapsed="false">
      <c r="A1168" s="128" t="n">
        <f aca="false">D1168-199-399</f>
        <v>0</v>
      </c>
      <c r="B1168" s="127" t="n">
        <f aca="false">B1167+D1168-C1168</f>
        <v>2789</v>
      </c>
      <c r="D1168" s="146" t="n">
        <f aca="false">2*299</f>
        <v>598</v>
      </c>
      <c r="E1168" s="147" t="n">
        <v>920</v>
      </c>
      <c r="F1168" s="147" t="n">
        <f aca="false">IFERROR(VLOOKUP(H1168,$AD$1:$AE$301,2,0),"")</f>
        <v>1008266</v>
      </c>
      <c r="G1168" s="147" t="str">
        <f aca="false">IFERROR(VLOOKUP(F1168,$AE$2:$AF$290,2, 0),"")</f>
        <v>تبوك</v>
      </c>
      <c r="H1168" s="212" t="s">
        <v>178</v>
      </c>
      <c r="I1168" s="246" t="n">
        <f aca="false">SUM(K1168:R1168)</f>
        <v>2</v>
      </c>
      <c r="J1168" s="182" t="n">
        <v>45735</v>
      </c>
      <c r="K1168" s="148" t="n">
        <f aca="false">1+1</f>
        <v>2</v>
      </c>
      <c r="S1168" s="192" t="n">
        <f aca="false">(K1168+O1168+Q1168)*24 /1130+(L1168+M1168+P1168+R1168)*12/1130+(N1168*30)/1130</f>
        <v>0.0424778761061947</v>
      </c>
    </row>
    <row r="1169" customFormat="false" ht="15" hidden="true" customHeight="true" outlineLevel="0" collapsed="false">
      <c r="A1169" s="128" t="n">
        <f aca="false">D1169-241.5</f>
        <v>0</v>
      </c>
      <c r="B1169" s="127" t="n">
        <f aca="false">B1168+D1169-C1169</f>
        <v>3030.5</v>
      </c>
      <c r="D1169" s="146" t="n">
        <v>241.5</v>
      </c>
      <c r="E1169" s="147" t="n">
        <v>921</v>
      </c>
      <c r="F1169" s="147" t="n">
        <f aca="false">IFERROR(VLOOKUP(H1169,$AD$1:$AE$301,2,0),"")</f>
        <v>622</v>
      </c>
      <c r="G1169" s="147" t="str">
        <f aca="false">IFERROR(VLOOKUP(F1169,$AE$2:$AF$290,2, 0),"")</f>
        <v>تبوك</v>
      </c>
      <c r="H1169" s="212" t="s">
        <v>177</v>
      </c>
      <c r="I1169" s="246" t="n">
        <f aca="false">SUM(K1169:R1169)</f>
        <v>1</v>
      </c>
      <c r="J1169" s="182" t="n">
        <v>45735</v>
      </c>
      <c r="O1169" s="152" t="n">
        <v>1</v>
      </c>
      <c r="S1169" s="192" t="n">
        <f aca="false">(K1169+O1169+Q1169)*24 /1130+(L1169+M1169+P1169+R1169)*12/1130+(N1169*30)/1130</f>
        <v>0.0212389380530973</v>
      </c>
    </row>
    <row r="1170" customFormat="false" ht="15" hidden="true" customHeight="true" outlineLevel="0" collapsed="false">
      <c r="A1170" s="128" t="n">
        <f aca="false">D1170-155.25</f>
        <v>-0.25</v>
      </c>
      <c r="B1170" s="127" t="n">
        <f aca="false">B1169+D1170-C1170</f>
        <v>3185.5</v>
      </c>
      <c r="D1170" s="146" t="n">
        <v>155</v>
      </c>
      <c r="E1170" s="147" t="n">
        <v>922</v>
      </c>
      <c r="F1170" s="147" t="n">
        <f aca="false">IFERROR(VLOOKUP(H1170,$AD$1:$AE$301,2,0),"")</f>
        <v>622</v>
      </c>
      <c r="G1170" s="147" t="str">
        <f aca="false">IFERROR(VLOOKUP(F1170,$AE$2:$AF$290,2, 0),"")</f>
        <v>تبوك</v>
      </c>
      <c r="H1170" s="212" t="s">
        <v>177</v>
      </c>
      <c r="I1170" s="246" t="n">
        <f aca="false">SUM(K1170:R1170)</f>
        <v>1</v>
      </c>
      <c r="J1170" s="182" t="n">
        <v>45735</v>
      </c>
      <c r="R1170" s="155" t="n">
        <v>1</v>
      </c>
      <c r="S1170" s="192" t="n">
        <f aca="false">(K1170+O1170+Q1170)*24 /1130+(L1170+M1170+P1170+R1170)*12/1130+(N1170*30)/1130</f>
        <v>0.0106194690265487</v>
      </c>
    </row>
    <row r="1171" customFormat="false" ht="15" hidden="true" customHeight="true" outlineLevel="0" collapsed="false">
      <c r="A1171" s="128" t="n">
        <f aca="false">D1171-1500-294</f>
        <v>0</v>
      </c>
      <c r="B1171" s="127" t="n">
        <f aca="false">B1170+D1171-C1171</f>
        <v>4979.5</v>
      </c>
      <c r="D1171" s="146" t="n">
        <f aca="false">299*6</f>
        <v>1794</v>
      </c>
      <c r="E1171" s="147" t="n">
        <v>923</v>
      </c>
      <c r="F1171" s="147" t="n">
        <f aca="false">IFERROR(VLOOKUP(H1171,$AD$1:$AE$301,2,0),"")</f>
        <v>1008051</v>
      </c>
      <c r="G1171" s="147" t="str">
        <f aca="false">IFERROR(VLOOKUP(F1171,$AE$2:$AF$290,2, 0),"")</f>
        <v>الوجه</v>
      </c>
      <c r="H1171" s="212" t="s">
        <v>113</v>
      </c>
      <c r="I1171" s="246" t="n">
        <f aca="false">SUM(K1171:R1171)</f>
        <v>6</v>
      </c>
      <c r="J1171" s="182" t="n">
        <v>45736</v>
      </c>
      <c r="K1171" s="148" t="n">
        <f aca="false">4+2</f>
        <v>6</v>
      </c>
      <c r="S1171" s="192" t="n">
        <f aca="false">(K1171+O1171+Q1171)*24 /1130+(L1171+M1171+P1171+R1171)*12/1130+(N1171*30)/1130</f>
        <v>0.127433628318584</v>
      </c>
    </row>
    <row r="1172" customFormat="false" ht="15" hidden="true" customHeight="true" outlineLevel="0" collapsed="false">
      <c r="B1172" s="127" t="n">
        <f aca="false">B1171+D1172-C1172</f>
        <v>5876.5</v>
      </c>
      <c r="D1172" s="146" t="n">
        <f aca="false">299*3</f>
        <v>897</v>
      </c>
      <c r="E1172" s="147" t="n">
        <v>924</v>
      </c>
      <c r="F1172" s="147" t="n">
        <f aca="false">IFERROR(VLOOKUP(H1172,$AD$1:$AE$301,2,0),"")</f>
        <v>1008043</v>
      </c>
      <c r="G1172" s="147" t="str">
        <f aca="false">IFERROR(VLOOKUP(F1172,$AE$2:$AF$290,2, 0),"")</f>
        <v>الوجه</v>
      </c>
      <c r="H1172" s="212" t="s">
        <v>104</v>
      </c>
      <c r="I1172" s="246" t="n">
        <f aca="false">SUM(K1172:R1172)</f>
        <v>3</v>
      </c>
      <c r="J1172" s="182" t="n">
        <v>45736</v>
      </c>
      <c r="K1172" s="148" t="n">
        <v>3</v>
      </c>
      <c r="S1172" s="192" t="n">
        <f aca="false">(K1172+O1172+Q1172)*24 /1130+(L1172+M1172+P1172+R1172)*12/1130+(N1172*30)/1130</f>
        <v>0.063716814159292</v>
      </c>
    </row>
    <row r="1173" customFormat="false" ht="15" hidden="true" customHeight="true" outlineLevel="0" collapsed="false">
      <c r="B1173" s="127" t="n">
        <f aca="false">B1172+D1173-C1173</f>
        <v>6175.5</v>
      </c>
      <c r="D1173" s="146" t="n">
        <v>299</v>
      </c>
      <c r="E1173" s="147" t="n">
        <v>925</v>
      </c>
      <c r="F1173" s="147" t="n">
        <f aca="false">IFERROR(VLOOKUP(H1173,$AD$1:$AE$301,2,0),"")</f>
        <v>1008043</v>
      </c>
      <c r="G1173" s="147" t="str">
        <f aca="false">IFERROR(VLOOKUP(F1173,$AE$2:$AF$290,2, 0),"")</f>
        <v>الوجه</v>
      </c>
      <c r="H1173" s="212" t="s">
        <v>104</v>
      </c>
      <c r="I1173" s="246" t="n">
        <f aca="false">SUM(K1173:R1173)</f>
        <v>1</v>
      </c>
      <c r="J1173" s="182" t="n">
        <v>45736</v>
      </c>
      <c r="K1173" s="148" t="n">
        <v>1</v>
      </c>
      <c r="S1173" s="192" t="n">
        <f aca="false">(K1173+O1173+Q1173)*24 /1130+(L1173+M1173+P1173+R1173)*12/1130+(N1173*30)/1130</f>
        <v>0.0212389380530973</v>
      </c>
    </row>
    <row r="1174" customFormat="false" ht="15" hidden="true" customHeight="true" outlineLevel="0" collapsed="false">
      <c r="B1174" s="127" t="n">
        <f aca="false">B1173+D1174-C1174</f>
        <v>7670.5</v>
      </c>
      <c r="D1174" s="146" t="n">
        <f aca="false">299*5</f>
        <v>1495</v>
      </c>
      <c r="E1174" s="147" t="n">
        <v>926</v>
      </c>
      <c r="F1174" s="147" t="n">
        <f aca="false">IFERROR(VLOOKUP(H1174,$AD$1:$AE$301,2,0),"")</f>
        <v>1008045</v>
      </c>
      <c r="G1174" s="147" t="str">
        <f aca="false">IFERROR(VLOOKUP(F1174,$AE$2:$AF$290,2, 0),"")</f>
        <v>الوجه</v>
      </c>
      <c r="H1174" s="212" t="s">
        <v>107</v>
      </c>
      <c r="I1174" s="246" t="n">
        <f aca="false">SUM(K1174:R1174)</f>
        <v>5</v>
      </c>
      <c r="J1174" s="182" t="n">
        <v>45736</v>
      </c>
      <c r="K1174" s="148" t="n">
        <v>5</v>
      </c>
      <c r="S1174" s="192" t="n">
        <f aca="false">(K1174+O1174+Q1174)*24 /1130+(L1174+M1174+P1174+R1174)*12/1130+(N1174*30)/1130</f>
        <v>0.106194690265487</v>
      </c>
    </row>
    <row r="1175" customFormat="false" ht="15" hidden="true" customHeight="true" outlineLevel="0" collapsed="false">
      <c r="A1175" s="128" t="n">
        <f aca="false">D1175-1196</f>
        <v>0</v>
      </c>
      <c r="B1175" s="127" t="n">
        <f aca="false">B1174+D1175-C1175</f>
        <v>8866.5</v>
      </c>
      <c r="D1175" s="146" t="n">
        <f aca="false">2*299+2*299</f>
        <v>1196</v>
      </c>
      <c r="E1175" s="147" t="n">
        <v>927</v>
      </c>
      <c r="F1175" s="147" t="n">
        <f aca="false">IFERROR(VLOOKUP(H1175,$AD$1:$AE$301,2,0),"")</f>
        <v>1008046</v>
      </c>
      <c r="G1175" s="147" t="str">
        <f aca="false">IFERROR(VLOOKUP(F1175,$AE$2:$AF$290,2, 0),"")</f>
        <v>الوجه</v>
      </c>
      <c r="H1175" s="212" t="s">
        <v>108</v>
      </c>
      <c r="I1175" s="246" t="n">
        <f aca="false">SUM(K1175:R1175)</f>
        <v>4</v>
      </c>
      <c r="J1175" s="182" t="n">
        <v>45736</v>
      </c>
      <c r="K1175" s="148" t="n">
        <f aca="false">2+2</f>
        <v>4</v>
      </c>
      <c r="S1175" s="192" t="n">
        <f aca="false">(K1175+O1175+Q1175)*24 /1130+(L1175+M1175+P1175+R1175)*12/1130+(N1175*30)/1130</f>
        <v>0.0849557522123894</v>
      </c>
    </row>
    <row r="1176" customFormat="false" ht="15" hidden="true" customHeight="true" outlineLevel="0" collapsed="false">
      <c r="B1176" s="127" t="n">
        <f aca="false">B1175+D1176-C1176</f>
        <v>10005</v>
      </c>
      <c r="D1176" s="146" t="n">
        <f aca="false">299*2+253+287.5</f>
        <v>1138.5</v>
      </c>
      <c r="E1176" s="147" t="n">
        <v>928</v>
      </c>
      <c r="F1176" s="147" t="n">
        <f aca="false">IFERROR(VLOOKUP(H1176,$AD$1:$AE$301,2,0),"")</f>
        <v>1008047</v>
      </c>
      <c r="G1176" s="147" t="str">
        <f aca="false">IFERROR(VLOOKUP(F1176,$AE$2:$AF$290,2, 0),"")</f>
        <v>الوجه</v>
      </c>
      <c r="H1176" s="212" t="s">
        <v>422</v>
      </c>
      <c r="I1176" s="246" t="n">
        <f aca="false">SUM(K1176:R1176)</f>
        <v>4</v>
      </c>
      <c r="J1176" s="182" t="n">
        <v>45736</v>
      </c>
      <c r="K1176" s="148" t="n">
        <f aca="false">1+1</f>
        <v>2</v>
      </c>
      <c r="M1176" s="150" t="n">
        <v>1</v>
      </c>
      <c r="N1176" s="151" t="n">
        <v>1</v>
      </c>
      <c r="S1176" s="192" t="n">
        <f aca="false">(K1176+O1176+Q1176)*24 /1130+(L1176+M1176+P1176+R1176)*12/1130+(N1176*30)/1130</f>
        <v>0.079646017699115</v>
      </c>
    </row>
    <row r="1177" customFormat="false" ht="15" hidden="true" customHeight="true" outlineLevel="0" collapsed="false">
      <c r="A1177" s="128" t="n">
        <f aca="false">D1177-299</f>
        <v>0</v>
      </c>
      <c r="B1177" s="127" t="n">
        <f aca="false">B1176+D1177-C1177</f>
        <v>10304</v>
      </c>
      <c r="D1177" s="146" t="n">
        <v>299</v>
      </c>
      <c r="E1177" s="147" t="n">
        <v>929</v>
      </c>
      <c r="F1177" s="147" t="n">
        <f aca="false">IFERROR(VLOOKUP(H1177,$AD$1:$AE$301,2,0),"")</f>
        <v>656</v>
      </c>
      <c r="G1177" s="147" t="str">
        <f aca="false">IFERROR(VLOOKUP(F1177,$AE$2:$AF$290,2, 0),"")</f>
        <v>الوجه</v>
      </c>
      <c r="H1177" s="212" t="s">
        <v>115</v>
      </c>
      <c r="I1177" s="246" t="n">
        <f aca="false">SUM(K1177:R1177)</f>
        <v>1</v>
      </c>
      <c r="J1177" s="182" t="n">
        <v>45736</v>
      </c>
      <c r="K1177" s="148" t="n">
        <v>1</v>
      </c>
      <c r="S1177" s="192" t="n">
        <f aca="false">(K1177+O1177+Q1177)*24 /1130+(L1177+M1177+P1177+R1177)*12/1130+(N1177*30)/1130</f>
        <v>0.0212389380530973</v>
      </c>
    </row>
    <row r="1178" customFormat="false" ht="15" hidden="true" customHeight="true" outlineLevel="0" collapsed="false">
      <c r="A1178" s="128" t="n">
        <f aca="false">D1178-241.5</f>
        <v>0</v>
      </c>
      <c r="B1178" s="127" t="n">
        <f aca="false">B1177+D1178-C1178</f>
        <v>10545.5</v>
      </c>
      <c r="D1178" s="146" t="n">
        <v>241.5</v>
      </c>
      <c r="E1178" s="147" t="n">
        <v>930</v>
      </c>
      <c r="F1178" s="147" t="n">
        <f aca="false">IFERROR(VLOOKUP(H1178,$AD$1:$AE$301,2,0),"")</f>
        <v>1008050</v>
      </c>
      <c r="G1178" s="147" t="str">
        <f aca="false">IFERROR(VLOOKUP(F1178,$AE$2:$AF$290,2, 0),"")</f>
        <v>ضباء</v>
      </c>
      <c r="H1178" s="212" t="s">
        <v>92</v>
      </c>
      <c r="I1178" s="246" t="n">
        <f aca="false">SUM(K1178:R1178)</f>
        <v>1</v>
      </c>
      <c r="J1178" s="182" t="n">
        <v>45736</v>
      </c>
      <c r="O1178" s="152" t="n">
        <v>1</v>
      </c>
      <c r="S1178" s="192" t="n">
        <f aca="false">(K1178+O1178+Q1178)*24 /1130+(L1178+M1178+P1178+R1178)*12/1130+(N1178*30)/1130</f>
        <v>0.0212389380530973</v>
      </c>
    </row>
    <row r="1179" customFormat="false" ht="15" hidden="true" customHeight="true" outlineLevel="0" collapsed="false">
      <c r="A1179" s="128" t="n">
        <f aca="false">D1179-400-198</f>
        <v>0</v>
      </c>
      <c r="B1179" s="127" t="n">
        <f aca="false">B1178+D1179-C1179</f>
        <v>11143.5</v>
      </c>
      <c r="D1179" s="146" t="n">
        <f aca="false">299*2</f>
        <v>598</v>
      </c>
      <c r="E1179" s="147" t="n">
        <v>931</v>
      </c>
      <c r="F1179" s="147" t="n">
        <f aca="false">IFERROR(VLOOKUP(H1179,$AD$1:$AE$301,2,0),"")</f>
        <v>1008025</v>
      </c>
      <c r="G1179" s="147" t="str">
        <f aca="false">IFERROR(VLOOKUP(F1179,$AE$2:$AF$290,2, 0),"")</f>
        <v>ضباء</v>
      </c>
      <c r="H1179" s="212" t="s">
        <v>97</v>
      </c>
      <c r="I1179" s="246" t="n">
        <f aca="false">SUM(K1179:R1179)</f>
        <v>2</v>
      </c>
      <c r="J1179" s="182" t="n">
        <v>45736</v>
      </c>
      <c r="K1179" s="148" t="n">
        <f aca="false">2</f>
        <v>2</v>
      </c>
      <c r="S1179" s="192" t="n">
        <f aca="false">(K1179+O1179+Q1179)*24 /1130+(L1179+M1179+P1179+R1179)*12/1130+(N1179*30)/1130</f>
        <v>0.0424778761061947</v>
      </c>
    </row>
    <row r="1180" customFormat="false" ht="15" hidden="true" customHeight="true" outlineLevel="0" collapsed="false">
      <c r="B1180" s="127" t="n">
        <f aca="false">B1179+D1180-C1180</f>
        <v>12684.5</v>
      </c>
      <c r="D1180" s="146" t="n">
        <f aca="false">241.5*2+230*2+299*2</f>
        <v>1541</v>
      </c>
      <c r="E1180" s="147" t="n">
        <v>932</v>
      </c>
      <c r="F1180" s="147" t="n">
        <f aca="false">IFERROR(VLOOKUP(H1180,$AD$1:$AE$301,2,0),"")</f>
        <v>1007988</v>
      </c>
      <c r="G1180" s="147" t="str">
        <f aca="false">IFERROR(VLOOKUP(F1180,$AE$2:$AF$290,2, 0),"")</f>
        <v>ضباء</v>
      </c>
      <c r="H1180" s="212" t="s">
        <v>89</v>
      </c>
      <c r="I1180" s="246" t="n">
        <f aca="false">SUM(K1180:R1180)</f>
        <v>6</v>
      </c>
      <c r="J1180" s="182" t="n">
        <v>45736</v>
      </c>
      <c r="K1180" s="148" t="n">
        <v>2</v>
      </c>
      <c r="M1180" s="150" t="n">
        <v>2</v>
      </c>
      <c r="O1180" s="152" t="n">
        <v>2</v>
      </c>
      <c r="S1180" s="192" t="n">
        <f aca="false">(K1180+O1180+Q1180)*24 /1130+(L1180+M1180+P1180+R1180)*12/1130+(N1180*30)/1130</f>
        <v>0.106194690265487</v>
      </c>
    </row>
    <row r="1181" customFormat="false" ht="15" hidden="true" customHeight="true" outlineLevel="0" collapsed="false">
      <c r="A1181" s="128" t="n">
        <f aca="false">D1181+4-786</f>
        <v>0</v>
      </c>
      <c r="B1181" s="127" t="n">
        <f aca="false">B1180+D1181-C1181</f>
        <v>13466.5</v>
      </c>
      <c r="D1181" s="146" t="n">
        <f aca="false">241.5*2+299</f>
        <v>782</v>
      </c>
      <c r="E1181" s="147" t="n">
        <v>933</v>
      </c>
      <c r="F1181" s="147" t="n">
        <f aca="false">IFERROR(VLOOKUP(H1181,$AD$1:$AE$301,2,0),"")</f>
        <v>1008022</v>
      </c>
      <c r="G1181" s="147" t="str">
        <f aca="false">IFERROR(VLOOKUP(F1181,$AE$2:$AF$290,2, 0),"")</f>
        <v>ضباء</v>
      </c>
      <c r="H1181" s="212" t="s">
        <v>94</v>
      </c>
      <c r="I1181" s="246" t="n">
        <f aca="false">SUM(K1181:R1181)</f>
        <v>3</v>
      </c>
      <c r="J1181" s="182" t="n">
        <v>45736</v>
      </c>
      <c r="K1181" s="148" t="n">
        <v>1</v>
      </c>
      <c r="O1181" s="152" t="n">
        <v>2</v>
      </c>
      <c r="S1181" s="192" t="n">
        <f aca="false">(K1181+O1181+Q1181)*24 /1130+(L1181+M1181+P1181+R1181)*12/1130+(N1181*30)/1130</f>
        <v>0.063716814159292</v>
      </c>
    </row>
    <row r="1182" customFormat="false" ht="15" hidden="true" customHeight="true" outlineLevel="0" collapsed="false">
      <c r="B1182" s="127" t="n">
        <f aca="false">B1181+D1182-C1182</f>
        <v>15651.5</v>
      </c>
      <c r="D1182" s="146" t="n">
        <f aca="false">230*4+253*5</f>
        <v>2185</v>
      </c>
      <c r="E1182" s="147" t="n">
        <v>934</v>
      </c>
      <c r="F1182" s="147" t="n">
        <f aca="false">IFERROR(VLOOKUP(H1182,$AD$1:$AE$301,2,0),"")</f>
        <v>1008017</v>
      </c>
      <c r="G1182" s="147" t="str">
        <f aca="false">IFERROR(VLOOKUP(F1182,$AE$2:$AF$290,2, 0),"")</f>
        <v>البدع</v>
      </c>
      <c r="H1182" s="212" t="s">
        <v>325</v>
      </c>
      <c r="I1182" s="246" t="n">
        <f aca="false">SUM(K1182:R1182)</f>
        <v>9</v>
      </c>
      <c r="J1182" s="182" t="n">
        <v>45736</v>
      </c>
      <c r="M1182" s="150" t="n">
        <f aca="false">5+4</f>
        <v>9</v>
      </c>
      <c r="S1182" s="192" t="n">
        <f aca="false">(K1182+O1182+Q1182)*24 /1130+(L1182+M1182+P1182+R1182)*12/1130+(N1182*30)/1130</f>
        <v>0.0955752212389381</v>
      </c>
    </row>
    <row r="1183" customFormat="false" ht="15" hidden="true" customHeight="true" outlineLevel="0" collapsed="false">
      <c r="A1183" s="128" t="n">
        <f aca="false">D1183-5-282.5</f>
        <v>0</v>
      </c>
      <c r="B1183" s="127" t="n">
        <f aca="false">B1182+D1183-C1183</f>
        <v>15939</v>
      </c>
      <c r="D1183" s="146" t="n">
        <v>287.5</v>
      </c>
      <c r="E1183" s="147" t="n">
        <v>935</v>
      </c>
      <c r="F1183" s="147" t="n">
        <f aca="false">IFERROR(VLOOKUP(H1183,$AD$1:$AE$301,2,0),"")</f>
        <v>1008019</v>
      </c>
      <c r="G1183" s="147" t="str">
        <f aca="false">IFERROR(VLOOKUP(F1183,$AE$2:$AF$290,2, 0),"")</f>
        <v>البدع</v>
      </c>
      <c r="H1183" s="212" t="s">
        <v>327</v>
      </c>
      <c r="I1183" s="246" t="n">
        <f aca="false">SUM(K1183:R1183)</f>
        <v>1</v>
      </c>
      <c r="J1183" s="182" t="n">
        <v>45736</v>
      </c>
      <c r="N1183" s="151" t="n">
        <v>1</v>
      </c>
      <c r="S1183" s="192" t="n">
        <f aca="false">(K1183+O1183+Q1183)*24 /1130+(L1183+M1183+P1183+R1183)*12/1130+(N1183*30)/1130</f>
        <v>0.0265486725663717</v>
      </c>
    </row>
    <row r="1184" customFormat="false" ht="15" hidden="true" customHeight="true" outlineLevel="0" collapsed="false">
      <c r="A1184" s="128" t="n">
        <f aca="false">D1184-459-300</f>
        <v>0</v>
      </c>
      <c r="B1184" s="127" t="n">
        <f aca="false">B1183+D1184-C1184</f>
        <v>16698</v>
      </c>
      <c r="D1184" s="146" t="n">
        <f aca="false">253*3</f>
        <v>759</v>
      </c>
      <c r="E1184" s="147" t="n">
        <v>936</v>
      </c>
      <c r="F1184" s="147" t="n">
        <f aca="false">IFERROR(VLOOKUP(H1184,$AD$1:$AE$301,2,0),"")</f>
        <v>1008030</v>
      </c>
      <c r="G1184" s="147" t="str">
        <f aca="false">IFERROR(VLOOKUP(F1184,$AE$2:$AF$290,2, 0),"")</f>
        <v>البير</v>
      </c>
      <c r="H1184" s="212" t="s">
        <v>298</v>
      </c>
      <c r="I1184" s="246" t="n">
        <f aca="false">SUM(K1184:R1184)</f>
        <v>3</v>
      </c>
      <c r="J1184" s="182" t="n">
        <v>45736</v>
      </c>
      <c r="M1184" s="150" t="n">
        <v>3</v>
      </c>
      <c r="S1184" s="192" t="n">
        <f aca="false">(K1184+O1184+Q1184)*24 /1130+(L1184+M1184+P1184+R1184)*12/1130+(N1184*30)/1130</f>
        <v>0.031858407079646</v>
      </c>
    </row>
    <row r="1185" customFormat="false" ht="15" hidden="true" customHeight="true" outlineLevel="0" collapsed="false">
      <c r="A1185" s="128" t="n">
        <f aca="false">D1185+3-601</f>
        <v>0</v>
      </c>
      <c r="B1185" s="127" t="n">
        <f aca="false">B1184+D1185-C1185</f>
        <v>17296</v>
      </c>
      <c r="D1185" s="146" t="n">
        <f aca="false">299*2</f>
        <v>598</v>
      </c>
      <c r="E1185" s="147" t="n">
        <v>937</v>
      </c>
      <c r="F1185" s="147" t="n">
        <f aca="false">IFERROR(VLOOKUP(H1185,$AD$1:$AE$301,2,0),"")</f>
        <v>1002901</v>
      </c>
      <c r="G1185" s="147" t="str">
        <f aca="false">IFERROR(VLOOKUP(F1185,$AE$2:$AF$290,2, 0),"")</f>
        <v>تبوك</v>
      </c>
      <c r="H1185" s="212" t="s">
        <v>153</v>
      </c>
      <c r="I1185" s="246" t="n">
        <f aca="false">SUM(K1185:R1185)</f>
        <v>2</v>
      </c>
      <c r="J1185" s="182" t="n">
        <v>45739</v>
      </c>
      <c r="K1185" s="148" t="n">
        <f aca="false">1+1</f>
        <v>2</v>
      </c>
      <c r="S1185" s="192" t="n">
        <f aca="false">(K1185+O1185+Q1185)*24 /1130+(L1185+M1185+P1185+R1185)*12/1130+(N1185*30)/1130</f>
        <v>0.0424778761061947</v>
      </c>
    </row>
    <row r="1186" customFormat="false" ht="15" hidden="true" customHeight="true" outlineLevel="0" collapsed="false">
      <c r="A1186" s="128" t="n">
        <f aca="false">D1186-850+2.5-15</f>
        <v>0</v>
      </c>
      <c r="B1186" s="127" t="n">
        <f aca="false">B1185+D1186-C1186</f>
        <v>18158.5</v>
      </c>
      <c r="D1186" s="146" t="n">
        <f aca="false">287.5*3</f>
        <v>862.5</v>
      </c>
      <c r="E1186" s="147" t="n">
        <v>938</v>
      </c>
      <c r="F1186" s="147" t="n">
        <f aca="false">IFERROR(VLOOKUP(H1186,$AD$1:$AE$301,2,0),"")</f>
        <v>587</v>
      </c>
      <c r="G1186" s="147" t="str">
        <f aca="false">IFERROR(VLOOKUP(F1186,$AE$2:$AF$290,2, 0),"")</f>
        <v>تبوك</v>
      </c>
      <c r="H1186" s="212" t="s">
        <v>226</v>
      </c>
      <c r="I1186" s="246" t="n">
        <f aca="false">SUM(K1186:R1186)</f>
        <v>3</v>
      </c>
      <c r="J1186" s="182" t="n">
        <v>45739</v>
      </c>
      <c r="N1186" s="151" t="n">
        <f aca="false">3</f>
        <v>3</v>
      </c>
      <c r="S1186" s="192" t="n">
        <f aca="false">(K1186+O1186+Q1186)*24 /1130+(L1186+M1186+P1186+R1186)*12/1130+(N1186*30)/1130</f>
        <v>0.079646017699115</v>
      </c>
    </row>
    <row r="1187" customFormat="false" ht="15" hidden="true" customHeight="true" outlineLevel="0" collapsed="false">
      <c r="B1187" s="127" t="n">
        <f aca="false">B1186+D1187-C1187</f>
        <v>18457.5</v>
      </c>
      <c r="D1187" s="146" t="n">
        <v>299</v>
      </c>
      <c r="E1187" s="147" t="n">
        <v>939</v>
      </c>
      <c r="F1187" s="147" t="n">
        <f aca="false">IFERROR(VLOOKUP(H1187,$AD$1:$AE$301,2,0),"")</f>
        <v>1008270</v>
      </c>
      <c r="G1187" s="147" t="str">
        <f aca="false">IFERROR(VLOOKUP(F1187,$AE$2:$AF$290,2, 0),"")</f>
        <v>تبوك</v>
      </c>
      <c r="H1187" s="212" t="s">
        <v>236</v>
      </c>
      <c r="I1187" s="246" t="n">
        <f aca="false">SUM(K1187:R1187)</f>
        <v>1</v>
      </c>
      <c r="J1187" s="182" t="n">
        <v>45739</v>
      </c>
      <c r="K1187" s="148" t="n">
        <v>1</v>
      </c>
      <c r="S1187" s="192" t="n">
        <f aca="false">(K1187+O1187+Q1187)*24 /1130+(L1187+M1187+P1187+R1187)*12/1130+(N1187*30)/1130</f>
        <v>0.0212389380530973</v>
      </c>
    </row>
    <row r="1188" customFormat="false" ht="15" hidden="true" customHeight="true" outlineLevel="0" collapsed="false">
      <c r="A1188" s="128" t="n">
        <f aca="false">D1188-287.5</f>
        <v>0</v>
      </c>
      <c r="B1188" s="127" t="n">
        <f aca="false">B1187+D1188-C1188</f>
        <v>18745</v>
      </c>
      <c r="D1188" s="146" t="n">
        <v>287.5</v>
      </c>
      <c r="E1188" s="147" t="n">
        <v>940</v>
      </c>
      <c r="F1188" s="147" t="n">
        <f aca="false">IFERROR(VLOOKUP(H1188,$AD$1:$AE$301,2,0),"")</f>
        <v>654</v>
      </c>
      <c r="G1188" s="147" t="str">
        <f aca="false">IFERROR(VLOOKUP(F1188,$AE$2:$AF$290,2, 0),"")</f>
        <v>تبوك</v>
      </c>
      <c r="H1188" s="212" t="s">
        <v>266</v>
      </c>
      <c r="I1188" s="246" t="n">
        <f aca="false">SUM(K1188:R1188)</f>
        <v>1</v>
      </c>
      <c r="J1188" s="182" t="n">
        <v>45739</v>
      </c>
      <c r="N1188" s="151" t="n">
        <v>1</v>
      </c>
      <c r="S1188" s="192" t="n">
        <f aca="false">(K1188+O1188+Q1188)*24 /1130+(L1188+M1188+P1188+R1188)*12/1130+(N1188*30)/1130</f>
        <v>0.0265486725663717</v>
      </c>
    </row>
    <row r="1189" customFormat="false" ht="15" hidden="true" customHeight="true" outlineLevel="0" collapsed="false">
      <c r="A1189" s="128" t="n">
        <f aca="false">D1189+D1167+41.5-300-196</f>
        <v>-0.25</v>
      </c>
      <c r="B1189" s="127" t="n">
        <f aca="false">B1188+D1189-C1189</f>
        <v>18900.25</v>
      </c>
      <c r="D1189" s="146" t="n">
        <v>155.25</v>
      </c>
      <c r="E1189" s="147" t="n">
        <v>941</v>
      </c>
      <c r="F1189" s="147" t="n">
        <f aca="false">IFERROR(VLOOKUP(H1189,$AD$1:$AE$301,2,0),"")</f>
        <v>635</v>
      </c>
      <c r="G1189" s="147" t="str">
        <f aca="false">IFERROR(VLOOKUP(F1189,$AE$2:$AF$290,2, 0),"")</f>
        <v>تبوك</v>
      </c>
      <c r="H1189" s="212" t="s">
        <v>157</v>
      </c>
      <c r="I1189" s="246" t="n">
        <f aca="false">SUM(K1189:R1189)</f>
        <v>1</v>
      </c>
      <c r="J1189" s="182" t="n">
        <v>45739</v>
      </c>
      <c r="R1189" s="155" t="n">
        <v>1</v>
      </c>
      <c r="S1189" s="192" t="n">
        <f aca="false">(K1189+O1189+Q1189)*24 /1130+(L1189+M1189+P1189+R1189)*12/1130+(N1189*30)/1130</f>
        <v>0.0106194690265487</v>
      </c>
    </row>
    <row r="1190" customFormat="false" ht="15" hidden="true" customHeight="true" outlineLevel="0" collapsed="false">
      <c r="A1190" s="265" t="n">
        <f aca="false">SUM(A1139:A1189)</f>
        <v>1.25</v>
      </c>
      <c r="B1190" s="127" t="n">
        <f aca="false">B1189+D1190-C1190</f>
        <v>7334.25</v>
      </c>
      <c r="C1190" s="127" t="n">
        <f aca="false">20+95+199+149+400+6541+2185+459+100+570+598+250</f>
        <v>11566</v>
      </c>
      <c r="E1190" s="212" t="s">
        <v>470</v>
      </c>
      <c r="F1190" s="147" t="str">
        <f aca="false">IFERROR(VLOOKUP(H1190,$AD$1:$AE$301,2,0),"")</f>
        <v/>
      </c>
      <c r="G1190" s="147" t="str">
        <f aca="false">IFERROR(VLOOKUP(F1190,$AE$2:$AF$290,2, 0),"")</f>
        <v/>
      </c>
      <c r="H1190" s="212" t="s">
        <v>393</v>
      </c>
      <c r="I1190" s="246" t="n">
        <f aca="false">SUM(K1190:R1190)</f>
        <v>0</v>
      </c>
      <c r="J1190" s="182" t="n">
        <v>45739</v>
      </c>
      <c r="S1190" s="192" t="n">
        <f aca="false">(K1190+O1190+Q1190)*24 /1130+(L1190+M1190+P1190+R1190)*12/1130+(N1190*30)/1130</f>
        <v>0</v>
      </c>
    </row>
    <row r="1191" customFormat="false" ht="15" hidden="true" customHeight="true" outlineLevel="0" collapsed="false">
      <c r="B1191" s="127" t="n">
        <f aca="false">B1190+D1191-C1191</f>
        <v>0</v>
      </c>
      <c r="C1191" s="127" t="n">
        <v>7334</v>
      </c>
      <c r="D1191" s="146" t="n">
        <v>-0.25</v>
      </c>
      <c r="E1191" s="212" t="s">
        <v>653</v>
      </c>
      <c r="F1191" s="147" t="str">
        <f aca="false">IFERROR(VLOOKUP(H1191,$AD$1:$AE$301,2,0),"")</f>
        <v/>
      </c>
      <c r="G1191" s="147" t="str">
        <f aca="false">IFERROR(VLOOKUP(F1191,$AE$2:$AF$290,2, 0),"")</f>
        <v/>
      </c>
      <c r="H1191" s="212" t="s">
        <v>393</v>
      </c>
      <c r="I1191" s="246" t="n">
        <f aca="false">SUM(K1191:R1191)</f>
        <v>0</v>
      </c>
      <c r="J1191" s="182" t="n">
        <v>45739</v>
      </c>
      <c r="S1191" s="192" t="n">
        <f aca="false">(K1191+O1191+Q1191)*24 /1130+(L1191+M1191+P1191+R1191)*12/1130+(N1191*30)/1130</f>
        <v>0</v>
      </c>
    </row>
    <row r="1192" customFormat="false" ht="15" hidden="true" customHeight="true" outlineLevel="0" collapsed="false">
      <c r="A1192" s="128" t="n">
        <f aca="false">D1192-700-500-645</f>
        <v>0.75</v>
      </c>
      <c r="B1192" s="127" t="n">
        <f aca="false">B1191+D1192-C1192</f>
        <v>1845.75</v>
      </c>
      <c r="D1192" s="146" t="n">
        <f aca="false">155.25+3*299+299+241.5+253</f>
        <v>1845.75</v>
      </c>
      <c r="E1192" s="147" t="n">
        <v>942</v>
      </c>
      <c r="F1192" s="147" t="n">
        <f aca="false">IFERROR(VLOOKUP(H1192,$AD$1:$AE$301,2,0),"")</f>
        <v>575</v>
      </c>
      <c r="G1192" s="147" t="str">
        <f aca="false">IFERROR(VLOOKUP(F1192,$AE$2:$AF$290,2, 0),"")</f>
        <v>تبوك</v>
      </c>
      <c r="H1192" s="212" t="s">
        <v>132</v>
      </c>
      <c r="I1192" s="246" t="n">
        <f aca="false">SUM(K1192:R1192)</f>
        <v>7</v>
      </c>
      <c r="J1192" s="182" t="n">
        <v>45740</v>
      </c>
      <c r="K1192" s="148" t="n">
        <f aca="false">3+1</f>
        <v>4</v>
      </c>
      <c r="M1192" s="150" t="n">
        <v>1</v>
      </c>
      <c r="O1192" s="152" t="n">
        <v>1</v>
      </c>
      <c r="R1192" s="155" t="n">
        <v>1</v>
      </c>
      <c r="S1192" s="192" t="n">
        <f aca="false">(K1192+O1192+Q1192)*24 /1130+(L1192+M1192+P1192+R1192)*12/1130+(N1192*30)/1130</f>
        <v>0.127433628318584</v>
      </c>
    </row>
    <row r="1193" customFormat="false" ht="15" hidden="true" customHeight="true" outlineLevel="0" collapsed="false">
      <c r="A1193" s="128" t="n">
        <f aca="false">D1193+225-650-365-60-300-100-101</f>
        <v>0.25</v>
      </c>
      <c r="B1193" s="127" t="n">
        <f aca="false">B1192+D1193-C1193</f>
        <v>3197</v>
      </c>
      <c r="D1193" s="146" t="n">
        <f aca="false">4*299+155.25</f>
        <v>1351.25</v>
      </c>
      <c r="E1193" s="147" t="n">
        <v>943</v>
      </c>
      <c r="F1193" s="147" t="n">
        <f aca="false">IFERROR(VLOOKUP(H1193,$AD$1:$AE$301,2,0),"")</f>
        <v>1008262</v>
      </c>
      <c r="G1193" s="147" t="str">
        <f aca="false">IFERROR(VLOOKUP(F1193,$AE$2:$AF$290,2, 0),"")</f>
        <v>تبوك</v>
      </c>
      <c r="H1193" s="212" t="s">
        <v>176</v>
      </c>
      <c r="I1193" s="246" t="n">
        <f aca="false">SUM(K1193:R1193)</f>
        <v>5</v>
      </c>
      <c r="J1193" s="182" t="n">
        <v>45739</v>
      </c>
      <c r="K1193" s="148" t="n">
        <f aca="false">2+2</f>
        <v>4</v>
      </c>
      <c r="R1193" s="155" t="n">
        <v>1</v>
      </c>
      <c r="S1193" s="192" t="n">
        <f aca="false">(K1193+O1193+Q1193)*24 /1130+(L1193+M1193+P1193+R1193)*12/1130+(N1193*30)/1130</f>
        <v>0.0955752212389381</v>
      </c>
    </row>
    <row r="1194" customFormat="false" ht="15" hidden="true" customHeight="true" outlineLevel="0" collapsed="false">
      <c r="A1194" s="128" t="n">
        <f aca="false">D1194-500-98</f>
        <v>0</v>
      </c>
      <c r="B1194" s="127" t="n">
        <f aca="false">B1193+D1194-C1194</f>
        <v>3795</v>
      </c>
      <c r="D1194" s="146" t="n">
        <f aca="false">2*299</f>
        <v>598</v>
      </c>
      <c r="E1194" s="147" t="n">
        <v>944</v>
      </c>
      <c r="F1194" s="147" t="n">
        <f aca="false">IFERROR(VLOOKUP(H1194,$AD$1:$AE$301,2,0),"")</f>
        <v>1007962</v>
      </c>
      <c r="G1194" s="147" t="str">
        <f aca="false">IFERROR(VLOOKUP(F1194,$AE$2:$AF$290,2, 0),"")</f>
        <v>البير</v>
      </c>
      <c r="H1194" s="212" t="s">
        <v>287</v>
      </c>
      <c r="I1194" s="246" t="n">
        <f aca="false">SUM(K1194:R1194)</f>
        <v>2</v>
      </c>
      <c r="J1194" s="182" t="n">
        <v>45740</v>
      </c>
      <c r="K1194" s="148" t="n">
        <f aca="false">1+1</f>
        <v>2</v>
      </c>
      <c r="S1194" s="192" t="n">
        <f aca="false">(K1194+O1194+Q1194)*24 /1130+(L1194+M1194+P1194+R1194)*12/1130+(N1194*30)/1130</f>
        <v>0.0424778761061947</v>
      </c>
    </row>
    <row r="1195" customFormat="false" ht="15" hidden="true" customHeight="true" outlineLevel="0" collapsed="false">
      <c r="B1195" s="127" t="n">
        <f aca="false">B1194+D1195-C1195</f>
        <v>4393</v>
      </c>
      <c r="D1195" s="146" t="n">
        <f aca="false">598</f>
        <v>598</v>
      </c>
      <c r="E1195" s="147" t="n">
        <v>945</v>
      </c>
      <c r="F1195" s="147" t="n">
        <f aca="false">IFERROR(VLOOKUP(H1195,$AD$1:$AE$301,2,0),"")</f>
        <v>1007996</v>
      </c>
      <c r="G1195" s="147" t="str">
        <f aca="false">IFERROR(VLOOKUP(F1195,$AE$2:$AF$290,2, 0),"")</f>
        <v>البير</v>
      </c>
      <c r="H1195" s="212" t="s">
        <v>295</v>
      </c>
      <c r="I1195" s="246" t="n">
        <f aca="false">SUM(K1195:R1195)</f>
        <v>2</v>
      </c>
      <c r="J1195" s="182" t="n">
        <v>45740</v>
      </c>
      <c r="K1195" s="148" t="n">
        <f aca="false">1+1</f>
        <v>2</v>
      </c>
      <c r="S1195" s="192" t="n">
        <f aca="false">(K1195+O1195+Q1195)*24 /1130+(L1195+M1195+P1195+R1195)*12/1130+(N1195*30)/1130</f>
        <v>0.0424778761061947</v>
      </c>
    </row>
    <row r="1196" customFormat="false" ht="15" hidden="true" customHeight="true" outlineLevel="0" collapsed="false">
      <c r="A1196" s="128" t="n">
        <f aca="false">D1196-299</f>
        <v>0</v>
      </c>
      <c r="B1196" s="127" t="n">
        <f aca="false">B1195+D1196-C1196</f>
        <v>4692</v>
      </c>
      <c r="D1196" s="146" t="n">
        <v>299</v>
      </c>
      <c r="E1196" s="147" t="n">
        <v>946</v>
      </c>
      <c r="F1196" s="147" t="n">
        <f aca="false">IFERROR(VLOOKUP(H1196,$AD$1:$AE$301,2,0),"")</f>
        <v>1007964</v>
      </c>
      <c r="G1196" s="147" t="str">
        <f aca="false">IFERROR(VLOOKUP(F1196,$AE$2:$AF$290,2, 0),"")</f>
        <v>البير</v>
      </c>
      <c r="H1196" s="212" t="s">
        <v>289</v>
      </c>
      <c r="I1196" s="246" t="n">
        <f aca="false">SUM(K1196:R1196)</f>
        <v>1</v>
      </c>
      <c r="J1196" s="182" t="n">
        <v>45740</v>
      </c>
      <c r="K1196" s="148" t="n">
        <v>1</v>
      </c>
      <c r="S1196" s="192" t="n">
        <f aca="false">(K1196+O1196+Q1196)*24 /1130+(L1196+M1196+P1196+R1196)*12/1130+(N1196*30)/1130</f>
        <v>0.0212389380530973</v>
      </c>
    </row>
    <row r="1197" customFormat="false" ht="15" hidden="true" customHeight="true" outlineLevel="0" collapsed="false">
      <c r="A1197" s="128" t="n">
        <f aca="false">D1197-55-100</f>
        <v>0.25</v>
      </c>
      <c r="B1197" s="127" t="n">
        <f aca="false">B1196+D1197-C1197</f>
        <v>4847.25</v>
      </c>
      <c r="D1197" s="146" t="n">
        <v>155.25</v>
      </c>
      <c r="E1197" s="147" t="n">
        <v>947</v>
      </c>
      <c r="F1197" s="147" t="n">
        <f aca="false">IFERROR(VLOOKUP(H1197,$AD$1:$AE$301,2,0),"")</f>
        <v>1008006</v>
      </c>
      <c r="G1197" s="147" t="str">
        <f aca="false">IFERROR(VLOOKUP(F1197,$AE$2:$AF$290,2, 0),"")</f>
        <v>حقل</v>
      </c>
      <c r="H1197" s="212" t="s">
        <v>302</v>
      </c>
      <c r="I1197" s="246" t="n">
        <f aca="false">SUM(K1197:R1197)</f>
        <v>1</v>
      </c>
      <c r="J1197" s="182" t="n">
        <v>45740</v>
      </c>
      <c r="R1197" s="155" t="n">
        <v>1</v>
      </c>
      <c r="S1197" s="192" t="n">
        <f aca="false">(K1197+O1197+Q1197)*24 /1130+(L1197+M1197+P1197+R1197)*12/1130+(N1197*30)/1130</f>
        <v>0.0106194690265487</v>
      </c>
    </row>
    <row r="1198" customFormat="false" ht="15" hidden="true" customHeight="true" outlineLevel="0" collapsed="false">
      <c r="B1198" s="127" t="n">
        <f aca="false">B1197+D1198-C1198</f>
        <v>8400.75</v>
      </c>
      <c r="D1198" s="146" t="n">
        <f aca="false">224.25*2+5*230+195.5*10</f>
        <v>3553.5</v>
      </c>
      <c r="E1198" s="147" t="n">
        <v>948</v>
      </c>
      <c r="F1198" s="147" t="n">
        <f aca="false">IFERROR(VLOOKUP(H1198,$AD$1:$AE$301,2,0),"")</f>
        <v>1007970</v>
      </c>
      <c r="G1198" s="147" t="str">
        <f aca="false">IFERROR(VLOOKUP(F1198,$AE$2:$AF$290,2, 0),"")</f>
        <v>حقل</v>
      </c>
      <c r="H1198" s="212" t="s">
        <v>310</v>
      </c>
      <c r="I1198" s="246" t="n">
        <f aca="false">SUM(K1198:R1198)</f>
        <v>17</v>
      </c>
      <c r="J1198" s="182" t="n">
        <v>45740</v>
      </c>
      <c r="M1198" s="150" t="n">
        <v>5</v>
      </c>
      <c r="Q1198" s="154" t="n">
        <v>10</v>
      </c>
      <c r="R1198" s="155" t="n">
        <v>2</v>
      </c>
      <c r="S1198" s="192" t="n">
        <f aca="false">(K1198+O1198+Q1198)*24 /1130+(L1198+M1198+P1198+R1198)*12/1130+(N1198*30)/1130</f>
        <v>0.286725663716814</v>
      </c>
    </row>
    <row r="1199" customFormat="false" ht="15" hidden="true" customHeight="true" outlineLevel="0" collapsed="false">
      <c r="A1199" s="128" t="n">
        <f aca="false">D1199-690</f>
        <v>0</v>
      </c>
      <c r="B1199" s="127" t="n">
        <f aca="false">B1198+D1199-C1199</f>
        <v>9090.75</v>
      </c>
      <c r="D1199" s="146" t="n">
        <f aca="false">138*5</f>
        <v>690</v>
      </c>
      <c r="E1199" s="147" t="n">
        <v>949</v>
      </c>
      <c r="F1199" s="147" t="n">
        <f aca="false">IFERROR(VLOOKUP(H1199,$AD$1:$AE$301,2,0),"")</f>
        <v>1007970</v>
      </c>
      <c r="G1199" s="147" t="str">
        <f aca="false">IFERROR(VLOOKUP(F1199,$AE$2:$AF$290,2, 0),"")</f>
        <v>حقل</v>
      </c>
      <c r="H1199" s="212" t="s">
        <v>310</v>
      </c>
      <c r="I1199" s="246" t="n">
        <f aca="false">SUM(K1199:R1199)</f>
        <v>5</v>
      </c>
      <c r="J1199" s="182" t="n">
        <v>45740</v>
      </c>
      <c r="Q1199" s="154" t="n">
        <v>5</v>
      </c>
      <c r="S1199" s="192" t="n">
        <f aca="false">(K1199+O1199+Q1199)*24 /1130+(L1199+M1199+P1199+R1199)*12/1130+(N1199*30)/1130</f>
        <v>0.106194690265487</v>
      </c>
    </row>
    <row r="1200" customFormat="false" ht="15" hidden="true" customHeight="true" outlineLevel="0" collapsed="false">
      <c r="A1200" s="128" t="n">
        <f aca="false">D1200+9-190-85-100-115-105-120-90+105</f>
        <v>-1</v>
      </c>
      <c r="B1200" s="127" t="n">
        <f aca="false">B1199+D1200-C1200</f>
        <v>9780.75</v>
      </c>
      <c r="D1200" s="146" t="n">
        <f aca="false">299+253+138</f>
        <v>690</v>
      </c>
      <c r="E1200" s="147" t="n">
        <v>950</v>
      </c>
      <c r="F1200" s="147" t="n">
        <f aca="false">IFERROR(VLOOKUP(H1200,$AD$1:$AE$301,2,0),"")</f>
        <v>1002861</v>
      </c>
      <c r="G1200" s="147" t="str">
        <f aca="false">IFERROR(VLOOKUP(F1200,$AE$2:$AF$290,2, 0),"")</f>
        <v>تبوك</v>
      </c>
      <c r="H1200" s="212" t="s">
        <v>275</v>
      </c>
      <c r="I1200" s="246" t="n">
        <f aca="false">SUM(K1200:R1200)</f>
        <v>3</v>
      </c>
      <c r="J1200" s="182" t="n">
        <v>45741</v>
      </c>
      <c r="K1200" s="148" t="n">
        <f aca="false">1</f>
        <v>1</v>
      </c>
      <c r="M1200" s="150" t="n">
        <v>1</v>
      </c>
      <c r="Q1200" s="154" t="n">
        <v>1</v>
      </c>
      <c r="S1200" s="192" t="n">
        <f aca="false">(K1200+O1200+Q1200)*24 /1130+(L1200+M1200+P1200+R1200)*12/1130+(N1200*30)/1130</f>
        <v>0.0530973451327434</v>
      </c>
    </row>
    <row r="1201" customFormat="false" ht="15" hidden="true" customHeight="true" outlineLevel="0" collapsed="false">
      <c r="A1201" s="128" t="n">
        <f aca="false">D1201-310.5</f>
        <v>0</v>
      </c>
      <c r="B1201" s="127" t="n">
        <f aca="false">B1200+D1201-C1201</f>
        <v>10091.25</v>
      </c>
      <c r="D1201" s="146" t="n">
        <f aca="false">155.25*2</f>
        <v>310.5</v>
      </c>
      <c r="E1201" s="147" t="n">
        <v>951</v>
      </c>
      <c r="F1201" s="147" t="n">
        <f aca="false">IFERROR(VLOOKUP(H1201,$AD$1:$AE$301,2,0),"")</f>
        <v>653</v>
      </c>
      <c r="G1201" s="147" t="str">
        <f aca="false">IFERROR(VLOOKUP(F1201,$AE$2:$AF$290,2, 0),"")</f>
        <v>تبوك</v>
      </c>
      <c r="H1201" s="212" t="s">
        <v>264</v>
      </c>
      <c r="I1201" s="246" t="n">
        <f aca="false">SUM(K1201:R1201)</f>
        <v>2</v>
      </c>
      <c r="J1201" s="182" t="n">
        <v>45741</v>
      </c>
      <c r="R1201" s="155" t="n">
        <v>2</v>
      </c>
      <c r="S1201" s="192" t="n">
        <f aca="false">(K1201+O1201+Q1201)*24 /1130+(L1201+M1201+P1201+R1201)*12/1130+(N1201*30)/1130</f>
        <v>0.0212389380530973</v>
      </c>
    </row>
    <row r="1202" customFormat="false" ht="15" hidden="true" customHeight="true" outlineLevel="0" collapsed="false">
      <c r="B1202" s="127" t="n">
        <f aca="false">B1201+D1202-C1202</f>
        <v>8895.25</v>
      </c>
      <c r="C1202" s="127" t="n">
        <f aca="false">D1175</f>
        <v>1196</v>
      </c>
      <c r="E1202" s="212" t="s">
        <v>657</v>
      </c>
      <c r="F1202" s="147" t="str">
        <f aca="false">IFERROR(VLOOKUP(H1202,$AD$1:$AE$301,2,0),"")</f>
        <v/>
      </c>
      <c r="G1202" s="147" t="str">
        <f aca="false">IFERROR(VLOOKUP(F1202,$AE$2:$AF$290,2, 0),"")</f>
        <v/>
      </c>
      <c r="H1202" s="212" t="s">
        <v>393</v>
      </c>
      <c r="I1202" s="246" t="n">
        <f aca="false">SUM(K1202:R1202)</f>
        <v>0</v>
      </c>
      <c r="J1202" s="182" t="n">
        <v>45741</v>
      </c>
      <c r="S1202" s="192" t="n">
        <f aca="false">(K1202+O1202+Q1202)*24 /1130+(L1202+M1202+P1202+R1202)*12/1130+(N1202*30)/1130</f>
        <v>0</v>
      </c>
    </row>
    <row r="1203" customFormat="false" ht="15" hidden="true" customHeight="true" outlineLevel="0" collapsed="false">
      <c r="B1203" s="127" t="n">
        <f aca="false">B1202+D1203-C1203</f>
        <v>6302.5</v>
      </c>
      <c r="C1203" s="127" t="n">
        <f aca="false">500+D1195+500+D1164</f>
        <v>2592.75</v>
      </c>
      <c r="E1203" s="212" t="s">
        <v>470</v>
      </c>
      <c r="F1203" s="147" t="str">
        <f aca="false">IFERROR(VLOOKUP(H1203,$AD$1:$AE$301,2,0),"")</f>
        <v/>
      </c>
      <c r="G1203" s="147" t="str">
        <f aca="false">IFERROR(VLOOKUP(F1203,$AE$2:$AF$290,2, 0),"")</f>
        <v/>
      </c>
      <c r="H1203" s="212" t="s">
        <v>393</v>
      </c>
      <c r="I1203" s="246" t="n">
        <f aca="false">SUM(K1203:R1203)</f>
        <v>0</v>
      </c>
      <c r="J1203" s="182" t="n">
        <v>45741</v>
      </c>
      <c r="S1203" s="192" t="n">
        <f aca="false">(K1203+O1203+Q1203)*24 /1130+(L1203+M1203+P1203+R1203)*12/1130+(N1203*30)/1130</f>
        <v>0</v>
      </c>
    </row>
    <row r="1204" customFormat="false" ht="15" hidden="true" customHeight="true" outlineLevel="0" collapsed="false">
      <c r="B1204" s="127" t="n">
        <f aca="false">B1203+D1204-C1204</f>
        <v>0</v>
      </c>
      <c r="C1204" s="127" t="n">
        <v>6302</v>
      </c>
      <c r="D1204" s="146" t="n">
        <v>-0.5</v>
      </c>
      <c r="E1204" s="212" t="s">
        <v>659</v>
      </c>
      <c r="F1204" s="147" t="str">
        <f aca="false">IFERROR(VLOOKUP(H1204,$AD$1:$AE$301,2,0),"")</f>
        <v/>
      </c>
      <c r="G1204" s="147" t="str">
        <f aca="false">IFERROR(VLOOKUP(F1204,$AE$2:$AF$290,2, 0),"")</f>
        <v/>
      </c>
      <c r="H1204" s="212" t="s">
        <v>393</v>
      </c>
      <c r="I1204" s="246" t="n">
        <f aca="false">SUM(K1204:R1204)</f>
        <v>0</v>
      </c>
      <c r="J1204" s="182" t="n">
        <v>45741</v>
      </c>
      <c r="S1204" s="192" t="n">
        <f aca="false">(K1204+O1204+Q1204)*24 /1130+(L1204+M1204+P1204+R1204)*12/1130+(N1204*30)/1130</f>
        <v>0</v>
      </c>
    </row>
    <row r="1205" customFormat="false" ht="15" hidden="true" customHeight="true" outlineLevel="0" collapsed="false">
      <c r="B1205" s="127" t="n">
        <f aca="false">B1204+D1205-C1205</f>
        <v>155.25</v>
      </c>
      <c r="D1205" s="146" t="n">
        <f aca="false">155.25</f>
        <v>155.25</v>
      </c>
      <c r="E1205" s="147" t="n">
        <v>952</v>
      </c>
      <c r="F1205" s="147" t="n">
        <f aca="false">IFERROR(VLOOKUP(H1205,$AD$1:$AE$301,2,0),"")</f>
        <v>652</v>
      </c>
      <c r="G1205" s="147" t="str">
        <f aca="false">IFERROR(VLOOKUP(F1205,$AE$2:$AF$290,2, 0),"")</f>
        <v>تبوك</v>
      </c>
      <c r="H1205" s="212" t="s">
        <v>263</v>
      </c>
      <c r="I1205" s="246" t="n">
        <f aca="false">SUM(K1205:R1205)</f>
        <v>1</v>
      </c>
      <c r="J1205" s="182" t="n">
        <v>45741</v>
      </c>
      <c r="R1205" s="155" t="n">
        <v>1</v>
      </c>
      <c r="S1205" s="192" t="n">
        <f aca="false">(K1205+O1205+Q1205)*24 /1130+(L1205+M1205+P1205+R1205)*12/1130+(N1205*30)/1130</f>
        <v>0.0106194690265487</v>
      </c>
    </row>
    <row r="1206" customFormat="false" ht="15" hidden="true" customHeight="true" outlineLevel="0" collapsed="false">
      <c r="A1206" s="128" t="n">
        <f aca="false">D1206-85-100-100-2.5</f>
        <v>0</v>
      </c>
      <c r="B1206" s="127" t="n">
        <f aca="false">B1205+D1206-C1206</f>
        <v>442.75</v>
      </c>
      <c r="D1206" s="146" t="n">
        <f aca="false">287.5</f>
        <v>287.5</v>
      </c>
      <c r="E1206" s="147" t="n">
        <v>953</v>
      </c>
      <c r="F1206" s="147" t="n">
        <f aca="false">IFERROR(VLOOKUP(H1206,$AD$1:$AE$301,2,0),"")</f>
        <v>1008270</v>
      </c>
      <c r="G1206" s="147" t="str">
        <f aca="false">IFERROR(VLOOKUP(F1206,$AE$2:$AF$290,2, 0),"")</f>
        <v>تبوك</v>
      </c>
      <c r="H1206" s="212" t="s">
        <v>236</v>
      </c>
      <c r="I1206" s="246" t="n">
        <f aca="false">SUM(K1206:R1206)</f>
        <v>1</v>
      </c>
      <c r="J1206" s="182" t="n">
        <v>45741</v>
      </c>
      <c r="N1206" s="151" t="n">
        <v>1</v>
      </c>
      <c r="S1206" s="192" t="n">
        <f aca="false">(K1206+O1206+Q1206)*24 /1130+(L1206+M1206+P1206+R1206)*12/1130+(N1206*30)/1130</f>
        <v>0.0265486725663717</v>
      </c>
    </row>
    <row r="1207" customFormat="false" ht="15" hidden="true" customHeight="true" outlineLevel="0" collapsed="false">
      <c r="A1207" s="128" t="n">
        <f aca="false">D1207-574-300</f>
        <v>0</v>
      </c>
      <c r="B1207" s="127" t="n">
        <f aca="false">B1206+D1207-C1207</f>
        <v>1316.75</v>
      </c>
      <c r="D1207" s="146" t="n">
        <f aca="false">299+299+138*2</f>
        <v>874</v>
      </c>
      <c r="E1207" s="147" t="n">
        <v>954</v>
      </c>
      <c r="F1207" s="147" t="n">
        <f aca="false">IFERROR(VLOOKUP(H1207,$AD$1:$AE$301,2,0),"")</f>
        <v>750</v>
      </c>
      <c r="G1207" s="147" t="str">
        <f aca="false">IFERROR(VLOOKUP(F1207,$AE$2:$AF$290,2, 0),"")</f>
        <v>تبوك</v>
      </c>
      <c r="H1207" s="212" t="s">
        <v>225</v>
      </c>
      <c r="I1207" s="246" t="n">
        <f aca="false">SUM(K1207:R1207)</f>
        <v>4</v>
      </c>
      <c r="J1207" s="182" t="n">
        <v>45741</v>
      </c>
      <c r="K1207" s="148" t="n">
        <f aca="false">1+1</f>
        <v>2</v>
      </c>
      <c r="Q1207" s="154" t="n">
        <v>2</v>
      </c>
      <c r="S1207" s="192" t="n">
        <f aca="false">(K1207+O1207+Q1207)*24 /1130+(L1207+M1207+P1207+R1207)*12/1130+(N1207*30)/1130</f>
        <v>0.0849557522123894</v>
      </c>
    </row>
    <row r="1208" customFormat="false" ht="15" hidden="true" customHeight="true" outlineLevel="0" collapsed="false">
      <c r="A1208" s="128" t="n">
        <f aca="false">D1208-250-500-550</f>
        <v>-0.5</v>
      </c>
      <c r="B1208" s="127" t="n">
        <f aca="false">B1207+D1208-C1208</f>
        <v>2616.25</v>
      </c>
      <c r="D1208" s="146" t="n">
        <f aca="false">230*2+299*2+241.5</f>
        <v>1299.5</v>
      </c>
      <c r="E1208" s="147" t="n">
        <v>955</v>
      </c>
      <c r="F1208" s="147" t="n">
        <f aca="false">IFERROR(VLOOKUP(H1208,$AD$1:$AE$301,2,0),"")</f>
        <v>636</v>
      </c>
      <c r="G1208" s="147" t="str">
        <f aca="false">IFERROR(VLOOKUP(F1208,$AE$2:$AF$290,2, 0),"")</f>
        <v>تبوك</v>
      </c>
      <c r="H1208" s="212" t="s">
        <v>134</v>
      </c>
      <c r="I1208" s="246" t="n">
        <f aca="false">SUM(K1208:R1208)</f>
        <v>5</v>
      </c>
      <c r="J1208" s="182" t="n">
        <v>45742</v>
      </c>
      <c r="K1208" s="148" t="n">
        <f aca="false">1+1</f>
        <v>2</v>
      </c>
      <c r="M1208" s="150" t="n">
        <v>2</v>
      </c>
      <c r="Q1208" s="154" t="n">
        <v>1</v>
      </c>
      <c r="S1208" s="192" t="n">
        <f aca="false">(K1208+O1208+Q1208)*24 /1130+(L1208+M1208+P1208+R1208)*12/1130+(N1208*30)/1130</f>
        <v>0.0849557522123894</v>
      </c>
    </row>
    <row r="1209" customFormat="false" ht="15" hidden="true" customHeight="true" outlineLevel="0" collapsed="false">
      <c r="A1209" s="128" t="n">
        <f aca="false">D1209+18-250-366</f>
        <v>0</v>
      </c>
      <c r="B1209" s="127" t="n">
        <f aca="false">B1208+D1209-C1209</f>
        <v>3214.25</v>
      </c>
      <c r="D1209" s="146" t="n">
        <f aca="false">299+299</f>
        <v>598</v>
      </c>
      <c r="E1209" s="147" t="n">
        <v>956</v>
      </c>
      <c r="F1209" s="147" t="n">
        <f aca="false">IFERROR(VLOOKUP(H1209,$AD$1:$AE$301,2,0),"")</f>
        <v>943</v>
      </c>
      <c r="G1209" s="147" t="str">
        <f aca="false">IFERROR(VLOOKUP(F1209,$AE$2:$AF$290,2, 0),"")</f>
        <v>تبوك</v>
      </c>
      <c r="H1209" s="212" t="s">
        <v>259</v>
      </c>
      <c r="I1209" s="246" t="n">
        <f aca="false">SUM(K1209:R1209)</f>
        <v>2</v>
      </c>
      <c r="J1209" s="182" t="n">
        <v>45742</v>
      </c>
      <c r="K1209" s="148" t="n">
        <f aca="false">1+1</f>
        <v>2</v>
      </c>
      <c r="S1209" s="192" t="n">
        <f aca="false">(K1209+O1209+Q1209)*24 /1130+(L1209+M1209+P1209+R1209)*12/1130+(N1209*30)/1130</f>
        <v>0.0424778761061947</v>
      </c>
    </row>
    <row r="1210" customFormat="false" ht="15" hidden="true" customHeight="true" outlineLevel="0" collapsed="false">
      <c r="A1210" s="128" t="n">
        <f aca="false">D1210-205-761</f>
        <v>0</v>
      </c>
      <c r="B1210" s="127" t="n">
        <f aca="false">B1209+D1210-C1210</f>
        <v>4180.25</v>
      </c>
      <c r="D1210" s="146" t="n">
        <f aca="false">299*2+230+138</f>
        <v>966</v>
      </c>
      <c r="E1210" s="147" t="n">
        <v>957</v>
      </c>
      <c r="F1210" s="147" t="n">
        <f aca="false">IFERROR(VLOOKUP(H1210,$AD$1:$AE$301,2,0),"")</f>
        <v>943</v>
      </c>
      <c r="G1210" s="147" t="str">
        <f aca="false">IFERROR(VLOOKUP(F1210,$AE$2:$AF$290,2, 0),"")</f>
        <v>تبوك</v>
      </c>
      <c r="H1210" s="212" t="s">
        <v>259</v>
      </c>
      <c r="I1210" s="246" t="n">
        <f aca="false">SUM(K1210:R1210)</f>
        <v>4</v>
      </c>
      <c r="J1210" s="182" t="n">
        <v>45742</v>
      </c>
      <c r="K1210" s="148" t="n">
        <f aca="false">1+1</f>
        <v>2</v>
      </c>
      <c r="M1210" s="150" t="n">
        <v>1</v>
      </c>
      <c r="Q1210" s="154" t="n">
        <v>1</v>
      </c>
      <c r="S1210" s="192" t="n">
        <f aca="false">(K1210+O1210+Q1210)*24 /1130+(L1210+M1210+P1210+R1210)*12/1130+(N1210*30)/1130</f>
        <v>0.0743362831858407</v>
      </c>
    </row>
    <row r="1211" customFormat="false" ht="15" hidden="true" customHeight="true" outlineLevel="0" collapsed="false">
      <c r="A1211" s="128" t="n">
        <f aca="false">D1211-3105</f>
        <v>0</v>
      </c>
      <c r="B1211" s="127" t="n">
        <f aca="false">B1210+D1211-C1211</f>
        <v>7285.25</v>
      </c>
      <c r="D1211" s="146" t="n">
        <f aca="false">299*2+230*5+235.75* 2+241.5*2+138+264.5</f>
        <v>3105</v>
      </c>
      <c r="E1211" s="147" t="n">
        <v>958</v>
      </c>
      <c r="F1211" s="147" t="n">
        <f aca="false">IFERROR(VLOOKUP(H1211,$AD$1:$AE$301,2,0),"")</f>
        <v>1076</v>
      </c>
      <c r="G1211" s="147" t="str">
        <f aca="false">IFERROR(VLOOKUP(F1211,$AE$2:$AF$290,2, 0),"")</f>
        <v>تبوك</v>
      </c>
      <c r="H1211" s="212" t="s">
        <v>244</v>
      </c>
      <c r="I1211" s="246" t="n">
        <f aca="false">SUM(K1211:R1211)</f>
        <v>13</v>
      </c>
      <c r="J1211" s="182" t="n">
        <v>45742</v>
      </c>
      <c r="K1211" s="148" t="n">
        <f aca="false">2</f>
        <v>2</v>
      </c>
      <c r="M1211" s="150" t="n">
        <f aca="false">5+2</f>
        <v>7</v>
      </c>
      <c r="O1211" s="152" t="n">
        <v>2</v>
      </c>
      <c r="Q1211" s="154" t="n">
        <v>1</v>
      </c>
      <c r="R1211" s="155" t="n">
        <v>1</v>
      </c>
      <c r="S1211" s="192" t="n">
        <f aca="false">(K1211+O1211+Q1211)*24 /1130+(L1211+M1211+P1211+R1211)*12/1130+(N1211*30)/1130</f>
        <v>0.191150442477876</v>
      </c>
    </row>
    <row r="1212" customFormat="false" ht="15" hidden="true" customHeight="true" outlineLevel="0" collapsed="false">
      <c r="A1212" s="128" t="n">
        <f aca="false">D1212-300-30-100-138+5.25</f>
        <v>0.75</v>
      </c>
      <c r="B1212" s="127" t="n">
        <f aca="false">B1211+D1212-C1212</f>
        <v>7848.75</v>
      </c>
      <c r="D1212" s="146" t="n">
        <f aca="false">264.5+299</f>
        <v>563.5</v>
      </c>
      <c r="E1212" s="147" t="n">
        <v>959</v>
      </c>
      <c r="F1212" s="147" t="n">
        <f aca="false">IFERROR(VLOOKUP(H1212,$AD$1:$AE$301,2,0),"")</f>
        <v>562</v>
      </c>
      <c r="G1212" s="147" t="str">
        <f aca="false">IFERROR(VLOOKUP(F1212,$AE$2:$AF$290,2, 0),"")</f>
        <v>تبوك</v>
      </c>
      <c r="H1212" s="212" t="s">
        <v>234</v>
      </c>
      <c r="I1212" s="246" t="n">
        <f aca="false">SUM(K1212:R1212)</f>
        <v>2</v>
      </c>
      <c r="J1212" s="182" t="n">
        <v>45742</v>
      </c>
      <c r="R1212" s="155" t="n">
        <f aca="false">1+1</f>
        <v>2</v>
      </c>
      <c r="S1212" s="192" t="n">
        <f aca="false">(K1212+O1212+Q1212)*24 /1130+(L1212+M1212+P1212+R1212)*12/1130+(N1212*30)/1130</f>
        <v>0.0212389380530973</v>
      </c>
    </row>
    <row r="1213" customFormat="false" ht="15" hidden="true" customHeight="true" outlineLevel="0" collapsed="false">
      <c r="A1213" s="128" t="n">
        <f aca="false">D1213-598</f>
        <v>0</v>
      </c>
      <c r="B1213" s="127" t="n">
        <f aca="false">B1212+D1213-C1213</f>
        <v>8446.75</v>
      </c>
      <c r="D1213" s="146" t="n">
        <f aca="false">299*2</f>
        <v>598</v>
      </c>
      <c r="E1213" s="147" t="n">
        <v>960</v>
      </c>
      <c r="F1213" s="147" t="n">
        <f aca="false">IFERROR(VLOOKUP(H1213,$AD$1:$AE$301,2,0),"")</f>
        <v>755</v>
      </c>
      <c r="G1213" s="147" t="str">
        <f aca="false">IFERROR(VLOOKUP(F1213,$AE$2:$AF$290,2, 0),"")</f>
        <v>تبوك</v>
      </c>
      <c r="H1213" s="212" t="s">
        <v>180</v>
      </c>
      <c r="I1213" s="246" t="n">
        <f aca="false">SUM(K1213:R1213)</f>
        <v>2</v>
      </c>
      <c r="J1213" s="182" t="n">
        <v>45742</v>
      </c>
      <c r="K1213" s="148" t="n">
        <f aca="false">1+1</f>
        <v>2</v>
      </c>
      <c r="S1213" s="192" t="n">
        <f aca="false">(K1213+O1213+Q1213)*24 /1130+(L1213+M1213+P1213+R1213)*12/1130+(N1213*30)/1130</f>
        <v>0.0424778761061947</v>
      </c>
    </row>
    <row r="1214" customFormat="false" ht="15" hidden="true" customHeight="true" outlineLevel="0" collapsed="false">
      <c r="A1214" s="128" t="n">
        <f aca="false">D1214+786-1130</f>
        <v>1</v>
      </c>
      <c r="B1214" s="127" t="n">
        <f aca="false">B1213+D1214-C1214</f>
        <v>8791.75</v>
      </c>
      <c r="D1214" s="146" t="n">
        <v>345</v>
      </c>
      <c r="E1214" s="147" t="n">
        <v>961</v>
      </c>
      <c r="F1214" s="147" t="n">
        <f aca="false">IFERROR(VLOOKUP(H1214,$AD$1:$AE$301,2,0),"")</f>
        <v>1008022</v>
      </c>
      <c r="G1214" s="147" t="str">
        <f aca="false">IFERROR(VLOOKUP(F1214,$AE$2:$AF$290,2, 0),"")</f>
        <v>ضباء</v>
      </c>
      <c r="H1214" s="212" t="s">
        <v>94</v>
      </c>
      <c r="I1214" s="246" t="n">
        <f aca="false">SUM(K1214:R1214)</f>
        <v>1</v>
      </c>
      <c r="J1214" s="182" t="n">
        <v>45742</v>
      </c>
      <c r="M1214" s="150" t="n">
        <v>1</v>
      </c>
      <c r="S1214" s="192" t="n">
        <f aca="false">(K1214+O1214+Q1214)*24 /1130+(L1214+M1214+P1214+R1214)*12/1130+(N1214*30)/1130</f>
        <v>0.0106194690265487</v>
      </c>
    </row>
    <row r="1215" customFormat="false" ht="15" hidden="true" customHeight="true" outlineLevel="0" collapsed="false">
      <c r="B1215" s="127" t="n">
        <f aca="false">B1214+D1215-C1215</f>
        <v>10286.75</v>
      </c>
      <c r="D1215" s="146" t="n">
        <f aca="false">299*5</f>
        <v>1495</v>
      </c>
      <c r="E1215" s="147" t="n">
        <v>962</v>
      </c>
      <c r="F1215" s="147" t="n">
        <f aca="false">IFERROR(VLOOKUP(H1215,$AD$1:$AE$301,2,0),"")</f>
        <v>1008023</v>
      </c>
      <c r="G1215" s="147" t="str">
        <f aca="false">IFERROR(VLOOKUP(F1215,$AE$2:$AF$290,2, 0),"")</f>
        <v>ضباء</v>
      </c>
      <c r="H1215" s="212" t="s">
        <v>95</v>
      </c>
      <c r="I1215" s="246" t="n">
        <f aca="false">SUM(K1215:R1215)</f>
        <v>5</v>
      </c>
      <c r="J1215" s="182" t="n">
        <v>45742</v>
      </c>
      <c r="K1215" s="148" t="n">
        <v>5</v>
      </c>
      <c r="S1215" s="192" t="n">
        <f aca="false">(K1215+O1215+Q1215)*24 /1130+(L1215+M1215+P1215+R1215)*12/1130+(N1215*30)/1130</f>
        <v>0.106194690265487</v>
      </c>
    </row>
    <row r="1216" customFormat="false" ht="15" hidden="true" customHeight="true" outlineLevel="0" collapsed="false">
      <c r="A1216" s="128" t="n">
        <f aca="false">D1216-690</f>
        <v>0</v>
      </c>
      <c r="B1216" s="127" t="n">
        <f aca="false">B1215+D1216-C1216</f>
        <v>10976.75</v>
      </c>
      <c r="D1216" s="146" t="n">
        <f aca="false">345*2</f>
        <v>690</v>
      </c>
      <c r="E1216" s="147" t="n">
        <v>963</v>
      </c>
      <c r="F1216" s="147" t="n">
        <f aca="false">IFERROR(VLOOKUP(H1216,$AD$1:$AE$301,2,0),"")</f>
        <v>1008032</v>
      </c>
      <c r="G1216" s="147" t="str">
        <f aca="false">IFERROR(VLOOKUP(F1216,$AE$2:$AF$290,2, 0),"")</f>
        <v>ضباء</v>
      </c>
      <c r="H1216" s="212" t="s">
        <v>101</v>
      </c>
      <c r="I1216" s="246" t="n">
        <f aca="false">SUM(K1216:R1216)</f>
        <v>2</v>
      </c>
      <c r="J1216" s="182" t="n">
        <v>45742</v>
      </c>
      <c r="M1216" s="150" t="n">
        <v>2</v>
      </c>
      <c r="S1216" s="192" t="n">
        <f aca="false">(K1216+O1216+Q1216)*24 /1130+(L1216+M1216+P1216+R1216)*12/1130+(N1216*30)/1130</f>
        <v>0.0212389380530973</v>
      </c>
    </row>
    <row r="1217" customFormat="false" ht="15" hidden="true" customHeight="true" outlineLevel="0" collapsed="false">
      <c r="B1217" s="127" t="n">
        <f aca="false">B1216+D1217-C1217</f>
        <v>11873.75</v>
      </c>
      <c r="D1217" s="146" t="n">
        <f aca="false">2*299+299</f>
        <v>897</v>
      </c>
      <c r="E1217" s="147" t="n">
        <v>964</v>
      </c>
      <c r="F1217" s="147" t="n">
        <f aca="false">IFERROR(VLOOKUP(H1217,$AD$1:$AE$301,2,0),"")</f>
        <v>1008047</v>
      </c>
      <c r="G1217" s="147" t="str">
        <f aca="false">IFERROR(VLOOKUP(F1217,$AE$2:$AF$290,2, 0),"")</f>
        <v>الوجه</v>
      </c>
      <c r="H1217" s="212" t="s">
        <v>422</v>
      </c>
      <c r="I1217" s="246" t="n">
        <f aca="false">SUM(K1217:R1217)</f>
        <v>3</v>
      </c>
      <c r="J1217" s="182" t="n">
        <v>45742</v>
      </c>
      <c r="K1217" s="148" t="n">
        <f aca="false">2+1</f>
        <v>3</v>
      </c>
      <c r="S1217" s="192" t="n">
        <f aca="false">(K1217+O1217+Q1217)*24 /1130+(L1217+M1217+P1217+R1217)*12/1130+(N1217*30)/1130</f>
        <v>0.063716814159292</v>
      </c>
    </row>
    <row r="1218" customFormat="false" ht="15" hidden="true" customHeight="true" outlineLevel="0" collapsed="false">
      <c r="B1218" s="127" t="n">
        <f aca="false">B1217+D1218-C1218</f>
        <v>12172.75</v>
      </c>
      <c r="D1218" s="146" t="n">
        <f aca="false">299</f>
        <v>299</v>
      </c>
      <c r="E1218" s="147" t="n">
        <v>965</v>
      </c>
      <c r="F1218" s="147" t="n">
        <f aca="false">IFERROR(VLOOKUP(H1218,$AD$1:$AE$301,2,0),"")</f>
        <v>656</v>
      </c>
      <c r="G1218" s="147" t="str">
        <f aca="false">IFERROR(VLOOKUP(F1218,$AE$2:$AF$290,2, 0),"")</f>
        <v>الوجه</v>
      </c>
      <c r="H1218" s="212" t="s">
        <v>115</v>
      </c>
      <c r="I1218" s="246" t="n">
        <f aca="false">SUM(K1218:R1218)</f>
        <v>1</v>
      </c>
      <c r="J1218" s="182" t="n">
        <v>45742</v>
      </c>
      <c r="K1218" s="148" t="n">
        <v>1</v>
      </c>
      <c r="S1218" s="192" t="n">
        <f aca="false">(K1218+O1218+Q1218)*24 /1130+(L1218+M1218+P1218+R1218)*12/1130+(N1218*30)/1130</f>
        <v>0.0212389380530973</v>
      </c>
    </row>
    <row r="1219" customFormat="false" ht="15" hidden="true" customHeight="true" outlineLevel="0" collapsed="false">
      <c r="A1219" s="128" t="n">
        <f aca="false">D1219-1196</f>
        <v>0</v>
      </c>
      <c r="B1219" s="127" t="n">
        <f aca="false">B1218+D1219-C1219</f>
        <v>13368.75</v>
      </c>
      <c r="D1219" s="146" t="n">
        <f aca="false">2*299+2*299</f>
        <v>1196</v>
      </c>
      <c r="E1219" s="147" t="n">
        <v>966</v>
      </c>
      <c r="F1219" s="147" t="n">
        <f aca="false">IFERROR(VLOOKUP(H1219,$AD$1:$AE$301,2,0),"")</f>
        <v>1008267</v>
      </c>
      <c r="G1219" s="147" t="str">
        <f aca="false">IFERROR(VLOOKUP(F1219,$AE$2:$AF$290,2, 0),"")</f>
        <v>الوجه</v>
      </c>
      <c r="H1219" s="212" t="s">
        <v>114</v>
      </c>
      <c r="I1219" s="246" t="n">
        <f aca="false">SUM(K1219:R1219)</f>
        <v>4</v>
      </c>
      <c r="J1219" s="182" t="n">
        <v>45742</v>
      </c>
      <c r="K1219" s="148" t="n">
        <f aca="false">2+2</f>
        <v>4</v>
      </c>
      <c r="S1219" s="192" t="n">
        <f aca="false">(K1219+O1219+Q1219)*24 /1130+(L1219+M1219+P1219+R1219)*12/1130+(N1219*30)/1130</f>
        <v>0.0849557522123894</v>
      </c>
    </row>
    <row r="1220" customFormat="false" ht="15" hidden="true" customHeight="true" outlineLevel="0" collapsed="false">
      <c r="B1220" s="127" t="n">
        <f aca="false">B1219+D1220-C1220</f>
        <v>13667.75</v>
      </c>
      <c r="D1220" s="146" t="n">
        <v>299</v>
      </c>
      <c r="E1220" s="147" t="n">
        <v>968</v>
      </c>
      <c r="F1220" s="147" t="n">
        <f aca="false">IFERROR(VLOOKUP(H1220,$AD$1:$AE$301,2,0),"")</f>
        <v>1008050</v>
      </c>
      <c r="G1220" s="147" t="str">
        <f aca="false">IFERROR(VLOOKUP(F1220,$AE$2:$AF$290,2, 0),"")</f>
        <v>ضباء</v>
      </c>
      <c r="H1220" s="212" t="s">
        <v>92</v>
      </c>
      <c r="I1220" s="246" t="n">
        <f aca="false">SUM(K1220:R1220)</f>
        <v>1</v>
      </c>
      <c r="J1220" s="182" t="n">
        <v>45742</v>
      </c>
      <c r="K1220" s="148" t="n">
        <v>1</v>
      </c>
      <c r="S1220" s="192" t="n">
        <f aca="false">(K1220+O1220+Q1220)*24 /1130+(L1220+M1220+P1220+R1220)*12/1130+(N1220*30)/1130</f>
        <v>0.0212389380530973</v>
      </c>
    </row>
    <row r="1221" customFormat="false" ht="15" hidden="true" customHeight="true" outlineLevel="0" collapsed="false">
      <c r="A1221" s="128" t="n">
        <f aca="false">D1221+241.5-380</f>
        <v>-0.5</v>
      </c>
      <c r="B1221" s="127" t="n">
        <f aca="false">B1220+D1221-C1221</f>
        <v>13805.75</v>
      </c>
      <c r="D1221" s="146" t="n">
        <v>138</v>
      </c>
      <c r="E1221" s="147" t="n">
        <v>969</v>
      </c>
      <c r="F1221" s="147" t="n">
        <f aca="false">IFERROR(VLOOKUP(H1221,$AD$1:$AE$301,2,0),"")</f>
        <v>1008050</v>
      </c>
      <c r="G1221" s="147" t="str">
        <f aca="false">IFERROR(VLOOKUP(F1221,$AE$2:$AF$290,2, 0),"")</f>
        <v>ضباء</v>
      </c>
      <c r="H1221" s="212" t="s">
        <v>92</v>
      </c>
      <c r="I1221" s="246" t="n">
        <f aca="false">SUM(K1221:R1221)</f>
        <v>1</v>
      </c>
      <c r="J1221" s="182" t="n">
        <v>45742</v>
      </c>
      <c r="Q1221" s="154" t="n">
        <v>1</v>
      </c>
      <c r="S1221" s="192" t="n">
        <f aca="false">(K1221+O1221+Q1221)*24 /1130+(L1221+M1221+P1221+R1221)*12/1130+(N1221*30)/1130</f>
        <v>0.0212389380530973</v>
      </c>
    </row>
    <row r="1222" customFormat="false" ht="15" hidden="true" customHeight="true" outlineLevel="0" collapsed="false">
      <c r="B1222" s="127" t="n">
        <f aca="false">B1221+D1222-C1222</f>
        <v>13943.75</v>
      </c>
      <c r="D1222" s="146" t="n">
        <v>138</v>
      </c>
      <c r="E1222" s="147" t="n">
        <v>970</v>
      </c>
      <c r="F1222" s="147" t="n">
        <f aca="false">IFERROR(VLOOKUP(H1222,$AD$1:$AE$301,2,0),"")</f>
        <v>1008025</v>
      </c>
      <c r="G1222" s="147" t="str">
        <f aca="false">IFERROR(VLOOKUP(F1222,$AE$2:$AF$290,2, 0),"")</f>
        <v>ضباء</v>
      </c>
      <c r="H1222" s="212" t="s">
        <v>97</v>
      </c>
      <c r="I1222" s="246" t="n">
        <f aca="false">SUM(K1222:R1222)</f>
        <v>1</v>
      </c>
      <c r="J1222" s="182" t="n">
        <v>45742</v>
      </c>
      <c r="Q1222" s="154" t="n">
        <v>1</v>
      </c>
      <c r="S1222" s="192" t="n">
        <f aca="false">(K1222+O1222+Q1222)*24 /1130+(L1222+M1222+P1222+R1222)*12/1130+(N1222*30)/1130</f>
        <v>0.0212389380530973</v>
      </c>
    </row>
    <row r="1223" customFormat="false" ht="15" hidden="true" customHeight="true" outlineLevel="0" collapsed="false">
      <c r="B1223" s="127" t="n">
        <f aca="false">B1222+D1223-C1223</f>
        <v>14196.75</v>
      </c>
      <c r="C1223" s="386"/>
      <c r="D1223" s="146" t="n">
        <v>253</v>
      </c>
      <c r="E1223" s="147" t="n">
        <v>971</v>
      </c>
      <c r="F1223" s="147" t="n">
        <f aca="false">IFERROR(VLOOKUP(H1223,$AD$1:$AE$301,2,0),"")</f>
        <v>1007989</v>
      </c>
      <c r="G1223" s="147" t="str">
        <f aca="false">IFERROR(VLOOKUP(F1223,$AE$2:$AF$290,2, 0),"")</f>
        <v>ضباء</v>
      </c>
      <c r="H1223" s="212" t="s">
        <v>90</v>
      </c>
      <c r="I1223" s="246" t="n">
        <f aca="false">SUM(K1223:R1223)</f>
        <v>1</v>
      </c>
      <c r="J1223" s="182" t="n">
        <v>45742</v>
      </c>
      <c r="M1223" s="150" t="n">
        <v>1</v>
      </c>
      <c r="S1223" s="192" t="n">
        <f aca="false">(K1223+O1223+Q1223)*24 /1130+(L1223+M1223+P1223+R1223)*12/1130+(N1223*30)/1130</f>
        <v>0.0106194690265487</v>
      </c>
    </row>
    <row r="1224" customFormat="false" ht="15" hidden="true" customHeight="true" outlineLevel="0" collapsed="false">
      <c r="A1224" s="128" t="n">
        <f aca="false">D1224-759</f>
        <v>0</v>
      </c>
      <c r="B1224" s="127" t="n">
        <f aca="false">B1223+D1224-C1224</f>
        <v>14955.75</v>
      </c>
      <c r="D1224" s="146" t="n">
        <f aca="false">253*2+253</f>
        <v>759</v>
      </c>
      <c r="E1224" s="147" t="n">
        <v>972</v>
      </c>
      <c r="F1224" s="147" t="n">
        <f aca="false">IFERROR(VLOOKUP(H1224,$AD$1:$AE$301,2,0),"")</f>
        <v>1002949</v>
      </c>
      <c r="G1224" s="147" t="str">
        <f aca="false">IFERROR(VLOOKUP(F1224,$AE$2:$AF$290,2, 0),"")</f>
        <v>تبوك</v>
      </c>
      <c r="H1224" s="212" t="s">
        <v>169</v>
      </c>
      <c r="I1224" s="246" t="n">
        <f aca="false">SUM(K1224:R1224)</f>
        <v>3</v>
      </c>
      <c r="J1224" s="182" t="n">
        <v>45742</v>
      </c>
      <c r="M1224" s="150" t="n">
        <f aca="false">2+1</f>
        <v>3</v>
      </c>
      <c r="S1224" s="192" t="n">
        <f aca="false">(K1224+O1224+Q1224)*24 /1130+(L1224+M1224+P1224+R1224)*12/1130+(N1224*30)/1130</f>
        <v>0.031858407079646</v>
      </c>
    </row>
    <row r="1225" customFormat="false" ht="15" hidden="true" customHeight="true" outlineLevel="0" collapsed="false">
      <c r="B1225" s="127" t="n">
        <f aca="false">B1224+D1225-C1225</f>
        <v>15254.75</v>
      </c>
      <c r="D1225" s="146" t="n">
        <v>299</v>
      </c>
      <c r="E1225" s="147" t="n">
        <v>967</v>
      </c>
      <c r="F1225" s="147" t="n">
        <f aca="false">IFERROR(VLOOKUP(H1225,$AD$1:$AE$301,2,0),"")</f>
        <v>1008049</v>
      </c>
      <c r="G1225" s="147" t="str">
        <f aca="false">IFERROR(VLOOKUP(F1225,$AE$2:$AF$290,2, 0),"")</f>
        <v>الوجه</v>
      </c>
      <c r="H1225" s="212" t="s">
        <v>111</v>
      </c>
      <c r="I1225" s="246" t="n">
        <f aca="false">SUM(K1225:R1225)</f>
        <v>1</v>
      </c>
      <c r="J1225" s="182" t="n">
        <v>45742</v>
      </c>
      <c r="K1225" s="148" t="n">
        <v>1</v>
      </c>
      <c r="S1225" s="192" t="n">
        <f aca="false">(K1225+O1225+Q1225)*24 /1130+(L1225+M1225+P1225+R1225)*12/1130+(N1225*30)/1130</f>
        <v>0.0212389380530973</v>
      </c>
    </row>
    <row r="1226" customFormat="false" ht="15" hidden="true" customHeight="true" outlineLevel="0" collapsed="false">
      <c r="B1226" s="127" t="n">
        <f aca="false">B1225+D1226-C1226</f>
        <v>15496.25</v>
      </c>
      <c r="D1226" s="146" t="n">
        <v>241.5</v>
      </c>
      <c r="E1226" s="147" t="n">
        <v>973</v>
      </c>
      <c r="F1226" s="147" t="n">
        <f aca="false">IFERROR(VLOOKUP(H1226,$AD$1:$AE$301,2,0),"")</f>
        <v>549</v>
      </c>
      <c r="G1226" s="147" t="str">
        <f aca="false">IFERROR(VLOOKUP(F1226,$AE$2:$AF$290,2, 0),"")</f>
        <v>تبوك</v>
      </c>
      <c r="H1226" s="212" t="s">
        <v>238</v>
      </c>
      <c r="I1226" s="246" t="n">
        <f aca="false">SUM(K1226:R1226)</f>
        <v>1</v>
      </c>
      <c r="J1226" s="182" t="n">
        <v>45743</v>
      </c>
      <c r="O1226" s="152" t="n">
        <v>1</v>
      </c>
      <c r="S1226" s="192" t="n">
        <f aca="false">(K1226+O1226+Q1226)*24 /1130+(L1226+M1226+P1226+R1226)*12/1130+(N1226*30)/1130</f>
        <v>0.0212389380530973</v>
      </c>
    </row>
    <row r="1227" customFormat="false" ht="15" hidden="true" customHeight="true" outlineLevel="0" collapsed="false">
      <c r="B1227" s="127" t="n">
        <f aca="false">B1226+D1227-C1227</f>
        <v>15795.25</v>
      </c>
      <c r="D1227" s="146" t="n">
        <v>299</v>
      </c>
      <c r="E1227" s="147" t="n">
        <v>974</v>
      </c>
      <c r="F1227" s="147" t="n">
        <f aca="false">IFERROR(VLOOKUP(H1227,$AD$1:$AE$301,2,0),"")</f>
        <v>652</v>
      </c>
      <c r="G1227" s="147" t="str">
        <f aca="false">IFERROR(VLOOKUP(F1227,$AE$2:$AF$290,2, 0),"")</f>
        <v>تبوك</v>
      </c>
      <c r="H1227" s="212" t="s">
        <v>263</v>
      </c>
      <c r="I1227" s="246" t="n">
        <f aca="false">SUM(K1227:R1227)</f>
        <v>1</v>
      </c>
      <c r="J1227" s="182" t="n">
        <v>45743</v>
      </c>
      <c r="R1227" s="155" t="n">
        <v>1</v>
      </c>
      <c r="S1227" s="192" t="n">
        <f aca="false">(K1227+O1227+Q1227)*24 /1130+(L1227+M1227+P1227+R1227)*12/1130+(N1227*30)/1130</f>
        <v>0.0106194690265487</v>
      </c>
    </row>
    <row r="1228" customFormat="false" ht="15" hidden="true" customHeight="true" outlineLevel="0" collapsed="false">
      <c r="A1228" s="128" t="n">
        <f aca="false">D1228-598</f>
        <v>0</v>
      </c>
      <c r="B1228" s="127" t="n">
        <f aca="false">B1227+D1228-C1228</f>
        <v>16393.25</v>
      </c>
      <c r="D1228" s="146" t="n">
        <f aca="false">2*299</f>
        <v>598</v>
      </c>
      <c r="E1228" s="147" t="n">
        <v>975</v>
      </c>
      <c r="F1228" s="147" t="n">
        <f aca="false">IFERROR(VLOOKUP(H1228,$AD$1:$AE$301,2,0),"")</f>
        <v>755</v>
      </c>
      <c r="G1228" s="147" t="str">
        <f aca="false">IFERROR(VLOOKUP(F1228,$AE$2:$AF$290,2, 0),"")</f>
        <v>تبوك</v>
      </c>
      <c r="H1228" s="212" t="s">
        <v>180</v>
      </c>
      <c r="I1228" s="246" t="n">
        <f aca="false">SUM(K1228:R1228)</f>
        <v>2</v>
      </c>
      <c r="J1228" s="182" t="n">
        <v>45743</v>
      </c>
      <c r="K1228" s="148" t="n">
        <f aca="false">1+1</f>
        <v>2</v>
      </c>
      <c r="S1228" s="192" t="n">
        <f aca="false">(K1228+O1228+Q1228)*24 /1130+(L1228+M1228+P1228+R1228)*12/1130+(N1228*30)/1130</f>
        <v>0.0424778761061947</v>
      </c>
    </row>
    <row r="1229" customFormat="false" ht="15" hidden="true" customHeight="true" outlineLevel="0" collapsed="false">
      <c r="A1229" s="128" t="n">
        <f aca="false">D1229-1-299</f>
        <v>-1</v>
      </c>
      <c r="B1229" s="127" t="n">
        <f aca="false">B1228+D1229-C1229</f>
        <v>16692.25</v>
      </c>
      <c r="D1229" s="146" t="n">
        <v>299</v>
      </c>
      <c r="E1229" s="147" t="n">
        <v>976</v>
      </c>
      <c r="F1229" s="147" t="n">
        <f aca="false">IFERROR(VLOOKUP(H1229,$AD$1:$AE$301,2,0),"")</f>
        <v>755</v>
      </c>
      <c r="G1229" s="147" t="str">
        <f aca="false">IFERROR(VLOOKUP(F1229,$AE$2:$AF$290,2, 0),"")</f>
        <v>تبوك</v>
      </c>
      <c r="H1229" s="212" t="s">
        <v>180</v>
      </c>
      <c r="I1229" s="246" t="n">
        <f aca="false">SUM(K1229:R1229)</f>
        <v>1</v>
      </c>
      <c r="J1229" s="182" t="n">
        <v>45743</v>
      </c>
      <c r="K1229" s="148" t="n">
        <v>1</v>
      </c>
      <c r="S1229" s="192" t="n">
        <f aca="false">(K1229+O1229+Q1229)*24 /1130+(L1229+M1229+P1229+R1229)*12/1130+(N1229*30)/1130</f>
        <v>0.0212389380530973</v>
      </c>
    </row>
    <row r="1230" customFormat="false" ht="15" hidden="true" customHeight="true" outlineLevel="0" collapsed="false">
      <c r="B1230" s="127" t="n">
        <f aca="false">B1229+D1230-C1230</f>
        <v>16847.5</v>
      </c>
      <c r="D1230" s="146" t="n">
        <v>155.25</v>
      </c>
      <c r="E1230" s="147" t="n">
        <v>977</v>
      </c>
      <c r="F1230" s="147" t="n">
        <f aca="false">IFERROR(VLOOKUP(H1230,$AD$1:$AE$301,2,0),"")</f>
        <v>653</v>
      </c>
      <c r="G1230" s="147" t="str">
        <f aca="false">IFERROR(VLOOKUP(F1230,$AE$2:$AF$290,2, 0),"")</f>
        <v>تبوك</v>
      </c>
      <c r="H1230" s="212" t="s">
        <v>264</v>
      </c>
      <c r="I1230" s="246" t="n">
        <f aca="false">SUM(K1230:R1230)</f>
        <v>1</v>
      </c>
      <c r="J1230" s="182" t="n">
        <v>45744</v>
      </c>
      <c r="R1230" s="155" t="n">
        <v>1</v>
      </c>
      <c r="S1230" s="192" t="n">
        <f aca="false">(K1230+O1230+Q1230)*24 /1130+(L1230+M1230+P1230+R1230)*12/1130+(N1230*30)/1130</f>
        <v>0.0106194690265487</v>
      </c>
    </row>
    <row r="1231" customFormat="false" ht="15" hidden="true" customHeight="true" outlineLevel="0" collapsed="false">
      <c r="B1231" s="127" t="n">
        <f aca="false">B1230+D1231-C1231</f>
        <v>17002.75</v>
      </c>
      <c r="D1231" s="146" t="n">
        <f aca="false">155.25</f>
        <v>155.25</v>
      </c>
      <c r="E1231" s="147" t="n">
        <v>978</v>
      </c>
      <c r="F1231" s="147" t="n">
        <f aca="false">IFERROR(VLOOKUP(H1231,$AD$1:$AE$301,2,0),"")</f>
        <v>560</v>
      </c>
      <c r="G1231" s="147" t="str">
        <f aca="false">IFERROR(VLOOKUP(F1231,$AE$2:$AF$290,2, 0),"")</f>
        <v>تبوك</v>
      </c>
      <c r="H1231" s="212" t="s">
        <v>133</v>
      </c>
      <c r="I1231" s="246" t="n">
        <f aca="false">SUM(K1231:R1231)</f>
        <v>1</v>
      </c>
      <c r="J1231" s="182" t="n">
        <v>45744</v>
      </c>
      <c r="R1231" s="155" t="n">
        <v>1</v>
      </c>
      <c r="S1231" s="192" t="n">
        <f aca="false">(K1231+O1231+Q1231)*24 /1130+(L1231+M1231+P1231+R1231)*12/1130+(N1231*30)/1130</f>
        <v>0.0106194690265487</v>
      </c>
    </row>
    <row r="1232" customFormat="false" ht="15" hidden="true" customHeight="true" outlineLevel="0" collapsed="false">
      <c r="A1232" s="128" t="n">
        <f aca="false">D1232-598</f>
        <v>0</v>
      </c>
      <c r="B1232" s="127" t="n">
        <f aca="false">B1231+D1232-C1232</f>
        <v>17600.75</v>
      </c>
      <c r="D1232" s="146" t="n">
        <f aca="false">299*2</f>
        <v>598</v>
      </c>
      <c r="E1232" s="147" t="n">
        <v>979</v>
      </c>
      <c r="F1232" s="147" t="n">
        <f aca="false">IFERROR(VLOOKUP(H1232,$AD$1:$AE$301,2,0),"")</f>
        <v>1008261</v>
      </c>
      <c r="G1232" s="147" t="str">
        <f aca="false">IFERROR(VLOOKUP(F1232,$AE$2:$AF$290,2, 0),"")</f>
        <v>تبوك</v>
      </c>
      <c r="H1232" s="212" t="s">
        <v>440</v>
      </c>
      <c r="I1232" s="246" t="n">
        <f aca="false">SUM(K1232:R1232)</f>
        <v>2</v>
      </c>
      <c r="J1232" s="182" t="n">
        <v>45744</v>
      </c>
      <c r="K1232" s="148" t="n">
        <f aca="false">1+1</f>
        <v>2</v>
      </c>
      <c r="S1232" s="192" t="n">
        <f aca="false">(K1232+O1232+Q1232)*24 /1130+(L1232+M1232+P1232+R1232)*12/1130+(N1232*30)/1130</f>
        <v>0.0424778761061947</v>
      </c>
    </row>
    <row r="1233" customFormat="false" ht="15" hidden="true" customHeight="true" outlineLevel="0" collapsed="false">
      <c r="B1233" s="127" t="n">
        <f aca="false">B1232+D1233-C1233</f>
        <v>18083.75</v>
      </c>
      <c r="D1233" s="146" t="n">
        <f aca="false">230+253</f>
        <v>483</v>
      </c>
      <c r="E1233" s="147" t="n">
        <v>980</v>
      </c>
      <c r="F1233" s="147" t="n">
        <f aca="false">IFERROR(VLOOKUP(H1233,$AD$1:$AE$301,2,0),"")</f>
        <v>1002852</v>
      </c>
      <c r="G1233" s="147" t="str">
        <f aca="false">IFERROR(VLOOKUP(F1233,$AE$2:$AF$290,2, 0),"")</f>
        <v>تبوك</v>
      </c>
      <c r="H1233" s="212" t="s">
        <v>159</v>
      </c>
      <c r="I1233" s="246" t="n">
        <f aca="false">SUM(K1233:R1233)</f>
        <v>2</v>
      </c>
      <c r="J1233" s="182" t="n">
        <v>45744</v>
      </c>
      <c r="M1233" s="150" t="n">
        <f aca="false">1+1</f>
        <v>2</v>
      </c>
      <c r="S1233" s="192" t="n">
        <f aca="false">(K1233+O1233+Q1233)*24 /1130+(L1233+M1233+P1233+R1233)*12/1130+(N1233*30)/1130</f>
        <v>0.0212389380530973</v>
      </c>
    </row>
    <row r="1234" customFormat="false" ht="15" hidden="true" customHeight="true" outlineLevel="0" collapsed="false">
      <c r="A1234" s="128" t="n">
        <f aca="false">D1234-299</f>
        <v>0</v>
      </c>
      <c r="B1234" s="127" t="n">
        <f aca="false">B1233+D1234-C1234</f>
        <v>18382.75</v>
      </c>
      <c r="D1234" s="146" t="n">
        <v>299</v>
      </c>
      <c r="E1234" s="147" t="n">
        <v>981</v>
      </c>
      <c r="F1234" s="147" t="n">
        <f aca="false">IFERROR(VLOOKUP(H1234,$AD$1:$AE$301,2,0),"")</f>
        <v>750</v>
      </c>
      <c r="G1234" s="147" t="str">
        <f aca="false">IFERROR(VLOOKUP(F1234,$AE$2:$AF$290,2, 0),"")</f>
        <v>تبوك</v>
      </c>
      <c r="H1234" s="212" t="s">
        <v>225</v>
      </c>
      <c r="I1234" s="246" t="n">
        <f aca="false">SUM(K1234:R1234)</f>
        <v>1</v>
      </c>
      <c r="J1234" s="182" t="n">
        <v>45744</v>
      </c>
      <c r="K1234" s="148" t="n">
        <v>1</v>
      </c>
      <c r="S1234" s="192" t="n">
        <f aca="false">(K1234+O1234+Q1234)*24 /1130+(L1234+M1234+P1234+R1234)*12/1130+(N1234*30)/1130</f>
        <v>0.0212389380530973</v>
      </c>
    </row>
    <row r="1235" customFormat="false" ht="15" hidden="true" customHeight="true" outlineLevel="0" collapsed="false">
      <c r="B1235" s="127" t="n">
        <f aca="false">B1234+D1235-C1235</f>
        <v>18980.75</v>
      </c>
      <c r="D1235" s="146" t="n">
        <f aca="false">299*2</f>
        <v>598</v>
      </c>
      <c r="E1235" s="212" t="s">
        <v>470</v>
      </c>
      <c r="F1235" s="147" t="n">
        <f aca="false">IFERROR(VLOOKUP(H1235,$AD$1:$AE$301,2,0),"")</f>
        <v>943</v>
      </c>
      <c r="G1235" s="147" t="str">
        <f aca="false">IFERROR(VLOOKUP(F1235,$AE$2:$AF$290,2, 0),"")</f>
        <v>تبوك</v>
      </c>
      <c r="H1235" s="212" t="s">
        <v>259</v>
      </c>
      <c r="I1235" s="246" t="n">
        <f aca="false">SUM(K1235:R1235)</f>
        <v>2</v>
      </c>
      <c r="J1235" s="182" t="n">
        <v>45746</v>
      </c>
      <c r="K1235" s="148" t="n">
        <f aca="false">2</f>
        <v>2</v>
      </c>
      <c r="S1235" s="192" t="n">
        <f aca="false">(K1235+O1235+Q1235)*24 /1130+(L1235+M1235+P1235+R1235)*12/1130+(N1235*30)/1130</f>
        <v>0.0424778761061947</v>
      </c>
    </row>
    <row r="1236" customFormat="false" ht="15" hidden="true" customHeight="true" outlineLevel="0" collapsed="false">
      <c r="B1236" s="127" t="n">
        <f aca="false">B1235+D1236-C1236</f>
        <v>15928.75</v>
      </c>
      <c r="C1236" s="127" t="n">
        <f aca="false">90+120+105+115+100+85+465.75+D1231+1242+574</f>
        <v>3052</v>
      </c>
      <c r="E1236" s="212" t="s">
        <v>470</v>
      </c>
      <c r="F1236" s="147" t="str">
        <f aca="false">IFERROR(VLOOKUP(H1236,$AD$1:$AE$301,2,0),"")</f>
        <v/>
      </c>
      <c r="G1236" s="147" t="str">
        <f aca="false">IFERROR(VLOOKUP(F1236,$AE$2:$AF$290,2, 0),"")</f>
        <v/>
      </c>
      <c r="H1236" s="212" t="s">
        <v>393</v>
      </c>
      <c r="I1236" s="246" t="n">
        <f aca="false">SUM(K1236:R1236)</f>
        <v>0</v>
      </c>
      <c r="J1236" s="182" t="n">
        <v>45743</v>
      </c>
      <c r="S1236" s="192" t="n">
        <f aca="false">(K1236+O1236+Q1236)*24 /1130+(L1236+M1236+P1236+R1236)*12/1130+(N1236*30)/1130</f>
        <v>0</v>
      </c>
    </row>
    <row r="1237" customFormat="false" ht="15" hidden="true" customHeight="true" outlineLevel="0" collapsed="false">
      <c r="B1237" s="127" t="n">
        <f aca="false">B1236+D1237-C1237</f>
        <v>11896.5</v>
      </c>
      <c r="C1237" s="127" t="n">
        <f aca="false">D1205+37+98+477+D1169+598+380+D1222+366+D1226+1000+300</f>
        <v>4032.25</v>
      </c>
      <c r="E1237" s="212" t="s">
        <v>470</v>
      </c>
      <c r="F1237" s="147" t="str">
        <f aca="false">IFERROR(VLOOKUP(H1237,$AD$1:$AE$301,2,0),"")</f>
        <v/>
      </c>
      <c r="G1237" s="147" t="str">
        <f aca="false">IFERROR(VLOOKUP(F1237,$AE$2:$AF$290,2, 0),"")</f>
        <v/>
      </c>
      <c r="H1237" s="212" t="s">
        <v>393</v>
      </c>
      <c r="I1237" s="246" t="n">
        <f aca="false">SUM(K1237:R1237)</f>
        <v>0</v>
      </c>
      <c r="J1237" s="182" t="n">
        <v>45741</v>
      </c>
      <c r="S1237" s="192" t="n">
        <f aca="false">(K1237+O1237+Q1237)*24 /1130+(L1237+M1237+P1237+R1237)*12/1130+(N1237*30)/1130</f>
        <v>0</v>
      </c>
    </row>
    <row r="1238" customFormat="false" ht="15" hidden="true" customHeight="true" outlineLevel="0" collapsed="false">
      <c r="B1238" s="127" t="n">
        <f aca="false">B1237+D1238-C1238</f>
        <v>10940.5</v>
      </c>
      <c r="C1238" s="127" t="n">
        <f aca="false">45+125+100+95+236+355</f>
        <v>956</v>
      </c>
      <c r="E1238" s="212" t="s">
        <v>653</v>
      </c>
      <c r="F1238" s="147" t="str">
        <f aca="false">IFERROR(VLOOKUP(H1238,$AD$1:$AE$301,2,0),"")</f>
        <v/>
      </c>
      <c r="G1238" s="147" t="str">
        <f aca="false">IFERROR(VLOOKUP(F1238,$AE$2:$AF$290,2, 0),"")</f>
        <v/>
      </c>
      <c r="H1238" s="212" t="s">
        <v>393</v>
      </c>
      <c r="I1238" s="246" t="n">
        <f aca="false">SUM(K1238:R1238)</f>
        <v>0</v>
      </c>
      <c r="J1238" s="182" t="n">
        <v>45724</v>
      </c>
      <c r="S1238" s="192" t="n">
        <f aca="false">(K1238+O1238+Q1238)*24 /1130+(L1238+M1238+P1238+R1238)*12/1130+(N1238*30)/1130</f>
        <v>0</v>
      </c>
    </row>
    <row r="1239" customFormat="false" ht="15" hidden="true" customHeight="true" outlineLevel="0" collapsed="false">
      <c r="A1239" s="413" t="n">
        <f aca="false">SUM(A1191:A1237)</f>
        <v>0</v>
      </c>
      <c r="B1239" s="127" t="n">
        <f aca="false">B1238+D1239-C1239</f>
        <v>0.75</v>
      </c>
      <c r="C1239" s="127" t="n">
        <f aca="false">D1188+5000+198+D1235+D1213+399+1+D1232+3105+155.25</f>
        <v>10939.75</v>
      </c>
      <c r="E1239" s="212" t="s">
        <v>470</v>
      </c>
      <c r="F1239" s="147" t="str">
        <f aca="false">IFERROR(VLOOKUP(H1239,$AD$1:$AE$301,2,0),"")</f>
        <v/>
      </c>
      <c r="G1239" s="147" t="str">
        <f aca="false">IFERROR(VLOOKUP(F1239,$AE$2:$AF$290,2, 0),"")</f>
        <v/>
      </c>
      <c r="H1239" s="212" t="s">
        <v>393</v>
      </c>
      <c r="I1239" s="246" t="n">
        <f aca="false">SUM(K1239:R1239)</f>
        <v>0</v>
      </c>
      <c r="J1239" s="182" t="n">
        <v>45744</v>
      </c>
      <c r="S1239" s="192" t="n">
        <f aca="false">(K1239+O1239+Q1239)*24 /1130+(L1239+M1239+P1239+R1239)*12/1130+(N1239*30)/1130</f>
        <v>0</v>
      </c>
    </row>
    <row r="1240" customFormat="false" ht="15" hidden="true" customHeight="true" outlineLevel="0" collapsed="false">
      <c r="B1240" s="127" t="n">
        <f aca="false">B1239+D1240-C1240</f>
        <v>299.75</v>
      </c>
      <c r="D1240" s="146" t="n">
        <f aca="false">299</f>
        <v>299</v>
      </c>
      <c r="E1240" s="147" t="n">
        <v>983</v>
      </c>
      <c r="F1240" s="147" t="n">
        <f aca="false">IFERROR(VLOOKUP(H1240,$AD$1:$AE$301,2,0),"")</f>
        <v>1008270</v>
      </c>
      <c r="G1240" s="147" t="str">
        <f aca="false">IFERROR(VLOOKUP(F1240,$AE$2:$AF$290,2, 0),"")</f>
        <v>تبوك</v>
      </c>
      <c r="H1240" s="212" t="s">
        <v>236</v>
      </c>
      <c r="I1240" s="246" t="n">
        <f aca="false">SUM(K1240:R1240)</f>
        <v>1</v>
      </c>
      <c r="J1240" s="182" t="n">
        <v>45754</v>
      </c>
      <c r="K1240" s="148" t="n">
        <v>1</v>
      </c>
      <c r="S1240" s="192" t="n">
        <f aca="false">(K1240+O1240+Q1240)*24 /1130+(L1240+M1240+P1240+R1240)*12/1130+(N1240*30)/1130</f>
        <v>0.0212389380530973</v>
      </c>
    </row>
    <row r="1241" customFormat="false" ht="15" hidden="true" customHeight="true" outlineLevel="0" collapsed="false">
      <c r="A1241" s="128" t="n">
        <f aca="false">D1241-55-100.25</f>
        <v>0</v>
      </c>
      <c r="B1241" s="127" t="n">
        <f aca="false">B1240+D1241-C1241</f>
        <v>455</v>
      </c>
      <c r="D1241" s="146" t="n">
        <v>155.25</v>
      </c>
      <c r="E1241" s="147" t="n">
        <v>984</v>
      </c>
      <c r="F1241" s="147" t="n">
        <f aca="false">IFERROR(VLOOKUP(H1241,$AD$1:$AE$301,2,0),"")</f>
        <v>1008270</v>
      </c>
      <c r="G1241" s="147" t="str">
        <f aca="false">IFERROR(VLOOKUP(F1241,$AE$2:$AF$290,2, 0),"")</f>
        <v>تبوك</v>
      </c>
      <c r="H1241" s="212" t="s">
        <v>236</v>
      </c>
      <c r="I1241" s="246" t="n">
        <f aca="false">SUM(K1241:R1241)</f>
        <v>1</v>
      </c>
      <c r="J1241" s="182" t="n">
        <v>45754</v>
      </c>
      <c r="R1241" s="155" t="n">
        <v>1</v>
      </c>
      <c r="S1241" s="192" t="n">
        <f aca="false">(K1241+O1241+Q1241)*24 /1130+(L1241+M1241+P1241+R1241)*12/1130+(N1241*30)/1130</f>
        <v>0.0106194690265487</v>
      </c>
    </row>
    <row r="1242" customFormat="false" ht="15" hidden="true" customHeight="true" outlineLevel="0" collapsed="false">
      <c r="A1242" s="128" t="n">
        <f aca="false">D1242-50-249</f>
        <v>0</v>
      </c>
      <c r="B1242" s="127" t="n">
        <f aca="false">B1241+D1242-C1242</f>
        <v>754</v>
      </c>
      <c r="D1242" s="146" t="n">
        <v>299</v>
      </c>
      <c r="E1242" s="147" t="n">
        <v>985</v>
      </c>
      <c r="F1242" s="147" t="n">
        <f aca="false">IFERROR(VLOOKUP(H1242,$AD$1:$AE$301,2,0),"")</f>
        <v>1007965</v>
      </c>
      <c r="G1242" s="147" t="str">
        <f aca="false">IFERROR(VLOOKUP(F1242,$AE$2:$AF$290,2, 0),"")</f>
        <v>البير</v>
      </c>
      <c r="H1242" s="212" t="s">
        <v>290</v>
      </c>
      <c r="I1242" s="246" t="n">
        <f aca="false">SUM(K1242:R1242)</f>
        <v>1</v>
      </c>
      <c r="J1242" s="182" t="n">
        <v>45754</v>
      </c>
      <c r="K1242" s="148" t="n">
        <v>1</v>
      </c>
      <c r="S1242" s="192" t="n">
        <f aca="false">(K1242+O1242+Q1242)*24 /1130+(L1242+M1242+P1242+R1242)*12/1130+(N1242*30)/1130</f>
        <v>0.0212389380530973</v>
      </c>
    </row>
    <row r="1243" customFormat="false" ht="15" hidden="true" customHeight="true" outlineLevel="0" collapsed="false">
      <c r="A1243" s="128" t="n">
        <f aca="false">D1243-2*2-5*5-1247.5</f>
        <v>0</v>
      </c>
      <c r="B1243" s="127" t="n">
        <f aca="false">B1242+D1243-C1243</f>
        <v>2030.5</v>
      </c>
      <c r="D1243" s="146" t="n">
        <f aca="false">299+253+241.5*3</f>
        <v>1276.5</v>
      </c>
      <c r="E1243" s="147" t="n">
        <v>986</v>
      </c>
      <c r="F1243" s="147" t="n">
        <f aca="false">IFERROR(VLOOKUP(H1243,$AD$1:$AE$301,2,0),"")</f>
        <v>1007996</v>
      </c>
      <c r="G1243" s="147" t="str">
        <f aca="false">IFERROR(VLOOKUP(F1243,$AE$2:$AF$290,2, 0),"")</f>
        <v>البير</v>
      </c>
      <c r="H1243" s="212" t="s">
        <v>295</v>
      </c>
      <c r="I1243" s="246" t="n">
        <f aca="false">SUM(K1243:R1243)</f>
        <v>5</v>
      </c>
      <c r="J1243" s="182" t="n">
        <v>45754</v>
      </c>
      <c r="K1243" s="148" t="n">
        <v>1</v>
      </c>
      <c r="M1243" s="150" t="n">
        <v>1</v>
      </c>
      <c r="O1243" s="152" t="n">
        <f aca="false">1+1</f>
        <v>2</v>
      </c>
      <c r="Q1243" s="154" t="n">
        <v>1</v>
      </c>
      <c r="S1243" s="192" t="n">
        <f aca="false">(K1243+O1243+Q1243)*24 /1130+(L1243+M1243+P1243+R1243)*12/1130+(N1243*30)/1130</f>
        <v>0.0955752212389381</v>
      </c>
    </row>
    <row r="1244" customFormat="false" ht="15" hidden="true" customHeight="true" outlineLevel="0" collapsed="false">
      <c r="B1244" s="127" t="n">
        <f aca="false">B1243+D1244-C1244</f>
        <v>2329.5</v>
      </c>
      <c r="D1244" s="146" t="n">
        <v>299</v>
      </c>
      <c r="E1244" s="147" t="n">
        <v>987</v>
      </c>
      <c r="F1244" s="147" t="n">
        <f aca="false">IFERROR(VLOOKUP(H1244,$AD$1:$AE$301,2,0),"")</f>
        <v>1008021</v>
      </c>
      <c r="G1244" s="147" t="str">
        <f aca="false">IFERROR(VLOOKUP(F1244,$AE$2:$AF$290,2, 0),"")</f>
        <v>البير</v>
      </c>
      <c r="H1244" s="212" t="s">
        <v>294</v>
      </c>
      <c r="I1244" s="246" t="n">
        <f aca="false">SUM(K1244:R1244)</f>
        <v>1</v>
      </c>
      <c r="J1244" s="182" t="n">
        <v>45754</v>
      </c>
      <c r="K1244" s="148" t="n">
        <v>1</v>
      </c>
      <c r="S1244" s="192" t="n">
        <f aca="false">(K1244+O1244+Q1244)*24 /1130+(L1244+M1244+P1244+R1244)*12/1130+(N1244*30)/1130</f>
        <v>0.0212389380530973</v>
      </c>
    </row>
    <row r="1245" customFormat="false" ht="15" hidden="true" customHeight="true" outlineLevel="0" collapsed="false">
      <c r="A1245" s="128" t="n">
        <f aca="false">D1245-51*5-3*2-21-500</f>
        <v>0</v>
      </c>
      <c r="B1245" s="127" t="n">
        <f aca="false">B1244+D1245-C1245</f>
        <v>3111.5</v>
      </c>
      <c r="D1245" s="146" t="n">
        <f aca="false">230+253+299</f>
        <v>782</v>
      </c>
      <c r="E1245" s="147" t="n">
        <v>988</v>
      </c>
      <c r="F1245" s="147" t="n">
        <f aca="false">IFERROR(VLOOKUP(H1245,$AD$1:$AE$301,2,0),"")</f>
        <v>1008030</v>
      </c>
      <c r="G1245" s="147" t="str">
        <f aca="false">IFERROR(VLOOKUP(F1245,$AE$2:$AF$290,2, 0),"")</f>
        <v>البير</v>
      </c>
      <c r="H1245" s="212" t="s">
        <v>298</v>
      </c>
      <c r="I1245" s="246" t="n">
        <f aca="false">SUM(K1245:R1245)</f>
        <v>3</v>
      </c>
      <c r="J1245" s="182" t="n">
        <v>45754</v>
      </c>
      <c r="K1245" s="148" t="n">
        <v>1</v>
      </c>
      <c r="M1245" s="150" t="n">
        <f aca="false">1+1</f>
        <v>2</v>
      </c>
      <c r="S1245" s="192" t="n">
        <f aca="false">(K1245+O1245+Q1245)*24 /1130+(L1245+M1245+P1245+R1245)*12/1130+(N1245*30)/1130</f>
        <v>0.0424778761061947</v>
      </c>
    </row>
    <row r="1246" customFormat="false" ht="15" hidden="true" customHeight="true" outlineLevel="0" collapsed="false">
      <c r="A1246" s="128" t="n">
        <f aca="false">D1246-299</f>
        <v>0</v>
      </c>
      <c r="B1246" s="127" t="n">
        <f aca="false">B1245+D1246-C1246</f>
        <v>3410.5</v>
      </c>
      <c r="D1246" s="146" t="n">
        <v>299</v>
      </c>
      <c r="E1246" s="147" t="n">
        <v>989</v>
      </c>
      <c r="F1246" s="147" t="n">
        <f aca="false">IFERROR(VLOOKUP(H1246,$AD$1:$AE$301,2,0),"")</f>
        <v>653</v>
      </c>
      <c r="G1246" s="147" t="str">
        <f aca="false">IFERROR(VLOOKUP(F1246,$AE$2:$AF$290,2, 0),"")</f>
        <v>تبوك</v>
      </c>
      <c r="H1246" s="212" t="s">
        <v>264</v>
      </c>
      <c r="I1246" s="246" t="n">
        <f aca="false">SUM(K1246:R1246)</f>
        <v>1</v>
      </c>
      <c r="J1246" s="182" t="n">
        <v>45754</v>
      </c>
      <c r="K1246" s="148" t="n">
        <v>1</v>
      </c>
      <c r="S1246" s="192" t="n">
        <f aca="false">(K1246+O1246+Q1246)*24 /1130+(L1246+M1246+P1246+R1246)*12/1130+(N1246*30)/1130</f>
        <v>0.0212389380530973</v>
      </c>
    </row>
    <row r="1247" customFormat="false" ht="15" hidden="true" customHeight="true" outlineLevel="0" collapsed="false">
      <c r="A1247" s="128" t="n">
        <f aca="false">D1247+9-185-2.25</f>
        <v>0</v>
      </c>
      <c r="B1247" s="127" t="n">
        <f aca="false">B1246+D1247-C1247</f>
        <v>3588.75</v>
      </c>
      <c r="D1247" s="146" t="n">
        <v>178.25</v>
      </c>
      <c r="E1247" s="147" t="n">
        <v>990</v>
      </c>
      <c r="F1247" s="147" t="n">
        <f aca="false">IFERROR(VLOOKUP(H1247,$AD$1:$AE$301,2,0),"")</f>
        <v>1008275</v>
      </c>
      <c r="G1247" s="147" t="str">
        <f aca="false">IFERROR(VLOOKUP(F1247,$AE$2:$AF$290,2, 0),"")</f>
        <v>تبوك</v>
      </c>
      <c r="H1247" s="212" t="s">
        <v>179</v>
      </c>
      <c r="I1247" s="246" t="n">
        <f aca="false">SUM(K1247:R1247)</f>
        <v>1</v>
      </c>
      <c r="J1247" s="182" t="n">
        <v>45755</v>
      </c>
      <c r="L1247" s="149" t="n">
        <v>1</v>
      </c>
      <c r="S1247" s="192" t="n">
        <f aca="false">(K1247+O1247+Q1247)*24 /1130+(L1247+M1247+P1247+R1247)*12/1130+(N1247*30)/1130</f>
        <v>0.0106194690265487</v>
      </c>
    </row>
    <row r="1248" customFormat="false" ht="15" hidden="true" customHeight="true" outlineLevel="0" collapsed="false">
      <c r="A1248" s="128" t="n">
        <f aca="false">D1248-299</f>
        <v>0</v>
      </c>
      <c r="B1248" s="127" t="n">
        <f aca="false">B1247+D1248-C1248</f>
        <v>3887.75</v>
      </c>
      <c r="D1248" s="146" t="n">
        <v>299</v>
      </c>
      <c r="E1248" s="147" t="n">
        <v>991</v>
      </c>
      <c r="F1248" s="147" t="n">
        <f aca="false">IFERROR(VLOOKUP(H1248,$AD$1:$AE$301,2,0),"")</f>
        <v>1008266</v>
      </c>
      <c r="G1248" s="147" t="str">
        <f aca="false">IFERROR(VLOOKUP(F1248,$AE$2:$AF$290,2, 0),"")</f>
        <v>تبوك</v>
      </c>
      <c r="H1248" s="212" t="s">
        <v>178</v>
      </c>
      <c r="I1248" s="246" t="n">
        <f aca="false">SUM(K1248:R1248)</f>
        <v>1</v>
      </c>
      <c r="J1248" s="182" t="n">
        <v>45755</v>
      </c>
      <c r="K1248" s="148" t="n">
        <v>1</v>
      </c>
      <c r="S1248" s="192" t="n">
        <f aca="false">(K1248+O1248+Q1248)*24 /1130+(L1248+M1248+P1248+R1248)*12/1130+(N1248*30)/1130</f>
        <v>0.0212389380530973</v>
      </c>
    </row>
    <row r="1249" customFormat="false" ht="15" hidden="true" customHeight="true" outlineLevel="0" collapsed="false">
      <c r="B1249" s="127" t="n">
        <f aca="false">B1248+D1249-C1249</f>
        <v>1196</v>
      </c>
      <c r="C1249" s="127" t="n">
        <f aca="false">1247+299+299+40+806.75</f>
        <v>2691.75</v>
      </c>
      <c r="E1249" s="212" t="s">
        <v>470</v>
      </c>
      <c r="F1249" s="147" t="str">
        <f aca="false">IFERROR(VLOOKUP(H1249,$AD$1:$AE$301,2,0),"")</f>
        <v/>
      </c>
      <c r="G1249" s="147" t="str">
        <f aca="false">IFERROR(VLOOKUP(F1249,$AE$2:$AF$290,2, 0),"")</f>
        <v/>
      </c>
      <c r="H1249" s="212" t="s">
        <v>393</v>
      </c>
      <c r="I1249" s="246" t="n">
        <f aca="false">SUM(K1249:R1249)</f>
        <v>0</v>
      </c>
      <c r="J1249" s="182" t="n">
        <v>45755</v>
      </c>
      <c r="S1249" s="192" t="n">
        <f aca="false">(K1249+O1249+Q1249)*24 /1130+(L1249+M1249+P1249+R1249)*12/1130+(N1249*30)/1130</f>
        <v>0</v>
      </c>
    </row>
    <row r="1250" customFormat="false" ht="15" hidden="true" customHeight="true" outlineLevel="0" collapsed="false">
      <c r="B1250" s="127" t="n">
        <f aca="false">B1249+D1250-C1250</f>
        <v>0</v>
      </c>
      <c r="C1250" s="127" t="n">
        <v>1196</v>
      </c>
      <c r="E1250" s="212" t="s">
        <v>657</v>
      </c>
      <c r="F1250" s="147" t="str">
        <f aca="false">IFERROR(VLOOKUP(H1250,$AD$1:$AE$301,2,0),"")</f>
        <v/>
      </c>
      <c r="G1250" s="147" t="str">
        <f aca="false">IFERROR(VLOOKUP(F1250,$AE$2:$AF$290,2, 0),"")</f>
        <v/>
      </c>
      <c r="H1250" s="212" t="s">
        <v>393</v>
      </c>
      <c r="I1250" s="246" t="n">
        <f aca="false">SUM(K1250:R1250)</f>
        <v>0</v>
      </c>
      <c r="J1250" s="182" t="n">
        <v>45755</v>
      </c>
      <c r="S1250" s="192" t="n">
        <f aca="false">(K1250+O1250+Q1250)*24 /1130+(L1250+M1250+P1250+R1250)*12/1130+(N1250*30)/1130</f>
        <v>0</v>
      </c>
    </row>
    <row r="1251" customFormat="false" ht="15" hidden="true" customHeight="true" outlineLevel="0" collapsed="false">
      <c r="B1251" s="127" t="n">
        <f aca="false">B1250+D1251-C1251</f>
        <v>793.5</v>
      </c>
      <c r="D1251" s="146" t="n">
        <f aca="false">299+253+241.5</f>
        <v>793.5</v>
      </c>
      <c r="E1251" s="147" t="n">
        <v>992</v>
      </c>
      <c r="F1251" s="147" t="n">
        <f aca="false">IFERROR(VLOOKUP(H1251,$AD$1:$AE$301,2,0),"")</f>
        <v>1008022</v>
      </c>
      <c r="G1251" s="147" t="str">
        <f aca="false">IFERROR(VLOOKUP(F1251,$AE$2:$AF$290,2, 0),"")</f>
        <v>ضباء</v>
      </c>
      <c r="H1251" s="212" t="s">
        <v>94</v>
      </c>
      <c r="I1251" s="246" t="n">
        <f aca="false">SUM(K1251:R1251)</f>
        <v>3</v>
      </c>
      <c r="J1251" s="182" t="n">
        <v>45756</v>
      </c>
      <c r="K1251" s="148" t="n">
        <v>1</v>
      </c>
      <c r="M1251" s="150" t="n">
        <v>1</v>
      </c>
      <c r="O1251" s="152" t="n">
        <v>1</v>
      </c>
      <c r="S1251" s="192" t="n">
        <f aca="false">(K1251+O1251+Q1251)*24 /1130+(L1251+M1251+P1251+R1251)*12/1130+(N1251*30)/1130</f>
        <v>0.0530973451327434</v>
      </c>
    </row>
    <row r="1252" customFormat="false" ht="15" hidden="true" customHeight="true" outlineLevel="0" collapsed="false">
      <c r="B1252" s="127" t="n">
        <f aca="false">B1251+D1252-C1252</f>
        <v>1483.5</v>
      </c>
      <c r="D1252" s="146" t="n">
        <f aca="false">345*2</f>
        <v>690</v>
      </c>
      <c r="E1252" s="147" t="n">
        <v>993</v>
      </c>
      <c r="F1252" s="147" t="n">
        <f aca="false">IFERROR(VLOOKUP(H1252,$AD$1:$AE$301,2,0),"")</f>
        <v>1008023</v>
      </c>
      <c r="G1252" s="147" t="str">
        <f aca="false">IFERROR(VLOOKUP(F1252,$AE$2:$AF$290,2, 0),"")</f>
        <v>ضباء</v>
      </c>
      <c r="H1252" s="212" t="s">
        <v>95</v>
      </c>
      <c r="I1252" s="246" t="n">
        <f aca="false">SUM(K1252:R1252)</f>
        <v>2</v>
      </c>
      <c r="J1252" s="182" t="n">
        <v>45756</v>
      </c>
      <c r="M1252" s="150" t="n">
        <v>2</v>
      </c>
      <c r="S1252" s="192" t="n">
        <f aca="false">(K1252+O1252+Q1252)*24 /1130+(L1252+M1252+P1252+R1252)*12/1130+(N1252*30)/1130</f>
        <v>0.0212389380530973</v>
      </c>
    </row>
    <row r="1253" customFormat="false" ht="15" hidden="true" customHeight="true" outlineLevel="0" collapsed="false">
      <c r="B1253" s="127" t="n">
        <f aca="false">B1252+D1253-C1253</f>
        <v>4191.75</v>
      </c>
      <c r="D1253" s="146" t="n">
        <f aca="false">241.5*3+264.5+155.25+253*2+230*2+299*2</f>
        <v>2708.25</v>
      </c>
      <c r="E1253" s="147" t="n">
        <v>994</v>
      </c>
      <c r="F1253" s="147" t="n">
        <f aca="false">IFERROR(VLOOKUP(H1253,$AD$1:$AE$301,2,0),"")</f>
        <v>1008024</v>
      </c>
      <c r="G1253" s="147" t="str">
        <f aca="false">IFERROR(VLOOKUP(F1253,$AE$2:$AF$290,2, 0),"")</f>
        <v>ضباء</v>
      </c>
      <c r="H1253" s="212" t="s">
        <v>96</v>
      </c>
      <c r="I1253" s="246" t="n">
        <f aca="false">SUM(K1253:R1253)</f>
        <v>11</v>
      </c>
      <c r="J1253" s="182" t="n">
        <v>45756</v>
      </c>
      <c r="K1253" s="148" t="n">
        <f aca="false">1+1</f>
        <v>2</v>
      </c>
      <c r="M1253" s="150" t="n">
        <f aca="false">2+2</f>
        <v>4</v>
      </c>
      <c r="O1253" s="152" t="n">
        <v>3</v>
      </c>
      <c r="R1253" s="155" t="n">
        <f aca="false">1+1</f>
        <v>2</v>
      </c>
      <c r="S1253" s="192" t="n">
        <f aca="false">(K1253+O1253+Q1253)*24 /1130+(L1253+M1253+P1253+R1253)*12/1130+(N1253*30)/1130</f>
        <v>0.169911504424779</v>
      </c>
    </row>
    <row r="1254" customFormat="false" ht="15" hidden="true" customHeight="true" outlineLevel="0" collapsed="false">
      <c r="A1254" s="128" t="n">
        <f aca="false">D1254-300-79.5</f>
        <v>0</v>
      </c>
      <c r="B1254" s="127" t="n">
        <f aca="false">B1253+D1254-C1254</f>
        <v>4571.25</v>
      </c>
      <c r="D1254" s="146" t="n">
        <f aca="false">241.5+138</f>
        <v>379.5</v>
      </c>
      <c r="E1254" s="147" t="n">
        <v>997</v>
      </c>
      <c r="F1254" s="147" t="n">
        <f aca="false">IFERROR(VLOOKUP(H1254,$AD$1:$AE$301,2,0),"")</f>
        <v>1008050</v>
      </c>
      <c r="G1254" s="147" t="str">
        <f aca="false">IFERROR(VLOOKUP(F1254,$AE$2:$AF$290,2, 0),"")</f>
        <v>ضباء</v>
      </c>
      <c r="H1254" s="212" t="s">
        <v>92</v>
      </c>
      <c r="I1254" s="246" t="n">
        <f aca="false">SUM(K1254:R1254)</f>
        <v>2</v>
      </c>
      <c r="J1254" s="182" t="n">
        <v>45756</v>
      </c>
      <c r="O1254" s="152" t="n">
        <v>1</v>
      </c>
      <c r="Q1254" s="154" t="n">
        <v>1</v>
      </c>
      <c r="S1254" s="192" t="n">
        <f aca="false">(K1254+O1254+Q1254)*24 /1130+(L1254+M1254+P1254+R1254)*12/1130+(N1254*30)/1130</f>
        <v>0.0424778761061947</v>
      </c>
    </row>
    <row r="1255" customFormat="false" ht="15" hidden="true" customHeight="true" outlineLevel="0" collapsed="false">
      <c r="B1255" s="127" t="n">
        <f aca="false">B1254+D1255-C1255</f>
        <v>5675.25</v>
      </c>
      <c r="D1255" s="146" t="n">
        <f aca="false">2*299+253*2</f>
        <v>1104</v>
      </c>
      <c r="E1255" s="147" t="n">
        <v>995</v>
      </c>
      <c r="F1255" s="147" t="n">
        <f aca="false">IFERROR(VLOOKUP(H1255,$AD$1:$AE$301,2,0),"")</f>
        <v>1007988</v>
      </c>
      <c r="G1255" s="147" t="str">
        <f aca="false">IFERROR(VLOOKUP(F1255,$AE$2:$AF$290,2, 0),"")</f>
        <v>ضباء</v>
      </c>
      <c r="H1255" s="212" t="s">
        <v>89</v>
      </c>
      <c r="I1255" s="246" t="n">
        <f aca="false">SUM(K1255:R1255)</f>
        <v>4</v>
      </c>
      <c r="J1255" s="182" t="n">
        <v>45756</v>
      </c>
      <c r="K1255" s="148" t="n">
        <v>2</v>
      </c>
      <c r="M1255" s="150" t="n">
        <v>2</v>
      </c>
      <c r="S1255" s="192" t="n">
        <f aca="false">(K1255+O1255+Q1255)*24 /1130+(L1255+M1255+P1255+R1255)*12/1130+(N1255*30)/1130</f>
        <v>0.063716814159292</v>
      </c>
    </row>
    <row r="1256" customFormat="false" ht="15" hidden="true" customHeight="true" outlineLevel="0" collapsed="false">
      <c r="B1256" s="127" t="n">
        <f aca="false">B1255+D1256-C1256</f>
        <v>5928.25</v>
      </c>
      <c r="D1256" s="146" t="n">
        <v>253</v>
      </c>
      <c r="E1256" s="147" t="n">
        <v>996</v>
      </c>
      <c r="F1256" s="147" t="n">
        <f aca="false">IFERROR(VLOOKUP(H1256,$AD$1:$AE$301,2,0),"")</f>
        <v>1007989</v>
      </c>
      <c r="G1256" s="147" t="str">
        <f aca="false">IFERROR(VLOOKUP(F1256,$AE$2:$AF$290,2, 0),"")</f>
        <v>ضباء</v>
      </c>
      <c r="H1256" s="212" t="s">
        <v>90</v>
      </c>
      <c r="I1256" s="246" t="n">
        <f aca="false">SUM(K1256:R1256)</f>
        <v>1</v>
      </c>
      <c r="J1256" s="182" t="n">
        <v>45756</v>
      </c>
      <c r="M1256" s="150" t="n">
        <v>1</v>
      </c>
      <c r="S1256" s="192" t="n">
        <f aca="false">(K1256+O1256+Q1256)*24 /1130+(L1256+M1256+P1256+R1256)*12/1130+(N1256*30)/1130</f>
        <v>0.0106194690265487</v>
      </c>
    </row>
    <row r="1257" customFormat="false" ht="15" hidden="true" customHeight="true" outlineLevel="0" collapsed="false">
      <c r="A1257" s="128" t="n">
        <f aca="false">D1257-19*5-24*2-110</f>
        <v>0</v>
      </c>
      <c r="B1257" s="127" t="n">
        <f aca="false">B1256+D1257-C1257</f>
        <v>6181.25</v>
      </c>
      <c r="D1257" s="146" t="n">
        <f aca="false">253</f>
        <v>253</v>
      </c>
      <c r="E1257" s="147" t="n">
        <v>998</v>
      </c>
      <c r="F1257" s="147" t="n">
        <f aca="false">IFERROR(VLOOKUP(H1257,$AD$1:$AE$301,2,0),"")</f>
        <v>1008043</v>
      </c>
      <c r="G1257" s="147" t="str">
        <f aca="false">IFERROR(VLOOKUP(F1257,$AE$2:$AF$290,2, 0),"")</f>
        <v>الوجه</v>
      </c>
      <c r="H1257" s="212" t="s">
        <v>104</v>
      </c>
      <c r="I1257" s="246" t="n">
        <f aca="false">SUM(K1257:R1257)</f>
        <v>1</v>
      </c>
      <c r="J1257" s="182" t="n">
        <v>45756</v>
      </c>
      <c r="M1257" s="414" t="n">
        <v>1</v>
      </c>
      <c r="S1257" s="192" t="n">
        <f aca="false">(K1257+O1257+Q1257)*24 /1130+(L1257+M1257+P1257+R1257)*12/1130+(N1257*30)/1130</f>
        <v>0.0106194690265487</v>
      </c>
    </row>
    <row r="1258" customFormat="false" ht="15" hidden="true" customHeight="true" outlineLevel="0" collapsed="false">
      <c r="B1258" s="127" t="n">
        <f aca="false">B1257+D1258-C1258</f>
        <v>7216.25</v>
      </c>
      <c r="D1258" s="146" t="n">
        <f aca="false">299*3+138</f>
        <v>1035</v>
      </c>
      <c r="E1258" s="147" t="n">
        <v>999</v>
      </c>
      <c r="F1258" s="147" t="n">
        <f aca="false">IFERROR(VLOOKUP(H1258,$AD$1:$AE$301,2,0),"")</f>
        <v>1008047</v>
      </c>
      <c r="G1258" s="147" t="str">
        <f aca="false">IFERROR(VLOOKUP(F1258,$AE$2:$AF$290,2, 0),"")</f>
        <v>الوجه</v>
      </c>
      <c r="H1258" s="212" t="s">
        <v>422</v>
      </c>
      <c r="I1258" s="246" t="n">
        <f aca="false">SUM(K1258:R1258)</f>
        <v>4</v>
      </c>
      <c r="J1258" s="182" t="n">
        <v>45756</v>
      </c>
      <c r="K1258" s="148" t="n">
        <f aca="false">3</f>
        <v>3</v>
      </c>
      <c r="Q1258" s="154" t="n">
        <v>1</v>
      </c>
      <c r="S1258" s="192" t="n">
        <f aca="false">(K1258+O1258+Q1258)*24 /1130+(L1258+M1258+P1258+R1258)*12/1130+(N1258*30)/1130</f>
        <v>0.0849557522123894</v>
      </c>
    </row>
    <row r="1259" customFormat="false" ht="15" hidden="true" customHeight="true" outlineLevel="0" collapsed="false">
      <c r="A1259" s="128" t="n">
        <f aca="false">D1259-299</f>
        <v>0</v>
      </c>
      <c r="B1259" s="127" t="n">
        <f aca="false">B1258+D1259-C1259</f>
        <v>7515.25</v>
      </c>
      <c r="D1259" s="146" t="n">
        <v>299</v>
      </c>
      <c r="E1259" s="147" t="n">
        <v>1000</v>
      </c>
      <c r="F1259" s="147" t="n">
        <f aca="false">IFERROR(VLOOKUP(H1259,$AD$1:$AE$301,2,0),"")</f>
        <v>656</v>
      </c>
      <c r="G1259" s="147" t="str">
        <f aca="false">IFERROR(VLOOKUP(F1259,$AE$2:$AF$290,2, 0),"")</f>
        <v>الوجه</v>
      </c>
      <c r="H1259" s="212" t="s">
        <v>115</v>
      </c>
      <c r="I1259" s="246" t="n">
        <f aca="false">SUM(K1259:R1259)</f>
        <v>1</v>
      </c>
      <c r="J1259" s="182" t="n">
        <v>45756</v>
      </c>
      <c r="K1259" s="148" t="n">
        <v>1</v>
      </c>
      <c r="S1259" s="192" t="n">
        <f aca="false">(K1259+O1259+Q1259)*24 /1130+(L1259+M1259+P1259+R1259)*12/1130+(N1259*30)/1130</f>
        <v>0.0212389380530973</v>
      </c>
    </row>
    <row r="1260" customFormat="false" ht="15" hidden="true" customHeight="true" outlineLevel="0" collapsed="false">
      <c r="A1260" s="128" t="n">
        <f aca="false">477.25-478</f>
        <v>-0.75</v>
      </c>
      <c r="B1260" s="127" t="n">
        <f aca="false">B1259+D1260-C1260</f>
        <v>7992.5</v>
      </c>
      <c r="D1260" s="146" t="n">
        <f aca="false">299+178.25</f>
        <v>477.25</v>
      </c>
      <c r="E1260" s="147" t="n">
        <v>1001</v>
      </c>
      <c r="F1260" s="147" t="n">
        <f aca="false">IFERROR(VLOOKUP(H1260,$AD$1:$AE$301,2,0),"")</f>
        <v>1008267</v>
      </c>
      <c r="G1260" s="147" t="str">
        <f aca="false">IFERROR(VLOOKUP(F1260,$AE$2:$AF$290,2, 0),"")</f>
        <v>الوجه</v>
      </c>
      <c r="H1260" s="212" t="s">
        <v>114</v>
      </c>
      <c r="I1260" s="246" t="n">
        <f aca="false">SUM(K1260:R1260)</f>
        <v>2</v>
      </c>
      <c r="J1260" s="182" t="n">
        <v>45756</v>
      </c>
      <c r="K1260" s="148" t="n">
        <v>1</v>
      </c>
      <c r="L1260" s="149" t="n">
        <v>1</v>
      </c>
      <c r="S1260" s="192" t="n">
        <f aca="false">(K1260+O1260+Q1260)*24 /1130+(L1260+M1260+P1260+R1260)*12/1130+(N1260*30)/1130</f>
        <v>0.031858407079646</v>
      </c>
    </row>
    <row r="1261" customFormat="false" ht="15" hidden="true" customHeight="true" outlineLevel="0" collapsed="false">
      <c r="B1261" s="127" t="n">
        <f aca="false">B1260+D1261-C1261</f>
        <v>9188.5</v>
      </c>
      <c r="D1261" s="146" t="n">
        <f aca="false">299*4</f>
        <v>1196</v>
      </c>
      <c r="E1261" s="147" t="n">
        <v>1002</v>
      </c>
      <c r="F1261" s="147" t="n">
        <f aca="false">IFERROR(VLOOKUP(H1261,$AD$1:$AE$301,2,0),"")</f>
        <v>1008046</v>
      </c>
      <c r="G1261" s="147" t="str">
        <f aca="false">IFERROR(VLOOKUP(F1261,$AE$2:$AF$290,2, 0),"")</f>
        <v>الوجه</v>
      </c>
      <c r="H1261" s="212" t="s">
        <v>108</v>
      </c>
      <c r="I1261" s="246" t="n">
        <f aca="false">SUM(K1261:R1261)</f>
        <v>4</v>
      </c>
      <c r="J1261" s="182" t="n">
        <v>45756</v>
      </c>
      <c r="K1261" s="148" t="n">
        <v>4</v>
      </c>
      <c r="S1261" s="192" t="n">
        <f aca="false">(K1261+O1261+Q1261)*24 /1130+(L1261+M1261+P1261+R1261)*12/1130+(N1261*30)/1130</f>
        <v>0.0849557522123894</v>
      </c>
    </row>
    <row r="1262" customFormat="false" ht="15" hidden="true" customHeight="true" outlineLevel="0" collapsed="false">
      <c r="B1262" s="127" t="n">
        <f aca="false">B1261+D1262-C1262</f>
        <v>9723.25</v>
      </c>
      <c r="D1262" s="146" t="n">
        <f aca="false">138+155.25+241.5</f>
        <v>534.75</v>
      </c>
      <c r="E1262" s="147" t="n">
        <v>1003</v>
      </c>
      <c r="F1262" s="147" t="n">
        <f aca="false">IFERROR(VLOOKUP(H1262,$AD$1:$AE$301,2,0),"")</f>
        <v>1007975</v>
      </c>
      <c r="G1262" s="147" t="str">
        <f aca="false">IFERROR(VLOOKUP(F1262,$AE$2:$AF$290,2, 0),"")</f>
        <v>ضباء</v>
      </c>
      <c r="H1262" s="212" t="s">
        <v>76</v>
      </c>
      <c r="I1262" s="246" t="n">
        <f aca="false">SUM(K1262:R1262)</f>
        <v>3</v>
      </c>
      <c r="J1262" s="182" t="n">
        <v>45756</v>
      </c>
      <c r="Q1262" s="154" t="n">
        <f aca="false">1+1</f>
        <v>2</v>
      </c>
      <c r="R1262" s="155" t="n">
        <v>1</v>
      </c>
      <c r="S1262" s="192" t="n">
        <f aca="false">(K1262+O1262+Q1262)*24 /1130+(L1262+M1262+P1262+R1262)*12/1130+(N1262*30)/1130</f>
        <v>0.0530973451327434</v>
      </c>
    </row>
    <row r="1263" customFormat="false" ht="15" hidden="true" customHeight="true" outlineLevel="0" collapsed="false">
      <c r="B1263" s="127" t="n">
        <f aca="false">B1262+D1263-C1263</f>
        <v>6532</v>
      </c>
      <c r="C1263" s="127" t="n">
        <f aca="false">759+793.5+1104+534.75</f>
        <v>3191.25</v>
      </c>
      <c r="E1263" s="212" t="s">
        <v>470</v>
      </c>
      <c r="F1263" s="147" t="str">
        <f aca="false">IFERROR(VLOOKUP(H1263,$AD$1:$AE$301,2,0),"")</f>
        <v/>
      </c>
      <c r="G1263" s="147" t="str">
        <f aca="false">IFERROR(VLOOKUP(F1263,$AE$2:$AF$290,2, 0),"")</f>
        <v/>
      </c>
      <c r="H1263" s="212" t="s">
        <v>393</v>
      </c>
      <c r="I1263" s="246" t="n">
        <f aca="false">SUM(K1263:R1263)</f>
        <v>0</v>
      </c>
      <c r="J1263" s="182" t="n">
        <v>45756</v>
      </c>
      <c r="S1263" s="192" t="n">
        <f aca="false">(K1263+O1263+Q1263)*24 /1130+(L1263+M1263+P1263+R1263)*12/1130+(N1263*30)/1130</f>
        <v>0</v>
      </c>
    </row>
    <row r="1264" customFormat="false" ht="15" hidden="true" customHeight="true" outlineLevel="0" collapsed="false">
      <c r="B1264" s="127" t="n">
        <f aca="false">B1263+D1264-C1264</f>
        <v>0</v>
      </c>
      <c r="C1264" s="127" t="n">
        <v>6532</v>
      </c>
      <c r="E1264" s="212" t="s">
        <v>653</v>
      </c>
      <c r="F1264" s="147" t="str">
        <f aca="false">IFERROR(VLOOKUP(H1264,$AD$1:$AE$301,2,0),"")</f>
        <v/>
      </c>
      <c r="G1264" s="147" t="str">
        <f aca="false">IFERROR(VLOOKUP(F1264,$AE$2:$AF$290,2, 0),"")</f>
        <v/>
      </c>
      <c r="H1264" s="212" t="s">
        <v>393</v>
      </c>
      <c r="I1264" s="246" t="n">
        <f aca="false">SUM(K1264:R1264)</f>
        <v>0</v>
      </c>
      <c r="J1264" s="182" t="n">
        <v>45756</v>
      </c>
      <c r="S1264" s="192" t="n">
        <f aca="false">(K1264+O1264+Q1264)*24 /1130+(L1264+M1264+P1264+R1264)*12/1130+(N1264*30)/1130</f>
        <v>0</v>
      </c>
    </row>
    <row r="1265" customFormat="false" ht="15" hidden="true" customHeight="true" outlineLevel="0" collapsed="false">
      <c r="A1265" s="128" t="n">
        <f aca="false">D1265-39*5-450-459</f>
        <v>0</v>
      </c>
      <c r="B1265" s="127" t="n">
        <f aca="false">B1264+D1265-C1265</f>
        <v>1104</v>
      </c>
      <c r="D1265" s="146" t="n">
        <f aca="false">345+253+253+253</f>
        <v>1104</v>
      </c>
      <c r="E1265" s="147" t="n">
        <v>1004</v>
      </c>
      <c r="F1265" s="147" t="n">
        <f aca="false">IFERROR(VLOOKUP(H1265,$AD$1:$AE$301,2,0),"")</f>
        <v>943</v>
      </c>
      <c r="G1265" s="147" t="str">
        <f aca="false">IFERROR(VLOOKUP(F1265,$AE$2:$AF$290,2, 0),"")</f>
        <v>تبوك</v>
      </c>
      <c r="H1265" s="212" t="s">
        <v>259</v>
      </c>
      <c r="I1265" s="246" t="n">
        <f aca="false">SUM(K1265:R1265)</f>
        <v>4</v>
      </c>
      <c r="J1265" s="182" t="n">
        <v>45757</v>
      </c>
      <c r="M1265" s="150" t="n">
        <f aca="false">1+1+1+1</f>
        <v>4</v>
      </c>
      <c r="S1265" s="192" t="n">
        <f aca="false">(K1265+O1265+Q1265)*24 /1130+(L1265+M1265+P1265+R1265)*12/1130+(N1265*30)/1130</f>
        <v>0.0424778761061947</v>
      </c>
    </row>
    <row r="1266" customFormat="false" ht="15" hidden="true" customHeight="true" outlineLevel="0" collapsed="false">
      <c r="A1266" s="128" t="n">
        <f aca="false">D1266-2*5-427</f>
        <v>0</v>
      </c>
      <c r="B1266" s="127" t="n">
        <f aca="false">B1265+D1266-C1266</f>
        <v>1541</v>
      </c>
      <c r="D1266" s="146" t="n">
        <f aca="false">299+138</f>
        <v>437</v>
      </c>
      <c r="E1266" s="147" t="n">
        <v>1005</v>
      </c>
      <c r="F1266" s="147" t="n">
        <f aca="false">IFERROR(VLOOKUP(H1266,$AD$1:$AE$301,2,0),"")</f>
        <v>555</v>
      </c>
      <c r="G1266" s="147" t="str">
        <f aca="false">IFERROR(VLOOKUP(F1266,$AE$2:$AF$290,2, 0),"")</f>
        <v>تبوك</v>
      </c>
      <c r="H1266" s="212" t="s">
        <v>260</v>
      </c>
      <c r="I1266" s="246" t="n">
        <f aca="false">SUM(K1266:R1266)</f>
        <v>2</v>
      </c>
      <c r="J1266" s="182" t="n">
        <v>45757</v>
      </c>
      <c r="K1266" s="148" t="n">
        <v>1</v>
      </c>
      <c r="Q1266" s="154" t="n">
        <v>1</v>
      </c>
      <c r="S1266" s="192" t="n">
        <f aca="false">(K1266+O1266+Q1266)*24 /1130+(L1266+M1266+P1266+R1266)*12/1130+(N1266*30)/1130</f>
        <v>0.0424778761061947</v>
      </c>
    </row>
    <row r="1267" customFormat="false" ht="15" hidden="true" customHeight="true" outlineLevel="0" collapsed="false">
      <c r="A1267" s="128" t="n">
        <f aca="false">D1267+2.25-300</f>
        <v>1.25</v>
      </c>
      <c r="B1267" s="127" t="n">
        <f aca="false">B1266+D1267-C1267</f>
        <v>1840</v>
      </c>
      <c r="D1267" s="146" t="n">
        <f aca="false">299</f>
        <v>299</v>
      </c>
      <c r="E1267" s="147" t="n">
        <v>1006</v>
      </c>
      <c r="F1267" s="147" t="n">
        <f aca="false">IFERROR(VLOOKUP(H1267,$AD$1:$AE$301,2,0),"")</f>
        <v>1008275</v>
      </c>
      <c r="G1267" s="147" t="str">
        <f aca="false">IFERROR(VLOOKUP(F1267,$AE$2:$AF$290,2, 0),"")</f>
        <v>تبوك</v>
      </c>
      <c r="H1267" s="212" t="s">
        <v>179</v>
      </c>
      <c r="I1267" s="246" t="n">
        <f aca="false">SUM(K1267:R1267)</f>
        <v>1</v>
      </c>
      <c r="J1267" s="182" t="n">
        <v>45757</v>
      </c>
      <c r="K1267" s="148" t="n">
        <v>1</v>
      </c>
      <c r="S1267" s="192" t="n">
        <f aca="false">(K1267+O1267+Q1267)*24 /1130+(L1267+M1267+P1267+R1267)*12/1130+(N1267*30)/1130</f>
        <v>0.0212389380530973</v>
      </c>
    </row>
    <row r="1268" customFormat="false" ht="15" hidden="true" customHeight="true" outlineLevel="0" collapsed="false">
      <c r="A1268" s="128" t="n">
        <f aca="false">D1268-253</f>
        <v>0</v>
      </c>
      <c r="B1268" s="127" t="n">
        <f aca="false">B1267+D1268-C1268</f>
        <v>2093</v>
      </c>
      <c r="D1268" s="146" t="n">
        <v>253</v>
      </c>
      <c r="E1268" s="147" t="n">
        <v>1007</v>
      </c>
      <c r="F1268" s="147" t="n">
        <f aca="false">IFERROR(VLOOKUP(H1268,$AD$1:$AE$301,2,0),"")</f>
        <v>750</v>
      </c>
      <c r="G1268" s="147" t="str">
        <f aca="false">IFERROR(VLOOKUP(F1268,$AE$2:$AF$290,2, 0),"")</f>
        <v>تبوك</v>
      </c>
      <c r="H1268" s="212" t="s">
        <v>225</v>
      </c>
      <c r="I1268" s="246" t="n">
        <f aca="false">SUM(K1268:R1268)</f>
        <v>1</v>
      </c>
      <c r="J1268" s="182" t="n">
        <v>45757</v>
      </c>
      <c r="M1268" s="415" t="n">
        <v>1</v>
      </c>
      <c r="S1268" s="192" t="n">
        <f aca="false">(K1268+O1268+Q1268)*24 /1130+(L1268+M1268+P1268+R1268)*12/1130+(N1268*30)/1130</f>
        <v>0.0106194690265487</v>
      </c>
    </row>
    <row r="1269" customFormat="false" ht="15" hidden="true" customHeight="true" outlineLevel="0" collapsed="false">
      <c r="B1269" s="127" t="n">
        <f aca="false">B1268+D1269-C1269</f>
        <v>1658</v>
      </c>
      <c r="C1269" s="127" t="n">
        <v>435</v>
      </c>
      <c r="E1269" s="212" t="s">
        <v>657</v>
      </c>
      <c r="F1269" s="147" t="str">
        <f aca="false">IFERROR(VLOOKUP(H1269,$AD$1:$AE$301,2,0),"")</f>
        <v/>
      </c>
      <c r="G1269" s="147" t="str">
        <f aca="false">IFERROR(VLOOKUP(F1269,$AE$2:$AF$290,2, 0),"")</f>
        <v/>
      </c>
      <c r="H1269" s="212" t="s">
        <v>393</v>
      </c>
      <c r="I1269" s="246" t="n">
        <f aca="false">SUM(K1269:R1269)</f>
        <v>0</v>
      </c>
      <c r="J1269" s="182" t="n">
        <v>45757</v>
      </c>
      <c r="S1269" s="192" t="n">
        <f aca="false">(K1269+O1269+Q1269)*24 /1130+(L1269+M1269+P1269+R1269)*12/1130+(N1269*30)/1130</f>
        <v>0</v>
      </c>
    </row>
    <row r="1270" customFormat="false" ht="15" hidden="true" customHeight="true" outlineLevel="0" collapsed="false">
      <c r="A1270" s="411" t="n">
        <f aca="false">SUM(A1240:A1269)</f>
        <v>0.5</v>
      </c>
      <c r="B1270" s="127" t="n">
        <f aca="false">B1269+D1270-C1270</f>
        <v>0</v>
      </c>
      <c r="C1270" s="127" t="n">
        <f aca="false">761+299+598</f>
        <v>1658</v>
      </c>
      <c r="E1270" s="212" t="s">
        <v>470</v>
      </c>
      <c r="F1270" s="147" t="str">
        <f aca="false">IFERROR(VLOOKUP(H1270,$AD$1:$AE$301,2,0),"")</f>
        <v/>
      </c>
      <c r="G1270" s="147" t="str">
        <f aca="false">IFERROR(VLOOKUP(F1270,$AE$2:$AF$290,2, 0),"")</f>
        <v/>
      </c>
      <c r="H1270" s="212" t="s">
        <v>393</v>
      </c>
      <c r="I1270" s="246" t="n">
        <f aca="false">SUM(K1270:R1270)</f>
        <v>0</v>
      </c>
      <c r="J1270" s="182" t="n">
        <v>45757</v>
      </c>
      <c r="S1270" s="192" t="n">
        <f aca="false">(K1270+O1270+Q1270)*24 /1130+(L1270+M1270+P1270+R1270)*12/1130+(N1270*30)/1130</f>
        <v>0</v>
      </c>
    </row>
    <row r="1271" customFormat="false" ht="15" hidden="true" customHeight="true" outlineLevel="0" collapsed="false">
      <c r="A1271" s="128" t="n">
        <f aca="false">D1271-178.5</f>
        <v>-0.25</v>
      </c>
      <c r="B1271" s="127" t="n">
        <f aca="false">B1270+D1271-C1271</f>
        <v>178.25</v>
      </c>
      <c r="D1271" s="146" t="n">
        <v>178.25</v>
      </c>
      <c r="E1271" s="147" t="n">
        <v>1008</v>
      </c>
      <c r="F1271" s="147" t="n">
        <f aca="false">IFERROR(VLOOKUP(H1271,$AD$1:$AE$301,2,0),"")</f>
        <v>755</v>
      </c>
      <c r="G1271" s="147" t="str">
        <f aca="false">IFERROR(VLOOKUP(F1271,$AE$2:$AF$290,2, 0),"")</f>
        <v>تبوك</v>
      </c>
      <c r="H1271" s="212" t="s">
        <v>180</v>
      </c>
      <c r="I1271" s="246" t="n">
        <f aca="false">SUM(K1271:R1271)</f>
        <v>1</v>
      </c>
      <c r="J1271" s="182" t="n">
        <v>45760</v>
      </c>
      <c r="L1271" s="149" t="n">
        <v>1</v>
      </c>
      <c r="S1271" s="192" t="n">
        <f aca="false">(K1271+O1271+Q1271)*24 /1130+(L1271+M1271+P1271+R1271)*12/1130+(N1271*30)/1130</f>
        <v>0.0106194690265487</v>
      </c>
    </row>
    <row r="1272" customFormat="false" ht="15" hidden="true" customHeight="true" outlineLevel="0" collapsed="false">
      <c r="A1272" s="128" t="n">
        <f aca="false">D1272+299-598-299</f>
        <v>0</v>
      </c>
      <c r="B1272" s="127" t="n">
        <f aca="false">B1271+D1272-C1272</f>
        <v>776.25</v>
      </c>
      <c r="D1272" s="146" t="n">
        <v>598</v>
      </c>
      <c r="E1272" s="147" t="n">
        <v>1009</v>
      </c>
      <c r="F1272" s="147" t="n">
        <f aca="false">IFERROR(VLOOKUP(H1272,$AD$1:$AE$301,2,0),"")</f>
        <v>1008266</v>
      </c>
      <c r="G1272" s="147" t="str">
        <f aca="false">IFERROR(VLOOKUP(F1272,$AE$2:$AF$290,2, 0),"")</f>
        <v>تبوك</v>
      </c>
      <c r="H1272" s="212" t="s">
        <v>178</v>
      </c>
      <c r="I1272" s="246" t="n">
        <f aca="false">SUM(K1272:R1272)</f>
        <v>2</v>
      </c>
      <c r="J1272" s="182" t="n">
        <v>45760</v>
      </c>
      <c r="K1272" s="148" t="n">
        <v>2</v>
      </c>
      <c r="S1272" s="192" t="n">
        <f aca="false">(K1272+O1272+Q1272)*24 /1130+(L1272+M1272+P1272+R1272)*12/1130+(N1272*30)/1130</f>
        <v>0.0424778761061947</v>
      </c>
    </row>
    <row r="1273" customFormat="false" ht="15" hidden="true" customHeight="true" outlineLevel="0" collapsed="false">
      <c r="A1273" s="128" t="n">
        <f aca="false">D1273-100-100-100</f>
        <v>-1</v>
      </c>
      <c r="B1273" s="127" t="n">
        <f aca="false">B1272+D1273-C1273</f>
        <v>1075.25</v>
      </c>
      <c r="D1273" s="146" t="n">
        <v>299</v>
      </c>
      <c r="E1273" s="147" t="n">
        <v>1010</v>
      </c>
      <c r="F1273" s="147" t="n">
        <f aca="false">IFERROR(VLOOKUP(H1273,$AD$1:$AE$301,2,0),"")</f>
        <v>622</v>
      </c>
      <c r="G1273" s="147" t="str">
        <f aca="false">IFERROR(VLOOKUP(F1273,$AE$2:$AF$290,2, 0),"")</f>
        <v>تبوك</v>
      </c>
      <c r="H1273" s="212" t="s">
        <v>177</v>
      </c>
      <c r="I1273" s="246" t="n">
        <f aca="false">SUM(K1273:R1273)</f>
        <v>1</v>
      </c>
      <c r="J1273" s="182" t="n">
        <v>45760</v>
      </c>
      <c r="K1273" s="148" t="n">
        <v>1</v>
      </c>
      <c r="S1273" s="192" t="n">
        <f aca="false">(K1273+O1273+Q1273)*24 /1130+(L1273+M1273+P1273+R1273)*12/1130+(N1273*30)/1130</f>
        <v>0.0212389380530973</v>
      </c>
    </row>
    <row r="1274" customFormat="false" ht="15" hidden="true" customHeight="true" outlineLevel="0" collapsed="false">
      <c r="B1274" s="127" t="n">
        <f aca="false">B1273+D1274-C1274</f>
        <v>1374.25</v>
      </c>
      <c r="D1274" s="146" t="n">
        <v>299</v>
      </c>
      <c r="E1274" s="147" t="n">
        <v>1011</v>
      </c>
      <c r="F1274" s="147" t="n">
        <f aca="false">IFERROR(VLOOKUP(H1274,$AD$1:$AE$301,2,0),"")</f>
        <v>622</v>
      </c>
      <c r="G1274" s="147" t="str">
        <f aca="false">IFERROR(VLOOKUP(F1274,$AE$2:$AF$290,2, 0),"")</f>
        <v>تبوك</v>
      </c>
      <c r="H1274" s="212" t="s">
        <v>177</v>
      </c>
      <c r="I1274" s="246" t="n">
        <f aca="false">SUM(K1274:R1274)</f>
        <v>1</v>
      </c>
      <c r="J1274" s="182" t="n">
        <v>45760</v>
      </c>
      <c r="K1274" s="148" t="n">
        <v>1</v>
      </c>
      <c r="S1274" s="192" t="n">
        <f aca="false">(K1274+O1274+Q1274)*24 /1130+(L1274+M1274+P1274+R1274)*12/1130+(N1274*30)/1130</f>
        <v>0.0212389380530973</v>
      </c>
    </row>
    <row r="1275" customFormat="false" ht="15" hidden="true" customHeight="true" outlineLevel="0" collapsed="false">
      <c r="B1275" s="127" t="n">
        <f aca="false">B1274+D1275-C1275</f>
        <v>1673.25</v>
      </c>
      <c r="D1275" s="146" t="n">
        <v>299</v>
      </c>
      <c r="E1275" s="147" t="n">
        <v>1013</v>
      </c>
      <c r="F1275" s="147" t="n">
        <f aca="false">IFERROR(VLOOKUP(H1275,$AD$1:$AE$301,2,0),"")</f>
        <v>759</v>
      </c>
      <c r="G1275" s="147" t="str">
        <f aca="false">IFERROR(VLOOKUP(F1275,$AE$2:$AF$290,2, 0),"")</f>
        <v>تبوك</v>
      </c>
      <c r="H1275" s="212" t="s">
        <v>227</v>
      </c>
      <c r="I1275" s="246" t="n">
        <f aca="false">SUM(K1275:R1275)</f>
        <v>1</v>
      </c>
      <c r="J1275" s="182" t="n">
        <v>45760</v>
      </c>
      <c r="N1275" s="151" t="n">
        <v>1</v>
      </c>
      <c r="S1275" s="192" t="n">
        <f aca="false">(K1275+O1275+Q1275)*24 /1130+(L1275+M1275+P1275+R1275)*12/1130+(N1275*30)/1130</f>
        <v>0.0265486725663717</v>
      </c>
    </row>
    <row r="1276" customFormat="false" ht="15" hidden="true" customHeight="true" outlineLevel="0" collapsed="false">
      <c r="A1276" s="128" t="n">
        <f aca="false">D1276-155</f>
        <v>0.25</v>
      </c>
      <c r="B1276" s="127" t="n">
        <f aca="false">B1275+D1276-C1276</f>
        <v>1828.5</v>
      </c>
      <c r="D1276" s="146" t="n">
        <v>155.25</v>
      </c>
      <c r="E1276" s="147" t="n">
        <v>1014</v>
      </c>
      <c r="F1276" s="147" t="n">
        <f aca="false">IFERROR(VLOOKUP(H1276,$AD$1:$AE$301,2,0),"")</f>
        <v>635</v>
      </c>
      <c r="G1276" s="147" t="str">
        <f aca="false">IFERROR(VLOOKUP(F1276,$AE$2:$AF$290,2, 0),"")</f>
        <v>تبوك</v>
      </c>
      <c r="H1276" s="212" t="s">
        <v>157</v>
      </c>
      <c r="I1276" s="246" t="n">
        <f aca="false">SUM(K1276:R1276)</f>
        <v>1</v>
      </c>
      <c r="J1276" s="182" t="n">
        <v>45760</v>
      </c>
      <c r="R1276" s="155" t="n">
        <v>1</v>
      </c>
      <c r="S1276" s="192" t="n">
        <f aca="false">(K1276+O1276+Q1276)*24 /1130+(L1276+M1276+P1276+R1276)*12/1130+(N1276*30)/1130</f>
        <v>0.0106194690265487</v>
      </c>
    </row>
    <row r="1277" customFormat="false" ht="15" hidden="true" customHeight="true" outlineLevel="0" collapsed="false">
      <c r="B1277" s="127" t="n">
        <f aca="false">B1276+D1277-C1277</f>
        <v>1983.75</v>
      </c>
      <c r="D1277" s="146" t="n">
        <v>155.25</v>
      </c>
      <c r="E1277" s="147" t="n">
        <v>1012</v>
      </c>
      <c r="F1277" s="147" t="n">
        <f aca="false">IFERROR(VLOOKUP(H1277,$AD$1:$AE$301,2,0),"")</f>
        <v>652</v>
      </c>
      <c r="G1277" s="147" t="str">
        <f aca="false">IFERROR(VLOOKUP(F1277,$AE$2:$AF$290,2, 0),"")</f>
        <v>تبوك</v>
      </c>
      <c r="H1277" s="212" t="s">
        <v>263</v>
      </c>
      <c r="I1277" s="246" t="n">
        <f aca="false">SUM(K1277:R1277)</f>
        <v>1</v>
      </c>
      <c r="J1277" s="182" t="n">
        <v>45760</v>
      </c>
      <c r="R1277" s="155" t="n">
        <v>1</v>
      </c>
      <c r="S1277" s="192" t="n">
        <f aca="false">(K1277+O1277+Q1277)*24 /1130+(L1277+M1277+P1277+R1277)*12/1130+(N1277*30)/1130</f>
        <v>0.0106194690265487</v>
      </c>
    </row>
    <row r="1278" customFormat="false" ht="15" hidden="true" customHeight="true" outlineLevel="0" collapsed="false">
      <c r="B1278" s="127" t="n">
        <f aca="false">B1277+D1278-C1278</f>
        <v>2282.75</v>
      </c>
      <c r="D1278" s="146" t="n">
        <v>299</v>
      </c>
      <c r="E1278" s="147" t="n">
        <v>1015</v>
      </c>
      <c r="F1278" s="147" t="n">
        <f aca="false">IFERROR(VLOOKUP(H1278,$AD$1:$AE$301,2,0),"")</f>
        <v>1008276</v>
      </c>
      <c r="G1278" s="147" t="str">
        <f aca="false">IFERROR(VLOOKUP(F1278,$AE$2:$AF$290,2, 0),"")</f>
        <v>تبوك</v>
      </c>
      <c r="H1278" s="212" t="s">
        <v>145</v>
      </c>
      <c r="I1278" s="246" t="n">
        <f aca="false">SUM(K1278:R1278)</f>
        <v>1</v>
      </c>
      <c r="J1278" s="182" t="n">
        <v>45754</v>
      </c>
      <c r="K1278" s="148" t="n">
        <v>1</v>
      </c>
      <c r="S1278" s="192" t="n">
        <f aca="false">(K1278+O1278+Q1278)*24 /1130+(L1278+M1278+P1278+R1278)*12/1130+(N1278*30)/1130</f>
        <v>0.0212389380530973</v>
      </c>
    </row>
    <row r="1279" customFormat="false" ht="15" hidden="true" customHeight="true" outlineLevel="0" collapsed="false">
      <c r="B1279" s="127" t="n">
        <f aca="false">B1278+D1279-C1279</f>
        <v>1488.75</v>
      </c>
      <c r="C1279" s="127" t="n">
        <f aca="false">598+196</f>
        <v>794</v>
      </c>
      <c r="E1279" s="212" t="s">
        <v>470</v>
      </c>
      <c r="F1279" s="147" t="str">
        <f aca="false">IFERROR(VLOOKUP(H1279,$AD$1:$AE$301,2,0),"")</f>
        <v/>
      </c>
      <c r="G1279" s="147" t="str">
        <f aca="false">IFERROR(VLOOKUP(F1279,$AE$2:$AF$290,2, 0),"")</f>
        <v/>
      </c>
      <c r="H1279" s="212" t="s">
        <v>393</v>
      </c>
      <c r="I1279" s="246" t="n">
        <f aca="false">SUM(K1279:R1279)</f>
        <v>0</v>
      </c>
      <c r="J1279" s="182" t="n">
        <v>45760</v>
      </c>
      <c r="S1279" s="192" t="n">
        <f aca="false">(K1279+O1279+Q1279)*24 /1130+(L1279+M1279+P1279+R1279)*12/1130+(N1279*30)/1130</f>
        <v>0</v>
      </c>
    </row>
    <row r="1280" customFormat="false" ht="15" hidden="true" customHeight="true" outlineLevel="0" collapsed="false">
      <c r="B1280" s="127" t="n">
        <f aca="false">B1279+D1280-C1280</f>
        <v>0.75</v>
      </c>
      <c r="C1280" s="127" t="n">
        <v>1488</v>
      </c>
      <c r="E1280" s="212" t="s">
        <v>653</v>
      </c>
      <c r="F1280" s="147" t="str">
        <f aca="false">IFERROR(VLOOKUP(H1280,$AD$1:$AE$301,2,0),"")</f>
        <v/>
      </c>
      <c r="G1280" s="147" t="str">
        <f aca="false">IFERROR(VLOOKUP(F1280,$AE$2:$AF$290,2, 0),"")</f>
        <v/>
      </c>
      <c r="H1280" s="212" t="s">
        <v>393</v>
      </c>
      <c r="I1280" s="246" t="n">
        <f aca="false">SUM(K1280:R1280)</f>
        <v>0</v>
      </c>
      <c r="J1280" s="182" t="n">
        <v>45761</v>
      </c>
      <c r="S1280" s="192" t="n">
        <f aca="false">(K1280+O1280+Q1280)*24 /1130+(L1280+M1280+P1280+R1280)*12/1130+(N1280*30)/1130</f>
        <v>0</v>
      </c>
    </row>
    <row r="1281" customFormat="false" ht="15" hidden="true" customHeight="true" outlineLevel="0" collapsed="false">
      <c r="A1281" s="128" t="n">
        <f aca="false">D1281-298-300</f>
        <v>0</v>
      </c>
      <c r="B1281" s="127" t="n">
        <f aca="false">B1280+D1281-C1281</f>
        <v>598.75</v>
      </c>
      <c r="D1281" s="146" t="n">
        <f aca="false">299*2</f>
        <v>598</v>
      </c>
      <c r="E1281" s="147" t="n">
        <v>1016</v>
      </c>
      <c r="F1281" s="147" t="n">
        <f aca="false">IFERROR(VLOOKUP(H1281,$AD$1:$AE$301,2,0),"")</f>
        <v>1007999</v>
      </c>
      <c r="G1281" s="147" t="str">
        <f aca="false">IFERROR(VLOOKUP(F1281,$AE$2:$AF$290,2, 0),"")</f>
        <v>حقل</v>
      </c>
      <c r="H1281" s="212" t="s">
        <v>312</v>
      </c>
      <c r="I1281" s="246" t="n">
        <f aca="false">SUM(K1281:R1281)</f>
        <v>2</v>
      </c>
      <c r="J1281" s="182" t="n">
        <v>45761</v>
      </c>
      <c r="K1281" s="148" t="n">
        <f aca="false">1+1</f>
        <v>2</v>
      </c>
      <c r="S1281" s="192" t="n">
        <f aca="false">(K1281+O1281+Q1281)*24 /1130+(L1281+M1281+P1281+R1281)*12/1130+(N1281*30)/1130</f>
        <v>0.0424778761061947</v>
      </c>
    </row>
    <row r="1282" customFormat="false" ht="15" hidden="true" customHeight="true" outlineLevel="0" collapsed="false">
      <c r="B1282" s="127" t="n">
        <f aca="false">B1281+D1282-C1282</f>
        <v>736.75</v>
      </c>
      <c r="D1282" s="146" t="n">
        <v>138</v>
      </c>
      <c r="E1282" s="147" t="n">
        <v>1017</v>
      </c>
      <c r="F1282" s="147" t="n">
        <f aca="false">IFERROR(VLOOKUP(H1282,$AD$1:$AE$301,2,0),"")</f>
        <v>1007969</v>
      </c>
      <c r="G1282" s="147" t="str">
        <f aca="false">IFERROR(VLOOKUP(F1282,$AE$2:$AF$290,2, 0),"")</f>
        <v>حقل</v>
      </c>
      <c r="H1282" s="212" t="s">
        <v>309</v>
      </c>
      <c r="I1282" s="246" t="n">
        <f aca="false">SUM(K1282:R1282)</f>
        <v>1</v>
      </c>
      <c r="J1282" s="182" t="n">
        <v>45761</v>
      </c>
      <c r="Q1282" s="154" t="n">
        <v>1</v>
      </c>
      <c r="S1282" s="192" t="n">
        <f aca="false">(K1282+O1282+Q1282)*24 /1130+(L1282+M1282+P1282+R1282)*12/1130+(N1282*30)/1130</f>
        <v>0.0212389380530973</v>
      </c>
    </row>
    <row r="1283" customFormat="false" ht="15" hidden="true" customHeight="true" outlineLevel="0" collapsed="false">
      <c r="B1283" s="127" t="n">
        <f aca="false">B1282+D1283-C1283</f>
        <v>978.25</v>
      </c>
      <c r="D1283" s="146" t="n">
        <v>241.5</v>
      </c>
      <c r="E1283" s="147" t="n">
        <v>1018</v>
      </c>
      <c r="F1283" s="147" t="n">
        <f aca="false">IFERROR(VLOOKUP(H1283,$AD$1:$AE$301,2,0),"")</f>
        <v>1008009</v>
      </c>
      <c r="G1283" s="147" t="str">
        <f aca="false">IFERROR(VLOOKUP(F1283,$AE$2:$AF$290,2, 0),"")</f>
        <v>حقل</v>
      </c>
      <c r="H1283" s="212" t="s">
        <v>305</v>
      </c>
      <c r="I1283" s="246" t="n">
        <f aca="false">SUM(K1283:R1283)</f>
        <v>1</v>
      </c>
      <c r="J1283" s="182" t="n">
        <v>45761</v>
      </c>
      <c r="O1283" s="152" t="n">
        <v>1</v>
      </c>
      <c r="S1283" s="192" t="n">
        <f aca="false">(K1283+O1283+Q1283)*24 /1130+(L1283+M1283+P1283+R1283)*12/1130+(N1283*30)/1130</f>
        <v>0.0212389380530973</v>
      </c>
    </row>
    <row r="1284" customFormat="false" ht="15" hidden="true" customHeight="true" outlineLevel="0" collapsed="false">
      <c r="B1284" s="127" t="n">
        <f aca="false">B1283+D1284-C1284</f>
        <v>2622.75</v>
      </c>
      <c r="D1284" s="146" t="n">
        <f aca="false">299+287.5*3+241.5*2</f>
        <v>1644.5</v>
      </c>
      <c r="E1284" s="147" t="n">
        <v>1019</v>
      </c>
      <c r="F1284" s="147" t="n">
        <f aca="false">IFERROR(VLOOKUP(H1284,$AD$1:$AE$301,2,0),"")</f>
        <v>786</v>
      </c>
      <c r="G1284" s="147" t="str">
        <f aca="false">IFERROR(VLOOKUP(F1284,$AE$2:$AF$290,2, 0),"")</f>
        <v>البدع</v>
      </c>
      <c r="H1284" s="212" t="s">
        <v>319</v>
      </c>
      <c r="I1284" s="246" t="n">
        <f aca="false">SUM(K1284:R1284)</f>
        <v>6</v>
      </c>
      <c r="J1284" s="182" t="n">
        <v>45761</v>
      </c>
      <c r="K1284" s="148" t="n">
        <v>1</v>
      </c>
      <c r="N1284" s="151" t="n">
        <v>3</v>
      </c>
      <c r="O1284" s="152" t="n">
        <f aca="false">1+1</f>
        <v>2</v>
      </c>
      <c r="S1284" s="192" t="n">
        <f aca="false">(K1284+O1284+Q1284)*24 /1130+(L1284+M1284+P1284+R1284)*12/1130+(N1284*30)/1130</f>
        <v>0.143362831858407</v>
      </c>
    </row>
    <row r="1285" customFormat="false" ht="15" hidden="true" customHeight="true" outlineLevel="0" collapsed="false">
      <c r="A1285" s="128" t="n">
        <f aca="false">D1285+282.5-1000-5</f>
        <v>2</v>
      </c>
      <c r="B1285" s="127" t="n">
        <f aca="false">B1284+D1285-C1285</f>
        <v>3347.25</v>
      </c>
      <c r="D1285" s="146" t="n">
        <f aca="false">241.5*3</f>
        <v>724.5</v>
      </c>
      <c r="E1285" s="147" t="n">
        <v>1020</v>
      </c>
      <c r="F1285" s="147" t="n">
        <f aca="false">IFERROR(VLOOKUP(H1285,$AD$1:$AE$301,2,0),"")</f>
        <v>1008019</v>
      </c>
      <c r="G1285" s="147" t="str">
        <f aca="false">IFERROR(VLOOKUP(F1285,$AE$2:$AF$290,2, 0),"")</f>
        <v>البدع</v>
      </c>
      <c r="H1285" s="212" t="s">
        <v>327</v>
      </c>
      <c r="I1285" s="246" t="n">
        <f aca="false">SUM(K1285:R1285)</f>
        <v>3</v>
      </c>
      <c r="J1285" s="182" t="n">
        <v>45761</v>
      </c>
      <c r="O1285" s="152" t="n">
        <v>3</v>
      </c>
      <c r="S1285" s="192" t="n">
        <f aca="false">(K1285+O1285+Q1285)*24 /1130+(L1285+M1285+P1285+R1285)*12/1130+(N1285*30)/1130</f>
        <v>0.063716814159292</v>
      </c>
    </row>
    <row r="1286" customFormat="false" ht="15" hidden="true" customHeight="true" outlineLevel="0" collapsed="false">
      <c r="A1286" s="128" t="n">
        <f aca="false">D1286-200-99</f>
        <v>0</v>
      </c>
      <c r="B1286" s="127" t="n">
        <f aca="false">B1285+D1286-C1286</f>
        <v>3646.25</v>
      </c>
      <c r="D1286" s="146" t="n">
        <v>299</v>
      </c>
      <c r="E1286" s="147" t="n">
        <v>1021</v>
      </c>
      <c r="F1286" s="147" t="n">
        <f aca="false">IFERROR(VLOOKUP(H1286,$AD$1:$AE$301,2,0),"")</f>
        <v>1006522</v>
      </c>
      <c r="G1286" s="147" t="str">
        <f aca="false">IFERROR(VLOOKUP(F1286,$AE$2:$AF$290,2, 0),"")</f>
        <v>البدع</v>
      </c>
      <c r="H1286" s="212" t="s">
        <v>317</v>
      </c>
      <c r="I1286" s="246" t="n">
        <f aca="false">SUM(K1286:R1286)</f>
        <v>1</v>
      </c>
      <c r="J1286" s="182" t="n">
        <v>45761</v>
      </c>
      <c r="K1286" s="148" t="n">
        <v>1</v>
      </c>
      <c r="S1286" s="192" t="n">
        <f aca="false">(K1286+O1286+Q1286)*24 /1130+(L1286+M1286+P1286+R1286)*12/1130+(N1286*30)/1130</f>
        <v>0.0212389380530973</v>
      </c>
    </row>
    <row r="1287" customFormat="false" ht="15" hidden="true" customHeight="true" outlineLevel="0" collapsed="false">
      <c r="B1287" s="127" t="n">
        <f aca="false">B1286+D1287-C1287</f>
        <v>3945.25</v>
      </c>
      <c r="D1287" s="146" t="n">
        <v>299</v>
      </c>
      <c r="E1287" s="147" t="n">
        <v>1022</v>
      </c>
      <c r="F1287" s="147" t="n">
        <f aca="false">IFERROR(VLOOKUP(H1287,$AD$1:$AE$301,2,0),"")</f>
        <v>1008040</v>
      </c>
      <c r="G1287" s="147" t="str">
        <f aca="false">IFERROR(VLOOKUP(F1287,$AE$2:$AF$290,2, 0),"")</f>
        <v>البير</v>
      </c>
      <c r="H1287" s="212" t="s">
        <v>292</v>
      </c>
      <c r="I1287" s="246" t="n">
        <f aca="false">SUM(K1287:R1287)</f>
        <v>1</v>
      </c>
      <c r="J1287" s="182" t="n">
        <v>45761</v>
      </c>
      <c r="K1287" s="148" t="n">
        <v>1</v>
      </c>
      <c r="S1287" s="192" t="n">
        <f aca="false">(K1287+O1287+Q1287)*24 /1130+(L1287+M1287+P1287+R1287)*12/1130+(N1287*30)/1130</f>
        <v>0.0212389380530973</v>
      </c>
    </row>
    <row r="1288" customFormat="false" ht="15" hidden="true" customHeight="true" outlineLevel="0" collapsed="false">
      <c r="A1288" s="128" t="n">
        <f aca="false">D1288+249-535-300</f>
        <v>0.5</v>
      </c>
      <c r="B1288" s="127" t="n">
        <f aca="false">B1287+D1288-C1288</f>
        <v>4531.75</v>
      </c>
      <c r="D1288" s="146" t="n">
        <f aca="false">287.5+299</f>
        <v>586.5</v>
      </c>
      <c r="E1288" s="147" t="n">
        <v>1023</v>
      </c>
      <c r="F1288" s="147" t="n">
        <f aca="false">IFERROR(VLOOKUP(H1288,$AD$1:$AE$301,2,0),"")</f>
        <v>1007965</v>
      </c>
      <c r="G1288" s="147" t="str">
        <f aca="false">IFERROR(VLOOKUP(F1288,$AE$2:$AF$290,2, 0),"")</f>
        <v>البير</v>
      </c>
      <c r="H1288" s="212" t="s">
        <v>290</v>
      </c>
      <c r="I1288" s="246" t="n">
        <f aca="false">SUM(K1288:R1288)</f>
        <v>2</v>
      </c>
      <c r="J1288" s="182" t="n">
        <v>45761</v>
      </c>
      <c r="K1288" s="148" t="n">
        <v>1</v>
      </c>
      <c r="N1288" s="151" t="n">
        <v>1</v>
      </c>
      <c r="S1288" s="192" t="n">
        <f aca="false">(K1288+O1288+Q1288)*24 /1130+(L1288+M1288+P1288+R1288)*12/1130+(N1288*30)/1130</f>
        <v>0.047787610619469</v>
      </c>
    </row>
    <row r="1289" customFormat="false" ht="15" hidden="true" customHeight="true" outlineLevel="0" collapsed="false">
      <c r="B1289" s="127" t="n">
        <f aca="false">B1288+D1289-C1289</f>
        <v>4773.25</v>
      </c>
      <c r="D1289" s="146" t="n">
        <v>241.5</v>
      </c>
      <c r="E1289" s="147" t="n">
        <v>1024</v>
      </c>
      <c r="F1289" s="147" t="n">
        <f aca="false">IFERROR(VLOOKUP(H1289,$AD$1:$AE$301,2,0),"")</f>
        <v>1007996</v>
      </c>
      <c r="G1289" s="147" t="str">
        <f aca="false">IFERROR(VLOOKUP(F1289,$AE$2:$AF$290,2, 0),"")</f>
        <v>البير</v>
      </c>
      <c r="H1289" s="212" t="s">
        <v>295</v>
      </c>
      <c r="I1289" s="246" t="n">
        <f aca="false">SUM(K1289:R1289)</f>
        <v>1</v>
      </c>
      <c r="J1289" s="182" t="n">
        <v>45761</v>
      </c>
      <c r="Q1289" s="154" t="n">
        <v>1</v>
      </c>
      <c r="S1289" s="192" t="n">
        <f aca="false">(K1289+O1289+Q1289)*24 /1130+(L1289+M1289+P1289+R1289)*12/1130+(N1289*30)/1130</f>
        <v>0.0212389380530973</v>
      </c>
    </row>
    <row r="1290" customFormat="false" ht="15" hidden="true" customHeight="true" outlineLevel="0" collapsed="false">
      <c r="A1290" s="128" t="n">
        <f aca="false">D1290+500-5*10-150-500+20-4-500</f>
        <v>0.25</v>
      </c>
      <c r="B1290" s="127" t="n">
        <f aca="false">B1289+D1290-C1290</f>
        <v>5457.5</v>
      </c>
      <c r="D1290" s="146" t="n">
        <f aca="false">299+230+155.25</f>
        <v>684.25</v>
      </c>
      <c r="E1290" s="147" t="n">
        <v>1025</v>
      </c>
      <c r="F1290" s="147" t="n">
        <f aca="false">IFERROR(VLOOKUP(H1290,$AD$1:$AE$301,2,0),"")</f>
        <v>1008030</v>
      </c>
      <c r="G1290" s="147" t="str">
        <f aca="false">IFERROR(VLOOKUP(F1290,$AE$2:$AF$290,2, 0),"")</f>
        <v>البير</v>
      </c>
      <c r="H1290" s="212" t="s">
        <v>298</v>
      </c>
      <c r="I1290" s="246" t="n">
        <f aca="false">SUM(K1290:R1290)</f>
        <v>3</v>
      </c>
      <c r="J1290" s="182" t="n">
        <v>45761</v>
      </c>
      <c r="K1290" s="148" t="n">
        <v>1</v>
      </c>
      <c r="M1290" s="150" t="n">
        <v>1</v>
      </c>
      <c r="R1290" s="155" t="n">
        <v>1</v>
      </c>
      <c r="S1290" s="192" t="n">
        <f aca="false">(K1290+O1290+Q1290)*24 /1130+(L1290+M1290+P1290+R1290)*12/1130+(N1290*30)/1130</f>
        <v>0.0424778761061947</v>
      </c>
    </row>
    <row r="1291" customFormat="false" ht="15" hidden="true" customHeight="true" outlineLevel="0" collapsed="false">
      <c r="A1291" s="128" t="n">
        <f aca="false">D1291-684</f>
        <v>0.25</v>
      </c>
      <c r="B1291" s="127" t="n">
        <f aca="false">B1290+D1291-C1291</f>
        <v>6141.75</v>
      </c>
      <c r="D1291" s="146" t="n">
        <f aca="false">299+155.25+230</f>
        <v>684.25</v>
      </c>
      <c r="E1291" s="147" t="n">
        <v>1026</v>
      </c>
      <c r="F1291" s="147" t="n">
        <f aca="false">IFERROR(VLOOKUP(H1291,$AD$1:$AE$301,2,0),"")</f>
        <v>562</v>
      </c>
      <c r="G1291" s="147" t="str">
        <f aca="false">IFERROR(VLOOKUP(F1291,$AE$2:$AF$290,2, 0),"")</f>
        <v>تبوك</v>
      </c>
      <c r="H1291" s="212" t="s">
        <v>234</v>
      </c>
      <c r="I1291" s="246" t="n">
        <f aca="false">SUM(K1291:R1291)</f>
        <v>3</v>
      </c>
      <c r="J1291" s="182" t="n">
        <v>45761</v>
      </c>
      <c r="K1291" s="148" t="n">
        <v>1</v>
      </c>
      <c r="M1291" s="150" t="n">
        <v>1</v>
      </c>
      <c r="R1291" s="155" t="n">
        <v>1</v>
      </c>
      <c r="S1291" s="192" t="n">
        <f aca="false">(K1291+O1291+Q1291)*24 /1130+(L1291+M1291+P1291+R1291)*12/1130+(N1291*30)/1130</f>
        <v>0.0424778761061947</v>
      </c>
    </row>
    <row r="1292" customFormat="false" ht="15" hidden="true" customHeight="true" outlineLevel="0" collapsed="false">
      <c r="A1292" s="128" t="n">
        <f aca="false">D1292-600-33*5-4*2-450-1.75</f>
        <v>0</v>
      </c>
      <c r="B1292" s="127" t="n">
        <f aca="false">B1291+D1292-C1292</f>
        <v>7366.5</v>
      </c>
      <c r="D1292" s="146" t="n">
        <f aca="false">299*2+230+155.25+241.5</f>
        <v>1224.75</v>
      </c>
      <c r="E1292" s="147" t="n">
        <v>1027</v>
      </c>
      <c r="F1292" s="147" t="n">
        <f aca="false">IFERROR(VLOOKUP(H1292,$AD$1:$AE$301,2,0),"")</f>
        <v>1002861</v>
      </c>
      <c r="G1292" s="147" t="str">
        <f aca="false">IFERROR(VLOOKUP(F1292,$AE$2:$AF$290,2, 0),"")</f>
        <v>تبوك</v>
      </c>
      <c r="H1292" s="212" t="s">
        <v>275</v>
      </c>
      <c r="I1292" s="246" t="n">
        <f aca="false">SUM(K1292:R1292)</f>
        <v>5</v>
      </c>
      <c r="J1292" s="182" t="n">
        <v>45761</v>
      </c>
      <c r="K1292" s="148" t="n">
        <f aca="false">1+1</f>
        <v>2</v>
      </c>
      <c r="M1292" s="150" t="n">
        <v>1</v>
      </c>
      <c r="O1292" s="152" t="n">
        <v>1</v>
      </c>
      <c r="R1292" s="155" t="n">
        <v>1</v>
      </c>
      <c r="S1292" s="192" t="n">
        <f aca="false">(K1292+O1292+Q1292)*24 /1130+(L1292+M1292+P1292+R1292)*12/1130+(N1292*30)/1130</f>
        <v>0.0849557522123894</v>
      </c>
    </row>
    <row r="1293" customFormat="false" ht="15" hidden="true" customHeight="true" outlineLevel="0" collapsed="false">
      <c r="A1293" s="128" t="n">
        <f aca="false">D1293-175</f>
        <v>3.25</v>
      </c>
      <c r="B1293" s="127" t="n">
        <f aca="false">B1292+D1293-C1293</f>
        <v>7544.75</v>
      </c>
      <c r="D1293" s="146" t="n">
        <v>178.25</v>
      </c>
      <c r="E1293" s="147" t="n">
        <v>1028</v>
      </c>
      <c r="F1293" s="147" t="n">
        <f aca="false">IFERROR(VLOOKUP(H1293,$AD$1:$AE$301,2,0),"")</f>
        <v>555</v>
      </c>
      <c r="G1293" s="147" t="str">
        <f aca="false">IFERROR(VLOOKUP(F1293,$AE$2:$AF$290,2, 0),"")</f>
        <v>تبوك</v>
      </c>
      <c r="H1293" s="212" t="s">
        <v>260</v>
      </c>
      <c r="I1293" s="246" t="n">
        <f aca="false">SUM(K1293:R1293)</f>
        <v>1</v>
      </c>
      <c r="J1293" s="182" t="n">
        <v>45761</v>
      </c>
      <c r="L1293" s="149" t="n">
        <v>1</v>
      </c>
      <c r="S1293" s="192" t="n">
        <f aca="false">(K1293+O1293+Q1293)*24 /1130+(L1293+M1293+P1293+R1293)*12/1130+(N1293*30)/1130</f>
        <v>0.0106194690265487</v>
      </c>
    </row>
    <row r="1294" customFormat="false" ht="15" hidden="true" customHeight="true" outlineLevel="0" collapsed="false">
      <c r="B1294" s="127" t="n">
        <f aca="false">B1293+D1294-C1294</f>
        <v>5916.75</v>
      </c>
      <c r="C1294" s="127" t="n">
        <f aca="false">298+241.5+99+241.5+150+598</f>
        <v>1628</v>
      </c>
      <c r="E1294" s="212" t="s">
        <v>470</v>
      </c>
      <c r="F1294" s="147" t="str">
        <f aca="false">IFERROR(VLOOKUP(H1294,$AD$1:$AE$301,2,0),"")</f>
        <v/>
      </c>
      <c r="G1294" s="147" t="str">
        <f aca="false">IFERROR(VLOOKUP(F1294,$AE$2:$AF$290,2, 0),"")</f>
        <v/>
      </c>
      <c r="H1294" s="212" t="s">
        <v>393</v>
      </c>
      <c r="I1294" s="246" t="n">
        <f aca="false">SUM(K1294:R1294)</f>
        <v>0</v>
      </c>
      <c r="J1294" s="182" t="n">
        <v>45761</v>
      </c>
      <c r="S1294" s="192" t="n">
        <f aca="false">(K1294+O1294+Q1294)*24 /1130+(L1294+M1294+P1294+R1294)*12/1130+(N1294*30)/1130</f>
        <v>0</v>
      </c>
    </row>
    <row r="1295" customFormat="false" ht="15" hidden="true" customHeight="true" outlineLevel="0" collapsed="false">
      <c r="B1295" s="127" t="n">
        <f aca="false">B1294+D1295-C1295</f>
        <v>0.75</v>
      </c>
      <c r="C1295" s="127" t="n">
        <v>5916</v>
      </c>
      <c r="E1295" s="212" t="s">
        <v>653</v>
      </c>
      <c r="F1295" s="147" t="str">
        <f aca="false">IFERROR(VLOOKUP(H1295,$AD$1:$AE$301,2,0),"")</f>
        <v/>
      </c>
      <c r="G1295" s="147" t="str">
        <f aca="false">IFERROR(VLOOKUP(F1295,$AE$2:$AF$290,2, 0),"")</f>
        <v/>
      </c>
      <c r="H1295" s="212" t="s">
        <v>393</v>
      </c>
      <c r="I1295" s="246" t="n">
        <f aca="false">SUM(K1295:R1295)</f>
        <v>0</v>
      </c>
      <c r="J1295" s="182" t="n">
        <v>45762</v>
      </c>
      <c r="S1295" s="192" t="n">
        <f aca="false">(K1295+O1295+Q1295)*24 /1130+(L1295+M1295+P1295+R1295)*12/1130+(N1295*30)/1130</f>
        <v>0</v>
      </c>
    </row>
    <row r="1296" customFormat="false" ht="15" hidden="true" customHeight="true" outlineLevel="0" collapsed="false">
      <c r="B1296" s="127" t="n">
        <f aca="false">B1295+D1296-C1296</f>
        <v>598.75</v>
      </c>
      <c r="D1296" s="146" t="n">
        <v>598</v>
      </c>
      <c r="E1296" s="147" t="n">
        <v>1029</v>
      </c>
      <c r="F1296" s="147" t="n">
        <f aca="false">IFERROR(VLOOKUP(H1296,$AD$1:$AE$301,2,0),"")</f>
        <v>1008261</v>
      </c>
      <c r="G1296" s="147" t="str">
        <f aca="false">IFERROR(VLOOKUP(F1296,$AE$2:$AF$290,2, 0),"")</f>
        <v>تبوك</v>
      </c>
      <c r="H1296" s="212" t="s">
        <v>440</v>
      </c>
      <c r="I1296" s="246" t="n">
        <f aca="false">SUM(K1296:R1296)</f>
        <v>2</v>
      </c>
      <c r="J1296" s="182" t="n">
        <v>45762</v>
      </c>
      <c r="K1296" s="148" t="n">
        <f aca="false">2</f>
        <v>2</v>
      </c>
      <c r="S1296" s="192" t="n">
        <f aca="false">(K1296+O1296+Q1296)*24 /1130+(L1296+M1296+P1296+R1296)*12/1130+(N1296*30)/1130</f>
        <v>0.0424778761061947</v>
      </c>
    </row>
    <row r="1297" customFormat="false" ht="15" hidden="true" customHeight="true" outlineLevel="0" collapsed="false">
      <c r="A1297" s="128" t="n">
        <f aca="false">D1297-850</f>
        <v>1</v>
      </c>
      <c r="B1297" s="127" t="n">
        <f aca="false">B1296+D1297-C1297</f>
        <v>1449.75</v>
      </c>
      <c r="D1297" s="146" t="n">
        <f aca="false">299*2+253</f>
        <v>851</v>
      </c>
      <c r="E1297" s="147" t="n">
        <v>1030</v>
      </c>
      <c r="F1297" s="147" t="n">
        <f aca="false">IFERROR(VLOOKUP(H1297,$AD$1:$AE$301,2,0),"")</f>
        <v>1008272</v>
      </c>
      <c r="G1297" s="147" t="str">
        <f aca="false">IFERROR(VLOOKUP(F1297,$AE$2:$AF$290,2, 0),"")</f>
        <v>تبوك</v>
      </c>
      <c r="H1297" s="212" t="s">
        <v>143</v>
      </c>
      <c r="I1297" s="246" t="n">
        <f aca="false">SUM(K1297:R1297)</f>
        <v>3</v>
      </c>
      <c r="J1297" s="182" t="n">
        <v>45762</v>
      </c>
      <c r="K1297" s="148" t="n">
        <f aca="false">1+1</f>
        <v>2</v>
      </c>
      <c r="M1297" s="150" t="n">
        <v>1</v>
      </c>
      <c r="S1297" s="192" t="n">
        <f aca="false">(K1297+O1297+Q1297)*24 /1130+(L1297+M1297+P1297+R1297)*12/1130+(N1297*30)/1130</f>
        <v>0.0530973451327434</v>
      </c>
    </row>
    <row r="1298" customFormat="false" ht="15" hidden="true" customHeight="true" outlineLevel="0" collapsed="false">
      <c r="B1298" s="127" t="n">
        <f aca="false">B1297+D1298-C1298</f>
        <v>4002.75</v>
      </c>
      <c r="D1298" s="146" t="n">
        <f aca="false">5*230+345+4*264.5</f>
        <v>2553</v>
      </c>
      <c r="E1298" s="147" t="n">
        <v>1031</v>
      </c>
      <c r="F1298" s="147" t="n">
        <f aca="false">IFERROR(VLOOKUP(H1298,$AD$1:$AE$301,2,0),"")</f>
        <v>1076</v>
      </c>
      <c r="G1298" s="147" t="str">
        <f aca="false">IFERROR(VLOOKUP(F1298,$AE$2:$AF$290,2, 0),"")</f>
        <v>تبوك</v>
      </c>
      <c r="H1298" s="212" t="s">
        <v>244</v>
      </c>
      <c r="I1298" s="246" t="n">
        <f aca="false">SUM(K1298:R1298)</f>
        <v>10</v>
      </c>
      <c r="J1298" s="182" t="n">
        <v>45762</v>
      </c>
      <c r="M1298" s="150" t="n">
        <f aca="false">5+1</f>
        <v>6</v>
      </c>
      <c r="R1298" s="155" t="n">
        <f aca="false">4</f>
        <v>4</v>
      </c>
      <c r="S1298" s="192" t="n">
        <f aca="false">(K1298+O1298+Q1298)*24 /1130+(L1298+M1298+P1298+R1298)*12/1130+(N1298*30)/1130</f>
        <v>0.106194690265487</v>
      </c>
    </row>
    <row r="1299" customFormat="false" ht="15" hidden="true" customHeight="true" outlineLevel="0" collapsed="false">
      <c r="A1299" s="128" t="n">
        <f aca="false">D1299-50-16*5-1140</f>
        <v>0.75</v>
      </c>
      <c r="B1299" s="127" t="n">
        <f aca="false">B1298+D1299-C1299</f>
        <v>5273.5</v>
      </c>
      <c r="D1299" s="146" t="n">
        <f aca="false">299*2+253+155.25+264.5</f>
        <v>1270.75</v>
      </c>
      <c r="E1299" s="147" t="n">
        <v>1032</v>
      </c>
      <c r="F1299" s="147" t="n">
        <f aca="false">IFERROR(VLOOKUP(H1299,$AD$1:$AE$301,2,0),"")</f>
        <v>1008264</v>
      </c>
      <c r="G1299" s="147" t="str">
        <f aca="false">IFERROR(VLOOKUP(F1299,$AE$2:$AF$290,2, 0),"")</f>
        <v>تبوك</v>
      </c>
      <c r="H1299" s="212" t="s">
        <v>160</v>
      </c>
      <c r="I1299" s="246" t="n">
        <f aca="false">SUM(K1299:R1299)</f>
        <v>5</v>
      </c>
      <c r="J1299" s="182" t="n">
        <v>45762</v>
      </c>
      <c r="K1299" s="148" t="n">
        <f aca="false">1+1</f>
        <v>2</v>
      </c>
      <c r="M1299" s="150" t="n">
        <v>1</v>
      </c>
      <c r="R1299" s="155" t="n">
        <f aca="false">1+1</f>
        <v>2</v>
      </c>
      <c r="S1299" s="192" t="n">
        <f aca="false">(K1299+O1299+Q1299)*24 /1130+(L1299+M1299+P1299+R1299)*12/1130+(N1299*30)/1130</f>
        <v>0.0743362831858407</v>
      </c>
    </row>
    <row r="1300" customFormat="false" ht="15" hidden="true" customHeight="true" outlineLevel="0" collapsed="false">
      <c r="A1300" s="79" t="n">
        <f aca="false">D1300-150-149</f>
        <v>0</v>
      </c>
      <c r="B1300" s="127" t="n">
        <f aca="false">B1299+D1300-C1300</f>
        <v>5572.5</v>
      </c>
      <c r="D1300" s="146" t="n">
        <v>299</v>
      </c>
      <c r="E1300" s="147" t="n">
        <v>1033</v>
      </c>
      <c r="F1300" s="147" t="n">
        <f aca="false">IFERROR(VLOOKUP(H1300,$AD$1:$AE$301,2,0),"")</f>
        <v>555</v>
      </c>
      <c r="G1300" s="147" t="str">
        <f aca="false">IFERROR(VLOOKUP(F1300,$AE$2:$AF$290,2, 0),"")</f>
        <v>تبوك</v>
      </c>
      <c r="H1300" s="212" t="s">
        <v>260</v>
      </c>
      <c r="I1300" s="246" t="n">
        <f aca="false">SUM(K1300:R1300)</f>
        <v>1</v>
      </c>
      <c r="J1300" s="182" t="n">
        <v>45762</v>
      </c>
      <c r="K1300" s="148" t="n">
        <v>1</v>
      </c>
      <c r="S1300" s="192" t="n">
        <f aca="false">(K1300+O1300+Q1300)*24 /1130+(L1300+M1300+P1300+R1300)*12/1130+(N1300*30)/1130</f>
        <v>0.0212389380530973</v>
      </c>
    </row>
    <row r="1301" customFormat="false" ht="15" hidden="true" customHeight="true" outlineLevel="0" collapsed="false">
      <c r="B1301" s="127" t="n">
        <f aca="false">B1300+D1301-C1301</f>
        <v>4888.5</v>
      </c>
      <c r="C1301" s="127" t="n">
        <f aca="false">684</f>
        <v>684</v>
      </c>
      <c r="E1301" s="212" t="s">
        <v>470</v>
      </c>
      <c r="F1301" s="147" t="str">
        <f aca="false">IFERROR(VLOOKUP(H1301,$AD$1:$AE$301,2,0),"")</f>
        <v/>
      </c>
      <c r="G1301" s="147" t="str">
        <f aca="false">IFERROR(VLOOKUP(F1301,$AE$2:$AF$290,2, 0),"")</f>
        <v/>
      </c>
      <c r="H1301" s="212" t="s">
        <v>393</v>
      </c>
      <c r="I1301" s="246" t="n">
        <f aca="false">SUM(K1301:R1301)</f>
        <v>0</v>
      </c>
      <c r="J1301" s="182" t="n">
        <v>45762</v>
      </c>
      <c r="S1301" s="192" t="n">
        <f aca="false">(K1301+O1301+Q1301)*24 /1130+(L1301+M1301+P1301+R1301)*12/1130+(N1301*30)/1130</f>
        <v>0</v>
      </c>
    </row>
    <row r="1302" customFormat="false" ht="15" hidden="true" customHeight="true" outlineLevel="0" collapsed="false">
      <c r="B1302" s="127" t="n">
        <f aca="false">B1301+D1302-C1302</f>
        <v>3743</v>
      </c>
      <c r="C1302" s="127" t="n">
        <v>1140</v>
      </c>
      <c r="D1302" s="146" t="n">
        <v>-5.5</v>
      </c>
      <c r="E1302" s="212" t="s">
        <v>657</v>
      </c>
      <c r="F1302" s="147" t="str">
        <f aca="false">IFERROR(VLOOKUP(H1302,$AD$1:$AE$301,2,0),"")</f>
        <v/>
      </c>
      <c r="G1302" s="147" t="str">
        <f aca="false">IFERROR(VLOOKUP(F1302,$AE$2:$AF$290,2, 0),"")</f>
        <v/>
      </c>
      <c r="H1302" s="212" t="s">
        <v>393</v>
      </c>
      <c r="I1302" s="246" t="n">
        <f aca="false">SUM(K1302:R1302)</f>
        <v>0</v>
      </c>
      <c r="J1302" s="182" t="n">
        <v>45762</v>
      </c>
      <c r="S1302" s="192" t="n">
        <f aca="false">(K1302+O1302+Q1302)*24 /1130+(L1302+M1302+P1302+R1302)*12/1130+(N1302*30)/1130</f>
        <v>0</v>
      </c>
    </row>
    <row r="1303" customFormat="false" ht="15" hidden="true" customHeight="true" outlineLevel="0" collapsed="false">
      <c r="B1303" s="127" t="n">
        <f aca="false">B1302+D1303-C1303</f>
        <v>0</v>
      </c>
      <c r="C1303" s="127" t="n">
        <v>3743</v>
      </c>
      <c r="E1303" s="212" t="s">
        <v>653</v>
      </c>
      <c r="F1303" s="147" t="str">
        <f aca="false">IFERROR(VLOOKUP(H1303,$AD$1:$AE$301,2,0),"")</f>
        <v/>
      </c>
      <c r="G1303" s="147" t="str">
        <f aca="false">IFERROR(VLOOKUP(F1303,$AE$2:$AF$290,2, 0),"")</f>
        <v/>
      </c>
      <c r="H1303" s="212" t="s">
        <v>393</v>
      </c>
      <c r="I1303" s="246" t="n">
        <f aca="false">SUM(K1303:R1303)</f>
        <v>0</v>
      </c>
      <c r="J1303" s="182" t="n">
        <v>45763</v>
      </c>
      <c r="S1303" s="192" t="n">
        <f aca="false">(K1303+O1303+Q1303)*24 /1130+(L1303+M1303+P1303+R1303)*12/1130+(N1303*30)/1130</f>
        <v>0</v>
      </c>
    </row>
    <row r="1304" customFormat="false" ht="15" hidden="true" customHeight="true" outlineLevel="0" collapsed="false">
      <c r="A1304" s="128" t="n">
        <f aca="false">D1304+601-137-205-170-258-20-150-450-22*5+48</f>
        <v>0</v>
      </c>
      <c r="B1304" s="127" t="n">
        <f aca="false">B1303+D1304-C1304</f>
        <v>851</v>
      </c>
      <c r="D1304" s="146" t="n">
        <f aca="false">299+253+299</f>
        <v>851</v>
      </c>
      <c r="E1304" s="147" t="n">
        <v>1034</v>
      </c>
      <c r="F1304" s="147" t="n">
        <f aca="false">IFERROR(VLOOKUP(H1304,$AD$1:$AE$301,2,0),"")</f>
        <v>1002901</v>
      </c>
      <c r="G1304" s="147" t="str">
        <f aca="false">IFERROR(VLOOKUP(F1304,$AE$2:$AF$290,2, 0),"")</f>
        <v>تبوك</v>
      </c>
      <c r="H1304" s="212" t="s">
        <v>153</v>
      </c>
      <c r="I1304" s="246" t="n">
        <f aca="false">SUM(K1304:R1304)</f>
        <v>3</v>
      </c>
      <c r="J1304" s="182" t="n">
        <v>45763</v>
      </c>
      <c r="K1304" s="148" t="n">
        <f aca="false">2</f>
        <v>2</v>
      </c>
      <c r="M1304" s="150" t="n">
        <v>1</v>
      </c>
      <c r="S1304" s="192" t="n">
        <f aca="false">(K1304+O1304+Q1304)*24 /1130+(L1304+M1304+P1304+R1304)*12/1130+(N1304*30)/1130</f>
        <v>0.0530973451327434</v>
      </c>
    </row>
    <row r="1305" customFormat="false" ht="15" hidden="true" customHeight="true" outlineLevel="0" collapsed="false">
      <c r="A1305" s="128" t="n">
        <f aca="false">D1305-300-159-300</f>
        <v>0</v>
      </c>
      <c r="B1305" s="127" t="n">
        <f aca="false">B1304+D1305-C1305</f>
        <v>1610</v>
      </c>
      <c r="D1305" s="146" t="n">
        <f aca="false">230*2+299</f>
        <v>759</v>
      </c>
      <c r="E1305" s="147" t="n">
        <v>1035</v>
      </c>
      <c r="F1305" s="147" t="n">
        <f aca="false">IFERROR(VLOOKUP(H1305,$AD$1:$AE$301,2,0),"")</f>
        <v>1008051</v>
      </c>
      <c r="G1305" s="147" t="str">
        <f aca="false">IFERROR(VLOOKUP(F1305,$AE$2:$AF$290,2, 0),"")</f>
        <v>الوجه</v>
      </c>
      <c r="H1305" s="212" t="s">
        <v>113</v>
      </c>
      <c r="I1305" s="246" t="n">
        <f aca="false">SUM(K1305:R1305)</f>
        <v>3</v>
      </c>
      <c r="J1305" s="182" t="n">
        <v>45763</v>
      </c>
      <c r="K1305" s="148" t="n">
        <v>1</v>
      </c>
      <c r="M1305" s="150" t="n">
        <v>2</v>
      </c>
      <c r="S1305" s="192" t="n">
        <f aca="false">(K1305+O1305+Q1305)*24 /1130+(L1305+M1305+P1305+R1305)*12/1130+(N1305*30)/1130</f>
        <v>0.0424778761061947</v>
      </c>
    </row>
    <row r="1306" customFormat="false" ht="15" hidden="true" customHeight="true" outlineLevel="0" collapsed="false">
      <c r="B1306" s="127" t="n">
        <f aca="false">B1305+D1306-C1306</f>
        <v>2162</v>
      </c>
      <c r="D1306" s="146" t="n">
        <f aca="false">299+253</f>
        <v>552</v>
      </c>
      <c r="E1306" s="147" t="n">
        <v>1036</v>
      </c>
      <c r="F1306" s="147" t="n">
        <f aca="false">IFERROR(VLOOKUP(H1306,$AD$1:$AE$301,2,0),"")</f>
        <v>1008043</v>
      </c>
      <c r="G1306" s="147" t="str">
        <f aca="false">IFERROR(VLOOKUP(F1306,$AE$2:$AF$290,2, 0),"")</f>
        <v>الوجه</v>
      </c>
      <c r="H1306" s="212" t="s">
        <v>104</v>
      </c>
      <c r="I1306" s="246" t="n">
        <f aca="false">SUM(K1306:R1306)</f>
        <v>2</v>
      </c>
      <c r="J1306" s="182" t="n">
        <v>45763</v>
      </c>
      <c r="K1306" s="148" t="n">
        <v>1</v>
      </c>
      <c r="M1306" s="150" t="n">
        <v>1</v>
      </c>
      <c r="S1306" s="192" t="n">
        <f aca="false">(K1306+O1306+Q1306)*24 /1130+(L1306+M1306+P1306+R1306)*12/1130+(N1306*30)/1130</f>
        <v>0.031858407079646</v>
      </c>
    </row>
    <row r="1307" customFormat="false" ht="15" hidden="true" customHeight="true" outlineLevel="0" collapsed="false">
      <c r="B1307" s="127" t="n">
        <f aca="false">B1306+D1307-C1307</f>
        <v>2760</v>
      </c>
      <c r="D1307" s="146" t="n">
        <f aca="false">299*2</f>
        <v>598</v>
      </c>
      <c r="E1307" s="147" t="n">
        <v>1037</v>
      </c>
      <c r="F1307" s="147" t="n">
        <f aca="false">IFERROR(VLOOKUP(H1307,$AD$1:$AE$301,2,0),"")</f>
        <v>1008045</v>
      </c>
      <c r="G1307" s="147" t="str">
        <f aca="false">IFERROR(VLOOKUP(F1307,$AE$2:$AF$290,2, 0),"")</f>
        <v>الوجه</v>
      </c>
      <c r="H1307" s="212" t="s">
        <v>107</v>
      </c>
      <c r="I1307" s="246" t="n">
        <f aca="false">SUM(K1307:R1307)</f>
        <v>2</v>
      </c>
      <c r="J1307" s="182" t="n">
        <v>45763</v>
      </c>
      <c r="K1307" s="148" t="n">
        <v>2</v>
      </c>
      <c r="S1307" s="192" t="n">
        <f aca="false">(K1307+O1307+Q1307)*24 /1130+(L1307+M1307+P1307+R1307)*12/1130+(N1307*30)/1130</f>
        <v>0.0424778761061947</v>
      </c>
    </row>
    <row r="1308" customFormat="false" ht="15" hidden="true" customHeight="true" outlineLevel="0" collapsed="false">
      <c r="B1308" s="127" t="n">
        <f aca="false">B1307+D1308-C1308</f>
        <v>3358</v>
      </c>
      <c r="D1308" s="146" t="n">
        <f aca="false">2*299</f>
        <v>598</v>
      </c>
      <c r="E1308" s="147" t="n">
        <v>1038</v>
      </c>
      <c r="F1308" s="147" t="n">
        <f aca="false">IFERROR(VLOOKUP(H1308,$AD$1:$AE$301,2,0),"")</f>
        <v>1008047</v>
      </c>
      <c r="G1308" s="147" t="str">
        <f aca="false">IFERROR(VLOOKUP(F1308,$AE$2:$AF$290,2, 0),"")</f>
        <v>الوجه</v>
      </c>
      <c r="H1308" s="212" t="s">
        <v>422</v>
      </c>
      <c r="I1308" s="246" t="n">
        <f aca="false">SUM(K1308:R1308)</f>
        <v>2</v>
      </c>
      <c r="J1308" s="182" t="n">
        <v>45763</v>
      </c>
      <c r="K1308" s="148" t="n">
        <v>2</v>
      </c>
      <c r="S1308" s="192" t="n">
        <f aca="false">(K1308+O1308+Q1308)*24 /1130+(L1308+M1308+P1308+R1308)*12/1130+(N1308*30)/1130</f>
        <v>0.0424778761061947</v>
      </c>
    </row>
    <row r="1309" customFormat="false" ht="15" hidden="true" customHeight="true" outlineLevel="0" collapsed="false">
      <c r="A1309" s="128" t="n">
        <f aca="false">D1309-1-298</f>
        <v>0</v>
      </c>
      <c r="B1309" s="127" t="n">
        <f aca="false">B1308+D1309-C1309</f>
        <v>3657</v>
      </c>
      <c r="D1309" s="146" t="n">
        <v>299</v>
      </c>
      <c r="E1309" s="147" t="n">
        <v>1039</v>
      </c>
      <c r="F1309" s="147" t="n">
        <f aca="false">IFERROR(VLOOKUP(H1309,$AD$1:$AE$301,2,0),"")</f>
        <v>656</v>
      </c>
      <c r="G1309" s="147" t="str">
        <f aca="false">IFERROR(VLOOKUP(F1309,$AE$2:$AF$290,2, 0),"")</f>
        <v>الوجه</v>
      </c>
      <c r="H1309" s="212" t="s">
        <v>115</v>
      </c>
      <c r="I1309" s="246" t="n">
        <f aca="false">SUM(K1309:R1309)</f>
        <v>1</v>
      </c>
      <c r="J1309" s="182" t="n">
        <v>45763</v>
      </c>
      <c r="K1309" s="148" t="n">
        <v>1</v>
      </c>
      <c r="S1309" s="192" t="n">
        <f aca="false">(K1309+O1309+Q1309)*24 /1130+(L1309+M1309+P1309+R1309)*12/1130+(N1309*30)/1130</f>
        <v>0.0212389380530973</v>
      </c>
    </row>
    <row r="1310" customFormat="false" ht="15" hidden="true" customHeight="true" outlineLevel="0" collapsed="false">
      <c r="B1310" s="127" t="n">
        <f aca="false">B1309+D1310-C1310</f>
        <v>3956</v>
      </c>
      <c r="D1310" s="146" t="n">
        <v>299</v>
      </c>
      <c r="E1310" s="147" t="n">
        <v>1040</v>
      </c>
      <c r="F1310" s="147" t="n">
        <f aca="false">IFERROR(VLOOKUP(H1310,$AD$1:$AE$301,2,0),"")</f>
        <v>1008049</v>
      </c>
      <c r="G1310" s="147" t="str">
        <f aca="false">IFERROR(VLOOKUP(F1310,$AE$2:$AF$290,2, 0),"")</f>
        <v>الوجه</v>
      </c>
      <c r="H1310" s="212" t="s">
        <v>111</v>
      </c>
      <c r="I1310" s="246" t="n">
        <f aca="false">SUM(K1310:R1310)</f>
        <v>1</v>
      </c>
      <c r="J1310" s="182" t="n">
        <v>45763</v>
      </c>
      <c r="K1310" s="148" t="n">
        <v>1</v>
      </c>
      <c r="S1310" s="192" t="n">
        <f aca="false">(K1310+O1310+Q1310)*24 /1130+(L1310+M1310+P1310+R1310)*12/1130+(N1310*30)/1130</f>
        <v>0.0212389380530973</v>
      </c>
    </row>
    <row r="1311" customFormat="false" ht="15" hidden="true" customHeight="true" outlineLevel="0" collapsed="false">
      <c r="A1311" s="128" t="n">
        <f aca="false">D1311+79.5-380</f>
        <v>-1.5</v>
      </c>
      <c r="B1311" s="127" t="n">
        <f aca="false">B1310+D1311-C1311</f>
        <v>4255</v>
      </c>
      <c r="D1311" s="146" t="n">
        <v>299</v>
      </c>
      <c r="E1311" s="147" t="n">
        <v>1041</v>
      </c>
      <c r="F1311" s="147" t="n">
        <f aca="false">IFERROR(VLOOKUP(H1311,$AD$1:$AE$301,2,0),"")</f>
        <v>1008050</v>
      </c>
      <c r="G1311" s="147" t="str">
        <f aca="false">IFERROR(VLOOKUP(F1311,$AE$2:$AF$290,2, 0),"")</f>
        <v>ضباء</v>
      </c>
      <c r="H1311" s="212" t="s">
        <v>92</v>
      </c>
      <c r="I1311" s="246" t="n">
        <f aca="false">SUM(K1311:R1311)</f>
        <v>1</v>
      </c>
      <c r="J1311" s="182" t="n">
        <v>45763</v>
      </c>
      <c r="K1311" s="148" t="n">
        <v>1</v>
      </c>
      <c r="S1311" s="192" t="n">
        <f aca="false">(K1311+O1311+Q1311)*24 /1130+(L1311+M1311+P1311+R1311)*12/1130+(N1311*30)/1130</f>
        <v>0.0212389380530973</v>
      </c>
    </row>
    <row r="1312" customFormat="false" ht="15" hidden="true" customHeight="true" outlineLevel="0" collapsed="false">
      <c r="B1312" s="127" t="n">
        <f aca="false">B1311+D1312-C1312</f>
        <v>5704</v>
      </c>
      <c r="D1312" s="146" t="n">
        <f aca="false">230*5+299</f>
        <v>1449</v>
      </c>
      <c r="E1312" s="147" t="n">
        <v>1042</v>
      </c>
      <c r="F1312" s="147" t="n">
        <f aca="false">IFERROR(VLOOKUP(H1312,$AD$1:$AE$301,2,0),"")</f>
        <v>1007988</v>
      </c>
      <c r="G1312" s="147" t="str">
        <f aca="false">IFERROR(VLOOKUP(F1312,$AE$2:$AF$290,2, 0),"")</f>
        <v>ضباء</v>
      </c>
      <c r="H1312" s="212" t="s">
        <v>89</v>
      </c>
      <c r="I1312" s="246" t="n">
        <f aca="false">SUM(K1312:R1312)</f>
        <v>6</v>
      </c>
      <c r="J1312" s="182" t="n">
        <v>45763</v>
      </c>
      <c r="K1312" s="148" t="n">
        <v>1</v>
      </c>
      <c r="M1312" s="150" t="n">
        <v>5</v>
      </c>
      <c r="S1312" s="192" t="n">
        <f aca="false">(K1312+O1312+Q1312)*24 /1130+(L1312+M1312+P1312+R1312)*12/1130+(N1312*30)/1130</f>
        <v>0.0743362831858407</v>
      </c>
    </row>
    <row r="1313" customFormat="false" ht="15" hidden="true" customHeight="true" outlineLevel="0" collapsed="false">
      <c r="B1313" s="127" t="n">
        <f aca="false">B1312+D1313-C1313</f>
        <v>2686</v>
      </c>
      <c r="C1313" s="127" t="n">
        <f aca="false">137+205+170+300+598+1449+159</f>
        <v>3018</v>
      </c>
      <c r="E1313" s="212" t="s">
        <v>470</v>
      </c>
      <c r="F1313" s="147" t="str">
        <f aca="false">IFERROR(VLOOKUP(H1313,$AD$1:$AE$301,2,0),"")</f>
        <v/>
      </c>
      <c r="G1313" s="147" t="str">
        <f aca="false">IFERROR(VLOOKUP(F1313,$AE$2:$AF$290,2, 0),"")</f>
        <v/>
      </c>
      <c r="H1313" s="212" t="s">
        <v>393</v>
      </c>
      <c r="I1313" s="246" t="n">
        <f aca="false">SUM(K1313:R1313)</f>
        <v>0</v>
      </c>
      <c r="J1313" s="182" t="n">
        <v>45762</v>
      </c>
      <c r="S1313" s="192" t="n">
        <f aca="false">(K1313+O1313+Q1313)*24 /1130+(L1313+M1313+P1313+R1313)*12/1130+(N1313*30)/1130</f>
        <v>0</v>
      </c>
    </row>
    <row r="1314" customFormat="false" ht="15" hidden="true" customHeight="true" outlineLevel="0" collapsed="false">
      <c r="B1314" s="127" t="n">
        <f aca="false">B1313+D1314-C1314</f>
        <v>0</v>
      </c>
      <c r="C1314" s="127" t="n">
        <v>2686</v>
      </c>
      <c r="E1314" s="212" t="s">
        <v>653</v>
      </c>
      <c r="F1314" s="147" t="str">
        <f aca="false">IFERROR(VLOOKUP(H1314,$AD$1:$AE$301,2,0),"")</f>
        <v/>
      </c>
      <c r="G1314" s="147" t="str">
        <f aca="false">IFERROR(VLOOKUP(F1314,$AE$2:$AF$290,2, 0),"")</f>
        <v/>
      </c>
      <c r="H1314" s="212" t="s">
        <v>393</v>
      </c>
      <c r="I1314" s="246" t="n">
        <f aca="false">SUM(K1314:R1314)</f>
        <v>0</v>
      </c>
      <c r="J1314" s="182" t="n">
        <v>45764</v>
      </c>
      <c r="S1314" s="192" t="n">
        <f aca="false">(K1314+O1314+Q1314)*24 /1130+(L1314+M1314+P1314+R1314)*12/1130+(N1314*30)/1130</f>
        <v>0</v>
      </c>
    </row>
    <row r="1315" customFormat="false" ht="15" hidden="true" customHeight="true" outlineLevel="0" collapsed="false">
      <c r="B1315" s="127" t="n">
        <f aca="false">B1314+D1315-C1315</f>
        <v>454.25</v>
      </c>
      <c r="D1315" s="146" t="n">
        <f aca="false">299+155.25</f>
        <v>454.25</v>
      </c>
      <c r="E1315" s="147" t="n">
        <v>1043</v>
      </c>
      <c r="F1315" s="147" t="n">
        <f aca="false">IFERROR(VLOOKUP(H1315,$AD$1:$AE$301,2,0),"")</f>
        <v>1008056</v>
      </c>
      <c r="G1315" s="147" t="str">
        <f aca="false">IFERROR(VLOOKUP(F1315,$AE$2:$AF$290,2, 0),"")</f>
        <v>تبوك</v>
      </c>
      <c r="H1315" s="212" t="s">
        <v>241</v>
      </c>
      <c r="I1315" s="246" t="n">
        <f aca="false">SUM(K1315:R1315)</f>
        <v>2</v>
      </c>
      <c r="J1315" s="182" t="n">
        <v>45764</v>
      </c>
      <c r="K1315" s="148" t="n">
        <v>1</v>
      </c>
      <c r="R1315" s="155" t="n">
        <v>1</v>
      </c>
      <c r="S1315" s="192" t="n">
        <f aca="false">(K1315+O1315+Q1315)*24 /1130+(L1315+M1315+P1315+R1315)*12/1130+(N1315*30)/1130</f>
        <v>0.031858407079646</v>
      </c>
    </row>
    <row r="1316" customFormat="false" ht="15" hidden="true" customHeight="true" outlineLevel="0" collapsed="false">
      <c r="A1316" s="128" t="n">
        <f aca="false">D1316+15-900</f>
        <v>0.5</v>
      </c>
      <c r="B1316" s="127" t="n">
        <f aca="false">B1315+D1316-C1316</f>
        <v>1339.75</v>
      </c>
      <c r="D1316" s="146" t="n">
        <f aca="false">287.5*2+155.25*2</f>
        <v>885.5</v>
      </c>
      <c r="E1316" s="147" t="n">
        <v>1044</v>
      </c>
      <c r="F1316" s="147" t="n">
        <f aca="false">IFERROR(VLOOKUP(H1316,$AD$1:$AE$301,2,0),"")</f>
        <v>587</v>
      </c>
      <c r="G1316" s="147" t="str">
        <f aca="false">IFERROR(VLOOKUP(F1316,$AE$2:$AF$290,2, 0),"")</f>
        <v>تبوك</v>
      </c>
      <c r="H1316" s="212" t="s">
        <v>226</v>
      </c>
      <c r="I1316" s="246" t="n">
        <f aca="false">SUM(K1316:R1316)</f>
        <v>4</v>
      </c>
      <c r="J1316" s="182" t="n">
        <v>45764</v>
      </c>
      <c r="N1316" s="151" t="n">
        <v>2</v>
      </c>
      <c r="R1316" s="155" t="n">
        <v>2</v>
      </c>
      <c r="S1316" s="192" t="n">
        <f aca="false">(K1316+O1316+Q1316)*24 /1130+(L1316+M1316+P1316+R1316)*12/1130+(N1316*30)/1130</f>
        <v>0.0743362831858407</v>
      </c>
    </row>
    <row r="1317" customFormat="false" ht="15" hidden="true" customHeight="true" outlineLevel="0" collapsed="false">
      <c r="B1317" s="127" t="n">
        <f aca="false">B1316+D1317-C1317</f>
        <v>1638.75</v>
      </c>
      <c r="D1317" s="146" t="n">
        <f aca="false">299</f>
        <v>299</v>
      </c>
      <c r="E1317" s="147" t="n">
        <v>1045</v>
      </c>
      <c r="F1317" s="147" t="n">
        <f aca="false">IFERROR(VLOOKUP(H1317,$AD$1:$AE$301,2,0),"")</f>
        <v>1008268</v>
      </c>
      <c r="G1317" s="147" t="str">
        <f aca="false">IFERROR(VLOOKUP(F1317,$AE$2:$AF$290,2, 0),"")</f>
        <v>تبوك</v>
      </c>
      <c r="H1317" s="212" t="s">
        <v>235</v>
      </c>
      <c r="I1317" s="246" t="n">
        <f aca="false">SUM(K1317:R1317)</f>
        <v>1</v>
      </c>
      <c r="J1317" s="182" t="n">
        <v>45764</v>
      </c>
      <c r="K1317" s="148" t="n">
        <v>1</v>
      </c>
      <c r="S1317" s="192" t="n">
        <f aca="false">(K1317+O1317+Q1317)*24 /1130+(L1317+M1317+P1317+R1317)*12/1130+(N1317*30)/1130</f>
        <v>0.0212389380530973</v>
      </c>
    </row>
    <row r="1318" customFormat="false" ht="15" hidden="true" customHeight="true" outlineLevel="0" collapsed="false">
      <c r="A1318" s="128" t="n">
        <f aca="false">D1318-150-5.25</f>
        <v>0</v>
      </c>
      <c r="B1318" s="127" t="n">
        <f aca="false">B1317+D1318-C1318</f>
        <v>1794</v>
      </c>
      <c r="D1318" s="146" t="n">
        <v>155.25</v>
      </c>
      <c r="E1318" s="147" t="n">
        <v>1046</v>
      </c>
      <c r="F1318" s="147" t="n">
        <f aca="false">IFERROR(VLOOKUP(H1318,$AD$1:$AE$301,2,0),"")</f>
        <v>553</v>
      </c>
      <c r="G1318" s="147" t="str">
        <f aca="false">IFERROR(VLOOKUP(F1318,$AE$2:$AF$290,2, 0),"")</f>
        <v>تبوك</v>
      </c>
      <c r="H1318" s="212" t="s">
        <v>150</v>
      </c>
      <c r="I1318" s="246" t="n">
        <f aca="false">SUM(K1318:R1318)</f>
        <v>1</v>
      </c>
      <c r="J1318" s="182" t="n">
        <v>45764</v>
      </c>
      <c r="R1318" s="155" t="n">
        <v>1</v>
      </c>
      <c r="S1318" s="192" t="n">
        <f aca="false">(K1318+O1318+Q1318)*24 /1130+(L1318+M1318+P1318+R1318)*12/1130+(N1318*30)/1130</f>
        <v>0.0106194690265487</v>
      </c>
    </row>
    <row r="1319" customFormat="false" ht="15" hidden="true" customHeight="true" outlineLevel="0" collapsed="false">
      <c r="A1319" s="128" t="n">
        <f aca="false">D1319-598</f>
        <v>0</v>
      </c>
      <c r="B1319" s="127" t="n">
        <f aca="false">B1318+D1319-C1319</f>
        <v>2392</v>
      </c>
      <c r="D1319" s="146" t="n">
        <f aca="false">299+299</f>
        <v>598</v>
      </c>
      <c r="E1319" s="147" t="n">
        <v>1047</v>
      </c>
      <c r="F1319" s="147" t="n">
        <f aca="false">IFERROR(VLOOKUP(H1319,$AD$1:$AE$301,2,0),"")</f>
        <v>1002852</v>
      </c>
      <c r="G1319" s="147" t="str">
        <f aca="false">IFERROR(VLOOKUP(F1319,$AE$2:$AF$290,2, 0),"")</f>
        <v>تبوك</v>
      </c>
      <c r="H1319" s="212" t="s">
        <v>159</v>
      </c>
      <c r="I1319" s="246" t="n">
        <f aca="false">SUM(K1319:R1319)</f>
        <v>2</v>
      </c>
      <c r="J1319" s="182" t="n">
        <v>45764</v>
      </c>
      <c r="K1319" s="148" t="n">
        <v>1</v>
      </c>
      <c r="R1319" s="155" t="n">
        <v>1</v>
      </c>
      <c r="S1319" s="192" t="n">
        <f aca="false">(K1319+O1319+Q1319)*24 /1130+(L1319+M1319+P1319+R1319)*12/1130+(N1319*30)/1130</f>
        <v>0.031858407079646</v>
      </c>
    </row>
    <row r="1320" customFormat="false" ht="15" hidden="true" customHeight="true" outlineLevel="0" collapsed="false">
      <c r="A1320" s="128" t="n">
        <f aca="false">D1320-345</f>
        <v>0</v>
      </c>
      <c r="B1320" s="127" t="n">
        <f aca="false">B1319+D1320-C1320</f>
        <v>2737</v>
      </c>
      <c r="D1320" s="146" t="n">
        <v>345</v>
      </c>
      <c r="E1320" s="147" t="n">
        <v>1048</v>
      </c>
      <c r="F1320" s="147" t="n">
        <f aca="false">IFERROR(VLOOKUP(H1320,$AD$1:$AE$301,2,0),"")</f>
        <v>575</v>
      </c>
      <c r="G1320" s="147" t="str">
        <f aca="false">IFERROR(VLOOKUP(F1320,$AE$2:$AF$290,2, 0),"")</f>
        <v>تبوك</v>
      </c>
      <c r="H1320" s="212" t="s">
        <v>132</v>
      </c>
      <c r="I1320" s="246" t="n">
        <f aca="false">SUM(K1320:R1320)</f>
        <v>1</v>
      </c>
      <c r="J1320" s="182" t="n">
        <v>45764</v>
      </c>
      <c r="M1320" s="150" t="n">
        <v>1</v>
      </c>
      <c r="S1320" s="192" t="n">
        <f aca="false">(K1320+O1320+Q1320)*24 /1130+(L1320+M1320+P1320+R1320)*12/1130+(N1320*30)/1130</f>
        <v>0.0106194690265487</v>
      </c>
    </row>
    <row r="1321" customFormat="false" ht="15" hidden="true" customHeight="true" outlineLevel="0" collapsed="false">
      <c r="A1321" s="416"/>
      <c r="B1321" s="127" t="n">
        <f aca="false">B1320+D1321-C1321</f>
        <v>1112</v>
      </c>
      <c r="C1321" s="127" t="n">
        <f aca="false">299+258+20+150+300+598</f>
        <v>1625</v>
      </c>
      <c r="E1321" s="212" t="s">
        <v>470</v>
      </c>
      <c r="F1321" s="147" t="str">
        <f aca="false">IFERROR(VLOOKUP(H1321,$AD$1:$AE$301,2,0),"")</f>
        <v/>
      </c>
      <c r="G1321" s="147" t="str">
        <f aca="false">IFERROR(VLOOKUP(F1321,$AE$2:$AF$290,2, 0),"")</f>
        <v/>
      </c>
      <c r="H1321" s="212" t="s">
        <v>393</v>
      </c>
      <c r="I1321" s="246" t="n">
        <f aca="false">SUM(K1321:R1321)</f>
        <v>0</v>
      </c>
      <c r="J1321" s="182" t="n">
        <v>45764</v>
      </c>
      <c r="S1321" s="192" t="n">
        <f aca="false">(K1321+O1321+Q1321)*24 /1130+(L1321+M1321+P1321+R1321)*12/1130+(N1321*30)/1130</f>
        <v>0</v>
      </c>
    </row>
    <row r="1322" customFormat="false" ht="15" hidden="true" customHeight="true" outlineLevel="0" collapsed="false">
      <c r="A1322" s="417"/>
      <c r="B1322" s="127" t="n">
        <f aca="false">B1321+D1322-C1322</f>
        <v>0</v>
      </c>
      <c r="C1322" s="127" t="n">
        <v>1112</v>
      </c>
      <c r="E1322" s="212" t="s">
        <v>653</v>
      </c>
      <c r="F1322" s="147" t="str">
        <f aca="false">IFERROR(VLOOKUP(H1322,$AD$1:$AE$301,2,0),"")</f>
        <v/>
      </c>
      <c r="G1322" s="147" t="str">
        <f aca="false">IFERROR(VLOOKUP(F1322,$AE$2:$AF$290,2, 0),"")</f>
        <v/>
      </c>
      <c r="H1322" s="212" t="s">
        <v>393</v>
      </c>
      <c r="I1322" s="246" t="n">
        <f aca="false">SUM(K1322:R1322)</f>
        <v>0</v>
      </c>
      <c r="J1322" s="182" t="n">
        <v>45764</v>
      </c>
      <c r="S1322" s="192" t="n">
        <f aca="false">(K1322+O1322+Q1322)*24 /1130+(L1322+M1322+P1322+R1322)*12/1130+(N1322*30)/1130</f>
        <v>0</v>
      </c>
    </row>
    <row r="1323" customFormat="false" ht="15" hidden="true" customHeight="true" outlineLevel="0" collapsed="false">
      <c r="B1323" s="127" t="n">
        <f aca="false">B1322+D1323-C1323</f>
        <v>299</v>
      </c>
      <c r="D1323" s="146" t="n">
        <f aca="false">299</f>
        <v>299</v>
      </c>
      <c r="E1323" s="147" t="n">
        <v>1052</v>
      </c>
      <c r="F1323" s="147" t="n">
        <f aca="false">IFERROR(VLOOKUP(H1323,$AD$1:$AE$301,2,0),"")</f>
        <v>1008275</v>
      </c>
      <c r="G1323" s="147" t="str">
        <f aca="false">IFERROR(VLOOKUP(F1323,$AE$2:$AF$290,2, 0),"")</f>
        <v>تبوك</v>
      </c>
      <c r="H1323" s="212" t="s">
        <v>179</v>
      </c>
      <c r="I1323" s="246" t="n">
        <f aca="false">SUM(K1323:R1323)</f>
        <v>1</v>
      </c>
      <c r="J1323" s="182" t="n">
        <v>45767</v>
      </c>
      <c r="K1323" s="148" t="n">
        <v>1</v>
      </c>
      <c r="S1323" s="192" t="n">
        <f aca="false">(K1323+O1323+Q1323)*24 /1130+(L1323+M1323+P1323+R1323)*12/1130+(N1323*30)/1130</f>
        <v>0.0212389380530973</v>
      </c>
    </row>
    <row r="1324" customFormat="false" ht="15" hidden="true" customHeight="true" outlineLevel="0" collapsed="false">
      <c r="A1324" s="418" t="n">
        <f aca="false">D1324+1.75-370-35-25-20-30-200-299</f>
        <v>0.25</v>
      </c>
      <c r="B1324" s="127" t="n">
        <f aca="false">B1323+D1324-C1324</f>
        <v>1276.5</v>
      </c>
      <c r="D1324" s="146" t="n">
        <f aca="false">299+287.5+253+138</f>
        <v>977.5</v>
      </c>
      <c r="E1324" s="147" t="n">
        <v>1049</v>
      </c>
      <c r="F1324" s="147" t="n">
        <f aca="false">IFERROR(VLOOKUP(H1324,$AD$1:$AE$301,2,0),"")</f>
        <v>1002861</v>
      </c>
      <c r="G1324" s="147" t="str">
        <f aca="false">IFERROR(VLOOKUP(F1324,$AE$2:$AF$290,2, 0),"")</f>
        <v>تبوك</v>
      </c>
      <c r="H1324" s="212" t="s">
        <v>275</v>
      </c>
      <c r="I1324" s="246" t="n">
        <f aca="false">SUM(K1324:R1324)</f>
        <v>4</v>
      </c>
      <c r="J1324" s="182" t="n">
        <v>45767</v>
      </c>
      <c r="K1324" s="148" t="n">
        <v>1</v>
      </c>
      <c r="M1324" s="150" t="n">
        <v>1</v>
      </c>
      <c r="N1324" s="151" t="n">
        <v>1</v>
      </c>
      <c r="Q1324" s="154" t="n">
        <v>1</v>
      </c>
      <c r="S1324" s="192" t="n">
        <f aca="false">(K1324+O1324+Q1324)*24 /1130+(L1324+M1324+P1324+R1324)*12/1130+(N1324*30)/1130</f>
        <v>0.079646017699115</v>
      </c>
    </row>
    <row r="1325" customFormat="false" ht="15" hidden="true" customHeight="true" outlineLevel="0" collapsed="false">
      <c r="A1325" s="128" t="n">
        <f aca="false">D1325-210-250-138</f>
        <v>0</v>
      </c>
      <c r="B1325" s="127" t="n">
        <f aca="false">B1324+D1325-C1325</f>
        <v>1874.5</v>
      </c>
      <c r="D1325" s="146" t="n">
        <f aca="false">299*2</f>
        <v>598</v>
      </c>
      <c r="E1325" s="147" t="n">
        <v>1050</v>
      </c>
      <c r="F1325" s="147" t="n">
        <f aca="false">IFERROR(VLOOKUP(H1325,$AD$1:$AE$301,2,0),"")</f>
        <v>539</v>
      </c>
      <c r="G1325" s="147" t="str">
        <f aca="false">IFERROR(VLOOKUP(F1325,$AE$2:$AF$290,2, 0),"")</f>
        <v>تبوك</v>
      </c>
      <c r="H1325" s="212" t="s">
        <v>237</v>
      </c>
      <c r="I1325" s="246" t="n">
        <f aca="false">SUM(K1325:R1325)</f>
        <v>2</v>
      </c>
      <c r="J1325" s="182" t="n">
        <v>45767</v>
      </c>
      <c r="K1325" s="148" t="n">
        <f aca="false">1+1</f>
        <v>2</v>
      </c>
      <c r="S1325" s="192" t="n">
        <f aca="false">(K1325+O1325+Q1325)*24 /1130+(L1325+M1325+P1325+R1325)*12/1130+(N1325*30)/1130</f>
        <v>0.0424778761061947</v>
      </c>
    </row>
    <row r="1326" customFormat="false" ht="15" hidden="true" customHeight="true" outlineLevel="0" collapsed="false">
      <c r="A1326" s="128" t="n">
        <f aca="false">D1326-1-299</f>
        <v>-1</v>
      </c>
      <c r="B1326" s="127" t="n">
        <f aca="false">B1325+D1326-C1326</f>
        <v>2173.5</v>
      </c>
      <c r="D1326" s="146" t="n">
        <v>299</v>
      </c>
      <c r="E1326" s="147" t="n">
        <v>1051</v>
      </c>
      <c r="F1326" s="147" t="n">
        <f aca="false">IFERROR(VLOOKUP(H1326,$AD$1:$AE$301,2,0),"")</f>
        <v>1008270</v>
      </c>
      <c r="G1326" s="147" t="str">
        <f aca="false">IFERROR(VLOOKUP(F1326,$AE$2:$AF$290,2, 0),"")</f>
        <v>تبوك</v>
      </c>
      <c r="H1326" s="212" t="s">
        <v>236</v>
      </c>
      <c r="I1326" s="246" t="n">
        <f aca="false">SUM(K1326:R1326)</f>
        <v>1</v>
      </c>
      <c r="J1326" s="182" t="n">
        <v>45767</v>
      </c>
      <c r="K1326" s="148" t="n">
        <v>1</v>
      </c>
      <c r="S1326" s="192" t="n">
        <f aca="false">(K1326+O1326+Q1326)*24 /1130+(L1326+M1326+P1326+R1326)*12/1130+(N1326*30)/1130</f>
        <v>0.0212389380530973</v>
      </c>
    </row>
    <row r="1327" customFormat="false" ht="15" hidden="true" customHeight="true" outlineLevel="0" collapsed="false">
      <c r="B1327" s="127" t="n">
        <f aca="false">B1326+D1327-C1327</f>
        <v>1963.5</v>
      </c>
      <c r="C1327" s="127" t="n">
        <v>210</v>
      </c>
      <c r="E1327" s="212" t="s">
        <v>657</v>
      </c>
      <c r="F1327" s="147" t="str">
        <f aca="false">IFERROR(VLOOKUP(H1327,$AD$1:$AE$301,2,0),"")</f>
        <v/>
      </c>
      <c r="G1327" s="147" t="str">
        <f aca="false">IFERROR(VLOOKUP(F1327,$AE$2:$AF$290,2, 0),"")</f>
        <v/>
      </c>
      <c r="H1327" s="212" t="s">
        <v>393</v>
      </c>
      <c r="I1327" s="246" t="n">
        <f aca="false">SUM(K1327:R1327)</f>
        <v>0</v>
      </c>
      <c r="J1327" s="182" t="n">
        <v>45768</v>
      </c>
      <c r="S1327" s="192" t="n">
        <f aca="false">(K1327+O1327+Q1327)*24 /1130+(L1327+M1327+P1327+R1327)*12/1130+(N1327*30)/1130</f>
        <v>0</v>
      </c>
    </row>
    <row r="1328" customFormat="false" ht="15" hidden="true" customHeight="true" outlineLevel="0" collapsed="false">
      <c r="B1328" s="127" t="n">
        <f aca="false">B1327+D1328-C1328</f>
        <v>0</v>
      </c>
      <c r="C1328" s="127" t="n">
        <v>1963</v>
      </c>
      <c r="D1328" s="146" t="n">
        <v>-0.5</v>
      </c>
      <c r="E1328" s="212" t="s">
        <v>653</v>
      </c>
      <c r="F1328" s="147" t="str">
        <f aca="false">IFERROR(VLOOKUP(H1328,$AD$1:$AE$301,2,0),"")</f>
        <v/>
      </c>
      <c r="G1328" s="147" t="str">
        <f aca="false">IFERROR(VLOOKUP(F1328,$AE$2:$AF$290,2, 0),"")</f>
        <v/>
      </c>
      <c r="H1328" s="212" t="s">
        <v>393</v>
      </c>
      <c r="I1328" s="246" t="n">
        <f aca="false">SUM(K1328:R1328)</f>
        <v>0</v>
      </c>
      <c r="J1328" s="182" t="n">
        <v>45768</v>
      </c>
      <c r="S1328" s="192" t="n">
        <f aca="false">(K1328+O1328+Q1328)*24 /1130+(L1328+M1328+P1328+R1328)*12/1130+(N1328*30)/1130</f>
        <v>0</v>
      </c>
    </row>
    <row r="1329" customFormat="false" ht="15" hidden="true" customHeight="true" outlineLevel="0" collapsed="false">
      <c r="A1329" s="128" t="n">
        <f aca="false">D1329-299</f>
        <v>0</v>
      </c>
      <c r="B1329" s="127" t="n">
        <f aca="false">B1328+D1329-C1329</f>
        <v>299</v>
      </c>
      <c r="D1329" s="146" t="n">
        <f aca="false">299</f>
        <v>299</v>
      </c>
      <c r="E1329" s="147" t="n">
        <v>1053</v>
      </c>
      <c r="F1329" s="147" t="n">
        <f aca="false">IFERROR(VLOOKUP(H1329,$AD$1:$AE$301,2,0),"")</f>
        <v>1008030</v>
      </c>
      <c r="G1329" s="147" t="str">
        <f aca="false">IFERROR(VLOOKUP(F1329,$AE$2:$AF$290,2, 0),"")</f>
        <v>البير</v>
      </c>
      <c r="H1329" s="212" t="s">
        <v>298</v>
      </c>
      <c r="I1329" s="246" t="n">
        <f aca="false">SUM(K1329:R1329)</f>
        <v>1</v>
      </c>
      <c r="J1329" s="182" t="n">
        <v>45768</v>
      </c>
      <c r="K1329" s="148" t="n">
        <v>1</v>
      </c>
      <c r="S1329" s="192" t="n">
        <f aca="false">(K1329+O1329+Q1329)*24 /1130+(L1329+M1329+P1329+R1329)*12/1130+(N1329*30)/1130</f>
        <v>0.0212389380530973</v>
      </c>
    </row>
    <row r="1330" customFormat="false" ht="15" hidden="true" customHeight="true" outlineLevel="0" collapsed="false">
      <c r="B1330" s="127" t="n">
        <f aca="false">B1329+D1330-C1330</f>
        <v>1069.5</v>
      </c>
      <c r="D1330" s="146" t="n">
        <f aca="false">287.5+2*241.5</f>
        <v>770.5</v>
      </c>
      <c r="E1330" s="147" t="n">
        <v>1054</v>
      </c>
      <c r="F1330" s="147" t="n">
        <f aca="false">IFERROR(VLOOKUP(H1330,$AD$1:$AE$301,2,0),"")</f>
        <v>1007996</v>
      </c>
      <c r="G1330" s="147" t="str">
        <f aca="false">IFERROR(VLOOKUP(F1330,$AE$2:$AF$290,2, 0),"")</f>
        <v>البير</v>
      </c>
      <c r="H1330" s="212" t="s">
        <v>295</v>
      </c>
      <c r="I1330" s="246" t="n">
        <f aca="false">SUM(K1330:R1330)</f>
        <v>3</v>
      </c>
      <c r="J1330" s="182" t="n">
        <v>45768</v>
      </c>
      <c r="N1330" s="151" t="n">
        <v>1</v>
      </c>
      <c r="O1330" s="152" t="n">
        <f aca="false">1+1</f>
        <v>2</v>
      </c>
      <c r="S1330" s="192" t="n">
        <f aca="false">(K1330+O1330+Q1330)*24 /1130+(L1330+M1330+P1330+R1330)*12/1130+(N1330*30)/1130</f>
        <v>0.0690265486725664</v>
      </c>
    </row>
    <row r="1331" customFormat="false" ht="15" hidden="true" customHeight="true" outlineLevel="0" collapsed="false">
      <c r="A1331" s="128" t="n">
        <f aca="false">D1331-299-150-85-64</f>
        <v>0</v>
      </c>
      <c r="B1331" s="127" t="n">
        <f aca="false">B1330+D1331-C1331</f>
        <v>1667.5</v>
      </c>
      <c r="D1331" s="146" t="n">
        <f aca="false">299*2</f>
        <v>598</v>
      </c>
      <c r="E1331" s="147" t="n">
        <v>1055</v>
      </c>
      <c r="F1331" s="147" t="n">
        <f aca="false">IFERROR(VLOOKUP(H1331,$AD$1:$AE$301,2,0),"")</f>
        <v>1007964</v>
      </c>
      <c r="G1331" s="147" t="str">
        <f aca="false">IFERROR(VLOOKUP(F1331,$AE$2:$AF$290,2, 0),"")</f>
        <v>البير</v>
      </c>
      <c r="H1331" s="212" t="s">
        <v>289</v>
      </c>
      <c r="I1331" s="246" t="n">
        <f aca="false">SUM(K1331:R1331)</f>
        <v>2</v>
      </c>
      <c r="J1331" s="182" t="n">
        <v>45768</v>
      </c>
      <c r="K1331" s="148" t="n">
        <f aca="false">1+1</f>
        <v>2</v>
      </c>
      <c r="S1331" s="192" t="n">
        <f aca="false">(K1331+O1331+Q1331)*24 /1130+(L1331+M1331+P1331+R1331)*12/1130+(N1331*30)/1130</f>
        <v>0.0424778761061947</v>
      </c>
    </row>
    <row r="1332" customFormat="false" ht="15" hidden="true" customHeight="true" outlineLevel="0" collapsed="false">
      <c r="A1332" s="128" t="n">
        <f aca="false">D1332-598</f>
        <v>0</v>
      </c>
      <c r="B1332" s="127" t="n">
        <f aca="false">B1331+D1332-C1332</f>
        <v>2265.5</v>
      </c>
      <c r="D1332" s="146" t="n">
        <f aca="false">299*2</f>
        <v>598</v>
      </c>
      <c r="E1332" s="147" t="n">
        <v>1056</v>
      </c>
      <c r="F1332" s="147" t="n">
        <f aca="false">IFERROR(VLOOKUP(H1332,$AD$1:$AE$301,2,0),"")</f>
        <v>1007965</v>
      </c>
      <c r="G1332" s="147" t="str">
        <f aca="false">IFERROR(VLOOKUP(F1332,$AE$2:$AF$290,2, 0),"")</f>
        <v>البير</v>
      </c>
      <c r="H1332" s="212" t="s">
        <v>290</v>
      </c>
      <c r="I1332" s="246" t="n">
        <f aca="false">SUM(K1332:R1332)</f>
        <v>2</v>
      </c>
      <c r="J1332" s="182" t="n">
        <v>45768</v>
      </c>
      <c r="K1332" s="148" t="n">
        <v>2</v>
      </c>
      <c r="S1332" s="192" t="n">
        <f aca="false">(K1332+O1332+Q1332)*24 /1130+(L1332+M1332+P1332+R1332)*12/1130+(N1332*30)/1130</f>
        <v>0.0424778761061947</v>
      </c>
    </row>
    <row r="1333" customFormat="false" ht="15" hidden="true" customHeight="true" outlineLevel="0" collapsed="false">
      <c r="B1333" s="127" t="n">
        <f aca="false">B1332+D1333-C1333</f>
        <v>2564.5</v>
      </c>
      <c r="D1333" s="146" t="n">
        <v>299</v>
      </c>
      <c r="E1333" s="147" t="n">
        <v>1057</v>
      </c>
      <c r="F1333" s="147" t="n">
        <f aca="false">IFERROR(VLOOKUP(H1333,$AD$1:$AE$301,2,0),"")</f>
        <v>1008040</v>
      </c>
      <c r="G1333" s="147" t="str">
        <f aca="false">IFERROR(VLOOKUP(F1333,$AE$2:$AF$290,2, 0),"")</f>
        <v>البير</v>
      </c>
      <c r="H1333" s="212" t="s">
        <v>292</v>
      </c>
      <c r="I1333" s="246" t="n">
        <f aca="false">SUM(K1333:R1333)</f>
        <v>1</v>
      </c>
      <c r="J1333" s="182" t="n">
        <v>45768</v>
      </c>
      <c r="K1333" s="148" t="n">
        <v>1</v>
      </c>
      <c r="S1333" s="192" t="n">
        <f aca="false">(K1333+O1333+Q1333)*24 /1130+(L1333+M1333+P1333+R1333)*12/1130+(N1333*30)/1130</f>
        <v>0.0212389380530973</v>
      </c>
    </row>
    <row r="1334" customFormat="false" ht="15" hidden="true" customHeight="true" outlineLevel="0" collapsed="false">
      <c r="B1334" s="127" t="n">
        <f aca="false">B1333+D1334-C1334</f>
        <v>2863.5</v>
      </c>
      <c r="D1334" s="146" t="n">
        <v>299</v>
      </c>
      <c r="E1334" s="147" t="n">
        <v>1058</v>
      </c>
      <c r="F1334" s="147" t="n">
        <f aca="false">IFERROR(VLOOKUP(H1334,$AD$1:$AE$301,2,0),"")</f>
        <v>1008031</v>
      </c>
      <c r="G1334" s="147" t="str">
        <f aca="false">IFERROR(VLOOKUP(F1334,$AE$2:$AF$290,2, 0),"")</f>
        <v>البير</v>
      </c>
      <c r="H1334" s="212" t="s">
        <v>299</v>
      </c>
      <c r="I1334" s="246" t="n">
        <f aca="false">SUM(K1334:R1334)</f>
        <v>1</v>
      </c>
      <c r="J1334" s="182" t="n">
        <v>45768</v>
      </c>
      <c r="K1334" s="148" t="n">
        <v>1</v>
      </c>
      <c r="S1334" s="192" t="n">
        <f aca="false">(K1334+O1334+Q1334)*24 /1130+(L1334+M1334+P1334+R1334)*12/1130+(N1334*30)/1130</f>
        <v>0.0212389380530973</v>
      </c>
    </row>
    <row r="1335" customFormat="false" ht="15" hidden="true" customHeight="true" outlineLevel="0" collapsed="false">
      <c r="B1335" s="127" t="n">
        <f aca="false">B1334+D1335-C1335</f>
        <v>3059</v>
      </c>
      <c r="D1335" s="146" t="n">
        <v>195.5</v>
      </c>
      <c r="E1335" s="147" t="n">
        <v>1059</v>
      </c>
      <c r="F1335" s="147" t="n">
        <f aca="false">IFERROR(VLOOKUP(H1335,$AD$1:$AE$301,2,0),"")</f>
        <v>1007999</v>
      </c>
      <c r="G1335" s="147" t="str">
        <f aca="false">IFERROR(VLOOKUP(F1335,$AE$2:$AF$290,2, 0),"")</f>
        <v>حقل</v>
      </c>
      <c r="H1335" s="212" t="s">
        <v>312</v>
      </c>
      <c r="I1335" s="246" t="n">
        <f aca="false">SUM(K1335:R1335)</f>
        <v>1</v>
      </c>
      <c r="J1335" s="182" t="n">
        <v>45768</v>
      </c>
      <c r="Q1335" s="154" t="n">
        <v>1</v>
      </c>
      <c r="S1335" s="192" t="n">
        <f aca="false">(K1335+O1335+Q1335)*24 /1130+(L1335+M1335+P1335+R1335)*12/1130+(N1335*30)/1130</f>
        <v>0.0212389380530973</v>
      </c>
    </row>
    <row r="1336" customFormat="false" ht="15" hidden="true" customHeight="true" outlineLevel="0" collapsed="false">
      <c r="A1336" s="128" t="n">
        <f aca="false">D1336-300+1</f>
        <v>0</v>
      </c>
      <c r="B1336" s="127" t="n">
        <f aca="false">B1335+D1336-C1336</f>
        <v>3358</v>
      </c>
      <c r="D1336" s="146" t="n">
        <v>299</v>
      </c>
      <c r="E1336" s="147" t="n">
        <v>1060</v>
      </c>
      <c r="F1336" s="147" t="n">
        <f aca="false">IFERROR(VLOOKUP(H1336,$AD$1:$AE$301,2,0),"")</f>
        <v>1008007</v>
      </c>
      <c r="G1336" s="147" t="str">
        <f aca="false">IFERROR(VLOOKUP(F1336,$AE$2:$AF$290,2, 0),"")</f>
        <v>حقل</v>
      </c>
      <c r="H1336" s="212" t="s">
        <v>303</v>
      </c>
      <c r="I1336" s="246" t="n">
        <f aca="false">SUM(K1336:R1336)</f>
        <v>1</v>
      </c>
      <c r="J1336" s="182" t="n">
        <v>45768</v>
      </c>
      <c r="K1336" s="148" t="n">
        <v>1</v>
      </c>
      <c r="S1336" s="192" t="n">
        <f aca="false">(K1336+O1336+Q1336)*24 /1130+(L1336+M1336+P1336+R1336)*12/1130+(N1336*30)/1130</f>
        <v>0.0212389380530973</v>
      </c>
    </row>
    <row r="1337" customFormat="false" ht="15" hidden="true" customHeight="true" outlineLevel="0" collapsed="false">
      <c r="A1337" s="128" t="n">
        <f aca="false">D1337-1-240</f>
        <v>0.5</v>
      </c>
      <c r="B1337" s="127" t="n">
        <f aca="false">B1336+D1337-C1337</f>
        <v>3599.5</v>
      </c>
      <c r="D1337" s="146" t="n">
        <v>241.5</v>
      </c>
      <c r="E1337" s="147" t="n">
        <v>1061</v>
      </c>
      <c r="F1337" s="147" t="n">
        <f aca="false">IFERROR(VLOOKUP(H1337,$AD$1:$AE$301,2,0),"")</f>
        <v>1008007</v>
      </c>
      <c r="G1337" s="147" t="str">
        <f aca="false">IFERROR(VLOOKUP(F1337,$AE$2:$AF$290,2, 0),"")</f>
        <v>حقل</v>
      </c>
      <c r="H1337" s="212" t="s">
        <v>303</v>
      </c>
      <c r="I1337" s="246" t="n">
        <f aca="false">SUM(K1337:R1337)</f>
        <v>1</v>
      </c>
      <c r="J1337" s="182" t="n">
        <v>45768</v>
      </c>
      <c r="O1337" s="152" t="n">
        <v>1</v>
      </c>
      <c r="S1337" s="192" t="n">
        <f aca="false">(K1337+O1337+Q1337)*24 /1130+(L1337+M1337+P1337+R1337)*12/1130+(N1337*30)/1130</f>
        <v>0.0212389380530973</v>
      </c>
    </row>
    <row r="1338" customFormat="false" ht="15" hidden="true" customHeight="true" outlineLevel="0" collapsed="false">
      <c r="B1338" s="127" t="n">
        <f aca="false">B1337+D1338-C1338</f>
        <v>3898.5</v>
      </c>
      <c r="D1338" s="146" t="n">
        <v>299</v>
      </c>
      <c r="E1338" s="147" t="n">
        <v>1062</v>
      </c>
      <c r="F1338" s="147" t="n">
        <f aca="false">IFERROR(VLOOKUP(H1338,$AD$1:$AE$301,2,0),"")</f>
        <v>1008006</v>
      </c>
      <c r="G1338" s="147" t="str">
        <f aca="false">IFERROR(VLOOKUP(F1338,$AE$2:$AF$290,2, 0),"")</f>
        <v>حقل</v>
      </c>
      <c r="H1338" s="212" t="s">
        <v>302</v>
      </c>
      <c r="I1338" s="246" t="n">
        <f aca="false">SUM(K1338:R1338)</f>
        <v>1</v>
      </c>
      <c r="J1338" s="182" t="n">
        <v>45768</v>
      </c>
      <c r="K1338" s="148" t="n">
        <v>1</v>
      </c>
      <c r="S1338" s="192" t="n">
        <f aca="false">(K1338+O1338+Q1338)*24 /1130+(L1338+M1338+P1338+R1338)*12/1130+(N1338*30)/1130</f>
        <v>0.0212389380530973</v>
      </c>
    </row>
    <row r="1339" customFormat="false" ht="15" hidden="true" customHeight="true" outlineLevel="0" collapsed="false">
      <c r="A1339" s="128" t="n">
        <f aca="false">D1339-589-50-250-100</f>
        <v>0</v>
      </c>
      <c r="B1339" s="127" t="n">
        <f aca="false">B1338+D1339-C1339</f>
        <v>4887.5</v>
      </c>
      <c r="D1339" s="146" t="n">
        <f aca="false">138*5+299</f>
        <v>989</v>
      </c>
      <c r="E1339" s="147" t="n">
        <v>1063</v>
      </c>
      <c r="F1339" s="147" t="n">
        <f aca="false">IFERROR(VLOOKUP(H1339,$AD$1:$AE$301,2,0),"")</f>
        <v>1008004</v>
      </c>
      <c r="G1339" s="147" t="str">
        <f aca="false">IFERROR(VLOOKUP(F1339,$AE$2:$AF$290,2, 0),"")</f>
        <v>حقل</v>
      </c>
      <c r="H1339" s="212" t="s">
        <v>316</v>
      </c>
      <c r="I1339" s="246" t="n">
        <f aca="false">SUM(K1339:R1339)</f>
        <v>6</v>
      </c>
      <c r="J1339" s="182" t="n">
        <v>45768</v>
      </c>
      <c r="K1339" s="148" t="n">
        <v>1</v>
      </c>
      <c r="Q1339" s="154" t="n">
        <v>5</v>
      </c>
      <c r="S1339" s="192" t="n">
        <f aca="false">(K1339+O1339+Q1339)*24 /1130+(L1339+M1339+P1339+R1339)*12/1130+(N1339*30)/1130</f>
        <v>0.127433628318584</v>
      </c>
    </row>
    <row r="1340" customFormat="false" ht="15" hidden="true" customHeight="true" outlineLevel="0" collapsed="false">
      <c r="B1340" s="127" t="n">
        <f aca="false">B1339+D1340-C1340</f>
        <v>5186.5</v>
      </c>
      <c r="D1340" s="146" t="n">
        <v>299</v>
      </c>
      <c r="E1340" s="147" t="n">
        <v>1064</v>
      </c>
      <c r="F1340" s="147" t="n">
        <f aca="false">IFERROR(VLOOKUP(H1340,$AD$1:$AE$301,2,0),"")</f>
        <v>1008020</v>
      </c>
      <c r="G1340" s="147" t="str">
        <f aca="false">IFERROR(VLOOKUP(F1340,$AE$2:$AF$290,2, 0),"")</f>
        <v>البير</v>
      </c>
      <c r="H1340" s="212" t="s">
        <v>293</v>
      </c>
      <c r="I1340" s="246" t="n">
        <f aca="false">SUM(K1340:R1340)</f>
        <v>1</v>
      </c>
      <c r="J1340" s="182" t="n">
        <v>45768</v>
      </c>
      <c r="K1340" s="148" t="n">
        <v>1</v>
      </c>
      <c r="S1340" s="192" t="n">
        <f aca="false">(K1340+O1340+Q1340)*24 /1130+(L1340+M1340+P1340+R1340)*12/1130+(N1340*30)/1130</f>
        <v>0.0212389380530973</v>
      </c>
    </row>
    <row r="1341" customFormat="false" ht="15" hidden="true" customHeight="true" outlineLevel="0" collapsed="false">
      <c r="B1341" s="127" t="n">
        <f aca="false">B1340+D1341-C1341</f>
        <v>2650</v>
      </c>
      <c r="C1341" s="127" t="n">
        <f aca="false">770.5+299+589+50+500+328</f>
        <v>2536.5</v>
      </c>
      <c r="E1341" s="212" t="s">
        <v>470</v>
      </c>
      <c r="F1341" s="147" t="str">
        <f aca="false">IFERROR(VLOOKUP(H1341,$AD$1:$AE$301,2,0),"")</f>
        <v/>
      </c>
      <c r="G1341" s="147" t="str">
        <f aca="false">IFERROR(VLOOKUP(F1341,$AE$2:$AF$290,2, 0),"")</f>
        <v/>
      </c>
      <c r="H1341" s="212" t="s">
        <v>393</v>
      </c>
      <c r="I1341" s="246" t="n">
        <f aca="false">SUM(K1341:R1341)</f>
        <v>0</v>
      </c>
      <c r="J1341" s="182" t="n">
        <v>45768</v>
      </c>
      <c r="S1341" s="192" t="n">
        <f aca="false">(K1341+O1341+Q1341)*24 /1130+(L1341+M1341+P1341+R1341)*12/1130+(N1341*30)/1130</f>
        <v>0</v>
      </c>
    </row>
    <row r="1342" customFormat="false" ht="15" hidden="true" customHeight="true" outlineLevel="0" collapsed="false">
      <c r="B1342" s="127" t="n">
        <f aca="false">B1341+D1342-C1342</f>
        <v>0</v>
      </c>
      <c r="C1342" s="127" t="n">
        <v>2650</v>
      </c>
      <c r="E1342" s="212" t="s">
        <v>653</v>
      </c>
      <c r="F1342" s="147" t="str">
        <f aca="false">IFERROR(VLOOKUP(H1342,$AD$1:$AE$301,2,0),"")</f>
        <v/>
      </c>
      <c r="G1342" s="147" t="str">
        <f aca="false">IFERROR(VLOOKUP(F1342,$AE$2:$AF$290,2, 0),"")</f>
        <v/>
      </c>
      <c r="H1342" s="212" t="s">
        <v>393</v>
      </c>
      <c r="I1342" s="246" t="n">
        <f aca="false">SUM(K1342:R1342)</f>
        <v>0</v>
      </c>
      <c r="J1342" s="182" t="n">
        <v>45769</v>
      </c>
      <c r="S1342" s="192" t="n">
        <f aca="false">(K1342+O1342+Q1342)*24 /1130+(L1342+M1342+P1342+R1342)*12/1130+(N1342*30)/1130</f>
        <v>0</v>
      </c>
    </row>
    <row r="1343" customFormat="false" ht="15" hidden="true" customHeight="true" outlineLevel="0" collapsed="false">
      <c r="B1343" s="127" t="n">
        <f aca="false">B1342+D1343-C1343</f>
        <v>155.25</v>
      </c>
      <c r="D1343" s="146" t="n">
        <v>155.25</v>
      </c>
      <c r="E1343" s="147" t="n">
        <v>1065</v>
      </c>
      <c r="F1343" s="147" t="n">
        <f aca="false">IFERROR(VLOOKUP(H1343,$AD$1:$AE$301,2,0),"")</f>
        <v>562</v>
      </c>
      <c r="G1343" s="147" t="str">
        <f aca="false">IFERROR(VLOOKUP(F1343,$AE$2:$AF$290,2, 0),"")</f>
        <v>تبوك</v>
      </c>
      <c r="H1343" s="212" t="s">
        <v>234</v>
      </c>
      <c r="I1343" s="246" t="n">
        <f aca="false">SUM(K1343:R1343)</f>
        <v>1</v>
      </c>
      <c r="J1343" s="182" t="n">
        <v>45769</v>
      </c>
      <c r="R1343" s="155" t="n">
        <v>1</v>
      </c>
      <c r="S1343" s="192" t="n">
        <f aca="false">(K1343+O1343+Q1343)*24 /1130+(L1343+M1343+P1343+R1343)*12/1130+(N1343*30)/1130</f>
        <v>0.0106194690265487</v>
      </c>
    </row>
    <row r="1344" customFormat="false" ht="15" hidden="true" customHeight="true" outlineLevel="0" collapsed="false">
      <c r="B1344" s="127" t="n">
        <f aca="false">B1343+D1344-C1344</f>
        <v>983.25</v>
      </c>
      <c r="D1344" s="146" t="n">
        <f aca="false">299+264.5*2</f>
        <v>828</v>
      </c>
      <c r="E1344" s="147" t="n">
        <v>1066</v>
      </c>
      <c r="F1344" s="147" t="n">
        <f aca="false">IFERROR(VLOOKUP(H1344,$AD$1:$AE$301,2,0),"")</f>
        <v>1076</v>
      </c>
      <c r="G1344" s="147" t="str">
        <f aca="false">IFERROR(VLOOKUP(F1344,$AE$2:$AF$290,2, 0),"")</f>
        <v>تبوك</v>
      </c>
      <c r="H1344" s="212" t="s">
        <v>244</v>
      </c>
      <c r="I1344" s="246" t="n">
        <f aca="false">SUM(K1344:R1344)</f>
        <v>3</v>
      </c>
      <c r="J1344" s="182" t="n">
        <v>45769</v>
      </c>
      <c r="R1344" s="155" t="n">
        <f aca="false">1+2</f>
        <v>3</v>
      </c>
      <c r="S1344" s="192" t="n">
        <f aca="false">(K1344+O1344+Q1344)*24 /1130+(L1344+M1344+P1344+R1344)*12/1130+(N1344*30)/1130</f>
        <v>0.031858407079646</v>
      </c>
    </row>
    <row r="1345" customFormat="false" ht="15" hidden="true" customHeight="true" outlineLevel="0" collapsed="false">
      <c r="A1345" s="128" t="n">
        <f aca="false">D1345-200-100-4*5-80</f>
        <v>2.5</v>
      </c>
      <c r="B1345" s="127" t="n">
        <f aca="false">B1344+D1345-C1345</f>
        <v>1385.75</v>
      </c>
      <c r="D1345" s="146" t="n">
        <f aca="false">264.5+138</f>
        <v>402.5</v>
      </c>
      <c r="E1345" s="147" t="n">
        <v>1067</v>
      </c>
      <c r="F1345" s="147" t="n">
        <f aca="false">IFERROR(VLOOKUP(H1345,$AD$1:$AE$301,2,0),"")</f>
        <v>1008269</v>
      </c>
      <c r="G1345" s="147" t="str">
        <f aca="false">IFERROR(VLOOKUP(F1345,$AE$2:$AF$290,2, 0),"")</f>
        <v>تبوك</v>
      </c>
      <c r="H1345" s="212" t="s">
        <v>166</v>
      </c>
      <c r="I1345" s="246" t="n">
        <f aca="false">SUM(K1345:R1345)</f>
        <v>2</v>
      </c>
      <c r="J1345" s="182" t="n">
        <v>45769</v>
      </c>
      <c r="Q1345" s="154" t="n">
        <v>1</v>
      </c>
      <c r="R1345" s="155" t="n">
        <v>1</v>
      </c>
      <c r="S1345" s="192" t="n">
        <f aca="false">(K1345+O1345+Q1345)*24 /1130+(L1345+M1345+P1345+R1345)*12/1130+(N1345*30)/1130</f>
        <v>0.031858407079646</v>
      </c>
    </row>
    <row r="1346" customFormat="false" ht="15" hidden="true" customHeight="true" outlineLevel="0" collapsed="false">
      <c r="B1346" s="127" t="n">
        <f aca="false">B1345+D1346-C1346</f>
        <v>0.75</v>
      </c>
      <c r="C1346" s="127" t="n">
        <v>1385</v>
      </c>
      <c r="E1346" s="212" t="s">
        <v>653</v>
      </c>
      <c r="F1346" s="147" t="str">
        <f aca="false">IFERROR(VLOOKUP(H1346,$AD$1:$AE$301,2,0),"")</f>
        <v/>
      </c>
      <c r="G1346" s="147" t="str">
        <f aca="false">IFERROR(VLOOKUP(F1346,$AE$2:$AF$290,2, 0),"")</f>
        <v/>
      </c>
      <c r="H1346" s="212" t="s">
        <v>393</v>
      </c>
      <c r="I1346" s="246" t="n">
        <f aca="false">SUM(K1346:R1346)</f>
        <v>0</v>
      </c>
      <c r="J1346" s="182" t="n">
        <v>45770</v>
      </c>
      <c r="S1346" s="192" t="n">
        <f aca="false">(K1346+O1346+Q1346)*24 /1130+(L1346+M1346+P1346+R1346)*12/1130+(N1346*30)/1130</f>
        <v>0</v>
      </c>
    </row>
    <row r="1347" customFormat="false" ht="15" hidden="true" customHeight="true" outlineLevel="0" collapsed="false">
      <c r="A1347" s="128" t="n">
        <f aca="false">D1347-200-40-300.5</f>
        <v>0</v>
      </c>
      <c r="B1347" s="127" t="n">
        <f aca="false">B1346+D1347-C1347</f>
        <v>541.25</v>
      </c>
      <c r="D1347" s="146" t="n">
        <f aca="false">299+241.5</f>
        <v>540.5</v>
      </c>
      <c r="E1347" s="147" t="n">
        <v>1068</v>
      </c>
      <c r="F1347" s="147" t="n">
        <f aca="false">IFERROR(VLOOKUP(H1347,$AD$1:$AE$301,2,0),"")</f>
        <v>1008050</v>
      </c>
      <c r="G1347" s="147" t="str">
        <f aca="false">IFERROR(VLOOKUP(F1347,$AE$2:$AF$290,2, 0),"")</f>
        <v>ضباء</v>
      </c>
      <c r="H1347" s="212" t="s">
        <v>92</v>
      </c>
      <c r="I1347" s="246" t="n">
        <f aca="false">SUM(K1347:R1347)</f>
        <v>2</v>
      </c>
      <c r="J1347" s="182" t="n">
        <v>45770</v>
      </c>
      <c r="K1347" s="148" t="n">
        <v>1</v>
      </c>
      <c r="O1347" s="152" t="n">
        <v>1</v>
      </c>
      <c r="S1347" s="192" t="n">
        <f aca="false">(K1347+O1347+Q1347)*24 /1130+(L1347+M1347+P1347+R1347)*12/1130+(N1347*30)/1130</f>
        <v>0.0424778761061947</v>
      </c>
    </row>
    <row r="1348" customFormat="false" ht="15" hidden="true" customHeight="true" outlineLevel="0" collapsed="false">
      <c r="B1348" s="127" t="n">
        <f aca="false">B1347+D1348-C1348</f>
        <v>995.5</v>
      </c>
      <c r="D1348" s="146" t="n">
        <f aca="false">299+155.25</f>
        <v>454.25</v>
      </c>
      <c r="E1348" s="147" t="n">
        <v>1069</v>
      </c>
      <c r="F1348" s="147" t="n">
        <f aca="false">IFERROR(VLOOKUP(H1348,$AD$1:$AE$301,2,0),"")</f>
        <v>1008051</v>
      </c>
      <c r="G1348" s="147" t="str">
        <f aca="false">IFERROR(VLOOKUP(F1348,$AE$2:$AF$290,2, 0),"")</f>
        <v>الوجه</v>
      </c>
      <c r="H1348" s="212" t="s">
        <v>113</v>
      </c>
      <c r="I1348" s="246" t="n">
        <f aca="false">SUM(K1348:R1348)</f>
        <v>2</v>
      </c>
      <c r="J1348" s="182" t="n">
        <v>45770</v>
      </c>
      <c r="K1348" s="148" t="n">
        <v>1</v>
      </c>
      <c r="R1348" s="155" t="n">
        <v>1</v>
      </c>
      <c r="S1348" s="192" t="n">
        <f aca="false">(K1348+O1348+Q1348)*24 /1130+(L1348+M1348+P1348+R1348)*12/1130+(N1348*30)/1130</f>
        <v>0.031858407079646</v>
      </c>
    </row>
    <row r="1349" customFormat="false" ht="15" hidden="true" customHeight="true" outlineLevel="0" collapsed="false">
      <c r="B1349" s="127" t="n">
        <f aca="false">B1348+D1349-C1349</f>
        <v>1547.5</v>
      </c>
      <c r="D1349" s="146" t="n">
        <f aca="false">253+299</f>
        <v>552</v>
      </c>
      <c r="E1349" s="147" t="n">
        <v>1070</v>
      </c>
      <c r="F1349" s="147" t="n">
        <f aca="false">IFERROR(VLOOKUP(H1349,$AD$1:$AE$301,2,0),"")</f>
        <v>1008046</v>
      </c>
      <c r="G1349" s="147" t="str">
        <f aca="false">IFERROR(VLOOKUP(F1349,$AE$2:$AF$290,2, 0),"")</f>
        <v>الوجه</v>
      </c>
      <c r="H1349" s="212" t="s">
        <v>108</v>
      </c>
      <c r="I1349" s="246" t="n">
        <f aca="false">SUM(K1349:R1349)</f>
        <v>2</v>
      </c>
      <c r="J1349" s="182" t="n">
        <v>45770</v>
      </c>
      <c r="M1349" s="150" t="n">
        <v>1</v>
      </c>
      <c r="R1349" s="155" t="n">
        <v>1</v>
      </c>
      <c r="S1349" s="192" t="n">
        <f aca="false">(K1349+O1349+Q1349)*24 /1130+(L1349+M1349+P1349+R1349)*12/1130+(N1349*30)/1130</f>
        <v>0.0212389380530973</v>
      </c>
    </row>
    <row r="1350" customFormat="false" ht="15" hidden="true" customHeight="true" outlineLevel="0" collapsed="false">
      <c r="A1350" s="128" t="n">
        <f aca="false">D1350+298-275-299</f>
        <v>0</v>
      </c>
      <c r="B1350" s="127" t="n">
        <f aca="false">B1349+D1350-C1350</f>
        <v>1823.5</v>
      </c>
      <c r="D1350" s="146" t="n">
        <f aca="false">138*2</f>
        <v>276</v>
      </c>
      <c r="E1350" s="147" t="n">
        <v>1071</v>
      </c>
      <c r="F1350" s="147" t="n">
        <f aca="false">IFERROR(VLOOKUP(H1350,$AD$1:$AE$301,2,0),"")</f>
        <v>656</v>
      </c>
      <c r="G1350" s="147" t="str">
        <f aca="false">IFERROR(VLOOKUP(F1350,$AE$2:$AF$290,2, 0),"")</f>
        <v>الوجه</v>
      </c>
      <c r="H1350" s="212" t="s">
        <v>115</v>
      </c>
      <c r="I1350" s="246" t="n">
        <f aca="false">SUM(K1350:R1350)</f>
        <v>2</v>
      </c>
      <c r="J1350" s="182" t="n">
        <v>45770</v>
      </c>
      <c r="Q1350" s="154" t="n">
        <v>2</v>
      </c>
      <c r="S1350" s="192" t="n">
        <f aca="false">(K1350+O1350+Q1350)*24 /1130+(L1350+M1350+P1350+R1350)*12/1130+(N1350*30)/1130</f>
        <v>0.0424778761061947</v>
      </c>
    </row>
    <row r="1351" customFormat="false" ht="15" hidden="true" customHeight="true" outlineLevel="0" collapsed="false">
      <c r="B1351" s="127" t="n">
        <f aca="false">B1350+D1351-C1351</f>
        <v>2697.5</v>
      </c>
      <c r="D1351" s="146" t="n">
        <f aca="false">299*2+138*2</f>
        <v>874</v>
      </c>
      <c r="E1351" s="147" t="n">
        <v>1072</v>
      </c>
      <c r="F1351" s="147" t="n">
        <f aca="false">IFERROR(VLOOKUP(H1351,$AD$1:$AE$301,2,0),"")</f>
        <v>1008047</v>
      </c>
      <c r="G1351" s="147" t="str">
        <f aca="false">IFERROR(VLOOKUP(F1351,$AE$2:$AF$290,2, 0),"")</f>
        <v>الوجه</v>
      </c>
      <c r="H1351" s="212" t="s">
        <v>422</v>
      </c>
      <c r="I1351" s="246" t="n">
        <f aca="false">SUM(K1351:R1351)</f>
        <v>4</v>
      </c>
      <c r="J1351" s="182" t="n">
        <v>45770</v>
      </c>
      <c r="K1351" s="148" t="n">
        <v>2</v>
      </c>
      <c r="Q1351" s="154" t="n">
        <v>2</v>
      </c>
      <c r="S1351" s="192" t="n">
        <f aca="false">(K1351+O1351+Q1351)*24 /1130+(L1351+M1351+P1351+R1351)*12/1130+(N1351*30)/1130</f>
        <v>0.0849557522123894</v>
      </c>
    </row>
    <row r="1352" customFormat="false" ht="15" hidden="true" customHeight="true" outlineLevel="0" collapsed="false">
      <c r="B1352" s="127" t="n">
        <f aca="false">B1351+D1352-C1352</f>
        <v>2933.25</v>
      </c>
      <c r="D1352" s="146" t="n">
        <v>235.75</v>
      </c>
      <c r="E1352" s="147" t="n">
        <v>1073</v>
      </c>
      <c r="F1352" s="147" t="n">
        <f aca="false">IFERROR(VLOOKUP(H1352,$AD$1:$AE$301,2,0),"")</f>
        <v>1008047</v>
      </c>
      <c r="G1352" s="147" t="str">
        <f aca="false">IFERROR(VLOOKUP(F1352,$AE$2:$AF$290,2, 0),"")</f>
        <v>الوجه</v>
      </c>
      <c r="H1352" s="212" t="s">
        <v>422</v>
      </c>
      <c r="I1352" s="246" t="n">
        <f aca="false">SUM(K1352:R1352)</f>
        <v>1</v>
      </c>
      <c r="J1352" s="182" t="n">
        <v>45770</v>
      </c>
      <c r="M1352" s="150" t="n">
        <v>1</v>
      </c>
      <c r="S1352" s="192" t="n">
        <f aca="false">(K1352+O1352+Q1352)*24 /1130+(L1352+M1352+P1352+R1352)*12/1130+(N1352*30)/1130</f>
        <v>0.0106194690265487</v>
      </c>
    </row>
    <row r="1353" customFormat="false" ht="15" hidden="true" customHeight="true" outlineLevel="0" collapsed="false">
      <c r="B1353" s="127" t="n">
        <f aca="false">B1352+D1353-C1353</f>
        <v>4083.25</v>
      </c>
      <c r="D1353" s="146" t="n">
        <f aca="false">230*5</f>
        <v>1150</v>
      </c>
      <c r="E1353" s="147" t="n">
        <v>1074</v>
      </c>
      <c r="F1353" s="147" t="n">
        <f aca="false">IFERROR(VLOOKUP(H1353,$AD$1:$AE$301,2,0),"")</f>
        <v>1007988</v>
      </c>
      <c r="G1353" s="147" t="str">
        <f aca="false">IFERROR(VLOOKUP(F1353,$AE$2:$AF$290,2, 0),"")</f>
        <v>ضباء</v>
      </c>
      <c r="H1353" s="212" t="s">
        <v>89</v>
      </c>
      <c r="I1353" s="246" t="n">
        <f aca="false">SUM(K1353:R1353)</f>
        <v>5</v>
      </c>
      <c r="J1353" s="182" t="n">
        <v>45770</v>
      </c>
      <c r="M1353" s="150" t="n">
        <v>5</v>
      </c>
      <c r="S1353" s="192" t="n">
        <f aca="false">(K1353+O1353+Q1353)*24 /1130+(L1353+M1353+P1353+R1353)*12/1130+(N1353*30)/1130</f>
        <v>0.0530973451327434</v>
      </c>
    </row>
    <row r="1354" customFormat="false" ht="15" hidden="true" customHeight="true" outlineLevel="0" collapsed="false">
      <c r="A1354" s="128" t="n">
        <f aca="false">D1354-250-2</f>
        <v>1</v>
      </c>
      <c r="B1354" s="127" t="n">
        <f aca="false">B1353+D1354-C1354</f>
        <v>4336.25</v>
      </c>
      <c r="D1354" s="146" t="n">
        <v>253</v>
      </c>
      <c r="E1354" s="147" t="n">
        <v>1075</v>
      </c>
      <c r="F1354" s="147" t="n">
        <f aca="false">IFERROR(VLOOKUP(H1354,$AD$1:$AE$301,2,0),"")</f>
        <v>1007989</v>
      </c>
      <c r="G1354" s="147" t="str">
        <f aca="false">IFERROR(VLOOKUP(F1354,$AE$2:$AF$290,2, 0),"")</f>
        <v>ضباء</v>
      </c>
      <c r="H1354" s="212" t="s">
        <v>90</v>
      </c>
      <c r="I1354" s="246" t="n">
        <f aca="false">SUM(K1354:R1354)</f>
        <v>1</v>
      </c>
      <c r="J1354" s="182" t="n">
        <v>45770</v>
      </c>
      <c r="M1354" s="150" t="n">
        <v>1</v>
      </c>
      <c r="S1354" s="192" t="n">
        <f aca="false">(K1354+O1354+Q1354)*24 /1130+(L1354+M1354+P1354+R1354)*12/1130+(N1354*30)/1130</f>
        <v>0.0106194690265487</v>
      </c>
    </row>
    <row r="1355" customFormat="false" ht="15" hidden="true" customHeight="true" outlineLevel="0" collapsed="false">
      <c r="B1355" s="127" t="n">
        <f aca="false">B1354+D1355-C1355</f>
        <v>4589.25</v>
      </c>
      <c r="D1355" s="146" t="n">
        <v>253</v>
      </c>
      <c r="E1355" s="147" t="n">
        <v>1076</v>
      </c>
      <c r="F1355" s="147" t="n">
        <f aca="false">IFERROR(VLOOKUP(H1355,$AD$1:$AE$301,2,0),"")</f>
        <v>1008028</v>
      </c>
      <c r="G1355" s="147" t="str">
        <f aca="false">IFERROR(VLOOKUP(F1355,$AE$2:$AF$290,2, 0),"")</f>
        <v>ضباء</v>
      </c>
      <c r="H1355" s="212" t="s">
        <v>99</v>
      </c>
      <c r="I1355" s="246" t="n">
        <f aca="false">SUM(K1355:R1355)</f>
        <v>1</v>
      </c>
      <c r="J1355" s="182" t="n">
        <v>45770</v>
      </c>
      <c r="M1355" s="150" t="n">
        <v>1</v>
      </c>
      <c r="S1355" s="192" t="n">
        <f aca="false">(K1355+O1355+Q1355)*24 /1130+(L1355+M1355+P1355+R1355)*12/1130+(N1355*30)/1130</f>
        <v>0.0106194690265487</v>
      </c>
    </row>
    <row r="1356" customFormat="false" ht="15" hidden="true" customHeight="true" outlineLevel="0" collapsed="false">
      <c r="B1356" s="127" t="n">
        <f aca="false">B1355+D1356-C1356</f>
        <v>4727.25</v>
      </c>
      <c r="D1356" s="146" t="n">
        <v>138</v>
      </c>
      <c r="E1356" s="147" t="n">
        <v>1077</v>
      </c>
      <c r="F1356" s="147" t="n">
        <f aca="false">IFERROR(VLOOKUP(H1356,$AD$1:$AE$301,2,0),"")</f>
        <v>1007976</v>
      </c>
      <c r="G1356" s="147" t="str">
        <f aca="false">IFERROR(VLOOKUP(F1356,$AE$2:$AF$290,2, 0),"")</f>
        <v>ضباء</v>
      </c>
      <c r="H1356" s="212" t="s">
        <v>77</v>
      </c>
      <c r="I1356" s="246" t="n">
        <f aca="false">SUM(K1356:R1356)</f>
        <v>1</v>
      </c>
      <c r="J1356" s="182" t="n">
        <v>45770</v>
      </c>
      <c r="Q1356" s="154" t="n">
        <v>1</v>
      </c>
      <c r="S1356" s="192" t="n">
        <f aca="false">(K1356+O1356+Q1356)*24 /1130+(L1356+M1356+P1356+R1356)*12/1130+(N1356*30)/1130</f>
        <v>0.0212389380530973</v>
      </c>
    </row>
    <row r="1357" customFormat="false" ht="15" hidden="true" customHeight="true" outlineLevel="0" collapsed="false">
      <c r="B1357" s="127" t="n">
        <f aca="false">B1356+D1357-C1357</f>
        <v>3577.25</v>
      </c>
      <c r="C1357" s="127" t="n">
        <f aca="false">1150</f>
        <v>1150</v>
      </c>
      <c r="E1357" s="212" t="s">
        <v>470</v>
      </c>
      <c r="F1357" s="147" t="str">
        <f aca="false">IFERROR(VLOOKUP(H1357,$AD$1:$AE$301,2,0),"")</f>
        <v/>
      </c>
      <c r="G1357" s="147" t="str">
        <f aca="false">IFERROR(VLOOKUP(F1357,$AE$2:$AF$290,2, 0),"")</f>
        <v/>
      </c>
      <c r="H1357" s="212" t="s">
        <v>393</v>
      </c>
      <c r="I1357" s="246" t="n">
        <f aca="false">SUM(K1357:R1357)</f>
        <v>0</v>
      </c>
      <c r="J1357" s="182" t="n">
        <v>45770</v>
      </c>
      <c r="S1357" s="192" t="n">
        <f aca="false">(K1357+O1357+Q1357)*24 /1130+(L1357+M1357+P1357+R1357)*12/1130+(N1357*30)/1130</f>
        <v>0</v>
      </c>
    </row>
    <row r="1358" customFormat="false" ht="15" hidden="true" customHeight="true" outlineLevel="0" collapsed="false">
      <c r="B1358" s="127" t="n">
        <f aca="false">B1357+D1358-C1358</f>
        <v>0</v>
      </c>
      <c r="C1358" s="127" t="n">
        <v>3577</v>
      </c>
      <c r="D1358" s="146" t="n">
        <v>-0.25</v>
      </c>
      <c r="E1358" s="212" t="s">
        <v>653</v>
      </c>
      <c r="F1358" s="147" t="str">
        <f aca="false">IFERROR(VLOOKUP(H1358,$AD$1:$AE$301,2,0),"")</f>
        <v/>
      </c>
      <c r="G1358" s="147" t="str">
        <f aca="false">IFERROR(VLOOKUP(F1358,$AE$2:$AF$290,2, 0),"")</f>
        <v/>
      </c>
      <c r="H1358" s="212" t="s">
        <v>393</v>
      </c>
      <c r="I1358" s="246" t="n">
        <f aca="false">SUM(K1358:R1358)</f>
        <v>0</v>
      </c>
      <c r="J1358" s="182" t="n">
        <v>45770</v>
      </c>
      <c r="S1358" s="192" t="n">
        <f aca="false">(K1358+O1358+Q1358)*24 /1130+(L1358+M1358+P1358+R1358)*12/1130+(N1358*30)/1130</f>
        <v>0</v>
      </c>
    </row>
    <row r="1359" customFormat="false" ht="15" hidden="true" customHeight="true" outlineLevel="0" collapsed="false">
      <c r="A1359" s="128" t="n">
        <f aca="false">D1359-552</f>
        <v>0</v>
      </c>
      <c r="B1359" s="127" t="n">
        <f aca="false">B1358+D1359-C1359</f>
        <v>552</v>
      </c>
      <c r="D1359" s="146" t="n">
        <f aca="false">253+299</f>
        <v>552</v>
      </c>
      <c r="E1359" s="147" t="n">
        <v>1078</v>
      </c>
      <c r="F1359" s="147" t="n">
        <f aca="false">IFERROR(VLOOKUP(H1359,$AD$1:$AE$301,2,0),"")</f>
        <v>549</v>
      </c>
      <c r="G1359" s="147" t="str">
        <f aca="false">IFERROR(VLOOKUP(F1359,$AE$2:$AF$290,2, 0),"")</f>
        <v>تبوك</v>
      </c>
      <c r="H1359" s="212" t="s">
        <v>238</v>
      </c>
      <c r="I1359" s="246" t="n">
        <f aca="false">SUM(K1359:R1359)</f>
        <v>2</v>
      </c>
      <c r="J1359" s="182" t="n">
        <v>45771</v>
      </c>
      <c r="M1359" s="150" t="n">
        <v>1</v>
      </c>
      <c r="R1359" s="155" t="n">
        <v>1</v>
      </c>
      <c r="S1359" s="192" t="n">
        <f aca="false">(K1359+O1359+Q1359)*24 /1130+(L1359+M1359+P1359+R1359)*12/1130+(N1359*30)/1130</f>
        <v>0.0212389380530973</v>
      </c>
    </row>
    <row r="1360" customFormat="false" ht="15" hidden="true" customHeight="true" outlineLevel="0" collapsed="false">
      <c r="A1360" s="128" t="n">
        <f aca="false">D1360-310</f>
        <v>0.5</v>
      </c>
      <c r="B1360" s="127" t="n">
        <f aca="false">B1359+D1360-C1360</f>
        <v>862.5</v>
      </c>
      <c r="D1360" s="146" t="n">
        <f aca="false">155.25*2</f>
        <v>310.5</v>
      </c>
      <c r="E1360" s="147" t="n">
        <v>1079</v>
      </c>
      <c r="F1360" s="147" t="n">
        <f aca="false">IFERROR(VLOOKUP(H1360,$AD$1:$AE$301,2,0),"")</f>
        <v>653</v>
      </c>
      <c r="G1360" s="147" t="str">
        <f aca="false">IFERROR(VLOOKUP(F1360,$AE$2:$AF$290,2, 0),"")</f>
        <v>تبوك</v>
      </c>
      <c r="H1360" s="212" t="s">
        <v>264</v>
      </c>
      <c r="I1360" s="246" t="n">
        <f aca="false">SUM(K1360:R1360)</f>
        <v>2</v>
      </c>
      <c r="J1360" s="182" t="n">
        <v>45771</v>
      </c>
      <c r="R1360" s="155" t="n">
        <v>2</v>
      </c>
      <c r="S1360" s="192" t="n">
        <f aca="false">(K1360+O1360+Q1360)*24 /1130+(L1360+M1360+P1360+R1360)*12/1130+(N1360*30)/1130</f>
        <v>0.0212389380530973</v>
      </c>
    </row>
    <row r="1361" customFormat="false" ht="15" hidden="true" customHeight="true" outlineLevel="0" collapsed="false">
      <c r="A1361" s="128" t="n">
        <f aca="false">D1361-100-200-50-248</f>
        <v>0</v>
      </c>
      <c r="B1361" s="127" t="n">
        <f aca="false">B1360+D1361-C1361</f>
        <v>1460.5</v>
      </c>
      <c r="D1361" s="146" t="n">
        <f aca="false">299*2</f>
        <v>598</v>
      </c>
      <c r="E1361" s="147" t="n">
        <v>1081</v>
      </c>
      <c r="F1361" s="147" t="n">
        <f aca="false">IFERROR(VLOOKUP(H1361,$AD$1:$AE$301,2,0),"")</f>
        <v>1008262</v>
      </c>
      <c r="G1361" s="147" t="str">
        <f aca="false">IFERROR(VLOOKUP(F1361,$AE$2:$AF$290,2, 0),"")</f>
        <v>تبوك</v>
      </c>
      <c r="H1361" s="212" t="s">
        <v>176</v>
      </c>
      <c r="I1361" s="246" t="n">
        <f aca="false">SUM(K1361:R1361)</f>
        <v>2</v>
      </c>
      <c r="J1361" s="182" t="n">
        <v>45771</v>
      </c>
      <c r="K1361" s="148" t="n">
        <v>2</v>
      </c>
      <c r="S1361" s="192" t="n">
        <f aca="false">(K1361+O1361+Q1361)*24 /1130+(L1361+M1361+P1361+R1361)*12/1130+(N1361*30)/1130</f>
        <v>0.0424778761061947</v>
      </c>
    </row>
    <row r="1362" customFormat="false" ht="15" hidden="true" customHeight="true" outlineLevel="0" collapsed="false">
      <c r="A1362" s="128" t="n">
        <f aca="false">D1362-299</f>
        <v>0</v>
      </c>
      <c r="B1362" s="127" t="n">
        <f aca="false">B1361+D1362-C1362</f>
        <v>1759.5</v>
      </c>
      <c r="D1362" s="146" t="n">
        <v>299</v>
      </c>
      <c r="E1362" s="147" t="n">
        <v>1080</v>
      </c>
      <c r="F1362" s="147" t="n">
        <f aca="false">IFERROR(VLOOKUP(H1362,$AD$1:$AE$301,2,0),"")</f>
        <v>755</v>
      </c>
      <c r="G1362" s="147" t="str">
        <f aca="false">IFERROR(VLOOKUP(F1362,$AE$2:$AF$290,2, 0),"")</f>
        <v>تبوك</v>
      </c>
      <c r="H1362" s="212" t="s">
        <v>180</v>
      </c>
      <c r="I1362" s="246" t="n">
        <f aca="false">SUM(K1362:R1362)</f>
        <v>1</v>
      </c>
      <c r="J1362" s="182" t="n">
        <v>45771</v>
      </c>
      <c r="K1362" s="148" t="n">
        <v>1</v>
      </c>
      <c r="S1362" s="192" t="n">
        <f aca="false">(K1362+O1362+Q1362)*24 /1130+(L1362+M1362+P1362+R1362)*12/1130+(N1362*30)/1130</f>
        <v>0.0212389380530973</v>
      </c>
    </row>
    <row r="1363" customFormat="false" ht="15" hidden="true" customHeight="true" outlineLevel="0" collapsed="false">
      <c r="A1363" s="128" t="n">
        <f aca="false">D1363-240-58</f>
        <v>1</v>
      </c>
      <c r="B1363" s="127" t="n">
        <f aca="false">B1362+D1363-C1363</f>
        <v>2058.5</v>
      </c>
      <c r="D1363" s="146" t="n">
        <v>299</v>
      </c>
      <c r="E1363" s="147" t="n">
        <v>1082</v>
      </c>
      <c r="F1363" s="147" t="n">
        <f aca="false">IFERROR(VLOOKUP(H1363,$AD$1:$AE$301,2,0),"")</f>
        <v>622</v>
      </c>
      <c r="G1363" s="147" t="str">
        <f aca="false">IFERROR(VLOOKUP(F1363,$AE$2:$AF$290,2, 0),"")</f>
        <v>تبوك</v>
      </c>
      <c r="H1363" s="212" t="s">
        <v>177</v>
      </c>
      <c r="I1363" s="246" t="n">
        <f aca="false">SUM(K1363:R1363)</f>
        <v>1</v>
      </c>
      <c r="J1363" s="182" t="n">
        <v>45771</v>
      </c>
      <c r="K1363" s="148" t="n">
        <v>1</v>
      </c>
      <c r="S1363" s="192" t="n">
        <f aca="false">(K1363+O1363+Q1363)*24 /1130+(L1363+M1363+P1363+R1363)*12/1130+(N1363*30)/1130</f>
        <v>0.0212389380530973</v>
      </c>
    </row>
    <row r="1364" customFormat="false" ht="15" hidden="true" customHeight="true" outlineLevel="0" collapsed="false">
      <c r="A1364" s="128" t="n">
        <f aca="false">D1364-253</f>
        <v>0</v>
      </c>
      <c r="B1364" s="127" t="n">
        <f aca="false">B1363+D1364-C1364</f>
        <v>2311.5</v>
      </c>
      <c r="D1364" s="146" t="n">
        <v>253</v>
      </c>
      <c r="E1364" s="147" t="n">
        <v>1083</v>
      </c>
      <c r="F1364" s="147" t="n">
        <f aca="false">IFERROR(VLOOKUP(H1364,$AD$1:$AE$301,2,0),"")</f>
        <v>943</v>
      </c>
      <c r="G1364" s="147" t="str">
        <f aca="false">IFERROR(VLOOKUP(F1364,$AE$2:$AF$290,2, 0),"")</f>
        <v>تبوك</v>
      </c>
      <c r="H1364" s="212" t="s">
        <v>259</v>
      </c>
      <c r="I1364" s="246" t="n">
        <f aca="false">SUM(K1364:R1364)</f>
        <v>1</v>
      </c>
      <c r="J1364" s="182" t="n">
        <v>45771</v>
      </c>
      <c r="M1364" s="150" t="n">
        <v>1</v>
      </c>
      <c r="S1364" s="192" t="n">
        <f aca="false">(K1364+O1364+Q1364)*24 /1130+(L1364+M1364+P1364+R1364)*12/1130+(N1364*30)/1130</f>
        <v>0.0106194690265487</v>
      </c>
    </row>
    <row r="1365" customFormat="false" ht="15" hidden="true" customHeight="true" outlineLevel="0" collapsed="false">
      <c r="A1365" s="128" t="n">
        <f aca="false">D1365-874</f>
        <v>0</v>
      </c>
      <c r="B1365" s="127" t="n">
        <f aca="false">B1364+D1365-C1365</f>
        <v>3185.5</v>
      </c>
      <c r="D1365" s="146" t="n">
        <f aca="false">2*138+253+345</f>
        <v>874</v>
      </c>
      <c r="E1365" s="147" t="n">
        <v>1084</v>
      </c>
      <c r="F1365" s="147" t="n">
        <f aca="false">IFERROR(VLOOKUP(H1365,$AD$1:$AE$301,2,0),"")</f>
        <v>943</v>
      </c>
      <c r="G1365" s="147" t="str">
        <f aca="false">IFERROR(VLOOKUP(F1365,$AE$2:$AF$290,2, 0),"")</f>
        <v>تبوك</v>
      </c>
      <c r="H1365" s="212" t="s">
        <v>259</v>
      </c>
      <c r="I1365" s="246" t="n">
        <f aca="false">SUM(K1365:R1365)</f>
        <v>4</v>
      </c>
      <c r="J1365" s="182" t="n">
        <v>45771</v>
      </c>
      <c r="M1365" s="150" t="n">
        <f aca="false">1+1</f>
        <v>2</v>
      </c>
      <c r="Q1365" s="154" t="n">
        <v>2</v>
      </c>
      <c r="S1365" s="192" t="n">
        <f aca="false">(K1365+O1365+Q1365)*24 /1130+(L1365+M1365+P1365+R1365)*12/1130+(N1365*30)/1130</f>
        <v>0.063716814159292</v>
      </c>
    </row>
    <row r="1366" customFormat="false" ht="15" hidden="true" customHeight="true" outlineLevel="0" collapsed="false">
      <c r="A1366" s="128" t="n">
        <f aca="false">D1366-500-180-270-400-400-354.5</f>
        <v>0</v>
      </c>
      <c r="B1366" s="127" t="n">
        <f aca="false">B1365+D1366-C1366</f>
        <v>5290</v>
      </c>
      <c r="D1366" s="146" t="n">
        <f aca="false">3*230+2*253+287.5+241.5*2+138</f>
        <v>2104.5</v>
      </c>
      <c r="E1366" s="147" t="n">
        <v>1085</v>
      </c>
      <c r="F1366" s="147" t="n">
        <f aca="false">IFERROR(VLOOKUP(H1366,$AD$1:$AE$301,2,0),"")</f>
        <v>636</v>
      </c>
      <c r="G1366" s="147" t="str">
        <f aca="false">IFERROR(VLOOKUP(F1366,$AE$2:$AF$290,2, 0),"")</f>
        <v>تبوك</v>
      </c>
      <c r="H1366" s="212" t="s">
        <v>134</v>
      </c>
      <c r="I1366" s="246" t="n">
        <f aca="false">SUM(K1366:R1366)</f>
        <v>9</v>
      </c>
      <c r="J1366" s="182" t="n">
        <v>45771</v>
      </c>
      <c r="M1366" s="150" t="n">
        <f aca="false">3+2</f>
        <v>5</v>
      </c>
      <c r="N1366" s="151" t="n">
        <v>1</v>
      </c>
      <c r="Q1366" s="154" t="n">
        <f aca="false">1+1+1</f>
        <v>3</v>
      </c>
      <c r="S1366" s="192" t="n">
        <f aca="false">(K1366+O1366+Q1366)*24 /1130+(L1366+M1366+P1366+R1366)*12/1130+(N1366*30)/1130</f>
        <v>0.143362831858407</v>
      </c>
    </row>
    <row r="1367" customFormat="false" ht="15" hidden="true" customHeight="true" outlineLevel="0" collapsed="false">
      <c r="B1367" s="127" t="n">
        <f aca="false">B1366+D1367-C1367</f>
        <v>4862.5</v>
      </c>
      <c r="C1367" s="127" t="n">
        <f aca="false">178.5+100+149</f>
        <v>427.5</v>
      </c>
      <c r="E1367" s="212" t="s">
        <v>470</v>
      </c>
      <c r="F1367" s="147" t="str">
        <f aca="false">IFERROR(VLOOKUP(H1367,$AD$1:$AE$301,2,0),"")</f>
        <v/>
      </c>
      <c r="G1367" s="147" t="str">
        <f aca="false">IFERROR(VLOOKUP(F1367,$AE$2:$AF$290,2, 0),"")</f>
        <v/>
      </c>
      <c r="H1367" s="212" t="s">
        <v>393</v>
      </c>
      <c r="I1367" s="246" t="n">
        <f aca="false">SUM(K1367:R1367)</f>
        <v>0</v>
      </c>
      <c r="J1367" s="182" t="n">
        <v>45771</v>
      </c>
      <c r="S1367" s="192" t="n">
        <f aca="false">(K1367+O1367+Q1367)*24 /1130+(L1367+M1367+P1367+R1367)*12/1130+(N1367*30)/1130</f>
        <v>0</v>
      </c>
    </row>
    <row r="1368" customFormat="false" ht="15" hidden="true" customHeight="true" outlineLevel="0" collapsed="false">
      <c r="A1368" s="416"/>
      <c r="B1368" s="127" t="n">
        <f aca="false">B1367+D1368-C1368</f>
        <v>2774</v>
      </c>
      <c r="C1368" s="127" t="n">
        <f aca="false">370+25+35+20+299+459+310+30+138+402.5</f>
        <v>2088.5</v>
      </c>
      <c r="E1368" s="212" t="s">
        <v>470</v>
      </c>
      <c r="F1368" s="147" t="str">
        <f aca="false">IFERROR(VLOOKUP(H1368,$AD$1:$AE$301,2,0),"")</f>
        <v/>
      </c>
      <c r="G1368" s="147" t="str">
        <f aca="false">IFERROR(VLOOKUP(F1368,$AE$2:$AF$290,2, 0),"")</f>
        <v/>
      </c>
      <c r="H1368" s="212" t="s">
        <v>393</v>
      </c>
      <c r="I1368" s="246" t="n">
        <f aca="false">SUM(K1368:R1368)</f>
        <v>0</v>
      </c>
      <c r="J1368" s="182" t="n">
        <v>45771</v>
      </c>
      <c r="S1368" s="192" t="n">
        <f aca="false">(K1368+O1368+Q1368)*24 /1130+(L1368+M1368+P1368+R1368)*12/1130+(N1368*30)/1130</f>
        <v>0</v>
      </c>
    </row>
    <row r="1369" customFormat="false" ht="15" hidden="true" customHeight="true" outlineLevel="0" collapsed="false">
      <c r="A1369" s="417"/>
      <c r="B1369" s="127" t="n">
        <f aca="false">B1368+D1369-C1369</f>
        <v>0</v>
      </c>
      <c r="C1369" s="127" t="n">
        <v>2774</v>
      </c>
      <c r="E1369" s="212" t="s">
        <v>653</v>
      </c>
      <c r="F1369" s="147" t="str">
        <f aca="false">IFERROR(VLOOKUP(H1369,$AD$1:$AE$301,2,0),"")</f>
        <v/>
      </c>
      <c r="G1369" s="147" t="str">
        <f aca="false">IFERROR(VLOOKUP(F1369,$AE$2:$AF$290,2, 0),"")</f>
        <v/>
      </c>
      <c r="H1369" s="212" t="s">
        <v>393</v>
      </c>
      <c r="I1369" s="246" t="n">
        <f aca="false">SUM(K1369:R1369)</f>
        <v>0</v>
      </c>
      <c r="J1369" s="182" t="n">
        <v>45774</v>
      </c>
      <c r="S1369" s="192" t="n">
        <f aca="false">(K1369+O1369+Q1369)*24 /1130+(L1369+M1369+P1369+R1369)*12/1130+(N1369*30)/1130</f>
        <v>0</v>
      </c>
    </row>
    <row r="1370" customFormat="false" ht="15" hidden="true" customHeight="true" outlineLevel="0" collapsed="false">
      <c r="B1370" s="127" t="n">
        <f aca="false">B1369+D1370-C1370</f>
        <v>402.5</v>
      </c>
      <c r="D1370" s="146" t="n">
        <f aca="false">138+264.5</f>
        <v>402.5</v>
      </c>
      <c r="E1370" s="147" t="n">
        <v>1089</v>
      </c>
      <c r="F1370" s="147" t="n">
        <f aca="false">IFERROR(VLOOKUP(H1370,$AD$1:$AE$301,2,0),"")</f>
        <v>681</v>
      </c>
      <c r="G1370" s="147" t="str">
        <f aca="false">IFERROR(VLOOKUP(F1370,$AE$2:$AF$290,2, 0),"")</f>
        <v>تبوك</v>
      </c>
      <c r="H1370" s="212" t="s">
        <v>268</v>
      </c>
      <c r="I1370" s="246" t="n">
        <f aca="false">SUM(K1370:R1370)</f>
        <v>2</v>
      </c>
      <c r="J1370" s="182" t="n">
        <v>45774</v>
      </c>
      <c r="Q1370" s="154" t="n">
        <v>1</v>
      </c>
      <c r="R1370" s="155" t="n">
        <v>1</v>
      </c>
      <c r="S1370" s="192" t="n">
        <f aca="false">(K1370+O1370+Q1370)*24 /1130+(L1370+M1370+P1370+R1370)*12/1130+(N1370*30)/1130</f>
        <v>0.031858407079646</v>
      </c>
    </row>
    <row r="1371" customFormat="false" ht="15" hidden="true" customHeight="true" outlineLevel="0" collapsed="false">
      <c r="A1371" s="128" t="n">
        <f aca="false">D1371-300</f>
        <v>-1</v>
      </c>
      <c r="B1371" s="127" t="n">
        <f aca="false">B1370+D1371-C1371</f>
        <v>701.5</v>
      </c>
      <c r="D1371" s="146" t="n">
        <f aca="false">299</f>
        <v>299</v>
      </c>
      <c r="E1371" s="147" t="n">
        <v>1086</v>
      </c>
      <c r="F1371" s="147" t="n">
        <f aca="false">IFERROR(VLOOKUP(H1371,$AD$1:$AE$301,2,0),"")</f>
        <v>1002852</v>
      </c>
      <c r="G1371" s="147" t="str">
        <f aca="false">IFERROR(VLOOKUP(F1371,$AE$2:$AF$290,2, 0),"")</f>
        <v>تبوك</v>
      </c>
      <c r="H1371" s="212" t="s">
        <v>159</v>
      </c>
      <c r="I1371" s="246" t="n">
        <f aca="false">SUM(K1371:R1371)</f>
        <v>1</v>
      </c>
      <c r="J1371" s="182" t="n">
        <v>45774</v>
      </c>
      <c r="K1371" s="148" t="n">
        <v>1</v>
      </c>
      <c r="S1371" s="192" t="n">
        <f aca="false">(K1371+O1371+Q1371)*24 /1130+(L1371+M1371+P1371+R1371)*12/1130+(N1371*30)/1130</f>
        <v>0.0212389380530973</v>
      </c>
    </row>
    <row r="1372" customFormat="false" ht="15" hidden="true" customHeight="true" outlineLevel="0" collapsed="false">
      <c r="B1372" s="127" t="n">
        <f aca="false">B1371+D1372-C1372</f>
        <v>1000.5</v>
      </c>
      <c r="D1372" s="146" t="n">
        <v>299</v>
      </c>
      <c r="E1372" s="147" t="n">
        <v>1088</v>
      </c>
      <c r="F1372" s="147" t="n">
        <f aca="false">IFERROR(VLOOKUP(H1372,$AD$1:$AE$301,2,0),"")</f>
        <v>1008270</v>
      </c>
      <c r="G1372" s="147" t="str">
        <f aca="false">IFERROR(VLOOKUP(F1372,$AE$2:$AF$290,2, 0),"")</f>
        <v>تبوك</v>
      </c>
      <c r="H1372" s="212" t="s">
        <v>236</v>
      </c>
      <c r="I1372" s="246" t="n">
        <f aca="false">SUM(K1372:R1372)</f>
        <v>1</v>
      </c>
      <c r="J1372" s="182" t="n">
        <v>45774</v>
      </c>
      <c r="K1372" s="148" t="n">
        <v>1</v>
      </c>
      <c r="S1372" s="192" t="n">
        <f aca="false">(K1372+O1372+Q1372)*24 /1130+(L1372+M1372+P1372+R1372)*12/1130+(N1372*30)/1130</f>
        <v>0.0212389380530973</v>
      </c>
    </row>
    <row r="1373" customFormat="false" ht="15" hidden="true" customHeight="true" outlineLevel="0" collapsed="false">
      <c r="B1373" s="127" t="n">
        <f aca="false">B1372+D1373-C1373</f>
        <v>1155.75</v>
      </c>
      <c r="D1373" s="146" t="n">
        <v>155.25</v>
      </c>
      <c r="E1373" s="147" t="n">
        <v>1087</v>
      </c>
      <c r="F1373" s="147" t="n">
        <f aca="false">IFERROR(VLOOKUP(H1373,$AD$1:$AE$301,2,0),"")</f>
        <v>652</v>
      </c>
      <c r="G1373" s="147" t="str">
        <f aca="false">IFERROR(VLOOKUP(F1373,$AE$2:$AF$290,2, 0),"")</f>
        <v>تبوك</v>
      </c>
      <c r="H1373" s="212" t="s">
        <v>263</v>
      </c>
      <c r="I1373" s="246" t="n">
        <f aca="false">SUM(K1373:R1373)</f>
        <v>1</v>
      </c>
      <c r="J1373" s="182" t="n">
        <v>45774</v>
      </c>
      <c r="R1373" s="155" t="n">
        <v>1</v>
      </c>
      <c r="S1373" s="192" t="n">
        <f aca="false">(K1373+O1373+Q1373)*24 /1130+(L1373+M1373+P1373+R1373)*12/1130+(N1373*30)/1130</f>
        <v>0.0106194690265487</v>
      </c>
    </row>
    <row r="1374" customFormat="false" ht="15" hidden="true" customHeight="true" outlineLevel="0" collapsed="false">
      <c r="A1374" s="128" t="n">
        <f aca="false">D1374-299</f>
        <v>0</v>
      </c>
      <c r="B1374" s="127" t="n">
        <f aca="false">B1373+D1374-C1374</f>
        <v>1454.75</v>
      </c>
      <c r="D1374" s="146" t="n">
        <v>299</v>
      </c>
      <c r="E1374" s="147" t="n">
        <v>1090</v>
      </c>
      <c r="F1374" s="147" t="n">
        <f aca="false">IFERROR(VLOOKUP(H1374,$AD$1:$AE$301,2,0),"")</f>
        <v>750</v>
      </c>
      <c r="G1374" s="147" t="str">
        <f aca="false">IFERROR(VLOOKUP(F1374,$AE$2:$AF$290,2, 0),"")</f>
        <v>تبوك</v>
      </c>
      <c r="H1374" s="212" t="s">
        <v>225</v>
      </c>
      <c r="I1374" s="246" t="n">
        <f aca="false">SUM(K1374:R1374)</f>
        <v>1</v>
      </c>
      <c r="J1374" s="182" t="n">
        <v>45774</v>
      </c>
      <c r="K1374" s="148" t="n">
        <v>1</v>
      </c>
      <c r="S1374" s="192" t="n">
        <f aca="false">(K1374+O1374+Q1374)*24 /1130+(L1374+M1374+P1374+R1374)*12/1130+(N1374*30)/1130</f>
        <v>0.0212389380530973</v>
      </c>
    </row>
    <row r="1375" customFormat="false" ht="15" hidden="true" customHeight="true" outlineLevel="0" collapsed="false">
      <c r="B1375" s="127" t="n">
        <f aca="false">B1374+D1375-C1375</f>
        <v>2305.75</v>
      </c>
      <c r="D1375" s="146" t="n">
        <f aca="false">299*2+253</f>
        <v>851</v>
      </c>
      <c r="E1375" s="147" t="n">
        <v>1091</v>
      </c>
      <c r="F1375" s="147" t="n">
        <f aca="false">IFERROR(VLOOKUP(H1375,$AD$1:$AE$301,2,0),"")</f>
        <v>1008264</v>
      </c>
      <c r="G1375" s="147" t="str">
        <f aca="false">IFERROR(VLOOKUP(F1375,$AE$2:$AF$290,2, 0),"")</f>
        <v>تبوك</v>
      </c>
      <c r="H1375" s="212" t="s">
        <v>160</v>
      </c>
      <c r="I1375" s="246" t="n">
        <f aca="false">SUM(K1375:R1375)</f>
        <v>3</v>
      </c>
      <c r="J1375" s="182" t="n">
        <v>45774</v>
      </c>
      <c r="K1375" s="148" t="n">
        <f aca="false">1+1</f>
        <v>2</v>
      </c>
      <c r="M1375" s="150" t="n">
        <v>1</v>
      </c>
      <c r="S1375" s="192" t="n">
        <f aca="false">(K1375+O1375+Q1375)*24 /1130+(L1375+M1375+P1375+R1375)*12/1130+(N1375*30)/1130</f>
        <v>0.0530973451327434</v>
      </c>
    </row>
    <row r="1376" customFormat="false" ht="15" hidden="true" customHeight="true" outlineLevel="0" collapsed="false">
      <c r="B1376" s="127" t="n">
        <f aca="false">B1375+D1376-C1376</f>
        <v>851</v>
      </c>
      <c r="C1376" s="127" t="n">
        <f aca="false">100.25+150+253+180+451+(320)</f>
        <v>1454.25</v>
      </c>
      <c r="D1376" s="146" t="n">
        <v>-0.5</v>
      </c>
      <c r="E1376" s="212" t="s">
        <v>470</v>
      </c>
      <c r="F1376" s="147" t="str">
        <f aca="false">IFERROR(VLOOKUP(H1376,$AD$1:$AE$301,2,0),"")</f>
        <v/>
      </c>
      <c r="G1376" s="147" t="str">
        <f aca="false">IFERROR(VLOOKUP(F1376,$AE$2:$AF$290,2, 0),"")</f>
        <v/>
      </c>
      <c r="H1376" s="212" t="s">
        <v>393</v>
      </c>
      <c r="I1376" s="246" t="n">
        <f aca="false">SUM(K1376:R1376)</f>
        <v>0</v>
      </c>
      <c r="J1376" s="182" t="n">
        <v>45774</v>
      </c>
      <c r="S1376" s="192" t="n">
        <f aca="false">(K1376+O1376+Q1376)*24 /1130+(L1376+M1376+P1376+R1376)*12/1130+(N1376*30)/1130</f>
        <v>0</v>
      </c>
    </row>
    <row r="1377" customFormat="false" ht="15" hidden="true" customHeight="true" outlineLevel="0" collapsed="false">
      <c r="B1377" s="127" t="n">
        <f aca="false">B1376+D1377-C1377</f>
        <v>0</v>
      </c>
      <c r="C1377" s="127" t="n">
        <f aca="false">851</f>
        <v>851</v>
      </c>
      <c r="E1377" s="212" t="s">
        <v>657</v>
      </c>
      <c r="F1377" s="147" t="str">
        <f aca="false">IFERROR(VLOOKUP(H1377,$AD$1:$AE$301,2,0),"")</f>
        <v/>
      </c>
      <c r="G1377" s="147" t="str">
        <f aca="false">IFERROR(VLOOKUP(F1377,$AE$2:$AF$290,2, 0),"")</f>
        <v/>
      </c>
      <c r="H1377" s="212" t="s">
        <v>393</v>
      </c>
      <c r="I1377" s="246" t="n">
        <f aca="false">SUM(K1377:R1377)</f>
        <v>0</v>
      </c>
      <c r="J1377" s="182" t="n">
        <v>45775</v>
      </c>
      <c r="S1377" s="192" t="n">
        <f aca="false">(K1377+O1377+Q1377)*24 /1130+(L1377+M1377+P1377+R1377)*12/1130+(N1377*30)/1130</f>
        <v>0</v>
      </c>
    </row>
    <row r="1378" customFormat="false" ht="15" hidden="true" customHeight="true" outlineLevel="0" collapsed="false">
      <c r="B1378" s="127" t="n">
        <f aca="false">B1377+D1378-C1378</f>
        <v>5865</v>
      </c>
      <c r="D1378" s="146" t="n">
        <f aca="false">20*138+10*195.5+5*230</f>
        <v>5865</v>
      </c>
      <c r="E1378" s="147" t="n">
        <v>1095</v>
      </c>
      <c r="F1378" s="147" t="n">
        <f aca="false">IFERROR(VLOOKUP(H1378,$AD$1:$AE$301,2,0),"")</f>
        <v>1007970</v>
      </c>
      <c r="G1378" s="147" t="str">
        <f aca="false">IFERROR(VLOOKUP(F1378,$AE$2:$AF$290,2, 0),"")</f>
        <v>حقل</v>
      </c>
      <c r="H1378" s="212" t="s">
        <v>310</v>
      </c>
      <c r="I1378" s="246" t="n">
        <f aca="false">SUM(K1378:R1378)</f>
        <v>35</v>
      </c>
      <c r="J1378" s="182" t="n">
        <v>45775</v>
      </c>
      <c r="M1378" s="150" t="n">
        <v>5</v>
      </c>
      <c r="Q1378" s="154" t="n">
        <f aca="false">20+10</f>
        <v>30</v>
      </c>
      <c r="S1378" s="192" t="n">
        <f aca="false">(K1378+O1378+Q1378)*24 /1130+(L1378+M1378+P1378+R1378)*12/1130+(N1378*30)/1130</f>
        <v>0.690265486725664</v>
      </c>
    </row>
    <row r="1379" customFormat="false" ht="15" hidden="true" customHeight="true" outlineLevel="0" collapsed="false">
      <c r="B1379" s="127" t="n">
        <f aca="false">B1378+D1379-C1379</f>
        <v>6463</v>
      </c>
      <c r="D1379" s="146" t="n">
        <f aca="false">598</f>
        <v>598</v>
      </c>
      <c r="E1379" s="147" t="n">
        <v>1092</v>
      </c>
      <c r="F1379" s="147" t="n">
        <f aca="false">IFERROR(VLOOKUP(H1379,$AD$1:$AE$301,2,0),"")</f>
        <v>1007996</v>
      </c>
      <c r="G1379" s="147" t="str">
        <f aca="false">IFERROR(VLOOKUP(F1379,$AE$2:$AF$290,2, 0),"")</f>
        <v>البير</v>
      </c>
      <c r="H1379" s="212" t="s">
        <v>295</v>
      </c>
      <c r="I1379" s="246" t="n">
        <f aca="false">SUM(K1379:R1379)</f>
        <v>2</v>
      </c>
      <c r="J1379" s="182" t="n">
        <v>45775</v>
      </c>
      <c r="K1379" s="148" t="n">
        <v>2</v>
      </c>
      <c r="S1379" s="192" t="n">
        <f aca="false">(K1379+O1379+Q1379)*24 /1130+(L1379+M1379+P1379+R1379)*12/1130+(N1379*30)/1130</f>
        <v>0.0424778761061947</v>
      </c>
    </row>
    <row r="1380" customFormat="false" ht="15" hidden="true" customHeight="true" outlineLevel="0" collapsed="false">
      <c r="A1380" s="128" t="n">
        <f aca="false">D1380-200-13*5+10</f>
        <v>-2</v>
      </c>
      <c r="B1380" s="127" t="n">
        <f aca="false">B1379+D1380-C1380</f>
        <v>6716</v>
      </c>
      <c r="D1380" s="146" t="n">
        <v>253</v>
      </c>
      <c r="E1380" s="147" t="n">
        <v>1093</v>
      </c>
      <c r="F1380" s="147" t="n">
        <f aca="false">IFERROR(VLOOKUP(H1380,$AD$1:$AE$301,2,0),"")</f>
        <v>1008030</v>
      </c>
      <c r="G1380" s="147" t="str">
        <f aca="false">IFERROR(VLOOKUP(F1380,$AE$2:$AF$290,2, 0),"")</f>
        <v>البير</v>
      </c>
      <c r="H1380" s="212" t="s">
        <v>298</v>
      </c>
      <c r="I1380" s="246" t="n">
        <f aca="false">SUM(K1380:R1380)</f>
        <v>1</v>
      </c>
      <c r="J1380" s="182" t="n">
        <v>45775</v>
      </c>
      <c r="M1380" s="150" t="n">
        <v>1</v>
      </c>
      <c r="S1380" s="192" t="n">
        <f aca="false">(K1380+O1380+Q1380)*24 /1130+(L1380+M1380+P1380+R1380)*12/1130+(N1380*30)/1130</f>
        <v>0.0106194690265487</v>
      </c>
    </row>
    <row r="1381" customFormat="false" ht="15" hidden="true" customHeight="true" outlineLevel="0" collapsed="false">
      <c r="A1381" s="128" t="n">
        <f aca="false">D1381-299</f>
        <v>0</v>
      </c>
      <c r="B1381" s="127" t="n">
        <f aca="false">B1380+D1381-C1381</f>
        <v>7015</v>
      </c>
      <c r="D1381" s="146" t="n">
        <v>299</v>
      </c>
      <c r="E1381" s="147" t="n">
        <v>1094</v>
      </c>
      <c r="F1381" s="147" t="n">
        <f aca="false">IFERROR(VLOOKUP(H1381,$AD$1:$AE$301,2,0),"")</f>
        <v>635</v>
      </c>
      <c r="G1381" s="147" t="str">
        <f aca="false">IFERROR(VLOOKUP(F1381,$AE$2:$AF$290,2, 0),"")</f>
        <v>تبوك</v>
      </c>
      <c r="H1381" s="212" t="s">
        <v>157</v>
      </c>
      <c r="I1381" s="246" t="n">
        <f aca="false">SUM(K1381:R1381)</f>
        <v>1</v>
      </c>
      <c r="J1381" s="182" t="n">
        <v>45775</v>
      </c>
      <c r="K1381" s="148" t="n">
        <v>1</v>
      </c>
      <c r="S1381" s="192" t="n">
        <f aca="false">(K1381+O1381+Q1381)*24 /1130+(L1381+M1381+P1381+R1381)*12/1130+(N1381*30)/1130</f>
        <v>0.0212389380530973</v>
      </c>
    </row>
    <row r="1382" customFormat="false" ht="15" hidden="true" customHeight="true" outlineLevel="0" collapsed="false">
      <c r="A1382" s="128" t="n">
        <f aca="false">D1382-3325-10</f>
        <v>0</v>
      </c>
      <c r="B1382" s="127" t="n">
        <f aca="false">B1381+D1382-C1382</f>
        <v>10350</v>
      </c>
      <c r="D1382" s="146" t="n">
        <f aca="false">138*15+5*253</f>
        <v>3335</v>
      </c>
      <c r="E1382" s="147" t="n">
        <v>1096</v>
      </c>
      <c r="F1382" s="147" t="n">
        <f aca="false">IFERROR(VLOOKUP(H1382,$AD$1:$AE$301,2,0),"")</f>
        <v>1007970</v>
      </c>
      <c r="G1382" s="147" t="str">
        <f aca="false">IFERROR(VLOOKUP(F1382,$AE$2:$AF$290,2, 0),"")</f>
        <v>حقل</v>
      </c>
      <c r="H1382" s="212" t="s">
        <v>310</v>
      </c>
      <c r="I1382" s="246" t="n">
        <f aca="false">SUM(K1382:R1382)</f>
        <v>20</v>
      </c>
      <c r="J1382" s="182" t="n">
        <v>45775</v>
      </c>
      <c r="M1382" s="150" t="n">
        <v>5</v>
      </c>
      <c r="Q1382" s="154" t="n">
        <v>15</v>
      </c>
      <c r="S1382" s="192" t="n">
        <f aca="false">(K1382+O1382+Q1382)*24 /1130+(L1382+M1382+P1382+R1382)*12/1130+(N1382*30)/1130</f>
        <v>0.371681415929204</v>
      </c>
    </row>
    <row r="1383" customFormat="false" ht="15" hidden="true" customHeight="true" outlineLevel="0" collapsed="false">
      <c r="A1383" s="128" t="n">
        <f aca="false">D1383-2300</f>
        <v>0</v>
      </c>
      <c r="B1383" s="127" t="n">
        <f aca="false">B1382+D1383-C1383</f>
        <v>12650</v>
      </c>
      <c r="D1383" s="146" t="n">
        <f aca="false">2*299+4*299+2*253</f>
        <v>2300</v>
      </c>
      <c r="E1383" s="147" t="n">
        <v>1097</v>
      </c>
      <c r="F1383" s="147" t="n">
        <f aca="false">IFERROR(VLOOKUP(H1383,$AD$1:$AE$301,2,0),"")</f>
        <v>1008017</v>
      </c>
      <c r="G1383" s="147" t="str">
        <f aca="false">IFERROR(VLOOKUP(F1383,$AE$2:$AF$290,2, 0),"")</f>
        <v>البدع</v>
      </c>
      <c r="H1383" s="212" t="s">
        <v>325</v>
      </c>
      <c r="I1383" s="246" t="n">
        <f aca="false">SUM(K1383:R1383)</f>
        <v>8</v>
      </c>
      <c r="J1383" s="182" t="n">
        <v>45775</v>
      </c>
      <c r="K1383" s="148" t="n">
        <f aca="false">4+2</f>
        <v>6</v>
      </c>
      <c r="M1383" s="150" t="n">
        <v>2</v>
      </c>
      <c r="S1383" s="192" t="n">
        <f aca="false">(K1383+O1383+Q1383)*24 /1130+(L1383+M1383+P1383+R1383)*12/1130+(N1383*30)/1130</f>
        <v>0.148672566371681</v>
      </c>
    </row>
    <row r="1384" customFormat="false" ht="15" hidden="true" customHeight="true" outlineLevel="0" collapsed="false">
      <c r="B1384" s="127" t="n">
        <f aca="false">B1383+D1384-C1384</f>
        <v>13420.5</v>
      </c>
      <c r="D1384" s="146" t="n">
        <f aca="false">2*241.5+287.5</f>
        <v>770.5</v>
      </c>
      <c r="E1384" s="147" t="n">
        <v>1098</v>
      </c>
      <c r="F1384" s="147" t="n">
        <f aca="false">IFERROR(VLOOKUP(H1384,$AD$1:$AE$301,2,0),"")</f>
        <v>1008019</v>
      </c>
      <c r="G1384" s="147" t="str">
        <f aca="false">IFERROR(VLOOKUP(F1384,$AE$2:$AF$290,2, 0),"")</f>
        <v>البدع</v>
      </c>
      <c r="H1384" s="212" t="s">
        <v>327</v>
      </c>
      <c r="I1384" s="246" t="n">
        <f aca="false">SUM(K1384:R1384)</f>
        <v>3</v>
      </c>
      <c r="J1384" s="182" t="n">
        <v>45775</v>
      </c>
      <c r="N1384" s="151" t="n">
        <v>1</v>
      </c>
      <c r="O1384" s="152" t="n">
        <v>2</v>
      </c>
      <c r="S1384" s="192" t="n">
        <f aca="false">(K1384+O1384+Q1384)*24 /1130+(L1384+M1384+P1384+R1384)*12/1130+(N1384*30)/1130</f>
        <v>0.0690265486725664</v>
      </c>
    </row>
    <row r="1385" customFormat="false" ht="15" hidden="true" customHeight="true" outlineLevel="0" collapsed="false">
      <c r="B1385" s="127" t="n">
        <f aca="false">B1384+D1385-C1385</f>
        <v>13903.5</v>
      </c>
      <c r="D1385" s="146" t="n">
        <f aca="false">241.5*2</f>
        <v>483</v>
      </c>
      <c r="E1385" s="147" t="n">
        <v>1099</v>
      </c>
      <c r="F1385" s="147" t="n">
        <f aca="false">IFERROR(VLOOKUP(H1385,$AD$1:$AE$301,2,0),"")</f>
        <v>1008019</v>
      </c>
      <c r="G1385" s="147" t="str">
        <f aca="false">IFERROR(VLOOKUP(F1385,$AE$2:$AF$290,2, 0),"")</f>
        <v>البدع</v>
      </c>
      <c r="H1385" s="212" t="s">
        <v>327</v>
      </c>
      <c r="I1385" s="246" t="n">
        <f aca="false">SUM(K1385:R1385)</f>
        <v>2</v>
      </c>
      <c r="J1385" s="182" t="n">
        <v>45775</v>
      </c>
      <c r="O1385" s="152" t="n">
        <v>2</v>
      </c>
      <c r="S1385" s="192" t="n">
        <f aca="false">(K1385+O1385+Q1385)*24 /1130+(L1385+M1385+P1385+R1385)*12/1130+(N1385*30)/1130</f>
        <v>0.0424778761061947</v>
      </c>
    </row>
    <row r="1386" customFormat="false" ht="15" hidden="true" customHeight="true" outlineLevel="0" collapsed="false">
      <c r="A1386" s="128" t="n">
        <f aca="false">253-403+147.5</f>
        <v>-2.5</v>
      </c>
      <c r="B1386" s="127" t="n">
        <f aca="false">B1385+D1386-C1386</f>
        <v>14156.5</v>
      </c>
      <c r="D1386" s="146" t="n">
        <v>253</v>
      </c>
      <c r="E1386" s="147" t="n">
        <v>1100</v>
      </c>
      <c r="F1386" s="147" t="n">
        <f aca="false">IFERROR(VLOOKUP(H1386,$AD$1:$AE$301,2,0),"")</f>
        <v>1008019</v>
      </c>
      <c r="G1386" s="147" t="str">
        <f aca="false">IFERROR(VLOOKUP(F1386,$AE$2:$AF$290,2, 0),"")</f>
        <v>البدع</v>
      </c>
      <c r="H1386" s="212" t="s">
        <v>327</v>
      </c>
      <c r="I1386" s="246" t="n">
        <f aca="false">SUM(K1386:R1386)</f>
        <v>1</v>
      </c>
      <c r="J1386" s="182" t="n">
        <v>45775</v>
      </c>
      <c r="M1386" s="150" t="n">
        <v>1</v>
      </c>
      <c r="S1386" s="192" t="n">
        <f aca="false">(K1386+O1386+Q1386)*24 /1130+(L1386+M1386+P1386+R1386)*12/1130+(N1386*30)/1130</f>
        <v>0.0106194690265487</v>
      </c>
    </row>
    <row r="1387" customFormat="false" ht="15" hidden="true" customHeight="true" outlineLevel="0" collapsed="false">
      <c r="B1387" s="127" t="n">
        <f aca="false">B1386+D1387-C1387</f>
        <v>14754.5</v>
      </c>
      <c r="D1387" s="146" t="n">
        <v>598</v>
      </c>
      <c r="E1387" s="147" t="n">
        <v>1101</v>
      </c>
      <c r="F1387" s="147" t="n">
        <f aca="false">IFERROR(VLOOKUP(H1387,$AD$1:$AE$301,2,0),"")</f>
        <v>1006522</v>
      </c>
      <c r="G1387" s="147" t="str">
        <f aca="false">IFERROR(VLOOKUP(F1387,$AE$2:$AF$290,2, 0),"")</f>
        <v>البدع</v>
      </c>
      <c r="H1387" s="212" t="s">
        <v>317</v>
      </c>
      <c r="I1387" s="246" t="n">
        <f aca="false">SUM(K1387:R1387)</f>
        <v>2</v>
      </c>
      <c r="J1387" s="182" t="n">
        <v>45775</v>
      </c>
      <c r="K1387" s="148" t="n">
        <f aca="false">1+1</f>
        <v>2</v>
      </c>
      <c r="S1387" s="192" t="n">
        <f aca="false">(K1387+O1387+Q1387)*24 /1130+(L1387+M1387+P1387+R1387)*12/1130+(N1387*30)/1130</f>
        <v>0.0424778761061947</v>
      </c>
    </row>
    <row r="1388" customFormat="false" ht="15" hidden="true" customHeight="true" outlineLevel="0" collapsed="false">
      <c r="B1388" s="127" t="n">
        <f aca="false">B1387+D1388-C1388</f>
        <v>15479</v>
      </c>
      <c r="D1388" s="146" t="n">
        <f aca="false">3*241.5</f>
        <v>724.5</v>
      </c>
      <c r="E1388" s="147" t="n">
        <v>1102</v>
      </c>
      <c r="F1388" s="147" t="n">
        <f aca="false">IFERROR(VLOOKUP(H1388,$AD$1:$AE$301,2,0),"")</f>
        <v>786</v>
      </c>
      <c r="G1388" s="147" t="str">
        <f aca="false">IFERROR(VLOOKUP(F1388,$AE$2:$AF$290,2, 0),"")</f>
        <v>البدع</v>
      </c>
      <c r="H1388" s="212" t="s">
        <v>319</v>
      </c>
      <c r="I1388" s="246" t="n">
        <f aca="false">SUM(K1388:R1388)</f>
        <v>3</v>
      </c>
      <c r="J1388" s="182" t="n">
        <v>45775</v>
      </c>
      <c r="O1388" s="152" t="n">
        <v>3</v>
      </c>
      <c r="S1388" s="192" t="n">
        <f aca="false">(K1388+O1388+Q1388)*24 /1130+(L1388+M1388+P1388+R1388)*12/1130+(N1388*30)/1130</f>
        <v>0.063716814159292</v>
      </c>
    </row>
    <row r="1389" customFormat="false" ht="15" hidden="true" customHeight="true" outlineLevel="0" collapsed="false">
      <c r="B1389" s="127" t="n">
        <f aca="false">B1388+D1389-C1389</f>
        <v>16974</v>
      </c>
      <c r="D1389" s="146" t="n">
        <f aca="false">299*5</f>
        <v>1495</v>
      </c>
      <c r="E1389" s="147" t="n">
        <v>1103</v>
      </c>
      <c r="F1389" s="147" t="n">
        <f aca="false">IFERROR(VLOOKUP(H1389,$AD$1:$AE$301,2,0),"")</f>
        <v>1008023</v>
      </c>
      <c r="G1389" s="147" t="str">
        <f aca="false">IFERROR(VLOOKUP(F1389,$AE$2:$AF$290,2, 0),"")</f>
        <v>ضباء</v>
      </c>
      <c r="H1389" s="212" t="s">
        <v>95</v>
      </c>
      <c r="I1389" s="246" t="n">
        <f aca="false">SUM(K1389:R1389)</f>
        <v>5</v>
      </c>
      <c r="J1389" s="182" t="n">
        <v>45775</v>
      </c>
      <c r="K1389" s="148" t="n">
        <v>5</v>
      </c>
      <c r="S1389" s="192" t="n">
        <f aca="false">(K1389+O1389+Q1389)*24 /1130+(L1389+M1389+P1389+R1389)*12/1130+(N1389*30)/1130</f>
        <v>0.106194690265487</v>
      </c>
    </row>
    <row r="1390" customFormat="false" ht="15" hidden="true" customHeight="true" outlineLevel="0" collapsed="false">
      <c r="B1390" s="127" t="n">
        <f aca="false">B1389+D1390-C1390</f>
        <v>18745</v>
      </c>
      <c r="D1390" s="146" t="n">
        <f aca="false">1*299+1*299+230*3+241.5*2</f>
        <v>1771</v>
      </c>
      <c r="E1390" s="147" t="n">
        <v>1104</v>
      </c>
      <c r="F1390" s="147" t="n">
        <f aca="false">IFERROR(VLOOKUP(H1390,$AD$1:$AE$301,2,0),"")</f>
        <v>1008024</v>
      </c>
      <c r="G1390" s="147" t="str">
        <f aca="false">IFERROR(VLOOKUP(F1390,$AE$2:$AF$290,2, 0),"")</f>
        <v>ضباء</v>
      </c>
      <c r="H1390" s="212" t="s">
        <v>96</v>
      </c>
      <c r="I1390" s="246" t="n">
        <f aca="false">SUM(K1390:R1390)</f>
        <v>7</v>
      </c>
      <c r="J1390" s="182" t="n">
        <v>45775</v>
      </c>
      <c r="K1390" s="148" t="n">
        <f aca="false">1+1</f>
        <v>2</v>
      </c>
      <c r="M1390" s="150" t="n">
        <f aca="false">3</f>
        <v>3</v>
      </c>
      <c r="O1390" s="152" t="n">
        <v>2</v>
      </c>
      <c r="S1390" s="192" t="n">
        <f aca="false">(K1390+O1390+Q1390)*24 /1130+(L1390+M1390+P1390+R1390)*12/1130+(N1390*30)/1130</f>
        <v>0.116814159292035</v>
      </c>
    </row>
    <row r="1391" customFormat="false" ht="15" hidden="true" customHeight="true" outlineLevel="0" collapsed="false">
      <c r="A1391" s="128" t="n">
        <f aca="false">D1391-350-248</f>
        <v>0</v>
      </c>
      <c r="B1391" s="127" t="n">
        <f aca="false">B1390+D1391-C1391</f>
        <v>19343</v>
      </c>
      <c r="D1391" s="146" t="n">
        <f aca="false">299*2</f>
        <v>598</v>
      </c>
      <c r="E1391" s="147" t="n">
        <v>1105</v>
      </c>
      <c r="F1391" s="147" t="n">
        <f aca="false">IFERROR(VLOOKUP(H1391,$AD$1:$AE$301,2,0),"")</f>
        <v>1008032</v>
      </c>
      <c r="G1391" s="147" t="str">
        <f aca="false">IFERROR(VLOOKUP(F1391,$AE$2:$AF$290,2, 0),"")</f>
        <v>ضباء</v>
      </c>
      <c r="H1391" s="398" t="s">
        <v>101</v>
      </c>
      <c r="I1391" s="246" t="n">
        <f aca="false">SUM(K1391:R1391)</f>
        <v>2</v>
      </c>
      <c r="J1391" s="182" t="n">
        <v>45775</v>
      </c>
      <c r="K1391" s="148" t="n">
        <f aca="false">1+1</f>
        <v>2</v>
      </c>
      <c r="S1391" s="192" t="n">
        <f aca="false">(K1391+O1391+Q1391)*24 /1130+(L1391+M1391+P1391+R1391)*12/1130+(N1391*30)/1130</f>
        <v>0.0424778761061947</v>
      </c>
    </row>
    <row r="1392" customFormat="false" ht="15" hidden="true" customHeight="true" outlineLevel="0" collapsed="false">
      <c r="A1392" s="128" t="n">
        <f aca="false">D1392-250-290.5</f>
        <v>0</v>
      </c>
      <c r="B1392" s="127" t="n">
        <f aca="false">B1391+D1392-C1392</f>
        <v>19883.5</v>
      </c>
      <c r="D1392" s="146" t="n">
        <f aca="false">299+241.5</f>
        <v>540.5</v>
      </c>
      <c r="E1392" s="147" t="n">
        <v>1106</v>
      </c>
      <c r="F1392" s="147" t="n">
        <f aca="false">IFERROR(VLOOKUP(H1392,$AD$1:$AE$301,2,0),"")</f>
        <v>1008022</v>
      </c>
      <c r="G1392" s="147" t="str">
        <f aca="false">IFERROR(VLOOKUP(F1392,$AE$2:$AF$290,2, 0),"")</f>
        <v>ضباء</v>
      </c>
      <c r="H1392" s="212" t="s">
        <v>94</v>
      </c>
      <c r="I1392" s="246" t="n">
        <f aca="false">SUM(K1392:R1392)</f>
        <v>2</v>
      </c>
      <c r="J1392" s="182" t="n">
        <v>45775</v>
      </c>
      <c r="K1392" s="148" t="n">
        <v>1</v>
      </c>
      <c r="Q1392" s="154" t="n">
        <v>1</v>
      </c>
      <c r="S1392" s="192" t="n">
        <f aca="false">(K1392+O1392+Q1392)*24 /1130+(L1392+M1392+P1392+R1392)*12/1130+(N1392*30)/1130</f>
        <v>0.0424778761061947</v>
      </c>
    </row>
    <row r="1393" customFormat="false" ht="15" hidden="true" customHeight="true" outlineLevel="0" collapsed="false">
      <c r="B1393" s="127" t="n">
        <f aca="false">B1392+D1393-C1393</f>
        <v>16566.5</v>
      </c>
      <c r="C1393" s="127" t="n">
        <f aca="false">598+1260+598+300.5+290.5+270</f>
        <v>3317</v>
      </c>
      <c r="E1393" s="212" t="s">
        <v>470</v>
      </c>
      <c r="F1393" s="147" t="str">
        <f aca="false">IFERROR(VLOOKUP(H1393,$AD$1:$AE$301,2,0),"")</f>
        <v/>
      </c>
      <c r="G1393" s="147" t="str">
        <f aca="false">IFERROR(VLOOKUP(F1393,$AE$2:$AF$290,2, 0),"")</f>
        <v/>
      </c>
      <c r="H1393" s="398" t="s">
        <v>393</v>
      </c>
      <c r="I1393" s="246" t="n">
        <f aca="false">SUM(K1393:R1393)</f>
        <v>0</v>
      </c>
      <c r="J1393" s="182" t="n">
        <v>45775</v>
      </c>
      <c r="S1393" s="192" t="n">
        <f aca="false">(K1393+O1393+Q1393)*24 /1130+(L1393+M1393+P1393+R1393)*12/1130+(N1393*30)/1130</f>
        <v>0</v>
      </c>
    </row>
    <row r="1394" customFormat="false" ht="15" hidden="true" customHeight="true" outlineLevel="0" collapsed="false">
      <c r="B1394" s="127" t="n">
        <f aca="false">B1393+D1394-C1394</f>
        <v>0</v>
      </c>
      <c r="C1394" s="127" t="n">
        <f aca="false">12466+(4100)</f>
        <v>16566</v>
      </c>
      <c r="D1394" s="146" t="n">
        <v>-0.5</v>
      </c>
      <c r="E1394" s="212" t="s">
        <v>653</v>
      </c>
      <c r="F1394" s="147" t="str">
        <f aca="false">IFERROR(VLOOKUP(H1394,$AD$1:$AE$301,2,0),"")</f>
        <v/>
      </c>
      <c r="G1394" s="147" t="str">
        <f aca="false">IFERROR(VLOOKUP(F1394,$AE$2:$AF$290,2, 0),"")</f>
        <v/>
      </c>
      <c r="H1394" s="212" t="s">
        <v>393</v>
      </c>
      <c r="I1394" s="246" t="n">
        <f aca="false">SUM(K1394:R1394)</f>
        <v>0</v>
      </c>
      <c r="J1394" s="182" t="n">
        <v>45776</v>
      </c>
      <c r="S1394" s="192" t="n">
        <f aca="false">(K1394+O1394+Q1394)*24 /1130+(L1394+M1394+P1394+R1394)*12/1130+(N1394*30)/1130</f>
        <v>0</v>
      </c>
    </row>
    <row r="1395" customFormat="false" ht="15" hidden="true" customHeight="true" outlineLevel="0" collapsed="false">
      <c r="A1395" s="128" t="n">
        <f aca="false">D1395-299</f>
        <v>0</v>
      </c>
      <c r="B1395" s="127" t="n">
        <f aca="false">B1394+D1395-C1395</f>
        <v>299</v>
      </c>
      <c r="D1395" s="146" t="n">
        <f aca="false">299</f>
        <v>299</v>
      </c>
      <c r="E1395" s="147" t="n">
        <v>1107</v>
      </c>
      <c r="F1395" s="147" t="n">
        <f aca="false">IFERROR(VLOOKUP(H1395,$AD$1:$AE$301,2,0),"")</f>
        <v>652</v>
      </c>
      <c r="G1395" s="147" t="str">
        <f aca="false">IFERROR(VLOOKUP(F1395,$AE$2:$AF$290,2, 0),"")</f>
        <v>تبوك</v>
      </c>
      <c r="H1395" s="212" t="s">
        <v>263</v>
      </c>
      <c r="I1395" s="246" t="n">
        <f aca="false">SUM(K1395:R1395)</f>
        <v>1</v>
      </c>
      <c r="J1395" s="182" t="n">
        <v>45776</v>
      </c>
      <c r="R1395" s="155" t="n">
        <f aca="false">1</f>
        <v>1</v>
      </c>
      <c r="S1395" s="192" t="n">
        <f aca="false">(K1395+O1395+Q1395)*24 /1130+(L1395+M1395+P1395+R1395)*12/1130+(N1395*30)/1130</f>
        <v>0.0106194690265487</v>
      </c>
    </row>
    <row r="1396" customFormat="false" ht="15" hidden="true" customHeight="true" outlineLevel="0" collapsed="false">
      <c r="A1396" s="128" t="n">
        <f aca="false">D1396-299</f>
        <v>0</v>
      </c>
      <c r="B1396" s="127" t="n">
        <f aca="false">B1395+D1396-C1396</f>
        <v>598</v>
      </c>
      <c r="D1396" s="146" t="n">
        <v>299</v>
      </c>
      <c r="E1396" s="147" t="n">
        <v>1108</v>
      </c>
      <c r="F1396" s="147" t="n">
        <f aca="false">IFERROR(VLOOKUP(H1396,$AD$1:$AE$301,2,0),"")</f>
        <v>759</v>
      </c>
      <c r="G1396" s="147" t="str">
        <f aca="false">IFERROR(VLOOKUP(F1396,$AE$2:$AF$290,2, 0),"")</f>
        <v>تبوك</v>
      </c>
      <c r="H1396" s="212" t="s">
        <v>227</v>
      </c>
      <c r="I1396" s="246" t="n">
        <f aca="false">SUM(K1396:R1396)</f>
        <v>1</v>
      </c>
      <c r="J1396" s="182" t="n">
        <v>45776</v>
      </c>
      <c r="N1396" s="151" t="n">
        <v>1</v>
      </c>
      <c r="S1396" s="192" t="n">
        <f aca="false">(K1396+O1396+Q1396)*24 /1130+(L1396+M1396+P1396+R1396)*12/1130+(N1396*30)/1130</f>
        <v>0.0265486725663717</v>
      </c>
    </row>
    <row r="1397" customFormat="false" ht="15" hidden="true" customHeight="true" outlineLevel="0" collapsed="false">
      <c r="A1397" s="128" t="n">
        <f aca="false">D1397-299</f>
        <v>0</v>
      </c>
      <c r="B1397" s="127" t="n">
        <f aca="false">B1396+D1397-C1397</f>
        <v>897</v>
      </c>
      <c r="D1397" s="146" t="n">
        <v>299</v>
      </c>
      <c r="E1397" s="147" t="n">
        <v>1109</v>
      </c>
      <c r="F1397" s="147" t="n">
        <f aca="false">IFERROR(VLOOKUP(H1397,$AD$1:$AE$301,2,0),"")</f>
        <v>1008270</v>
      </c>
      <c r="G1397" s="147" t="str">
        <f aca="false">IFERROR(VLOOKUP(F1397,$AE$2:$AF$290,2, 0),"")</f>
        <v>تبوك</v>
      </c>
      <c r="H1397" s="212" t="s">
        <v>236</v>
      </c>
      <c r="I1397" s="246" t="n">
        <f aca="false">SUM(K1397:R1397)</f>
        <v>1</v>
      </c>
      <c r="J1397" s="182" t="n">
        <v>45776</v>
      </c>
      <c r="K1397" s="148" t="n">
        <v>1</v>
      </c>
      <c r="S1397" s="192" t="n">
        <f aca="false">(K1397+O1397+Q1397)*24 /1130+(L1397+M1397+P1397+R1397)*12/1130+(N1397*30)/1130</f>
        <v>0.0212389380530973</v>
      </c>
    </row>
    <row r="1398" customFormat="false" ht="15" hidden="true" customHeight="true" outlineLevel="0" collapsed="false">
      <c r="A1398" s="128" t="n">
        <f aca="false">D1398-50-100-6*5-50-12*5-9</f>
        <v>0</v>
      </c>
      <c r="B1398" s="127" t="n">
        <f aca="false">B1397+D1398-C1398</f>
        <v>1196</v>
      </c>
      <c r="D1398" s="146" t="n">
        <v>299</v>
      </c>
      <c r="E1398" s="147" t="n">
        <v>1110</v>
      </c>
      <c r="F1398" s="147" t="n">
        <f aca="false">IFERROR(VLOOKUP(H1398,$AD$1:$AE$301,2,0),"")</f>
        <v>1008264</v>
      </c>
      <c r="G1398" s="147" t="str">
        <f aca="false">IFERROR(VLOOKUP(F1398,$AE$2:$AF$290,2, 0),"")</f>
        <v>تبوك</v>
      </c>
      <c r="H1398" s="212" t="s">
        <v>160</v>
      </c>
      <c r="I1398" s="246" t="n">
        <f aca="false">SUM(K1398:R1398)</f>
        <v>1</v>
      </c>
      <c r="J1398" s="182" t="n">
        <v>45776</v>
      </c>
      <c r="K1398" s="148" t="n">
        <v>1</v>
      </c>
      <c r="S1398" s="192" t="n">
        <f aca="false">(K1398+O1398+Q1398)*24 /1130+(L1398+M1398+P1398+R1398)*12/1130+(N1398*30)/1130</f>
        <v>0.0212389380530973</v>
      </c>
    </row>
    <row r="1399" customFormat="false" ht="15" hidden="true" customHeight="true" outlineLevel="0" collapsed="false">
      <c r="A1399" s="128" t="n">
        <f aca="false">D1399-200-400</f>
        <v>-2</v>
      </c>
      <c r="B1399" s="127" t="n">
        <f aca="false">B1398+D1399-C1399</f>
        <v>1794</v>
      </c>
      <c r="D1399" s="146" t="n">
        <f aca="false">598</f>
        <v>598</v>
      </c>
      <c r="E1399" s="147" t="n">
        <v>1111</v>
      </c>
      <c r="F1399" s="147" t="n">
        <f aca="false">IFERROR(VLOOKUP(H1399,$AD$1:$AE$301,2,0),"")</f>
        <v>635</v>
      </c>
      <c r="G1399" s="147" t="str">
        <f aca="false">IFERROR(VLOOKUP(F1399,$AE$2:$AF$290,2, 0),"")</f>
        <v>تبوك</v>
      </c>
      <c r="H1399" s="398" t="s">
        <v>157</v>
      </c>
      <c r="I1399" s="246" t="n">
        <f aca="false">SUM(K1399:R1399)</f>
        <v>2</v>
      </c>
      <c r="J1399" s="182" t="n">
        <v>45776</v>
      </c>
      <c r="K1399" s="148" t="n">
        <f aca="false">1+1</f>
        <v>2</v>
      </c>
      <c r="S1399" s="192" t="n">
        <f aca="false">(K1399+O1399+Q1399)*24 /1130+(L1399+M1399+P1399+R1399)*12/1130+(N1399*30)/1130</f>
        <v>0.0424778761061947</v>
      </c>
    </row>
    <row r="1400" customFormat="false" ht="15" hidden="true" customHeight="true" outlineLevel="0" collapsed="false">
      <c r="A1400" s="128" t="n">
        <f aca="false">D1400-200-100</f>
        <v>-1</v>
      </c>
      <c r="B1400" s="127" t="n">
        <f aca="false">B1399+D1400-C1400</f>
        <v>2093</v>
      </c>
      <c r="D1400" s="146" t="n">
        <f aca="false">299</f>
        <v>299</v>
      </c>
      <c r="E1400" s="147" t="n">
        <v>1112</v>
      </c>
      <c r="F1400" s="147" t="n">
        <f aca="false">IFERROR(VLOOKUP(H1400,$AD$1:$AE$301,2,0),"")</f>
        <v>1008275</v>
      </c>
      <c r="G1400" s="147" t="str">
        <f aca="false">IFERROR(VLOOKUP(F1400,$AE$2:$AF$290,2, 0),"")</f>
        <v>تبوك</v>
      </c>
      <c r="H1400" s="212" t="s">
        <v>179</v>
      </c>
      <c r="I1400" s="246" t="n">
        <f aca="false">SUM(K1400:R1400)</f>
        <v>1</v>
      </c>
      <c r="J1400" s="182" t="n">
        <v>45776</v>
      </c>
      <c r="K1400" s="148" t="n">
        <v>1</v>
      </c>
      <c r="S1400" s="192" t="n">
        <f aca="false">(K1400+O1400+Q1400)*24 /1130+(L1400+M1400+P1400+R1400)*12/1130+(N1400*30)/1130</f>
        <v>0.0212389380530973</v>
      </c>
    </row>
    <row r="1401" customFormat="false" ht="15" hidden="true" customHeight="true" outlineLevel="0" collapsed="false">
      <c r="A1401" s="128" t="n">
        <f aca="false">D1401-5*2-6*5-300-100-335</f>
        <v>1.25</v>
      </c>
      <c r="B1401" s="127" t="n">
        <f aca="false">B1400+D1401-C1401</f>
        <v>2869.25</v>
      </c>
      <c r="D1401" s="146" t="n">
        <f aca="false">299+299+178.25</f>
        <v>776.25</v>
      </c>
      <c r="E1401" s="147" t="n">
        <v>1113</v>
      </c>
      <c r="F1401" s="147" t="n">
        <f aca="false">IFERROR(VLOOKUP(H1401,$AD$1:$AE$301,2,0),"")</f>
        <v>1008266</v>
      </c>
      <c r="G1401" s="147" t="str">
        <f aca="false">IFERROR(VLOOKUP(F1401,$AE$2:$AF$290,2, 0),"")</f>
        <v>تبوك</v>
      </c>
      <c r="H1401" s="212" t="s">
        <v>178</v>
      </c>
      <c r="I1401" s="246" t="n">
        <f aca="false">SUM(K1401:R1401)</f>
        <v>3</v>
      </c>
      <c r="J1401" s="182" t="n">
        <v>45776</v>
      </c>
      <c r="K1401" s="148" t="n">
        <f aca="false">1+1</f>
        <v>2</v>
      </c>
      <c r="L1401" s="149" t="n">
        <v>1</v>
      </c>
      <c r="S1401" s="192" t="n">
        <f aca="false">(K1401+O1401+Q1401)*24 /1130+(L1401+M1401+P1401+R1401)*12/1130+(N1401*30)/1130</f>
        <v>0.0530973451327434</v>
      </c>
    </row>
    <row r="1402" customFormat="false" ht="15" hidden="true" customHeight="true" outlineLevel="0" collapsed="false">
      <c r="A1402" s="128" t="n">
        <f aca="false">D1402-299</f>
        <v>0</v>
      </c>
      <c r="B1402" s="127" t="n">
        <f aca="false">B1401+D1402-C1402</f>
        <v>3168.25</v>
      </c>
      <c r="D1402" s="146" t="n">
        <v>299</v>
      </c>
      <c r="E1402" s="147" t="n">
        <v>1112</v>
      </c>
      <c r="F1402" s="147" t="n">
        <f aca="false">IFERROR(VLOOKUP(H1402,$AD$1:$AE$301,2,0),"")</f>
        <v>755</v>
      </c>
      <c r="G1402" s="147" t="str">
        <f aca="false">IFERROR(VLOOKUP(F1402,$AE$2:$AF$290,2, 0),"")</f>
        <v>تبوك</v>
      </c>
      <c r="H1402" s="212" t="s">
        <v>180</v>
      </c>
      <c r="I1402" s="246" t="n">
        <f aca="false">SUM(K1402:R1402)</f>
        <v>1</v>
      </c>
      <c r="J1402" s="182" t="n">
        <v>45776</v>
      </c>
      <c r="K1402" s="148" t="n">
        <v>1</v>
      </c>
      <c r="S1402" s="192" t="n">
        <f aca="false">(K1402+O1402+Q1402)*24 /1130+(L1402+M1402+P1402+R1402)*12/1130+(N1402*30)/1130</f>
        <v>0.0212389380530973</v>
      </c>
    </row>
    <row r="1403" customFormat="false" ht="15" hidden="true" customHeight="true" outlineLevel="0" collapsed="false">
      <c r="A1403" s="128" t="n">
        <f aca="false">D1403-197-102</f>
        <v>0</v>
      </c>
      <c r="B1403" s="127" t="n">
        <f aca="false">B1402+D1403-C1403</f>
        <v>3467.25</v>
      </c>
      <c r="D1403" s="146" t="n">
        <v>299</v>
      </c>
      <c r="E1403" s="147" t="n">
        <v>1111</v>
      </c>
      <c r="F1403" s="147" t="n">
        <f aca="false">IFERROR(VLOOKUP(H1403,$AD$1:$AE$301,2,0),"")</f>
        <v>553</v>
      </c>
      <c r="G1403" s="147" t="str">
        <f aca="false">IFERROR(VLOOKUP(F1403,$AE$2:$AF$290,2, 0),"")</f>
        <v>تبوك</v>
      </c>
      <c r="H1403" s="398" t="s">
        <v>150</v>
      </c>
      <c r="I1403" s="246" t="n">
        <f aca="false">SUM(K1403:R1403)</f>
        <v>1</v>
      </c>
      <c r="J1403" s="182" t="n">
        <v>45776</v>
      </c>
      <c r="K1403" s="148" t="n">
        <v>1</v>
      </c>
      <c r="S1403" s="192" t="n">
        <f aca="false">(K1403+O1403+Q1403)*24 /1130+(L1403+M1403+P1403+R1403)*12/1130+(N1403*30)/1130</f>
        <v>0.0212389380530973</v>
      </c>
    </row>
    <row r="1404" customFormat="false" ht="15" hidden="true" customHeight="true" outlineLevel="0" collapsed="false">
      <c r="A1404" s="128" t="n">
        <f aca="false">D1404-17*5-451-200</f>
        <v>0</v>
      </c>
      <c r="B1404" s="127" t="n">
        <f aca="false">B1403+D1404-C1404</f>
        <v>4203.25</v>
      </c>
      <c r="D1404" s="146" t="n">
        <f aca="false">299*2+138</f>
        <v>736</v>
      </c>
      <c r="E1404" s="147" t="n">
        <v>1112</v>
      </c>
      <c r="F1404" s="147" t="n">
        <f aca="false">IFERROR(VLOOKUP(H1404,$AD$1:$AE$301,2,0),"")</f>
        <v>1002940</v>
      </c>
      <c r="G1404" s="147" t="str">
        <f aca="false">IFERROR(VLOOKUP(F1404,$AE$2:$AF$290,2, 0),"")</f>
        <v>تبوك</v>
      </c>
      <c r="H1404" s="212" t="s">
        <v>167</v>
      </c>
      <c r="I1404" s="246" t="n">
        <f aca="false">SUM(K1404:R1404)</f>
        <v>3</v>
      </c>
      <c r="J1404" s="182" t="n">
        <v>45776</v>
      </c>
      <c r="K1404" s="148" t="n">
        <f aca="false">1+1</f>
        <v>2</v>
      </c>
      <c r="Q1404" s="154" t="n">
        <v>1</v>
      </c>
      <c r="S1404" s="192" t="n">
        <f aca="false">(K1404+O1404+Q1404)*24 /1130+(L1404+M1404+P1404+R1404)*12/1130+(N1404*30)/1130</f>
        <v>0.063716814159292</v>
      </c>
    </row>
    <row r="1405" customFormat="false" ht="15" hidden="true" customHeight="true" outlineLevel="0" collapsed="false">
      <c r="B1405" s="127" t="n">
        <f aca="false">B1404+D1405-C1405</f>
        <v>5813.25</v>
      </c>
      <c r="D1405" s="146" t="n">
        <f aca="false">299*2+230+253+287.5+241.5</f>
        <v>1610</v>
      </c>
      <c r="E1405" s="147" t="n">
        <v>1113</v>
      </c>
      <c r="F1405" s="147" t="n">
        <f aca="false">IFERROR(VLOOKUP(H1405,$AD$1:$AE$301,2,0),"")</f>
        <v>549</v>
      </c>
      <c r="G1405" s="147" t="str">
        <f aca="false">IFERROR(VLOOKUP(F1405,$AE$2:$AF$290,2, 0),"")</f>
        <v>تبوك</v>
      </c>
      <c r="H1405" s="212" t="s">
        <v>238</v>
      </c>
      <c r="I1405" s="246" t="n">
        <f aca="false">SUM(K1405:R1405)</f>
        <v>6</v>
      </c>
      <c r="J1405" s="182" t="n">
        <v>45776</v>
      </c>
      <c r="K1405" s="148" t="n">
        <f aca="false">2</f>
        <v>2</v>
      </c>
      <c r="M1405" s="150" t="n">
        <f aca="false">1+1</f>
        <v>2</v>
      </c>
      <c r="N1405" s="151" t="n">
        <v>1</v>
      </c>
      <c r="O1405" s="152" t="n">
        <v>1</v>
      </c>
      <c r="S1405" s="192" t="n">
        <f aca="false">(K1405+O1405+Q1405)*24 /1130+(L1405+M1405+P1405+R1405)*12/1130+(N1405*30)/1130</f>
        <v>0.111504424778761</v>
      </c>
    </row>
    <row r="1406" customFormat="false" ht="15" hidden="true" customHeight="true" outlineLevel="0" collapsed="false">
      <c r="A1406" s="128" t="n">
        <f aca="false">D1406+355-100-10-500-500</f>
        <v>4</v>
      </c>
      <c r="B1406" s="127" t="n">
        <f aca="false">B1405+D1406-C1406</f>
        <v>6572.25</v>
      </c>
      <c r="D1406" s="146" t="n">
        <f aca="false">299+230*2</f>
        <v>759</v>
      </c>
      <c r="E1406" s="147" t="n">
        <v>1119</v>
      </c>
      <c r="F1406" s="147" t="n">
        <f aca="false">IFERROR(VLOOKUP(H1406,$AD$1:$AE$301,2,0),"")</f>
        <v>636</v>
      </c>
      <c r="G1406" s="147" t="str">
        <f aca="false">IFERROR(VLOOKUP(F1406,$AE$2:$AF$290,2, 0),"")</f>
        <v>تبوك</v>
      </c>
      <c r="H1406" s="212" t="s">
        <v>134</v>
      </c>
      <c r="I1406" s="246" t="n">
        <f aca="false">SUM(K1406:R1406)</f>
        <v>3</v>
      </c>
      <c r="J1406" s="182" t="n">
        <v>45776</v>
      </c>
      <c r="K1406" s="148" t="n">
        <v>1</v>
      </c>
      <c r="M1406" s="150" t="n">
        <v>2</v>
      </c>
      <c r="S1406" s="192" t="n">
        <f aca="false">(K1406+O1406+Q1406)*24 /1130+(L1406+M1406+P1406+R1406)*12/1130+(N1406*30)/1130</f>
        <v>0.0424778761061947</v>
      </c>
    </row>
    <row r="1407" customFormat="false" ht="15" hidden="true" customHeight="true" outlineLevel="0" collapsed="false">
      <c r="A1407" s="128" t="n">
        <f aca="false">D1407-253</f>
        <v>0</v>
      </c>
      <c r="B1407" s="127" t="n">
        <f aca="false">B1406+D1407-C1407</f>
        <v>6825.25</v>
      </c>
      <c r="D1407" s="146" t="n">
        <v>253</v>
      </c>
      <c r="E1407" s="147" t="n">
        <v>1118</v>
      </c>
      <c r="F1407" s="147" t="n">
        <f aca="false">IFERROR(VLOOKUP(H1407,$AD$1:$AE$301,2,0),"")</f>
        <v>1008030</v>
      </c>
      <c r="G1407" s="147" t="str">
        <f aca="false">IFERROR(VLOOKUP(F1407,$AE$2:$AF$290,2, 0),"")</f>
        <v>البير</v>
      </c>
      <c r="H1407" s="212" t="s">
        <v>298</v>
      </c>
      <c r="I1407" s="246" t="n">
        <f aca="false">SUM(K1407:R1407)</f>
        <v>1</v>
      </c>
      <c r="J1407" s="182" t="n">
        <v>45776</v>
      </c>
      <c r="M1407" s="150" t="n">
        <v>1</v>
      </c>
      <c r="S1407" s="192" t="n">
        <f aca="false">(K1407+O1407+Q1407)*24 /1130+(L1407+M1407+P1407+R1407)*12/1130+(N1407*30)/1130</f>
        <v>0.0106194690265487</v>
      </c>
    </row>
    <row r="1408" customFormat="false" ht="15" hidden="true" customHeight="true" outlineLevel="0" collapsed="false">
      <c r="A1408" s="128" t="n">
        <f aca="false">D1408-500-200+10</f>
        <v>0</v>
      </c>
      <c r="B1408" s="127" t="n">
        <f aca="false">B1407+D1408-C1408</f>
        <v>7515.25</v>
      </c>
      <c r="D1408" s="146" t="n">
        <f aca="false">230*3</f>
        <v>690</v>
      </c>
      <c r="E1408" s="147" t="n">
        <v>1120</v>
      </c>
      <c r="F1408" s="147" t="n">
        <f aca="false">IFERROR(VLOOKUP(H1408,$AD$1:$AE$301,2,0),"")</f>
        <v>636</v>
      </c>
      <c r="G1408" s="147" t="str">
        <f aca="false">IFERROR(VLOOKUP(F1408,$AE$2:$AF$290,2, 0),"")</f>
        <v>تبوك</v>
      </c>
      <c r="H1408" s="212" t="s">
        <v>134</v>
      </c>
      <c r="I1408" s="246" t="n">
        <f aca="false">SUM(K1408:R1408)</f>
        <v>3</v>
      </c>
      <c r="J1408" s="182" t="n">
        <v>45777</v>
      </c>
      <c r="M1408" s="150" t="n">
        <v>3</v>
      </c>
      <c r="S1408" s="192" t="n">
        <f aca="false">(K1408+O1408+Q1408)*24 /1130+(L1408+M1408+P1408+R1408)*12/1130+(N1408*30)/1130</f>
        <v>0.031858407079646</v>
      </c>
    </row>
    <row r="1409" customFormat="false" ht="15" hidden="true" customHeight="true" outlineLevel="0" collapsed="false">
      <c r="A1409" s="416"/>
      <c r="B1409" s="127" t="n">
        <f aca="false">B1408+D1409-C1409</f>
        <v>2300.25</v>
      </c>
      <c r="C1409" s="127" t="n">
        <f aca="false">299+299+299+299+1610+2050+359</f>
        <v>5215</v>
      </c>
      <c r="E1409" s="212" t="s">
        <v>470</v>
      </c>
      <c r="F1409" s="147" t="str">
        <f aca="false">IFERROR(VLOOKUP(H1409,$AD$1:$AE$301,2,0),"")</f>
        <v/>
      </c>
      <c r="G1409" s="147" t="str">
        <f aca="false">IFERROR(VLOOKUP(F1409,$AE$2:$AF$290,2, 0),"")</f>
        <v/>
      </c>
      <c r="H1409" s="212" t="s">
        <v>393</v>
      </c>
      <c r="I1409" s="246" t="n">
        <f aca="false">SUM(K1409:R1409)</f>
        <v>0</v>
      </c>
      <c r="J1409" s="182" t="n">
        <v>45777</v>
      </c>
      <c r="S1409" s="192" t="n">
        <f aca="false">(K1409+O1409+Q1409)*24 /1130+(L1409+M1409+P1409+R1409)*12/1130+(N1409*30)/1130</f>
        <v>0</v>
      </c>
    </row>
    <row r="1410" customFormat="false" ht="15" hidden="true" customHeight="true" outlineLevel="0" collapsed="false">
      <c r="A1410" s="417"/>
      <c r="B1410" s="127" t="n">
        <f aca="false">B1409+D1410-C1410</f>
        <v>0</v>
      </c>
      <c r="C1410" s="127" t="n">
        <v>2300</v>
      </c>
      <c r="D1410" s="146" t="n">
        <v>-0.25</v>
      </c>
      <c r="E1410" s="212" t="s">
        <v>657</v>
      </c>
      <c r="F1410" s="147" t="str">
        <f aca="false">IFERROR(VLOOKUP(H1410,$AD$1:$AE$301,2,0),"")</f>
        <v/>
      </c>
      <c r="G1410" s="147" t="str">
        <f aca="false">IFERROR(VLOOKUP(F1410,$AE$2:$AF$290,2, 0),"")</f>
        <v/>
      </c>
      <c r="H1410" s="212" t="s">
        <v>393</v>
      </c>
      <c r="I1410" s="246" t="n">
        <f aca="false">SUM(K1410:R1410)</f>
        <v>0</v>
      </c>
      <c r="J1410" s="182" t="n">
        <v>45778</v>
      </c>
      <c r="S1410" s="192" t="n">
        <f aca="false">(K1410+O1410+Q1410)*24 /1130+(L1410+M1410+P1410+R1410)*12/1130+(N1410*30)/1130</f>
        <v>0</v>
      </c>
    </row>
    <row r="1411" customFormat="false" ht="15" hidden="true" customHeight="true" outlineLevel="0" collapsed="false">
      <c r="B1411" s="127" t="n">
        <f aca="false">B1410+D1411-C1411</f>
        <v>1638.75</v>
      </c>
      <c r="D1411" s="146" t="n">
        <f aca="false">327.75*5</f>
        <v>1638.75</v>
      </c>
      <c r="E1411" s="147" t="n">
        <v>1123</v>
      </c>
      <c r="F1411" s="147" t="n">
        <f aca="false">IFERROR(VLOOKUP(H1411,$AD$1:$AE$301,2,0),"")</f>
        <v>566</v>
      </c>
      <c r="G1411" s="147" t="str">
        <f aca="false">IFERROR(VLOOKUP(F1411,$AE$2:$AF$290,2, 0),"")</f>
        <v>تبوك</v>
      </c>
      <c r="H1411" s="212" t="s">
        <v>168</v>
      </c>
      <c r="I1411" s="246" t="n">
        <f aca="false">SUM(K1411:R1411)</f>
        <v>6</v>
      </c>
      <c r="J1411" s="182" t="n">
        <v>45781</v>
      </c>
      <c r="K1411" s="148" t="n">
        <f aca="false">3+3</f>
        <v>6</v>
      </c>
      <c r="S1411" s="192" t="n">
        <f aca="false">(K1411+O1411+Q1411)*24 /1130+(L1411+M1411+P1411+R1411)*12/1130+(N1411*30)/1130</f>
        <v>0.127433628318584</v>
      </c>
    </row>
    <row r="1412" customFormat="false" ht="15" hidden="true" customHeight="true" outlineLevel="0" collapsed="false">
      <c r="A1412" s="128" t="n">
        <f aca="false">D1412-1633-500</f>
        <v>0.25</v>
      </c>
      <c r="B1412" s="127" t="n">
        <f aca="false">B1411+D1412-C1412</f>
        <v>3772</v>
      </c>
      <c r="D1412" s="146" t="n">
        <f aca="false">327.75*5+253+241.5</f>
        <v>2133.25</v>
      </c>
      <c r="E1412" s="147" t="s">
        <v>660</v>
      </c>
      <c r="F1412" s="147" t="n">
        <f aca="false">IFERROR(VLOOKUP(H1412,$AD$1:$AE$301,2,0),"")</f>
        <v>1008274</v>
      </c>
      <c r="G1412" s="147" t="str">
        <f aca="false">IFERROR(VLOOKUP(F1412,$AE$2:$AF$290,2, 0),"")</f>
        <v>تبوك</v>
      </c>
      <c r="H1412" s="212" t="s">
        <v>147</v>
      </c>
      <c r="I1412" s="246" t="n">
        <f aca="false">SUM(K1412:R1412)</f>
        <v>8</v>
      </c>
      <c r="J1412" s="182" t="n">
        <v>45781</v>
      </c>
      <c r="K1412" s="148" t="n">
        <f aca="false">4+2</f>
        <v>6</v>
      </c>
      <c r="M1412" s="150" t="n">
        <v>1</v>
      </c>
      <c r="Q1412" s="154" t="n">
        <v>1</v>
      </c>
      <c r="S1412" s="192" t="n">
        <f aca="false">(K1412+O1412+Q1412)*24 /1130+(L1412+M1412+P1412+R1412)*12/1130+(N1412*30)/1130</f>
        <v>0.15929203539823</v>
      </c>
    </row>
    <row r="1413" customFormat="false" ht="15" hidden="true" customHeight="true" outlineLevel="0" collapsed="false">
      <c r="B1413" s="127" t="n">
        <f aca="false">B1412+D1413-C1413</f>
        <v>0</v>
      </c>
      <c r="C1413" s="127" t="n">
        <f aca="false">100+299+3373</f>
        <v>3772</v>
      </c>
      <c r="E1413" s="212" t="s">
        <v>470</v>
      </c>
      <c r="F1413" s="147" t="str">
        <f aca="false">IFERROR(VLOOKUP(H1413,$AD$1:$AE$301,2,0),"")</f>
        <v/>
      </c>
      <c r="G1413" s="147" t="str">
        <f aca="false">IFERROR(VLOOKUP(F1413,$AE$2:$AF$290,2, 0),"")</f>
        <v/>
      </c>
      <c r="H1413" s="212" t="s">
        <v>393</v>
      </c>
      <c r="I1413" s="246" t="n">
        <f aca="false">SUM(K1413:R1413)</f>
        <v>0</v>
      </c>
      <c r="J1413" s="182" t="n">
        <v>45781</v>
      </c>
      <c r="S1413" s="192" t="n">
        <f aca="false">(K1413+O1413+Q1413)*24 /1130+(L1413+M1413+P1413+R1413)*12/1130+(N1413*30)/1130</f>
        <v>0</v>
      </c>
    </row>
    <row r="1414" customFormat="false" ht="15" hidden="true" customHeight="true" outlineLevel="0" collapsed="false">
      <c r="A1414" s="418" t="n">
        <f aca="false">D1414-100-130+820-35-105-90-150-450</f>
        <v>-10</v>
      </c>
      <c r="B1414" s="127" t="n">
        <f aca="false">B1413+D1414-C1414</f>
        <v>230</v>
      </c>
      <c r="D1414" s="146" t="n">
        <v>230</v>
      </c>
      <c r="E1414" s="147" t="n">
        <v>1124</v>
      </c>
      <c r="F1414" s="147" t="n">
        <f aca="false">IFERROR(VLOOKUP(H1414,$AD$1:$AE$301,2,0),"")</f>
        <v>1002861</v>
      </c>
      <c r="G1414" s="147" t="str">
        <f aca="false">IFERROR(VLOOKUP(F1414,$AE$2:$AF$290,2, 0),"")</f>
        <v>تبوك</v>
      </c>
      <c r="H1414" s="212" t="s">
        <v>275</v>
      </c>
      <c r="I1414" s="246" t="n">
        <f aca="false">SUM(K1414:R1414)</f>
        <v>1</v>
      </c>
      <c r="J1414" s="182" t="n">
        <v>45782</v>
      </c>
      <c r="M1414" s="150" t="n">
        <v>1</v>
      </c>
      <c r="S1414" s="192" t="n">
        <f aca="false">(K1414+O1414+Q1414)*24 /1130+(L1414+M1414+P1414+R1414)*12/1130+(N1414*30)/1130</f>
        <v>0.0106194690265487</v>
      </c>
    </row>
    <row r="1415" customFormat="false" ht="15" hidden="true" customHeight="true" outlineLevel="0" collapsed="false">
      <c r="B1415" s="127" t="n">
        <f aca="false">B1414+D1415-C1415</f>
        <v>1868.75</v>
      </c>
      <c r="D1415" s="146" t="n">
        <f aca="false">327.75*5</f>
        <v>1638.75</v>
      </c>
      <c r="E1415" s="147" t="n">
        <v>1126</v>
      </c>
      <c r="F1415" s="147" t="n">
        <f aca="false">IFERROR(VLOOKUP(H1415,$AD$1:$AE$301,2,0),"")</f>
        <v>943</v>
      </c>
      <c r="G1415" s="147" t="str">
        <f aca="false">IFERROR(VLOOKUP(F1415,$AE$2:$AF$290,2, 0),"")</f>
        <v>تبوك</v>
      </c>
      <c r="H1415" s="212" t="s">
        <v>259</v>
      </c>
      <c r="I1415" s="246" t="n">
        <f aca="false">SUM(K1415:R1415)</f>
        <v>6</v>
      </c>
      <c r="J1415" s="182" t="n">
        <v>45782</v>
      </c>
      <c r="K1415" s="148" t="n">
        <f aca="false">3+3</f>
        <v>6</v>
      </c>
      <c r="S1415" s="192" t="n">
        <f aca="false">(K1415+O1415+Q1415)*24 /1130+(L1415+M1415+P1415+R1415)*12/1130+(N1415*30)/1130</f>
        <v>0.127433628318584</v>
      </c>
    </row>
    <row r="1416" customFormat="false" ht="15" hidden="true" customHeight="true" outlineLevel="0" collapsed="false">
      <c r="B1416" s="127" t="n">
        <f aca="false">B1415+D1416-C1416</f>
        <v>3507.5</v>
      </c>
      <c r="D1416" s="146" t="n">
        <f aca="false">327.75*5</f>
        <v>1638.75</v>
      </c>
      <c r="E1416" s="147" t="n">
        <v>1125</v>
      </c>
      <c r="F1416" s="147" t="n">
        <f aca="false">IFERROR(VLOOKUP(H1416,$AD$1:$AE$301,2,0),"")</f>
        <v>1008265</v>
      </c>
      <c r="G1416" s="147" t="str">
        <f aca="false">IFERROR(VLOOKUP(F1416,$AE$2:$AF$290,2, 0),"")</f>
        <v>تبوك</v>
      </c>
      <c r="H1416" s="212" t="s">
        <v>146</v>
      </c>
      <c r="I1416" s="246" t="n">
        <f aca="false">SUM(K1416:R1416)</f>
        <v>6</v>
      </c>
      <c r="J1416" s="182" t="n">
        <v>45782</v>
      </c>
      <c r="K1416" s="148" t="n">
        <f aca="false">6</f>
        <v>6</v>
      </c>
      <c r="S1416" s="192" t="n">
        <f aca="false">(K1416+O1416+Q1416)*24 /1130+(L1416+M1416+P1416+R1416)*12/1130+(N1416*30)/1130</f>
        <v>0.127433628318584</v>
      </c>
    </row>
    <row r="1417" customFormat="false" ht="15" hidden="true" customHeight="true" outlineLevel="0" collapsed="false">
      <c r="B1417" s="127" t="n">
        <f aca="false">B1416+D1417-C1417</f>
        <v>0</v>
      </c>
      <c r="C1417" s="127" t="n">
        <v>3507</v>
      </c>
      <c r="D1417" s="146" t="n">
        <v>-0.5</v>
      </c>
      <c r="E1417" s="212" t="s">
        <v>653</v>
      </c>
      <c r="F1417" s="147" t="str">
        <f aca="false">IFERROR(VLOOKUP(H1417,$AD$1:$AE$301,2,0),"")</f>
        <v/>
      </c>
      <c r="G1417" s="147" t="str">
        <f aca="false">IFERROR(VLOOKUP(F1417,$AE$2:$AF$290,2, 0),"")</f>
        <v/>
      </c>
      <c r="H1417" s="212" t="s">
        <v>393</v>
      </c>
      <c r="I1417" s="246" t="n">
        <f aca="false">SUM(K1417:R1417)</f>
        <v>0</v>
      </c>
      <c r="J1417" s="182" t="n">
        <v>45783</v>
      </c>
      <c r="S1417" s="192" t="n">
        <f aca="false">(K1417+O1417+Q1417)*24 /1130+(L1417+M1417+P1417+R1417)*12/1130+(N1417*30)/1130</f>
        <v>0</v>
      </c>
    </row>
    <row r="1418" customFormat="false" ht="15" hidden="true" customHeight="true" outlineLevel="0" collapsed="false">
      <c r="B1418" s="127" t="n">
        <f aca="false">B1417+D1418-C1418</f>
        <v>1270.75</v>
      </c>
      <c r="D1418" s="146" t="n">
        <f aca="false">258.75*3+253+241.5</f>
        <v>1270.75</v>
      </c>
      <c r="E1418" s="147" t="n">
        <v>1127</v>
      </c>
      <c r="F1418" s="147" t="n">
        <f aca="false">IFERROR(VLOOKUP(H1418,$AD$1:$AE$301,2,0),"")</f>
        <v>1007996</v>
      </c>
      <c r="G1418" s="147" t="str">
        <f aca="false">IFERROR(VLOOKUP(F1418,$AE$2:$AF$290,2, 0),"")</f>
        <v>البير</v>
      </c>
      <c r="H1418" s="212" t="s">
        <v>295</v>
      </c>
      <c r="I1418" s="246" t="n">
        <f aca="false">SUM(K1418:R1418)</f>
        <v>5</v>
      </c>
      <c r="J1418" s="182" t="n">
        <v>45783</v>
      </c>
      <c r="M1418" s="150" t="n">
        <v>1</v>
      </c>
      <c r="O1418" s="152" t="n">
        <f aca="false">2+1</f>
        <v>3</v>
      </c>
      <c r="Q1418" s="154" t="n">
        <v>1</v>
      </c>
      <c r="S1418" s="192" t="n">
        <f aca="false">(K1418+O1418+Q1418)*24 /1130+(L1418+M1418+P1418+R1418)*12/1130+(N1418*30)/1130</f>
        <v>0.0955752212389381</v>
      </c>
    </row>
    <row r="1419" customFormat="false" ht="15" hidden="true" customHeight="true" outlineLevel="0" collapsed="false">
      <c r="A1419" s="128" t="n">
        <f aca="false">D1419+253-1191-18*5-5*2-650+50</f>
        <v>0.75</v>
      </c>
      <c r="B1419" s="127" t="n">
        <f aca="false">B1418+D1419-C1419</f>
        <v>2909.5</v>
      </c>
      <c r="D1419" s="146" t="n">
        <f aca="false">327.75*5</f>
        <v>1638.75</v>
      </c>
      <c r="E1419" s="147" t="n">
        <v>1128</v>
      </c>
      <c r="F1419" s="147" t="n">
        <f aca="false">IFERROR(VLOOKUP(H1419,$AD$1:$AE$301,2,0),"")</f>
        <v>1008030</v>
      </c>
      <c r="G1419" s="147" t="str">
        <f aca="false">IFERROR(VLOOKUP(F1419,$AE$2:$AF$290,2, 0),"")</f>
        <v>البير</v>
      </c>
      <c r="H1419" s="212" t="s">
        <v>298</v>
      </c>
      <c r="I1419" s="246" t="n">
        <f aca="false">SUM(K1419:R1419)</f>
        <v>6</v>
      </c>
      <c r="J1419" s="182" t="n">
        <v>45783</v>
      </c>
      <c r="K1419" s="148" t="n">
        <f aca="false">4+2</f>
        <v>6</v>
      </c>
      <c r="S1419" s="192" t="n">
        <f aca="false">(K1419+O1419+Q1419)*24 /1130+(L1419+M1419+P1419+R1419)*12/1130+(N1419*30)/1130</f>
        <v>0.127433628318584</v>
      </c>
    </row>
    <row r="1420" customFormat="false" ht="15" hidden="true" customHeight="true" outlineLevel="0" collapsed="false">
      <c r="A1420" s="128" t="n">
        <f aca="false">D1420-818.75-270-550</f>
        <v>0</v>
      </c>
      <c r="B1420" s="127" t="n">
        <f aca="false">B1419+D1420-C1420</f>
        <v>4548.25</v>
      </c>
      <c r="D1420" s="146" t="n">
        <f aca="false">327.75*5</f>
        <v>1638.75</v>
      </c>
      <c r="E1420" s="147" t="n">
        <v>1129</v>
      </c>
      <c r="F1420" s="147" t="n">
        <f aca="false">IFERROR(VLOOKUP(H1420,$AD$1:$AE$301,2,0),"")</f>
        <v>1008260</v>
      </c>
      <c r="G1420" s="147" t="str">
        <f aca="false">IFERROR(VLOOKUP(F1420,$AE$2:$AF$290,2, 0),"")</f>
        <v>تبوك</v>
      </c>
      <c r="H1420" s="212" t="s">
        <v>184</v>
      </c>
      <c r="I1420" s="246" t="n">
        <f aca="false">SUM(K1420:R1420)</f>
        <v>6</v>
      </c>
      <c r="J1420" s="182" t="n">
        <v>45783</v>
      </c>
      <c r="K1420" s="148" t="n">
        <f aca="false">4+2</f>
        <v>6</v>
      </c>
      <c r="S1420" s="192" t="n">
        <f aca="false">(K1420+O1420+Q1420)*24 /1130+(L1420+M1420+P1420+R1420)*12/1130+(N1420*30)/1130</f>
        <v>0.127433628318584</v>
      </c>
    </row>
    <row r="1421" customFormat="false" ht="15" hidden="true" customHeight="true" outlineLevel="0" collapsed="false">
      <c r="B1421" s="127" t="n">
        <f aca="false">B1420+D1421-C1421</f>
        <v>6187</v>
      </c>
      <c r="D1421" s="146" t="n">
        <f aca="false">327.75*5</f>
        <v>1638.75</v>
      </c>
      <c r="E1421" s="147" t="n">
        <v>1130</v>
      </c>
      <c r="F1421" s="147" t="n">
        <f aca="false">IFERROR(VLOOKUP(H1421,$AD$1:$AE$301,2,0),"")</f>
        <v>1007965</v>
      </c>
      <c r="G1421" s="147" t="str">
        <f aca="false">IFERROR(VLOOKUP(F1421,$AE$2:$AF$290,2, 0),"")</f>
        <v>البير</v>
      </c>
      <c r="H1421" s="212" t="s">
        <v>290</v>
      </c>
      <c r="I1421" s="246" t="n">
        <f aca="false">SUM(K1421:R1421)</f>
        <v>6</v>
      </c>
      <c r="J1421" s="182" t="n">
        <v>45783</v>
      </c>
      <c r="K1421" s="148" t="n">
        <f aca="false">4+2</f>
        <v>6</v>
      </c>
      <c r="S1421" s="192" t="n">
        <f aca="false">(K1421+O1421+Q1421)*24 /1130+(L1421+M1421+P1421+R1421)*12/1130+(N1421*30)/1130</f>
        <v>0.127433628318584</v>
      </c>
    </row>
    <row r="1422" customFormat="false" ht="15" hidden="true" customHeight="true" outlineLevel="0" collapsed="false">
      <c r="A1422" s="128" t="n">
        <f aca="false">D1422-3651.25</f>
        <v>0</v>
      </c>
      <c r="B1422" s="127" t="n">
        <f aca="false">B1421+D1422-C1422</f>
        <v>9838.25</v>
      </c>
      <c r="D1422" s="146" t="n">
        <f aca="false">15*138+316.25*5</f>
        <v>3651.25</v>
      </c>
      <c r="E1422" s="147" t="n">
        <v>1131</v>
      </c>
      <c r="F1422" s="147" t="n">
        <f aca="false">IFERROR(VLOOKUP(H1422,$AD$1:$AE$301,2,0),"")</f>
        <v>1007970</v>
      </c>
      <c r="G1422" s="147" t="str">
        <f aca="false">IFERROR(VLOOKUP(F1422,$AE$2:$AF$290,2, 0),"")</f>
        <v>حقل</v>
      </c>
      <c r="H1422" s="212" t="s">
        <v>310</v>
      </c>
      <c r="I1422" s="246" t="n">
        <f aca="false">SUM(K1422:R1422)</f>
        <v>21</v>
      </c>
      <c r="J1422" s="182" t="n">
        <v>45783</v>
      </c>
      <c r="N1422" s="151" t="n">
        <v>6</v>
      </c>
      <c r="Q1422" s="154" t="n">
        <v>15</v>
      </c>
      <c r="S1422" s="192" t="n">
        <f aca="false">(K1422+O1422+Q1422)*24 /1130+(L1422+M1422+P1422+R1422)*12/1130+(N1422*30)/1130</f>
        <v>0.47787610619469</v>
      </c>
    </row>
    <row r="1423" customFormat="false" ht="15" hidden="true" customHeight="true" outlineLevel="0" collapsed="false">
      <c r="B1423" s="127" t="n">
        <f aca="false">B1422+D1423-C1423</f>
        <v>6403.5</v>
      </c>
      <c r="C1423" s="127" t="n">
        <f aca="false">100+1270.75+1191+620+253</f>
        <v>3434.75</v>
      </c>
      <c r="E1423" s="212" t="s">
        <v>470</v>
      </c>
      <c r="F1423" s="147" t="str">
        <f aca="false">IFERROR(VLOOKUP(H1423,$AD$1:$AE$301,2,0),"")</f>
        <v/>
      </c>
      <c r="G1423" s="147" t="str">
        <f aca="false">IFERROR(VLOOKUP(F1423,$AE$2:$AF$290,2, 0),"")</f>
        <v/>
      </c>
      <c r="H1423" s="212" t="s">
        <v>393</v>
      </c>
      <c r="I1423" s="246" t="n">
        <f aca="false">SUM(K1423:R1423)</f>
        <v>0</v>
      </c>
      <c r="J1423" s="182" t="n">
        <v>45783</v>
      </c>
      <c r="S1423" s="192" t="n">
        <f aca="false">(K1423+O1423+Q1423)*24 /1130+(L1423+M1423+P1423+R1423)*12/1130+(N1423*30)/1130</f>
        <v>0</v>
      </c>
    </row>
    <row r="1424" customFormat="false" ht="15" hidden="true" customHeight="true" outlineLevel="0" collapsed="false">
      <c r="B1424" s="127" t="n">
        <f aca="false">B1423+D1424-C1424</f>
        <v>0</v>
      </c>
      <c r="C1424" s="127" t="n">
        <v>6403</v>
      </c>
      <c r="D1424" s="146" t="n">
        <v>-0.5</v>
      </c>
      <c r="E1424" s="212" t="s">
        <v>653</v>
      </c>
      <c r="F1424" s="147" t="str">
        <f aca="false">IFERROR(VLOOKUP(H1424,$AD$1:$AE$301,2,0),"")</f>
        <v/>
      </c>
      <c r="G1424" s="147" t="str">
        <f aca="false">IFERROR(VLOOKUP(F1424,$AE$2:$AF$290,2, 0),"")</f>
        <v/>
      </c>
      <c r="H1424" s="212" t="s">
        <v>393</v>
      </c>
      <c r="I1424" s="246" t="n">
        <f aca="false">SUM(K1424:R1424)</f>
        <v>0</v>
      </c>
      <c r="J1424" s="182" t="n">
        <v>45784</v>
      </c>
      <c r="S1424" s="192" t="n">
        <f aca="false">(K1424+O1424+Q1424)*24 /1130+(L1424+M1424+P1424+R1424)*12/1130+(N1424*30)/1130</f>
        <v>0</v>
      </c>
    </row>
    <row r="1425" customFormat="false" ht="15" hidden="true" customHeight="true" outlineLevel="0" collapsed="false">
      <c r="B1425" s="127" t="n">
        <f aca="false">B1424+D1425-C1425</f>
        <v>3726</v>
      </c>
      <c r="D1425" s="146" t="n">
        <f aca="false">345*10+138*2</f>
        <v>3726</v>
      </c>
      <c r="E1425" s="147" t="n">
        <v>1132</v>
      </c>
      <c r="F1425" s="147" t="n">
        <f aca="false">IFERROR(VLOOKUP(H1425,$AD$1:$AE$301,2,0),"")</f>
        <v>1008023</v>
      </c>
      <c r="G1425" s="147" t="str">
        <f aca="false">IFERROR(VLOOKUP(F1425,$AE$2:$AF$290,2, 0),"")</f>
        <v>ضباء</v>
      </c>
      <c r="H1425" s="212" t="s">
        <v>95</v>
      </c>
      <c r="I1425" s="246" t="n">
        <f aca="false">SUM(K1425:R1425)</f>
        <v>12</v>
      </c>
      <c r="J1425" s="182" t="n">
        <v>45784</v>
      </c>
      <c r="M1425" s="150" t="n">
        <v>10</v>
      </c>
      <c r="Q1425" s="154" t="n">
        <v>2</v>
      </c>
      <c r="S1425" s="192" t="n">
        <f aca="false">(K1425+O1425+Q1425)*24 /1130+(L1425+M1425+P1425+R1425)*12/1130+(N1425*30)/1130</f>
        <v>0.148672566371681</v>
      </c>
    </row>
    <row r="1426" customFormat="false" ht="15" hidden="true" customHeight="true" outlineLevel="0" collapsed="false">
      <c r="B1426" s="127" t="n">
        <f aca="false">B1425+D1426-C1426</f>
        <v>5364.75</v>
      </c>
      <c r="D1426" s="146" t="n">
        <f aca="false">327.75*5</f>
        <v>1638.75</v>
      </c>
      <c r="E1426" s="147" t="n">
        <v>1133</v>
      </c>
      <c r="F1426" s="147" t="n">
        <f aca="false">IFERROR(VLOOKUP(H1426,$AD$1:$AE$301,2,0),"")</f>
        <v>1008043</v>
      </c>
      <c r="G1426" s="147" t="str">
        <f aca="false">IFERROR(VLOOKUP(F1426,$AE$2:$AF$290,2, 0),"")</f>
        <v>الوجه</v>
      </c>
      <c r="H1426" s="212" t="s">
        <v>104</v>
      </c>
      <c r="I1426" s="246" t="n">
        <f aca="false">SUM(K1426:R1426)</f>
        <v>6</v>
      </c>
      <c r="J1426" s="182" t="n">
        <v>45784</v>
      </c>
      <c r="K1426" s="148" t="n">
        <f aca="false">4+2</f>
        <v>6</v>
      </c>
      <c r="S1426" s="192" t="n">
        <f aca="false">(K1426+O1426+Q1426)*24 /1130+(L1426+M1426+P1426+R1426)*12/1130+(N1426*30)/1130</f>
        <v>0.127433628318584</v>
      </c>
    </row>
    <row r="1427" customFormat="false" ht="15" hidden="true" customHeight="true" outlineLevel="0" collapsed="false">
      <c r="B1427" s="127" t="n">
        <f aca="false">B1426+D1427-C1427</f>
        <v>7003.5</v>
      </c>
      <c r="D1427" s="146" t="n">
        <f aca="false">327.75*5</f>
        <v>1638.75</v>
      </c>
      <c r="E1427" s="147" t="n">
        <v>1134</v>
      </c>
      <c r="F1427" s="147" t="n">
        <f aca="false">IFERROR(VLOOKUP(H1427,$AD$1:$AE$301,2,0),"")</f>
        <v>1008044</v>
      </c>
      <c r="G1427" s="147" t="str">
        <f aca="false">IFERROR(VLOOKUP(F1427,$AE$2:$AF$290,2, 0),"")</f>
        <v>الوجه</v>
      </c>
      <c r="H1427" s="212" t="s">
        <v>106</v>
      </c>
      <c r="I1427" s="246" t="n">
        <f aca="false">SUM(K1427:R1427)</f>
        <v>6</v>
      </c>
      <c r="J1427" s="182" t="n">
        <v>45784</v>
      </c>
      <c r="K1427" s="148" t="n">
        <f aca="false">5+1</f>
        <v>6</v>
      </c>
      <c r="S1427" s="192" t="n">
        <f aca="false">(K1427+O1427+Q1427)*24 /1130+(L1427+M1427+P1427+R1427)*12/1130+(N1427*30)/1130</f>
        <v>0.127433628318584</v>
      </c>
    </row>
    <row r="1428" customFormat="false" ht="15" hidden="true" customHeight="true" outlineLevel="0" collapsed="false">
      <c r="B1428" s="127" t="n">
        <f aca="false">B1427+D1428-C1428</f>
        <v>8642.25</v>
      </c>
      <c r="D1428" s="146" t="n">
        <f aca="false">327.75*5</f>
        <v>1638.75</v>
      </c>
      <c r="E1428" s="147" t="n">
        <v>1135</v>
      </c>
      <c r="F1428" s="147" t="n">
        <f aca="false">IFERROR(VLOOKUP(H1428,$AD$1:$AE$301,2,0),"")</f>
        <v>1008045</v>
      </c>
      <c r="G1428" s="147" t="str">
        <f aca="false">IFERROR(VLOOKUP(F1428,$AE$2:$AF$290,2, 0),"")</f>
        <v>الوجه</v>
      </c>
      <c r="H1428" s="212" t="s">
        <v>107</v>
      </c>
      <c r="I1428" s="246" t="n">
        <f aca="false">SUM(K1428:R1428)</f>
        <v>6</v>
      </c>
      <c r="J1428" s="182" t="n">
        <v>45784</v>
      </c>
      <c r="K1428" s="148" t="n">
        <f aca="false">4+2</f>
        <v>6</v>
      </c>
      <c r="S1428" s="192" t="n">
        <f aca="false">(K1428+O1428+Q1428)*24 /1130+(L1428+M1428+P1428+R1428)*12/1130+(N1428*30)/1130</f>
        <v>0.127433628318584</v>
      </c>
    </row>
    <row r="1429" customFormat="false" ht="15" hidden="true" customHeight="true" outlineLevel="0" collapsed="false">
      <c r="A1429" s="128" t="n">
        <f aca="false">D1429-1083.75-900</f>
        <v>0</v>
      </c>
      <c r="B1429" s="127" t="n">
        <f aca="false">B1428+D1429-C1429</f>
        <v>10626</v>
      </c>
      <c r="D1429" s="146" t="n">
        <f aca="false">327.75*5+345</f>
        <v>1983.75</v>
      </c>
      <c r="E1429" s="147" t="n">
        <v>1136</v>
      </c>
      <c r="F1429" s="147" t="n">
        <f aca="false">IFERROR(VLOOKUP(H1429,$AD$1:$AE$301,2,0),"")</f>
        <v>1008046</v>
      </c>
      <c r="G1429" s="147" t="str">
        <f aca="false">IFERROR(VLOOKUP(F1429,$AE$2:$AF$290,2, 0),"")</f>
        <v>الوجه</v>
      </c>
      <c r="H1429" s="212" t="s">
        <v>108</v>
      </c>
      <c r="I1429" s="246" t="n">
        <f aca="false">SUM(K1429:R1429)</f>
        <v>7</v>
      </c>
      <c r="J1429" s="182" t="n">
        <v>45784</v>
      </c>
      <c r="K1429" s="148" t="n">
        <f aca="false">4+2</f>
        <v>6</v>
      </c>
      <c r="M1429" s="150" t="n">
        <f aca="false">1</f>
        <v>1</v>
      </c>
      <c r="S1429" s="192" t="n">
        <f aca="false">(K1429+O1429+Q1429)*24 /1130+(L1429+M1429+P1429+R1429)*12/1130+(N1429*30)/1130</f>
        <v>0.138053097345133</v>
      </c>
    </row>
    <row r="1430" customFormat="false" ht="15" hidden="true" customHeight="true" outlineLevel="0" collapsed="false">
      <c r="B1430" s="127" t="n">
        <f aca="false">B1429+D1430-C1430</f>
        <v>12264.75</v>
      </c>
      <c r="D1430" s="146" t="n">
        <f aca="false">327.75*5</f>
        <v>1638.75</v>
      </c>
      <c r="E1430" s="147" t="n">
        <v>1136</v>
      </c>
      <c r="F1430" s="147" t="n">
        <f aca="false">IFERROR(VLOOKUP(H1430,$AD$1:$AE$301,2,0),"")</f>
        <v>1008047</v>
      </c>
      <c r="G1430" s="147" t="str">
        <f aca="false">IFERROR(VLOOKUP(F1430,$AE$2:$AF$290,2, 0),"")</f>
        <v>الوجه</v>
      </c>
      <c r="H1430" s="212" t="s">
        <v>422</v>
      </c>
      <c r="I1430" s="246" t="n">
        <f aca="false">SUM(K1430:R1430)</f>
        <v>6</v>
      </c>
      <c r="J1430" s="182" t="n">
        <v>45784</v>
      </c>
      <c r="K1430" s="148" t="n">
        <f aca="false">6</f>
        <v>6</v>
      </c>
      <c r="S1430" s="192" t="n">
        <f aca="false">(K1430+O1430+Q1430)*24 /1130+(L1430+M1430+P1430+R1430)*12/1130+(N1430*30)/1130</f>
        <v>0.127433628318584</v>
      </c>
    </row>
    <row r="1431" customFormat="false" ht="15" hidden="true" customHeight="true" outlineLevel="0" collapsed="false">
      <c r="A1431" s="128" t="n">
        <f aca="false">D1431-70*5-200-240-802</f>
        <v>0.75</v>
      </c>
      <c r="B1431" s="127" t="n">
        <f aca="false">B1430+D1431-C1431</f>
        <v>13857.5</v>
      </c>
      <c r="D1431" s="146" t="n">
        <f aca="false">4*316.25+327.75</f>
        <v>1592.75</v>
      </c>
      <c r="E1431" s="147" t="n">
        <v>1138</v>
      </c>
      <c r="F1431" s="147" t="n">
        <f aca="false">IFERROR(VLOOKUP(H1431,$AD$1:$AE$301,2,0),"")</f>
        <v>1008024</v>
      </c>
      <c r="G1431" s="147" t="str">
        <f aca="false">IFERROR(VLOOKUP(F1431,$AE$2:$AF$290,2, 0),"")</f>
        <v>ضباء</v>
      </c>
      <c r="H1431" s="212" t="s">
        <v>96</v>
      </c>
      <c r="I1431" s="246" t="n">
        <f aca="false">SUM(K1431:R1431)</f>
        <v>6</v>
      </c>
      <c r="J1431" s="182" t="n">
        <v>45784</v>
      </c>
      <c r="N1431" s="151" t="n">
        <f aca="false">3+3</f>
        <v>6</v>
      </c>
      <c r="S1431" s="192" t="n">
        <f aca="false">(K1431+O1431+Q1431)*24 /1130+(L1431+M1431+P1431+R1431)*12/1130+(N1431*30)/1130</f>
        <v>0.15929203539823</v>
      </c>
    </row>
    <row r="1432" customFormat="false" ht="15" hidden="true" customHeight="true" outlineLevel="0" collapsed="false">
      <c r="B1432" s="127" t="n">
        <f aca="false">B1431+D1432-C1432</f>
        <v>16002.25</v>
      </c>
      <c r="D1432" s="146" t="n">
        <f aca="false">5*327.75+253*2</f>
        <v>2144.75</v>
      </c>
      <c r="E1432" s="147" t="n">
        <v>1139</v>
      </c>
      <c r="F1432" s="147" t="n">
        <f aca="false">IFERROR(VLOOKUP(H1432,$AD$1:$AE$301,2,0),"")</f>
        <v>1007988</v>
      </c>
      <c r="G1432" s="147" t="str">
        <f aca="false">IFERROR(VLOOKUP(F1432,$AE$2:$AF$290,2, 0),"")</f>
        <v>ضباء</v>
      </c>
      <c r="H1432" s="212" t="s">
        <v>89</v>
      </c>
      <c r="I1432" s="246" t="n">
        <f aca="false">SUM(K1432:R1432)</f>
        <v>8</v>
      </c>
      <c r="J1432" s="182" t="n">
        <v>45784</v>
      </c>
      <c r="K1432" s="148" t="n">
        <f aca="false">3+3</f>
        <v>6</v>
      </c>
      <c r="M1432" s="150" t="n">
        <f aca="false">2</f>
        <v>2</v>
      </c>
      <c r="S1432" s="192" t="n">
        <f aca="false">(K1432+O1432+Q1432)*24 /1130+(L1432+M1432+P1432+R1432)*12/1130+(N1432*30)/1130</f>
        <v>0.148672566371681</v>
      </c>
    </row>
    <row r="1433" customFormat="false" ht="15" hidden="true" customHeight="true" outlineLevel="0" collapsed="false">
      <c r="A1433" s="128" t="n">
        <f aca="false">D1433-155.25</f>
        <v>0</v>
      </c>
      <c r="B1433" s="127" t="n">
        <f aca="false">B1432+D1433-C1433</f>
        <v>16157.5</v>
      </c>
      <c r="D1433" s="146" t="n">
        <v>155.25</v>
      </c>
      <c r="E1433" s="147" t="n">
        <v>1140</v>
      </c>
      <c r="F1433" s="147" t="n">
        <f aca="false">IFERROR(VLOOKUP(H1433,$AD$1:$AE$301,2,0),"")</f>
        <v>1007988</v>
      </c>
      <c r="G1433" s="147" t="str">
        <f aca="false">IFERROR(VLOOKUP(F1433,$AE$2:$AF$290,2, 0),"")</f>
        <v>ضباء</v>
      </c>
      <c r="H1433" s="212" t="s">
        <v>89</v>
      </c>
      <c r="I1433" s="246" t="n">
        <f aca="false">SUM(K1433:R1433)</f>
        <v>1</v>
      </c>
      <c r="J1433" s="182" t="n">
        <v>45784</v>
      </c>
      <c r="R1433" s="155" t="n">
        <v>1</v>
      </c>
      <c r="S1433" s="192" t="n">
        <f aca="false">(K1433+O1433+Q1433)*24 /1130+(L1433+M1433+P1433+R1433)*12/1130+(N1433*30)/1130</f>
        <v>0.0106194690265487</v>
      </c>
    </row>
    <row r="1434" customFormat="false" ht="15" hidden="true" customHeight="true" outlineLevel="0" collapsed="false">
      <c r="B1434" s="127" t="n">
        <f aca="false">B1433+D1434-C1434</f>
        <v>16410.5</v>
      </c>
      <c r="D1434" s="146" t="n">
        <v>253</v>
      </c>
      <c r="E1434" s="147" t="n">
        <v>1141</v>
      </c>
      <c r="F1434" s="147" t="n">
        <f aca="false">IFERROR(VLOOKUP(H1434,$AD$1:$AE$301,2,0),"")</f>
        <v>1007989</v>
      </c>
      <c r="G1434" s="147" t="str">
        <f aca="false">IFERROR(VLOOKUP(F1434,$AE$2:$AF$290,2, 0),"")</f>
        <v>ضباء</v>
      </c>
      <c r="H1434" s="212" t="s">
        <v>90</v>
      </c>
      <c r="I1434" s="246" t="n">
        <f aca="false">SUM(K1434:R1434)</f>
        <v>1</v>
      </c>
      <c r="J1434" s="182" t="n">
        <v>45784</v>
      </c>
      <c r="M1434" s="150" t="n">
        <v>1</v>
      </c>
      <c r="S1434" s="192" t="n">
        <f aca="false">(K1434+O1434+Q1434)*24 /1130+(L1434+M1434+P1434+R1434)*12/1130+(N1434*30)/1130</f>
        <v>0.0106194690265487</v>
      </c>
    </row>
    <row r="1435" customFormat="false" ht="15" hidden="true" customHeight="true" outlineLevel="0" collapsed="false">
      <c r="B1435" s="127" t="n">
        <f aca="false">B1434+D1435-C1435</f>
        <v>10940</v>
      </c>
      <c r="C1435" s="127" t="n">
        <f aca="false">248+819+1638.75+600+20+2144.75</f>
        <v>5470.5</v>
      </c>
      <c r="E1435" s="212" t="s">
        <v>470</v>
      </c>
      <c r="F1435" s="147" t="str">
        <f aca="false">IFERROR(VLOOKUP(H1435,$AD$1:$AE$301,2,0),"")</f>
        <v/>
      </c>
      <c r="G1435" s="147" t="str">
        <f aca="false">IFERROR(VLOOKUP(F1435,$AE$2:$AF$290,2, 0),"")</f>
        <v/>
      </c>
      <c r="H1435" s="212" t="s">
        <v>393</v>
      </c>
      <c r="I1435" s="246" t="n">
        <f aca="false">SUM(K1435:R1435)</f>
        <v>0</v>
      </c>
      <c r="J1435" s="182" t="n">
        <v>45784</v>
      </c>
      <c r="S1435" s="192" t="n">
        <f aca="false">(K1435+O1435+Q1435)*24 /1130+(L1435+M1435+P1435+R1435)*12/1130+(N1435*30)/1130</f>
        <v>0</v>
      </c>
    </row>
    <row r="1436" customFormat="false" ht="15" hidden="true" customHeight="true" outlineLevel="0" collapsed="false">
      <c r="B1436" s="127" t="n">
        <f aca="false">B1435+D1436-C1436</f>
        <v>10040</v>
      </c>
      <c r="C1436" s="127" t="n">
        <v>900</v>
      </c>
      <c r="E1436" s="212" t="s">
        <v>657</v>
      </c>
      <c r="F1436" s="147" t="str">
        <f aca="false">IFERROR(VLOOKUP(H1436,$AD$1:$AE$301,2,0),"")</f>
        <v/>
      </c>
      <c r="G1436" s="147" t="str">
        <f aca="false">IFERROR(VLOOKUP(F1436,$AE$2:$AF$290,2, 0),"")</f>
        <v/>
      </c>
      <c r="H1436" s="212" t="s">
        <v>393</v>
      </c>
      <c r="I1436" s="246" t="n">
        <f aca="false">SUM(K1436:R1436)</f>
        <v>0</v>
      </c>
      <c r="J1436" s="182" t="n">
        <v>45784</v>
      </c>
      <c r="S1436" s="192" t="n">
        <f aca="false">(K1436+O1436+Q1436)*24 /1130+(L1436+M1436+P1436+R1436)*12/1130+(N1436*30)/1130</f>
        <v>0</v>
      </c>
    </row>
    <row r="1437" customFormat="false" ht="15" hidden="true" customHeight="true" outlineLevel="0" collapsed="false">
      <c r="B1437" s="127" t="n">
        <f aca="false">B1436+D1437-C1437</f>
        <v>0</v>
      </c>
      <c r="C1437" s="127" t="n">
        <v>10040</v>
      </c>
      <c r="E1437" s="212" t="s">
        <v>653</v>
      </c>
      <c r="F1437" s="147" t="str">
        <f aca="false">IFERROR(VLOOKUP(H1437,$AD$1:$AE$301,2,0),"")</f>
        <v/>
      </c>
      <c r="G1437" s="147" t="str">
        <f aca="false">IFERROR(VLOOKUP(F1437,$AE$2:$AF$290,2, 0),"")</f>
        <v/>
      </c>
      <c r="H1437" s="212" t="s">
        <v>393</v>
      </c>
      <c r="I1437" s="246" t="n">
        <f aca="false">SUM(K1437:R1437)</f>
        <v>0</v>
      </c>
      <c r="J1437" s="182" t="n">
        <v>45785</v>
      </c>
      <c r="S1437" s="192" t="n">
        <f aca="false">(K1437+O1437+Q1437)*24 /1130+(L1437+M1437+P1437+R1437)*12/1130+(N1437*30)/1130</f>
        <v>0</v>
      </c>
    </row>
    <row r="1438" customFormat="false" ht="15" hidden="true" customHeight="true" outlineLevel="0" collapsed="false">
      <c r="A1438" s="128" t="n">
        <f aca="false">310.5-310.5</f>
        <v>0</v>
      </c>
      <c r="B1438" s="127" t="n">
        <f aca="false">B1437+D1438-C1438</f>
        <v>310.5</v>
      </c>
      <c r="D1438" s="146" t="n">
        <f aca="false">155.25*2</f>
        <v>310.5</v>
      </c>
      <c r="E1438" s="147" t="n">
        <v>1142</v>
      </c>
      <c r="F1438" s="147" t="n">
        <f aca="false">IFERROR(VLOOKUP(H1438,$AD$1:$AE$301,2,0),"")</f>
        <v>653</v>
      </c>
      <c r="G1438" s="147" t="str">
        <f aca="false">IFERROR(VLOOKUP(F1438,$AE$2:$AF$290,2, 0),"")</f>
        <v>تبوك</v>
      </c>
      <c r="H1438" s="212" t="s">
        <v>264</v>
      </c>
      <c r="I1438" s="246" t="n">
        <f aca="false">SUM(K1438:R1438)</f>
        <v>2</v>
      </c>
      <c r="J1438" s="182" t="n">
        <v>45785</v>
      </c>
      <c r="R1438" s="155" t="n">
        <v>2</v>
      </c>
      <c r="S1438" s="192" t="n">
        <f aca="false">(K1438+O1438+Q1438)*24 /1130+(L1438+M1438+P1438+R1438)*12/1130+(N1438*30)/1130</f>
        <v>0.0212389380530973</v>
      </c>
    </row>
    <row r="1439" customFormat="false" ht="15" hidden="true" customHeight="true" outlineLevel="0" collapsed="false">
      <c r="A1439" s="128" t="n">
        <f aca="false">D1439-819-320-499.75</f>
        <v>0</v>
      </c>
      <c r="B1439" s="127" t="n">
        <f aca="false">B1438+D1439-C1439</f>
        <v>1949.25</v>
      </c>
      <c r="D1439" s="146" t="n">
        <f aca="false">327.75*5</f>
        <v>1638.75</v>
      </c>
      <c r="E1439" s="147" t="n">
        <v>1143</v>
      </c>
      <c r="F1439" s="147" t="n">
        <f aca="false">IFERROR(VLOOKUP(H1439,$AD$1:$AE$301,2,0),"")</f>
        <v>575</v>
      </c>
      <c r="G1439" s="147" t="str">
        <f aca="false">IFERROR(VLOOKUP(F1439,$AE$2:$AF$290,2, 0),"")</f>
        <v>تبوك</v>
      </c>
      <c r="H1439" s="212" t="s">
        <v>132</v>
      </c>
      <c r="I1439" s="246" t="n">
        <f aca="false">SUM(K1439:R1439)</f>
        <v>6</v>
      </c>
      <c r="J1439" s="182" t="n">
        <v>45783</v>
      </c>
      <c r="K1439" s="148" t="n">
        <f aca="false">5+1</f>
        <v>6</v>
      </c>
      <c r="S1439" s="192" t="n">
        <f aca="false">(K1439+O1439+Q1439)*24 /1130+(L1439+M1439+P1439+R1439)*12/1130+(N1439*30)/1130</f>
        <v>0.127433628318584</v>
      </c>
    </row>
    <row r="1440" customFormat="false" ht="15" hidden="true" customHeight="true" outlineLevel="0" collapsed="false">
      <c r="A1440" s="411"/>
      <c r="B1440" s="127" t="n">
        <f aca="false">B1439+D1440-C1440</f>
        <v>1549.25</v>
      </c>
      <c r="C1440" s="127" t="n">
        <f aca="false">100+300</f>
        <v>400</v>
      </c>
      <c r="E1440" s="212" t="s">
        <v>470</v>
      </c>
      <c r="F1440" s="147" t="str">
        <f aca="false">IFERROR(VLOOKUP(H1440,$AD$1:$AE$301,2,0),"")</f>
        <v/>
      </c>
      <c r="G1440" s="147" t="str">
        <f aca="false">IFERROR(VLOOKUP(F1440,$AE$2:$AF$290,2, 0),"")</f>
        <v/>
      </c>
      <c r="H1440" s="212" t="s">
        <v>393</v>
      </c>
      <c r="I1440" s="246" t="n">
        <f aca="false">SUM(K1440:R1440)</f>
        <v>0</v>
      </c>
      <c r="J1440" s="182" t="n">
        <v>45785</v>
      </c>
      <c r="S1440" s="192" t="n">
        <f aca="false">(K1440+O1440+Q1440)*24 /1130+(L1440+M1440+P1440+R1440)*12/1130+(N1440*30)/1130</f>
        <v>0</v>
      </c>
    </row>
    <row r="1441" customFormat="false" ht="15" hidden="true" customHeight="true" outlineLevel="0" collapsed="false">
      <c r="A1441" s="288"/>
      <c r="B1441" s="127" t="n">
        <f aca="false">B1440+D1441-C1441</f>
        <v>0</v>
      </c>
      <c r="C1441" s="127" t="n">
        <v>1549</v>
      </c>
      <c r="D1441" s="146" t="n">
        <v>-0.25</v>
      </c>
      <c r="E1441" s="212" t="s">
        <v>653</v>
      </c>
      <c r="F1441" s="147" t="str">
        <f aca="false">IFERROR(VLOOKUP(H1441,$AD$1:$AE$301,2,0),"")</f>
        <v/>
      </c>
      <c r="G1441" s="147" t="str">
        <f aca="false">IFERROR(VLOOKUP(F1441,$AE$2:$AF$290,2, 0),"")</f>
        <v/>
      </c>
      <c r="H1441" s="212" t="s">
        <v>393</v>
      </c>
      <c r="I1441" s="246" t="n">
        <f aca="false">SUM(K1441:R1441)</f>
        <v>0</v>
      </c>
      <c r="J1441" s="182" t="n">
        <v>45788</v>
      </c>
      <c r="S1441" s="192" t="n">
        <f aca="false">(K1441+O1441+Q1441)*24 /1130+(L1441+M1441+P1441+R1441)*12/1130+(N1441*30)/1130</f>
        <v>0</v>
      </c>
    </row>
    <row r="1442" customFormat="false" ht="13.5" hidden="true" customHeight="true" outlineLevel="0" collapsed="false">
      <c r="A1442" s="128" t="n">
        <f aca="false">D1442-12*5-915-170-5-20+3-30-35-825+136</f>
        <v>-0.5</v>
      </c>
      <c r="B1442" s="127" t="n">
        <f aca="false">B1441+D1442-C1442</f>
        <v>1920.5</v>
      </c>
      <c r="D1442" s="146" t="n">
        <f aca="false">264.5*5+299*2</f>
        <v>1920.5</v>
      </c>
      <c r="E1442" s="147" t="n">
        <v>1144</v>
      </c>
      <c r="F1442" s="147" t="n">
        <f aca="false">IFERROR(VLOOKUP(H1442,$AD$1:$AE$301,2,0),"")</f>
        <v>1002852</v>
      </c>
      <c r="G1442" s="147" t="str">
        <f aca="false">IFERROR(VLOOKUP(F1442,$AE$2:$AF$290,2, 0),"")</f>
        <v>تبوك</v>
      </c>
      <c r="H1442" s="212" t="s">
        <v>159</v>
      </c>
      <c r="I1442" s="246" t="n">
        <f aca="false">SUM(K1442:R1442)</f>
        <v>7</v>
      </c>
      <c r="J1442" s="182" t="n">
        <v>45788</v>
      </c>
      <c r="R1442" s="155" t="n">
        <f aca="false">5+2</f>
        <v>7</v>
      </c>
      <c r="S1442" s="192" t="n">
        <f aca="false">(K1442+O1442+Q1442)*24 /1130+(L1442+M1442+P1442+R1442)*12/1130+(N1442*30)/1130</f>
        <v>0.0743362831858407</v>
      </c>
      <c r="T1442" s="127" t="n">
        <v>2</v>
      </c>
    </row>
    <row r="1443" customFormat="false" ht="15" hidden="true" customHeight="true" outlineLevel="0" collapsed="false">
      <c r="A1443" s="128" t="n">
        <f aca="false">D1443-131-185-400-1198.75</f>
        <v>0</v>
      </c>
      <c r="B1443" s="127" t="n">
        <f aca="false">B1442+D1443-C1443</f>
        <v>3835.25</v>
      </c>
      <c r="D1443" s="146" t="n">
        <f aca="false">5*327.75+138*2</f>
        <v>1914.75</v>
      </c>
      <c r="E1443" s="147" t="n">
        <v>1145</v>
      </c>
      <c r="F1443" s="147" t="n">
        <f aca="false">IFERROR(VLOOKUP(H1443,$AD$1:$AE$301,2,0),"")</f>
        <v>1008030</v>
      </c>
      <c r="G1443" s="147" t="str">
        <f aca="false">IFERROR(VLOOKUP(F1443,$AE$2:$AF$290,2, 0),"")</f>
        <v>البير</v>
      </c>
      <c r="H1443" s="212" t="s">
        <v>298</v>
      </c>
      <c r="I1443" s="246" t="n">
        <f aca="false">SUM(K1443:R1443)</f>
        <v>8</v>
      </c>
      <c r="J1443" s="182" t="n">
        <v>45788</v>
      </c>
      <c r="N1443" s="151" t="n">
        <f aca="false">5+1</f>
        <v>6</v>
      </c>
      <c r="Q1443" s="154" t="n">
        <v>2</v>
      </c>
      <c r="S1443" s="192" t="n">
        <f aca="false">(K1443+O1443+Q1443)*24 /1130+(L1443+M1443+P1443+R1443)*12/1130+(N1443*30)/1130</f>
        <v>0.201769911504425</v>
      </c>
    </row>
    <row r="1444" customFormat="false" ht="15" hidden="true" customHeight="true" outlineLevel="0" collapsed="false">
      <c r="B1444" s="127" t="n">
        <f aca="false">B1443+D1444-C1444</f>
        <v>4076.75</v>
      </c>
      <c r="D1444" s="146" t="n">
        <v>241.5</v>
      </c>
      <c r="E1444" s="147" t="n">
        <v>1146</v>
      </c>
      <c r="F1444" s="147" t="n">
        <f aca="false">IFERROR(VLOOKUP(H1444,$AD$1:$AE$301,2,0),"")</f>
        <v>1007964</v>
      </c>
      <c r="G1444" s="147" t="str">
        <f aca="false">IFERROR(VLOOKUP(F1444,$AE$2:$AF$290,2, 0),"")</f>
        <v>البير</v>
      </c>
      <c r="H1444" s="212" t="s">
        <v>289</v>
      </c>
      <c r="I1444" s="246" t="n">
        <f aca="false">SUM(K1444:R1444)</f>
        <v>1</v>
      </c>
      <c r="J1444" s="182" t="n">
        <v>45788</v>
      </c>
      <c r="O1444" s="152" t="n">
        <v>1</v>
      </c>
      <c r="S1444" s="192" t="n">
        <f aca="false">(K1444+O1444+Q1444)*24 /1130+(L1444+M1444+P1444+R1444)*12/1130+(N1444*30)/1130</f>
        <v>0.0212389380530973</v>
      </c>
    </row>
    <row r="1445" customFormat="false" ht="15" hidden="true" customHeight="true" outlineLevel="0" collapsed="false">
      <c r="B1445" s="127" t="n">
        <f aca="false">B1444+D1445-C1445</f>
        <v>5669.5</v>
      </c>
      <c r="D1445" s="146" t="n">
        <f aca="false">4*316.25+327.75</f>
        <v>1592.75</v>
      </c>
      <c r="E1445" s="147" t="n">
        <v>1147</v>
      </c>
      <c r="F1445" s="147" t="n">
        <f aca="false">IFERROR(VLOOKUP(H1445,$AD$1:$AE$301,2,0),"")</f>
        <v>1007996</v>
      </c>
      <c r="G1445" s="147" t="str">
        <f aca="false">IFERROR(VLOOKUP(F1445,$AE$2:$AF$290,2, 0),"")</f>
        <v>البير</v>
      </c>
      <c r="H1445" s="212" t="s">
        <v>295</v>
      </c>
      <c r="I1445" s="246" t="n">
        <f aca="false">SUM(K1445:R1445)</f>
        <v>6</v>
      </c>
      <c r="J1445" s="182" t="n">
        <v>45788</v>
      </c>
      <c r="N1445" s="151" t="n">
        <f aca="false">3+2+1</f>
        <v>6</v>
      </c>
      <c r="S1445" s="192" t="n">
        <f aca="false">(K1445+O1445+Q1445)*24 /1130+(L1445+M1445+P1445+R1445)*12/1130+(N1445*30)/1130</f>
        <v>0.15929203539823</v>
      </c>
    </row>
    <row r="1446" customFormat="false" ht="15" hidden="true" customHeight="true" outlineLevel="0" collapsed="false">
      <c r="A1446" s="128" t="n">
        <f aca="false">D1446-100-55</f>
        <v>0.25</v>
      </c>
      <c r="B1446" s="127" t="n">
        <f aca="false">B1445+D1446-C1446</f>
        <v>5824.75</v>
      </c>
      <c r="D1446" s="146" t="n">
        <v>155.25</v>
      </c>
      <c r="E1446" s="147" t="n">
        <v>1148</v>
      </c>
      <c r="F1446" s="147" t="n">
        <f aca="false">IFERROR(VLOOKUP(H1446,$AD$1:$AE$301,2,0),"")</f>
        <v>810</v>
      </c>
      <c r="G1446" s="147" t="str">
        <f aca="false">IFERROR(VLOOKUP(F1446,$AE$2:$AF$290,2, 0),"")</f>
        <v>تبوك</v>
      </c>
      <c r="H1446" s="212" t="s">
        <v>231</v>
      </c>
      <c r="I1446" s="246" t="n">
        <f aca="false">SUM(K1446:R1446)</f>
        <v>1</v>
      </c>
      <c r="J1446" s="182" t="n">
        <v>45788</v>
      </c>
      <c r="R1446" s="155" t="n">
        <v>1</v>
      </c>
      <c r="S1446" s="192" t="n">
        <f aca="false">(K1446+O1446+Q1446)*24 /1130+(L1446+M1446+P1446+R1446)*12/1130+(N1446*30)/1130</f>
        <v>0.0106194690265487</v>
      </c>
    </row>
    <row r="1447" customFormat="false" ht="15" hidden="true" customHeight="true" outlineLevel="0" collapsed="false">
      <c r="B1447" s="127" t="n">
        <f aca="false">B1446+D1447-C1447</f>
        <v>3725</v>
      </c>
      <c r="C1447" s="127" t="n">
        <f aca="false">131+185+400+1198.75+105+20+60</f>
        <v>2099.75</v>
      </c>
      <c r="E1447" s="212" t="s">
        <v>470</v>
      </c>
      <c r="F1447" s="147" t="str">
        <f aca="false">IFERROR(VLOOKUP(H1447,$AD$1:$AE$301,2,0),"")</f>
        <v/>
      </c>
      <c r="G1447" s="147" t="str">
        <f aca="false">IFERROR(VLOOKUP(F1447,$AE$2:$AF$290,2, 0),"")</f>
        <v/>
      </c>
      <c r="H1447" s="212" t="s">
        <v>393</v>
      </c>
      <c r="I1447" s="246" t="n">
        <f aca="false">SUM(K1447:R1447)</f>
        <v>0</v>
      </c>
      <c r="J1447" s="182" t="n">
        <v>45788</v>
      </c>
      <c r="S1447" s="192" t="n">
        <f aca="false">(K1447+O1447+Q1447)*24 /1130+(L1447+M1447+P1447+R1447)*12/1130+(N1447*30)/1130</f>
        <v>0</v>
      </c>
    </row>
    <row r="1448" customFormat="false" ht="15" hidden="true" customHeight="true" outlineLevel="0" collapsed="false">
      <c r="B1448" s="127" t="n">
        <f aca="false">B1447+D1448-C1448</f>
        <v>2810</v>
      </c>
      <c r="C1448" s="127" t="n">
        <f aca="false">5+5+110+125+70+600</f>
        <v>915</v>
      </c>
      <c r="E1448" s="212" t="s">
        <v>470</v>
      </c>
      <c r="F1448" s="147" t="str">
        <f aca="false">IFERROR(VLOOKUP(H1448,$AD$1:$AE$301,2,0),"")</f>
        <v/>
      </c>
      <c r="G1448" s="147" t="str">
        <f aca="false">IFERROR(VLOOKUP(F1448,$AE$2:$AF$290,2, 0),"")</f>
        <v/>
      </c>
      <c r="H1448" s="212" t="s">
        <v>393</v>
      </c>
      <c r="I1448" s="246" t="n">
        <f aca="false">SUM(K1448:R1448)</f>
        <v>0</v>
      </c>
      <c r="J1448" s="182" t="n">
        <v>45788</v>
      </c>
      <c r="S1448" s="192" t="n">
        <f aca="false">(K1448+O1448+Q1448)*24 /1130+(L1448+M1448+P1448+R1448)*12/1130+(N1448*30)/1130</f>
        <v>0</v>
      </c>
    </row>
    <row r="1449" customFormat="false" ht="15" hidden="true" customHeight="true" outlineLevel="0" collapsed="false">
      <c r="B1449" s="127" t="n">
        <f aca="false">B1448+D1449-C1449</f>
        <v>0</v>
      </c>
      <c r="C1449" s="127" t="n">
        <f aca="false">2810</f>
        <v>2810</v>
      </c>
      <c r="E1449" s="212" t="s">
        <v>653</v>
      </c>
      <c r="F1449" s="147" t="str">
        <f aca="false">IFERROR(VLOOKUP(H1449,$AD$1:$AE$301,2,0),"")</f>
        <v/>
      </c>
      <c r="G1449" s="147" t="str">
        <f aca="false">IFERROR(VLOOKUP(F1449,$AE$2:$AF$290,2, 0),"")</f>
        <v/>
      </c>
      <c r="H1449" s="212" t="s">
        <v>393</v>
      </c>
      <c r="I1449" s="246" t="n">
        <f aca="false">SUM(K1449:R1449)</f>
        <v>0</v>
      </c>
      <c r="J1449" s="182" t="n">
        <v>45788</v>
      </c>
      <c r="S1449" s="192" t="n">
        <f aca="false">(K1449+O1449+Q1449)*24 /1130+(L1449+M1449+P1449+R1449)*12/1130+(N1449*30)/1130</f>
        <v>0</v>
      </c>
    </row>
    <row r="1450" customFormat="false" ht="15" hidden="true" customHeight="true" outlineLevel="0" collapsed="false">
      <c r="A1450" s="128" t="n">
        <f aca="false">D1450-506+200+12</f>
        <v>-0.75</v>
      </c>
      <c r="B1450" s="127" t="n">
        <f aca="false">B1449+D1450-C1450</f>
        <v>293.25</v>
      </c>
      <c r="D1450" s="146" t="n">
        <f aca="false">155.25+138</f>
        <v>293.25</v>
      </c>
      <c r="E1450" s="147" t="n">
        <v>1149</v>
      </c>
      <c r="F1450" s="147" t="n">
        <f aca="false">IFERROR(VLOOKUP(H1450,$AD$1:$AE$301,2,0),"")</f>
        <v>549</v>
      </c>
      <c r="G1450" s="147" t="str">
        <f aca="false">IFERROR(VLOOKUP(F1450,$AE$2:$AF$290,2, 0),"")</f>
        <v>تبوك</v>
      </c>
      <c r="H1450" s="212" t="s">
        <v>238</v>
      </c>
      <c r="I1450" s="246" t="n">
        <f aca="false">SUM(K1450:R1450)</f>
        <v>2</v>
      </c>
      <c r="J1450" s="182" t="n">
        <v>45789</v>
      </c>
      <c r="Q1450" s="154" t="n">
        <v>1</v>
      </c>
      <c r="R1450" s="155" t="n">
        <v>1</v>
      </c>
      <c r="S1450" s="192" t="n">
        <f aca="false">(K1450+O1450+Q1450)*24 /1130+(L1450+M1450+P1450+R1450)*12/1130+(N1450*30)/1130</f>
        <v>0.031858407079646</v>
      </c>
    </row>
    <row r="1451" customFormat="false" ht="15" hidden="true" customHeight="true" outlineLevel="0" collapsed="false">
      <c r="A1451" s="128" t="n">
        <f aca="false">D1451-200-254</f>
        <v>0.25</v>
      </c>
      <c r="B1451" s="127" t="n">
        <f aca="false">B1450+D1451-C1451</f>
        <v>747.5</v>
      </c>
      <c r="D1451" s="146" t="n">
        <f aca="false">155.25+299</f>
        <v>454.25</v>
      </c>
      <c r="E1451" s="147" t="n">
        <v>1150</v>
      </c>
      <c r="F1451" s="147" t="n">
        <f aca="false">IFERROR(VLOOKUP(H1451,$AD$1:$AE$301,2,0),"")</f>
        <v>562</v>
      </c>
      <c r="G1451" s="147" t="str">
        <f aca="false">IFERROR(VLOOKUP(F1451,$AE$2:$AF$290,2, 0),"")</f>
        <v>تبوك</v>
      </c>
      <c r="H1451" s="212" t="s">
        <v>234</v>
      </c>
      <c r="I1451" s="246" t="n">
        <f aca="false">SUM(K1451:R1451)</f>
        <v>2</v>
      </c>
      <c r="J1451" s="182" t="n">
        <v>45789</v>
      </c>
      <c r="R1451" s="155" t="n">
        <f aca="false">1+1</f>
        <v>2</v>
      </c>
      <c r="S1451" s="192" t="n">
        <f aca="false">(K1451+O1451+Q1451)*24 /1130+(L1451+M1451+P1451+R1451)*12/1130+(N1451*30)/1130</f>
        <v>0.0212389380530973</v>
      </c>
    </row>
    <row r="1452" customFormat="false" ht="15" hidden="true" customHeight="true" outlineLevel="0" collapsed="false">
      <c r="A1452" s="128" t="n">
        <f aca="false">D1452-11*5-2*2-80</f>
        <v>-1</v>
      </c>
      <c r="B1452" s="127" t="n">
        <f aca="false">B1451+D1452-C1452</f>
        <v>885.5</v>
      </c>
      <c r="D1452" s="146" t="n">
        <v>138</v>
      </c>
      <c r="E1452" s="147" t="n">
        <v>1151</v>
      </c>
      <c r="F1452" s="147" t="n">
        <f aca="false">IFERROR(VLOOKUP(H1452,$AD$1:$AE$301,2,0),"")</f>
        <v>562</v>
      </c>
      <c r="G1452" s="147" t="str">
        <f aca="false">IFERROR(VLOOKUP(F1452,$AE$2:$AF$290,2, 0),"")</f>
        <v>تبوك</v>
      </c>
      <c r="H1452" s="212" t="s">
        <v>234</v>
      </c>
      <c r="I1452" s="246" t="n">
        <f aca="false">SUM(K1452:R1452)</f>
        <v>1</v>
      </c>
      <c r="J1452" s="182" t="n">
        <v>45789</v>
      </c>
      <c r="Q1452" s="154" t="n">
        <v>1</v>
      </c>
      <c r="S1452" s="192" t="n">
        <f aca="false">(K1452+O1452+Q1452)*24 /1130+(L1452+M1452+P1452+R1452)*12/1130+(N1452*30)/1130</f>
        <v>0.0212389380530973</v>
      </c>
    </row>
    <row r="1453" customFormat="false" ht="15" hidden="true" customHeight="true" outlineLevel="0" collapsed="false">
      <c r="A1453" s="128" t="n">
        <f aca="false">D1453-250-3</f>
        <v>0</v>
      </c>
      <c r="B1453" s="127" t="n">
        <f aca="false">B1452+D1453-C1453</f>
        <v>1138.5</v>
      </c>
      <c r="D1453" s="146" t="n">
        <v>253</v>
      </c>
      <c r="E1453" s="147" t="n">
        <v>1152</v>
      </c>
      <c r="F1453" s="147" t="n">
        <f aca="false">IFERROR(VLOOKUP(H1453,$AD$1:$AE$301,2,0),"")</f>
        <v>1002852</v>
      </c>
      <c r="G1453" s="147" t="str">
        <f aca="false">IFERROR(VLOOKUP(F1453,$AE$2:$AF$290,2, 0),"")</f>
        <v>تبوك</v>
      </c>
      <c r="H1453" s="212" t="s">
        <v>159</v>
      </c>
      <c r="I1453" s="246" t="n">
        <f aca="false">SUM(K1453:R1453)</f>
        <v>1</v>
      </c>
      <c r="J1453" s="182" t="n">
        <v>45789</v>
      </c>
      <c r="M1453" s="150" t="n">
        <v>1</v>
      </c>
      <c r="S1453" s="192" t="n">
        <f aca="false">(K1453+O1453+Q1453)*24 /1130+(L1453+M1453+P1453+R1453)*12/1130+(N1453*30)/1130</f>
        <v>0.0106194690265487</v>
      </c>
    </row>
    <row r="1454" customFormat="false" ht="15" hidden="true" customHeight="true" outlineLevel="0" collapsed="false">
      <c r="B1454" s="127" t="n">
        <f aca="false">B1453+D1454-C1454</f>
        <v>1541</v>
      </c>
      <c r="D1454" s="146" t="n">
        <f aca="false">138+264.5</f>
        <v>402.5</v>
      </c>
      <c r="E1454" s="147" t="s">
        <v>661</v>
      </c>
      <c r="F1454" s="147" t="n">
        <f aca="false">IFERROR(VLOOKUP(H1454,$AD$1:$AE$301,2,0),"")</f>
        <v>1008274</v>
      </c>
      <c r="G1454" s="147" t="str">
        <f aca="false">IFERROR(VLOOKUP(F1454,$AE$2:$AF$290,2, 0),"")</f>
        <v>تبوك</v>
      </c>
      <c r="H1454" s="212" t="s">
        <v>147</v>
      </c>
      <c r="I1454" s="246" t="n">
        <f aca="false">SUM(K1454:R1454)</f>
        <v>2</v>
      </c>
      <c r="J1454" s="182" t="n">
        <v>45789</v>
      </c>
      <c r="Q1454" s="154" t="n">
        <v>1</v>
      </c>
      <c r="R1454" s="155" t="n">
        <v>1</v>
      </c>
      <c r="S1454" s="192" t="n">
        <f aca="false">(K1454+O1454+Q1454)*24 /1130+(L1454+M1454+P1454+R1454)*12/1130+(N1454*30)/1130</f>
        <v>0.031858407079646</v>
      </c>
    </row>
    <row r="1455" customFormat="false" ht="15" hidden="true" customHeight="true" outlineLevel="0" collapsed="false">
      <c r="B1455" s="127" t="n">
        <f aca="false">B1454+D1455-C1455</f>
        <v>0.5</v>
      </c>
      <c r="C1455" s="127" t="n">
        <f aca="false">310.5+170+5+200+855</f>
        <v>1540.5</v>
      </c>
      <c r="E1455" s="212" t="s">
        <v>470</v>
      </c>
      <c r="F1455" s="147" t="str">
        <f aca="false">IFERROR(VLOOKUP(H1455,$AD$1:$AE$301,2,0),"")</f>
        <v/>
      </c>
      <c r="G1455" s="147" t="str">
        <f aca="false">IFERROR(VLOOKUP(F1455,$AE$2:$AF$290,2, 0),"")</f>
        <v/>
      </c>
      <c r="H1455" s="212" t="s">
        <v>393</v>
      </c>
      <c r="I1455" s="246" t="n">
        <f aca="false">SUM(K1455:R1455)</f>
        <v>0</v>
      </c>
      <c r="J1455" s="182" t="n">
        <v>45789</v>
      </c>
      <c r="S1455" s="192" t="n">
        <f aca="false">(K1455+O1455+Q1455)*24 /1130+(L1455+M1455+P1455+R1455)*12/1130+(N1455*30)/1130</f>
        <v>0</v>
      </c>
    </row>
    <row r="1456" customFormat="false" ht="15" hidden="true" customHeight="true" outlineLevel="0" collapsed="false">
      <c r="B1456" s="127" t="n">
        <f aca="false">B1455+D1456-C1456</f>
        <v>966.5</v>
      </c>
      <c r="D1456" s="146" t="n">
        <f aca="false">241.5*4</f>
        <v>966</v>
      </c>
      <c r="E1456" s="147" t="n">
        <v>1155</v>
      </c>
      <c r="F1456" s="147" t="n">
        <f aca="false">IFERROR(VLOOKUP(H1456,$AD$1:$AE$301,2,0),"")</f>
        <v>1007997</v>
      </c>
      <c r="G1456" s="147" t="str">
        <f aca="false">IFERROR(VLOOKUP(F1456,$AE$2:$AF$290,2, 0),"")</f>
        <v>البير</v>
      </c>
      <c r="H1456" s="212" t="s">
        <v>296</v>
      </c>
      <c r="I1456" s="246" t="n">
        <f aca="false">SUM(K1456:R1456)</f>
        <v>4</v>
      </c>
      <c r="J1456" s="182" t="n">
        <v>45790</v>
      </c>
      <c r="Q1456" s="154" t="n">
        <v>4</v>
      </c>
      <c r="S1456" s="192" t="n">
        <f aca="false">(K1456+O1456+Q1456)*24 /1130+(L1456+M1456+P1456+R1456)*12/1130+(N1456*30)/1130</f>
        <v>0.0849557522123894</v>
      </c>
    </row>
    <row r="1457" customFormat="false" ht="15" hidden="true" customHeight="true" outlineLevel="0" collapsed="false">
      <c r="B1457" s="127" t="n">
        <f aca="false">B1456+D1457-C1457</f>
        <v>3088.25</v>
      </c>
      <c r="D1457" s="146" t="n">
        <f aca="false">327.75*5+230+253</f>
        <v>2121.75</v>
      </c>
      <c r="E1457" s="147" t="n">
        <v>1156</v>
      </c>
      <c r="F1457" s="147" t="n">
        <f aca="false">IFERROR(VLOOKUP(H1457,$AD$1:$AE$301,2,0),"")</f>
        <v>1008031</v>
      </c>
      <c r="G1457" s="147" t="str">
        <f aca="false">IFERROR(VLOOKUP(F1457,$AE$2:$AF$290,2, 0),"")</f>
        <v>البير</v>
      </c>
      <c r="H1457" s="212" t="s">
        <v>299</v>
      </c>
      <c r="I1457" s="246" t="n">
        <f aca="false">SUM(K1457:R1457)</f>
        <v>8</v>
      </c>
      <c r="J1457" s="182" t="n">
        <v>45790</v>
      </c>
      <c r="K1457" s="148" t="n">
        <f aca="false">5+1</f>
        <v>6</v>
      </c>
      <c r="M1457" s="150" t="n">
        <f aca="false">1+1</f>
        <v>2</v>
      </c>
      <c r="S1457" s="192" t="n">
        <f aca="false">(K1457+O1457+Q1457)*24 /1130+(L1457+M1457+P1457+R1457)*12/1130+(N1457*30)/1130</f>
        <v>0.148672566371681</v>
      </c>
    </row>
    <row r="1458" customFormat="false" ht="15" hidden="true" customHeight="true" outlineLevel="0" collapsed="false">
      <c r="A1458" s="128" t="n">
        <f aca="false">D1458-6555</f>
        <v>0</v>
      </c>
      <c r="B1458" s="127" t="n">
        <f aca="false">B1457+D1458-C1458</f>
        <v>9643.25</v>
      </c>
      <c r="D1458" s="146" t="n">
        <f aca="false">327.75*20</f>
        <v>6555</v>
      </c>
      <c r="E1458" s="147" t="n">
        <v>1157</v>
      </c>
      <c r="F1458" s="147" t="n">
        <f aca="false">IFERROR(VLOOKUP(H1458,$AD$1:$AE$301,2,0),"")</f>
        <v>786</v>
      </c>
      <c r="G1458" s="147" t="str">
        <f aca="false">IFERROR(VLOOKUP(F1458,$AE$2:$AF$290,2, 0),"")</f>
        <v>البدع</v>
      </c>
      <c r="H1458" s="212" t="s">
        <v>319</v>
      </c>
      <c r="I1458" s="246" t="n">
        <f aca="false">SUM(K1458:R1458)</f>
        <v>24</v>
      </c>
      <c r="J1458" s="182" t="n">
        <v>45790</v>
      </c>
      <c r="K1458" s="148" t="n">
        <v>24</v>
      </c>
      <c r="S1458" s="192" t="n">
        <f aca="false">(K1458+O1458+Q1458)*24 /1130+(L1458+M1458+P1458+R1458)*12/1130+(N1458*30)/1130</f>
        <v>0.509734513274336</v>
      </c>
    </row>
    <row r="1459" customFormat="false" ht="15" hidden="true" customHeight="true" outlineLevel="0" collapsed="false">
      <c r="A1459" s="128" t="n">
        <f aca="false">D1459-820-520-298.75</f>
        <v>0</v>
      </c>
      <c r="B1459" s="127" t="n">
        <f aca="false">B1458+D1459-C1459</f>
        <v>11282</v>
      </c>
      <c r="D1459" s="146" t="n">
        <f aca="false">327.75*5</f>
        <v>1638.75</v>
      </c>
      <c r="E1459" s="147" t="n">
        <v>1158</v>
      </c>
      <c r="F1459" s="147" t="n">
        <f aca="false">IFERROR(VLOOKUP(H1459,$AD$1:$AE$301,2,0),"")</f>
        <v>1008272</v>
      </c>
      <c r="G1459" s="147" t="str">
        <f aca="false">IFERROR(VLOOKUP(F1459,$AE$2:$AF$290,2, 0),"")</f>
        <v>تبوك</v>
      </c>
      <c r="H1459" s="212" t="s">
        <v>143</v>
      </c>
      <c r="I1459" s="246" t="n">
        <f aca="false">SUM(K1459:R1459)</f>
        <v>6</v>
      </c>
      <c r="J1459" s="182" t="n">
        <v>45790</v>
      </c>
      <c r="K1459" s="148" t="n">
        <f aca="false">5+1</f>
        <v>6</v>
      </c>
      <c r="S1459" s="192" t="n">
        <f aca="false">(K1459+O1459+Q1459)*24 /1130+(L1459+M1459+P1459+R1459)*12/1130+(N1459*30)/1130</f>
        <v>0.127433628318584</v>
      </c>
    </row>
    <row r="1460" customFormat="false" ht="15" hidden="true" customHeight="true" outlineLevel="0" collapsed="false">
      <c r="B1460" s="127" t="n">
        <f aca="false">B1459+D1460-C1460</f>
        <v>11972</v>
      </c>
      <c r="D1460" s="146" t="n">
        <f aca="false">230*3</f>
        <v>690</v>
      </c>
      <c r="E1460" s="147" t="n">
        <v>1159</v>
      </c>
      <c r="F1460" s="147" t="n">
        <f aca="false">IFERROR(VLOOKUP(H1460,$AD$1:$AE$301,2,0),"")</f>
        <v>1008024</v>
      </c>
      <c r="G1460" s="147" t="str">
        <f aca="false">IFERROR(VLOOKUP(F1460,$AE$2:$AF$290,2, 0),"")</f>
        <v>ضباء</v>
      </c>
      <c r="H1460" s="212" t="s">
        <v>96</v>
      </c>
      <c r="I1460" s="246" t="n">
        <f aca="false">SUM(K1460:R1460)</f>
        <v>3</v>
      </c>
      <c r="J1460" s="182" t="n">
        <v>45790</v>
      </c>
      <c r="M1460" s="150" t="n">
        <v>3</v>
      </c>
      <c r="S1460" s="192" t="n">
        <f aca="false">(K1460+O1460+Q1460)*24 /1130+(L1460+M1460+P1460+R1460)*12/1130+(N1460*30)/1130</f>
        <v>0.031858407079646</v>
      </c>
    </row>
    <row r="1461" customFormat="false" ht="15" hidden="true" customHeight="true" outlineLevel="0" collapsed="false">
      <c r="A1461" s="128" t="n">
        <f aca="false">D1461+155.25-170*5-1245.75+263*2</f>
        <v>0</v>
      </c>
      <c r="B1461" s="127" t="n">
        <f aca="false">B1460+D1461-C1461</f>
        <v>13386.5</v>
      </c>
      <c r="D1461" s="146" t="n">
        <f aca="false">241.5*3+230*3</f>
        <v>1414.5</v>
      </c>
      <c r="E1461" s="147" t="n">
        <v>1160</v>
      </c>
      <c r="F1461" s="147" t="n">
        <f aca="false">IFERROR(VLOOKUP(H1461,$AD$1:$AE$301,2,0),"")</f>
        <v>1007988</v>
      </c>
      <c r="G1461" s="147" t="str">
        <f aca="false">IFERROR(VLOOKUP(F1461,$AE$2:$AF$290,2, 0),"")</f>
        <v>ضباء</v>
      </c>
      <c r="H1461" s="212" t="s">
        <v>89</v>
      </c>
      <c r="I1461" s="246" t="n">
        <f aca="false">SUM(K1461:R1461)</f>
        <v>6</v>
      </c>
      <c r="J1461" s="182" t="n">
        <v>45790</v>
      </c>
      <c r="M1461" s="150" t="n">
        <v>3</v>
      </c>
      <c r="O1461" s="152" t="n">
        <v>3</v>
      </c>
      <c r="S1461" s="192" t="n">
        <f aca="false">(K1461+O1461+Q1461)*24 /1130+(L1461+M1461+P1461+R1461)*12/1130+(N1461*30)/1130</f>
        <v>0.0955752212389381</v>
      </c>
    </row>
    <row r="1462" customFormat="false" ht="15" hidden="true" customHeight="true" outlineLevel="0" collapsed="false">
      <c r="A1462" s="128" t="n">
        <f aca="false">D1462-5*7-1318-228</f>
        <v>0.25</v>
      </c>
      <c r="B1462" s="127" t="n">
        <f aca="false">B1461+D1462-C1462</f>
        <v>14967.75</v>
      </c>
      <c r="D1462" s="146" t="n">
        <f aca="false">316.25*5</f>
        <v>1581.25</v>
      </c>
      <c r="E1462" s="147" t="n">
        <v>1161</v>
      </c>
      <c r="F1462" s="147" t="n">
        <f aca="false">IFERROR(VLOOKUP(H1462,$AD$1:$AE$301,2,0),"")</f>
        <v>1008025</v>
      </c>
      <c r="G1462" s="147" t="str">
        <f aca="false">IFERROR(VLOOKUP(F1462,$AE$2:$AF$290,2, 0),"")</f>
        <v>ضباء</v>
      </c>
      <c r="H1462" s="398" t="s">
        <v>97</v>
      </c>
      <c r="I1462" s="246" t="n">
        <f aca="false">SUM(K1462:R1462)</f>
        <v>6</v>
      </c>
      <c r="J1462" s="182" t="n">
        <v>45790</v>
      </c>
      <c r="N1462" s="151" t="n">
        <f aca="false">3+2+1</f>
        <v>6</v>
      </c>
      <c r="S1462" s="192" t="n">
        <f aca="false">(K1462+O1462+Q1462)*24 /1130+(L1462+M1462+P1462+R1462)*12/1130+(N1462*30)/1130</f>
        <v>0.15929203539823</v>
      </c>
    </row>
    <row r="1463" customFormat="false" ht="15" hidden="true" customHeight="true" outlineLevel="0" collapsed="false">
      <c r="B1463" s="127" t="n">
        <f aca="false">B1462+D1463-C1463</f>
        <v>10337</v>
      </c>
      <c r="C1463" s="127" t="n">
        <f aca="false">273+1082+820+690+1245.75+520</f>
        <v>4630.75</v>
      </c>
      <c r="E1463" s="212" t="s">
        <v>470</v>
      </c>
      <c r="F1463" s="147" t="str">
        <f aca="false">IFERROR(VLOOKUP(H1463,$AD$1:$AE$301,2,0),"")</f>
        <v/>
      </c>
      <c r="G1463" s="147" t="str">
        <f aca="false">IFERROR(VLOOKUP(F1463,$AE$2:$AF$290,2, 0),"")</f>
        <v/>
      </c>
      <c r="H1463" s="398" t="s">
        <v>393</v>
      </c>
      <c r="I1463" s="246" t="n">
        <f aca="false">SUM(K1463:R1463)</f>
        <v>0</v>
      </c>
      <c r="J1463" s="182" t="n">
        <v>45790</v>
      </c>
      <c r="S1463" s="192" t="n">
        <f aca="false">(K1463+O1463+Q1463)*24 /1130+(L1463+M1463+P1463+R1463)*12/1130+(N1463*30)/1130</f>
        <v>0</v>
      </c>
    </row>
    <row r="1464" customFormat="false" ht="15" hidden="true" customHeight="true" outlineLevel="0" collapsed="false">
      <c r="B1464" s="127" t="n">
        <f aca="false">B1463+D1464-C1464</f>
        <v>0</v>
      </c>
      <c r="C1464" s="127" t="n">
        <f aca="false">10337</f>
        <v>10337</v>
      </c>
      <c r="E1464" s="212" t="s">
        <v>653</v>
      </c>
      <c r="F1464" s="147" t="str">
        <f aca="false">IFERROR(VLOOKUP(H1464,$AD$1:$AE$301,2,0),"")</f>
        <v/>
      </c>
      <c r="G1464" s="147" t="str">
        <f aca="false">IFERROR(VLOOKUP(F1464,$AE$2:$AF$290,2, 0),"")</f>
        <v/>
      </c>
      <c r="H1464" s="212" t="s">
        <v>393</v>
      </c>
      <c r="I1464" s="246" t="n">
        <f aca="false">SUM(K1464:R1464)</f>
        <v>0</v>
      </c>
      <c r="J1464" s="182" t="n">
        <v>45791</v>
      </c>
      <c r="S1464" s="192" t="n">
        <f aca="false">(K1464+O1464+Q1464)*24 /1130+(L1464+M1464+P1464+R1464)*12/1130+(N1464*30)/1130</f>
        <v>0</v>
      </c>
    </row>
    <row r="1465" customFormat="false" ht="15" hidden="true" customHeight="true" outlineLevel="0" collapsed="false">
      <c r="A1465" s="128" t="n">
        <f aca="false">D1465-108-5*6</f>
        <v>0</v>
      </c>
      <c r="B1465" s="127" t="n">
        <f aca="false">B1464+D1465-C1465</f>
        <v>138</v>
      </c>
      <c r="D1465" s="146" t="n">
        <v>138</v>
      </c>
      <c r="E1465" s="147" t="n">
        <v>1162</v>
      </c>
      <c r="F1465" s="147" t="n">
        <f aca="false">IFERROR(VLOOKUP(H1465,$AD$1:$AE$301,2,0),"")</f>
        <v>943</v>
      </c>
      <c r="G1465" s="147" t="str">
        <f aca="false">IFERROR(VLOOKUP(F1465,$AE$2:$AF$290,2, 0),"")</f>
        <v>تبوك</v>
      </c>
      <c r="H1465" s="212" t="s">
        <v>259</v>
      </c>
      <c r="I1465" s="246" t="n">
        <f aca="false">SUM(K1465:R1465)</f>
        <v>1</v>
      </c>
      <c r="J1465" s="182" t="n">
        <v>45791</v>
      </c>
      <c r="Q1465" s="154" t="n">
        <v>1</v>
      </c>
      <c r="S1465" s="192" t="n">
        <f aca="false">(K1465+O1465+Q1465)*24 /1130+(L1465+M1465+P1465+R1465)*12/1130+(N1465*30)/1130</f>
        <v>0.0212389380530973</v>
      </c>
    </row>
    <row r="1466" customFormat="false" ht="15" hidden="true" customHeight="true" outlineLevel="0" collapsed="false">
      <c r="A1466" s="128" t="n">
        <f aca="false">D1466-1092-546</f>
        <v>0.75</v>
      </c>
      <c r="B1466" s="127" t="n">
        <f aca="false">B1465+D1466-C1466</f>
        <v>1776.75</v>
      </c>
      <c r="D1466" s="146" t="n">
        <v>1638.75</v>
      </c>
      <c r="E1466" s="147" t="n">
        <v>1163</v>
      </c>
      <c r="F1466" s="147" t="n">
        <f aca="false">IFERROR(VLOOKUP(H1466,$AD$1:$AE$301,2,0),"")</f>
        <v>943</v>
      </c>
      <c r="G1466" s="147" t="str">
        <f aca="false">IFERROR(VLOOKUP(F1466,$AE$2:$AF$290,2, 0),"")</f>
        <v>تبوك</v>
      </c>
      <c r="H1466" s="212" t="s">
        <v>259</v>
      </c>
      <c r="I1466" s="246" t="n">
        <f aca="false">SUM(K1466:R1466)</f>
        <v>6</v>
      </c>
      <c r="J1466" s="182" t="n">
        <v>45791</v>
      </c>
      <c r="K1466" s="148" t="n">
        <f aca="false">6</f>
        <v>6</v>
      </c>
      <c r="S1466" s="192" t="n">
        <f aca="false">(K1466+O1466+Q1466)*24 /1130+(L1466+M1466+P1466+R1466)*12/1130+(N1466*30)/1130</f>
        <v>0.127433628318584</v>
      </c>
    </row>
    <row r="1467" customFormat="false" ht="15" hidden="true" customHeight="true" outlineLevel="0" collapsed="false">
      <c r="A1467" s="128" t="n">
        <f aca="false">138-200+62</f>
        <v>0</v>
      </c>
      <c r="B1467" s="127" t="n">
        <f aca="false">B1466+D1467-C1467</f>
        <v>1914.75</v>
      </c>
      <c r="D1467" s="146" t="n">
        <v>138</v>
      </c>
      <c r="E1467" s="147" t="n">
        <v>1164</v>
      </c>
      <c r="F1467" s="147" t="n">
        <f aca="false">IFERROR(VLOOKUP(H1467,$AD$1:$AE$301,2,0),"")</f>
        <v>539</v>
      </c>
      <c r="G1467" s="147" t="str">
        <f aca="false">IFERROR(VLOOKUP(F1467,$AE$2:$AF$290,2, 0),"")</f>
        <v>تبوك</v>
      </c>
      <c r="H1467" s="212" t="s">
        <v>237</v>
      </c>
      <c r="I1467" s="246" t="n">
        <f aca="false">SUM(K1467:R1467)</f>
        <v>1</v>
      </c>
      <c r="J1467" s="182" t="n">
        <v>45791</v>
      </c>
      <c r="Q1467" s="154" t="n">
        <v>1</v>
      </c>
      <c r="S1467" s="192" t="n">
        <f aca="false">(K1467+O1467+Q1467)*24 /1130+(L1467+M1467+P1467+R1467)*12/1130+(N1467*30)/1130</f>
        <v>0.0212389380530973</v>
      </c>
    </row>
    <row r="1468" customFormat="false" ht="15" hidden="true" customHeight="true" outlineLevel="0" collapsed="false">
      <c r="B1468" s="127" t="n">
        <f aca="false">B1467+D1468-C1468</f>
        <v>0.75</v>
      </c>
      <c r="C1468" s="127" t="n">
        <f aca="false">546+108+820+200+240</f>
        <v>1914</v>
      </c>
      <c r="E1468" s="212" t="s">
        <v>470</v>
      </c>
      <c r="F1468" s="147" t="str">
        <f aca="false">IFERROR(VLOOKUP(H1468,$AD$1:$AE$301,2,0),"")</f>
        <v/>
      </c>
      <c r="G1468" s="147" t="str">
        <f aca="false">IFERROR(VLOOKUP(F1468,$AE$2:$AF$290,2, 0),"")</f>
        <v/>
      </c>
      <c r="H1468" s="212" t="s">
        <v>393</v>
      </c>
      <c r="I1468" s="246" t="n">
        <f aca="false">SUM(K1468:R1468)</f>
        <v>0</v>
      </c>
      <c r="J1468" s="182" t="n">
        <v>45791</v>
      </c>
      <c r="S1468" s="192" t="n">
        <f aca="false">(K1468+O1468+Q1468)*24 /1130+(L1468+M1468+P1468+R1468)*12/1130+(N1468*30)/1130</f>
        <v>0</v>
      </c>
    </row>
    <row r="1469" customFormat="false" ht="15" hidden="true" customHeight="true" outlineLevel="0" collapsed="false">
      <c r="A1469" s="128" t="n">
        <f aca="false">D1469+273.33-228-200</f>
        <v>0.579999999999984</v>
      </c>
      <c r="B1469" s="127" t="n">
        <f aca="false">B1468+D1469-C1469</f>
        <v>156</v>
      </c>
      <c r="D1469" s="146" t="n">
        <v>155.25</v>
      </c>
      <c r="E1469" s="147" t="n">
        <v>1165</v>
      </c>
      <c r="F1469" s="147" t="n">
        <f aca="false">IFERROR(VLOOKUP(H1469,$AD$1:$AE$301,2,0),"")</f>
        <v>622</v>
      </c>
      <c r="G1469" s="147" t="str">
        <f aca="false">IFERROR(VLOOKUP(F1469,$AE$2:$AF$290,2, 0),"")</f>
        <v>تبوك</v>
      </c>
      <c r="H1469" s="212" t="s">
        <v>177</v>
      </c>
      <c r="I1469" s="246" t="n">
        <f aca="false">SUM(K1469:R1469)</f>
        <v>1</v>
      </c>
      <c r="J1469" s="182" t="n">
        <v>45792</v>
      </c>
      <c r="R1469" s="155" t="n">
        <v>1</v>
      </c>
      <c r="S1469" s="192" t="n">
        <f aca="false">(K1469+O1469+Q1469)*24 /1130+(L1469+M1469+P1469+R1469)*12/1130+(N1469*30)/1130</f>
        <v>0.0106194690265487</v>
      </c>
    </row>
    <row r="1470" customFormat="false" ht="15" hidden="true" customHeight="true" outlineLevel="0" collapsed="false">
      <c r="A1470" s="128" t="n">
        <f aca="false">D1470-1092-546</f>
        <v>0.75</v>
      </c>
      <c r="B1470" s="127" t="n">
        <f aca="false">B1469+D1470-C1470</f>
        <v>1794.75</v>
      </c>
      <c r="D1470" s="146" t="n">
        <f aca="false">327.75*5</f>
        <v>1638.75</v>
      </c>
      <c r="E1470" s="147" t="n">
        <v>1167</v>
      </c>
      <c r="F1470" s="147" t="n">
        <f aca="false">IFERROR(VLOOKUP(H1470,$AD$1:$AE$301,2,0),"")</f>
        <v>560</v>
      </c>
      <c r="G1470" s="147" t="str">
        <f aca="false">IFERROR(VLOOKUP(F1470,$AE$2:$AF$290,2, 0),"")</f>
        <v>تبوك</v>
      </c>
      <c r="H1470" s="212" t="s">
        <v>133</v>
      </c>
      <c r="I1470" s="246" t="n">
        <f aca="false">SUM(K1470:R1470)</f>
        <v>6</v>
      </c>
      <c r="J1470" s="182" t="n">
        <v>45792</v>
      </c>
      <c r="K1470" s="148" t="n">
        <f aca="false">2+2+2</f>
        <v>6</v>
      </c>
      <c r="S1470" s="192" t="n">
        <f aca="false">(K1470+O1470+Q1470)*24 /1130+(L1470+M1470+P1470+R1470)*12/1130+(N1470*30)/1130</f>
        <v>0.127433628318584</v>
      </c>
    </row>
    <row r="1471" customFormat="false" ht="15" hidden="true" customHeight="true" outlineLevel="0" collapsed="false">
      <c r="B1471" s="127" t="n">
        <f aca="false">B1470+D1471-C1471</f>
        <v>1950</v>
      </c>
      <c r="D1471" s="146" t="n">
        <v>155.25</v>
      </c>
      <c r="E1471" s="147" t="n">
        <v>1166</v>
      </c>
      <c r="F1471" s="147" t="n">
        <f aca="false">IFERROR(VLOOKUP(H1471,$AD$1:$AE$301,2,0),"")</f>
        <v>1008260</v>
      </c>
      <c r="G1471" s="147" t="str">
        <f aca="false">IFERROR(VLOOKUP(F1471,$AE$2:$AF$290,2, 0),"")</f>
        <v>تبوك</v>
      </c>
      <c r="H1471" s="212" t="s">
        <v>184</v>
      </c>
      <c r="I1471" s="246" t="n">
        <f aca="false">SUM(K1471:R1471)</f>
        <v>1</v>
      </c>
      <c r="J1471" s="182" t="n">
        <v>45792</v>
      </c>
      <c r="R1471" s="155" t="n">
        <v>1</v>
      </c>
      <c r="S1471" s="192" t="n">
        <f aca="false">(K1471+O1471+Q1471)*24 /1130+(L1471+M1471+P1471+R1471)*12/1130+(N1471*30)/1130</f>
        <v>0.0106194690265487</v>
      </c>
    </row>
    <row r="1472" customFormat="false" ht="15" hidden="true" customHeight="true" outlineLevel="0" collapsed="false">
      <c r="A1472" s="128" t="n">
        <f aca="false">820-820</f>
        <v>0</v>
      </c>
      <c r="B1472" s="127" t="n">
        <f aca="false">B1471+D1472-C1472</f>
        <v>3588.75</v>
      </c>
      <c r="D1472" s="146" t="n">
        <f aca="false">327.75*5</f>
        <v>1638.75</v>
      </c>
      <c r="E1472" s="147" t="n">
        <v>1168</v>
      </c>
      <c r="F1472" s="147" t="n">
        <f aca="false">IFERROR(VLOOKUP(H1472,$AD$1:$AE$301,2,0),"")</f>
        <v>1008261</v>
      </c>
      <c r="G1472" s="147" t="str">
        <f aca="false">IFERROR(VLOOKUP(F1472,$AE$2:$AF$290,2, 0),"")</f>
        <v>تبوك</v>
      </c>
      <c r="H1472" s="212" t="s">
        <v>440</v>
      </c>
      <c r="I1472" s="246" t="n">
        <f aca="false">SUM(K1472:R1472)</f>
        <v>6</v>
      </c>
      <c r="J1472" s="182" t="n">
        <v>45792</v>
      </c>
      <c r="K1472" s="148" t="n">
        <f aca="false">3+3</f>
        <v>6</v>
      </c>
      <c r="S1472" s="192" t="n">
        <f aca="false">(K1472+O1472+Q1472)*24 /1130+(L1472+M1472+P1472+R1472)*12/1130+(N1472*30)/1130</f>
        <v>0.127433628318584</v>
      </c>
    </row>
    <row r="1473" customFormat="false" ht="15" hidden="true" customHeight="true" outlineLevel="0" collapsed="false">
      <c r="B1473" s="127" t="n">
        <f aca="false">B1472+D1473-C1473</f>
        <v>3818.75</v>
      </c>
      <c r="D1473" s="146" t="n">
        <v>230</v>
      </c>
      <c r="E1473" s="147" t="n">
        <v>1170</v>
      </c>
      <c r="F1473" s="147" t="n">
        <f aca="false">IFERROR(VLOOKUP(H1473,$AD$1:$AE$301,2,0),"")</f>
        <v>1008272</v>
      </c>
      <c r="G1473" s="147" t="str">
        <f aca="false">IFERROR(VLOOKUP(F1473,$AE$2:$AF$290,2, 0),"")</f>
        <v>تبوك</v>
      </c>
      <c r="H1473" s="212" t="s">
        <v>143</v>
      </c>
      <c r="I1473" s="246" t="n">
        <f aca="false">SUM(K1473:R1473)</f>
        <v>1</v>
      </c>
      <c r="J1473" s="182" t="n">
        <v>45792</v>
      </c>
      <c r="M1473" s="150" t="n">
        <v>1</v>
      </c>
      <c r="S1473" s="192" t="n">
        <f aca="false">(K1473+O1473+Q1473)*24 /1130+(L1473+M1473+P1473+R1473)*12/1130+(N1473*30)/1130</f>
        <v>0.0106194690265487</v>
      </c>
    </row>
    <row r="1474" customFormat="false" ht="15" hidden="true" customHeight="true" outlineLevel="0" collapsed="false">
      <c r="A1474" s="417"/>
      <c r="B1474" s="127" t="n">
        <f aca="false">B1473+D1474-C1474</f>
        <v>2266</v>
      </c>
      <c r="C1474" s="127" t="n">
        <f aca="false">58+230+46+101+819+298.75</f>
        <v>1552.75</v>
      </c>
      <c r="E1474" s="212" t="s">
        <v>470</v>
      </c>
      <c r="F1474" s="147" t="str">
        <f aca="false">IFERROR(VLOOKUP(H1474,$AD$1:$AE$301,2,0),"")</f>
        <v/>
      </c>
      <c r="G1474" s="147" t="str">
        <f aca="false">IFERROR(VLOOKUP(F1474,$AE$2:$AF$290,2, 0),"")</f>
        <v/>
      </c>
      <c r="H1474" s="212" t="s">
        <v>393</v>
      </c>
      <c r="I1474" s="246" t="n">
        <f aca="false">SUM(K1474:R1474)</f>
        <v>0</v>
      </c>
      <c r="J1474" s="182" t="n">
        <v>45792</v>
      </c>
      <c r="S1474" s="192" t="n">
        <f aca="false">(K1474+O1474+Q1474)*24 /1130+(L1474+M1474+P1474+R1474)*12/1130+(N1474*30)/1130</f>
        <v>0</v>
      </c>
    </row>
    <row r="1475" customFormat="false" ht="15" hidden="true" customHeight="true" outlineLevel="0" collapsed="false">
      <c r="A1475" s="417"/>
      <c r="B1475" s="127" t="n">
        <f aca="false">B1474+D1475-C1475</f>
        <v>0</v>
      </c>
      <c r="C1475" s="127" t="n">
        <v>2266</v>
      </c>
      <c r="E1475" s="212" t="s">
        <v>653</v>
      </c>
      <c r="F1475" s="147" t="str">
        <f aca="false">IFERROR(VLOOKUP(H1475,$AD$1:$AE$301,2,0),"")</f>
        <v/>
      </c>
      <c r="G1475" s="147" t="str">
        <f aca="false">IFERROR(VLOOKUP(F1475,$AE$2:$AF$290,2, 0),"")</f>
        <v/>
      </c>
      <c r="H1475" s="212" t="s">
        <v>393</v>
      </c>
      <c r="I1475" s="246" t="n">
        <f aca="false">SUM(K1475:R1475)</f>
        <v>0</v>
      </c>
      <c r="J1475" s="182" t="n">
        <v>45795</v>
      </c>
      <c r="S1475" s="192" t="n">
        <f aca="false">(K1475+O1475+Q1475)*24 /1130+(L1475+M1475+P1475+R1475)*12/1130+(N1475*30)/1130</f>
        <v>0</v>
      </c>
    </row>
    <row r="1476" customFormat="false" ht="15" hidden="true" customHeight="true" outlineLevel="0" collapsed="false">
      <c r="B1476" s="127" t="n">
        <f aca="false">B1475+D1476-C1476</f>
        <v>155.25</v>
      </c>
      <c r="D1476" s="146" t="n">
        <v>155.25</v>
      </c>
      <c r="E1476" s="147" t="n">
        <v>1174</v>
      </c>
      <c r="F1476" s="147" t="n">
        <f aca="false">IFERROR(VLOOKUP(H1476,$AD$1:$AE$301,2,0),"")</f>
        <v>560</v>
      </c>
      <c r="G1476" s="147" t="str">
        <f aca="false">IFERROR(VLOOKUP(F1476,$AE$2:$AF$290,2, 0),"")</f>
        <v>تبوك</v>
      </c>
      <c r="H1476" s="212" t="s">
        <v>133</v>
      </c>
      <c r="I1476" s="246" t="n">
        <f aca="false">SUM(K1476:R1476)</f>
        <v>1</v>
      </c>
      <c r="J1476" s="182" t="n">
        <v>45795</v>
      </c>
      <c r="R1476" s="155" t="n">
        <v>1</v>
      </c>
      <c r="S1476" s="192" t="n">
        <f aca="false">(K1476+O1476+Q1476)*24 /1130+(L1476+M1476+P1476+R1476)*12/1130+(N1476*30)/1130</f>
        <v>0.0106194690265487</v>
      </c>
    </row>
    <row r="1477" customFormat="false" ht="15" hidden="true" customHeight="true" outlineLevel="0" collapsed="false">
      <c r="B1477" s="127" t="n">
        <f aca="false">B1476+D1477-C1477</f>
        <v>638.25</v>
      </c>
      <c r="D1477" s="146" t="n">
        <f aca="false">241.5*2</f>
        <v>483</v>
      </c>
      <c r="E1477" s="147" t="n">
        <v>1173</v>
      </c>
      <c r="F1477" s="147" t="n">
        <f aca="false">IFERROR(VLOOKUP(H1477,$AD$1:$AE$301,2,0),"")</f>
        <v>1008272</v>
      </c>
      <c r="G1477" s="147" t="str">
        <f aca="false">IFERROR(VLOOKUP(F1477,$AE$2:$AF$290,2, 0),"")</f>
        <v>تبوك</v>
      </c>
      <c r="H1477" s="212" t="s">
        <v>143</v>
      </c>
      <c r="I1477" s="246" t="n">
        <f aca="false">SUM(K1477:R1477)</f>
        <v>2</v>
      </c>
      <c r="J1477" s="182" t="n">
        <v>45795</v>
      </c>
      <c r="Q1477" s="154" t="n">
        <v>2</v>
      </c>
      <c r="S1477" s="192" t="n">
        <f aca="false">(K1477+O1477+Q1477)*24 /1130+(L1477+M1477+P1477+R1477)*12/1130+(N1477*30)/1130</f>
        <v>0.0424778761061947</v>
      </c>
    </row>
    <row r="1478" customFormat="false" ht="15" hidden="true" customHeight="true" outlineLevel="0" collapsed="false">
      <c r="A1478" s="128" t="n">
        <f aca="false">874+D1478-550-650-209</f>
        <v>-0.25</v>
      </c>
      <c r="B1478" s="127" t="n">
        <f aca="false">B1477+D1478-C1478</f>
        <v>1173</v>
      </c>
      <c r="D1478" s="146" t="n">
        <f aca="false">235.75+299</f>
        <v>534.75</v>
      </c>
      <c r="E1478" s="147" t="n">
        <v>1172</v>
      </c>
      <c r="F1478" s="147" t="n">
        <f aca="false">IFERROR(VLOOKUP(H1478,$AD$1:$AE$301,2,0),"")</f>
        <v>943</v>
      </c>
      <c r="G1478" s="147" t="str">
        <f aca="false">IFERROR(VLOOKUP(F1478,$AE$2:$AF$290,2, 0),"")</f>
        <v>تبوك</v>
      </c>
      <c r="H1478" s="212" t="s">
        <v>259</v>
      </c>
      <c r="I1478" s="246" t="n">
        <f aca="false">SUM(K1478:R1478)</f>
        <v>2</v>
      </c>
      <c r="J1478" s="182" t="n">
        <v>45795</v>
      </c>
      <c r="M1478" s="150" t="n">
        <v>1</v>
      </c>
      <c r="R1478" s="155" t="n">
        <v>1</v>
      </c>
      <c r="S1478" s="192" t="n">
        <f aca="false">(K1478+O1478+Q1478)*24 /1130+(L1478+M1478+P1478+R1478)*12/1130+(N1478*30)/1130</f>
        <v>0.0212389380530973</v>
      </c>
    </row>
    <row r="1479" customFormat="false" ht="15" hidden="true" customHeight="true" outlineLevel="0" collapsed="false">
      <c r="B1479" s="127" t="n">
        <f aca="false">B1478+D1479-C1479</f>
        <v>1403</v>
      </c>
      <c r="D1479" s="146" t="n">
        <v>230</v>
      </c>
      <c r="E1479" s="147" t="n">
        <v>1171</v>
      </c>
      <c r="F1479" s="147" t="n">
        <f aca="false">IFERROR(VLOOKUP(H1479,$AD$1:$AE$301,2,0),"")</f>
        <v>811</v>
      </c>
      <c r="G1479" s="147" t="str">
        <f aca="false">IFERROR(VLOOKUP(F1479,$AE$2:$AF$290,2, 0),"")</f>
        <v>تبوك</v>
      </c>
      <c r="H1479" s="212" t="s">
        <v>228</v>
      </c>
      <c r="I1479" s="246" t="n">
        <f aca="false">SUM(K1479:R1479)</f>
        <v>1</v>
      </c>
      <c r="J1479" s="182" t="n">
        <v>45795</v>
      </c>
      <c r="M1479" s="150" t="n">
        <v>1</v>
      </c>
      <c r="S1479" s="192" t="n">
        <f aca="false">(K1479+O1479+Q1479)*24 /1130+(L1479+M1479+P1479+R1479)*12/1130+(N1479*30)/1130</f>
        <v>0.0106194690265487</v>
      </c>
    </row>
    <row r="1480" customFormat="false" ht="15" hidden="true" customHeight="true" outlineLevel="0" collapsed="false">
      <c r="A1480" s="128" t="n">
        <f aca="false">D1480-800-5*4-700-100-18.75</f>
        <v>0</v>
      </c>
      <c r="B1480" s="127" t="n">
        <f aca="false">B1479+D1480-C1480</f>
        <v>3041.75</v>
      </c>
      <c r="D1480" s="146" t="n">
        <f aca="false">327.75*5</f>
        <v>1638.75</v>
      </c>
      <c r="E1480" s="147" t="n">
        <v>1175</v>
      </c>
      <c r="F1480" s="147" t="n">
        <f aca="false">IFERROR(VLOOKUP(H1480,$AD$1:$AE$301,2,0),"")</f>
        <v>1008275</v>
      </c>
      <c r="G1480" s="147" t="str">
        <f aca="false">IFERROR(VLOOKUP(F1480,$AE$2:$AF$290,2, 0),"")</f>
        <v>تبوك</v>
      </c>
      <c r="H1480" s="212" t="s">
        <v>179</v>
      </c>
      <c r="I1480" s="246" t="n">
        <f aca="false">SUM(K1480:R1480)</f>
        <v>6</v>
      </c>
      <c r="J1480" s="182" t="n">
        <v>45795</v>
      </c>
      <c r="K1480" s="148" t="n">
        <f aca="false">2+1+3</f>
        <v>6</v>
      </c>
      <c r="S1480" s="192" t="n">
        <f aca="false">(K1480+O1480+Q1480)*24 /1130+(L1480+M1480+P1480+R1480)*12/1130+(N1480*30)/1130</f>
        <v>0.127433628318584</v>
      </c>
    </row>
    <row r="1481" customFormat="false" ht="15" hidden="true" customHeight="true" outlineLevel="0" collapsed="false">
      <c r="A1481" s="209"/>
      <c r="B1481" s="127" t="n">
        <f aca="false">B1480+D1481-C1481</f>
        <v>3340.75</v>
      </c>
      <c r="D1481" s="146" t="n">
        <v>299</v>
      </c>
      <c r="E1481" s="147" t="n">
        <v>1176</v>
      </c>
      <c r="F1481" s="147" t="n">
        <f aca="false">IFERROR(VLOOKUP(H1481,$AD$1:$AE$301,2,0),"")</f>
        <v>652</v>
      </c>
      <c r="G1481" s="147" t="str">
        <f aca="false">IFERROR(VLOOKUP(F1481,$AE$2:$AF$290,2, 0),"")</f>
        <v>تبوك</v>
      </c>
      <c r="H1481" s="212" t="s">
        <v>263</v>
      </c>
      <c r="I1481" s="246" t="n">
        <f aca="false">SUM(K1481:R1481)</f>
        <v>1</v>
      </c>
      <c r="J1481" s="182" t="n">
        <v>45795</v>
      </c>
      <c r="R1481" s="155" t="n">
        <v>1</v>
      </c>
      <c r="S1481" s="192" t="n">
        <f aca="false">(K1481+O1481+Q1481)*24 /1130+(L1481+M1481+P1481+R1481)*12/1130+(N1481*30)/1130</f>
        <v>0.0106194690265487</v>
      </c>
    </row>
    <row r="1482" customFormat="false" ht="15" hidden="true" customHeight="true" outlineLevel="0" collapsed="false">
      <c r="B1482" s="127" t="n">
        <f aca="false">B1481+D1482-C1482</f>
        <v>0.75</v>
      </c>
      <c r="C1482" s="127" t="n">
        <f aca="false">3340</f>
        <v>3340</v>
      </c>
      <c r="E1482" s="212" t="s">
        <v>653</v>
      </c>
      <c r="F1482" s="147" t="str">
        <f aca="false">IFERROR(VLOOKUP(H1482,$AD$1:$AE$301,2,0),"")</f>
        <v/>
      </c>
      <c r="G1482" s="147" t="str">
        <f aca="false">IFERROR(VLOOKUP(F1482,$AE$2:$AF$290,2, 0),"")</f>
        <v/>
      </c>
      <c r="H1482" s="212" t="s">
        <v>393</v>
      </c>
      <c r="I1482" s="246" t="n">
        <f aca="false">SUM(K1482:R1482)</f>
        <v>0</v>
      </c>
      <c r="J1482" s="182" t="n">
        <v>45795</v>
      </c>
      <c r="S1482" s="192" t="n">
        <f aca="false">(K1482+O1482+Q1482)*24 /1130+(L1482+M1482+P1482+R1482)*12/1130+(N1482*30)/1130</f>
        <v>0</v>
      </c>
    </row>
    <row r="1483" customFormat="false" ht="15" hidden="true" customHeight="true" outlineLevel="0" collapsed="false">
      <c r="B1483" s="127" t="n">
        <f aca="false">B1482+D1483-C1483</f>
        <v>3278.25</v>
      </c>
      <c r="D1483" s="146" t="n">
        <f aca="false">327.75*5+327.75*5</f>
        <v>3277.5</v>
      </c>
      <c r="E1483" s="147" t="n">
        <v>1177</v>
      </c>
      <c r="F1483" s="147" t="n">
        <f aca="false">IFERROR(VLOOKUP(H1483,$AD$1:$AE$301,2,0),"")</f>
        <v>1007970</v>
      </c>
      <c r="G1483" s="147" t="str">
        <f aca="false">IFERROR(VLOOKUP(F1483,$AE$2:$AF$290,2, 0),"")</f>
        <v>حقل</v>
      </c>
      <c r="H1483" s="212" t="s">
        <v>310</v>
      </c>
      <c r="I1483" s="246" t="n">
        <f aca="false">SUM(K1483:R1483)</f>
        <v>12</v>
      </c>
      <c r="J1483" s="182" t="n">
        <v>45796</v>
      </c>
      <c r="K1483" s="148" t="n">
        <f aca="false">6+6</f>
        <v>12</v>
      </c>
      <c r="S1483" s="192" t="n">
        <f aca="false">(K1483+O1483+Q1483)*24 /1130+(L1483+M1483+P1483+R1483)*12/1130+(N1483*30)/1130</f>
        <v>0.254867256637168</v>
      </c>
    </row>
    <row r="1484" customFormat="false" ht="15" hidden="true" customHeight="true" outlineLevel="0" collapsed="false">
      <c r="A1484" s="128" t="n">
        <f aca="false">D1484-2070</f>
        <v>0</v>
      </c>
      <c r="B1484" s="127" t="n">
        <f aca="false">B1483+D1484-C1484</f>
        <v>5348.25</v>
      </c>
      <c r="D1484" s="146" t="n">
        <f aca="false">138*15</f>
        <v>2070</v>
      </c>
      <c r="E1484" s="147" t="n">
        <v>1178</v>
      </c>
      <c r="F1484" s="147" t="n">
        <f aca="false">IFERROR(VLOOKUP(H1484,$AD$1:$AE$301,2,0),"")</f>
        <v>1007970</v>
      </c>
      <c r="G1484" s="147" t="str">
        <f aca="false">IFERROR(VLOOKUP(F1484,$AE$2:$AF$290,2, 0),"")</f>
        <v>حقل</v>
      </c>
      <c r="H1484" s="212" t="s">
        <v>310</v>
      </c>
      <c r="I1484" s="246" t="n">
        <f aca="false">SUM(K1484:R1484)</f>
        <v>15</v>
      </c>
      <c r="J1484" s="182" t="n">
        <v>45796</v>
      </c>
      <c r="Q1484" s="154" t="n">
        <v>15</v>
      </c>
      <c r="S1484" s="192" t="n">
        <f aca="false">(K1484+O1484+Q1484)*24 /1130+(L1484+M1484+P1484+R1484)*12/1130+(N1484*30)/1130</f>
        <v>0.31858407079646</v>
      </c>
    </row>
    <row r="1485" customFormat="false" ht="15" hidden="true" customHeight="true" outlineLevel="0" collapsed="false">
      <c r="A1485" s="128" t="n">
        <f aca="false">D1485-150-50-10*5+1</f>
        <v>4</v>
      </c>
      <c r="B1485" s="127" t="n">
        <f aca="false">B1484+D1485-C1485</f>
        <v>5601.25</v>
      </c>
      <c r="D1485" s="146" t="n">
        <v>253</v>
      </c>
      <c r="E1485" s="147" t="n">
        <v>1179</v>
      </c>
      <c r="F1485" s="147" t="n">
        <f aca="false">IFERROR(VLOOKUP(H1485,$AD$1:$AE$301,2,0),"")</f>
        <v>1008030</v>
      </c>
      <c r="G1485" s="147" t="str">
        <f aca="false">IFERROR(VLOOKUP(F1485,$AE$2:$AF$290,2, 0),"")</f>
        <v>البير</v>
      </c>
      <c r="H1485" s="212" t="s">
        <v>298</v>
      </c>
      <c r="I1485" s="246" t="n">
        <f aca="false">SUM(K1485:R1485)</f>
        <v>1</v>
      </c>
      <c r="J1485" s="182" t="n">
        <v>45796</v>
      </c>
      <c r="M1485" s="150" t="n">
        <v>1</v>
      </c>
      <c r="S1485" s="192" t="n">
        <f aca="false">(K1485+O1485+Q1485)*24 /1130+(L1485+M1485+P1485+R1485)*12/1130+(N1485*30)/1130</f>
        <v>0.0106194690265487</v>
      </c>
    </row>
    <row r="1486" customFormat="false" ht="15" hidden="true" customHeight="true" outlineLevel="0" collapsed="false">
      <c r="A1486" s="128" t="n">
        <f aca="false">D1486-100-5*5-300+270</f>
        <v>0.25</v>
      </c>
      <c r="B1486" s="127" t="n">
        <f aca="false">B1485+D1486-C1486</f>
        <v>5756.5</v>
      </c>
      <c r="D1486" s="146" t="n">
        <v>155.25</v>
      </c>
      <c r="E1486" s="147" t="n">
        <v>1180</v>
      </c>
      <c r="F1486" s="147" t="n">
        <f aca="false">IFERROR(VLOOKUP(H1486,$AD$1:$AE$301,2,0),"")</f>
        <v>1008030</v>
      </c>
      <c r="G1486" s="147" t="str">
        <f aca="false">IFERROR(VLOOKUP(F1486,$AE$2:$AF$290,2, 0),"")</f>
        <v>البير</v>
      </c>
      <c r="H1486" s="212" t="s">
        <v>298</v>
      </c>
      <c r="I1486" s="246" t="n">
        <f aca="false">SUM(K1486:R1486)</f>
        <v>1</v>
      </c>
      <c r="J1486" s="182" t="n">
        <v>45796</v>
      </c>
      <c r="R1486" s="155" t="n">
        <v>1</v>
      </c>
      <c r="S1486" s="192" t="n">
        <f aca="false">(K1486+O1486+Q1486)*24 /1130+(L1486+M1486+P1486+R1486)*12/1130+(N1486*30)/1130</f>
        <v>0.0106194690265487</v>
      </c>
    </row>
    <row r="1487" customFormat="false" ht="15" hidden="true" customHeight="true" outlineLevel="0" collapsed="false">
      <c r="B1487" s="127" t="n">
        <f aca="false">B1486+D1487-C1487</f>
        <v>5894.5</v>
      </c>
      <c r="D1487" s="146" t="n">
        <v>138</v>
      </c>
      <c r="E1487" s="147" t="n">
        <v>1181</v>
      </c>
      <c r="F1487" s="147" t="n">
        <f aca="false">IFERROR(VLOOKUP(H1487,$AD$1:$AE$301,2,0),"")</f>
        <v>1007969</v>
      </c>
      <c r="G1487" s="147" t="str">
        <f aca="false">IFERROR(VLOOKUP(F1487,$AE$2:$AF$290,2, 0),"")</f>
        <v>حقل</v>
      </c>
      <c r="H1487" s="212" t="s">
        <v>309</v>
      </c>
      <c r="I1487" s="246" t="n">
        <f aca="false">SUM(K1487:R1487)</f>
        <v>1</v>
      </c>
      <c r="J1487" s="182" t="n">
        <v>45796</v>
      </c>
      <c r="Q1487" s="154" t="n">
        <v>1</v>
      </c>
      <c r="S1487" s="192" t="n">
        <f aca="false">(K1487+O1487+Q1487)*24 /1130+(L1487+M1487+P1487+R1487)*12/1130+(N1487*30)/1130</f>
        <v>0.0212389380530973</v>
      </c>
    </row>
    <row r="1488" customFormat="false" ht="15" hidden="true" customHeight="true" outlineLevel="0" collapsed="false">
      <c r="B1488" s="127" t="n">
        <f aca="false">B1487+D1488-C1488</f>
        <v>7533.25</v>
      </c>
      <c r="D1488" s="146" t="n">
        <f aca="false">327.75*5</f>
        <v>1638.75</v>
      </c>
      <c r="E1488" s="147" t="n">
        <v>1182</v>
      </c>
      <c r="F1488" s="147" t="n">
        <f aca="false">IFERROR(VLOOKUP(H1488,$AD$1:$AE$301,2,0),"")</f>
        <v>750</v>
      </c>
      <c r="G1488" s="147" t="str">
        <f aca="false">IFERROR(VLOOKUP(F1488,$AE$2:$AF$290,2, 0),"")</f>
        <v>تبوك</v>
      </c>
      <c r="H1488" s="212" t="s">
        <v>225</v>
      </c>
      <c r="I1488" s="246" t="n">
        <f aca="false">SUM(K1488:R1488)</f>
        <v>6</v>
      </c>
      <c r="J1488" s="182" t="n">
        <v>45796</v>
      </c>
      <c r="K1488" s="148" t="n">
        <v>6</v>
      </c>
      <c r="S1488" s="192" t="n">
        <f aca="false">(K1488+O1488+Q1488)*24 /1130+(L1488+M1488+P1488+R1488)*12/1130+(N1488*30)/1130</f>
        <v>0.127433628318584</v>
      </c>
    </row>
    <row r="1489" customFormat="false" ht="15" hidden="true" customHeight="true" outlineLevel="0" collapsed="false">
      <c r="A1489" s="209"/>
      <c r="B1489" s="127" t="n">
        <f aca="false">B1488+D1489-C1489</f>
        <v>6309.25</v>
      </c>
      <c r="C1489" s="127" t="n">
        <f aca="false">546+5+300+273+100</f>
        <v>1224</v>
      </c>
      <c r="E1489" s="212" t="s">
        <v>470</v>
      </c>
      <c r="F1489" s="147" t="str">
        <f aca="false">IFERROR(VLOOKUP(H1489,$AD$1:$AE$301,2,0),"")</f>
        <v/>
      </c>
      <c r="G1489" s="147" t="str">
        <f aca="false">IFERROR(VLOOKUP(F1489,$AE$2:$AF$290,2, 0),"")</f>
        <v/>
      </c>
      <c r="H1489" s="212" t="s">
        <v>393</v>
      </c>
      <c r="I1489" s="246" t="n">
        <f aca="false">SUM(K1489:R1489)</f>
        <v>0</v>
      </c>
      <c r="J1489" s="182" t="n">
        <v>45796</v>
      </c>
      <c r="S1489" s="192" t="n">
        <f aca="false">(K1489+O1489+Q1489)*24 /1130+(L1489+M1489+P1489+R1489)*12/1130+(N1489*30)/1130</f>
        <v>0</v>
      </c>
    </row>
    <row r="1490" customFormat="false" ht="15" hidden="true" customHeight="true" outlineLevel="0" collapsed="false">
      <c r="A1490" s="209"/>
      <c r="B1490" s="127" t="n">
        <f aca="false">B1489+D1490-C1490</f>
        <v>0</v>
      </c>
      <c r="C1490" s="127" t="n">
        <v>6309</v>
      </c>
      <c r="D1490" s="146" t="n">
        <v>-0.25</v>
      </c>
      <c r="E1490" s="212" t="s">
        <v>653</v>
      </c>
      <c r="F1490" s="147" t="str">
        <f aca="false">IFERROR(VLOOKUP(H1490,$AD$1:$AE$301,2,0),"")</f>
        <v/>
      </c>
      <c r="G1490" s="147" t="str">
        <f aca="false">IFERROR(VLOOKUP(F1490,$AE$2:$AF$290,2, 0),"")</f>
        <v/>
      </c>
      <c r="H1490" s="212" t="s">
        <v>393</v>
      </c>
      <c r="I1490" s="246" t="n">
        <f aca="false">SUM(K1490:R1490)</f>
        <v>0</v>
      </c>
      <c r="J1490" s="182" t="n">
        <v>45796</v>
      </c>
      <c r="S1490" s="192" t="n">
        <f aca="false">(K1490+O1490+Q1490)*24 /1130+(L1490+M1490+P1490+R1490)*12/1130+(N1490*30)/1130</f>
        <v>0</v>
      </c>
    </row>
    <row r="1491" customFormat="false" ht="15" hidden="true" customHeight="true" outlineLevel="0" collapsed="false">
      <c r="A1491" s="128" t="n">
        <f aca="false">D1491-1338.75-300</f>
        <v>0</v>
      </c>
      <c r="B1491" s="127" t="n">
        <f aca="false">B1490+D1491-C1491</f>
        <v>1638.75</v>
      </c>
      <c r="D1491" s="146" t="n">
        <f aca="false">5*327.75</f>
        <v>1638.75</v>
      </c>
      <c r="E1491" s="147" t="n">
        <v>1183</v>
      </c>
      <c r="F1491" s="147" t="n">
        <f aca="false">IFERROR(VLOOKUP(H1491,$AD$1:$AE$301,2,0),"")</f>
        <v>755</v>
      </c>
      <c r="G1491" s="147" t="str">
        <f aca="false">IFERROR(VLOOKUP(F1491,$AE$2:$AF$290,2, 0),"")</f>
        <v>تبوك</v>
      </c>
      <c r="H1491" s="212" t="s">
        <v>180</v>
      </c>
      <c r="I1491" s="246" t="n">
        <f aca="false">SUM(K1491:R1491)</f>
        <v>6</v>
      </c>
      <c r="J1491" s="182" t="n">
        <v>45797</v>
      </c>
      <c r="K1491" s="148" t="n">
        <f aca="false">3+3</f>
        <v>6</v>
      </c>
      <c r="S1491" s="192" t="n">
        <f aca="false">(K1491+O1491+Q1491)*24 /1130+(L1491+M1491+P1491+R1491)*12/1130+(N1491*30)/1130</f>
        <v>0.127433628318584</v>
      </c>
    </row>
    <row r="1492" customFormat="false" ht="15" hidden="true" customHeight="true" outlineLevel="0" collapsed="false">
      <c r="A1492" s="128" t="n">
        <f aca="false">D1492+820-1100-553</f>
        <v>0.75</v>
      </c>
      <c r="B1492" s="127" t="n">
        <f aca="false">B1491+D1492-C1492</f>
        <v>2472.5</v>
      </c>
      <c r="D1492" s="146" t="n">
        <f aca="false">345+235.75+253</f>
        <v>833.75</v>
      </c>
      <c r="E1492" s="147" t="n">
        <v>1184</v>
      </c>
      <c r="F1492" s="147" t="n">
        <f aca="false">IFERROR(VLOOKUP(H1492,$AD$1:$AE$301,2,0),"")</f>
        <v>636</v>
      </c>
      <c r="G1492" s="147" t="str">
        <f aca="false">IFERROR(VLOOKUP(F1492,$AE$2:$AF$290,2, 0),"")</f>
        <v>تبوك</v>
      </c>
      <c r="H1492" s="212" t="s">
        <v>134</v>
      </c>
      <c r="I1492" s="246" t="n">
        <f aca="false">SUM(K1492:R1492)</f>
        <v>3</v>
      </c>
      <c r="J1492" s="182" t="n">
        <v>45797</v>
      </c>
      <c r="M1492" s="150" t="n">
        <f aca="false">1+1+1</f>
        <v>3</v>
      </c>
      <c r="S1492" s="192" t="n">
        <f aca="false">(K1492+O1492+Q1492)*24 /1130+(L1492+M1492+P1492+R1492)*12/1130+(N1492*30)/1130</f>
        <v>0.031858407079646</v>
      </c>
    </row>
    <row r="1493" customFormat="false" ht="15" hidden="true" customHeight="true" outlineLevel="0" collapsed="false">
      <c r="B1493" s="127" t="n">
        <f aca="false">B1492+D1493-C1493</f>
        <v>0</v>
      </c>
      <c r="C1493" s="127" t="n">
        <f aca="false">520+246+700+500+506</f>
        <v>2472</v>
      </c>
      <c r="D1493" s="146" t="n">
        <v>-0.5</v>
      </c>
      <c r="E1493" s="212" t="s">
        <v>470</v>
      </c>
      <c r="F1493" s="147" t="str">
        <f aca="false">IFERROR(VLOOKUP(H1493,$AD$1:$AE$301,2,0),"")</f>
        <v/>
      </c>
      <c r="G1493" s="147" t="str">
        <f aca="false">IFERROR(VLOOKUP(F1493,$AE$2:$AF$290,2, 0),"")</f>
        <v/>
      </c>
      <c r="H1493" s="212" t="s">
        <v>393</v>
      </c>
      <c r="I1493" s="246" t="n">
        <f aca="false">SUM(K1493:R1493)</f>
        <v>0</v>
      </c>
      <c r="J1493" s="182" t="n">
        <v>45797</v>
      </c>
      <c r="S1493" s="192" t="n">
        <f aca="false">(K1493+O1493+Q1493)*24 /1130+(L1493+M1493+P1493+R1493)*12/1130+(N1493*30)/1130</f>
        <v>0</v>
      </c>
    </row>
    <row r="1494" customFormat="false" ht="15" hidden="true" customHeight="true" outlineLevel="0" collapsed="false">
      <c r="B1494" s="127" t="n">
        <f aca="false">B1493+D1494-C1494</f>
        <v>241.5</v>
      </c>
      <c r="D1494" s="146" t="n">
        <v>241.5</v>
      </c>
      <c r="E1494" s="147" t="n">
        <v>1185</v>
      </c>
      <c r="F1494" s="147" t="n">
        <f aca="false">IFERROR(VLOOKUP(H1494,$AD$1:$AE$301,2,0),"")</f>
        <v>1007975</v>
      </c>
      <c r="G1494" s="147" t="str">
        <f aca="false">IFERROR(VLOOKUP(F1494,$AE$2:$AF$290,2, 0),"")</f>
        <v>ضباء</v>
      </c>
      <c r="H1494" s="212" t="s">
        <v>76</v>
      </c>
      <c r="I1494" s="246" t="n">
        <f aca="false">SUM(K1494:R1494)</f>
        <v>1</v>
      </c>
      <c r="J1494" s="182" t="n">
        <v>45798</v>
      </c>
      <c r="Q1494" s="154" t="n">
        <v>1</v>
      </c>
      <c r="S1494" s="192" t="n">
        <f aca="false">(K1494+O1494+Q1494)*24 /1130+(L1494+M1494+P1494+R1494)*12/1130+(N1494*30)/1130</f>
        <v>0.0212389380530973</v>
      </c>
    </row>
    <row r="1495" customFormat="false" ht="15" hidden="true" customHeight="true" outlineLevel="0" collapsed="false">
      <c r="A1495" s="128" t="n">
        <f aca="false">D1495+263-504.5</f>
        <v>0</v>
      </c>
      <c r="B1495" s="127" t="n">
        <f aca="false">B1494+D1495-C1495</f>
        <v>483</v>
      </c>
      <c r="D1495" s="146" t="n">
        <v>241.5</v>
      </c>
      <c r="E1495" s="147" t="n">
        <v>1186</v>
      </c>
      <c r="F1495" s="147" t="n">
        <f aca="false">IFERROR(VLOOKUP(H1495,$AD$1:$AE$301,2,0),"")</f>
        <v>1008022</v>
      </c>
      <c r="G1495" s="147" t="str">
        <f aca="false">IFERROR(VLOOKUP(F1495,$AE$2:$AF$290,2, 0),"")</f>
        <v>ضباء</v>
      </c>
      <c r="H1495" s="212" t="s">
        <v>94</v>
      </c>
      <c r="I1495" s="246" t="n">
        <f aca="false">SUM(K1495:R1495)</f>
        <v>1</v>
      </c>
      <c r="J1495" s="182" t="n">
        <v>45798</v>
      </c>
      <c r="O1495" s="152" t="n">
        <v>1</v>
      </c>
      <c r="S1495" s="192" t="n">
        <f aca="false">(K1495+O1495+Q1495)*24 /1130+(L1495+M1495+P1495+R1495)*12/1130+(N1495*30)/1130</f>
        <v>0.0212389380530973</v>
      </c>
    </row>
    <row r="1496" customFormat="false" ht="15" hidden="true" customHeight="true" outlineLevel="0" collapsed="false">
      <c r="B1496" s="127" t="n">
        <f aca="false">B1495+D1496-C1496</f>
        <v>1173</v>
      </c>
      <c r="D1496" s="146" t="n">
        <f aca="false">138*5</f>
        <v>690</v>
      </c>
      <c r="E1496" s="147" t="n">
        <v>1187</v>
      </c>
      <c r="F1496" s="147" t="n">
        <f aca="false">IFERROR(VLOOKUP(H1496,$AD$1:$AE$301,2,0),"")</f>
        <v>1008023</v>
      </c>
      <c r="G1496" s="147" t="str">
        <f aca="false">IFERROR(VLOOKUP(F1496,$AE$2:$AF$290,2, 0),"")</f>
        <v>ضباء</v>
      </c>
      <c r="H1496" s="212" t="s">
        <v>95</v>
      </c>
      <c r="I1496" s="246" t="n">
        <f aca="false">SUM(K1496:R1496)</f>
        <v>5</v>
      </c>
      <c r="J1496" s="182" t="n">
        <v>45798</v>
      </c>
      <c r="Q1496" s="154" t="n">
        <v>5</v>
      </c>
      <c r="S1496" s="192" t="n">
        <f aca="false">(K1496+O1496+Q1496)*24 /1130+(L1496+M1496+P1496+R1496)*12/1130+(N1496*30)/1130</f>
        <v>0.106194690265487</v>
      </c>
    </row>
    <row r="1497" customFormat="false" ht="15" hidden="true" customHeight="true" outlineLevel="0" collapsed="false">
      <c r="A1497" s="128" t="n">
        <f aca="false">D1497-819-1230</f>
        <v>-2</v>
      </c>
      <c r="B1497" s="127" t="n">
        <f aca="false">B1496+D1497-C1497</f>
        <v>3220</v>
      </c>
      <c r="D1497" s="146" t="n">
        <f aca="false">327.75*5+253+155.25</f>
        <v>2047</v>
      </c>
      <c r="E1497" s="147" t="n">
        <v>1188</v>
      </c>
      <c r="F1497" s="147" t="n">
        <f aca="false">IFERROR(VLOOKUP(H1497,$AD$1:$AE$301,2,0),"")</f>
        <v>1008024</v>
      </c>
      <c r="G1497" s="147" t="str">
        <f aca="false">IFERROR(VLOOKUP(F1497,$AE$2:$AF$290,2, 0),"")</f>
        <v>ضباء</v>
      </c>
      <c r="H1497" s="212" t="s">
        <v>96</v>
      </c>
      <c r="I1497" s="246" t="n">
        <f aca="false">SUM(K1497:R1497)</f>
        <v>8</v>
      </c>
      <c r="J1497" s="182" t="n">
        <v>45798</v>
      </c>
      <c r="K1497" s="148" t="n">
        <f aca="false">5+1</f>
        <v>6</v>
      </c>
      <c r="M1497" s="150" t="n">
        <v>1</v>
      </c>
      <c r="R1497" s="155" t="n">
        <v>1</v>
      </c>
      <c r="S1497" s="192" t="n">
        <f aca="false">(K1497+O1497+Q1497)*24 /1130+(L1497+M1497+P1497+R1497)*12/1130+(N1497*30)/1130</f>
        <v>0.148672566371681</v>
      </c>
    </row>
    <row r="1498" customFormat="false" ht="15" hidden="true" customHeight="true" outlineLevel="0" collapsed="false">
      <c r="A1498" s="128" t="n">
        <f aca="false">D1498+819-1055</f>
        <v>-0.25</v>
      </c>
      <c r="B1498" s="127" t="n">
        <f aca="false">B1497+D1498-C1498</f>
        <v>3455.75</v>
      </c>
      <c r="D1498" s="146" t="n">
        <v>235.75</v>
      </c>
      <c r="E1498" s="147" t="n">
        <v>1189</v>
      </c>
      <c r="F1498" s="147" t="n">
        <f aca="false">IFERROR(VLOOKUP(H1498,$AD$1:$AE$301,2,0),"")</f>
        <v>1008047</v>
      </c>
      <c r="G1498" s="147" t="str">
        <f aca="false">IFERROR(VLOOKUP(F1498,$AE$2:$AF$290,2, 0),"")</f>
        <v>الوجه</v>
      </c>
      <c r="H1498" s="212" t="s">
        <v>422</v>
      </c>
      <c r="I1498" s="246" t="n">
        <f aca="false">SUM(K1498:R1498)</f>
        <v>1</v>
      </c>
      <c r="J1498" s="182" t="n">
        <v>45798</v>
      </c>
      <c r="M1498" s="150" t="n">
        <v>1</v>
      </c>
      <c r="S1498" s="192" t="n">
        <f aca="false">(K1498+O1498+Q1498)*24 /1130+(L1498+M1498+P1498+R1498)*12/1130+(N1498*30)/1130</f>
        <v>0.0106194690265487</v>
      </c>
    </row>
    <row r="1499" customFormat="false" ht="15" hidden="true" customHeight="true" outlineLevel="0" collapsed="false">
      <c r="B1499" s="127" t="n">
        <f aca="false">B1498+D1499-C1499</f>
        <v>5094.5</v>
      </c>
      <c r="D1499" s="146" t="n">
        <f aca="false">5*327.75</f>
        <v>1638.75</v>
      </c>
      <c r="E1499" s="147" t="n">
        <v>1190</v>
      </c>
      <c r="F1499" s="147" t="n">
        <f aca="false">IFERROR(VLOOKUP(H1499,$AD$1:$AE$301,2,0),"")</f>
        <v>1008048</v>
      </c>
      <c r="G1499" s="147" t="str">
        <f aca="false">IFERROR(VLOOKUP(F1499,$AE$2:$AF$290,2, 0),"")</f>
        <v>الوجه</v>
      </c>
      <c r="H1499" s="212" t="s">
        <v>110</v>
      </c>
      <c r="I1499" s="246" t="n">
        <f aca="false">SUM(K1499:R1499)</f>
        <v>6</v>
      </c>
      <c r="J1499" s="182" t="n">
        <v>45798</v>
      </c>
      <c r="K1499" s="148" t="n">
        <v>6</v>
      </c>
      <c r="S1499" s="192" t="n">
        <f aca="false">(K1499+O1499+Q1499)*24 /1130+(L1499+M1499+P1499+R1499)*12/1130+(N1499*30)/1130</f>
        <v>0.127433628318584</v>
      </c>
    </row>
    <row r="1500" customFormat="false" ht="15" hidden="true" customHeight="true" outlineLevel="0" collapsed="false">
      <c r="A1500" s="128" t="n">
        <f aca="false">D1500-60-78</f>
        <v>0</v>
      </c>
      <c r="B1500" s="127" t="n">
        <f aca="false">B1499+D1500-C1500</f>
        <v>5232.5</v>
      </c>
      <c r="D1500" s="146" t="n">
        <v>138</v>
      </c>
      <c r="E1500" s="147" t="n">
        <v>1189</v>
      </c>
      <c r="F1500" s="147" t="n">
        <f aca="false">IFERROR(VLOOKUP(H1500,$AD$1:$AE$301,2,0),"")</f>
        <v>1008025</v>
      </c>
      <c r="G1500" s="147" t="str">
        <f aca="false">IFERROR(VLOOKUP(F1500,$AE$2:$AF$290,2, 0),"")</f>
        <v>ضباء</v>
      </c>
      <c r="H1500" s="212" t="s">
        <v>97</v>
      </c>
      <c r="I1500" s="246" t="n">
        <f aca="false">SUM(K1500:R1500)</f>
        <v>1</v>
      </c>
      <c r="J1500" s="182" t="n">
        <v>45798</v>
      </c>
      <c r="Q1500" s="154" t="n">
        <v>1</v>
      </c>
      <c r="S1500" s="192" t="n">
        <f aca="false">(K1500+O1500+Q1500)*24 /1130+(L1500+M1500+P1500+R1500)*12/1130+(N1500*30)/1130</f>
        <v>0.0212389380530973</v>
      </c>
    </row>
    <row r="1501" customFormat="false" ht="15" hidden="true" customHeight="true" outlineLevel="0" collapsed="false">
      <c r="B1501" s="127" t="n">
        <f aca="false">B1500+D1501-C1501</f>
        <v>3594.5</v>
      </c>
      <c r="C1501" s="127" t="n">
        <v>1638</v>
      </c>
      <c r="E1501" s="212" t="s">
        <v>657</v>
      </c>
      <c r="F1501" s="147" t="str">
        <f aca="false">IFERROR(VLOOKUP(H1501,$AD$1:$AE$301,2,0),"")</f>
        <v/>
      </c>
      <c r="G1501" s="147" t="str">
        <f aca="false">IFERROR(VLOOKUP(F1501,$AE$2:$AF$290,2, 0),"")</f>
        <v/>
      </c>
      <c r="H1501" s="212" t="s">
        <v>393</v>
      </c>
      <c r="I1501" s="246" t="n">
        <f aca="false">SUM(K1501:R1501)</f>
        <v>0</v>
      </c>
      <c r="J1501" s="182" t="n">
        <v>45798</v>
      </c>
      <c r="S1501" s="192" t="n">
        <f aca="false">(K1501+O1501+Q1501)*24 /1130+(L1501+M1501+P1501+R1501)*12/1130+(N1501*30)/1130</f>
        <v>0</v>
      </c>
    </row>
    <row r="1502" customFormat="false" ht="15" hidden="true" customHeight="true" outlineLevel="0" collapsed="false">
      <c r="B1502" s="127" t="n">
        <f aca="false">B1501+D1502-C1502</f>
        <v>1788.5</v>
      </c>
      <c r="C1502" s="127" t="n">
        <f aca="false">1000+241.5+504.5+60</f>
        <v>1806</v>
      </c>
      <c r="E1502" s="212" t="s">
        <v>470</v>
      </c>
      <c r="F1502" s="147" t="str">
        <f aca="false">IFERROR(VLOOKUP(H1502,$AD$1:$AE$301,2,0),"")</f>
        <v/>
      </c>
      <c r="G1502" s="147" t="str">
        <f aca="false">IFERROR(VLOOKUP(F1502,$AE$2:$AF$290,2, 0),"")</f>
        <v/>
      </c>
      <c r="H1502" s="212" t="s">
        <v>393</v>
      </c>
      <c r="I1502" s="246" t="n">
        <f aca="false">SUM(K1502:R1502)</f>
        <v>0</v>
      </c>
      <c r="J1502" s="182" t="n">
        <v>45798</v>
      </c>
      <c r="S1502" s="192" t="n">
        <f aca="false">(K1502+O1502+Q1502)*24 /1130+(L1502+M1502+P1502+R1502)*12/1130+(N1502*30)/1130</f>
        <v>0</v>
      </c>
    </row>
    <row r="1503" customFormat="false" ht="15" hidden="true" customHeight="true" outlineLevel="0" collapsed="false">
      <c r="B1503" s="127" t="n">
        <f aca="false">B1502+D1503-C1503</f>
        <v>0</v>
      </c>
      <c r="C1503" s="127" t="n">
        <v>1788</v>
      </c>
      <c r="D1503" s="146" t="n">
        <v>-0.5</v>
      </c>
      <c r="E1503" s="212" t="s">
        <v>653</v>
      </c>
      <c r="F1503" s="147" t="str">
        <f aca="false">IFERROR(VLOOKUP(H1503,$AD$1:$AE$301,2,0),"")</f>
        <v/>
      </c>
      <c r="G1503" s="147" t="str">
        <f aca="false">IFERROR(VLOOKUP(F1503,$AE$2:$AF$290,2, 0),"")</f>
        <v/>
      </c>
      <c r="H1503" s="212" t="s">
        <v>393</v>
      </c>
      <c r="I1503" s="246" t="n">
        <f aca="false">SUM(K1503:R1503)</f>
        <v>0</v>
      </c>
      <c r="J1503" s="182" t="n">
        <v>45798</v>
      </c>
      <c r="S1503" s="192" t="n">
        <f aca="false">(K1503+O1503+Q1503)*24 /1130+(L1503+M1503+P1503+R1503)*12/1130+(N1503*30)/1130</f>
        <v>0</v>
      </c>
    </row>
    <row r="1504" customFormat="false" ht="15" hidden="true" customHeight="true" outlineLevel="0" collapsed="false">
      <c r="A1504" s="209"/>
      <c r="B1504" s="127" t="n">
        <f aca="false">B1503+D1504-C1504</f>
        <v>1638.75</v>
      </c>
      <c r="D1504" s="146" t="n">
        <f aca="false">327.75*5</f>
        <v>1638.75</v>
      </c>
      <c r="E1504" s="147" t="n">
        <v>1191</v>
      </c>
      <c r="F1504" s="147" t="n">
        <f aca="false">IFERROR(VLOOKUP(H1504,$AD$1:$AE$301,2,0),"")</f>
        <v>813</v>
      </c>
      <c r="G1504" s="147" t="str">
        <f aca="false">IFERROR(VLOOKUP(F1504,$AE$2:$AF$290,2, 0),"")</f>
        <v>تبوك</v>
      </c>
      <c r="H1504" s="212" t="s">
        <v>229</v>
      </c>
      <c r="I1504" s="246" t="n">
        <f aca="false">SUM(K1504:R1504)</f>
        <v>6</v>
      </c>
      <c r="J1504" s="182" t="n">
        <v>45799</v>
      </c>
      <c r="K1504" s="148" t="n">
        <f aca="false">2+4</f>
        <v>6</v>
      </c>
      <c r="S1504" s="192" t="n">
        <f aca="false">(K1504+O1504+Q1504)*24 /1130+(L1504+M1504+P1504+R1504)*12/1130+(N1504*30)/1130</f>
        <v>0.127433628318584</v>
      </c>
    </row>
    <row r="1505" customFormat="false" ht="15" hidden="true" customHeight="true" outlineLevel="0" collapsed="false">
      <c r="A1505" s="128" t="n">
        <f aca="false">D1505-276</f>
        <v>0</v>
      </c>
      <c r="B1505" s="127" t="n">
        <f aca="false">B1504+D1505-C1505</f>
        <v>1914.75</v>
      </c>
      <c r="D1505" s="146" t="n">
        <f aca="false">138*2</f>
        <v>276</v>
      </c>
      <c r="E1505" s="147" t="n">
        <v>1193</v>
      </c>
      <c r="F1505" s="147" t="n">
        <f aca="false">IFERROR(VLOOKUP(H1505,$AD$1:$AE$301,2,0),"")</f>
        <v>813</v>
      </c>
      <c r="G1505" s="147" t="str">
        <f aca="false">IFERROR(VLOOKUP(F1505,$AE$2:$AF$290,2, 0),"")</f>
        <v>تبوك</v>
      </c>
      <c r="H1505" s="212" t="s">
        <v>229</v>
      </c>
      <c r="I1505" s="246" t="n">
        <f aca="false">SUM(K1505:R1505)</f>
        <v>2</v>
      </c>
      <c r="J1505" s="182" t="n">
        <v>45799</v>
      </c>
      <c r="Q1505" s="154" t="n">
        <v>2</v>
      </c>
      <c r="S1505" s="192" t="n">
        <f aca="false">(K1505+O1505+Q1505)*24 /1130+(L1505+M1505+P1505+R1505)*12/1130+(N1505*30)/1130</f>
        <v>0.0424778761061947</v>
      </c>
    </row>
    <row r="1506" customFormat="false" ht="15" hidden="true" customHeight="true" outlineLevel="0" collapsed="false">
      <c r="A1506" s="128" t="n">
        <f aca="false">D1506-546.25-1000-656</f>
        <v>0</v>
      </c>
      <c r="B1506" s="127" t="n">
        <f aca="false">B1505+D1506-C1506</f>
        <v>4117</v>
      </c>
      <c r="D1506" s="146" t="n">
        <f aca="false">273.125*6+253+155.25*2</f>
        <v>2202.25</v>
      </c>
      <c r="E1506" s="147" t="n">
        <v>1195</v>
      </c>
      <c r="F1506" s="147" t="n">
        <f aca="false">IFERROR(VLOOKUP(H1506,$AD$1:$AE$301,2,0),"")</f>
        <v>653</v>
      </c>
      <c r="G1506" s="147" t="str">
        <f aca="false">IFERROR(VLOOKUP(F1506,$AE$2:$AF$290,2, 0),"")</f>
        <v>تبوك</v>
      </c>
      <c r="H1506" s="212" t="s">
        <v>264</v>
      </c>
      <c r="I1506" s="246" t="n">
        <f aca="false">SUM(K1506:R1506)</f>
        <v>9</v>
      </c>
      <c r="J1506" s="182" t="n">
        <v>45799</v>
      </c>
      <c r="K1506" s="148" t="n">
        <v>6</v>
      </c>
      <c r="M1506" s="150" t="n">
        <v>1</v>
      </c>
      <c r="R1506" s="155" t="n">
        <v>2</v>
      </c>
      <c r="S1506" s="192" t="n">
        <f aca="false">(K1506+O1506+Q1506)*24 /1130+(L1506+M1506+P1506+R1506)*12/1130+(N1506*30)/1130</f>
        <v>0.15929203539823</v>
      </c>
    </row>
    <row r="1507" customFormat="false" ht="15" hidden="true" customHeight="true" outlineLevel="0" collapsed="false">
      <c r="A1507" s="417"/>
      <c r="B1507" s="127" t="n">
        <f aca="false">B1506+D1507-C1507</f>
        <v>4010</v>
      </c>
      <c r="C1507" s="127" t="n">
        <v>107</v>
      </c>
      <c r="E1507" s="212" t="s">
        <v>657</v>
      </c>
      <c r="F1507" s="147" t="str">
        <f aca="false">IFERROR(VLOOKUP(H1507,$AD$1:$AE$301,2,0),"")</f>
        <v/>
      </c>
      <c r="G1507" s="147" t="str">
        <f aca="false">IFERROR(VLOOKUP(F1507,$AE$2:$AF$290,2, 0),"")</f>
        <v/>
      </c>
      <c r="H1507" s="212" t="s">
        <v>393</v>
      </c>
      <c r="I1507" s="246" t="n">
        <f aca="false">SUM(K1507:R1507)</f>
        <v>0</v>
      </c>
      <c r="J1507" s="182" t="n">
        <v>45799</v>
      </c>
      <c r="S1507" s="192" t="n">
        <f aca="false">(K1507+O1507+Q1507)*24 /1130+(L1507+M1507+P1507+R1507)*12/1130+(N1507*30)/1130</f>
        <v>0</v>
      </c>
    </row>
    <row r="1508" customFormat="false" ht="15" hidden="true" customHeight="true" outlineLevel="0" collapsed="false">
      <c r="A1508" s="417"/>
      <c r="B1508" s="127" t="n">
        <f aca="false">B1507+D1508-C1508</f>
        <v>0</v>
      </c>
      <c r="C1508" s="127" t="n">
        <v>4010</v>
      </c>
      <c r="E1508" s="212" t="s">
        <v>653</v>
      </c>
      <c r="F1508" s="147" t="str">
        <f aca="false">IFERROR(VLOOKUP(H1508,$AD$1:$AE$301,2,0),"")</f>
        <v/>
      </c>
      <c r="G1508" s="147" t="str">
        <f aca="false">IFERROR(VLOOKUP(F1508,$AE$2:$AF$290,2, 0),"")</f>
        <v/>
      </c>
      <c r="H1508" s="212" t="s">
        <v>393</v>
      </c>
      <c r="I1508" s="246" t="n">
        <f aca="false">SUM(K1508:R1508)</f>
        <v>0</v>
      </c>
      <c r="J1508" s="182" t="n">
        <v>45799</v>
      </c>
      <c r="S1508" s="192" t="n">
        <f aca="false">(K1508+O1508+Q1508)*24 /1130+(L1508+M1508+P1508+R1508)*12/1130+(N1508*30)/1130</f>
        <v>0</v>
      </c>
    </row>
    <row r="1509" customFormat="false" ht="15" hidden="true" customHeight="true" outlineLevel="0" collapsed="false">
      <c r="A1509" s="209" t="n">
        <f aca="false">D1509-500-200-215</f>
        <v>-0.75</v>
      </c>
      <c r="B1509" s="127" t="n">
        <f aca="false">B1508+D1509-C1509</f>
        <v>914.25</v>
      </c>
      <c r="D1509" s="146" t="n">
        <f aca="false">299+264.5+155.25+195.5</f>
        <v>914.25</v>
      </c>
      <c r="E1509" s="147" t="n">
        <v>1196</v>
      </c>
      <c r="F1509" s="147" t="n">
        <f aca="false">IFERROR(VLOOKUP(H1509,$AD$1:$AE$301,2,0),"")</f>
        <v>826</v>
      </c>
      <c r="G1509" s="147" t="str">
        <f aca="false">IFERROR(VLOOKUP(F1509,$AE$2:$AF$290,2, 0),"")</f>
        <v>تبوك</v>
      </c>
      <c r="H1509" s="212" t="s">
        <v>196</v>
      </c>
      <c r="I1509" s="246" t="n">
        <f aca="false">SUM(K1509:R1509)</f>
        <v>4</v>
      </c>
      <c r="J1509" s="182" t="n">
        <v>45802</v>
      </c>
      <c r="R1509" s="155" t="n">
        <f aca="false">1+1+1+1</f>
        <v>4</v>
      </c>
      <c r="S1509" s="192" t="n">
        <f aca="false">(K1509+O1509+Q1509)*24 /1130+(L1509+M1509+P1509+R1509)*12/1130+(N1509*30)/1130</f>
        <v>0.0424778761061947</v>
      </c>
    </row>
    <row r="1510" customFormat="false" ht="15" hidden="true" customHeight="true" outlineLevel="0" collapsed="false">
      <c r="A1510" s="209" t="n">
        <f aca="false">D1510-1000-944</f>
        <v>-0.499999999999773</v>
      </c>
      <c r="B1510" s="127" t="n">
        <f aca="false">B1509+D1510-C1510</f>
        <v>2857.75</v>
      </c>
      <c r="D1510" s="146" t="n">
        <f aca="false">280.79*3+263.54*3+155.255*2</f>
        <v>1943.5</v>
      </c>
      <c r="E1510" s="147" t="n">
        <v>1195</v>
      </c>
      <c r="F1510" s="147" t="n">
        <f aca="false">IFERROR(VLOOKUP(H1510,$AD$1:$AE$301,2,0),"")</f>
        <v>587</v>
      </c>
      <c r="G1510" s="147" t="str">
        <f aca="false">IFERROR(VLOOKUP(F1510,$AE$2:$AF$290,2, 0),"")</f>
        <v>تبوك</v>
      </c>
      <c r="H1510" s="212" t="s">
        <v>226</v>
      </c>
      <c r="I1510" s="246" t="n">
        <f aca="false">SUM(K1510:R1510)</f>
        <v>8</v>
      </c>
      <c r="J1510" s="182" t="n">
        <v>45802</v>
      </c>
      <c r="N1510" s="151" t="n">
        <f aca="false">3+3</f>
        <v>6</v>
      </c>
      <c r="R1510" s="155" t="n">
        <v>2</v>
      </c>
      <c r="S1510" s="192" t="n">
        <f aca="false">(K1510+O1510+Q1510)*24 /1130+(L1510+M1510+P1510+R1510)*12/1130+(N1510*30)/1130</f>
        <v>0.180530973451327</v>
      </c>
    </row>
    <row r="1511" customFormat="false" ht="15" hidden="true" customHeight="true" outlineLevel="0" collapsed="false">
      <c r="A1511" s="209"/>
      <c r="B1511" s="127" t="n">
        <f aca="false">B1510+D1511-C1511</f>
        <v>2477.75</v>
      </c>
      <c r="C1511" s="127" t="n">
        <f aca="false">105+90+150+35</f>
        <v>380</v>
      </c>
      <c r="E1511" s="212" t="s">
        <v>470</v>
      </c>
      <c r="F1511" s="147" t="str">
        <f aca="false">IFERROR(VLOOKUP(H1511,$AD$1:$AE$301,2,0),"")</f>
        <v/>
      </c>
      <c r="G1511" s="147" t="str">
        <f aca="false">IFERROR(VLOOKUP(F1511,$AE$2:$AF$290,2, 0),"")</f>
        <v/>
      </c>
      <c r="H1511" s="212" t="s">
        <v>393</v>
      </c>
      <c r="I1511" s="246" t="n">
        <f aca="false">SUM(K1511:R1511)</f>
        <v>0</v>
      </c>
      <c r="J1511" s="182" t="n">
        <v>45802</v>
      </c>
      <c r="S1511" s="192" t="n">
        <f aca="false">(K1511+O1511+Q1511)*24 /1130+(L1511+M1511+P1511+R1511)*12/1130+(N1511*30)/1130</f>
        <v>0</v>
      </c>
    </row>
    <row r="1512" customFormat="false" ht="15" hidden="true" customHeight="true" outlineLevel="0" collapsed="false">
      <c r="A1512" s="209"/>
      <c r="B1512" s="127" t="n">
        <f aca="false">B1511+D1512-C1512</f>
        <v>0.75</v>
      </c>
      <c r="C1512" s="127" t="n">
        <v>2477</v>
      </c>
      <c r="E1512" s="212" t="s">
        <v>653</v>
      </c>
      <c r="F1512" s="147" t="str">
        <f aca="false">IFERROR(VLOOKUP(H1512,$AD$1:$AE$301,2,0),"")</f>
        <v/>
      </c>
      <c r="G1512" s="147" t="str">
        <f aca="false">IFERROR(VLOOKUP(F1512,$AE$2:$AF$290,2, 0),"")</f>
        <v/>
      </c>
      <c r="H1512" s="212" t="s">
        <v>393</v>
      </c>
      <c r="I1512" s="246" t="n">
        <f aca="false">SUM(K1512:R1512)</f>
        <v>0</v>
      </c>
      <c r="J1512" s="182" t="n">
        <v>45802</v>
      </c>
      <c r="S1512" s="192" t="n">
        <f aca="false">(K1512+O1512+Q1512)*24 /1130+(L1512+M1512+P1512+R1512)*12/1130+(N1512*30)/1130</f>
        <v>0</v>
      </c>
    </row>
    <row r="1513" customFormat="false" ht="15" hidden="true" customHeight="true" outlineLevel="0" collapsed="false">
      <c r="A1513" s="209" t="n">
        <f aca="false">D1513-410-395-200-900-5-900+900-200</f>
        <v>0.25</v>
      </c>
      <c r="B1513" s="127" t="n">
        <f aca="false">B1512+D1513-C1513</f>
        <v>2111</v>
      </c>
      <c r="D1513" s="146" t="n">
        <f aca="false">241.5+230+327.75*5</f>
        <v>2110.25</v>
      </c>
      <c r="E1513" s="147" t="n">
        <v>1198</v>
      </c>
      <c r="F1513" s="147" t="n">
        <f aca="false">IFERROR(VLOOKUP(H1513,$AD$1:$AE$301,2,0),"")</f>
        <v>1008030</v>
      </c>
      <c r="G1513" s="147" t="str">
        <f aca="false">IFERROR(VLOOKUP(F1513,$AE$2:$AF$290,2, 0),"")</f>
        <v>البير</v>
      </c>
      <c r="H1513" s="212" t="s">
        <v>298</v>
      </c>
      <c r="I1513" s="246" t="n">
        <f aca="false">SUM(K1513:R1513)</f>
        <v>8</v>
      </c>
      <c r="J1513" s="182" t="n">
        <v>45802</v>
      </c>
      <c r="K1513" s="148" t="n">
        <f aca="false">4+2</f>
        <v>6</v>
      </c>
      <c r="M1513" s="150" t="n">
        <v>1</v>
      </c>
      <c r="Q1513" s="154" t="n">
        <v>1</v>
      </c>
      <c r="S1513" s="192" t="n">
        <f aca="false">(K1513+O1513+Q1513)*24 /1130+(L1513+M1513+P1513+R1513)*12/1130+(N1513*30)/1130</f>
        <v>0.15929203539823</v>
      </c>
    </row>
    <row r="1514" customFormat="false" ht="15" hidden="true" customHeight="true" outlineLevel="0" collapsed="false">
      <c r="A1514" s="209"/>
      <c r="B1514" s="127" t="n">
        <f aca="false">B1513+D1514-C1514</f>
        <v>5503.5</v>
      </c>
      <c r="D1514" s="146" t="n">
        <f aca="false">195.5*5+10*241.5</f>
        <v>3392.5</v>
      </c>
      <c r="E1514" s="147" t="n">
        <v>1197</v>
      </c>
      <c r="F1514" s="147" t="n">
        <f aca="false">IFERROR(VLOOKUP(H1514,$AD$1:$AE$301,2,0),"")</f>
        <v>1007997</v>
      </c>
      <c r="G1514" s="147" t="str">
        <f aca="false">IFERROR(VLOOKUP(F1514,$AE$2:$AF$290,2, 0),"")</f>
        <v>البير</v>
      </c>
      <c r="H1514" s="212" t="s">
        <v>296</v>
      </c>
      <c r="I1514" s="246" t="n">
        <f aca="false">SUM(K1514:R1514)</f>
        <v>15</v>
      </c>
      <c r="J1514" s="182" t="n">
        <v>45802</v>
      </c>
      <c r="Q1514" s="154" t="n">
        <f aca="false">5+5+5</f>
        <v>15</v>
      </c>
      <c r="S1514" s="192" t="n">
        <f aca="false">(K1514+O1514+Q1514)*24 /1130+(L1514+M1514+P1514+R1514)*12/1130+(N1514*30)/1130</f>
        <v>0.31858407079646</v>
      </c>
    </row>
    <row r="1515" customFormat="false" ht="15" hidden="true" customHeight="true" outlineLevel="0" collapsed="false">
      <c r="A1515" s="209"/>
      <c r="B1515" s="127" t="n">
        <f aca="false">B1514+D1515-C1515</f>
        <v>4115</v>
      </c>
      <c r="C1515" s="127" t="n">
        <f aca="false">650+263.5+475</f>
        <v>1388.5</v>
      </c>
      <c r="E1515" s="212" t="s">
        <v>470</v>
      </c>
      <c r="F1515" s="147" t="str">
        <f aca="false">IFERROR(VLOOKUP(H1515,$AD$1:$AE$301,2,0),"")</f>
        <v/>
      </c>
      <c r="G1515" s="147" t="str">
        <f aca="false">IFERROR(VLOOKUP(F1515,$AE$2:$AF$290,2, 0),"")</f>
        <v/>
      </c>
      <c r="H1515" s="212" t="s">
        <v>393</v>
      </c>
      <c r="I1515" s="246" t="n">
        <f aca="false">SUM(K1515:R1515)</f>
        <v>0</v>
      </c>
      <c r="J1515" s="182" t="n">
        <v>45802</v>
      </c>
      <c r="S1515" s="192" t="n">
        <f aca="false">(K1515+O1515+Q1515)*24 /1130+(L1515+M1515+P1515+R1515)*12/1130+(N1515*30)/1130</f>
        <v>0</v>
      </c>
    </row>
    <row r="1516" customFormat="false" ht="15" hidden="true" customHeight="true" outlineLevel="0" collapsed="false">
      <c r="A1516" s="209"/>
      <c r="B1516" s="127" t="n">
        <f aca="false">B1515+D1516-C1516</f>
        <v>0</v>
      </c>
      <c r="C1516" s="127" t="n">
        <v>4115</v>
      </c>
      <c r="E1516" s="212" t="s">
        <v>653</v>
      </c>
      <c r="F1516" s="147" t="str">
        <f aca="false">IFERROR(VLOOKUP(H1516,$AD$1:$AE$301,2,0),"")</f>
        <v/>
      </c>
      <c r="G1516" s="147" t="str">
        <f aca="false">IFERROR(VLOOKUP(F1516,$AE$2:$AF$290,2, 0),"")</f>
        <v/>
      </c>
      <c r="H1516" s="212" t="s">
        <v>393</v>
      </c>
      <c r="I1516" s="246" t="n">
        <f aca="false">SUM(K1516:R1516)</f>
        <v>0</v>
      </c>
      <c r="J1516" s="182" t="n">
        <v>45802</v>
      </c>
      <c r="S1516" s="192" t="n">
        <f aca="false">(K1516+O1516+Q1516)*24 /1130+(L1516+M1516+P1516+R1516)*12/1130+(N1516*30)/1130</f>
        <v>0</v>
      </c>
    </row>
    <row r="1517" customFormat="false" ht="15" hidden="true" customHeight="true" outlineLevel="0" collapsed="false">
      <c r="A1517" s="209" t="n">
        <f aca="false">D1517-1092-500-50</f>
        <v>-3.25</v>
      </c>
      <c r="B1517" s="127" t="n">
        <f aca="false">B1516+D1517-C1517</f>
        <v>1638.75</v>
      </c>
      <c r="D1517" s="146" t="n">
        <f aca="false">327.75*5</f>
        <v>1638.75</v>
      </c>
      <c r="E1517" s="147" t="n">
        <v>1205</v>
      </c>
      <c r="F1517" s="147" t="n">
        <f aca="false">IFERROR(VLOOKUP(H1517,$AD$1:$AE$301,2,0),"")</f>
        <v>1008264</v>
      </c>
      <c r="G1517" s="147" t="str">
        <f aca="false">IFERROR(VLOOKUP(F1517,$AE$2:$AF$290,2, 0),"")</f>
        <v>تبوك</v>
      </c>
      <c r="H1517" s="212" t="s">
        <v>160</v>
      </c>
      <c r="I1517" s="246" t="n">
        <f aca="false">SUM(K1517:R1517)</f>
        <v>6</v>
      </c>
      <c r="J1517" s="182" t="n">
        <v>45804</v>
      </c>
      <c r="K1517" s="148" t="n">
        <v>6</v>
      </c>
      <c r="S1517" s="192" t="n">
        <f aca="false">(K1517+O1517+Q1517)*24 /1130+(L1517+M1517+P1517+R1517)*12/1130+(N1517*30)/1130</f>
        <v>0.127433628318584</v>
      </c>
    </row>
    <row r="1518" customFormat="false" ht="15" hidden="true" customHeight="true" outlineLevel="0" collapsed="false">
      <c r="A1518" s="209" t="n">
        <f aca="false">D1518-1633</f>
        <v>0</v>
      </c>
      <c r="B1518" s="127" t="n">
        <f aca="false">B1517+D1518-C1518</f>
        <v>3271.75</v>
      </c>
      <c r="D1518" s="146" t="n">
        <f aca="false">230*3+345*2+253</f>
        <v>1633</v>
      </c>
      <c r="E1518" s="147" t="n">
        <v>1199</v>
      </c>
      <c r="F1518" s="147" t="n">
        <f aca="false">IFERROR(VLOOKUP(H1518,$AD$1:$AE$301,2,0),"")</f>
        <v>1008024</v>
      </c>
      <c r="G1518" s="147" t="str">
        <f aca="false">IFERROR(VLOOKUP(F1518,$AE$2:$AF$290,2, 0),"")</f>
        <v>ضباء</v>
      </c>
      <c r="H1518" s="212" t="s">
        <v>96</v>
      </c>
      <c r="I1518" s="246" t="n">
        <f aca="false">SUM(K1518:R1518)</f>
        <v>6</v>
      </c>
      <c r="J1518" s="182" t="n">
        <v>45804</v>
      </c>
      <c r="M1518" s="150" t="n">
        <f aca="false">3+2+1</f>
        <v>6</v>
      </c>
      <c r="S1518" s="192" t="n">
        <f aca="false">(K1518+O1518+Q1518)*24 /1130+(L1518+M1518+P1518+R1518)*12/1130+(N1518*30)/1130</f>
        <v>0.063716814159292</v>
      </c>
    </row>
    <row r="1519" customFormat="false" ht="15" hidden="true" customHeight="true" outlineLevel="0" collapsed="false">
      <c r="A1519" s="209" t="n">
        <f aca="false">D1519-790.5-800+9</f>
        <v>-0.25</v>
      </c>
      <c r="B1519" s="127" t="n">
        <f aca="false">B1518+D1519-C1519</f>
        <v>4853</v>
      </c>
      <c r="D1519" s="146" t="n">
        <f aca="false">316.25*5</f>
        <v>1581.25</v>
      </c>
      <c r="E1519" s="147" t="n">
        <v>1201</v>
      </c>
      <c r="F1519" s="147" t="n">
        <f aca="false">IFERROR(VLOOKUP(H1519,$AD$1:$AE$301,2,0),"")</f>
        <v>575</v>
      </c>
      <c r="G1519" s="147" t="str">
        <f aca="false">IFERROR(VLOOKUP(F1519,$AE$2:$AF$290,2, 0),"")</f>
        <v>تبوك</v>
      </c>
      <c r="H1519" s="212" t="s">
        <v>132</v>
      </c>
      <c r="I1519" s="246" t="n">
        <f aca="false">SUM(K1519:R1519)</f>
        <v>6</v>
      </c>
      <c r="J1519" s="182" t="n">
        <v>45804</v>
      </c>
      <c r="N1519" s="151" t="n">
        <v>6</v>
      </c>
      <c r="S1519" s="192" t="n">
        <f aca="false">(K1519+O1519+Q1519)*24 /1130+(L1519+M1519+P1519+R1519)*12/1130+(N1519*30)/1130</f>
        <v>0.15929203539823</v>
      </c>
    </row>
    <row r="1520" customFormat="false" ht="15" hidden="true" customHeight="true" outlineLevel="0" collapsed="false">
      <c r="A1520" s="209" t="n">
        <f aca="false">D1520-30-100-100</f>
        <v>0</v>
      </c>
      <c r="B1520" s="127" t="n">
        <f aca="false">B1519+D1520-C1520</f>
        <v>5083</v>
      </c>
      <c r="D1520" s="146" t="n">
        <v>230</v>
      </c>
      <c r="E1520" s="147" t="n">
        <v>1200</v>
      </c>
      <c r="F1520" s="147" t="n">
        <f aca="false">IFERROR(VLOOKUP(H1520,$AD$1:$AE$301,2,0),"")</f>
        <v>1008025</v>
      </c>
      <c r="G1520" s="147" t="str">
        <f aca="false">IFERROR(VLOOKUP(F1520,$AE$2:$AF$290,2, 0),"")</f>
        <v>ضباء</v>
      </c>
      <c r="H1520" s="212" t="s">
        <v>97</v>
      </c>
      <c r="I1520" s="246" t="n">
        <f aca="false">SUM(K1520:R1520)</f>
        <v>1</v>
      </c>
      <c r="J1520" s="182" t="n">
        <v>45804</v>
      </c>
      <c r="M1520" s="150" t="n">
        <v>1</v>
      </c>
      <c r="S1520" s="192" t="n">
        <f aca="false">(K1520+O1520+Q1520)*24 /1130+(L1520+M1520+P1520+R1520)*12/1130+(N1520*30)/1130</f>
        <v>0.0106194690265487</v>
      </c>
    </row>
    <row r="1521" customFormat="false" ht="15" hidden="true" customHeight="true" outlineLevel="0" collapsed="false">
      <c r="A1521" s="209"/>
      <c r="B1521" s="127" t="n">
        <f aca="false">B1520+D1521-C1521</f>
        <v>5221</v>
      </c>
      <c r="D1521" s="146" t="n">
        <v>138</v>
      </c>
      <c r="E1521" s="147" t="n">
        <v>1204</v>
      </c>
      <c r="F1521" s="147" t="n">
        <f aca="false">IFERROR(VLOOKUP(H1521,$AD$1:$AE$301,2,0),"")</f>
        <v>1002949</v>
      </c>
      <c r="G1521" s="147" t="str">
        <f aca="false">IFERROR(VLOOKUP(F1521,$AE$2:$AF$290,2, 0),"")</f>
        <v>تبوك</v>
      </c>
      <c r="H1521" s="212" t="s">
        <v>169</v>
      </c>
      <c r="I1521" s="246" t="n">
        <f aca="false">SUM(K1521:R1521)</f>
        <v>1</v>
      </c>
      <c r="J1521" s="182" t="n">
        <v>45804</v>
      </c>
      <c r="Q1521" s="154" t="n">
        <v>1</v>
      </c>
      <c r="S1521" s="192" t="n">
        <f aca="false">(K1521+O1521+Q1521)*24 /1130+(L1521+M1521+P1521+R1521)*12/1130+(N1521*30)/1130</f>
        <v>0.0212389380530973</v>
      </c>
    </row>
    <row r="1522" customFormat="false" ht="15" hidden="true" customHeight="true" outlineLevel="0" collapsed="false">
      <c r="A1522" s="209"/>
      <c r="B1522" s="127" t="n">
        <f aca="false">B1521+D1522-C1522</f>
        <v>5462.5</v>
      </c>
      <c r="D1522" s="146" t="n">
        <v>241.5</v>
      </c>
      <c r="E1522" s="147" t="n">
        <v>1203</v>
      </c>
      <c r="F1522" s="147" t="n">
        <f aca="false">IFERROR(VLOOKUP(H1522,$AD$1:$AE$301,2,0),"")</f>
        <v>1007989</v>
      </c>
      <c r="G1522" s="147" t="str">
        <f aca="false">IFERROR(VLOOKUP(F1522,$AE$2:$AF$290,2, 0),"")</f>
        <v>ضباء</v>
      </c>
      <c r="H1522" s="212" t="s">
        <v>90</v>
      </c>
      <c r="I1522" s="246" t="n">
        <f aca="false">SUM(K1522:R1522)</f>
        <v>1</v>
      </c>
      <c r="J1522" s="182" t="n">
        <v>45804</v>
      </c>
      <c r="O1522" s="152" t="n">
        <v>1</v>
      </c>
      <c r="S1522" s="192" t="n">
        <f aca="false">(K1522+O1522+Q1522)*24 /1130+(L1522+M1522+P1522+R1522)*12/1130+(N1522*30)/1130</f>
        <v>0.0212389380530973</v>
      </c>
    </row>
    <row r="1523" customFormat="false" ht="15" hidden="true" customHeight="true" outlineLevel="0" collapsed="false">
      <c r="A1523" s="209"/>
      <c r="B1523" s="127" t="n">
        <f aca="false">B1522+D1523-C1523</f>
        <v>5715.5</v>
      </c>
      <c r="D1523" s="146" t="n">
        <v>253</v>
      </c>
      <c r="E1523" s="147" t="n">
        <v>1202</v>
      </c>
      <c r="F1523" s="147" t="n">
        <f aca="false">IFERROR(VLOOKUP(H1523,$AD$1:$AE$301,2,0),"")</f>
        <v>1007989</v>
      </c>
      <c r="G1523" s="147" t="str">
        <f aca="false">IFERROR(VLOOKUP(F1523,$AE$2:$AF$290,2, 0),"")</f>
        <v>ضباء</v>
      </c>
      <c r="H1523" s="212" t="s">
        <v>90</v>
      </c>
      <c r="I1523" s="246" t="n">
        <f aca="false">SUM(K1523:R1523)</f>
        <v>1</v>
      </c>
      <c r="J1523" s="182" t="n">
        <v>45804</v>
      </c>
      <c r="M1523" s="150" t="n">
        <v>1</v>
      </c>
      <c r="S1523" s="192" t="n">
        <f aca="false">(K1523+O1523+Q1523)*24 /1130+(L1523+M1523+P1523+R1523)*12/1130+(N1523*30)/1130</f>
        <v>0.0106194690265487</v>
      </c>
    </row>
    <row r="1524" customFormat="false" ht="15" hidden="true" customHeight="true" outlineLevel="0" collapsed="false">
      <c r="A1524" s="209"/>
      <c r="B1524" s="127" t="n">
        <f aca="false">B1523+D1524-C1524</f>
        <v>0</v>
      </c>
      <c r="C1524" s="127" t="n">
        <f aca="false">2863+2050+664+138</f>
        <v>5715</v>
      </c>
      <c r="D1524" s="146" t="n">
        <v>-0.5</v>
      </c>
      <c r="E1524" s="212" t="s">
        <v>470</v>
      </c>
      <c r="F1524" s="147" t="str">
        <f aca="false">IFERROR(VLOOKUP(H1524,$AD$1:$AE$301,2,0),"")</f>
        <v/>
      </c>
      <c r="G1524" s="147" t="str">
        <f aca="false">IFERROR(VLOOKUP(F1524,$AE$2:$AF$290,2, 0),"")</f>
        <v/>
      </c>
      <c r="H1524" s="212" t="s">
        <v>393</v>
      </c>
      <c r="I1524" s="246" t="n">
        <f aca="false">SUM(K1524:R1524)</f>
        <v>0</v>
      </c>
      <c r="J1524" s="182" t="n">
        <v>45804</v>
      </c>
      <c r="S1524" s="192" t="n">
        <f aca="false">(K1524+O1524+Q1524)*24 /1130+(L1524+M1524+P1524+R1524)*12/1130+(N1524*30)/1130</f>
        <v>0</v>
      </c>
    </row>
    <row r="1525" customFormat="false" ht="15" hidden="true" customHeight="true" outlineLevel="0" collapsed="false">
      <c r="A1525" s="209"/>
      <c r="B1525" s="127" t="n">
        <f aca="false">B1524+D1525-C1525</f>
        <v>1638.75</v>
      </c>
      <c r="D1525" s="146" t="n">
        <f aca="false">327.75*5</f>
        <v>1638.75</v>
      </c>
      <c r="E1525" s="147" t="n">
        <v>1206</v>
      </c>
      <c r="F1525" s="147" t="n">
        <f aca="false">IFERROR(VLOOKUP(H1525,$AD$1:$AE$301,2,0),"")</f>
        <v>1008006</v>
      </c>
      <c r="G1525" s="147" t="str">
        <f aca="false">IFERROR(VLOOKUP(F1525,$AE$2:$AF$290,2, 0),"")</f>
        <v>حقل</v>
      </c>
      <c r="H1525" s="212" t="s">
        <v>302</v>
      </c>
      <c r="I1525" s="246" t="n">
        <f aca="false">SUM(K1525:R1525)</f>
        <v>6</v>
      </c>
      <c r="J1525" s="182" t="n">
        <v>45805</v>
      </c>
      <c r="K1525" s="148" t="n">
        <v>6</v>
      </c>
      <c r="S1525" s="192" t="n">
        <f aca="false">(K1525+O1525+Q1525)*24 /1130+(L1525+M1525+P1525+R1525)*12/1130+(N1525*30)/1130</f>
        <v>0.127433628318584</v>
      </c>
    </row>
    <row r="1526" customFormat="false" ht="15" hidden="true" customHeight="true" outlineLevel="0" collapsed="false">
      <c r="A1526" s="209"/>
      <c r="B1526" s="127" t="n">
        <f aca="false">B1525+D1526-C1526</f>
        <v>3415.5</v>
      </c>
      <c r="D1526" s="146" t="n">
        <f aca="false">327.75*5+138</f>
        <v>1776.75</v>
      </c>
      <c r="E1526" s="147" t="n">
        <v>1207</v>
      </c>
      <c r="F1526" s="147" t="n">
        <f aca="false">IFERROR(VLOOKUP(H1526,$AD$1:$AE$301,2,0),"")</f>
        <v>1008004</v>
      </c>
      <c r="G1526" s="147" t="str">
        <f aca="false">IFERROR(VLOOKUP(F1526,$AE$2:$AF$290,2, 0),"")</f>
        <v>حقل</v>
      </c>
      <c r="H1526" s="212" t="s">
        <v>316</v>
      </c>
      <c r="I1526" s="246" t="n">
        <f aca="false">SUM(K1526:R1526)</f>
        <v>7</v>
      </c>
      <c r="J1526" s="182" t="n">
        <v>45805</v>
      </c>
      <c r="K1526" s="148" t="n">
        <f aca="false">3+2+1</f>
        <v>6</v>
      </c>
      <c r="Q1526" s="154" t="n">
        <v>1</v>
      </c>
      <c r="S1526" s="192" t="n">
        <f aca="false">(K1526+O1526+Q1526)*24 /1130+(L1526+M1526+P1526+R1526)*12/1130+(N1526*30)/1130</f>
        <v>0.148672566371681</v>
      </c>
    </row>
    <row r="1527" customFormat="false" ht="15" hidden="true" customHeight="true" outlineLevel="0" collapsed="false">
      <c r="A1527" s="209"/>
      <c r="B1527" s="127" t="n">
        <f aca="false">B1526+D1527-C1527</f>
        <v>5054.25</v>
      </c>
      <c r="D1527" s="146" t="n">
        <f aca="false">327.75*5</f>
        <v>1638.75</v>
      </c>
      <c r="E1527" s="147" t="n">
        <v>1209</v>
      </c>
      <c r="F1527" s="147" t="n">
        <f aca="false">IFERROR(VLOOKUP(H1527,$AD$1:$AE$301,2,0),"")</f>
        <v>1008003</v>
      </c>
      <c r="G1527" s="147" t="str">
        <f aca="false">IFERROR(VLOOKUP(F1527,$AE$2:$AF$290,2, 0),"")</f>
        <v>حقل</v>
      </c>
      <c r="H1527" s="212" t="s">
        <v>315</v>
      </c>
      <c r="I1527" s="246" t="n">
        <f aca="false">SUM(K1527:R1527)</f>
        <v>6</v>
      </c>
      <c r="J1527" s="182" t="n">
        <v>45805</v>
      </c>
      <c r="K1527" s="148" t="n">
        <v>6</v>
      </c>
      <c r="S1527" s="192" t="n">
        <f aca="false">(K1527+O1527+Q1527)*24 /1130+(L1527+M1527+P1527+R1527)*12/1130+(N1527*30)/1130</f>
        <v>0.127433628318584</v>
      </c>
    </row>
    <row r="1528" customFormat="false" ht="15" hidden="true" customHeight="true" outlineLevel="0" collapsed="false">
      <c r="A1528" s="209"/>
      <c r="B1528" s="127" t="n">
        <f aca="false">B1527+D1528-C1528</f>
        <v>5192.25</v>
      </c>
      <c r="D1528" s="146" t="n">
        <v>138</v>
      </c>
      <c r="E1528" s="147" t="n">
        <v>1208</v>
      </c>
      <c r="F1528" s="147" t="n">
        <f aca="false">IFERROR(VLOOKUP(H1528,$AD$1:$AE$301,2,0),"")</f>
        <v>1007969</v>
      </c>
      <c r="G1528" s="147" t="str">
        <f aca="false">IFERROR(VLOOKUP(F1528,$AE$2:$AF$290,2, 0),"")</f>
        <v>حقل</v>
      </c>
      <c r="H1528" s="212" t="s">
        <v>309</v>
      </c>
      <c r="I1528" s="246" t="n">
        <f aca="false">SUM(K1528:R1528)</f>
        <v>1</v>
      </c>
      <c r="J1528" s="182" t="n">
        <v>45805</v>
      </c>
      <c r="Q1528" s="154" t="n">
        <v>1</v>
      </c>
      <c r="S1528" s="192" t="n">
        <f aca="false">(K1528+O1528+Q1528)*24 /1130+(L1528+M1528+P1528+R1528)*12/1130+(N1528*30)/1130</f>
        <v>0.0212389380530973</v>
      </c>
    </row>
    <row r="1529" customFormat="false" ht="15" hidden="true" customHeight="true" outlineLevel="0" collapsed="false">
      <c r="A1529" s="209" t="n">
        <f aca="false">D1529-494.5</f>
        <v>0</v>
      </c>
      <c r="B1529" s="127" t="n">
        <f aca="false">B1528+D1529-C1529</f>
        <v>5686.75</v>
      </c>
      <c r="D1529" s="146" t="n">
        <f aca="false">241.5+253</f>
        <v>494.5</v>
      </c>
      <c r="E1529" s="147" t="n">
        <v>1210</v>
      </c>
      <c r="F1529" s="147" t="n">
        <f aca="false">IFERROR(VLOOKUP(H1529,$AD$1:$AE$301,2,0),"")</f>
        <v>1008030</v>
      </c>
      <c r="G1529" s="147" t="str">
        <f aca="false">IFERROR(VLOOKUP(F1529,$AE$2:$AF$290,2, 0),"")</f>
        <v>البير</v>
      </c>
      <c r="H1529" s="212" t="s">
        <v>298</v>
      </c>
      <c r="I1529" s="246" t="n">
        <f aca="false">SUM(K1529:R1529)</f>
        <v>2</v>
      </c>
      <c r="J1529" s="182" t="n">
        <v>45805</v>
      </c>
      <c r="M1529" s="150" t="n">
        <v>1</v>
      </c>
      <c r="Q1529" s="154" t="n">
        <v>1</v>
      </c>
      <c r="S1529" s="192" t="n">
        <f aca="false">(K1529+O1529+Q1529)*24 /1130+(L1529+M1529+P1529+R1529)*12/1130+(N1529*30)/1130</f>
        <v>0.031858407079646</v>
      </c>
    </row>
    <row r="1530" customFormat="false" ht="15" hidden="true" customHeight="true" outlineLevel="0" collapsed="false">
      <c r="A1530" s="209" t="n">
        <f aca="false">253-100-50-103</f>
        <v>0</v>
      </c>
      <c r="B1530" s="127" t="n">
        <f aca="false">B1529+D1530-C1530</f>
        <v>5939.75</v>
      </c>
      <c r="D1530" s="146" t="n">
        <v>253</v>
      </c>
      <c r="E1530" s="147" t="n">
        <v>1212</v>
      </c>
      <c r="F1530" s="147" t="n">
        <f aca="false">IFERROR(VLOOKUP(H1530,$AD$1:$AE$301,2,0),"")</f>
        <v>1008266</v>
      </c>
      <c r="G1530" s="147" t="str">
        <f aca="false">IFERROR(VLOOKUP(F1530,$AE$2:$AF$290,2, 0),"")</f>
        <v>تبوك</v>
      </c>
      <c r="H1530" s="212" t="s">
        <v>178</v>
      </c>
      <c r="I1530" s="246" t="n">
        <f aca="false">SUM(K1530:R1530)</f>
        <v>1</v>
      </c>
      <c r="J1530" s="182" t="n">
        <v>45805</v>
      </c>
      <c r="M1530" s="150" t="n">
        <v>1</v>
      </c>
      <c r="S1530" s="192" t="n">
        <f aca="false">(K1530+O1530+Q1530)*24 /1130+(L1530+M1530+P1530+R1530)*12/1130+(N1530*30)/1130</f>
        <v>0.0106194690265487</v>
      </c>
    </row>
    <row r="1531" customFormat="false" ht="15" hidden="true" customHeight="true" outlineLevel="0" collapsed="false">
      <c r="A1531" s="209" t="n">
        <f aca="false">D1531-1000-949.75+310.5</f>
        <v>-0.5</v>
      </c>
      <c r="B1531" s="127" t="n">
        <f aca="false">B1530+D1531-C1531</f>
        <v>7578.5</v>
      </c>
      <c r="D1531" s="146" t="n">
        <f aca="false">327.75*5</f>
        <v>1638.75</v>
      </c>
      <c r="E1531" s="147" t="n">
        <v>1211</v>
      </c>
      <c r="F1531" s="147" t="n">
        <f aca="false">IFERROR(VLOOKUP(H1531,$AD$1:$AE$301,2,0),"")</f>
        <v>653</v>
      </c>
      <c r="G1531" s="147" t="str">
        <f aca="false">IFERROR(VLOOKUP(F1531,$AE$2:$AF$290,2, 0),"")</f>
        <v>تبوك</v>
      </c>
      <c r="H1531" s="212" t="s">
        <v>264</v>
      </c>
      <c r="I1531" s="246" t="n">
        <f aca="false">SUM(K1531:R1531)</f>
        <v>6</v>
      </c>
      <c r="J1531" s="182" t="n">
        <v>45806</v>
      </c>
      <c r="K1531" s="148" t="n">
        <v>6</v>
      </c>
      <c r="S1531" s="192" t="n">
        <f aca="false">(K1531+O1531+Q1531)*24 /1130+(L1531+M1531+P1531+R1531)*12/1130+(N1531*30)/1130</f>
        <v>0.127433628318584</v>
      </c>
    </row>
    <row r="1532" customFormat="false" ht="15" hidden="true" customHeight="true" outlineLevel="0" collapsed="false">
      <c r="A1532" s="417"/>
      <c r="B1532" s="127" t="n">
        <f aca="false">B1531+D1532-C1532</f>
        <v>1861.5</v>
      </c>
      <c r="C1532" s="127" t="n">
        <f aca="false">820+273+958+395+200+900+900+656+35+250+30+300</f>
        <v>5717</v>
      </c>
      <c r="E1532" s="212" t="s">
        <v>470</v>
      </c>
      <c r="F1532" s="147" t="str">
        <f aca="false">IFERROR(VLOOKUP(H1532,$AD$1:$AE$301,2,0),"")</f>
        <v/>
      </c>
      <c r="G1532" s="147" t="str">
        <f aca="false">IFERROR(VLOOKUP(F1532,$AE$2:$AF$290,2, 0),"")</f>
        <v/>
      </c>
      <c r="H1532" s="212" t="s">
        <v>393</v>
      </c>
      <c r="I1532" s="246" t="n">
        <f aca="false">SUM(K1532:R1532)</f>
        <v>0</v>
      </c>
      <c r="J1532" s="182" t="n">
        <v>45806</v>
      </c>
      <c r="S1532" s="192" t="n">
        <f aca="false">(K1532+O1532+Q1532)*24 /1130+(L1532+M1532+P1532+R1532)*12/1130+(N1532*30)/1130</f>
        <v>0</v>
      </c>
    </row>
    <row r="1533" customFormat="false" ht="15" hidden="true" customHeight="true" outlineLevel="0" collapsed="false">
      <c r="A1533" s="417"/>
      <c r="B1533" s="127" t="n">
        <f aca="false">B1532+D1533-C1533</f>
        <v>0</v>
      </c>
      <c r="C1533" s="127" t="n">
        <v>1861</v>
      </c>
      <c r="D1533" s="146" t="n">
        <v>-0.5</v>
      </c>
      <c r="E1533" s="212" t="s">
        <v>653</v>
      </c>
      <c r="F1533" s="147" t="str">
        <f aca="false">IFERROR(VLOOKUP(H1533,$AD$1:$AE$301,2,0),"")</f>
        <v/>
      </c>
      <c r="G1533" s="147" t="str">
        <f aca="false">IFERROR(VLOOKUP(F1533,$AE$2:$AF$290,2, 0),"")</f>
        <v/>
      </c>
      <c r="H1533" s="212" t="s">
        <v>393</v>
      </c>
      <c r="I1533" s="246" t="n">
        <f aca="false">SUM(K1533:R1533)</f>
        <v>0</v>
      </c>
      <c r="J1533" s="182" t="n">
        <v>45806</v>
      </c>
      <c r="S1533" s="192" t="n">
        <f aca="false">(K1533+O1533+Q1533)*24 /1130+(L1533+M1533+P1533+R1533)*12/1130+(N1533*30)/1130</f>
        <v>0</v>
      </c>
    </row>
    <row r="1534" customFormat="false" ht="15" hidden="true" customHeight="true" outlineLevel="0" collapsed="false">
      <c r="A1534" s="209" t="n">
        <f aca="false">D1534-819.5-5-500-568</f>
        <v>-0.75</v>
      </c>
      <c r="B1534" s="127" t="n">
        <f aca="false">B1533+D1534-C1534</f>
        <v>1891.75</v>
      </c>
      <c r="D1534" s="146" t="n">
        <f aca="false">327.75*5+253</f>
        <v>1891.75</v>
      </c>
      <c r="E1534" s="147" t="n">
        <v>1213</v>
      </c>
      <c r="F1534" s="147" t="n">
        <f aca="false">IFERROR(VLOOKUP(H1534,$AD$1:$AE$301,2,0),"")</f>
        <v>943</v>
      </c>
      <c r="G1534" s="147" t="str">
        <f aca="false">IFERROR(VLOOKUP(F1534,$AE$2:$AF$290,2, 0),"")</f>
        <v>تبوك</v>
      </c>
      <c r="H1534" s="212" t="s">
        <v>259</v>
      </c>
      <c r="I1534" s="246" t="n">
        <f aca="false">SUM(K1534:R1534)</f>
        <v>7</v>
      </c>
      <c r="J1534" s="182" t="n">
        <v>45810</v>
      </c>
      <c r="K1534" s="148" t="n">
        <f aca="false">1+2+3</f>
        <v>6</v>
      </c>
      <c r="M1534" s="150" t="n">
        <v>1</v>
      </c>
      <c r="S1534" s="192" t="n">
        <f aca="false">(K1534+O1534+Q1534)*24 /1130+(L1534+M1534+P1534+R1534)*12/1130+(N1534*30)/1130</f>
        <v>0.138053097345133</v>
      </c>
    </row>
    <row r="1535" customFormat="false" ht="15" hidden="true" customHeight="true" outlineLevel="0" collapsed="false">
      <c r="A1535" s="419" t="n">
        <f aca="false">D1535+273-10-30-92-170-5-249-9</f>
        <v>1.25</v>
      </c>
      <c r="B1535" s="127" t="n">
        <f aca="false">B1534+D1535-C1535</f>
        <v>2185</v>
      </c>
      <c r="D1535" s="146" t="n">
        <f aca="false">155.25+138</f>
        <v>293.25</v>
      </c>
      <c r="E1535" s="147" t="n">
        <v>1214</v>
      </c>
      <c r="F1535" s="147" t="n">
        <f aca="false">IFERROR(VLOOKUP(H1535,$AD$1:$AE$301,2,0),"")</f>
        <v>1002861</v>
      </c>
      <c r="G1535" s="147" t="str">
        <f aca="false">IFERROR(VLOOKUP(F1535,$AE$2:$AF$290,2, 0),"")</f>
        <v>تبوك</v>
      </c>
      <c r="H1535" s="212" t="s">
        <v>275</v>
      </c>
      <c r="I1535" s="246" t="n">
        <f aca="false">SUM(K1535:R1535)</f>
        <v>2</v>
      </c>
      <c r="J1535" s="182" t="n">
        <v>45810</v>
      </c>
      <c r="Q1535" s="154" t="n">
        <v>1</v>
      </c>
      <c r="R1535" s="155" t="n">
        <v>1</v>
      </c>
      <c r="S1535" s="192" t="n">
        <f aca="false">(K1535+O1535+Q1535)*24 /1130+(L1535+M1535+P1535+R1535)*12/1130+(N1535*30)/1130</f>
        <v>0.031858407079646</v>
      </c>
    </row>
    <row r="1536" customFormat="false" ht="15" hidden="true" customHeight="true" outlineLevel="0" collapsed="false">
      <c r="A1536" s="209"/>
      <c r="B1536" s="127" t="n">
        <f aca="false">B1535+D1536-C1536</f>
        <v>2875</v>
      </c>
      <c r="D1536" s="146" t="n">
        <f aca="false">345*2</f>
        <v>690</v>
      </c>
      <c r="E1536" s="147" t="n">
        <v>1215</v>
      </c>
      <c r="F1536" s="147" t="n">
        <f aca="false">IFERROR(VLOOKUP(H1536,$AD$1:$AE$301,2,0),"")</f>
        <v>1008270</v>
      </c>
      <c r="G1536" s="147" t="str">
        <f aca="false">IFERROR(VLOOKUP(F1536,$AE$2:$AF$290,2, 0),"")</f>
        <v>تبوك</v>
      </c>
      <c r="H1536" s="212" t="s">
        <v>236</v>
      </c>
      <c r="I1536" s="246" t="n">
        <f aca="false">SUM(K1536:R1536)</f>
        <v>2</v>
      </c>
      <c r="J1536" s="182" t="n">
        <v>45810</v>
      </c>
      <c r="M1536" s="150" t="n">
        <v>2</v>
      </c>
      <c r="S1536" s="192" t="n">
        <f aca="false">(K1536+O1536+Q1536)*24 /1130+(L1536+M1536+P1536+R1536)*12/1130+(N1536*30)/1130</f>
        <v>0.0212389380530973</v>
      </c>
    </row>
    <row r="1537" customFormat="false" ht="15" hidden="true" customHeight="true" outlineLevel="0" collapsed="false">
      <c r="A1537" s="128" t="n">
        <f aca="false">D1537-300+273*2-62-275-300</f>
        <v>0</v>
      </c>
      <c r="B1537" s="127" t="n">
        <f aca="false">B1536+D1537-C1537</f>
        <v>3266</v>
      </c>
      <c r="D1537" s="146" t="n">
        <f aca="false">391</f>
        <v>391</v>
      </c>
      <c r="E1537" s="147" t="n">
        <v>1216</v>
      </c>
      <c r="F1537" s="147" t="n">
        <f aca="false">IFERROR(VLOOKUP(H1537,$AD$1:$AE$301,2,0),"")</f>
        <v>539</v>
      </c>
      <c r="G1537" s="147" t="str">
        <f aca="false">IFERROR(VLOOKUP(F1537,$AE$2:$AF$290,2, 0),"")</f>
        <v>تبوك</v>
      </c>
      <c r="H1537" s="212" t="s">
        <v>237</v>
      </c>
      <c r="I1537" s="246" t="n">
        <f aca="false">SUM(K1537:R1537)</f>
        <v>2</v>
      </c>
      <c r="J1537" s="182" t="n">
        <v>45810</v>
      </c>
      <c r="Q1537" s="154" t="n">
        <f aca="false">1+1</f>
        <v>2</v>
      </c>
      <c r="S1537" s="192" t="n">
        <f aca="false">(K1537+O1537+Q1537)*24 /1130+(L1537+M1537+P1537+R1537)*12/1130+(N1537*30)/1130</f>
        <v>0.0424778761061947</v>
      </c>
    </row>
    <row r="1538" customFormat="false" ht="15" hidden="true" customHeight="true" outlineLevel="0" collapsed="false">
      <c r="A1538" s="209"/>
      <c r="B1538" s="127" t="n">
        <f aca="false">B1537+D1538-C1538</f>
        <v>2441</v>
      </c>
      <c r="C1538" s="127" t="n">
        <f aca="false">180+220+125+76+125+14+40+45</f>
        <v>825</v>
      </c>
      <c r="E1538" s="212" t="s">
        <v>470</v>
      </c>
      <c r="F1538" s="147" t="str">
        <f aca="false">IFERROR(VLOOKUP(H1538,$AD$1:$AE$301,2,0),"")</f>
        <v/>
      </c>
      <c r="G1538" s="147" t="str">
        <f aca="false">IFERROR(VLOOKUP(F1538,$AE$2:$AF$290,2, 0),"")</f>
        <v/>
      </c>
      <c r="H1538" s="212" t="s">
        <v>393</v>
      </c>
      <c r="I1538" s="246" t="n">
        <f aca="false">SUM(K1538:R1538)</f>
        <v>0</v>
      </c>
      <c r="J1538" s="182" t="n">
        <v>45810</v>
      </c>
      <c r="S1538" s="192" t="n">
        <f aca="false">(K1538+O1538+Q1538)*24 /1130+(L1538+M1538+P1538+R1538)*12/1130+(N1538*30)/1130</f>
        <v>0</v>
      </c>
    </row>
    <row r="1539" customFormat="false" ht="15" hidden="true" customHeight="true" outlineLevel="0" collapsed="false">
      <c r="B1539" s="127" t="n">
        <f aca="false">B1538+D1539-C1539</f>
        <v>2213</v>
      </c>
      <c r="C1539" s="127" t="n">
        <f aca="false">228</f>
        <v>228</v>
      </c>
      <c r="E1539" s="212" t="s">
        <v>470</v>
      </c>
      <c r="F1539" s="147" t="str">
        <f aca="false">IFERROR(VLOOKUP(H1539,$AD$1:$AE$301,2,0),"")</f>
        <v/>
      </c>
      <c r="G1539" s="147" t="str">
        <f aca="false">IFERROR(VLOOKUP(F1539,$AE$2:$AF$290,2, 0),"")</f>
        <v/>
      </c>
      <c r="H1539" s="212" t="s">
        <v>393</v>
      </c>
      <c r="I1539" s="246" t="n">
        <f aca="false">SUM(K1539:R1539)</f>
        <v>0</v>
      </c>
      <c r="J1539" s="182" t="n">
        <v>45810</v>
      </c>
      <c r="S1539" s="192" t="n">
        <f aca="false">(K1539+O1539+Q1539)*24 /1130+(L1539+M1539+P1539+R1539)*12/1130+(N1539*30)/1130</f>
        <v>0</v>
      </c>
    </row>
    <row r="1540" customFormat="false" ht="15" hidden="true" customHeight="true" outlineLevel="0" collapsed="false">
      <c r="B1540" s="127" t="n">
        <f aca="false">B1539+D1540-C1540</f>
        <v>0</v>
      </c>
      <c r="C1540" s="127" t="n">
        <v>2213</v>
      </c>
      <c r="E1540" s="212" t="s">
        <v>653</v>
      </c>
      <c r="F1540" s="147" t="str">
        <f aca="false">IFERROR(VLOOKUP(H1540,$AD$1:$AE$301,2,0),"")</f>
        <v/>
      </c>
      <c r="G1540" s="147" t="str">
        <f aca="false">IFERROR(VLOOKUP(F1540,$AE$2:$AF$290,2, 0),"")</f>
        <v/>
      </c>
      <c r="H1540" s="212" t="s">
        <v>393</v>
      </c>
      <c r="I1540" s="246" t="n">
        <f aca="false">SUM(K1540:R1540)</f>
        <v>0</v>
      </c>
      <c r="J1540" s="182" t="n">
        <v>45811</v>
      </c>
      <c r="S1540" s="192" t="n">
        <f aca="false">(K1540+O1540+Q1540)*24 /1130+(L1540+M1540+P1540+R1540)*12/1130+(N1540*30)/1130</f>
        <v>0</v>
      </c>
    </row>
    <row r="1541" customFormat="false" ht="15" hidden="true" customHeight="true" outlineLevel="0" collapsed="false">
      <c r="A1541" s="128" t="n">
        <f aca="false">D1541+D1542-391</f>
        <v>0</v>
      </c>
      <c r="B1541" s="127" t="n">
        <f aca="false">B1540+D1541-C1541</f>
        <v>235.75</v>
      </c>
      <c r="D1541" s="146" t="n">
        <v>235.75</v>
      </c>
      <c r="E1541" s="147" t="n">
        <v>1217</v>
      </c>
      <c r="F1541" s="147" t="n">
        <f aca="false">IFERROR(VLOOKUP(H1541,$AD$1:$AE$301,2,0),"")</f>
        <v>1008030</v>
      </c>
      <c r="G1541" s="147" t="str">
        <f aca="false">IFERROR(VLOOKUP(F1541,$AE$2:$AF$290,2, 0),"")</f>
        <v>البير</v>
      </c>
      <c r="H1541" s="212" t="s">
        <v>298</v>
      </c>
      <c r="I1541" s="246" t="n">
        <f aca="false">SUM(K1541:R1541)</f>
        <v>1</v>
      </c>
      <c r="J1541" s="182" t="n">
        <v>45811</v>
      </c>
      <c r="M1541" s="150" t="n">
        <v>1</v>
      </c>
      <c r="S1541" s="192" t="n">
        <f aca="false">(K1541+O1541+Q1541)*24 /1130+(L1541+M1541+P1541+R1541)*12/1130+(N1541*30)/1130</f>
        <v>0.0106194690265487</v>
      </c>
    </row>
    <row r="1542" customFormat="false" ht="15" hidden="true" customHeight="true" outlineLevel="0" collapsed="false">
      <c r="B1542" s="127" t="n">
        <f aca="false">B1541+D1542-C1542</f>
        <v>391</v>
      </c>
      <c r="D1542" s="146" t="n">
        <v>155.25</v>
      </c>
      <c r="E1542" s="147" t="n">
        <v>1218</v>
      </c>
      <c r="F1542" s="147" t="n">
        <f aca="false">IFERROR(VLOOKUP(H1542,$AD$1:$AE$301,2,0),"")</f>
        <v>1008030</v>
      </c>
      <c r="G1542" s="147" t="str">
        <f aca="false">IFERROR(VLOOKUP(F1542,$AE$2:$AF$290,2, 0),"")</f>
        <v>البير</v>
      </c>
      <c r="H1542" s="212" t="s">
        <v>298</v>
      </c>
      <c r="I1542" s="246" t="n">
        <f aca="false">SUM(K1542:R1542)</f>
        <v>1</v>
      </c>
      <c r="J1542" s="182" t="n">
        <v>45811</v>
      </c>
      <c r="R1542" s="155" t="n">
        <v>1</v>
      </c>
      <c r="S1542" s="192" t="n">
        <f aca="false">(K1542+O1542+Q1542)*24 /1130+(L1542+M1542+P1542+R1542)*12/1130+(N1542*30)/1130</f>
        <v>0.0106194690265487</v>
      </c>
    </row>
    <row r="1543" customFormat="false" ht="15" hidden="true" customHeight="true" outlineLevel="0" collapsed="false">
      <c r="A1543" s="209" t="n">
        <f aca="false">D1543+D1544+263.5+273*2-1729.5</f>
        <v>0</v>
      </c>
      <c r="B1543" s="127" t="n">
        <f aca="false">B1542+D1543-C1543</f>
        <v>1115.5</v>
      </c>
      <c r="D1543" s="146" t="n">
        <f aca="false">241.5*3</f>
        <v>724.5</v>
      </c>
      <c r="E1543" s="147" t="n">
        <v>1219</v>
      </c>
      <c r="F1543" s="147" t="n">
        <f aca="false">IFERROR(VLOOKUP(H1543,$AD$1:$AE$301,2,0),"")</f>
        <v>1007996</v>
      </c>
      <c r="G1543" s="147" t="str">
        <f aca="false">IFERROR(VLOOKUP(F1543,$AE$2:$AF$290,2, 0),"")</f>
        <v>البير</v>
      </c>
      <c r="H1543" s="212" t="s">
        <v>295</v>
      </c>
      <c r="I1543" s="246" t="n">
        <f aca="false">SUM(K1543:R1543)</f>
        <v>3</v>
      </c>
      <c r="J1543" s="182" t="n">
        <v>45811</v>
      </c>
      <c r="O1543" s="152" t="n">
        <f aca="false">2+1</f>
        <v>3</v>
      </c>
      <c r="S1543" s="192" t="n">
        <f aca="false">(K1543+O1543+Q1543)*24 /1130+(L1543+M1543+P1543+R1543)*12/1130+(N1543*30)/1130</f>
        <v>0.063716814159292</v>
      </c>
    </row>
    <row r="1544" customFormat="false" ht="15" hidden="true" customHeight="true" outlineLevel="0" collapsed="false">
      <c r="B1544" s="127" t="n">
        <f aca="false">B1543+D1544-C1544</f>
        <v>1311</v>
      </c>
      <c r="D1544" s="146" t="n">
        <v>195.5</v>
      </c>
      <c r="E1544" s="147" t="n">
        <v>1220</v>
      </c>
      <c r="F1544" s="147" t="n">
        <f aca="false">IFERROR(VLOOKUP(H1544,$AD$1:$AE$301,2,0),"")</f>
        <v>1007996</v>
      </c>
      <c r="G1544" s="147" t="str">
        <f aca="false">IFERROR(VLOOKUP(F1544,$AE$2:$AF$290,2, 0),"")</f>
        <v>البير</v>
      </c>
      <c r="H1544" s="212" t="s">
        <v>295</v>
      </c>
      <c r="I1544" s="246" t="n">
        <f aca="false">SUM(K1544:R1544)</f>
        <v>1</v>
      </c>
      <c r="J1544" s="182" t="n">
        <v>45811</v>
      </c>
      <c r="Q1544" s="154" t="n">
        <v>1</v>
      </c>
      <c r="S1544" s="192" t="n">
        <f aca="false">(K1544+O1544+Q1544)*24 /1130+(L1544+M1544+P1544+R1544)*12/1130+(N1544*30)/1130</f>
        <v>0.0212389380530973</v>
      </c>
    </row>
    <row r="1545" customFormat="false" ht="15" hidden="true" customHeight="true" outlineLevel="0" collapsed="false">
      <c r="A1545" s="128" t="n">
        <f aca="false">D1545-1092.75-350-197</f>
        <v>-1</v>
      </c>
      <c r="B1545" s="127" t="n">
        <f aca="false">B1544+D1545-C1545</f>
        <v>2949.75</v>
      </c>
      <c r="D1545" s="146" t="n">
        <f aca="false">327.75*5</f>
        <v>1638.75</v>
      </c>
      <c r="E1545" s="147" t="n">
        <v>1221</v>
      </c>
      <c r="F1545" s="147" t="n">
        <f aca="false">IFERROR(VLOOKUP(H1545,$AD$1:$AE$301,2,0),"")</f>
        <v>1007965</v>
      </c>
      <c r="G1545" s="147" t="str">
        <f aca="false">IFERROR(VLOOKUP(F1545,$AE$2:$AF$290,2, 0),"")</f>
        <v>البير</v>
      </c>
      <c r="H1545" s="212" t="s">
        <v>290</v>
      </c>
      <c r="I1545" s="246" t="n">
        <f aca="false">SUM(K1545:R1545)</f>
        <v>6</v>
      </c>
      <c r="J1545" s="182" t="n">
        <v>45811</v>
      </c>
      <c r="K1545" s="148" t="n">
        <v>6</v>
      </c>
      <c r="S1545" s="192" t="n">
        <f aca="false">(K1545+O1545+Q1545)*24 /1130+(L1545+M1545+P1545+R1545)*12/1130+(N1545*30)/1130</f>
        <v>0.127433628318584</v>
      </c>
    </row>
    <row r="1546" customFormat="false" ht="15" hidden="true" customHeight="true" outlineLevel="0" collapsed="false">
      <c r="A1546" s="128" t="n">
        <f aca="false">D1546+263.5+273-872-147.5</f>
        <v>0</v>
      </c>
      <c r="B1546" s="127" t="n">
        <f aca="false">B1545+D1546-C1546</f>
        <v>3432.75</v>
      </c>
      <c r="D1546" s="146" t="n">
        <f aca="false">241.5*2</f>
        <v>483</v>
      </c>
      <c r="E1546" s="147" t="n">
        <v>1222</v>
      </c>
      <c r="F1546" s="147" t="n">
        <f aca="false">IFERROR(VLOOKUP(H1546,$AD$1:$AE$301,2,0),"")</f>
        <v>1008019</v>
      </c>
      <c r="G1546" s="147" t="str">
        <f aca="false">IFERROR(VLOOKUP(F1546,$AE$2:$AF$290,2, 0),"")</f>
        <v>البدع</v>
      </c>
      <c r="H1546" s="212" t="s">
        <v>327</v>
      </c>
      <c r="I1546" s="246" t="n">
        <f aca="false">SUM(K1546:R1546)</f>
        <v>2</v>
      </c>
      <c r="J1546" s="182" t="n">
        <v>45811</v>
      </c>
      <c r="O1546" s="152" t="n">
        <v>2</v>
      </c>
      <c r="S1546" s="192" t="n">
        <f aca="false">(K1546+O1546+Q1546)*24 /1130+(L1546+M1546+P1546+R1546)*12/1130+(N1546*30)/1130</f>
        <v>0.0424778761061947</v>
      </c>
    </row>
    <row r="1547" customFormat="false" ht="15" hidden="true" customHeight="true" outlineLevel="0" collapsed="false">
      <c r="B1547" s="127" t="n">
        <f aca="false">B1546+D1547-C1547</f>
        <v>5071.5</v>
      </c>
      <c r="D1547" s="146" t="n">
        <f aca="false">327.75*5</f>
        <v>1638.75</v>
      </c>
      <c r="E1547" s="147" t="n">
        <v>1223</v>
      </c>
      <c r="F1547" s="147" t="n">
        <f aca="false">IFERROR(VLOOKUP(H1547,$AD$1:$AE$301,2,0),"")</f>
        <v>786</v>
      </c>
      <c r="G1547" s="147" t="str">
        <f aca="false">IFERROR(VLOOKUP(F1547,$AE$2:$AF$290,2, 0),"")</f>
        <v>البدع</v>
      </c>
      <c r="H1547" s="212" t="s">
        <v>319</v>
      </c>
      <c r="I1547" s="246" t="n">
        <f aca="false">SUM(K1547:R1547)</f>
        <v>6</v>
      </c>
      <c r="J1547" s="182" t="n">
        <v>45811</v>
      </c>
      <c r="K1547" s="148" t="n">
        <v>6</v>
      </c>
      <c r="S1547" s="192" t="n">
        <f aca="false">(K1547+O1547+Q1547)*24 /1130+(L1547+M1547+P1547+R1547)*12/1130+(N1547*30)/1130</f>
        <v>0.127433628318584</v>
      </c>
    </row>
    <row r="1548" customFormat="false" ht="15" hidden="true" customHeight="true" outlineLevel="0" collapsed="false">
      <c r="A1548" s="128" t="n">
        <f aca="false">D1548-50-295</f>
        <v>0</v>
      </c>
      <c r="B1548" s="127" t="n">
        <f aca="false">B1547+D1548-C1548</f>
        <v>5416.5</v>
      </c>
      <c r="D1548" s="146" t="n">
        <v>345</v>
      </c>
      <c r="E1548" s="147" t="n">
        <v>1224</v>
      </c>
      <c r="F1548" s="147" t="n">
        <f aca="false">IFERROR(VLOOKUP(H1548,$AD$1:$AE$301,2,0),"")</f>
        <v>1008022</v>
      </c>
      <c r="G1548" s="147" t="str">
        <f aca="false">IFERROR(VLOOKUP(F1548,$AE$2:$AF$290,2, 0),"")</f>
        <v>ضباء</v>
      </c>
      <c r="H1548" s="212" t="s">
        <v>94</v>
      </c>
      <c r="I1548" s="246" t="n">
        <f aca="false">SUM(K1548:R1548)</f>
        <v>1</v>
      </c>
      <c r="J1548" s="182" t="n">
        <v>45811</v>
      </c>
      <c r="M1548" s="150" t="n">
        <v>1</v>
      </c>
      <c r="S1548" s="192" t="n">
        <f aca="false">(K1548+O1548+Q1548)*24 /1130+(L1548+M1548+P1548+R1548)*12/1130+(N1548*30)/1130</f>
        <v>0.0106194690265487</v>
      </c>
    </row>
    <row r="1549" customFormat="false" ht="15" hidden="true" customHeight="true" outlineLevel="0" collapsed="false">
      <c r="A1549" s="128" t="n">
        <f aca="false">D1549+263.5-1459</f>
        <v>0.5</v>
      </c>
      <c r="B1549" s="127" t="n">
        <f aca="false">B1548+D1549-C1549</f>
        <v>6612.5</v>
      </c>
      <c r="D1549" s="146" t="n">
        <f aca="false">230*3+253*2</f>
        <v>1196</v>
      </c>
      <c r="E1549" s="147" t="n">
        <v>1225</v>
      </c>
      <c r="F1549" s="147" t="n">
        <f aca="false">IFERROR(VLOOKUP(H1549,$AD$1:$AE$301,2,0),"")</f>
        <v>1007988</v>
      </c>
      <c r="G1549" s="147" t="str">
        <f aca="false">IFERROR(VLOOKUP(F1549,$AE$2:$AF$290,2, 0),"")</f>
        <v>ضباء</v>
      </c>
      <c r="H1549" s="212" t="s">
        <v>89</v>
      </c>
      <c r="I1549" s="246" t="n">
        <f aca="false">SUM(K1549:R1549)</f>
        <v>5</v>
      </c>
      <c r="J1549" s="182" t="n">
        <v>45811</v>
      </c>
      <c r="M1549" s="150" t="n">
        <f aca="false">3+2</f>
        <v>5</v>
      </c>
      <c r="S1549" s="192" t="n">
        <f aca="false">(K1549+O1549+Q1549)*24 /1130+(L1549+M1549+P1549+R1549)*12/1130+(N1549*30)/1130</f>
        <v>0.0530973451327434</v>
      </c>
    </row>
    <row r="1550" customFormat="false" ht="15" hidden="true" customHeight="true" outlineLevel="0" collapsed="false">
      <c r="A1550" s="128" t="n">
        <f aca="false">D1550+273-871</f>
        <v>0</v>
      </c>
      <c r="B1550" s="127" t="n">
        <f aca="false">B1549+D1550-C1550</f>
        <v>7210.5</v>
      </c>
      <c r="D1550" s="146" t="n">
        <f aca="false">345+253</f>
        <v>598</v>
      </c>
      <c r="E1550" s="147" t="n">
        <v>1226</v>
      </c>
      <c r="F1550" s="147" t="n">
        <f aca="false">IFERROR(VLOOKUP(H1550,$AD$1:$AE$301,2,0),"")</f>
        <v>1008032</v>
      </c>
      <c r="G1550" s="147" t="str">
        <f aca="false">IFERROR(VLOOKUP(F1550,$AE$2:$AF$290,2, 0),"")</f>
        <v>ضباء</v>
      </c>
      <c r="H1550" s="212" t="s">
        <v>101</v>
      </c>
      <c r="I1550" s="246" t="n">
        <f aca="false">SUM(K1550:R1550)</f>
        <v>2</v>
      </c>
      <c r="J1550" s="182" t="n">
        <v>45811</v>
      </c>
      <c r="M1550" s="150" t="n">
        <f aca="false">1+1</f>
        <v>2</v>
      </c>
      <c r="S1550" s="192" t="n">
        <f aca="false">(K1550+O1550+Q1550)*24 /1130+(L1550+M1550+P1550+R1550)*12/1130+(N1550*30)/1130</f>
        <v>0.0212389380530973</v>
      </c>
    </row>
    <row r="1551" customFormat="false" ht="15" hidden="true" customHeight="true" outlineLevel="0" collapsed="false">
      <c r="A1551" s="128" t="n">
        <f aca="false">D1551-263.5*3+273*2-130-750-500+299-412</f>
        <v>-1</v>
      </c>
      <c r="B1551" s="127" t="n">
        <f aca="false">B1550+D1551-C1551</f>
        <v>8947</v>
      </c>
      <c r="D1551" s="146" t="n">
        <f aca="false">316.25*5+155.25</f>
        <v>1736.5</v>
      </c>
      <c r="E1551" s="147" t="n">
        <v>1229</v>
      </c>
      <c r="F1551" s="147" t="n">
        <f aca="false">IFERROR(VLOOKUP(H1551,$AD$1:$AE$301,2,0),"")</f>
        <v>656</v>
      </c>
      <c r="G1551" s="147" t="str">
        <f aca="false">IFERROR(VLOOKUP(F1551,$AE$2:$AF$290,2, 0),"")</f>
        <v>الوجه</v>
      </c>
      <c r="H1551" s="212" t="s">
        <v>115</v>
      </c>
      <c r="I1551" s="246" t="n">
        <f aca="false">SUM(K1551:R1551)</f>
        <v>7</v>
      </c>
      <c r="J1551" s="182" t="n">
        <v>45811</v>
      </c>
      <c r="N1551" s="151" t="n">
        <f aca="false">3+1+1+1</f>
        <v>6</v>
      </c>
      <c r="R1551" s="155" t="n">
        <v>1</v>
      </c>
      <c r="S1551" s="192" t="n">
        <f aca="false">(K1551+O1551+Q1551)*24 /1130+(L1551+M1551+P1551+R1551)*12/1130+(N1551*30)/1130</f>
        <v>0.169911504424779</v>
      </c>
    </row>
    <row r="1552" customFormat="false" ht="15" hidden="true" customHeight="true" outlineLevel="0" collapsed="false">
      <c r="B1552" s="127" t="n">
        <f aca="false">B1551+D1552-C1552</f>
        <v>10585.75</v>
      </c>
      <c r="D1552" s="146" t="n">
        <f aca="false">327.75*5</f>
        <v>1638.75</v>
      </c>
      <c r="E1552" s="147" t="n">
        <v>1228</v>
      </c>
      <c r="F1552" s="147" t="n">
        <f aca="false">IFERROR(VLOOKUP(H1552,$AD$1:$AE$301,2,0),"")</f>
        <v>1008045</v>
      </c>
      <c r="G1552" s="147" t="str">
        <f aca="false">IFERROR(VLOOKUP(F1552,$AE$2:$AF$290,2, 0),"")</f>
        <v>الوجه</v>
      </c>
      <c r="H1552" s="212" t="s">
        <v>107</v>
      </c>
      <c r="I1552" s="246" t="n">
        <f aca="false">SUM(K1552:R1552)</f>
        <v>6</v>
      </c>
      <c r="J1552" s="182" t="n">
        <v>45811</v>
      </c>
      <c r="K1552" s="148" t="n">
        <v>6</v>
      </c>
      <c r="S1552" s="192" t="n">
        <f aca="false">(K1552+O1552+Q1552)*24 /1130+(L1552+M1552+P1552+R1552)*12/1130+(N1552*30)/1130</f>
        <v>0.127433628318584</v>
      </c>
    </row>
    <row r="1553" customFormat="false" ht="15" hidden="true" customHeight="true" outlineLevel="0" collapsed="false">
      <c r="A1553" s="209"/>
      <c r="B1553" s="127" t="n">
        <f aca="false">B1552+D1553-C1553</f>
        <v>12224.5</v>
      </c>
      <c r="D1553" s="146" t="n">
        <f aca="false">327.75*5</f>
        <v>1638.75</v>
      </c>
      <c r="E1553" s="147" t="n">
        <v>1227</v>
      </c>
      <c r="F1553" s="147" t="n">
        <f aca="false">IFERROR(VLOOKUP(H1553,$AD$1:$AE$301,2,0),"")</f>
        <v>1008043</v>
      </c>
      <c r="G1553" s="147" t="str">
        <f aca="false">IFERROR(VLOOKUP(F1553,$AE$2:$AF$290,2, 0),"")</f>
        <v>الوجه</v>
      </c>
      <c r="H1553" s="212" t="s">
        <v>104</v>
      </c>
      <c r="I1553" s="246" t="n">
        <f aca="false">SUM(K1553:R1553)</f>
        <v>6</v>
      </c>
      <c r="J1553" s="182" t="n">
        <v>45811</v>
      </c>
      <c r="K1553" s="148" t="n">
        <f aca="false">1+2+1+2</f>
        <v>6</v>
      </c>
      <c r="S1553" s="192" t="n">
        <f aca="false">(K1553+O1553+Q1553)*24 /1130+(L1553+M1553+P1553+R1553)*12/1130+(N1553*30)/1130</f>
        <v>0.127433628318584</v>
      </c>
    </row>
    <row r="1554" customFormat="false" ht="15" hidden="true" customHeight="true" outlineLevel="0" collapsed="false">
      <c r="A1554" s="128" t="n">
        <f aca="false">D1554-820-250-200-125-100-396</f>
        <v>0.75</v>
      </c>
      <c r="B1554" s="127" t="n">
        <f aca="false">B1553+D1554-C1554</f>
        <v>14116.25</v>
      </c>
      <c r="D1554" s="146" t="n">
        <f aca="false">327.75*5+253</f>
        <v>1891.75</v>
      </c>
      <c r="E1554" s="147" t="n">
        <v>1231</v>
      </c>
      <c r="F1554" s="147" t="n">
        <f aca="false">IFERROR(VLOOKUP(H1554,$AD$1:$AE$301,2,0),"")</f>
        <v>681</v>
      </c>
      <c r="G1554" s="147" t="str">
        <f aca="false">IFERROR(VLOOKUP(F1554,$AE$2:$AF$290,2, 0),"")</f>
        <v>تبوك</v>
      </c>
      <c r="H1554" s="212" t="s">
        <v>268</v>
      </c>
      <c r="I1554" s="246" t="n">
        <f aca="false">SUM(K1554:R1554)</f>
        <v>7</v>
      </c>
      <c r="J1554" s="182" t="n">
        <v>45812</v>
      </c>
      <c r="K1554" s="148" t="n">
        <v>6</v>
      </c>
      <c r="M1554" s="150" t="n">
        <v>1</v>
      </c>
      <c r="S1554" s="192" t="n">
        <f aca="false">(K1554+O1554+Q1554)*24 /1130+(L1554+M1554+P1554+R1554)*12/1130+(N1554*30)/1130</f>
        <v>0.138053097345133</v>
      </c>
    </row>
    <row r="1555" customFormat="false" ht="15" hidden="true" customHeight="true" outlineLevel="0" collapsed="false">
      <c r="A1555" s="128" t="n">
        <f aca="false">D1555+273-550</f>
        <v>-1</v>
      </c>
      <c r="B1555" s="127" t="n">
        <f aca="false">B1554+D1555-C1555</f>
        <v>14392.25</v>
      </c>
      <c r="D1555" s="146" t="n">
        <f aca="false">138*2</f>
        <v>276</v>
      </c>
      <c r="E1555" s="147" t="n">
        <v>1230</v>
      </c>
      <c r="F1555" s="147" t="n">
        <f aca="false">IFERROR(VLOOKUP(H1555,$AD$1:$AE$301,2,0),"")</f>
        <v>1008047</v>
      </c>
      <c r="G1555" s="147" t="str">
        <f aca="false">IFERROR(VLOOKUP(F1555,$AE$2:$AF$290,2, 0),"")</f>
        <v>الوجه</v>
      </c>
      <c r="H1555" s="398" t="s">
        <v>422</v>
      </c>
      <c r="I1555" s="246" t="n">
        <f aca="false">SUM(K1555:R1555)</f>
        <v>2</v>
      </c>
      <c r="J1555" s="182" t="n">
        <v>45811</v>
      </c>
      <c r="Q1555" s="154" t="n">
        <v>2</v>
      </c>
      <c r="S1555" s="192" t="n">
        <f aca="false">(K1555+O1555+Q1555)*24 /1130+(L1555+M1555+P1555+R1555)*12/1130+(N1555*30)/1130</f>
        <v>0.0424778761061947</v>
      </c>
    </row>
    <row r="1556" customFormat="false" ht="15" hidden="true" customHeight="true" outlineLevel="0" collapsed="false">
      <c r="A1556" s="288"/>
      <c r="B1556" s="127" t="n">
        <f aca="false">B1555+D1556-C1556</f>
        <v>1925</v>
      </c>
      <c r="C1556" s="127" t="n">
        <f aca="false">391+1729.5+872+295+1459+1638.75+546+871+546+320+299+3500</f>
        <v>12467.25</v>
      </c>
      <c r="E1556" s="212" t="s">
        <v>470</v>
      </c>
      <c r="F1556" s="147" t="str">
        <f aca="false">IFERROR(VLOOKUP(H1556,$AD$1:$AE$301,2,0),"")</f>
        <v/>
      </c>
      <c r="G1556" s="147" t="str">
        <f aca="false">IFERROR(VLOOKUP(F1556,$AE$2:$AF$290,2, 0),"")</f>
        <v/>
      </c>
      <c r="H1556" s="212" t="s">
        <v>393</v>
      </c>
      <c r="I1556" s="246" t="n">
        <f aca="false">SUM(K1556:R1556)</f>
        <v>0</v>
      </c>
      <c r="J1556" s="182" t="n">
        <v>45811</v>
      </c>
      <c r="S1556" s="192" t="n">
        <f aca="false">(K1556+O1556+Q1556)*24 /1130+(L1556+M1556+P1556+R1556)*12/1130+(N1556*30)/1130</f>
        <v>0</v>
      </c>
    </row>
    <row r="1557" customFormat="false" ht="15" hidden="true" customHeight="true" outlineLevel="0" collapsed="false">
      <c r="A1557" s="288"/>
      <c r="B1557" s="127" t="n">
        <f aca="false">B1556+D1557-C1557</f>
        <v>0</v>
      </c>
      <c r="C1557" s="127" t="n">
        <f aca="false">1000+925</f>
        <v>1925</v>
      </c>
      <c r="E1557" s="212" t="s">
        <v>470</v>
      </c>
      <c r="F1557" s="147" t="str">
        <f aca="false">IFERROR(VLOOKUP(H1557,$AD$1:$AE$301,2,0),"")</f>
        <v/>
      </c>
      <c r="G1557" s="147" t="str">
        <f aca="false">IFERROR(VLOOKUP(F1557,$AE$2:$AF$290,2, 0),"")</f>
        <v/>
      </c>
      <c r="H1557" s="212" t="s">
        <v>393</v>
      </c>
      <c r="I1557" s="246" t="n">
        <f aca="false">SUM(K1557:R1557)</f>
        <v>0</v>
      </c>
      <c r="J1557" s="182" t="n">
        <v>45812</v>
      </c>
      <c r="S1557" s="192" t="n">
        <f aca="false">(K1557+O1557+Q1557)*24 /1130+(L1557+M1557+P1557+R1557)*12/1130+(N1557*30)/1130</f>
        <v>0</v>
      </c>
    </row>
    <row r="1558" customFormat="false" ht="15" hidden="true" customHeight="true" outlineLevel="0" collapsed="false">
      <c r="A1558" s="128" t="n">
        <f aca="false">D1558-910-1061-136+78</f>
        <v>0.75</v>
      </c>
      <c r="B1558" s="127" t="n">
        <f aca="false">B1557+D1558-C1558</f>
        <v>2029.75</v>
      </c>
      <c r="D1558" s="146" t="n">
        <f aca="false">327.75*5+253+138</f>
        <v>2029.75</v>
      </c>
      <c r="E1558" s="147" t="n">
        <v>1232</v>
      </c>
      <c r="F1558" s="147" t="n">
        <f aca="false">IFERROR(VLOOKUP(H1558,$AD$1:$AE$301,2,0),"")</f>
        <v>1002852</v>
      </c>
      <c r="G1558" s="147" t="str">
        <f aca="false">IFERROR(VLOOKUP(F1558,$AE$2:$AF$290,2, 0),"")</f>
        <v>تبوك</v>
      </c>
      <c r="H1558" s="212" t="s">
        <v>159</v>
      </c>
      <c r="I1558" s="246" t="n">
        <f aca="false">SUM(K1558:R1558)</f>
        <v>8</v>
      </c>
      <c r="J1558" s="182" t="n">
        <v>45819</v>
      </c>
      <c r="K1558" s="148" t="n">
        <f aca="false">3+3</f>
        <v>6</v>
      </c>
      <c r="M1558" s="150" t="n">
        <v>1</v>
      </c>
      <c r="Q1558" s="154" t="n">
        <v>1</v>
      </c>
      <c r="S1558" s="192" t="n">
        <f aca="false">(K1558+O1558+Q1558)*24 /1130+(L1558+M1558+P1558+R1558)*12/1130+(N1558*30)/1130</f>
        <v>0.15929203539823</v>
      </c>
    </row>
    <row r="1559" customFormat="false" ht="15" hidden="true" customHeight="true" outlineLevel="0" collapsed="false">
      <c r="A1559" s="128" t="n">
        <f aca="false">D1559+200+2*273-501.25-400+273-5*12+1300-1513</f>
        <v>0</v>
      </c>
      <c r="B1559" s="127" t="n">
        <f aca="false">B1558+D1559-C1559</f>
        <v>2185</v>
      </c>
      <c r="D1559" s="146" t="n">
        <v>155.25</v>
      </c>
      <c r="E1559" s="147" t="n">
        <v>1233</v>
      </c>
      <c r="F1559" s="147" t="n">
        <f aca="false">IFERROR(VLOOKUP(H1559,$AD$1:$AE$301,2,0),"")</f>
        <v>622</v>
      </c>
      <c r="G1559" s="147" t="str">
        <f aca="false">IFERROR(VLOOKUP(F1559,$AE$2:$AF$290,2, 0),"")</f>
        <v>تبوك</v>
      </c>
      <c r="H1559" s="212" t="s">
        <v>177</v>
      </c>
      <c r="I1559" s="246" t="n">
        <f aca="false">SUM(K1559:R1559)</f>
        <v>1</v>
      </c>
      <c r="J1559" s="182" t="n">
        <v>45819</v>
      </c>
      <c r="R1559" s="155" t="n">
        <v>1</v>
      </c>
      <c r="S1559" s="192" t="n">
        <f aca="false">(K1559+O1559+Q1559)*24 /1130+(L1559+M1559+P1559+R1559)*12/1130+(N1559*30)/1130</f>
        <v>0.0106194690265487</v>
      </c>
    </row>
    <row r="1560" customFormat="false" ht="15" hidden="true" customHeight="true" outlineLevel="0" collapsed="false">
      <c r="A1560" s="209"/>
      <c r="B1560" s="127" t="n">
        <f aca="false">B1559+D1560-C1560</f>
        <v>0.75</v>
      </c>
      <c r="C1560" s="127" t="n">
        <f aca="false">568+501.25+190+925</f>
        <v>2184.25</v>
      </c>
      <c r="E1560" s="212" t="s">
        <v>470</v>
      </c>
      <c r="F1560" s="147" t="str">
        <f aca="false">IFERROR(VLOOKUP(H1560,$AD$1:$AE$301,2,0),"")</f>
        <v/>
      </c>
      <c r="G1560" s="147" t="str">
        <f aca="false">IFERROR(VLOOKUP(F1560,$AE$2:$AF$290,2, 0),"")</f>
        <v/>
      </c>
      <c r="H1560" s="212" t="s">
        <v>393</v>
      </c>
      <c r="I1560" s="246" t="n">
        <f aca="false">SUM(K1560:R1560)</f>
        <v>0</v>
      </c>
      <c r="J1560" s="182" t="n">
        <v>45820</v>
      </c>
      <c r="S1560" s="192" t="n">
        <f aca="false">(K1560+O1560+Q1560)*24 /1130+(L1560+M1560+P1560+R1560)*12/1130+(N1560*30)/1130</f>
        <v>0</v>
      </c>
    </row>
    <row r="1561" customFormat="false" ht="15" hidden="true" customHeight="true" outlineLevel="0" collapsed="false">
      <c r="A1561" s="128" t="n">
        <f aca="false">D1561-925-28*5-820+695+550-550-700-139-48-5*6</f>
        <v>-2.5</v>
      </c>
      <c r="B1561" s="127" t="n">
        <f aca="false">B1560+D1561-C1561</f>
        <v>2105.25</v>
      </c>
      <c r="D1561" s="146" t="n">
        <f aca="false">235.75+230+5*327.75</f>
        <v>2104.5</v>
      </c>
      <c r="E1561" s="147" t="n">
        <v>1234</v>
      </c>
      <c r="F1561" s="147" t="n">
        <f aca="false">IFERROR(VLOOKUP(H1561,$AD$1:$AE$301,2,0),"")</f>
        <v>1008030</v>
      </c>
      <c r="G1561" s="147" t="str">
        <f aca="false">IFERROR(VLOOKUP(F1561,$AE$2:$AF$290,2, 0),"")</f>
        <v>البير</v>
      </c>
      <c r="H1561" s="212" t="s">
        <v>298</v>
      </c>
      <c r="I1561" s="246" t="n">
        <f aca="false">SUM(K1561:R1561)</f>
        <v>8</v>
      </c>
      <c r="J1561" s="182" t="n">
        <v>45820</v>
      </c>
      <c r="K1561" s="148" t="n">
        <v>6</v>
      </c>
      <c r="M1561" s="150" t="n">
        <f aca="false">1+1</f>
        <v>2</v>
      </c>
      <c r="S1561" s="192" t="n">
        <f aca="false">(K1561+O1561+Q1561)*24 /1130+(L1561+M1561+P1561+R1561)*12/1130+(N1561*30)/1130</f>
        <v>0.148672566371681</v>
      </c>
    </row>
    <row r="1562" customFormat="false" ht="15" hidden="true" customHeight="true" outlineLevel="0" collapsed="false">
      <c r="A1562" s="128" t="n">
        <f aca="false">D1562-2760</f>
        <v>0</v>
      </c>
      <c r="B1562" s="127" t="n">
        <f aca="false">B1561+D1562-C1562</f>
        <v>4865.25</v>
      </c>
      <c r="D1562" s="146" t="n">
        <f aca="false">20*138</f>
        <v>2760</v>
      </c>
      <c r="E1562" s="147" t="n">
        <v>1235</v>
      </c>
      <c r="F1562" s="147" t="n">
        <f aca="false">IFERROR(VLOOKUP(H1562,$AD$1:$AE$301,2,0),"")</f>
        <v>1007970</v>
      </c>
      <c r="G1562" s="147" t="str">
        <f aca="false">IFERROR(VLOOKUP(F1562,$AE$2:$AF$290,2, 0),"")</f>
        <v>حقل</v>
      </c>
      <c r="H1562" s="212" t="s">
        <v>310</v>
      </c>
      <c r="I1562" s="246" t="n">
        <f aca="false">SUM(K1562:R1562)</f>
        <v>20</v>
      </c>
      <c r="J1562" s="182" t="n">
        <v>45820</v>
      </c>
      <c r="Q1562" s="154" t="n">
        <v>20</v>
      </c>
      <c r="S1562" s="192" t="n">
        <f aca="false">(K1562+O1562+Q1562)*24 /1130+(L1562+M1562+P1562+R1562)*12/1130+(N1562*30)/1130</f>
        <v>0.424778761061947</v>
      </c>
    </row>
    <row r="1563" customFormat="false" ht="15" hidden="true" customHeight="true" outlineLevel="0" collapsed="false">
      <c r="B1563" s="127" t="n">
        <f aca="false">B1562+D1563-C1563</f>
        <v>6504</v>
      </c>
      <c r="D1563" s="146" t="n">
        <f aca="false">327.75*5</f>
        <v>1638.75</v>
      </c>
      <c r="E1563" s="147" t="n">
        <v>1237</v>
      </c>
      <c r="F1563" s="147" t="n">
        <f aca="false">IFERROR(VLOOKUP(H1563,$AD$1:$AE$301,2,0),"")</f>
        <v>1008056</v>
      </c>
      <c r="G1563" s="147" t="str">
        <f aca="false">IFERROR(VLOOKUP(F1563,$AE$2:$AF$290,2, 0),"")</f>
        <v>تبوك</v>
      </c>
      <c r="H1563" s="212" t="s">
        <v>241</v>
      </c>
      <c r="I1563" s="246" t="n">
        <f aca="false">SUM(K1563:R1563)</f>
        <v>6</v>
      </c>
      <c r="J1563" s="182" t="n">
        <v>45820</v>
      </c>
      <c r="K1563" s="148" t="n">
        <v>6</v>
      </c>
      <c r="S1563" s="192" t="n">
        <f aca="false">(K1563+O1563+Q1563)*24 /1130+(L1563+M1563+P1563+R1563)*12/1130+(N1563*30)/1130</f>
        <v>0.127433628318584</v>
      </c>
    </row>
    <row r="1564" customFormat="false" ht="15" hidden="true" customHeight="true" outlineLevel="0" collapsed="false">
      <c r="B1564" s="127" t="n">
        <f aca="false">B1563+D1564-C1564</f>
        <v>6659.25</v>
      </c>
      <c r="D1564" s="146" t="n">
        <v>155.25</v>
      </c>
      <c r="E1564" s="147" t="n">
        <v>1236</v>
      </c>
      <c r="F1564" s="147" t="n">
        <f aca="false">IFERROR(VLOOKUP(H1564,$AD$1:$AE$301,2,0),"")</f>
        <v>1007999</v>
      </c>
      <c r="G1564" s="147" t="str">
        <f aca="false">IFERROR(VLOOKUP(F1564,$AE$2:$AF$290,2, 0),"")</f>
        <v>حقل</v>
      </c>
      <c r="H1564" s="212" t="s">
        <v>312</v>
      </c>
      <c r="I1564" s="246" t="n">
        <f aca="false">SUM(K1564:R1564)</f>
        <v>1</v>
      </c>
      <c r="J1564" s="182" t="n">
        <v>45820</v>
      </c>
      <c r="R1564" s="155" t="n">
        <v>1</v>
      </c>
      <c r="S1564" s="192" t="n">
        <f aca="false">(K1564+O1564+Q1564)*24 /1130+(L1564+M1564+P1564+R1564)*12/1130+(N1564*30)/1130</f>
        <v>0.0106194690265487</v>
      </c>
    </row>
    <row r="1565" customFormat="false" ht="15" hidden="true" customHeight="true" outlineLevel="0" collapsed="false">
      <c r="A1565" s="128" t="n">
        <f aca="false">D1565-5*16-58</f>
        <v>0</v>
      </c>
      <c r="B1565" s="127" t="n">
        <f aca="false">B1564+D1565-C1565</f>
        <v>6797.25</v>
      </c>
      <c r="D1565" s="146" t="n">
        <v>138</v>
      </c>
      <c r="E1565" s="147" t="n">
        <v>1238</v>
      </c>
      <c r="F1565" s="147" t="n">
        <f aca="false">IFERROR(VLOOKUP(H1565,$AD$1:$AE$301,2,0),"")</f>
        <v>1008277</v>
      </c>
      <c r="G1565" s="147" t="str">
        <f aca="false">IFERROR(VLOOKUP(F1565,$AE$2:$AF$290,2, 0),"")</f>
        <v>تبوك</v>
      </c>
      <c r="H1565" s="212" t="s">
        <v>233</v>
      </c>
      <c r="I1565" s="246" t="n">
        <f aca="false">SUM(K1565:R1565)</f>
        <v>1</v>
      </c>
      <c r="J1565" s="182" t="n">
        <v>45820</v>
      </c>
      <c r="R1565" s="155" t="n">
        <v>1</v>
      </c>
      <c r="S1565" s="192" t="n">
        <f aca="false">(K1565+O1565+Q1565)*24 /1130+(L1565+M1565+P1565+R1565)*12/1130+(N1565*30)/1130</f>
        <v>0.0106194690265487</v>
      </c>
    </row>
    <row r="1566" customFormat="false" ht="15" hidden="true" customHeight="true" outlineLevel="0" collapsed="false">
      <c r="A1566" s="288"/>
      <c r="B1566" s="127" t="n">
        <f aca="false">B1565+D1566-C1566</f>
        <v>5418.25</v>
      </c>
      <c r="C1566" s="127" t="n">
        <f aca="false">550+527+10+30+92+170</f>
        <v>1379</v>
      </c>
      <c r="E1566" s="212" t="s">
        <v>470</v>
      </c>
      <c r="F1566" s="147" t="str">
        <f aca="false">IFERROR(VLOOKUP(H1566,$AD$1:$AE$301,2,0),"")</f>
        <v/>
      </c>
      <c r="G1566" s="147" t="str">
        <f aca="false">IFERROR(VLOOKUP(F1566,$AE$2:$AF$290,2, 0),"")</f>
        <v/>
      </c>
      <c r="H1566" s="212" t="s">
        <v>393</v>
      </c>
      <c r="I1566" s="246" t="n">
        <f aca="false">SUM(K1566:R1566)</f>
        <v>0</v>
      </c>
      <c r="J1566" s="182" t="n">
        <v>45820</v>
      </c>
      <c r="S1566" s="192" t="n">
        <f aca="false">(K1566+O1566+Q1566)*24 /1130+(L1566+M1566+P1566+R1566)*12/1130+(N1566*30)/1130</f>
        <v>0</v>
      </c>
    </row>
    <row r="1567" customFormat="false" ht="15" hidden="true" customHeight="true" outlineLevel="0" collapsed="false">
      <c r="A1567" s="288"/>
      <c r="B1567" s="127" t="n">
        <f aca="false">B1566+D1567-C1567</f>
        <v>0</v>
      </c>
      <c r="C1567" s="127" t="n">
        <f aca="false">5418</f>
        <v>5418</v>
      </c>
      <c r="D1567" s="146" t="n">
        <v>-0.25</v>
      </c>
      <c r="E1567" s="212" t="s">
        <v>653</v>
      </c>
      <c r="F1567" s="147" t="str">
        <f aca="false">IFERROR(VLOOKUP(H1567,$AD$1:$AE$301,2,0),"")</f>
        <v/>
      </c>
      <c r="G1567" s="147" t="str">
        <f aca="false">IFERROR(VLOOKUP(F1567,$AE$2:$AF$290,2, 0),"")</f>
        <v/>
      </c>
      <c r="H1567" s="212" t="s">
        <v>393</v>
      </c>
      <c r="I1567" s="246" t="n">
        <f aca="false">SUM(K1567:R1567)</f>
        <v>0</v>
      </c>
      <c r="J1567" s="182" t="n">
        <v>45823</v>
      </c>
      <c r="S1567" s="192" t="n">
        <f aca="false">(K1567+O1567+Q1567)*24 /1130+(L1567+M1567+P1567+R1567)*12/1130+(N1567*30)/1130</f>
        <v>0</v>
      </c>
    </row>
    <row r="1568" customFormat="false" ht="15" hidden="true" customHeight="true" outlineLevel="0" collapsed="false">
      <c r="B1568" s="127" t="n">
        <f aca="false">B1567+D1568-C1568</f>
        <v>345</v>
      </c>
      <c r="D1568" s="146" t="n">
        <v>345</v>
      </c>
      <c r="E1568" s="147" t="n">
        <v>1239</v>
      </c>
      <c r="F1568" s="147" t="n">
        <f aca="false">IFERROR(VLOOKUP(H1568,$AD$1:$AE$301,2,0),"")</f>
        <v>721</v>
      </c>
      <c r="G1568" s="147" t="str">
        <f aca="false">IFERROR(VLOOKUP(F1568,$AE$2:$AF$290,2, 0),"")</f>
        <v>تبوك</v>
      </c>
      <c r="H1568" s="212" t="s">
        <v>183</v>
      </c>
      <c r="I1568" s="246" t="n">
        <f aca="false">SUM(K1568:R1568)</f>
        <v>1</v>
      </c>
      <c r="J1568" s="182" t="n">
        <v>45823</v>
      </c>
      <c r="M1568" s="150" t="n">
        <v>1</v>
      </c>
      <c r="S1568" s="192" t="n">
        <f aca="false">(K1568+O1568+Q1568)*24 /1130+(L1568+M1568+P1568+R1568)*12/1130+(N1568*30)/1130</f>
        <v>0.0106194690265487</v>
      </c>
    </row>
    <row r="1569" customFormat="false" ht="15" hidden="true" customHeight="true" outlineLevel="0" collapsed="false">
      <c r="A1569" s="128" t="n">
        <f aca="false">D1569-40*5-1*2-50-12</f>
        <v>0.5</v>
      </c>
      <c r="B1569" s="127" t="n">
        <f aca="false">B1568+D1569-C1569</f>
        <v>609.5</v>
      </c>
      <c r="D1569" s="146" t="n">
        <v>264.5</v>
      </c>
      <c r="E1569" s="147" t="n">
        <v>1240</v>
      </c>
      <c r="F1569" s="147" t="n">
        <f aca="false">IFERROR(VLOOKUP(H1569,$AD$1:$AE$301,2,0),"")</f>
        <v>549</v>
      </c>
      <c r="G1569" s="147" t="str">
        <f aca="false">IFERROR(VLOOKUP(F1569,$AE$2:$AF$290,2, 0),"")</f>
        <v>تبوك</v>
      </c>
      <c r="H1569" s="212" t="s">
        <v>238</v>
      </c>
      <c r="I1569" s="246" t="n">
        <f aca="false">SUM(K1569:R1569)</f>
        <v>1</v>
      </c>
      <c r="J1569" s="182" t="n">
        <v>45823</v>
      </c>
      <c r="R1569" s="155" t="n">
        <v>1</v>
      </c>
      <c r="S1569" s="192" t="n">
        <f aca="false">(K1569+O1569+Q1569)*24 /1130+(L1569+M1569+P1569+R1569)*12/1130+(N1569*30)/1130</f>
        <v>0.0106194690265487</v>
      </c>
    </row>
    <row r="1570" customFormat="false" ht="15" hidden="true" customHeight="true" outlineLevel="0" collapsed="false">
      <c r="A1570" s="128" t="n">
        <f aca="false">D1570-1092-546</f>
        <v>0.75</v>
      </c>
      <c r="B1570" s="127" t="n">
        <f aca="false">B1569+D1570-C1570</f>
        <v>2248.25</v>
      </c>
      <c r="D1570" s="146" t="n">
        <f aca="false">327.75*5</f>
        <v>1638.75</v>
      </c>
      <c r="E1570" s="147" t="n">
        <v>1241</v>
      </c>
      <c r="F1570" s="147" t="n">
        <f aca="false">IFERROR(VLOOKUP(H1570,$AD$1:$AE$301,2,0),"")</f>
        <v>750</v>
      </c>
      <c r="G1570" s="147" t="str">
        <f aca="false">IFERROR(VLOOKUP(F1570,$AE$2:$AF$290,2, 0),"")</f>
        <v>تبوك</v>
      </c>
      <c r="H1570" s="212" t="s">
        <v>225</v>
      </c>
      <c r="I1570" s="246" t="n">
        <f aca="false">SUM(K1570:R1570)</f>
        <v>6</v>
      </c>
      <c r="J1570" s="182" t="n">
        <v>45823</v>
      </c>
      <c r="K1570" s="148" t="n">
        <f aca="false">6</f>
        <v>6</v>
      </c>
      <c r="S1570" s="192" t="n">
        <f aca="false">(K1570+O1570+Q1570)*24 /1130+(L1570+M1570+P1570+R1570)*12/1130+(N1570*30)/1130</f>
        <v>0.127433628318584</v>
      </c>
    </row>
    <row r="1571" customFormat="false" ht="15" hidden="true" customHeight="true" outlineLevel="0" collapsed="false">
      <c r="A1571" s="209"/>
      <c r="B1571" s="127" t="n">
        <f aca="false">B1570+D1571-C1571</f>
        <v>1338.25</v>
      </c>
      <c r="C1571" s="127" t="n">
        <f aca="false">30+5+370+180+10+30+35+5+5+10+180+50</f>
        <v>910</v>
      </c>
      <c r="E1571" s="212" t="s">
        <v>470</v>
      </c>
      <c r="F1571" s="147" t="str">
        <f aca="false">IFERROR(VLOOKUP(H1571,$AD$1:$AE$301,2,0),"")</f>
        <v/>
      </c>
      <c r="G1571" s="147" t="str">
        <f aca="false">IFERROR(VLOOKUP(F1571,$AE$2:$AF$290,2, 0),"")</f>
        <v/>
      </c>
      <c r="H1571" s="212" t="s">
        <v>393</v>
      </c>
      <c r="I1571" s="246" t="n">
        <f aca="false">SUM(K1571:R1571)</f>
        <v>0</v>
      </c>
      <c r="J1571" s="182" t="n">
        <v>45823</v>
      </c>
      <c r="S1571" s="192" t="n">
        <f aca="false">(K1571+O1571+Q1571)*24 /1130+(L1571+M1571+P1571+R1571)*12/1130+(N1571*30)/1130</f>
        <v>0</v>
      </c>
    </row>
    <row r="1572" customFormat="false" ht="15" hidden="true" customHeight="true" outlineLevel="0" collapsed="false">
      <c r="B1572" s="127" t="n">
        <f aca="false">B1571+D1572-C1572</f>
        <v>0.25</v>
      </c>
      <c r="C1572" s="127" t="n">
        <v>1338</v>
      </c>
      <c r="E1572" s="212" t="s">
        <v>653</v>
      </c>
      <c r="F1572" s="147" t="str">
        <f aca="false">IFERROR(VLOOKUP(H1572,$AD$1:$AE$301,2,0),"")</f>
        <v/>
      </c>
      <c r="G1572" s="147" t="str">
        <f aca="false">IFERROR(VLOOKUP(F1572,$AE$2:$AF$290,2, 0),"")</f>
        <v/>
      </c>
      <c r="H1572" s="212" t="s">
        <v>393</v>
      </c>
      <c r="I1572" s="246" t="n">
        <f aca="false">SUM(K1572:R1572)</f>
        <v>0</v>
      </c>
      <c r="J1572" s="182" t="n">
        <v>45823</v>
      </c>
      <c r="S1572" s="192" t="n">
        <f aca="false">(K1572+O1572+Q1572)*24 /1130+(L1572+M1572+P1572+R1572)*12/1130+(N1572*30)/1130</f>
        <v>0</v>
      </c>
    </row>
    <row r="1573" customFormat="false" ht="15" hidden="true" customHeight="true" outlineLevel="0" collapsed="false">
      <c r="A1573" s="128" t="n">
        <f aca="false">D1573-10-640</f>
        <v>-0.299999999999955</v>
      </c>
      <c r="B1573" s="127" t="n">
        <f aca="false">B1572+D1573-C1573</f>
        <v>649.95</v>
      </c>
      <c r="D1573" s="146" t="n">
        <f aca="false">230+178.2+241.5</f>
        <v>649.7</v>
      </c>
      <c r="E1573" s="147" t="n">
        <v>1242</v>
      </c>
      <c r="F1573" s="147" t="n">
        <f aca="false">IFERROR(VLOOKUP(H1573,$AD$1:$AE$301,2,0),"")</f>
        <v>1008274</v>
      </c>
      <c r="G1573" s="147" t="str">
        <f aca="false">IFERROR(VLOOKUP(F1573,$AE$2:$AF$290,2, 0),"")</f>
        <v>تبوك</v>
      </c>
      <c r="H1573" s="212" t="s">
        <v>147</v>
      </c>
      <c r="I1573" s="246" t="n">
        <f aca="false">SUM(K1573:R1573)</f>
        <v>3</v>
      </c>
      <c r="J1573" s="182" t="n">
        <v>45824</v>
      </c>
      <c r="L1573" s="149" t="n">
        <v>1</v>
      </c>
      <c r="M1573" s="150" t="n">
        <v>1</v>
      </c>
      <c r="Q1573" s="154" t="n">
        <v>1</v>
      </c>
      <c r="S1573" s="192" t="n">
        <f aca="false">(K1573+O1573+Q1573)*24 /1130+(L1573+M1573+P1573+R1573)*12/1130+(N1573*30)/1130</f>
        <v>0.0424778761061947</v>
      </c>
    </row>
    <row r="1574" customFormat="false" ht="15" hidden="true" customHeight="true" outlineLevel="0" collapsed="false">
      <c r="A1574" s="128" t="n">
        <f aca="false">D1574+273-9*2+299-431-300+273-2*8-257</f>
        <v>1.20000000000005</v>
      </c>
      <c r="B1574" s="127" t="n">
        <f aca="false">B1573+D1574-C1574</f>
        <v>828.15</v>
      </c>
      <c r="D1574" s="146" t="n">
        <v>178.2</v>
      </c>
      <c r="E1574" s="147" t="n">
        <v>1243</v>
      </c>
      <c r="F1574" s="147" t="n">
        <f aca="false">IFERROR(VLOOKUP(H1574,$AD$1:$AE$301,2,0),"")</f>
        <v>755</v>
      </c>
      <c r="G1574" s="147" t="str">
        <f aca="false">IFERROR(VLOOKUP(F1574,$AE$2:$AF$290,2, 0),"")</f>
        <v>تبوك</v>
      </c>
      <c r="H1574" s="212" t="s">
        <v>180</v>
      </c>
      <c r="I1574" s="246" t="n">
        <f aca="false">SUM(K1574:R1574)</f>
        <v>1</v>
      </c>
      <c r="J1574" s="182" t="n">
        <v>45824</v>
      </c>
      <c r="L1574" s="149" t="n">
        <v>1</v>
      </c>
      <c r="S1574" s="192" t="n">
        <f aca="false">(K1574+O1574+Q1574)*24 /1130+(L1574+M1574+P1574+R1574)*12/1130+(N1574*30)/1130</f>
        <v>0.0106194690265487</v>
      </c>
    </row>
    <row r="1575" customFormat="false" ht="15" hidden="true" customHeight="true" outlineLevel="0" collapsed="false">
      <c r="A1575" s="128" t="n">
        <f aca="false">D1575-276</f>
        <v>0</v>
      </c>
      <c r="B1575" s="127" t="n">
        <f aca="false">B1574+D1575-C1575</f>
        <v>1104.15</v>
      </c>
      <c r="D1575" s="146" t="n">
        <v>276</v>
      </c>
      <c r="E1575" s="147" t="n">
        <v>1244</v>
      </c>
      <c r="F1575" s="147" t="n">
        <f aca="false">IFERROR(VLOOKUP(H1575,$AD$1:$AE$301,2,0),"")</f>
        <v>943</v>
      </c>
      <c r="G1575" s="147" t="str">
        <f aca="false">IFERROR(VLOOKUP(F1575,$AE$2:$AF$290,2, 0),"")</f>
        <v>تبوك</v>
      </c>
      <c r="H1575" s="212" t="s">
        <v>259</v>
      </c>
      <c r="I1575" s="246" t="n">
        <f aca="false">SUM(K1575:R1575)</f>
        <v>2</v>
      </c>
      <c r="J1575" s="182" t="n">
        <v>45824</v>
      </c>
      <c r="Q1575" s="154" t="n">
        <v>2</v>
      </c>
      <c r="S1575" s="192" t="n">
        <f aca="false">(K1575+O1575+Q1575)*24 /1130+(L1575+M1575+P1575+R1575)*12/1130+(N1575*30)/1130</f>
        <v>0.0424778761061947</v>
      </c>
    </row>
    <row r="1576" customFormat="false" ht="15" hidden="true" customHeight="true" outlineLevel="0" collapsed="false">
      <c r="B1576" s="127" t="n">
        <f aca="false">B1575+D1576-C1576</f>
        <v>0</v>
      </c>
      <c r="C1576" s="127" t="n">
        <v>1104</v>
      </c>
      <c r="D1576" s="146" t="n">
        <v>-0.15</v>
      </c>
      <c r="E1576" s="212" t="s">
        <v>653</v>
      </c>
      <c r="F1576" s="147" t="str">
        <f aca="false">IFERROR(VLOOKUP(H1576,$AD$1:$AE$301,2,0),"")</f>
        <v/>
      </c>
      <c r="G1576" s="147" t="str">
        <f aca="false">IFERROR(VLOOKUP(F1576,$AE$2:$AF$290,2, 0),"")</f>
        <v/>
      </c>
      <c r="H1576" s="212" t="s">
        <v>393</v>
      </c>
      <c r="I1576" s="246" t="n">
        <f aca="false">SUM(K1576:R1576)</f>
        <v>0</v>
      </c>
      <c r="J1576" s="182" t="n">
        <v>45825</v>
      </c>
      <c r="S1576" s="192" t="n">
        <f aca="false">(K1576+O1576+Q1576)*24 /1130+(L1576+M1576+P1576+R1576)*12/1130+(N1576*30)/1130</f>
        <v>0</v>
      </c>
    </row>
    <row r="1577" customFormat="false" ht="15" hidden="true" customHeight="true" outlineLevel="0" collapsed="false">
      <c r="A1577" s="128" t="n">
        <f aca="false">D1577-240-202</f>
        <v>0.75</v>
      </c>
      <c r="B1577" s="127" t="n">
        <f aca="false">B1576+D1577-C1577</f>
        <v>442.75</v>
      </c>
      <c r="D1577" s="146" t="n">
        <f aca="false">178.25+264.5</f>
        <v>442.75</v>
      </c>
      <c r="E1577" s="147" t="n">
        <v>1245</v>
      </c>
      <c r="F1577" s="147" t="n">
        <f aca="false">IFERROR(VLOOKUP(H1577,$AD$1:$AE$301,2,0),"")</f>
        <v>826</v>
      </c>
      <c r="G1577" s="147" t="str">
        <f aca="false">IFERROR(VLOOKUP(F1577,$AE$2:$AF$290,2, 0),"")</f>
        <v>تبوك</v>
      </c>
      <c r="H1577" s="212" t="s">
        <v>196</v>
      </c>
      <c r="I1577" s="246" t="n">
        <f aca="false">SUM(K1577:R1577)</f>
        <v>2</v>
      </c>
      <c r="J1577" s="182" t="n">
        <v>45825</v>
      </c>
      <c r="L1577" s="149" t="n">
        <v>1</v>
      </c>
      <c r="R1577" s="155" t="n">
        <v>1</v>
      </c>
      <c r="S1577" s="192" t="n">
        <f aca="false">(K1577+O1577+Q1577)*24 /1130+(L1577+M1577+P1577+R1577)*12/1130+(N1577*30)/1130</f>
        <v>0.0212389380530973</v>
      </c>
    </row>
    <row r="1578" customFormat="false" ht="15" hidden="true" customHeight="true" outlineLevel="0" collapsed="false">
      <c r="A1578" s="128" t="n">
        <f aca="false">D1578-500-40-35-1000+252.5</f>
        <v>0</v>
      </c>
      <c r="B1578" s="127" t="n">
        <f aca="false">B1577+D1578-C1578</f>
        <v>1765.25</v>
      </c>
      <c r="D1578" s="146" t="n">
        <f aca="false">241.5*3+138+230*2</f>
        <v>1322.5</v>
      </c>
      <c r="E1578" s="147" t="n">
        <v>1246</v>
      </c>
      <c r="F1578" s="147" t="n">
        <f aca="false">IFERROR(VLOOKUP(H1578,$AD$1:$AE$301,2,0),"")</f>
        <v>636</v>
      </c>
      <c r="G1578" s="147" t="str">
        <f aca="false">IFERROR(VLOOKUP(F1578,$AE$2:$AF$290,2, 0),"")</f>
        <v>تبوك</v>
      </c>
      <c r="H1578" s="212" t="s">
        <v>134</v>
      </c>
      <c r="I1578" s="246" t="n">
        <f aca="false">SUM(K1578:R1578)</f>
        <v>6</v>
      </c>
      <c r="J1578" s="182" t="n">
        <v>45825</v>
      </c>
      <c r="M1578" s="150" t="n">
        <f aca="false">2</f>
        <v>2</v>
      </c>
      <c r="O1578" s="152" t="n">
        <f aca="false">1</f>
        <v>1</v>
      </c>
      <c r="Q1578" s="154" t="n">
        <f aca="false">1+1+1</f>
        <v>3</v>
      </c>
      <c r="S1578" s="192" t="n">
        <f aca="false">(K1578+O1578+Q1578)*24 /1130+(L1578+M1578+P1578+R1578)*12/1130+(N1578*30)/1130</f>
        <v>0.106194690265487</v>
      </c>
    </row>
    <row r="1579" customFormat="false" ht="15" hidden="true" customHeight="true" outlineLevel="0" collapsed="false">
      <c r="B1579" s="127" t="n">
        <f aca="false">B1578+D1579-C1579</f>
        <v>0</v>
      </c>
      <c r="C1579" s="127" t="n">
        <f aca="false">209+546+1010</f>
        <v>1765</v>
      </c>
      <c r="D1579" s="146" t="n">
        <v>-0.25</v>
      </c>
      <c r="E1579" s="212" t="s">
        <v>470</v>
      </c>
      <c r="F1579" s="147" t="str">
        <f aca="false">IFERROR(VLOOKUP(H1579,$AD$1:$AE$301,2,0),"")</f>
        <v/>
      </c>
      <c r="G1579" s="147" t="str">
        <f aca="false">IFERROR(VLOOKUP(F1579,$AE$2:$AF$290,2, 0),"")</f>
        <v/>
      </c>
      <c r="H1579" s="212" t="s">
        <v>393</v>
      </c>
      <c r="I1579" s="246" t="n">
        <f aca="false">SUM(K1579:R1579)</f>
        <v>0</v>
      </c>
      <c r="J1579" s="182" t="n">
        <v>45825</v>
      </c>
      <c r="S1579" s="192" t="n">
        <f aca="false">(K1579+O1579+Q1579)*24 /1130+(L1579+M1579+P1579+R1579)*12/1130+(N1579*30)/1130</f>
        <v>0</v>
      </c>
    </row>
    <row r="1580" customFormat="false" ht="15" hidden="true" customHeight="true" outlineLevel="0" collapsed="false">
      <c r="A1580" s="128" t="n">
        <f aca="false">D1580-820+263-197-884.75</f>
        <v>0</v>
      </c>
      <c r="B1580" s="127" t="n">
        <f aca="false">B1579+D1580-C1580</f>
        <v>1638.75</v>
      </c>
      <c r="D1580" s="146" t="n">
        <f aca="false">327.75*5</f>
        <v>1638.75</v>
      </c>
      <c r="E1580" s="147" t="n">
        <v>1247</v>
      </c>
      <c r="F1580" s="147" t="n">
        <f aca="false">IFERROR(VLOOKUP(H1580,$AD$1:$AE$301,2,0),"")</f>
        <v>1008030</v>
      </c>
      <c r="G1580" s="147" t="str">
        <f aca="false">IFERROR(VLOOKUP(F1580,$AE$2:$AF$290,2, 0),"")</f>
        <v>البير</v>
      </c>
      <c r="H1580" s="212" t="s">
        <v>298</v>
      </c>
      <c r="I1580" s="246" t="n">
        <f aca="false">SUM(K1580:R1580)</f>
        <v>6</v>
      </c>
      <c r="J1580" s="182" t="n">
        <v>45826</v>
      </c>
      <c r="K1580" s="148" t="n">
        <v>6</v>
      </c>
      <c r="S1580" s="192" t="n">
        <f aca="false">(K1580+O1580+Q1580)*24 /1130+(L1580+M1580+P1580+R1580)*12/1130+(N1580*30)/1130</f>
        <v>0.127433628318584</v>
      </c>
    </row>
    <row r="1581" customFormat="false" ht="15" hidden="true" customHeight="true" outlineLevel="0" collapsed="false">
      <c r="B1581" s="127" t="n">
        <f aca="false">B1580+D1581-C1581</f>
        <v>2259.75</v>
      </c>
      <c r="D1581" s="146" t="n">
        <f aca="false">155.25*4</f>
        <v>621</v>
      </c>
      <c r="E1581" s="147" t="n">
        <v>1248</v>
      </c>
      <c r="F1581" s="147" t="n">
        <f aca="false">IFERROR(VLOOKUP(H1581,$AD$1:$AE$301,2,0),"")</f>
        <v>1007997</v>
      </c>
      <c r="G1581" s="147" t="str">
        <f aca="false">IFERROR(VLOOKUP(F1581,$AE$2:$AF$290,2, 0),"")</f>
        <v>البير</v>
      </c>
      <c r="H1581" s="212" t="s">
        <v>296</v>
      </c>
      <c r="I1581" s="246" t="n">
        <f aca="false">SUM(K1581:R1581)</f>
        <v>4</v>
      </c>
      <c r="J1581" s="182" t="n">
        <v>45826</v>
      </c>
      <c r="R1581" s="155" t="n">
        <v>4</v>
      </c>
      <c r="S1581" s="192" t="n">
        <f aca="false">(K1581+O1581+Q1581)*24 /1130+(L1581+M1581+P1581+R1581)*12/1130+(N1581*30)/1130</f>
        <v>0.0424778761061947</v>
      </c>
    </row>
    <row r="1582" customFormat="false" ht="15" hidden="true" customHeight="true" outlineLevel="0" collapsed="false">
      <c r="B1582" s="127" t="n">
        <f aca="false">B1581+D1582-C1582</f>
        <v>2501.25</v>
      </c>
      <c r="D1582" s="146" t="n">
        <v>241.5</v>
      </c>
      <c r="E1582" s="147" t="n">
        <v>1249</v>
      </c>
      <c r="F1582" s="147" t="n">
        <f aca="false">IFERROR(VLOOKUP(H1582,$AD$1:$AE$301,2,0),"")</f>
        <v>1007996</v>
      </c>
      <c r="G1582" s="147" t="str">
        <f aca="false">IFERROR(VLOOKUP(F1582,$AE$2:$AF$290,2, 0),"")</f>
        <v>البير</v>
      </c>
      <c r="H1582" s="212" t="s">
        <v>295</v>
      </c>
      <c r="I1582" s="246" t="n">
        <f aca="false">SUM(K1582:R1582)</f>
        <v>1</v>
      </c>
      <c r="J1582" s="182" t="n">
        <v>45826</v>
      </c>
      <c r="Q1582" s="154" t="n">
        <v>1</v>
      </c>
      <c r="S1582" s="192" t="n">
        <f aca="false">(K1582+O1582+Q1582)*24 /1130+(L1582+M1582+P1582+R1582)*12/1130+(N1582*30)/1130</f>
        <v>0.0212389380530973</v>
      </c>
    </row>
    <row r="1583" customFormat="false" ht="15" hidden="true" customHeight="true" outlineLevel="0" collapsed="false">
      <c r="B1583" s="127" t="n">
        <f aca="false">B1582+D1583-C1583</f>
        <v>0</v>
      </c>
      <c r="C1583" s="127" t="n">
        <f aca="false">700+48+139+197+241.5+949.75+226</f>
        <v>2501.25</v>
      </c>
      <c r="E1583" s="212" t="s">
        <v>470</v>
      </c>
      <c r="F1583" s="147" t="str">
        <f aca="false">IFERROR(VLOOKUP(H1583,$AD$1:$AE$301,2,0),"")</f>
        <v/>
      </c>
      <c r="G1583" s="147" t="str">
        <f aca="false">IFERROR(VLOOKUP(F1583,$AE$2:$AF$290,2, 0),"")</f>
        <v/>
      </c>
      <c r="H1583" s="212" t="s">
        <v>393</v>
      </c>
      <c r="I1583" s="246" t="n">
        <f aca="false">SUM(K1583:R1583)</f>
        <v>0</v>
      </c>
      <c r="J1583" s="182" t="n">
        <v>45826</v>
      </c>
      <c r="S1583" s="192" t="n">
        <f aca="false">(K1583+O1583+Q1583)*24 /1130+(L1583+M1583+P1583+R1583)*12/1130+(N1583*30)/1130</f>
        <v>0</v>
      </c>
    </row>
    <row r="1584" customFormat="false" ht="15" hidden="true" customHeight="true" outlineLevel="0" collapsed="false">
      <c r="B1584" s="127" t="n">
        <f aca="false">B1583+D1584-C1584</f>
        <v>138</v>
      </c>
      <c r="D1584" s="146" t="n">
        <v>138</v>
      </c>
      <c r="E1584" s="147" t="n">
        <v>1250</v>
      </c>
      <c r="F1584" s="147" t="n">
        <f aca="false">IFERROR(VLOOKUP(H1584,$AD$1:$AE$301,2,0),"")</f>
        <v>1007975</v>
      </c>
      <c r="G1584" s="147" t="str">
        <f aca="false">IFERROR(VLOOKUP(F1584,$AE$2:$AF$290,2, 0),"")</f>
        <v>ضباء</v>
      </c>
      <c r="H1584" s="212" t="s">
        <v>76</v>
      </c>
      <c r="I1584" s="246" t="n">
        <f aca="false">SUM(K1584:R1584)</f>
        <v>1</v>
      </c>
      <c r="J1584" s="182" t="n">
        <v>45827</v>
      </c>
      <c r="Q1584" s="154" t="n">
        <v>1</v>
      </c>
      <c r="S1584" s="192" t="n">
        <f aca="false">(K1584+O1584+Q1584)*24 /1130+(L1584+M1584+P1584+R1584)*12/1130+(N1584*30)/1130</f>
        <v>0.0212389380530973</v>
      </c>
    </row>
    <row r="1585" customFormat="false" ht="15" hidden="true" customHeight="true" outlineLevel="0" collapsed="false">
      <c r="B1585" s="127" t="n">
        <f aca="false">B1584+D1585-C1585</f>
        <v>3294.75</v>
      </c>
      <c r="D1585" s="146" t="n">
        <f aca="false">327.75*5+230+253*2+195.5+155.25*2+138*2</f>
        <v>3156.75</v>
      </c>
      <c r="E1585" s="147" t="n">
        <v>1251</v>
      </c>
      <c r="F1585" s="147" t="n">
        <f aca="false">IFERROR(VLOOKUP(H1585,$AD$1:$AE$301,2,0),"")</f>
        <v>1008023</v>
      </c>
      <c r="G1585" s="147" t="str">
        <f aca="false">IFERROR(VLOOKUP(F1585,$AE$2:$AF$290,2, 0),"")</f>
        <v>ضباء</v>
      </c>
      <c r="H1585" s="212" t="s">
        <v>95</v>
      </c>
      <c r="I1585" s="246" t="n">
        <f aca="false">SUM(K1585:R1585)</f>
        <v>14</v>
      </c>
      <c r="J1585" s="182" t="n">
        <v>45827</v>
      </c>
      <c r="K1585" s="148" t="n">
        <v>6</v>
      </c>
      <c r="M1585" s="150" t="n">
        <f aca="false">1+2</f>
        <v>3</v>
      </c>
      <c r="Q1585" s="154" t="n">
        <f aca="false">1+2</f>
        <v>3</v>
      </c>
      <c r="R1585" s="155" t="n">
        <v>2</v>
      </c>
      <c r="S1585" s="192" t="n">
        <f aca="false">(K1585+O1585+Q1585)*24 /1130+(L1585+M1585+P1585+R1585)*12/1130+(N1585*30)/1130</f>
        <v>0.244247787610619</v>
      </c>
    </row>
    <row r="1586" customFormat="false" ht="15" hidden="true" customHeight="true" outlineLevel="0" collapsed="false">
      <c r="B1586" s="127" t="n">
        <f aca="false">B1585+D1586-C1586</f>
        <v>3933</v>
      </c>
      <c r="D1586" s="146" t="n">
        <f aca="false">345+138+155.25</f>
        <v>638.25</v>
      </c>
      <c r="E1586" s="147" t="n">
        <v>1252</v>
      </c>
      <c r="F1586" s="147" t="n">
        <f aca="false">IFERROR(VLOOKUP(H1586,$AD$1:$AE$301,2,0),"")</f>
        <v>1007988</v>
      </c>
      <c r="G1586" s="147" t="str">
        <f aca="false">IFERROR(VLOOKUP(F1586,$AE$2:$AF$290,2, 0),"")</f>
        <v>ضباء</v>
      </c>
      <c r="H1586" s="212" t="s">
        <v>89</v>
      </c>
      <c r="I1586" s="246" t="n">
        <f aca="false">SUM(K1586:R1586)</f>
        <v>3</v>
      </c>
      <c r="J1586" s="182" t="n">
        <v>45827</v>
      </c>
      <c r="M1586" s="150" t="n">
        <v>1</v>
      </c>
      <c r="Q1586" s="154" t="n">
        <v>1</v>
      </c>
      <c r="R1586" s="155" t="n">
        <v>1</v>
      </c>
      <c r="S1586" s="192" t="n">
        <f aca="false">(K1586+O1586+Q1586)*24 /1130+(L1586+M1586+P1586+R1586)*12/1130+(N1586*30)/1130</f>
        <v>0.0424778761061947</v>
      </c>
    </row>
    <row r="1587" customFormat="false" ht="15" hidden="true" customHeight="true" outlineLevel="0" collapsed="false">
      <c r="A1587" s="128" t="n">
        <f aca="false">D1587-110-70*5</f>
        <v>0</v>
      </c>
      <c r="B1587" s="127" t="n">
        <f aca="false">B1586+D1587-C1587</f>
        <v>4393</v>
      </c>
      <c r="D1587" s="146" t="n">
        <f aca="false">230*2</f>
        <v>460</v>
      </c>
      <c r="E1587" s="147" t="n">
        <v>1253</v>
      </c>
      <c r="F1587" s="147" t="n">
        <f aca="false">IFERROR(VLOOKUP(H1587,$AD$1:$AE$301,2,0),"")</f>
        <v>1008024</v>
      </c>
      <c r="G1587" s="147" t="str">
        <f aca="false">IFERROR(VLOOKUP(F1587,$AE$2:$AF$290,2, 0),"")</f>
        <v>ضباء</v>
      </c>
      <c r="H1587" s="212" t="s">
        <v>96</v>
      </c>
      <c r="I1587" s="246" t="n">
        <f aca="false">SUM(K1587:R1587)</f>
        <v>2</v>
      </c>
      <c r="J1587" s="182" t="n">
        <v>45827</v>
      </c>
      <c r="M1587" s="150" t="n">
        <f aca="false">2</f>
        <v>2</v>
      </c>
      <c r="S1587" s="192" t="n">
        <f aca="false">(K1587+O1587+Q1587)*24 /1130+(L1587+M1587+P1587+R1587)*12/1130+(N1587*30)/1130</f>
        <v>0.0212389380530973</v>
      </c>
    </row>
    <row r="1588" customFormat="false" ht="15" hidden="true" customHeight="true" outlineLevel="0" collapsed="false">
      <c r="A1588" s="128" t="n">
        <f aca="false">D1588+412-185-70-710-50+820-200-600-20</f>
        <v>0.75</v>
      </c>
      <c r="B1588" s="127" t="n">
        <f aca="false">B1587+D1588-C1588</f>
        <v>4996.75</v>
      </c>
      <c r="D1588" s="146" t="n">
        <f aca="false">155.25*3+138</f>
        <v>603.75</v>
      </c>
      <c r="E1588" s="147" t="n">
        <v>1254</v>
      </c>
      <c r="F1588" s="147" t="n">
        <f aca="false">IFERROR(VLOOKUP(H1588,$AD$1:$AE$301,2,0),"")</f>
        <v>656</v>
      </c>
      <c r="G1588" s="147" t="str">
        <f aca="false">IFERROR(VLOOKUP(F1588,$AE$2:$AF$290,2, 0),"")</f>
        <v>الوجه</v>
      </c>
      <c r="H1588" s="212" t="s">
        <v>115</v>
      </c>
      <c r="I1588" s="246" t="n">
        <f aca="false">SUM(K1588:R1588)</f>
        <v>4</v>
      </c>
      <c r="J1588" s="182" t="n">
        <v>45827</v>
      </c>
      <c r="Q1588" s="154" t="n">
        <v>1</v>
      </c>
      <c r="R1588" s="155" t="n">
        <v>3</v>
      </c>
      <c r="S1588" s="192" t="n">
        <f aca="false">(K1588+O1588+Q1588)*24 /1130+(L1588+M1588+P1588+R1588)*12/1130+(N1588*30)/1130</f>
        <v>0.0530973451327434</v>
      </c>
    </row>
    <row r="1589" customFormat="false" ht="15" hidden="true" customHeight="true" outlineLevel="0" collapsed="false">
      <c r="A1589" s="128" t="n">
        <f aca="false">D1589-17*5-53</f>
        <v>0</v>
      </c>
      <c r="B1589" s="127" t="n">
        <f aca="false">B1588+D1589-C1589</f>
        <v>5134.75</v>
      </c>
      <c r="D1589" s="146" t="n">
        <v>138</v>
      </c>
      <c r="E1589" s="147" t="n">
        <v>1255</v>
      </c>
      <c r="F1589" s="147" t="n">
        <f aca="false">IFERROR(VLOOKUP(H1589,$AD$1:$AE$301,2,0),"")</f>
        <v>1008047</v>
      </c>
      <c r="G1589" s="147" t="str">
        <f aca="false">IFERROR(VLOOKUP(F1589,$AE$2:$AF$290,2, 0),"")</f>
        <v>الوجه</v>
      </c>
      <c r="H1589" s="212" t="s">
        <v>422</v>
      </c>
      <c r="I1589" s="246" t="n">
        <f aca="false">SUM(K1589:R1589)</f>
        <v>1</v>
      </c>
      <c r="J1589" s="182" t="n">
        <v>45827</v>
      </c>
      <c r="Q1589" s="154" t="n">
        <v>1</v>
      </c>
      <c r="S1589" s="192" t="n">
        <f aca="false">(K1589+O1589+Q1589)*24 /1130+(L1589+M1589+P1589+R1589)*12/1130+(N1589*30)/1130</f>
        <v>0.0212389380530973</v>
      </c>
    </row>
    <row r="1590" customFormat="false" ht="15" hidden="true" customHeight="true" outlineLevel="0" collapsed="false">
      <c r="B1590" s="127" t="n">
        <f aca="false">B1589+D1590-C1590</f>
        <v>6773.5</v>
      </c>
      <c r="D1590" s="146" t="n">
        <f aca="false">327.75*5</f>
        <v>1638.75</v>
      </c>
      <c r="E1590" s="147" t="n">
        <v>1256</v>
      </c>
      <c r="F1590" s="147" t="n">
        <f aca="false">IFERROR(VLOOKUP(H1590,$AD$1:$AE$301,2,0),"")</f>
        <v>1008045</v>
      </c>
      <c r="G1590" s="147" t="str">
        <f aca="false">IFERROR(VLOOKUP(F1590,$AE$2:$AF$290,2, 0),"")</f>
        <v>الوجه</v>
      </c>
      <c r="H1590" s="212" t="s">
        <v>107</v>
      </c>
      <c r="I1590" s="246" t="n">
        <f aca="false">SUM(K1590:R1590)</f>
        <v>6</v>
      </c>
      <c r="J1590" s="182" t="n">
        <v>45827</v>
      </c>
      <c r="K1590" s="148" t="n">
        <v>6</v>
      </c>
      <c r="S1590" s="192" t="n">
        <f aca="false">(K1590+O1590+Q1590)*24 /1130+(L1590+M1590+P1590+R1590)*12/1130+(N1590*30)/1130</f>
        <v>0.127433628318584</v>
      </c>
    </row>
    <row r="1591" customFormat="false" ht="15" hidden="true" customHeight="true" outlineLevel="0" collapsed="false">
      <c r="B1591" s="127" t="n">
        <f aca="false">B1590+D1591-C1591</f>
        <v>8412.25</v>
      </c>
      <c r="D1591" s="146" t="n">
        <f aca="false">327.75*5</f>
        <v>1638.75</v>
      </c>
      <c r="E1591" s="147" t="n">
        <v>1257</v>
      </c>
      <c r="F1591" s="147" t="n">
        <f aca="false">IFERROR(VLOOKUP(H1591,$AD$1:$AE$301,2,0),"")</f>
        <v>1008046</v>
      </c>
      <c r="G1591" s="147" t="str">
        <f aca="false">IFERROR(VLOOKUP(F1591,$AE$2:$AF$290,2, 0),"")</f>
        <v>الوجه</v>
      </c>
      <c r="H1591" s="212" t="s">
        <v>108</v>
      </c>
      <c r="I1591" s="246" t="n">
        <f aca="false">SUM(K1591:R1591)</f>
        <v>6</v>
      </c>
      <c r="J1591" s="182" t="n">
        <v>45827</v>
      </c>
      <c r="K1591" s="148" t="n">
        <v>6</v>
      </c>
      <c r="S1591" s="192" t="n">
        <f aca="false">(K1591+O1591+Q1591)*24 /1130+(L1591+M1591+P1591+R1591)*12/1130+(N1591*30)/1130</f>
        <v>0.127433628318584</v>
      </c>
    </row>
    <row r="1592" customFormat="false" ht="15" hidden="true" customHeight="true" outlineLevel="0" collapsed="false">
      <c r="B1592" s="127" t="n">
        <f aca="false">B1591+D1592-C1592</f>
        <v>8607.75</v>
      </c>
      <c r="D1592" s="146" t="n">
        <v>195.5</v>
      </c>
      <c r="E1592" s="147" t="n">
        <v>1258</v>
      </c>
      <c r="F1592" s="147" t="n">
        <f aca="false">IFERROR(VLOOKUP(H1592,$AD$1:$AE$301,2,0),"")</f>
        <v>1008046</v>
      </c>
      <c r="G1592" s="147" t="str">
        <f aca="false">IFERROR(VLOOKUP(F1592,$AE$2:$AF$290,2, 0),"")</f>
        <v>الوجه</v>
      </c>
      <c r="H1592" s="212" t="s">
        <v>108</v>
      </c>
      <c r="I1592" s="246" t="n">
        <f aca="false">SUM(K1592:R1592)</f>
        <v>1</v>
      </c>
      <c r="J1592" s="182" t="n">
        <v>45827</v>
      </c>
      <c r="R1592" s="155" t="n">
        <v>1</v>
      </c>
      <c r="S1592" s="192" t="n">
        <f aca="false">(K1592+O1592+Q1592)*24 /1130+(L1592+M1592+P1592+R1592)*12/1130+(N1592*30)/1130</f>
        <v>0.0106194690265487</v>
      </c>
    </row>
    <row r="1593" customFormat="false" ht="15" hidden="true" customHeight="true" outlineLevel="0" collapsed="false">
      <c r="B1593" s="127" t="n">
        <f aca="false">B1592+D1593-C1593</f>
        <v>8786</v>
      </c>
      <c r="D1593" s="146" t="n">
        <v>178.25</v>
      </c>
      <c r="E1593" s="147" t="n">
        <v>1259</v>
      </c>
      <c r="F1593" s="147" t="n">
        <f aca="false">IFERROR(VLOOKUP(H1593,$AD$1:$AE$301,2,0),"")</f>
        <v>1008043</v>
      </c>
      <c r="G1593" s="147" t="str">
        <f aca="false">IFERROR(VLOOKUP(F1593,$AE$2:$AF$290,2, 0),"")</f>
        <v>الوجه</v>
      </c>
      <c r="H1593" s="212" t="s">
        <v>104</v>
      </c>
      <c r="I1593" s="246" t="n">
        <f aca="false">SUM(K1593:R1593)</f>
        <v>1</v>
      </c>
      <c r="J1593" s="182" t="n">
        <v>45827</v>
      </c>
      <c r="L1593" s="149" t="n">
        <v>1</v>
      </c>
      <c r="S1593" s="192" t="n">
        <f aca="false">(K1593+O1593+Q1593)*24 /1130+(L1593+M1593+P1593+R1593)*12/1130+(N1593*30)/1130</f>
        <v>0.0106194690265487</v>
      </c>
    </row>
    <row r="1594" customFormat="false" ht="15" hidden="true" customHeight="true" outlineLevel="0" collapsed="false">
      <c r="A1594" s="288"/>
      <c r="B1594" s="127" t="n">
        <f aca="false">B1593+D1594-C1594</f>
        <v>7893</v>
      </c>
      <c r="C1594" s="127" t="n">
        <f aca="false">638+185+70</f>
        <v>893</v>
      </c>
      <c r="E1594" s="212" t="s">
        <v>470</v>
      </c>
      <c r="F1594" s="147" t="str">
        <f aca="false">IFERROR(VLOOKUP(H1594,$AD$1:$AE$301,2,0),"")</f>
        <v/>
      </c>
      <c r="G1594" s="147" t="str">
        <f aca="false">IFERROR(VLOOKUP(F1594,$AE$2:$AF$290,2, 0),"")</f>
        <v/>
      </c>
      <c r="H1594" s="212" t="s">
        <v>393</v>
      </c>
      <c r="I1594" s="246" t="n">
        <f aca="false">SUM(K1594:R1594)</f>
        <v>0</v>
      </c>
      <c r="J1594" s="182" t="n">
        <v>45827</v>
      </c>
      <c r="S1594" s="192" t="n">
        <f aca="false">(K1594+O1594+Q1594)*24 /1130+(L1594+M1594+P1594+R1594)*12/1130+(N1594*30)/1130</f>
        <v>0</v>
      </c>
    </row>
    <row r="1595" customFormat="false" ht="15" hidden="true" customHeight="true" outlineLevel="0" collapsed="false">
      <c r="A1595" s="288"/>
      <c r="B1595" s="127" t="n">
        <f aca="false">B1594+D1595-C1595</f>
        <v>3736.25</v>
      </c>
      <c r="C1595" s="127" t="n">
        <f aca="false">3156.75+1000</f>
        <v>4156.75</v>
      </c>
      <c r="E1595" s="212" t="s">
        <v>662</v>
      </c>
      <c r="F1595" s="147" t="str">
        <f aca="false">IFERROR(VLOOKUP(H1595,$AD$1:$AE$301,2,0),"")</f>
        <v/>
      </c>
      <c r="G1595" s="147" t="str">
        <f aca="false">IFERROR(VLOOKUP(F1595,$AE$2:$AF$290,2, 0),"")</f>
        <v/>
      </c>
      <c r="H1595" s="212" t="s">
        <v>393</v>
      </c>
      <c r="I1595" s="246" t="n">
        <f aca="false">SUM(K1595:R1595)</f>
        <v>0</v>
      </c>
      <c r="J1595" s="182" t="n">
        <v>45827</v>
      </c>
      <c r="S1595" s="192" t="n">
        <f aca="false">(K1595+O1595+Q1595)*24 /1130+(L1595+M1595+P1595+R1595)*12/1130+(N1595*30)/1130</f>
        <v>0</v>
      </c>
    </row>
    <row r="1596" customFormat="false" ht="15" hidden="true" customHeight="true" outlineLevel="0" collapsed="false">
      <c r="B1596" s="127" t="n">
        <f aca="false">B1595+D1596-C1596</f>
        <v>0.25</v>
      </c>
      <c r="C1596" s="127" t="n">
        <v>3736</v>
      </c>
      <c r="E1596" s="212" t="s">
        <v>653</v>
      </c>
      <c r="F1596" s="147" t="str">
        <f aca="false">IFERROR(VLOOKUP(H1596,$AD$1:$AE$301,2,0),"")</f>
        <v/>
      </c>
      <c r="G1596" s="147" t="str">
        <f aca="false">IFERROR(VLOOKUP(F1596,$AE$2:$AF$290,2, 0),"")</f>
        <v/>
      </c>
      <c r="H1596" s="212" t="s">
        <v>393</v>
      </c>
      <c r="I1596" s="246" t="n">
        <f aca="false">SUM(K1596:R1596)</f>
        <v>0</v>
      </c>
      <c r="J1596" s="182" t="n">
        <v>45830</v>
      </c>
      <c r="S1596" s="192" t="n">
        <f aca="false">(K1596+O1596+Q1596)*24 /1130+(L1596+M1596+P1596+R1596)*12/1130+(N1596*30)/1130</f>
        <v>0</v>
      </c>
    </row>
    <row r="1597" customFormat="false" ht="15" hidden="true" customHeight="true" outlineLevel="0" collapsed="false">
      <c r="A1597" s="128" t="n">
        <f aca="false">D1597-69*5</f>
        <v>0</v>
      </c>
      <c r="B1597" s="127" t="n">
        <f aca="false">B1596+D1597-C1597</f>
        <v>345.25</v>
      </c>
      <c r="D1597" s="146" t="n">
        <f aca="false">345</f>
        <v>345</v>
      </c>
      <c r="E1597" s="147" t="n">
        <v>1260</v>
      </c>
      <c r="F1597" s="147" t="n">
        <f aca="false">IFERROR(VLOOKUP(H1597,$AD$1:$AE$301,2,0),"")</f>
        <v>1076</v>
      </c>
      <c r="G1597" s="147" t="str">
        <f aca="false">IFERROR(VLOOKUP(F1597,$AE$2:$AF$290,2, 0),"")</f>
        <v>تبوك</v>
      </c>
      <c r="H1597" s="212" t="s">
        <v>244</v>
      </c>
      <c r="I1597" s="246" t="n">
        <f aca="false">SUM(K1597:R1597)</f>
        <v>1</v>
      </c>
      <c r="J1597" s="182" t="n">
        <v>45830</v>
      </c>
      <c r="M1597" s="150" t="n">
        <v>1</v>
      </c>
      <c r="S1597" s="192" t="n">
        <f aca="false">(K1597+O1597+Q1597)*24 /1130+(L1597+M1597+P1597+R1597)*12/1130+(N1597*30)/1130</f>
        <v>0.0106194690265487</v>
      </c>
    </row>
    <row r="1598" customFormat="false" ht="15" hidden="true" customHeight="true" outlineLevel="0" collapsed="false">
      <c r="A1598" s="128" t="n">
        <f aca="false">D1598-1317.5-281</f>
        <v>0</v>
      </c>
      <c r="B1598" s="127" t="n">
        <f aca="false">B1597+D1598-C1598</f>
        <v>1943.75</v>
      </c>
      <c r="D1598" s="146" t="n">
        <f aca="false">263.5*5+281</f>
        <v>1598.5</v>
      </c>
      <c r="E1598" s="147" t="n">
        <v>1261</v>
      </c>
      <c r="F1598" s="147" t="n">
        <f aca="false">IFERROR(VLOOKUP(H1598,$AD$1:$AE$301,2,0),"")</f>
        <v>587</v>
      </c>
      <c r="G1598" s="147" t="str">
        <f aca="false">IFERROR(VLOOKUP(F1598,$AE$2:$AF$290,2, 0),"")</f>
        <v>تبوك</v>
      </c>
      <c r="H1598" s="212" t="s">
        <v>226</v>
      </c>
      <c r="I1598" s="246" t="n">
        <f aca="false">SUM(K1598:R1598)</f>
        <v>6</v>
      </c>
      <c r="J1598" s="182" t="n">
        <v>45830</v>
      </c>
      <c r="N1598" s="151" t="n">
        <v>6</v>
      </c>
      <c r="S1598" s="192" t="n">
        <f aca="false">(K1598+O1598+Q1598)*24 /1130+(L1598+M1598+P1598+R1598)*12/1130+(N1598*30)/1130</f>
        <v>0.15929203539823</v>
      </c>
    </row>
    <row r="1599" customFormat="false" ht="15" hidden="true" customHeight="true" outlineLevel="0" collapsed="false">
      <c r="B1599" s="127" t="n">
        <f aca="false">B1598+D1599-C1599</f>
        <v>0.75</v>
      </c>
      <c r="C1599" s="127" t="n">
        <f aca="false">120+593+1000+230</f>
        <v>1943</v>
      </c>
      <c r="E1599" s="212" t="s">
        <v>470</v>
      </c>
      <c r="F1599" s="147" t="str">
        <f aca="false">IFERROR(VLOOKUP(H1599,$AD$1:$AE$301,2,0),"")</f>
        <v/>
      </c>
      <c r="G1599" s="147" t="str">
        <f aca="false">IFERROR(VLOOKUP(F1599,$AE$2:$AF$290,2, 0),"")</f>
        <v/>
      </c>
      <c r="H1599" s="212" t="s">
        <v>393</v>
      </c>
      <c r="I1599" s="246" t="n">
        <f aca="false">SUM(K1599:R1599)</f>
        <v>0</v>
      </c>
      <c r="J1599" s="182" t="n">
        <v>45830</v>
      </c>
      <c r="S1599" s="192" t="n">
        <f aca="false">(K1599+O1599+Q1599)*24 /1130+(L1599+M1599+P1599+R1599)*12/1130+(N1599*30)/1130</f>
        <v>0</v>
      </c>
    </row>
    <row r="1600" customFormat="false" ht="15" hidden="true" customHeight="true" outlineLevel="0" collapsed="false">
      <c r="B1600" s="127" t="n">
        <f aca="false">B1599+D1600-C1600</f>
        <v>3220.75</v>
      </c>
      <c r="D1600" s="146" t="n">
        <f aca="false">327.75*5+316.25*5</f>
        <v>3220</v>
      </c>
      <c r="E1600" s="147" t="n">
        <v>1262</v>
      </c>
      <c r="F1600" s="147" t="n">
        <f aca="false">IFERROR(VLOOKUP(H1600,$AD$1:$AE$301,2,0),"")</f>
        <v>860</v>
      </c>
      <c r="G1600" s="147" t="str">
        <f aca="false">IFERROR(VLOOKUP(F1600,$AE$2:$AF$290,2, 0),"")</f>
        <v>تبوك</v>
      </c>
      <c r="H1600" s="212" t="s">
        <v>284</v>
      </c>
      <c r="I1600" s="246" t="n">
        <f aca="false">SUM(K1600:R1600)</f>
        <v>12</v>
      </c>
      <c r="J1600" s="182" t="n">
        <v>45830</v>
      </c>
      <c r="K1600" s="148" t="n">
        <v>6</v>
      </c>
      <c r="N1600" s="151" t="n">
        <v>6</v>
      </c>
      <c r="S1600" s="192" t="n">
        <f aca="false">(K1600+O1600+Q1600)*24 /1130+(L1600+M1600+P1600+R1600)*12/1130+(N1600*30)/1130</f>
        <v>0.286725663716814</v>
      </c>
    </row>
    <row r="1601" customFormat="false" ht="15" hidden="true" customHeight="true" outlineLevel="0" collapsed="false">
      <c r="A1601" s="128" t="n">
        <f aca="false">D1601-310.5</f>
        <v>0</v>
      </c>
      <c r="B1601" s="127" t="n">
        <f aca="false">B1600+D1601-C1601</f>
        <v>3531.25</v>
      </c>
      <c r="D1601" s="146" t="n">
        <f aca="false">155.25*2</f>
        <v>310.5</v>
      </c>
      <c r="E1601" s="147" t="n">
        <v>1263</v>
      </c>
      <c r="F1601" s="147" t="n">
        <f aca="false">IFERROR(VLOOKUP(H1601,$AD$1:$AE$301,2,0),"")</f>
        <v>653</v>
      </c>
      <c r="G1601" s="147" t="str">
        <f aca="false">IFERROR(VLOOKUP(F1601,$AE$2:$AF$290,2, 0),"")</f>
        <v>تبوك</v>
      </c>
      <c r="H1601" s="212" t="s">
        <v>264</v>
      </c>
      <c r="I1601" s="246" t="n">
        <f aca="false">SUM(K1601:R1601)</f>
        <v>2</v>
      </c>
      <c r="J1601" s="182" t="n">
        <v>45828</v>
      </c>
      <c r="R1601" s="155" t="n">
        <v>2</v>
      </c>
      <c r="S1601" s="192" t="n">
        <f aca="false">(K1601+O1601+Q1601)*24 /1130+(L1601+M1601+P1601+R1601)*12/1130+(N1601*30)/1130</f>
        <v>0.0212389380530973</v>
      </c>
    </row>
    <row r="1602" customFormat="false" ht="15" hidden="true" customHeight="true" outlineLevel="0" collapsed="false">
      <c r="B1602" s="127" t="n">
        <f aca="false">B1601+D1602-C1602</f>
        <v>0</v>
      </c>
      <c r="C1602" s="127" t="n">
        <v>3531</v>
      </c>
      <c r="D1602" s="146" t="n">
        <v>-0.25</v>
      </c>
      <c r="E1602" s="212" t="s">
        <v>653</v>
      </c>
      <c r="F1602" s="147" t="str">
        <f aca="false">IFERROR(VLOOKUP(H1602,$AD$1:$AE$301,2,0),"")</f>
        <v/>
      </c>
      <c r="G1602" s="147" t="str">
        <f aca="false">IFERROR(VLOOKUP(F1602,$AE$2:$AF$290,2, 0),"")</f>
        <v/>
      </c>
      <c r="H1602" s="212" t="s">
        <v>393</v>
      </c>
      <c r="I1602" s="246" t="n">
        <f aca="false">SUM(K1602:R1602)</f>
        <v>0</v>
      </c>
      <c r="J1602" s="182" t="n">
        <v>45832</v>
      </c>
      <c r="S1602" s="192" t="n">
        <f aca="false">(K1602+O1602+Q1602)*24 /1130+(L1602+M1602+P1602+R1602)*12/1130+(N1602*30)/1130</f>
        <v>0</v>
      </c>
    </row>
    <row r="1603" customFormat="false" ht="15" hidden="true" customHeight="true" outlineLevel="0" collapsed="false">
      <c r="B1603" s="127" t="n">
        <f aca="false">B1602+D1603-C1603</f>
        <v>1638.75</v>
      </c>
      <c r="D1603" s="146" t="n">
        <f aca="false">327.75*5</f>
        <v>1638.75</v>
      </c>
      <c r="E1603" s="147" t="n">
        <v>1264</v>
      </c>
      <c r="F1603" s="147" t="n">
        <f aca="false">IFERROR(VLOOKUP(H1603,$AD$1:$AE$301,2,0),"")</f>
        <v>652</v>
      </c>
      <c r="G1603" s="147" t="str">
        <f aca="false">IFERROR(VLOOKUP(F1603,$AE$2:$AF$290,2, 0),"")</f>
        <v>تبوك</v>
      </c>
      <c r="H1603" s="212" t="s">
        <v>263</v>
      </c>
      <c r="I1603" s="246" t="n">
        <f aca="false">SUM(K1603:R1603)</f>
        <v>6</v>
      </c>
      <c r="J1603" s="182" t="n">
        <v>45832</v>
      </c>
      <c r="K1603" s="148" t="n">
        <v>6</v>
      </c>
      <c r="S1603" s="192" t="n">
        <f aca="false">(K1603+O1603+Q1603)*24 /1130+(L1603+M1603+P1603+R1603)*12/1130+(N1603*30)/1130</f>
        <v>0.127433628318584</v>
      </c>
    </row>
    <row r="1604" customFormat="false" ht="15" hidden="true" customHeight="true" outlineLevel="0" collapsed="false">
      <c r="B1604" s="127" t="n">
        <f aca="false">B1603+D1604-C1604</f>
        <v>2346</v>
      </c>
      <c r="D1604" s="146" t="n">
        <f aca="false">235.75*3</f>
        <v>707.25</v>
      </c>
      <c r="E1604" s="147" t="n">
        <v>1265</v>
      </c>
      <c r="F1604" s="147" t="n">
        <f aca="false">IFERROR(VLOOKUP(H1604,$AD$1:$AE$301,2,0),"")</f>
        <v>813</v>
      </c>
      <c r="G1604" s="147" t="str">
        <f aca="false">IFERROR(VLOOKUP(F1604,$AE$2:$AF$290,2, 0),"")</f>
        <v>تبوك</v>
      </c>
      <c r="H1604" s="212" t="s">
        <v>229</v>
      </c>
      <c r="I1604" s="246" t="n">
        <f aca="false">SUM(K1604:R1604)</f>
        <v>3</v>
      </c>
      <c r="J1604" s="182" t="n">
        <v>45832</v>
      </c>
      <c r="M1604" s="150" t="n">
        <v>3</v>
      </c>
      <c r="S1604" s="192" t="n">
        <f aca="false">(K1604+O1604+Q1604)*24 /1130+(L1604+M1604+P1604+R1604)*12/1130+(N1604*30)/1130</f>
        <v>0.031858407079646</v>
      </c>
    </row>
    <row r="1605" customFormat="false" ht="15" hidden="true" customHeight="true" outlineLevel="0" collapsed="false">
      <c r="A1605" s="128" t="n">
        <f aca="false">D1605+273-270-158</f>
        <v>0.25</v>
      </c>
      <c r="B1605" s="127" t="n">
        <f aca="false">B1604+D1605-C1605</f>
        <v>2501.25</v>
      </c>
      <c r="D1605" s="146" t="n">
        <v>155.25</v>
      </c>
      <c r="E1605" s="147" t="n">
        <v>1266</v>
      </c>
      <c r="F1605" s="147" t="n">
        <f aca="false">IFERROR(VLOOKUP(H1605,$AD$1:$AE$301,2,0),"")</f>
        <v>635</v>
      </c>
      <c r="G1605" s="147" t="str">
        <f aca="false">IFERROR(VLOOKUP(F1605,$AE$2:$AF$290,2, 0),"")</f>
        <v>تبوك</v>
      </c>
      <c r="H1605" s="212" t="s">
        <v>157</v>
      </c>
      <c r="I1605" s="246" t="n">
        <f aca="false">SUM(K1605:R1605)</f>
        <v>1</v>
      </c>
      <c r="J1605" s="182" t="n">
        <v>45832</v>
      </c>
      <c r="R1605" s="155" t="n">
        <v>1</v>
      </c>
      <c r="S1605" s="192" t="n">
        <f aca="false">(K1605+O1605+Q1605)*24 /1130+(L1605+M1605+P1605+R1605)*12/1130+(N1605*30)/1130</f>
        <v>0.0106194690265487</v>
      </c>
    </row>
    <row r="1606" customFormat="false" ht="15" hidden="true" customHeight="true" outlineLevel="0" collapsed="false">
      <c r="A1606" s="128" t="n">
        <f aca="false">D1606+546-48-120-214-10-395</f>
        <v>0.5</v>
      </c>
      <c r="B1606" s="127" t="n">
        <f aca="false">B1605+D1606-C1606</f>
        <v>2742.75</v>
      </c>
      <c r="D1606" s="146" t="n">
        <f aca="false">241.5</f>
        <v>241.5</v>
      </c>
      <c r="E1606" s="147" t="n">
        <v>1267</v>
      </c>
      <c r="F1606" s="147" t="n">
        <f aca="false">IFERROR(VLOOKUP(H1606,$AD$1:$AE$301,2,0),"")</f>
        <v>1002901</v>
      </c>
      <c r="G1606" s="147" t="str">
        <f aca="false">IFERROR(VLOOKUP(F1606,$AE$2:$AF$290,2, 0),"")</f>
        <v>تبوك</v>
      </c>
      <c r="H1606" s="212" t="s">
        <v>153</v>
      </c>
      <c r="I1606" s="246" t="n">
        <f aca="false">SUM(K1606:R1606)</f>
        <v>1</v>
      </c>
      <c r="J1606" s="182" t="n">
        <v>45832</v>
      </c>
      <c r="O1606" s="152" t="n">
        <v>1</v>
      </c>
      <c r="S1606" s="192" t="n">
        <f aca="false">(K1606+O1606+Q1606)*24 /1130+(L1606+M1606+P1606+R1606)*12/1130+(N1606*30)/1130</f>
        <v>0.0212389380530973</v>
      </c>
      <c r="U1606" s="233"/>
      <c r="V1606" s="233"/>
      <c r="W1606" s="233"/>
      <c r="X1606" s="233"/>
      <c r="Y1606" s="233"/>
      <c r="Z1606" s="233"/>
    </row>
    <row r="1607" customFormat="false" ht="15" hidden="true" customHeight="true" outlineLevel="0" collapsed="false">
      <c r="A1607" s="128" t="n">
        <f aca="false">D1607+1092-1000-500-644-100-400</f>
        <v>0.5</v>
      </c>
      <c r="B1607" s="127" t="n">
        <f aca="false">B1606+D1607-C1607</f>
        <v>4295.25</v>
      </c>
      <c r="D1607" s="146" t="n">
        <f aca="false">264.5+299+253*2+241.5*2</f>
        <v>1552.5</v>
      </c>
      <c r="E1607" s="147" t="n">
        <v>1268</v>
      </c>
      <c r="F1607" s="147" t="n">
        <f aca="false">IFERROR(VLOOKUP(H1607,$AD$1:$AE$301,2,0),"")</f>
        <v>827</v>
      </c>
      <c r="G1607" s="147" t="str">
        <f aca="false">IFERROR(VLOOKUP(F1607,$AE$2:$AF$290,2, 0),"")</f>
        <v>تبوك</v>
      </c>
      <c r="H1607" s="212" t="s">
        <v>182</v>
      </c>
      <c r="I1607" s="246" t="n">
        <f aca="false">SUM(K1607:R1607)</f>
        <v>6</v>
      </c>
      <c r="J1607" s="182" t="n">
        <v>45827</v>
      </c>
      <c r="M1607" s="150" t="n">
        <v>2</v>
      </c>
      <c r="O1607" s="152" t="n">
        <f aca="false">1+1</f>
        <v>2</v>
      </c>
      <c r="R1607" s="155" t="n">
        <f aca="false">1+1</f>
        <v>2</v>
      </c>
      <c r="S1607" s="192" t="n">
        <f aca="false">(K1607+O1607+Q1607)*24 /1130+(L1607+M1607+P1607+R1607)*12/1130+(N1607*30)/1130</f>
        <v>0.0849557522123894</v>
      </c>
    </row>
    <row r="1608" customFormat="false" ht="15" hidden="true" customHeight="true" outlineLevel="0" collapsed="false">
      <c r="B1608" s="127" t="n">
        <f aca="false">B1607+D1608-C1608</f>
        <v>0</v>
      </c>
      <c r="C1608" s="127" t="n">
        <v>4295</v>
      </c>
      <c r="D1608" s="146" t="n">
        <v>-0.25</v>
      </c>
      <c r="E1608" s="212" t="s">
        <v>470</v>
      </c>
      <c r="F1608" s="147" t="str">
        <f aca="false">IFERROR(VLOOKUP(H1608,$AD$1:$AE$301,2,0),"")</f>
        <v/>
      </c>
      <c r="G1608" s="147" t="str">
        <f aca="false">IFERROR(VLOOKUP(F1608,$AE$2:$AF$290,2, 0),"")</f>
        <v/>
      </c>
      <c r="H1608" s="212" t="s">
        <v>393</v>
      </c>
      <c r="I1608" s="246" t="n">
        <f aca="false">SUM(K1608:R1608)</f>
        <v>0</v>
      </c>
      <c r="J1608" s="182" t="n">
        <v>45832</v>
      </c>
      <c r="S1608" s="192" t="n">
        <f aca="false">(K1608+O1608+Q1608)*24 /1130+(L1608+M1608+P1608+R1608)*12/1130+(N1608*30)/1130</f>
        <v>0</v>
      </c>
    </row>
    <row r="1609" customFormat="false" ht="15" hidden="true" customHeight="true" outlineLevel="0" collapsed="false">
      <c r="B1609" s="127" t="n">
        <f aca="false">B1608+D1609-C1609</f>
        <v>1173</v>
      </c>
      <c r="D1609" s="146" t="n">
        <f aca="false">299+264.5*2+345</f>
        <v>1173</v>
      </c>
      <c r="E1609" s="147" t="n">
        <v>1269</v>
      </c>
      <c r="F1609" s="147" t="n">
        <f aca="false">IFERROR(VLOOKUP(H1609,$AD$1:$AE$301,2,0),"")</f>
        <v>566</v>
      </c>
      <c r="G1609" s="147" t="str">
        <f aca="false">IFERROR(VLOOKUP(F1609,$AE$2:$AF$290,2, 0),"")</f>
        <v>تبوك</v>
      </c>
      <c r="H1609" s="212" t="s">
        <v>168</v>
      </c>
      <c r="I1609" s="246" t="n">
        <f aca="false">SUM(K1609:R1609)</f>
        <v>4</v>
      </c>
      <c r="J1609" s="182" t="n">
        <v>45833</v>
      </c>
      <c r="R1609" s="155" t="n">
        <f aca="false">1+1+2</f>
        <v>4</v>
      </c>
      <c r="S1609" s="192" t="n">
        <f aca="false">(K1609+O1609+Q1609)*24 /1130+(L1609+M1609+P1609+R1609)*12/1130+(N1609*30)/1130</f>
        <v>0.0424778761061947</v>
      </c>
    </row>
    <row r="1610" customFormat="false" ht="15" hidden="true" customHeight="true" outlineLevel="0" collapsed="false">
      <c r="B1610" s="127" t="n">
        <f aca="false">B1609+D1610-C1610</f>
        <v>1466.25</v>
      </c>
      <c r="D1610" s="146" t="n">
        <f aca="false">155.25+138</f>
        <v>293.25</v>
      </c>
      <c r="E1610" s="147" t="n">
        <v>1270</v>
      </c>
      <c r="F1610" s="147" t="n">
        <f aca="false">IFERROR(VLOOKUP(H1610,$AD$1:$AE$301,2,0),"")</f>
        <v>1007976</v>
      </c>
      <c r="G1610" s="147" t="str">
        <f aca="false">IFERROR(VLOOKUP(F1610,$AE$2:$AF$290,2, 0),"")</f>
        <v>ضباء</v>
      </c>
      <c r="H1610" s="212" t="s">
        <v>77</v>
      </c>
      <c r="I1610" s="246" t="n">
        <f aca="false">SUM(K1610:R1610)</f>
        <v>2</v>
      </c>
      <c r="J1610" s="182" t="n">
        <v>45833</v>
      </c>
      <c r="Q1610" s="154" t="n">
        <v>1</v>
      </c>
      <c r="R1610" s="155" t="n">
        <v>1</v>
      </c>
      <c r="S1610" s="192" t="n">
        <f aca="false">(K1610+O1610+Q1610)*24 /1130+(L1610+M1610+P1610+R1610)*12/1130+(N1610*30)/1130</f>
        <v>0.031858407079646</v>
      </c>
    </row>
    <row r="1611" customFormat="false" ht="15" hidden="true" customHeight="true" outlineLevel="0" collapsed="false">
      <c r="B1611" s="127" t="n">
        <f aca="false">B1610+D1611-C1611</f>
        <v>4858.75</v>
      </c>
      <c r="D1611" s="146" t="n">
        <f aca="false">327.75*5+155.25*2+195.5*5+241.5+224.25</f>
        <v>3392.5</v>
      </c>
      <c r="E1611" s="147" t="n">
        <v>1271</v>
      </c>
      <c r="F1611" s="147" t="n">
        <f aca="false">IFERROR(VLOOKUP(H1611,$AD$1:$AE$301,2,0),"")</f>
        <v>1008023</v>
      </c>
      <c r="G1611" s="147" t="str">
        <f aca="false">IFERROR(VLOOKUP(F1611,$AE$2:$AF$290,2, 0),"")</f>
        <v>ضباء</v>
      </c>
      <c r="H1611" s="212" t="s">
        <v>95</v>
      </c>
      <c r="I1611" s="246" t="n">
        <f aca="false">SUM(K1611:R1611)</f>
        <v>15</v>
      </c>
      <c r="J1611" s="182" t="n">
        <v>45829</v>
      </c>
      <c r="K1611" s="148" t="n">
        <v>6</v>
      </c>
      <c r="Q1611" s="154" t="n">
        <f aca="false">5+1</f>
        <v>6</v>
      </c>
      <c r="R1611" s="155" t="n">
        <f aca="false">2+1</f>
        <v>3</v>
      </c>
      <c r="S1611" s="192" t="n">
        <f aca="false">(K1611+O1611+Q1611)*24 /1130+(L1611+M1611+P1611+R1611)*12/1130+(N1611*30)/1130</f>
        <v>0.286725663716814</v>
      </c>
    </row>
    <row r="1612" customFormat="false" ht="15" hidden="true" customHeight="true" outlineLevel="0" collapsed="false">
      <c r="A1612" s="128" t="n">
        <f aca="false">D1612-546-1092</f>
        <v>0.75</v>
      </c>
      <c r="B1612" s="127" t="n">
        <f aca="false">B1611+D1612-C1612</f>
        <v>6497.5</v>
      </c>
      <c r="D1612" s="146" t="n">
        <f aca="false">327.75*5</f>
        <v>1638.75</v>
      </c>
      <c r="E1612" s="147" t="n">
        <v>1272</v>
      </c>
      <c r="F1612" s="147" t="n">
        <f aca="false">IFERROR(VLOOKUP(H1612,$AD$1:$AE$301,2,0),"")</f>
        <v>1008025</v>
      </c>
      <c r="G1612" s="147" t="str">
        <f aca="false">IFERROR(VLOOKUP(F1612,$AE$2:$AF$290,2, 0),"")</f>
        <v>ضباء</v>
      </c>
      <c r="H1612" s="212" t="s">
        <v>97</v>
      </c>
      <c r="I1612" s="246" t="n">
        <f aca="false">SUM(K1612:R1612)</f>
        <v>6</v>
      </c>
      <c r="J1612" s="182" t="n">
        <v>45833</v>
      </c>
      <c r="K1612" s="148" t="n">
        <v>6</v>
      </c>
      <c r="S1612" s="192" t="n">
        <f aca="false">(K1612+O1612+Q1612)*24 /1130+(L1612+M1612+P1612+R1612)*12/1130+(N1612*30)/1130</f>
        <v>0.127433628318584</v>
      </c>
    </row>
    <row r="1613" customFormat="false" ht="15" hidden="true" customHeight="true" outlineLevel="0" collapsed="false">
      <c r="A1613" s="128" t="n">
        <f aca="false">D1613-1638.75</f>
        <v>0</v>
      </c>
      <c r="B1613" s="127" t="n">
        <f aca="false">B1612+D1613-C1613</f>
        <v>8136.25</v>
      </c>
      <c r="D1613" s="146" t="n">
        <f aca="false">327.75*5</f>
        <v>1638.75</v>
      </c>
      <c r="E1613" s="147" t="n">
        <v>1273</v>
      </c>
      <c r="F1613" s="147" t="n">
        <f aca="false">IFERROR(VLOOKUP(H1613,$AD$1:$AE$301,2,0),"")</f>
        <v>1008048</v>
      </c>
      <c r="G1613" s="147" t="str">
        <f aca="false">IFERROR(VLOOKUP(F1613,$AE$2:$AF$290,2, 0),"")</f>
        <v>الوجه</v>
      </c>
      <c r="H1613" s="212" t="s">
        <v>110</v>
      </c>
      <c r="I1613" s="246" t="n">
        <f aca="false">SUM(K1613:R1613)</f>
        <v>6</v>
      </c>
      <c r="J1613" s="182" t="n">
        <v>45833</v>
      </c>
      <c r="K1613" s="148" t="n">
        <v>6</v>
      </c>
      <c r="S1613" s="192" t="n">
        <f aca="false">(K1613+O1613+Q1613)*24 /1130+(L1613+M1613+P1613+R1613)*12/1130+(N1613*30)/1130</f>
        <v>0.127433628318584</v>
      </c>
    </row>
    <row r="1614" customFormat="false" ht="15" hidden="true" customHeight="true" outlineLevel="0" collapsed="false">
      <c r="A1614" s="128" t="n">
        <f aca="false">D1614-17*5-29*2-600-1074</f>
        <v>0</v>
      </c>
      <c r="B1614" s="127" t="n">
        <f aca="false">B1613+D1614-C1614</f>
        <v>9953.25</v>
      </c>
      <c r="D1614" s="146" t="n">
        <f aca="false">327.75*5+178.25</f>
        <v>1817</v>
      </c>
      <c r="E1614" s="147" t="n">
        <v>1274</v>
      </c>
      <c r="F1614" s="147" t="n">
        <f aca="false">IFERROR(VLOOKUP(H1614,$AD$1:$AE$301,2,0),"")</f>
        <v>1008046</v>
      </c>
      <c r="G1614" s="147" t="str">
        <f aca="false">IFERROR(VLOOKUP(F1614,$AE$2:$AF$290,2, 0),"")</f>
        <v>الوجه</v>
      </c>
      <c r="H1614" s="212" t="s">
        <v>108</v>
      </c>
      <c r="I1614" s="246" t="n">
        <f aca="false">SUM(K1614:R1614)</f>
        <v>7</v>
      </c>
      <c r="J1614" s="182" t="n">
        <v>45833</v>
      </c>
      <c r="K1614" s="148" t="n">
        <v>6</v>
      </c>
      <c r="L1614" s="149" t="n">
        <v>1</v>
      </c>
      <c r="S1614" s="192" t="n">
        <f aca="false">(K1614+O1614+Q1614)*24 /1130+(L1614+M1614+P1614+R1614)*12/1130+(N1614*30)/1130</f>
        <v>0.138053097345133</v>
      </c>
    </row>
    <row r="1615" customFormat="false" ht="15" hidden="true" customHeight="true" outlineLevel="0" collapsed="false">
      <c r="B1615" s="127" t="n">
        <f aca="false">B1614+D1615-C1615</f>
        <v>6105.25</v>
      </c>
      <c r="C1615" s="127" t="n">
        <f aca="false">214+10+100+3173+351</f>
        <v>3848</v>
      </c>
      <c r="E1615" s="212" t="s">
        <v>470</v>
      </c>
      <c r="F1615" s="147" t="str">
        <f aca="false">IFERROR(VLOOKUP(H1615,$AD$1:$AE$301,2,0),"")</f>
        <v/>
      </c>
      <c r="G1615" s="147" t="str">
        <f aca="false">IFERROR(VLOOKUP(F1615,$AE$2:$AF$290,2, 0),"")</f>
        <v/>
      </c>
      <c r="H1615" s="398" t="s">
        <v>393</v>
      </c>
      <c r="I1615" s="246" t="n">
        <f aca="false">SUM(K1615:R1615)</f>
        <v>0</v>
      </c>
      <c r="J1615" s="182" t="n">
        <v>45833</v>
      </c>
      <c r="S1615" s="192" t="n">
        <f aca="false">(K1615+O1615+Q1615)*24 /1130+(L1615+M1615+P1615+R1615)*12/1130+(N1615*30)/1130</f>
        <v>0</v>
      </c>
    </row>
    <row r="1616" customFormat="false" ht="15" hidden="true" customHeight="true" outlineLevel="0" collapsed="false">
      <c r="B1616" s="127" t="n">
        <f aca="false">B1615+D1616-C1616</f>
        <v>0.75</v>
      </c>
      <c r="C1616" s="127" t="n">
        <f aca="false">3392.5+1074+600+1038</f>
        <v>6104.5</v>
      </c>
      <c r="E1616" s="212" t="s">
        <v>662</v>
      </c>
      <c r="F1616" s="147" t="str">
        <f aca="false">IFERROR(VLOOKUP(H1616,$AD$1:$AE$301,2,0),"")</f>
        <v/>
      </c>
      <c r="G1616" s="147" t="str">
        <f aca="false">IFERROR(VLOOKUP(F1616,$AE$2:$AF$290,2, 0),"")</f>
        <v/>
      </c>
      <c r="H1616" s="212" t="s">
        <v>393</v>
      </c>
      <c r="I1616" s="246" t="n">
        <f aca="false">SUM(K1616:R1616)</f>
        <v>0</v>
      </c>
      <c r="J1616" s="182" t="n">
        <v>45833</v>
      </c>
      <c r="S1616" s="192" t="n">
        <f aca="false">(K1616+O1616+Q1616)*24 /1130+(L1616+M1616+P1616+R1616)*12/1130+(N1616*30)/1130</f>
        <v>0</v>
      </c>
    </row>
    <row r="1617" customFormat="false" ht="15" hidden="true" customHeight="true" outlineLevel="0" collapsed="false">
      <c r="B1617" s="127" t="n">
        <f aca="false">B1616+D1617-C1617</f>
        <v>1835</v>
      </c>
      <c r="D1617" s="146" t="n">
        <f aca="false">327.75*5+195.5</f>
        <v>1834.25</v>
      </c>
      <c r="E1617" s="147" t="n">
        <v>1278</v>
      </c>
      <c r="F1617" s="147" t="n">
        <f aca="false">IFERROR(VLOOKUP(H1617,$AD$1:$AE$301,2,0),"")</f>
        <v>813</v>
      </c>
      <c r="G1617" s="147" t="str">
        <f aca="false">IFERROR(VLOOKUP(F1617,$AE$2:$AF$290,2, 0),"")</f>
        <v>تبوك</v>
      </c>
      <c r="H1617" s="212" t="s">
        <v>229</v>
      </c>
      <c r="I1617" s="246" t="n">
        <f aca="false">SUM(K1617:R1617)</f>
        <v>7</v>
      </c>
      <c r="J1617" s="182" t="n">
        <v>45831</v>
      </c>
      <c r="K1617" s="148" t="n">
        <v>6</v>
      </c>
      <c r="R1617" s="155" t="n">
        <v>1</v>
      </c>
      <c r="S1617" s="192" t="n">
        <f aca="false">(K1617+O1617+Q1617)*24 /1130+(L1617+M1617+P1617+R1617)*12/1130+(N1617*30)/1130</f>
        <v>0.138053097345133</v>
      </c>
    </row>
    <row r="1618" customFormat="false" ht="15" hidden="true" customHeight="true" outlineLevel="0" collapsed="false">
      <c r="A1618" s="128" t="n">
        <f aca="false">D1618-250-250</f>
        <v>6</v>
      </c>
      <c r="B1618" s="127" t="n">
        <f aca="false">B1617+D1618-C1618</f>
        <v>2341</v>
      </c>
      <c r="D1618" s="146" t="n">
        <f aca="false">253*2</f>
        <v>506</v>
      </c>
      <c r="E1618" s="147" t="n">
        <v>1280</v>
      </c>
      <c r="F1618" s="147" t="n">
        <f aca="false">IFERROR(VLOOKUP(H1618,$AD$1:$AE$301,2,0),"")</f>
        <v>1002949</v>
      </c>
      <c r="G1618" s="147" t="str">
        <f aca="false">IFERROR(VLOOKUP(F1618,$AE$2:$AF$290,2, 0),"")</f>
        <v>تبوك</v>
      </c>
      <c r="H1618" s="212" t="s">
        <v>169</v>
      </c>
      <c r="I1618" s="246" t="n">
        <f aca="false">SUM(K1618:R1618)</f>
        <v>2</v>
      </c>
      <c r="J1618" s="182" t="n">
        <v>45833</v>
      </c>
      <c r="M1618" s="150" t="n">
        <v>2</v>
      </c>
      <c r="S1618" s="192" t="n">
        <f aca="false">(K1618+O1618+Q1618)*24 /1130+(L1618+M1618+P1618+R1618)*12/1130+(N1618*30)/1130</f>
        <v>0.0212389380530973</v>
      </c>
    </row>
    <row r="1619" customFormat="false" ht="15" hidden="true" customHeight="true" outlineLevel="0" collapsed="false">
      <c r="A1619" s="128" t="n">
        <f aca="false">D1619+546-1351</f>
        <v>0</v>
      </c>
      <c r="B1619" s="127" t="n">
        <f aca="false">B1618+D1619-C1619</f>
        <v>3146</v>
      </c>
      <c r="D1619" s="146" t="n">
        <f aca="false">253*2+299</f>
        <v>805</v>
      </c>
      <c r="E1619" s="147" t="n">
        <v>1279</v>
      </c>
      <c r="F1619" s="147" t="n">
        <f aca="false">IFERROR(VLOOKUP(H1619,$AD$1:$AE$301,2,0),"")</f>
        <v>1002949</v>
      </c>
      <c r="G1619" s="147" t="str">
        <f aca="false">IFERROR(VLOOKUP(F1619,$AE$2:$AF$290,2, 0),"")</f>
        <v>تبوك</v>
      </c>
      <c r="H1619" s="212" t="s">
        <v>169</v>
      </c>
      <c r="I1619" s="246" t="n">
        <f aca="false">SUM(K1619:R1619)</f>
        <v>3</v>
      </c>
      <c r="J1619" s="182" t="n">
        <v>45836</v>
      </c>
      <c r="M1619" s="150" t="n">
        <v>2</v>
      </c>
      <c r="R1619" s="155" t="n">
        <v>1</v>
      </c>
      <c r="S1619" s="192" t="n">
        <f aca="false">(K1619+O1619+Q1619)*24 /1130+(L1619+M1619+P1619+R1619)*12/1130+(N1619*30)/1130</f>
        <v>0.031858407079646</v>
      </c>
    </row>
    <row r="1620" customFormat="false" ht="15" hidden="true" customHeight="true" outlineLevel="0" collapsed="false">
      <c r="A1620" s="128" t="n">
        <f aca="false">D1620-546-593-500</f>
        <v>-0.25</v>
      </c>
      <c r="B1620" s="127" t="n">
        <f aca="false">B1619+D1620-C1620</f>
        <v>4784.75</v>
      </c>
      <c r="D1620" s="146" t="n">
        <f aca="false">5*327.75</f>
        <v>1638.75</v>
      </c>
      <c r="E1620" s="147" t="n">
        <v>1275</v>
      </c>
      <c r="F1620" s="147" t="n">
        <f aca="false">IFERROR(VLOOKUP(H1620,$AD$1:$AE$301,2,0),"")</f>
        <v>1008272</v>
      </c>
      <c r="G1620" s="147" t="str">
        <f aca="false">IFERROR(VLOOKUP(F1620,$AE$2:$AF$290,2, 0),"")</f>
        <v>تبوك</v>
      </c>
      <c r="H1620" s="212" t="s">
        <v>143</v>
      </c>
      <c r="I1620" s="246" t="n">
        <f aca="false">SUM(K1620:R1620)</f>
        <v>6</v>
      </c>
      <c r="J1620" s="182" t="n">
        <v>45836</v>
      </c>
      <c r="K1620" s="148" t="n">
        <v>6</v>
      </c>
      <c r="S1620" s="192" t="n">
        <f aca="false">(K1620+O1620+Q1620)*24 /1130+(L1620+M1620+P1620+R1620)*12/1130+(N1620*30)/1130</f>
        <v>0.127433628318584</v>
      </c>
    </row>
    <row r="1621" customFormat="false" ht="15" hidden="true" customHeight="true" outlineLevel="0" collapsed="false">
      <c r="A1621" s="128" t="n">
        <f aca="false">D1621+546-25*5-2-898+249</f>
        <v>0</v>
      </c>
      <c r="B1621" s="127" t="n">
        <f aca="false">B1620+D1621-C1621</f>
        <v>5014.75</v>
      </c>
      <c r="D1621" s="146" t="n">
        <f aca="false">230</f>
        <v>230</v>
      </c>
      <c r="E1621" s="147" t="n">
        <v>1276</v>
      </c>
      <c r="F1621" s="147" t="n">
        <f aca="false">IFERROR(VLOOKUP(H1621,$AD$1:$AE$301,2,0),"")</f>
        <v>1002861</v>
      </c>
      <c r="G1621" s="147" t="str">
        <f aca="false">IFERROR(VLOOKUP(F1621,$AE$2:$AF$290,2, 0),"")</f>
        <v>تبوك</v>
      </c>
      <c r="H1621" s="212" t="s">
        <v>275</v>
      </c>
      <c r="I1621" s="246" t="n">
        <f aca="false">SUM(K1621:R1621)</f>
        <v>1</v>
      </c>
      <c r="J1621" s="182" t="n">
        <v>45836</v>
      </c>
      <c r="M1621" s="150" t="n">
        <v>1</v>
      </c>
      <c r="S1621" s="192" t="n">
        <f aca="false">(K1621+O1621+Q1621)*24 /1130+(L1621+M1621+P1621+R1621)*12/1130+(N1621*30)/1130</f>
        <v>0.0106194690265487</v>
      </c>
    </row>
    <row r="1622" customFormat="false" ht="15" hidden="true" customHeight="true" outlineLevel="0" collapsed="false">
      <c r="A1622" s="128" t="n">
        <f aca="false">D1622-790-790</f>
        <v>1.25</v>
      </c>
      <c r="B1622" s="127" t="n">
        <f aca="false">B1621+D1622-C1622</f>
        <v>6596</v>
      </c>
      <c r="D1622" s="146" t="n">
        <f aca="false">263.5*6+0.25</f>
        <v>1581.25</v>
      </c>
      <c r="E1622" s="147" t="n">
        <v>1277</v>
      </c>
      <c r="F1622" s="147" t="n">
        <f aca="false">IFERROR(VLOOKUP(H1622,$AD$1:$AE$301,2,0),"")</f>
        <v>1008276</v>
      </c>
      <c r="G1622" s="147" t="str">
        <f aca="false">IFERROR(VLOOKUP(F1622,$AE$2:$AF$290,2, 0),"")</f>
        <v>تبوك</v>
      </c>
      <c r="H1622" s="212" t="s">
        <v>145</v>
      </c>
      <c r="I1622" s="246" t="n">
        <f aca="false">SUM(K1622:R1622)</f>
        <v>6</v>
      </c>
      <c r="J1622" s="182" t="n">
        <v>45836</v>
      </c>
      <c r="N1622" s="151" t="n">
        <f aca="false">3+3</f>
        <v>6</v>
      </c>
      <c r="S1622" s="192" t="n">
        <f aca="false">(K1622+O1622+Q1622)*24 /1130+(L1622+M1622+P1622+R1622)*12/1130+(N1622*30)/1130</f>
        <v>0.15929203539823</v>
      </c>
    </row>
    <row r="1623" customFormat="false" ht="15" hidden="true" customHeight="true" outlineLevel="0" collapsed="false">
      <c r="A1623" s="128" t="n">
        <f aca="false">D1623-820+248-600-50-273-100-45</f>
        <v>-1.25</v>
      </c>
      <c r="B1623" s="127" t="n">
        <f aca="false">B1622+D1623-C1623</f>
        <v>8234.75</v>
      </c>
      <c r="D1623" s="146" t="n">
        <f aca="false">5*327.75</f>
        <v>1638.75</v>
      </c>
      <c r="E1623" s="147" t="n">
        <v>1281</v>
      </c>
      <c r="F1623" s="147" t="n">
        <f aca="false">IFERROR(VLOOKUP(H1623,$AD$1:$AE$301,2,0),"")</f>
        <v>1008262</v>
      </c>
      <c r="G1623" s="147" t="str">
        <f aca="false">IFERROR(VLOOKUP(F1623,$AE$2:$AF$290,2, 0),"")</f>
        <v>تبوك</v>
      </c>
      <c r="H1623" s="212" t="s">
        <v>176</v>
      </c>
      <c r="I1623" s="246" t="n">
        <f aca="false">SUM(K1623:R1623)</f>
        <v>6</v>
      </c>
      <c r="J1623" s="182" t="n">
        <v>45836</v>
      </c>
      <c r="K1623" s="148" t="n">
        <v>6</v>
      </c>
      <c r="S1623" s="192" t="n">
        <f aca="false">(K1623+O1623+Q1623)*24 /1130+(L1623+M1623+P1623+R1623)*12/1130+(N1623*30)/1130</f>
        <v>0.127433628318584</v>
      </c>
    </row>
    <row r="1624" customFormat="false" ht="15" hidden="true" customHeight="true" outlineLevel="0" collapsed="false">
      <c r="B1624" s="127" t="n">
        <f aca="false">B1623+D1624-C1624</f>
        <v>9873.5</v>
      </c>
      <c r="D1624" s="146" t="n">
        <f aca="false">5*327.75</f>
        <v>1638.75</v>
      </c>
      <c r="E1624" s="147" t="n">
        <v>1282</v>
      </c>
      <c r="F1624" s="147" t="n">
        <f aca="false">IFERROR(VLOOKUP(H1624,$AD$1:$AE$301,2,0),"")</f>
        <v>827</v>
      </c>
      <c r="G1624" s="147" t="str">
        <f aca="false">IFERROR(VLOOKUP(F1624,$AE$2:$AF$290,2, 0),"")</f>
        <v>تبوك</v>
      </c>
      <c r="H1624" s="212" t="s">
        <v>182</v>
      </c>
      <c r="I1624" s="246" t="n">
        <f aca="false">SUM(K1624:R1624)</f>
        <v>6</v>
      </c>
      <c r="J1624" s="182" t="n">
        <v>45836</v>
      </c>
      <c r="K1624" s="148" t="n">
        <v>6</v>
      </c>
      <c r="S1624" s="192" t="n">
        <f aca="false">(K1624+O1624+Q1624)*24 /1130+(L1624+M1624+P1624+R1624)*12/1130+(N1624*30)/1130</f>
        <v>0.127433628318584</v>
      </c>
    </row>
    <row r="1625" customFormat="false" ht="15" hidden="true" customHeight="true" outlineLevel="0" collapsed="false">
      <c r="B1625" s="127" t="n">
        <f aca="false">B1624+D1625-C1625</f>
        <v>11023.5</v>
      </c>
      <c r="D1625" s="146" t="n">
        <f aca="false">264.5+299+195.5+138+253</f>
        <v>1150</v>
      </c>
      <c r="E1625" s="147" t="n">
        <v>1283</v>
      </c>
      <c r="F1625" s="147" t="n">
        <f aca="false">IFERROR(VLOOKUP(H1625,$AD$1:$AE$301,2,0),"")</f>
        <v>855</v>
      </c>
      <c r="G1625" s="147" t="str">
        <f aca="false">IFERROR(VLOOKUP(F1625,$AE$2:$AF$290,2, 0),"")</f>
        <v>تبوك</v>
      </c>
      <c r="H1625" s="212" t="s">
        <v>141</v>
      </c>
      <c r="I1625" s="246" t="n">
        <f aca="false">SUM(K1625:R1625)</f>
        <v>5</v>
      </c>
      <c r="J1625" s="182" t="n">
        <v>45836</v>
      </c>
      <c r="M1625" s="150" t="n">
        <v>1</v>
      </c>
      <c r="Q1625" s="154" t="n">
        <v>1</v>
      </c>
      <c r="R1625" s="155" t="n">
        <f aca="false">1+1+1</f>
        <v>3</v>
      </c>
      <c r="S1625" s="192" t="n">
        <f aca="false">(K1625+O1625+Q1625)*24 /1130+(L1625+M1625+P1625+R1625)*12/1130+(N1625*30)/1130</f>
        <v>0.063716814159292</v>
      </c>
    </row>
    <row r="1626" customFormat="false" ht="15" hidden="true" customHeight="true" outlineLevel="0" collapsed="false">
      <c r="A1626" s="128" t="n">
        <f aca="false">D1626+546-252.5-450-96.5</f>
        <v>0</v>
      </c>
      <c r="B1626" s="127" t="n">
        <f aca="false">B1625+D1626-C1626</f>
        <v>11276.5</v>
      </c>
      <c r="D1626" s="146" t="n">
        <v>253</v>
      </c>
      <c r="E1626" s="147" t="n">
        <v>1284</v>
      </c>
      <c r="F1626" s="147" t="n">
        <f aca="false">IFERROR(VLOOKUP(H1626,$AD$1:$AE$301,2,0),"")</f>
        <v>636</v>
      </c>
      <c r="G1626" s="147" t="str">
        <f aca="false">IFERROR(VLOOKUP(F1626,$AE$2:$AF$290,2, 0),"")</f>
        <v>تبوك</v>
      </c>
      <c r="H1626" s="212" t="s">
        <v>134</v>
      </c>
      <c r="I1626" s="246" t="n">
        <f aca="false">SUM(K1626:R1626)</f>
        <v>1</v>
      </c>
      <c r="J1626" s="182" t="n">
        <v>45836</v>
      </c>
      <c r="M1626" s="150" t="n">
        <v>1</v>
      </c>
      <c r="S1626" s="192" t="n">
        <f aca="false">(K1626+O1626+Q1626)*24 /1130+(L1626+M1626+P1626+R1626)*12/1130+(N1626*30)/1130</f>
        <v>0.0106194690265487</v>
      </c>
    </row>
    <row r="1627" customFormat="false" ht="15" hidden="true" customHeight="true" outlineLevel="0" collapsed="false">
      <c r="B1627" s="127" t="n">
        <f aca="false">B1626+D1627-C1627</f>
        <v>8272.75</v>
      </c>
      <c r="C1627" s="127" t="n">
        <f aca="false">273+1092+1638.75</f>
        <v>3003.75</v>
      </c>
      <c r="E1627" s="212" t="s">
        <v>662</v>
      </c>
      <c r="F1627" s="147" t="str">
        <f aca="false">IFERROR(VLOOKUP(H1627,$AD$1:$AE$301,2,0),"")</f>
        <v/>
      </c>
      <c r="G1627" s="147" t="str">
        <f aca="false">IFERROR(VLOOKUP(F1627,$AE$2:$AF$290,2, 0),"")</f>
        <v/>
      </c>
      <c r="H1627" s="212" t="s">
        <v>393</v>
      </c>
      <c r="I1627" s="246" t="n">
        <f aca="false">SUM(K1627:R1627)</f>
        <v>0</v>
      </c>
      <c r="J1627" s="182" t="n">
        <v>45836</v>
      </c>
      <c r="S1627" s="192" t="n">
        <f aca="false">(K1627+O1627+Q1627)*24 /1130+(L1627+M1627+P1627+R1627)*12/1130+(N1627*30)/1130</f>
        <v>0</v>
      </c>
    </row>
    <row r="1628" customFormat="false" ht="15" hidden="true" customHeight="true" outlineLevel="0" collapsed="false">
      <c r="B1628" s="127" t="n">
        <f aca="false">B1627+D1628-C1628</f>
        <v>3813.75</v>
      </c>
      <c r="C1628" s="127" t="n">
        <f aca="false">254+125+1351+898+250+431+1150</f>
        <v>4459</v>
      </c>
      <c r="E1628" s="212" t="s">
        <v>470</v>
      </c>
      <c r="F1628" s="147" t="str">
        <f aca="false">IFERROR(VLOOKUP(H1628,$AD$1:$AE$301,2,0),"")</f>
        <v/>
      </c>
      <c r="G1628" s="147" t="str">
        <f aca="false">IFERROR(VLOOKUP(F1628,$AE$2:$AF$290,2, 0),"")</f>
        <v/>
      </c>
      <c r="H1628" s="212" t="s">
        <v>393</v>
      </c>
      <c r="I1628" s="246" t="n">
        <f aca="false">SUM(K1628:R1628)</f>
        <v>0</v>
      </c>
      <c r="J1628" s="182" t="n">
        <v>45836</v>
      </c>
      <c r="S1628" s="192" t="n">
        <f aca="false">(K1628+O1628+Q1628)*24 /1130+(L1628+M1628+P1628+R1628)*12/1130+(N1628*30)/1130</f>
        <v>0</v>
      </c>
    </row>
    <row r="1629" customFormat="false" ht="15" hidden="true" customHeight="true" outlineLevel="0" collapsed="false">
      <c r="B1629" s="127" t="n">
        <f aca="false">B1628+D1629-C1629</f>
        <v>0.75</v>
      </c>
      <c r="C1629" s="127" t="n">
        <v>3813</v>
      </c>
      <c r="E1629" s="212" t="s">
        <v>653</v>
      </c>
      <c r="F1629" s="147" t="str">
        <f aca="false">IFERROR(VLOOKUP(H1629,$AD$1:$AE$301,2,0),"")</f>
        <v/>
      </c>
      <c r="G1629" s="147" t="str">
        <f aca="false">IFERROR(VLOOKUP(F1629,$AE$2:$AF$290,2, 0),"")</f>
        <v/>
      </c>
      <c r="H1629" s="212" t="s">
        <v>393</v>
      </c>
      <c r="I1629" s="246" t="n">
        <f aca="false">SUM(K1629:R1629)</f>
        <v>0</v>
      </c>
      <c r="J1629" s="182" t="n">
        <v>45837</v>
      </c>
      <c r="S1629" s="192" t="n">
        <f aca="false">(K1629+O1629+Q1629)*24 /1130+(L1629+M1629+P1629+R1629)*12/1130+(N1629*30)/1130</f>
        <v>0</v>
      </c>
    </row>
    <row r="1630" customFormat="false" ht="15" hidden="true" customHeight="true" outlineLevel="0" collapsed="false">
      <c r="A1630" s="128" t="n">
        <f aca="false">D1630-450</f>
        <v>-1.5</v>
      </c>
      <c r="B1630" s="127" t="n">
        <f aca="false">B1629+D1630-C1630</f>
        <v>449.25</v>
      </c>
      <c r="D1630" s="146" t="n">
        <f aca="false">345+2*51.75</f>
        <v>448.5</v>
      </c>
      <c r="E1630" s="147" t="n">
        <v>1286</v>
      </c>
      <c r="F1630" s="147" t="n">
        <f aca="false">IFERROR(VLOOKUP(H1630,$AD$1:$AE$301,2,0),"")</f>
        <v>855</v>
      </c>
      <c r="G1630" s="147" t="str">
        <f aca="false">IFERROR(VLOOKUP(F1630,$AE$2:$AF$290,2, 0),"")</f>
        <v>تبوك</v>
      </c>
      <c r="H1630" s="212" t="s">
        <v>141</v>
      </c>
      <c r="I1630" s="246" t="n">
        <f aca="false">SUM(K1630:R1630)</f>
        <v>3</v>
      </c>
      <c r="J1630" s="182" t="n">
        <v>45837</v>
      </c>
      <c r="M1630" s="150" t="n">
        <v>1</v>
      </c>
      <c r="R1630" s="155" t="n">
        <v>2</v>
      </c>
      <c r="S1630" s="192" t="n">
        <f aca="false">(K1630+O1630+Q1630)*24 /1130+(L1630+M1630+P1630+R1630)*12/1130+(N1630*30)/1130</f>
        <v>0.031858407079646</v>
      </c>
    </row>
    <row r="1631" customFormat="false" ht="15" hidden="true" customHeight="true" outlineLevel="0" collapsed="false">
      <c r="A1631" s="128" t="n">
        <f aca="false">D1631-819-620-192.5+273*3-820</f>
        <v>6.25</v>
      </c>
      <c r="B1631" s="127" t="n">
        <f aca="false">B1630+D1631-C1631</f>
        <v>2088</v>
      </c>
      <c r="D1631" s="146" t="n">
        <f aca="false">5*327.75</f>
        <v>1638.75</v>
      </c>
      <c r="E1631" s="147" t="n">
        <v>1285</v>
      </c>
      <c r="F1631" s="147" t="n">
        <f aca="false">IFERROR(VLOOKUP(H1631,$AD$1:$AE$301,2,0),"")</f>
        <v>575</v>
      </c>
      <c r="G1631" s="147" t="str">
        <f aca="false">IFERROR(VLOOKUP(F1631,$AE$2:$AF$290,2, 0),"")</f>
        <v>تبوك</v>
      </c>
      <c r="H1631" s="212" t="s">
        <v>132</v>
      </c>
      <c r="I1631" s="246" t="n">
        <f aca="false">SUM(K1631:R1631)</f>
        <v>6</v>
      </c>
      <c r="J1631" s="182" t="n">
        <v>45837</v>
      </c>
      <c r="K1631" s="148" t="n">
        <v>6</v>
      </c>
      <c r="S1631" s="192" t="n">
        <f aca="false">(K1631+O1631+Q1631)*24 /1130+(L1631+M1631+P1631+R1631)*12/1130+(N1631*30)/1130</f>
        <v>0.127433628318584</v>
      </c>
    </row>
    <row r="1632" customFormat="false" ht="15" hidden="true" customHeight="true" outlineLevel="0" collapsed="false">
      <c r="A1632" s="128" t="n">
        <f aca="false">D1632-819+178.25-643-355</f>
        <v>0</v>
      </c>
      <c r="B1632" s="127" t="n">
        <f aca="false">B1631+D1632-C1632</f>
        <v>3726.75</v>
      </c>
      <c r="D1632" s="146" t="n">
        <f aca="false">5*327.75</f>
        <v>1638.75</v>
      </c>
      <c r="E1632" s="212" t="s">
        <v>663</v>
      </c>
      <c r="F1632" s="147" t="n">
        <f aca="false">IFERROR(VLOOKUP(H1632,$AD$1:$AE$301,2,0),"")</f>
        <v>1008021</v>
      </c>
      <c r="G1632" s="147" t="str">
        <f aca="false">IFERROR(VLOOKUP(F1632,$AE$2:$AF$290,2, 0),"")</f>
        <v>البير</v>
      </c>
      <c r="H1632" s="212" t="s">
        <v>294</v>
      </c>
      <c r="I1632" s="246" t="n">
        <f aca="false">SUM(K1632:R1632)</f>
        <v>6</v>
      </c>
      <c r="J1632" s="182" t="n">
        <v>45837</v>
      </c>
      <c r="K1632" s="148" t="n">
        <v>6</v>
      </c>
      <c r="S1632" s="192" t="n">
        <f aca="false">(K1632+O1632+Q1632)*24 /1130+(L1632+M1632+P1632+R1632)*12/1130+(N1632*30)/1130</f>
        <v>0.127433628318584</v>
      </c>
    </row>
    <row r="1633" customFormat="false" ht="15" hidden="true" customHeight="true" outlineLevel="0" collapsed="false">
      <c r="A1633" s="128" t="n">
        <f aca="false">D1633+263.5*3-1290</f>
        <v>0.75</v>
      </c>
      <c r="B1633" s="127" t="n">
        <f aca="false">B1632+D1633-C1633</f>
        <v>4227</v>
      </c>
      <c r="D1633" s="146" t="n">
        <f aca="false">242.25+258</f>
        <v>500.25</v>
      </c>
      <c r="E1633" s="147" t="n">
        <v>1287</v>
      </c>
      <c r="F1633" s="147" t="n">
        <f aca="false">IFERROR(VLOOKUP(H1633,$AD$1:$AE$301,2,0),"")</f>
        <v>1007996</v>
      </c>
      <c r="G1633" s="147" t="str">
        <f aca="false">IFERROR(VLOOKUP(F1633,$AE$2:$AF$290,2, 0),"")</f>
        <v>البير</v>
      </c>
      <c r="H1633" s="212" t="s">
        <v>295</v>
      </c>
      <c r="I1633" s="246" t="n">
        <f aca="false">SUM(K1633:R1633)</f>
        <v>2</v>
      </c>
      <c r="J1633" s="182" t="n">
        <v>45837</v>
      </c>
      <c r="O1633" s="152" t="n">
        <v>2</v>
      </c>
      <c r="S1633" s="192" t="n">
        <f aca="false">(K1633+O1633+Q1633)*24 /1130+(L1633+M1633+P1633+R1633)*12/1130+(N1633*30)/1130</f>
        <v>0.0424778761061947</v>
      </c>
    </row>
    <row r="1634" customFormat="false" ht="15" hidden="true" customHeight="true" outlineLevel="0" collapsed="false">
      <c r="A1634" s="128" t="n">
        <f aca="false">D1634-790+884.75-428-145-387-20-205-300-150+11-230-195-35</f>
        <v>0.25</v>
      </c>
      <c r="B1634" s="127" t="n">
        <f aca="false">B1633+D1634-C1634</f>
        <v>6216.5</v>
      </c>
      <c r="D1634" s="146" t="n">
        <f aca="false">275.25+263.5*5+155.25+241.5</f>
        <v>1989.5</v>
      </c>
      <c r="E1634" s="147" t="n">
        <v>1289</v>
      </c>
      <c r="F1634" s="147" t="n">
        <f aca="false">IFERROR(VLOOKUP(H1634,$AD$1:$AE$301,2,0),"")</f>
        <v>1008030</v>
      </c>
      <c r="G1634" s="147" t="str">
        <f aca="false">IFERROR(VLOOKUP(F1634,$AE$2:$AF$290,2, 0),"")</f>
        <v>البير</v>
      </c>
      <c r="H1634" s="212" t="s">
        <v>298</v>
      </c>
      <c r="I1634" s="246" t="n">
        <f aca="false">SUM(K1634:R1634)</f>
        <v>8</v>
      </c>
      <c r="J1634" s="182" t="n">
        <v>45837</v>
      </c>
      <c r="N1634" s="151" t="n">
        <f aca="false">1+2+3</f>
        <v>6</v>
      </c>
      <c r="Q1634" s="154" t="n">
        <v>1</v>
      </c>
      <c r="R1634" s="155" t="n">
        <v>1</v>
      </c>
      <c r="S1634" s="192" t="n">
        <f aca="false">(K1634+O1634+Q1634)*24 /1130+(L1634+M1634+P1634+R1634)*12/1130+(N1634*30)/1130</f>
        <v>0.191150442477876</v>
      </c>
    </row>
    <row r="1635" customFormat="false" ht="15" hidden="true" customHeight="true" outlineLevel="0" collapsed="false">
      <c r="A1635" s="128" t="n">
        <f aca="false">D1635-1500-138</f>
        <v>0.75</v>
      </c>
      <c r="B1635" s="127" t="n">
        <f aca="false">B1634+D1635-C1635</f>
        <v>7855.25</v>
      </c>
      <c r="D1635" s="146" t="n">
        <f aca="false">5*327.75</f>
        <v>1638.75</v>
      </c>
      <c r="E1635" s="147" t="n">
        <v>1290</v>
      </c>
      <c r="F1635" s="147" t="n">
        <f aca="false">IFERROR(VLOOKUP(H1635,$AD$1:$AE$301,2,0),"")</f>
        <v>1007965</v>
      </c>
      <c r="G1635" s="147" t="str">
        <f aca="false">IFERROR(VLOOKUP(F1635,$AE$2:$AF$290,2, 0),"")</f>
        <v>البير</v>
      </c>
      <c r="H1635" s="212" t="s">
        <v>290</v>
      </c>
      <c r="I1635" s="246" t="n">
        <f aca="false">SUM(K1635:R1635)</f>
        <v>6</v>
      </c>
      <c r="J1635" s="182" t="n">
        <v>45837</v>
      </c>
      <c r="K1635" s="148" t="n">
        <v>6</v>
      </c>
      <c r="S1635" s="192" t="n">
        <f aca="false">(K1635+O1635+Q1635)*24 /1130+(L1635+M1635+P1635+R1635)*12/1130+(N1635*30)/1130</f>
        <v>0.127433628318584</v>
      </c>
    </row>
    <row r="1636" customFormat="false" ht="15" hidden="true" customHeight="true" outlineLevel="0" collapsed="false">
      <c r="A1636" s="128" t="n">
        <f aca="false">D1636-1150</f>
        <v>0</v>
      </c>
      <c r="B1636" s="127" t="n">
        <f aca="false">B1635+D1636-C1636</f>
        <v>9005.25</v>
      </c>
      <c r="D1636" s="146" t="n">
        <f aca="false">230*5</f>
        <v>1150</v>
      </c>
      <c r="E1636" s="147" t="n">
        <v>1292</v>
      </c>
      <c r="F1636" s="147" t="n">
        <f aca="false">IFERROR(VLOOKUP(H1636,$AD$1:$AE$301,2,0),"")</f>
        <v>1007970</v>
      </c>
      <c r="G1636" s="147" t="str">
        <f aca="false">IFERROR(VLOOKUP(F1636,$AE$2:$AF$290,2, 0),"")</f>
        <v>حقل</v>
      </c>
      <c r="H1636" s="212" t="s">
        <v>310</v>
      </c>
      <c r="I1636" s="246" t="n">
        <f aca="false">SUM(K1636:R1636)</f>
        <v>5</v>
      </c>
      <c r="J1636" s="182" t="n">
        <v>45837</v>
      </c>
      <c r="M1636" s="150" t="n">
        <v>5</v>
      </c>
      <c r="S1636" s="192" t="n">
        <f aca="false">(K1636+O1636+Q1636)*24 /1130+(L1636+M1636+P1636+R1636)*12/1130+(N1636*30)/1130</f>
        <v>0.0530973451327434</v>
      </c>
    </row>
    <row r="1637" customFormat="false" ht="15" hidden="true" customHeight="true" outlineLevel="0" collapsed="false">
      <c r="B1637" s="127" t="n">
        <f aca="false">B1636+D1637-C1637</f>
        <v>10644</v>
      </c>
      <c r="D1637" s="146" t="n">
        <f aca="false">5*327.75</f>
        <v>1638.75</v>
      </c>
      <c r="E1637" s="147" t="n">
        <v>1291</v>
      </c>
      <c r="F1637" s="147" t="n">
        <f aca="false">IFERROR(VLOOKUP(H1637,$AD$1:$AE$301,2,0),"")</f>
        <v>1008040</v>
      </c>
      <c r="G1637" s="147" t="str">
        <f aca="false">IFERROR(VLOOKUP(F1637,$AE$2:$AF$290,2, 0),"")</f>
        <v>البير</v>
      </c>
      <c r="H1637" s="212" t="s">
        <v>292</v>
      </c>
      <c r="I1637" s="246" t="n">
        <f aca="false">SUM(K1637:R1637)</f>
        <v>6</v>
      </c>
      <c r="J1637" s="182" t="n">
        <v>45837</v>
      </c>
      <c r="K1637" s="148" t="n">
        <v>6</v>
      </c>
      <c r="S1637" s="192" t="n">
        <f aca="false">(K1637+O1637+Q1637)*24 /1130+(L1637+M1637+P1637+R1637)*12/1130+(N1637*30)/1130</f>
        <v>0.127433628318584</v>
      </c>
    </row>
    <row r="1638" customFormat="false" ht="15" hidden="true" customHeight="true" outlineLevel="0" collapsed="false">
      <c r="B1638" s="127" t="n">
        <f aca="false">B1637+D1638-C1638</f>
        <v>10782</v>
      </c>
      <c r="D1638" s="146" t="n">
        <v>138</v>
      </c>
      <c r="E1638" s="147" t="n">
        <v>1294</v>
      </c>
      <c r="F1638" s="147" t="n">
        <f aca="false">IFERROR(VLOOKUP(H1638,$AD$1:$AE$301,2,0),"")</f>
        <v>1008006</v>
      </c>
      <c r="G1638" s="147" t="str">
        <f aca="false">IFERROR(VLOOKUP(F1638,$AE$2:$AF$290,2, 0),"")</f>
        <v>حقل</v>
      </c>
      <c r="H1638" s="212" t="s">
        <v>302</v>
      </c>
      <c r="I1638" s="246" t="n">
        <f aca="false">SUM(K1638:R1638)</f>
        <v>1</v>
      </c>
      <c r="J1638" s="182" t="n">
        <v>45837</v>
      </c>
      <c r="Q1638" s="154" t="n">
        <v>1</v>
      </c>
      <c r="S1638" s="192" t="n">
        <f aca="false">(K1638+O1638+Q1638)*24 /1130+(L1638+M1638+P1638+R1638)*12/1130+(N1638*30)/1130</f>
        <v>0.0212389380530973</v>
      </c>
    </row>
    <row r="1639" customFormat="false" ht="15" hidden="true" customHeight="true" outlineLevel="0" collapsed="false">
      <c r="A1639" s="128" t="n">
        <f aca="false">D1639-1405+281-526.24</f>
        <v>0.00999999999999091</v>
      </c>
      <c r="B1639" s="127" t="n">
        <f aca="false">B1638+D1639-C1639</f>
        <v>12432.25</v>
      </c>
      <c r="D1639" s="146" t="n">
        <f aca="false">280.8125*4+263.5*2</f>
        <v>1650.25</v>
      </c>
      <c r="E1639" s="147" t="n">
        <v>1293</v>
      </c>
      <c r="F1639" s="147" t="n">
        <f aca="false">IFERROR(VLOOKUP(H1639,$AD$1:$AE$301,2,0),"")</f>
        <v>587</v>
      </c>
      <c r="G1639" s="147" t="str">
        <f aca="false">IFERROR(VLOOKUP(F1639,$AE$2:$AF$290,2, 0),"")</f>
        <v>تبوك</v>
      </c>
      <c r="H1639" s="212" t="s">
        <v>226</v>
      </c>
      <c r="I1639" s="246" t="n">
        <f aca="false">SUM(K1639:R1639)</f>
        <v>6</v>
      </c>
      <c r="J1639" s="182" t="n">
        <v>45833</v>
      </c>
      <c r="N1639" s="151" t="n">
        <f aca="false">4+2</f>
        <v>6</v>
      </c>
      <c r="S1639" s="192" t="n">
        <f aca="false">(K1639+O1639+Q1639)*24 /1130+(L1639+M1639+P1639+R1639)*12/1130+(N1639*30)/1130</f>
        <v>0.15929203539823</v>
      </c>
    </row>
    <row r="1640" customFormat="false" ht="15" hidden="true" customHeight="true" outlineLevel="0" collapsed="false">
      <c r="A1640" s="128" t="n">
        <f aca="false">D1640+273-2*5-263-138</f>
        <v>0</v>
      </c>
      <c r="B1640" s="127" t="n">
        <f aca="false">B1639+D1640-C1640</f>
        <v>12570.25</v>
      </c>
      <c r="D1640" s="146" t="n">
        <v>138</v>
      </c>
      <c r="E1640" s="147" t="n">
        <v>1295</v>
      </c>
      <c r="F1640" s="147" t="n">
        <f aca="false">IFERROR(VLOOKUP(H1640,$AD$1:$AE$301,2,0),"")</f>
        <v>1008005</v>
      </c>
      <c r="G1640" s="147" t="str">
        <f aca="false">IFERROR(VLOOKUP(F1640,$AE$2:$AF$290,2, 0),"")</f>
        <v>حقل</v>
      </c>
      <c r="H1640" s="212" t="s">
        <v>300</v>
      </c>
      <c r="I1640" s="246" t="n">
        <f aca="false">SUM(K1640:R1640)</f>
        <v>1</v>
      </c>
      <c r="J1640" s="182" t="n">
        <v>45837</v>
      </c>
      <c r="Q1640" s="154" t="n">
        <v>1</v>
      </c>
      <c r="S1640" s="192" t="n">
        <f aca="false">(K1640+O1640+Q1640)*24 /1130+(L1640+M1640+P1640+R1640)*12/1130+(N1640*30)/1130</f>
        <v>0.0212389380530973</v>
      </c>
    </row>
    <row r="1641" customFormat="false" ht="15" hidden="true" customHeight="true" outlineLevel="0" collapsed="false">
      <c r="B1641" s="127" t="n">
        <f aca="false">B1640+D1641-C1641</f>
        <v>12725.5</v>
      </c>
      <c r="D1641" s="146" t="n">
        <v>155.25</v>
      </c>
      <c r="E1641" s="147" t="n">
        <v>1296</v>
      </c>
      <c r="F1641" s="147" t="n">
        <f aca="false">IFERROR(VLOOKUP(H1641,$AD$1:$AE$301,2,0),"")</f>
        <v>1007999</v>
      </c>
      <c r="G1641" s="147" t="str">
        <f aca="false">IFERROR(VLOOKUP(F1641,$AE$2:$AF$290,2, 0),"")</f>
        <v>حقل</v>
      </c>
      <c r="H1641" s="212" t="s">
        <v>312</v>
      </c>
      <c r="I1641" s="246" t="n">
        <f aca="false">SUM(K1641:R1641)</f>
        <v>1</v>
      </c>
      <c r="J1641" s="182" t="n">
        <v>45837</v>
      </c>
      <c r="R1641" s="155" t="n">
        <v>1</v>
      </c>
      <c r="S1641" s="192" t="n">
        <f aca="false">(K1641+O1641+Q1641)*24 /1130+(L1641+M1641+P1641+R1641)*12/1130+(N1641*30)/1130</f>
        <v>0.0106194690265487</v>
      </c>
    </row>
    <row r="1642" customFormat="false" ht="15" hidden="true" customHeight="true" outlineLevel="0" collapsed="false">
      <c r="B1642" s="127" t="n">
        <f aca="false">B1641+D1642-C1642</f>
        <v>14542.5</v>
      </c>
      <c r="D1642" s="146" t="n">
        <f aca="false">5*327.75+178.25</f>
        <v>1817</v>
      </c>
      <c r="E1642" s="147" t="n">
        <v>1297</v>
      </c>
      <c r="F1642" s="147" t="n">
        <f aca="false">IFERROR(VLOOKUP(H1642,$AD$1:$AE$301,2,0),"")</f>
        <v>1008009</v>
      </c>
      <c r="G1642" s="147" t="str">
        <f aca="false">IFERROR(VLOOKUP(F1642,$AE$2:$AF$290,2, 0),"")</f>
        <v>حقل</v>
      </c>
      <c r="H1642" s="212" t="s">
        <v>305</v>
      </c>
      <c r="I1642" s="246" t="n">
        <f aca="false">SUM(K1642:R1642)</f>
        <v>7</v>
      </c>
      <c r="J1642" s="182" t="n">
        <v>45837</v>
      </c>
      <c r="K1642" s="148" t="n">
        <v>6</v>
      </c>
      <c r="L1642" s="149" t="n">
        <v>1</v>
      </c>
      <c r="S1642" s="192" t="n">
        <f aca="false">(K1642+O1642+Q1642)*24 /1130+(L1642+M1642+P1642+R1642)*12/1130+(N1642*30)/1130</f>
        <v>0.138053097345133</v>
      </c>
    </row>
    <row r="1643" customFormat="false" ht="15" hidden="true" customHeight="true" outlineLevel="0" collapsed="false">
      <c r="A1643" s="288"/>
      <c r="B1643" s="127" t="n">
        <f aca="false">B1642+D1643-C1643</f>
        <v>11594.5</v>
      </c>
      <c r="C1643" s="127" t="n">
        <f aca="false">1290+173+387+145+20+205+300+428</f>
        <v>2948</v>
      </c>
      <c r="E1643" s="212" t="s">
        <v>470</v>
      </c>
      <c r="F1643" s="147" t="str">
        <f aca="false">IFERROR(VLOOKUP(H1643,$AD$1:$AE$301,2,0),"")</f>
        <v/>
      </c>
      <c r="G1643" s="147" t="str">
        <f aca="false">IFERROR(VLOOKUP(F1643,$AE$2:$AF$290,2, 0),"")</f>
        <v/>
      </c>
      <c r="H1643" s="398" t="s">
        <v>393</v>
      </c>
      <c r="I1643" s="246" t="n">
        <f aca="false">SUM(K1643:R1643)</f>
        <v>0</v>
      </c>
      <c r="J1643" s="182" t="n">
        <v>45837</v>
      </c>
      <c r="S1643" s="192" t="n">
        <f aca="false">(K1643+O1643+Q1643)*24 /1130+(L1643+M1643+P1643+R1643)*12/1130+(N1643*30)/1130</f>
        <v>0</v>
      </c>
    </row>
    <row r="1644" customFormat="false" ht="15" hidden="true" customHeight="true" outlineLevel="0" collapsed="false">
      <c r="A1644" s="288"/>
      <c r="B1644" s="127" t="n">
        <f aca="false">B1643+D1644-C1644</f>
        <v>0</v>
      </c>
      <c r="C1644" s="127" t="n">
        <f aca="false">35+40+1000+9876+643</f>
        <v>11594</v>
      </c>
      <c r="D1644" s="146" t="n">
        <v>-0.5</v>
      </c>
      <c r="E1644" s="212" t="s">
        <v>470</v>
      </c>
      <c r="F1644" s="147" t="str">
        <f aca="false">IFERROR(VLOOKUP(H1644,$AD$1:$AE$301,2,0),"")</f>
        <v/>
      </c>
      <c r="G1644" s="147" t="str">
        <f aca="false">IFERROR(VLOOKUP(F1644,$AE$2:$AF$290,2, 0),"")</f>
        <v/>
      </c>
      <c r="H1644" s="212" t="s">
        <v>393</v>
      </c>
      <c r="I1644" s="246" t="n">
        <f aca="false">SUM(K1644:R1644)</f>
        <v>0</v>
      </c>
      <c r="J1644" s="182" t="n">
        <v>45838</v>
      </c>
      <c r="S1644" s="192" t="n">
        <f aca="false">(K1644+O1644+Q1644)*24 /1130+(L1644+M1644+P1644+R1644)*12/1130+(N1644*30)/1130</f>
        <v>0</v>
      </c>
    </row>
    <row r="1645" customFormat="false" ht="15" hidden="true" customHeight="true" outlineLevel="0" collapsed="false">
      <c r="B1645" s="127" t="n">
        <f aca="false">B1644+D1645-C1645</f>
        <v>0</v>
      </c>
      <c r="C1645" s="127" t="n">
        <f aca="false">273+355+300+400+644+396</f>
        <v>2368</v>
      </c>
      <c r="D1645" s="146" t="n">
        <v>2368</v>
      </c>
      <c r="E1645" s="212" t="s">
        <v>470</v>
      </c>
      <c r="F1645" s="147" t="str">
        <f aca="false">IFERROR(VLOOKUP(H1645,$AD$1:$AE$301,2,0),"")</f>
        <v/>
      </c>
      <c r="G1645" s="147" t="str">
        <f aca="false">IFERROR(VLOOKUP(F1645,$AE$2:$AF$290,2, 0),"")</f>
        <v/>
      </c>
      <c r="H1645" s="212" t="s">
        <v>393</v>
      </c>
      <c r="I1645" s="246" t="n">
        <f aca="false">SUM(K1645:R1645)</f>
        <v>0</v>
      </c>
      <c r="J1645" s="182" t="n">
        <v>45840</v>
      </c>
      <c r="S1645" s="192" t="n">
        <f aca="false">(K1645+O1645+Q1645)*24 /1130+(L1645+M1645+P1645+R1645)*12/1130+(N1645*30)/1130</f>
        <v>0</v>
      </c>
    </row>
    <row r="1646" customFormat="false" ht="15" hidden="true" customHeight="true" outlineLevel="0" collapsed="false">
      <c r="B1646" s="127" t="n">
        <f aca="false">B1645+D1646-C1646</f>
        <v>0</v>
      </c>
      <c r="C1646" s="127" t="n">
        <f aca="false">160+20+120+105+30+10+130+30+45+145+5+14+114+10+5+5+113</f>
        <v>1061</v>
      </c>
      <c r="D1646" s="146" t="n">
        <v>1061</v>
      </c>
      <c r="E1646" s="212" t="s">
        <v>470</v>
      </c>
      <c r="F1646" s="147" t="str">
        <f aca="false">IFERROR(VLOOKUP(H1646,$AD$1:$AE$301,2,0),"")</f>
        <v/>
      </c>
      <c r="G1646" s="147" t="str">
        <f aca="false">IFERROR(VLOOKUP(F1646,$AE$2:$AF$290,2, 0),"")</f>
        <v/>
      </c>
      <c r="H1646" s="212" t="s">
        <v>393</v>
      </c>
      <c r="I1646" s="246" t="n">
        <f aca="false">SUM(K1646:R1646)</f>
        <v>0</v>
      </c>
      <c r="J1646" s="182" t="n">
        <v>45841</v>
      </c>
      <c r="S1646" s="192" t="n">
        <f aca="false">(K1646+O1646+Q1646)*24 /1130+(L1646+M1646+P1646+R1646)*12/1130+(N1646*30)/1130</f>
        <v>0</v>
      </c>
    </row>
    <row r="1647" customFormat="false" ht="15" hidden="true" customHeight="true" outlineLevel="0" collapsed="false">
      <c r="A1647" s="128" t="n">
        <f aca="false">D1647+281.75-253-100-180</f>
        <v>1.75</v>
      </c>
      <c r="B1647" s="127" t="n">
        <f aca="false">B1646+D1647-C1647</f>
        <v>253</v>
      </c>
      <c r="D1647" s="146" t="n">
        <v>253</v>
      </c>
      <c r="E1647" s="147" t="n">
        <v>1298</v>
      </c>
      <c r="F1647" s="147" t="n">
        <f aca="false">IFERROR(VLOOKUP(H1647,$AD$1:$AE$301,2,0),"")</f>
        <v>826</v>
      </c>
      <c r="G1647" s="147" t="str">
        <f aca="false">IFERROR(VLOOKUP(F1647,$AE$2:$AF$290,2, 0),"")</f>
        <v>تبوك</v>
      </c>
      <c r="H1647" s="212" t="s">
        <v>196</v>
      </c>
      <c r="I1647" s="246" t="n">
        <f aca="false">SUM(K1647:R1647)</f>
        <v>1</v>
      </c>
      <c r="J1647" s="182" t="n">
        <v>45870</v>
      </c>
      <c r="M1647" s="150" t="n">
        <v>1</v>
      </c>
      <c r="S1647" s="192" t="n">
        <f aca="false">(K1647+O1647+Q1647)*24 /1130+(L1647+M1647+P1647+R1647)*12/1130+(N1647*30)/1130</f>
        <v>0.0106194690265487</v>
      </c>
    </row>
    <row r="1648" customFormat="false" ht="15" hidden="true" customHeight="true" outlineLevel="0" collapsed="false">
      <c r="A1648" s="128" t="n">
        <f aca="false">D1648-300-500-20-5*1-10-9.75</f>
        <v>0.5</v>
      </c>
      <c r="B1648" s="127" t="n">
        <f aca="false">B1647+D1648-C1648</f>
        <v>1098.25</v>
      </c>
      <c r="D1648" s="146" t="n">
        <f aca="false">281.75*3</f>
        <v>845.25</v>
      </c>
      <c r="E1648" s="147" t="n">
        <v>1299</v>
      </c>
      <c r="F1648" s="147" t="n">
        <f aca="false">IFERROR(VLOOKUP(H1648,$AD$1:$AE$301,2,0),"")</f>
        <v>1008275</v>
      </c>
      <c r="G1648" s="147" t="str">
        <f aca="false">IFERROR(VLOOKUP(F1648,$AE$2:$AF$290,2, 0),"")</f>
        <v>تبوك</v>
      </c>
      <c r="H1648" s="212" t="s">
        <v>179</v>
      </c>
      <c r="I1648" s="246" t="n">
        <f aca="false">SUM(K1648:R1648)</f>
        <v>3</v>
      </c>
      <c r="J1648" s="182" t="n">
        <v>45871</v>
      </c>
      <c r="K1648" s="148" t="n">
        <f aca="false">2+1</f>
        <v>3</v>
      </c>
      <c r="S1648" s="192" t="n">
        <f aca="false">(K1648+O1648+Q1648)*24 /1130+(L1648+M1648+P1648+R1648)*12/1130+(N1648*30)/1130</f>
        <v>0.063716814159292</v>
      </c>
    </row>
    <row r="1649" customFormat="false" ht="15" hidden="true" customHeight="true" outlineLevel="0" collapsed="false">
      <c r="B1649" s="127" t="n">
        <f aca="false">B1648+D1649-C1649</f>
        <v>0</v>
      </c>
      <c r="C1649" s="127" t="n">
        <f aca="false">1098</f>
        <v>1098</v>
      </c>
      <c r="D1649" s="146" t="n">
        <v>-0.25</v>
      </c>
      <c r="E1649" s="212" t="s">
        <v>662</v>
      </c>
      <c r="F1649" s="147" t="str">
        <f aca="false">IFERROR(VLOOKUP(H1649,$AD$1:$AE$301,2,0),"")</f>
        <v/>
      </c>
      <c r="G1649" s="147" t="str">
        <f aca="false">IFERROR(VLOOKUP(F1649,$AE$2:$AF$290,2, 0),"")</f>
        <v/>
      </c>
      <c r="H1649" s="212" t="s">
        <v>393</v>
      </c>
      <c r="I1649" s="246" t="n">
        <f aca="false">SUM(K1649:R1649)</f>
        <v>0</v>
      </c>
      <c r="J1649" s="182" t="n">
        <v>45872</v>
      </c>
      <c r="S1649" s="192" t="n">
        <f aca="false">(K1649+O1649+Q1649)*24 /1130+(L1649+M1649+P1649+R1649)*12/1130+(N1649*30)/1130</f>
        <v>0</v>
      </c>
    </row>
    <row r="1650" customFormat="false" ht="15" hidden="true" customHeight="true" outlineLevel="0" collapsed="false">
      <c r="A1650" s="128" t="n">
        <f aca="false">D1650-844</f>
        <v>1.25</v>
      </c>
      <c r="B1650" s="127" t="n">
        <f aca="false">B1649+D1650-C1650</f>
        <v>845.25</v>
      </c>
      <c r="D1650" s="146" t="n">
        <f aca="false">281.75*3</f>
        <v>845.25</v>
      </c>
      <c r="E1650" s="147" t="n">
        <v>1300</v>
      </c>
      <c r="F1650" s="147" t="n">
        <f aca="false">IFERROR(VLOOKUP(H1650,$AD$1:$AE$301,2,0),"")</f>
        <v>635</v>
      </c>
      <c r="G1650" s="147" t="str">
        <f aca="false">IFERROR(VLOOKUP(F1650,$AE$2:$AF$290,2, 0),"")</f>
        <v>تبوك</v>
      </c>
      <c r="H1650" s="212" t="s">
        <v>157</v>
      </c>
      <c r="I1650" s="246" t="n">
        <f aca="false">SUM(K1650:R1650)</f>
        <v>3</v>
      </c>
      <c r="J1650" s="182" t="n">
        <v>45874</v>
      </c>
      <c r="K1650" s="148" t="n">
        <f aca="false">2+1</f>
        <v>3</v>
      </c>
      <c r="S1650" s="192" t="n">
        <f aca="false">(K1650+O1650+Q1650)*24 /1130+(L1650+M1650+P1650+R1650)*12/1130+(N1650*30)/1130</f>
        <v>0.063716814159292</v>
      </c>
    </row>
    <row r="1651" customFormat="false" ht="15" hidden="true" customHeight="true" outlineLevel="0" collapsed="false">
      <c r="B1651" s="127" t="n">
        <f aca="false">B1650+D1651-C1651</f>
        <v>1000.5</v>
      </c>
      <c r="D1651" s="146" t="n">
        <f aca="false">155.25</f>
        <v>155.25</v>
      </c>
      <c r="E1651" s="147" t="n">
        <v>1301</v>
      </c>
      <c r="F1651" s="147" t="n">
        <f aca="false">IFERROR(VLOOKUP(H1651,$AD$1:$AE$301,2,0),"")</f>
        <v>635</v>
      </c>
      <c r="G1651" s="147" t="str">
        <f aca="false">IFERROR(VLOOKUP(F1651,$AE$2:$AF$290,2, 0),"")</f>
        <v>تبوك</v>
      </c>
      <c r="H1651" s="212" t="s">
        <v>157</v>
      </c>
      <c r="I1651" s="246" t="n">
        <f aca="false">SUM(K1651:R1651)</f>
        <v>1</v>
      </c>
      <c r="J1651" s="182" t="n">
        <v>45874</v>
      </c>
      <c r="R1651" s="155" t="n">
        <v>1</v>
      </c>
      <c r="S1651" s="192" t="n">
        <f aca="false">(K1651+O1651+Q1651)*24 /1130+(L1651+M1651+P1651+R1651)*12/1130+(N1651*30)/1130</f>
        <v>0.0106194690265487</v>
      </c>
    </row>
    <row r="1652" customFormat="false" ht="15" hidden="true" customHeight="true" outlineLevel="0" collapsed="false">
      <c r="B1652" s="127" t="n">
        <f aca="false">B1651+D1652-C1652</f>
        <v>1345.5</v>
      </c>
      <c r="D1652" s="146" t="n">
        <f aca="false">345</f>
        <v>345</v>
      </c>
      <c r="E1652" s="147" t="n">
        <v>1302</v>
      </c>
      <c r="F1652" s="147" t="n">
        <f aca="false">IFERROR(VLOOKUP(H1652,$AD$1:$AE$301,2,0),"")</f>
        <v>1007961</v>
      </c>
      <c r="G1652" s="147" t="str">
        <f aca="false">IFERROR(VLOOKUP(F1652,$AE$2:$AF$290,2, 0),"")</f>
        <v>البير</v>
      </c>
      <c r="H1652" s="212" t="s">
        <v>285</v>
      </c>
      <c r="I1652" s="246" t="n">
        <f aca="false">SUM(K1652:R1652)</f>
        <v>1</v>
      </c>
      <c r="J1652" s="182" t="n">
        <v>45874</v>
      </c>
      <c r="M1652" s="150" t="n">
        <v>1</v>
      </c>
      <c r="S1652" s="192" t="n">
        <f aca="false">(K1652+O1652+Q1652)*24 /1130+(L1652+M1652+P1652+R1652)*12/1130+(N1652*30)/1130</f>
        <v>0.0106194690265487</v>
      </c>
    </row>
    <row r="1653" customFormat="false" ht="15" hidden="true" customHeight="true" outlineLevel="0" collapsed="false">
      <c r="A1653" s="128" t="n">
        <f aca="false">D1653-281.75-4*2-5*38-761.75+500-500</f>
        <v>0.5</v>
      </c>
      <c r="B1653" s="127" t="n">
        <f aca="false">B1652+D1653-C1653</f>
        <v>2587.5</v>
      </c>
      <c r="D1653" s="146" t="n">
        <f aca="false">281.75*3+241.5+155.25</f>
        <v>1242</v>
      </c>
      <c r="E1653" s="147" t="n">
        <v>1303</v>
      </c>
      <c r="F1653" s="147" t="n">
        <f aca="false">IFERROR(VLOOKUP(H1653,$AD$1:$AE$301,2,0),"")</f>
        <v>1008030</v>
      </c>
      <c r="G1653" s="147" t="str">
        <f aca="false">IFERROR(VLOOKUP(F1653,$AE$2:$AF$290,2, 0),"")</f>
        <v>البير</v>
      </c>
      <c r="H1653" s="212" t="s">
        <v>298</v>
      </c>
      <c r="I1653" s="246" t="n">
        <f aca="false">SUM(K1653:R1653)</f>
        <v>5</v>
      </c>
      <c r="J1653" s="182" t="n">
        <v>45874</v>
      </c>
      <c r="K1653" s="148" t="n">
        <v>3</v>
      </c>
      <c r="Q1653" s="154" t="n">
        <v>1</v>
      </c>
      <c r="R1653" s="155" t="n">
        <v>1</v>
      </c>
      <c r="S1653" s="192" t="n">
        <f aca="false">(K1653+O1653+Q1653)*24 /1130+(L1653+M1653+P1653+R1653)*12/1130+(N1653*30)/1130</f>
        <v>0.0955752212389381</v>
      </c>
    </row>
    <row r="1654" customFormat="false" ht="15" hidden="true" customHeight="true" outlineLevel="0" collapsed="false">
      <c r="A1654" s="128" t="n">
        <f aca="false">D1654+D1655-20-1020.75</f>
        <v>0</v>
      </c>
      <c r="B1654" s="127" t="n">
        <f aca="false">B1653+D1654-C1654</f>
        <v>3386.75</v>
      </c>
      <c r="D1654" s="146" t="n">
        <f aca="false">241.5*2+178.25+138</f>
        <v>799.25</v>
      </c>
      <c r="E1654" s="147" t="n">
        <v>1304</v>
      </c>
      <c r="F1654" s="147" t="n">
        <f aca="false">IFERROR(VLOOKUP(H1654,$AD$1:$AE$301,2,0),"")</f>
        <v>1007996</v>
      </c>
      <c r="G1654" s="147" t="str">
        <f aca="false">IFERROR(VLOOKUP(F1654,$AE$2:$AF$290,2, 0),"")</f>
        <v>البير</v>
      </c>
      <c r="H1654" s="212" t="s">
        <v>295</v>
      </c>
      <c r="I1654" s="246" t="n">
        <f aca="false">SUM(K1654:R1654)</f>
        <v>4</v>
      </c>
      <c r="J1654" s="182" t="n">
        <v>45874</v>
      </c>
      <c r="L1654" s="149" t="n">
        <v>1</v>
      </c>
      <c r="O1654" s="152" t="n">
        <f aca="false">1+1</f>
        <v>2</v>
      </c>
      <c r="Q1654" s="154" t="n">
        <v>1</v>
      </c>
      <c r="S1654" s="192" t="n">
        <f aca="false">(K1654+O1654+Q1654)*24 /1130+(L1654+M1654+P1654+R1654)*12/1130+(N1654*30)/1130</f>
        <v>0.0743362831858407</v>
      </c>
    </row>
    <row r="1655" customFormat="false" ht="15" hidden="true" customHeight="true" outlineLevel="0" collapsed="false">
      <c r="B1655" s="127" t="n">
        <f aca="false">B1654+D1655-C1655</f>
        <v>3628.25</v>
      </c>
      <c r="D1655" s="146" t="n">
        <v>241.5</v>
      </c>
      <c r="E1655" s="147" t="n">
        <v>1305</v>
      </c>
      <c r="F1655" s="147" t="n">
        <f aca="false">IFERROR(VLOOKUP(H1655,$AD$1:$AE$301,2,0),"")</f>
        <v>1007996</v>
      </c>
      <c r="G1655" s="147" t="str">
        <f aca="false">IFERROR(VLOOKUP(F1655,$AE$2:$AF$290,2, 0),"")</f>
        <v>البير</v>
      </c>
      <c r="H1655" s="212" t="s">
        <v>295</v>
      </c>
      <c r="I1655" s="246" t="n">
        <f aca="false">SUM(K1655:R1655)</f>
        <v>1</v>
      </c>
      <c r="J1655" s="182" t="n">
        <v>45874</v>
      </c>
      <c r="Q1655" s="154" t="n">
        <v>1</v>
      </c>
      <c r="S1655" s="192" t="n">
        <f aca="false">(K1655+O1655+Q1655)*24 /1130+(L1655+M1655+P1655+R1655)*12/1130+(N1655*30)/1130</f>
        <v>0.0212389380530973</v>
      </c>
    </row>
    <row r="1656" customFormat="false" ht="15" hidden="true" customHeight="true" outlineLevel="0" collapsed="false">
      <c r="A1656" s="128" t="n">
        <f aca="false">D1656+197-2*5-1100+67</f>
        <v>-0.75</v>
      </c>
      <c r="B1656" s="127" t="n">
        <f aca="false">B1655+D1656-C1656</f>
        <v>4473.5</v>
      </c>
      <c r="D1656" s="146" t="n">
        <f aca="false">281.75*3</f>
        <v>845.25</v>
      </c>
      <c r="E1656" s="147" t="n">
        <v>1306</v>
      </c>
      <c r="F1656" s="147" t="n">
        <f aca="false">IFERROR(VLOOKUP(H1656,$AD$1:$AE$301,2,0),"")</f>
        <v>1007965</v>
      </c>
      <c r="G1656" s="147" t="str">
        <f aca="false">IFERROR(VLOOKUP(F1656,$AE$2:$AF$290,2, 0),"")</f>
        <v>البير</v>
      </c>
      <c r="H1656" s="212" t="s">
        <v>290</v>
      </c>
      <c r="I1656" s="246" t="n">
        <f aca="false">SUM(K1656:R1656)</f>
        <v>3</v>
      </c>
      <c r="J1656" s="182" t="n">
        <v>45874</v>
      </c>
      <c r="K1656" s="148" t="n">
        <v>3</v>
      </c>
      <c r="S1656" s="192" t="n">
        <f aca="false">(K1656+O1656+Q1656)*24 /1130+(L1656+M1656+P1656+R1656)*12/1130+(N1656*30)/1130</f>
        <v>0.063716814159292</v>
      </c>
    </row>
    <row r="1657" customFormat="false" ht="15" hidden="true" customHeight="true" outlineLevel="0" collapsed="false">
      <c r="B1657" s="127" t="n">
        <f aca="false">B1656+D1657-C1657</f>
        <v>6164</v>
      </c>
      <c r="D1657" s="146" t="n">
        <f aca="false">281.75*6</f>
        <v>1690.5</v>
      </c>
      <c r="E1657" s="147" t="n">
        <v>1307</v>
      </c>
      <c r="F1657" s="147" t="n">
        <f aca="false">IFERROR(VLOOKUP(H1657,$AD$1:$AE$301,2,0),"")</f>
        <v>1008020</v>
      </c>
      <c r="G1657" s="147" t="str">
        <f aca="false">IFERROR(VLOOKUP(F1657,$AE$2:$AF$290,2, 0),"")</f>
        <v>البير</v>
      </c>
      <c r="H1657" s="212" t="s">
        <v>293</v>
      </c>
      <c r="I1657" s="246" t="n">
        <f aca="false">SUM(K1657:R1657)</f>
        <v>6</v>
      </c>
      <c r="J1657" s="182" t="n">
        <v>45874</v>
      </c>
      <c r="K1657" s="148" t="n">
        <v>6</v>
      </c>
      <c r="S1657" s="192" t="n">
        <f aca="false">(K1657+O1657+Q1657)*24 /1130+(L1657+M1657+P1657+R1657)*12/1130+(N1657*30)/1130</f>
        <v>0.127433628318584</v>
      </c>
    </row>
    <row r="1658" customFormat="false" ht="15" hidden="true" customHeight="true" outlineLevel="0" collapsed="false">
      <c r="B1658" s="127" t="n">
        <f aca="false">B1657+D1658-C1658</f>
        <v>6405.5</v>
      </c>
      <c r="D1658" s="146" t="n">
        <f aca="false">241.5</f>
        <v>241.5</v>
      </c>
      <c r="E1658" s="147" t="n">
        <v>1308</v>
      </c>
      <c r="F1658" s="147" t="n">
        <f aca="false">IFERROR(VLOOKUP(H1658,$AD$1:$AE$301,2,0),"")</f>
        <v>1008031</v>
      </c>
      <c r="G1658" s="147" t="str">
        <f aca="false">IFERROR(VLOOKUP(F1658,$AE$2:$AF$290,2, 0),"")</f>
        <v>البير</v>
      </c>
      <c r="H1658" s="212" t="s">
        <v>299</v>
      </c>
      <c r="I1658" s="246" t="n">
        <f aca="false">SUM(K1658:R1658)</f>
        <v>1</v>
      </c>
      <c r="J1658" s="182" t="n">
        <v>45874</v>
      </c>
      <c r="O1658" s="152" t="n">
        <v>1</v>
      </c>
      <c r="S1658" s="192" t="n">
        <f aca="false">(K1658+O1658+Q1658)*24 /1130+(L1658+M1658+P1658+R1658)*12/1130+(N1658*30)/1130</f>
        <v>0.0212389380530973</v>
      </c>
    </row>
    <row r="1659" customFormat="false" ht="15" hidden="true" customHeight="true" outlineLevel="0" collapsed="false">
      <c r="B1659" s="127" t="n">
        <f aca="false">B1658+D1659-C1659</f>
        <v>6813.75</v>
      </c>
      <c r="D1659" s="146" t="n">
        <f aca="false">253+155.25</f>
        <v>408.25</v>
      </c>
      <c r="E1659" s="147" t="n">
        <v>1309</v>
      </c>
      <c r="F1659" s="147" t="n">
        <f aca="false">IFERROR(VLOOKUP(H1659,$AD$1:$AE$301,2,0),"")</f>
        <v>1007999</v>
      </c>
      <c r="G1659" s="147" t="str">
        <f aca="false">IFERROR(VLOOKUP(F1659,$AE$2:$AF$290,2, 0),"")</f>
        <v>حقل</v>
      </c>
      <c r="H1659" s="212" t="s">
        <v>312</v>
      </c>
      <c r="I1659" s="246" t="n">
        <f aca="false">SUM(K1659:R1659)</f>
        <v>2</v>
      </c>
      <c r="J1659" s="182" t="n">
        <v>45874</v>
      </c>
      <c r="M1659" s="150" t="n">
        <v>1</v>
      </c>
      <c r="R1659" s="155" t="n">
        <v>1</v>
      </c>
      <c r="S1659" s="192" t="n">
        <f aca="false">(K1659+O1659+Q1659)*24 /1130+(L1659+M1659+P1659+R1659)*12/1130+(N1659*30)/1130</f>
        <v>0.0212389380530973</v>
      </c>
    </row>
    <row r="1660" customFormat="false" ht="15" hidden="true" customHeight="true" outlineLevel="0" collapsed="false">
      <c r="B1660" s="127" t="n">
        <f aca="false">B1659+D1660-C1660</f>
        <v>7659</v>
      </c>
      <c r="D1660" s="146" t="n">
        <f aca="false">281.75*3</f>
        <v>845.25</v>
      </c>
      <c r="E1660" s="147" t="n">
        <v>1310</v>
      </c>
      <c r="F1660" s="147" t="n">
        <f aca="false">IFERROR(VLOOKUP(H1660,$AD$1:$AE$301,2,0),"")</f>
        <v>1008003</v>
      </c>
      <c r="G1660" s="147" t="str">
        <f aca="false">IFERROR(VLOOKUP(F1660,$AE$2:$AF$290,2, 0),"")</f>
        <v>حقل</v>
      </c>
      <c r="H1660" s="212" t="s">
        <v>315</v>
      </c>
      <c r="I1660" s="246" t="n">
        <f aca="false">SUM(K1660:R1660)</f>
        <v>3</v>
      </c>
      <c r="J1660" s="182" t="n">
        <v>45874</v>
      </c>
      <c r="K1660" s="148" t="n">
        <v>3</v>
      </c>
      <c r="S1660" s="192" t="n">
        <f aca="false">(K1660+O1660+Q1660)*24 /1130+(L1660+M1660+P1660+R1660)*12/1130+(N1660*30)/1130</f>
        <v>0.063716814159292</v>
      </c>
    </row>
    <row r="1661" customFormat="false" ht="15" hidden="true" customHeight="true" outlineLevel="0" collapsed="false">
      <c r="B1661" s="127" t="n">
        <f aca="false">B1660+D1661-C1661</f>
        <v>0.75</v>
      </c>
      <c r="C1661" s="127" t="n">
        <f aca="false">1068+257+761.75+500+1020.75+241.5+408.25+3401</f>
        <v>7658.25</v>
      </c>
      <c r="E1661" s="212" t="s">
        <v>470</v>
      </c>
      <c r="F1661" s="147" t="str">
        <f aca="false">IFERROR(VLOOKUP(H1661,$AD$1:$AE$301,2,0),"")</f>
        <v/>
      </c>
      <c r="G1661" s="147" t="str">
        <f aca="false">IFERROR(VLOOKUP(F1661,$AE$2:$AF$290,2, 0),"")</f>
        <v/>
      </c>
      <c r="H1661" s="212" t="s">
        <v>393</v>
      </c>
      <c r="I1661" s="246" t="n">
        <f aca="false">SUM(K1661:R1661)</f>
        <v>0</v>
      </c>
      <c r="J1661" s="182" t="n">
        <v>45875</v>
      </c>
      <c r="S1661" s="192" t="n">
        <f aca="false">(K1661+O1661+Q1661)*24 /1130+(L1661+M1661+P1661+R1661)*12/1130+(N1661*30)/1130</f>
        <v>0</v>
      </c>
    </row>
    <row r="1662" customFormat="false" ht="15" hidden="true" customHeight="true" outlineLevel="0" collapsed="false">
      <c r="B1662" s="127" t="n">
        <f aca="false">B1661+D1662-C1662</f>
        <v>725.25</v>
      </c>
      <c r="D1662" s="146" t="n">
        <f aca="false">299+195.5+230</f>
        <v>724.5</v>
      </c>
      <c r="E1662" s="147" t="n">
        <v>1311</v>
      </c>
      <c r="F1662" s="147" t="n">
        <f aca="false">IFERROR(VLOOKUP(H1662,$AD$1:$AE$301,2,0),"")</f>
        <v>721</v>
      </c>
      <c r="G1662" s="147" t="str">
        <f aca="false">IFERROR(VLOOKUP(F1662,$AE$2:$AF$290,2, 0),"")</f>
        <v>تبوك</v>
      </c>
      <c r="H1662" s="212" t="s">
        <v>183</v>
      </c>
      <c r="I1662" s="246" t="n">
        <f aca="false">SUM(K1662:R1662)</f>
        <v>3</v>
      </c>
      <c r="J1662" s="182" t="n">
        <v>45875</v>
      </c>
      <c r="M1662" s="150" t="n">
        <v>1</v>
      </c>
      <c r="R1662" s="155" t="n">
        <f aca="false">1+1</f>
        <v>2</v>
      </c>
      <c r="S1662" s="192" t="n">
        <f aca="false">(K1662+O1662+Q1662)*24 /1130+(L1662+M1662+P1662+R1662)*12/1130+(N1662*30)/1130</f>
        <v>0.031858407079646</v>
      </c>
    </row>
    <row r="1663" customFormat="false" ht="15" hidden="true" customHeight="true" outlineLevel="0" collapsed="false">
      <c r="B1663" s="127" t="n">
        <f aca="false">B1662+D1663-C1663</f>
        <v>1001.25</v>
      </c>
      <c r="D1663" s="146" t="n">
        <f aca="false">138*2</f>
        <v>276</v>
      </c>
      <c r="E1663" s="147" t="n">
        <v>1313</v>
      </c>
      <c r="F1663" s="147" t="n">
        <f aca="false">IFERROR(VLOOKUP(H1663,$AD$1:$AE$301,2,0),"")</f>
        <v>954</v>
      </c>
      <c r="G1663" s="147" t="str">
        <f aca="false">IFERROR(VLOOKUP(F1663,$AE$2:$AF$290,2, 0),"")</f>
        <v>تبوك</v>
      </c>
      <c r="H1663" s="212" t="s">
        <v>199</v>
      </c>
      <c r="I1663" s="246" t="n">
        <f aca="false">SUM(K1663:R1663)</f>
        <v>2</v>
      </c>
      <c r="J1663" s="182" t="n">
        <v>45875</v>
      </c>
      <c r="Q1663" s="154" t="n">
        <v>2</v>
      </c>
      <c r="S1663" s="192" t="n">
        <f aca="false">(K1663+O1663+Q1663)*24 /1130+(L1663+M1663+P1663+R1663)*12/1130+(N1663*30)/1130</f>
        <v>0.0424778761061947</v>
      </c>
    </row>
    <row r="1664" customFormat="false" ht="15" hidden="true" customHeight="true" outlineLevel="0" collapsed="false">
      <c r="A1664" s="128" t="n">
        <f aca="false">D1664-655-500</f>
        <v>0.75</v>
      </c>
      <c r="B1664" s="127" t="n">
        <f aca="false">B1663+D1664-C1664</f>
        <v>2157</v>
      </c>
      <c r="D1664" s="146" t="n">
        <f aca="false">281.75*3+155.25*2</f>
        <v>1155.75</v>
      </c>
      <c r="E1664" s="147" t="n">
        <v>1312</v>
      </c>
      <c r="F1664" s="147" t="n">
        <f aca="false">IFERROR(VLOOKUP(H1664,$AD$1:$AE$301,2,0),"")</f>
        <v>653</v>
      </c>
      <c r="G1664" s="147" t="str">
        <f aca="false">IFERROR(VLOOKUP(F1664,$AE$2:$AF$290,2, 0),"")</f>
        <v>تبوك</v>
      </c>
      <c r="H1664" s="212" t="s">
        <v>264</v>
      </c>
      <c r="I1664" s="246" t="n">
        <f aca="false">SUM(K1664:R1664)</f>
        <v>5</v>
      </c>
      <c r="J1664" s="182" t="n">
        <v>45875</v>
      </c>
      <c r="K1664" s="148" t="n">
        <f aca="false">3</f>
        <v>3</v>
      </c>
      <c r="R1664" s="155" t="n">
        <f aca="false">2</f>
        <v>2</v>
      </c>
      <c r="S1664" s="192" t="n">
        <f aca="false">(K1664+O1664+Q1664)*24 /1130+(L1664+M1664+P1664+R1664)*12/1130+(N1664*30)/1130</f>
        <v>0.0849557522123894</v>
      </c>
    </row>
    <row r="1665" customFormat="false" ht="15" hidden="true" customHeight="true" outlineLevel="0" collapsed="false">
      <c r="B1665" s="127" t="n">
        <f aca="false">B1664+D1665-C1665</f>
        <v>2208.75</v>
      </c>
      <c r="D1665" s="146" t="n">
        <v>51.75</v>
      </c>
      <c r="E1665" s="147" t="n">
        <v>1314</v>
      </c>
      <c r="F1665" s="147" t="n">
        <f aca="false">IFERROR(VLOOKUP(H1665,$AD$1:$AE$301,2,0),"")</f>
        <v>855</v>
      </c>
      <c r="G1665" s="147" t="str">
        <f aca="false">IFERROR(VLOOKUP(F1665,$AE$2:$AF$290,2, 0),"")</f>
        <v>تبوك</v>
      </c>
      <c r="H1665" s="212" t="s">
        <v>141</v>
      </c>
      <c r="I1665" s="246" t="n">
        <f aca="false">SUM(K1665:R1665)</f>
        <v>1</v>
      </c>
      <c r="J1665" s="182" t="n">
        <v>45875</v>
      </c>
      <c r="Q1665" s="154" t="n">
        <v>1</v>
      </c>
      <c r="S1665" s="192" t="n">
        <f aca="false">(K1665+O1665+Q1665)*24 /1130+(L1665+M1665+P1665+R1665)*12/1130+(N1665*30)/1130</f>
        <v>0.0212389380530973</v>
      </c>
    </row>
    <row r="1666" customFormat="false" ht="15" hidden="true" customHeight="true" outlineLevel="0" collapsed="false">
      <c r="B1666" s="127" t="n">
        <f aca="false">B1665+D1666-C1666</f>
        <v>0.75</v>
      </c>
      <c r="C1666" s="127" t="n">
        <f aca="false">276+300+400+655+577</f>
        <v>2208</v>
      </c>
      <c r="E1666" s="212" t="s">
        <v>470</v>
      </c>
      <c r="F1666" s="147" t="str">
        <f aca="false">IFERROR(VLOOKUP(H1666,$AD$1:$AE$301,2,0),"")</f>
        <v/>
      </c>
      <c r="G1666" s="147" t="str">
        <f aca="false">IFERROR(VLOOKUP(F1666,$AE$2:$AF$290,2, 0),"")</f>
        <v/>
      </c>
      <c r="H1666" s="212" t="s">
        <v>393</v>
      </c>
      <c r="I1666" s="246" t="n">
        <f aca="false">SUM(K1666:R1666)</f>
        <v>0</v>
      </c>
      <c r="J1666" s="182" t="n">
        <v>45876</v>
      </c>
      <c r="S1666" s="192" t="n">
        <f aca="false">(K1666+O1666+Q1666)*24 /1130+(L1666+M1666+P1666+R1666)*12/1130+(N1666*30)/1130</f>
        <v>0</v>
      </c>
    </row>
    <row r="1667" customFormat="false" ht="15" hidden="true" customHeight="true" outlineLevel="0" collapsed="false">
      <c r="B1667" s="127" t="n">
        <f aca="false">B1666+D1667-C1667</f>
        <v>748.25</v>
      </c>
      <c r="D1667" s="420" t="n">
        <f aca="false">241.5+155.25*2+195.5</f>
        <v>747.5</v>
      </c>
      <c r="E1667" s="421" t="n">
        <v>1315</v>
      </c>
      <c r="F1667" s="421" t="n">
        <f aca="false">IFERROR(VLOOKUP(H1667,$AD$1:$AE$301,2,0),"")</f>
        <v>1007997</v>
      </c>
      <c r="G1667" s="147" t="str">
        <f aca="false">IFERROR(VLOOKUP(F1667,$AE$2:$AF$290,2, 0),"")</f>
        <v>البير</v>
      </c>
      <c r="H1667" s="422" t="s">
        <v>296</v>
      </c>
      <c r="I1667" s="423" t="n">
        <f aca="false">SUM(K1667:R1667)</f>
        <v>4</v>
      </c>
      <c r="J1667" s="424" t="n">
        <v>45876</v>
      </c>
      <c r="Q1667" s="154" t="n">
        <f aca="false">1</f>
        <v>1</v>
      </c>
      <c r="R1667" s="155" t="n">
        <f aca="false">2+1</f>
        <v>3</v>
      </c>
      <c r="S1667" s="192" t="n">
        <f aca="false">(K1667+O1667+Q1667)*24 /1130+(L1667+M1667+P1667+R1667)*12/1130+(N1667*30)/1130</f>
        <v>0.0530973451327434</v>
      </c>
    </row>
    <row r="1668" customFormat="false" ht="15" hidden="true" customHeight="true" outlineLevel="0" collapsed="false">
      <c r="A1668" s="128" t="n">
        <f aca="false">D1668-1955</f>
        <v>0</v>
      </c>
      <c r="B1668" s="127" t="n">
        <f aca="false">B1667+D1668-C1668</f>
        <v>2703.25</v>
      </c>
      <c r="D1668" s="420" t="n">
        <f aca="false">10*195.5</f>
        <v>1955</v>
      </c>
      <c r="E1668" s="421" t="n">
        <v>1316</v>
      </c>
      <c r="F1668" s="421" t="n">
        <f aca="false">IFERROR(VLOOKUP(H1668,$AD$1:$AE$301,2,0),"")</f>
        <v>1007997</v>
      </c>
      <c r="G1668" s="147" t="str">
        <f aca="false">IFERROR(VLOOKUP(F1668,$AE$2:$AF$290,2, 0),"")</f>
        <v>البير</v>
      </c>
      <c r="H1668" s="422" t="s">
        <v>296</v>
      </c>
      <c r="I1668" s="423" t="n">
        <f aca="false">SUM(K1668:R1668)</f>
        <v>10</v>
      </c>
      <c r="J1668" s="424" t="n">
        <v>45876</v>
      </c>
      <c r="Q1668" s="154" t="n">
        <f aca="false">5+5</f>
        <v>10</v>
      </c>
      <c r="S1668" s="192" t="n">
        <f aca="false">(K1668+O1668+Q1668)*24 /1130+(L1668+M1668+P1668+R1668)*12/1130+(N1668*30)/1130</f>
        <v>0.212389380530973</v>
      </c>
    </row>
    <row r="1669" customFormat="false" ht="15" hidden="true" customHeight="true" outlineLevel="0" collapsed="false">
      <c r="B1669" s="127" t="n">
        <f aca="false">B1668+D1669-C1669</f>
        <v>3186.25</v>
      </c>
      <c r="D1669" s="420" t="n">
        <f aca="false">241.5*2</f>
        <v>483</v>
      </c>
      <c r="E1669" s="421" t="n">
        <v>1317</v>
      </c>
      <c r="F1669" s="421" t="n">
        <f aca="false">IFERROR(VLOOKUP(H1669,$AD$1:$AE$301,2,0),"")</f>
        <v>786</v>
      </c>
      <c r="G1669" s="147" t="str">
        <f aca="false">IFERROR(VLOOKUP(F1669,$AE$2:$AF$290,2, 0),"")</f>
        <v>البدع</v>
      </c>
      <c r="H1669" s="422" t="s">
        <v>319</v>
      </c>
      <c r="I1669" s="423" t="n">
        <f aca="false">SUM(K1669:R1669)</f>
        <v>2</v>
      </c>
      <c r="J1669" s="424" t="n">
        <v>45876</v>
      </c>
      <c r="O1669" s="152" t="n">
        <v>2</v>
      </c>
      <c r="S1669" s="192" t="n">
        <f aca="false">(K1669+O1669+Q1669)*24 /1130+(L1669+M1669+P1669+R1669)*12/1130+(N1669*30)/1130</f>
        <v>0.0424778761061947</v>
      </c>
    </row>
    <row r="1670" customFormat="false" ht="15" hidden="true" customHeight="true" outlineLevel="0" collapsed="false">
      <c r="A1670" s="128" t="n">
        <f aca="false">D1670-282-1500-150-200-600</f>
        <v>5</v>
      </c>
      <c r="B1670" s="127" t="n">
        <f aca="false">B1669+D1670-C1670</f>
        <v>5923.25</v>
      </c>
      <c r="D1670" s="420" t="n">
        <f aca="false">6*281.75+345+299+264.5+138</f>
        <v>2737</v>
      </c>
      <c r="E1670" s="421" t="n">
        <v>1318</v>
      </c>
      <c r="F1670" s="421" t="n">
        <f aca="false">IFERROR(VLOOKUP(H1670,$AD$1:$AE$301,2,0),"")</f>
        <v>1008022</v>
      </c>
      <c r="G1670" s="147" t="str">
        <f aca="false">IFERROR(VLOOKUP(F1670,$AE$2:$AF$290,2, 0),"")</f>
        <v>ضباء</v>
      </c>
      <c r="H1670" s="422" t="s">
        <v>94</v>
      </c>
      <c r="I1670" s="423" t="n">
        <f aca="false">SUM(K1670:R1670)</f>
        <v>10</v>
      </c>
      <c r="J1670" s="424" t="n">
        <v>45876</v>
      </c>
      <c r="K1670" s="148" t="n">
        <f aca="false">5+1</f>
        <v>6</v>
      </c>
      <c r="M1670" s="150" t="n">
        <v>1</v>
      </c>
      <c r="Q1670" s="154" t="n">
        <v>1</v>
      </c>
      <c r="R1670" s="155" t="n">
        <f aca="false">1+1</f>
        <v>2</v>
      </c>
      <c r="S1670" s="192" t="n">
        <f aca="false">(K1670+O1670+Q1670)*24 /1130+(L1670+M1670+P1670+R1670)*12/1130+(N1670*30)/1130</f>
        <v>0.180530973451327</v>
      </c>
    </row>
    <row r="1671" customFormat="false" ht="15" hidden="true" customHeight="true" outlineLevel="0" collapsed="false">
      <c r="B1671" s="127" t="n">
        <f aca="false">B1670+D1671-C1671</f>
        <v>7941.5</v>
      </c>
      <c r="D1671" s="420" t="n">
        <f aca="false">3*274.08+230.01+155.25*2+241.5+138*3</f>
        <v>2018.25</v>
      </c>
      <c r="E1671" s="421" t="n">
        <v>1319</v>
      </c>
      <c r="F1671" s="421" t="n">
        <f aca="false">IFERROR(VLOOKUP(H1671,$AD$1:$AE$301,2,0),"")</f>
        <v>1008023</v>
      </c>
      <c r="G1671" s="147" t="str">
        <f aca="false">IFERROR(VLOOKUP(F1671,$AE$2:$AF$290,2, 0),"")</f>
        <v>ضباء</v>
      </c>
      <c r="H1671" s="422" t="s">
        <v>95</v>
      </c>
      <c r="I1671" s="423" t="n">
        <f aca="false">SUM(K1671:R1671)</f>
        <v>10</v>
      </c>
      <c r="J1671" s="424" t="n">
        <v>45876</v>
      </c>
      <c r="M1671" s="150" t="n">
        <v>1</v>
      </c>
      <c r="N1671" s="151" t="n">
        <v>3</v>
      </c>
      <c r="Q1671" s="154" t="n">
        <f aca="false">1+3</f>
        <v>4</v>
      </c>
      <c r="R1671" s="155" t="n">
        <v>2</v>
      </c>
      <c r="S1671" s="192" t="n">
        <f aca="false">(K1671+O1671+Q1671)*24 /1130+(L1671+M1671+P1671+R1671)*12/1130+(N1671*30)/1130</f>
        <v>0.19646017699115</v>
      </c>
    </row>
    <row r="1672" customFormat="false" ht="15" hidden="true" customHeight="true" outlineLevel="0" collapsed="false">
      <c r="A1672" s="128" t="n">
        <f aca="false">D1672-60*5-2247</f>
        <v>0.25</v>
      </c>
      <c r="B1672" s="127" t="n">
        <f aca="false">B1671+D1672-C1672</f>
        <v>10488.75</v>
      </c>
      <c r="D1672" s="420" t="n">
        <f aca="false">241.5+281.75*3+230+253+299+155.25+178.25+345</f>
        <v>2547.25</v>
      </c>
      <c r="E1672" s="421" t="n">
        <v>1320</v>
      </c>
      <c r="F1672" s="421" t="n">
        <f aca="false">IFERROR(VLOOKUP(H1672,$AD$1:$AE$301,2,0),"")</f>
        <v>1008024</v>
      </c>
      <c r="G1672" s="147" t="str">
        <f aca="false">IFERROR(VLOOKUP(F1672,$AE$2:$AF$290,2, 0),"")</f>
        <v>ضباء</v>
      </c>
      <c r="H1672" s="422" t="s">
        <v>96</v>
      </c>
      <c r="I1672" s="423" t="n">
        <f aca="false">SUM(K1672:R1672)</f>
        <v>10</v>
      </c>
      <c r="J1672" s="424" t="n">
        <v>45876</v>
      </c>
      <c r="K1672" s="148" t="n">
        <f aca="false">2+1</f>
        <v>3</v>
      </c>
      <c r="L1672" s="149" t="n">
        <v>1</v>
      </c>
      <c r="M1672" s="150" t="n">
        <f aca="false">1+1+1</f>
        <v>3</v>
      </c>
      <c r="O1672" s="152" t="n">
        <v>1</v>
      </c>
      <c r="R1672" s="155" t="n">
        <f aca="false">1+1</f>
        <v>2</v>
      </c>
      <c r="S1672" s="192" t="n">
        <f aca="false">(K1672+O1672+Q1672)*24 /1130+(L1672+M1672+P1672+R1672)*12/1130+(N1672*30)/1130</f>
        <v>0.148672566371681</v>
      </c>
    </row>
    <row r="1673" customFormat="false" ht="15" hidden="true" customHeight="true" outlineLevel="0" collapsed="false">
      <c r="B1673" s="127" t="n">
        <f aca="false">B1672+D1673-C1673</f>
        <v>11489.25</v>
      </c>
      <c r="D1673" s="420" t="n">
        <f aca="false">281.75*3+155.25</f>
        <v>1000.5</v>
      </c>
      <c r="E1673" s="421" t="n">
        <v>1321</v>
      </c>
      <c r="F1673" s="421" t="n">
        <f aca="false">IFERROR(VLOOKUP(H1673,$AD$1:$AE$301,2,0),"")</f>
        <v>1007988</v>
      </c>
      <c r="G1673" s="147" t="str">
        <f aca="false">IFERROR(VLOOKUP(F1673,$AE$2:$AF$290,2, 0),"")</f>
        <v>ضباء</v>
      </c>
      <c r="H1673" s="422" t="s">
        <v>89</v>
      </c>
      <c r="I1673" s="423" t="n">
        <f aca="false">SUM(K1673:R1673)</f>
        <v>4</v>
      </c>
      <c r="J1673" s="424" t="n">
        <v>45876</v>
      </c>
      <c r="K1673" s="148" t="n">
        <v>3</v>
      </c>
      <c r="R1673" s="155" t="n">
        <v>1</v>
      </c>
      <c r="S1673" s="192" t="n">
        <f aca="false">(K1673+O1673+Q1673)*24 /1130+(L1673+M1673+P1673+R1673)*12/1130+(N1673*30)/1130</f>
        <v>0.0743362831858407</v>
      </c>
    </row>
    <row r="1674" customFormat="false" ht="15" hidden="true" customHeight="true" outlineLevel="0" collapsed="false">
      <c r="B1674" s="127" t="n">
        <f aca="false">B1673+D1674-C1674</f>
        <v>12311.49</v>
      </c>
      <c r="D1674" s="420" t="n">
        <f aca="false">274.08*3</f>
        <v>822.24</v>
      </c>
      <c r="E1674" s="421" t="n">
        <v>1322</v>
      </c>
      <c r="F1674" s="421" t="n">
        <f aca="false">IFERROR(VLOOKUP(H1674,$AD$1:$AE$301,2,0),"")</f>
        <v>1008050</v>
      </c>
      <c r="G1674" s="147" t="str">
        <f aca="false">IFERROR(VLOOKUP(F1674,$AE$2:$AF$290,2, 0),"")</f>
        <v>ضباء</v>
      </c>
      <c r="H1674" s="422" t="s">
        <v>92</v>
      </c>
      <c r="I1674" s="423" t="n">
        <f aca="false">SUM(K1674:R1674)</f>
        <v>3</v>
      </c>
      <c r="J1674" s="424" t="n">
        <v>45876</v>
      </c>
      <c r="N1674" s="151" t="n">
        <v>3</v>
      </c>
      <c r="S1674" s="192" t="n">
        <f aca="false">(K1674+O1674+Q1674)*24 /1130+(L1674+M1674+P1674+R1674)*12/1130+(N1674*30)/1130</f>
        <v>0.079646017699115</v>
      </c>
    </row>
    <row r="1675" customFormat="false" ht="15" hidden="true" customHeight="true" outlineLevel="0" collapsed="false">
      <c r="B1675" s="127" t="n">
        <f aca="false">B1674+D1675-C1675</f>
        <v>13156.74</v>
      </c>
      <c r="D1675" s="420" t="n">
        <f aca="false">281.75*3</f>
        <v>845.25</v>
      </c>
      <c r="E1675" s="421" t="n">
        <v>1327</v>
      </c>
      <c r="F1675" s="421" t="n">
        <f aca="false">IFERROR(VLOOKUP(H1675,$AD$1:$AE$301,2,0),"")</f>
        <v>1008043</v>
      </c>
      <c r="G1675" s="147" t="str">
        <f aca="false">IFERROR(VLOOKUP(F1675,$AE$2:$AF$290,2, 0),"")</f>
        <v>الوجه</v>
      </c>
      <c r="H1675" s="422" t="s">
        <v>104</v>
      </c>
      <c r="I1675" s="423" t="n">
        <f aca="false">SUM(K1675:R1675)</f>
        <v>3</v>
      </c>
      <c r="J1675" s="424" t="n">
        <v>45876</v>
      </c>
      <c r="K1675" s="148" t="n">
        <v>3</v>
      </c>
      <c r="S1675" s="192" t="n">
        <f aca="false">(K1675+O1675+Q1675)*24 /1130+(L1675+M1675+P1675+R1675)*12/1130+(N1675*30)/1130</f>
        <v>0.063716814159292</v>
      </c>
    </row>
    <row r="1676" customFormat="false" ht="15" hidden="true" customHeight="true" outlineLevel="0" collapsed="false">
      <c r="A1676" s="128" t="n">
        <f aca="false">D1676-350-195-300</f>
        <v>0.25</v>
      </c>
      <c r="B1676" s="127" t="n">
        <f aca="false">B1675+D1676-C1676</f>
        <v>14001.99</v>
      </c>
      <c r="D1676" s="420" t="n">
        <f aca="false">281.75*3</f>
        <v>845.25</v>
      </c>
      <c r="E1676" s="421" t="n">
        <v>1324</v>
      </c>
      <c r="F1676" s="421" t="n">
        <f aca="false">IFERROR(VLOOKUP(H1676,$AD$1:$AE$301,2,0),"")</f>
        <v>1008051</v>
      </c>
      <c r="G1676" s="147" t="str">
        <f aca="false">IFERROR(VLOOKUP(F1676,$AE$2:$AF$290,2, 0),"")</f>
        <v>الوجه</v>
      </c>
      <c r="H1676" s="422" t="s">
        <v>113</v>
      </c>
      <c r="I1676" s="423" t="n">
        <f aca="false">SUM(K1676:R1676)</f>
        <v>3</v>
      </c>
      <c r="J1676" s="424" t="n">
        <v>45876</v>
      </c>
      <c r="K1676" s="148" t="n">
        <v>3</v>
      </c>
      <c r="S1676" s="192" t="n">
        <f aca="false">(K1676+O1676+Q1676)*24 /1130+(L1676+M1676+P1676+R1676)*12/1130+(N1676*30)/1130</f>
        <v>0.063716814159292</v>
      </c>
    </row>
    <row r="1677" customFormat="false" ht="15" hidden="true" customHeight="true" outlineLevel="0" collapsed="false">
      <c r="A1677" s="128" t="n">
        <f aca="false">D1677+280-410-200+17-0.25+20</f>
        <v>0</v>
      </c>
      <c r="B1677" s="127" t="n">
        <f aca="false">B1676+D1677-C1677</f>
        <v>14295.24</v>
      </c>
      <c r="D1677" s="420" t="n">
        <f aca="false">138+155.25</f>
        <v>293.25</v>
      </c>
      <c r="E1677" s="421" t="n">
        <v>1325</v>
      </c>
      <c r="F1677" s="421" t="n">
        <f aca="false">IFERROR(VLOOKUP(H1677,$AD$1:$AE$301,2,0),"")</f>
        <v>656</v>
      </c>
      <c r="G1677" s="147" t="str">
        <f aca="false">IFERROR(VLOOKUP(F1677,$AE$2:$AF$290,2, 0),"")</f>
        <v>الوجه</v>
      </c>
      <c r="H1677" s="422" t="s">
        <v>115</v>
      </c>
      <c r="I1677" s="423" t="n">
        <f aca="false">SUM(K1677:R1677)</f>
        <v>2</v>
      </c>
      <c r="J1677" s="424" t="n">
        <v>45876</v>
      </c>
      <c r="Q1677" s="154" t="n">
        <v>1</v>
      </c>
      <c r="R1677" s="155" t="n">
        <v>1</v>
      </c>
      <c r="S1677" s="192" t="n">
        <f aca="false">(K1677+O1677+Q1677)*24 /1130+(L1677+M1677+P1677+R1677)*12/1130+(N1677*30)/1130</f>
        <v>0.031858407079646</v>
      </c>
    </row>
    <row r="1678" customFormat="false" ht="15" hidden="true" customHeight="true" outlineLevel="0" collapsed="false">
      <c r="B1678" s="127" t="n">
        <f aca="false">B1677+D1678-C1678</f>
        <v>14433.24</v>
      </c>
      <c r="D1678" s="420" t="n">
        <v>138</v>
      </c>
      <c r="E1678" s="421" t="n">
        <v>1326</v>
      </c>
      <c r="F1678" s="421" t="n">
        <f aca="false">IFERROR(VLOOKUP(H1678,$AD$1:$AE$301,2,0),"")</f>
        <v>1008047</v>
      </c>
      <c r="G1678" s="147" t="str">
        <f aca="false">IFERROR(VLOOKUP(F1678,$AE$2:$AF$290,2, 0),"")</f>
        <v>الوجه</v>
      </c>
      <c r="H1678" s="422" t="s">
        <v>422</v>
      </c>
      <c r="I1678" s="423" t="n">
        <f aca="false">SUM(K1678:R1678)</f>
        <v>1</v>
      </c>
      <c r="J1678" s="424" t="n">
        <v>45876</v>
      </c>
      <c r="Q1678" s="154" t="n">
        <v>1</v>
      </c>
      <c r="S1678" s="192" t="n">
        <f aca="false">(K1678+O1678+Q1678)*24 /1130+(L1678+M1678+P1678+R1678)*12/1130+(N1678*30)/1130</f>
        <v>0.0212389380530973</v>
      </c>
    </row>
    <row r="1679" customFormat="false" ht="15" hidden="true" customHeight="true" outlineLevel="0" collapsed="false">
      <c r="A1679" s="288"/>
      <c r="B1679" s="127" t="n">
        <f aca="false">B1678+D1679-C1679</f>
        <v>8110.24</v>
      </c>
      <c r="C1679" s="127" t="n">
        <f aca="false">280+1000+2247+1500+483+403+410</f>
        <v>6323</v>
      </c>
      <c r="E1679" s="212" t="s">
        <v>470</v>
      </c>
      <c r="F1679" s="147" t="str">
        <f aca="false">IFERROR(VLOOKUP(H1679,$AD$1:$AE$301,2,0),"")</f>
        <v/>
      </c>
      <c r="G1679" s="147" t="str">
        <f aca="false">IFERROR(VLOOKUP(F1679,$AE$2:$AF$290,2, 0),"")</f>
        <v/>
      </c>
      <c r="H1679" s="398" t="s">
        <v>393</v>
      </c>
      <c r="I1679" s="246" t="n">
        <f aca="false">SUM(K1679:R1679)</f>
        <v>0</v>
      </c>
      <c r="J1679" s="182" t="n">
        <v>45876</v>
      </c>
      <c r="S1679" s="192" t="n">
        <f aca="false">(K1679+O1679+Q1679)*24 /1130+(L1679+M1679+P1679+R1679)*12/1130+(N1679*30)/1130</f>
        <v>0</v>
      </c>
    </row>
    <row r="1680" customFormat="false" ht="15" hidden="true" customHeight="true" outlineLevel="0" collapsed="false">
      <c r="A1680" s="288"/>
      <c r="B1680" s="127" t="n">
        <f aca="false">B1679+D1680-C1680</f>
        <v>0.25</v>
      </c>
      <c r="C1680" s="127" t="n">
        <f aca="false">5250+2620+240</f>
        <v>8110</v>
      </c>
      <c r="D1680" s="146" t="n">
        <v>0.01</v>
      </c>
      <c r="E1680" s="212" t="s">
        <v>653</v>
      </c>
      <c r="F1680" s="147" t="str">
        <f aca="false">IFERROR(VLOOKUP(H1680,$AD$1:$AE$301,2,0),"")</f>
        <v/>
      </c>
      <c r="G1680" s="147" t="str">
        <f aca="false">IFERROR(VLOOKUP(F1680,$AE$2:$AF$290,2, 0),"")</f>
        <v/>
      </c>
      <c r="H1680" s="212" t="s">
        <v>393</v>
      </c>
      <c r="I1680" s="246" t="n">
        <f aca="false">SUM(K1680:R1680)</f>
        <v>0</v>
      </c>
      <c r="J1680" s="182" t="n">
        <v>45876</v>
      </c>
      <c r="S1680" s="192" t="n">
        <f aca="false">(K1680+O1680+Q1680)*24 /1130+(L1680+M1680+P1680+R1680)*12/1130+(N1680*30)/1130</f>
        <v>0</v>
      </c>
    </row>
    <row r="1681" customFormat="false" ht="15" hidden="true" customHeight="true" outlineLevel="0" collapsed="false">
      <c r="A1681" s="128" t="n">
        <f aca="false">D1681-281.75+9-260-150-50-50-50-10-2</f>
        <v>0.5</v>
      </c>
      <c r="B1681" s="127" t="n">
        <f aca="false">B1680+D1681-C1681</f>
        <v>845.5</v>
      </c>
      <c r="D1681" s="146" t="n">
        <f aca="false">281.75*3</f>
        <v>845.25</v>
      </c>
      <c r="E1681" s="147" t="n">
        <v>1329</v>
      </c>
      <c r="F1681" s="147" t="n">
        <f aca="false">IFERROR(VLOOKUP(H1681,$AD$1:$AE$301,2,0),"")</f>
        <v>1008264</v>
      </c>
      <c r="G1681" s="147" t="str">
        <f aca="false">IFERROR(VLOOKUP(F1681,$AE$2:$AF$290,2, 0),"")</f>
        <v>تبوك</v>
      </c>
      <c r="H1681" s="212" t="s">
        <v>160</v>
      </c>
      <c r="I1681" s="246" t="n">
        <f aca="false">SUM(K1681:R1681)</f>
        <v>3</v>
      </c>
      <c r="J1681" s="182" t="n">
        <v>45879</v>
      </c>
      <c r="K1681" s="148" t="n">
        <f aca="false">1+2</f>
        <v>3</v>
      </c>
      <c r="S1681" s="192" t="n">
        <f aca="false">(K1681+O1681+Q1681)*24 /1130+(L1681+M1681+P1681+R1681)*12/1130+(N1681*30)/1130</f>
        <v>0.063716814159292</v>
      </c>
    </row>
    <row r="1682" customFormat="false" ht="15" hidden="true" customHeight="true" outlineLevel="0" collapsed="false">
      <c r="A1682" s="128" t="n">
        <f aca="false">D1682-100+275-250-235</f>
        <v>0.5</v>
      </c>
      <c r="B1682" s="127" t="n">
        <f aca="false">B1681+D1682-C1682</f>
        <v>1156</v>
      </c>
      <c r="D1682" s="146" t="n">
        <f aca="false">155.25*2</f>
        <v>310.5</v>
      </c>
      <c r="E1682" s="147" t="n">
        <v>1330</v>
      </c>
      <c r="F1682" s="147" t="n">
        <f aca="false">IFERROR(VLOOKUP(H1682,$AD$1:$AE$301,2,0),"")</f>
        <v>1008260</v>
      </c>
      <c r="G1682" s="147" t="str">
        <f aca="false">IFERROR(VLOOKUP(F1682,$AE$2:$AF$290,2, 0),"")</f>
        <v>تبوك</v>
      </c>
      <c r="H1682" s="212" t="s">
        <v>184</v>
      </c>
      <c r="I1682" s="246" t="n">
        <f aca="false">SUM(K1682:R1682)</f>
        <v>2</v>
      </c>
      <c r="J1682" s="182" t="n">
        <v>45879</v>
      </c>
      <c r="R1682" s="155" t="n">
        <f aca="false">2</f>
        <v>2</v>
      </c>
      <c r="S1682" s="192" t="n">
        <f aca="false">(K1682+O1682+Q1682)*24 /1130+(L1682+M1682+P1682+R1682)*12/1130+(N1682*30)/1130</f>
        <v>0.0212389380530973</v>
      </c>
    </row>
    <row r="1683" customFormat="false" ht="15" hidden="true" customHeight="true" outlineLevel="0" collapsed="false">
      <c r="A1683" s="128" t="n">
        <f aca="false">D1683-241</f>
        <v>0.5</v>
      </c>
      <c r="B1683" s="127" t="n">
        <f aca="false">B1682+D1683-C1683</f>
        <v>1397.5</v>
      </c>
      <c r="D1683" s="146" t="n">
        <v>241.5</v>
      </c>
      <c r="E1683" s="147" t="n">
        <v>1328</v>
      </c>
      <c r="F1683" s="147" t="n">
        <f aca="false">IFERROR(VLOOKUP(H1683,$AD$1:$AE$301,2,0),"")</f>
        <v>1008007</v>
      </c>
      <c r="G1683" s="147" t="str">
        <f aca="false">IFERROR(VLOOKUP(F1683,$AE$2:$AF$290,2, 0),"")</f>
        <v>حقل</v>
      </c>
      <c r="H1683" s="212" t="s">
        <v>303</v>
      </c>
      <c r="I1683" s="246" t="n">
        <f aca="false">SUM(K1683:R1683)</f>
        <v>1</v>
      </c>
      <c r="J1683" s="182" t="n">
        <v>45879</v>
      </c>
      <c r="O1683" s="152" t="n">
        <v>1</v>
      </c>
      <c r="S1683" s="192" t="n">
        <f aca="false">(K1683+O1683+Q1683)*24 /1130+(L1683+M1683+P1683+R1683)*12/1130+(N1683*30)/1130</f>
        <v>0.0212389380530973</v>
      </c>
    </row>
    <row r="1684" customFormat="false" ht="15" hidden="true" customHeight="true" outlineLevel="0" collapsed="false">
      <c r="B1684" s="127" t="n">
        <f aca="false">B1683+D1684-C1684</f>
        <v>0</v>
      </c>
      <c r="C1684" s="127" t="n">
        <v>1397</v>
      </c>
      <c r="D1684" s="146" t="n">
        <v>-0.5</v>
      </c>
      <c r="E1684" s="212" t="s">
        <v>662</v>
      </c>
      <c r="F1684" s="147" t="str">
        <f aca="false">IFERROR(VLOOKUP(H1684,$AD$1:$AE$301,2,0),"")</f>
        <v/>
      </c>
      <c r="G1684" s="147" t="str">
        <f aca="false">IFERROR(VLOOKUP(F1684,$AE$2:$AF$290,2, 0),"")</f>
        <v/>
      </c>
      <c r="H1684" s="212" t="s">
        <v>393</v>
      </c>
      <c r="I1684" s="246" t="n">
        <f aca="false">SUM(K1684:R1684)</f>
        <v>0</v>
      </c>
      <c r="J1684" s="182" t="n">
        <v>45879</v>
      </c>
      <c r="S1684" s="192" t="n">
        <f aca="false">(K1684+O1684+Q1684)*24 /1130+(L1684+M1684+P1684+R1684)*12/1130+(N1684*30)/1130</f>
        <v>0</v>
      </c>
    </row>
    <row r="1685" customFormat="false" ht="15" hidden="true" customHeight="true" outlineLevel="0" collapsed="false">
      <c r="B1685" s="127" t="n">
        <f aca="false">B1684+D1685-C1685</f>
        <v>103.5</v>
      </c>
      <c r="D1685" s="146" t="n">
        <f aca="false">51.75*2</f>
        <v>103.5</v>
      </c>
      <c r="E1685" s="147" t="n">
        <v>1331</v>
      </c>
      <c r="F1685" s="147" t="n">
        <f aca="false">IFERROR(VLOOKUP(H1685,$AD$1:$AE$301,2,0),"")</f>
        <v>945</v>
      </c>
      <c r="G1685" s="147" t="str">
        <f aca="false">IFERROR(VLOOKUP(F1685,$AE$2:$AF$290,2, 0),"")</f>
        <v>تبوك</v>
      </c>
      <c r="H1685" s="212" t="s">
        <v>137</v>
      </c>
      <c r="I1685" s="246" t="n">
        <f aca="false">SUM(K1685:R1685)</f>
        <v>2</v>
      </c>
      <c r="J1685" s="182" t="n">
        <v>45880</v>
      </c>
      <c r="R1685" s="155" t="n">
        <v>2</v>
      </c>
      <c r="S1685" s="192" t="n">
        <f aca="false">(K1685+O1685+Q1685)*24 /1130+(L1685+M1685+P1685+R1685)*12/1130+(N1685*30)/1130</f>
        <v>0.0212389380530973</v>
      </c>
    </row>
    <row r="1686" customFormat="false" ht="15" hidden="true" customHeight="true" outlineLevel="0" collapsed="false">
      <c r="A1686" s="128" t="n">
        <f aca="false">D1686-12*5-2*2-327</f>
        <v>0</v>
      </c>
      <c r="B1686" s="127" t="n">
        <f aca="false">B1685+D1686-C1686</f>
        <v>494.5</v>
      </c>
      <c r="D1686" s="146" t="n">
        <f aca="false">138+253</f>
        <v>391</v>
      </c>
      <c r="E1686" s="147" t="n">
        <v>1332</v>
      </c>
      <c r="F1686" s="147" t="n">
        <f aca="false">IFERROR(VLOOKUP(H1686,$AD$1:$AE$301,2,0),"")</f>
        <v>1008261</v>
      </c>
      <c r="G1686" s="147" t="str">
        <f aca="false">IFERROR(VLOOKUP(F1686,$AE$2:$AF$290,2, 0),"")</f>
        <v>تبوك</v>
      </c>
      <c r="H1686" s="212" t="s">
        <v>440</v>
      </c>
      <c r="I1686" s="246" t="n">
        <f aca="false">SUM(K1686:R1686)</f>
        <v>2</v>
      </c>
      <c r="J1686" s="182" t="n">
        <v>45880</v>
      </c>
      <c r="M1686" s="150" t="n">
        <v>1</v>
      </c>
      <c r="Q1686" s="154" t="n">
        <v>1</v>
      </c>
      <c r="S1686" s="192" t="n">
        <f aca="false">(K1686+O1686+Q1686)*24 /1130+(L1686+M1686+P1686+R1686)*12/1130+(N1686*30)/1130</f>
        <v>0.031858407079646</v>
      </c>
    </row>
    <row r="1687" customFormat="false" ht="15" hidden="true" customHeight="true" outlineLevel="0" collapsed="false">
      <c r="A1687" s="128" t="n">
        <f aca="false">D1687-281.75-520-200</f>
        <v>-1.25</v>
      </c>
      <c r="B1687" s="127" t="n">
        <f aca="false">B1686+D1687-C1687</f>
        <v>1495</v>
      </c>
      <c r="D1687" s="146" t="n">
        <f aca="false">281.75*3+155.25</f>
        <v>1000.5</v>
      </c>
      <c r="E1687" s="147" t="n">
        <v>1333</v>
      </c>
      <c r="F1687" s="147" t="n">
        <f aca="false">IFERROR(VLOOKUP(H1687,$AD$1:$AE$301,2,0),"")</f>
        <v>652</v>
      </c>
      <c r="G1687" s="147" t="str">
        <f aca="false">IFERROR(VLOOKUP(F1687,$AE$2:$AF$290,2, 0),"")</f>
        <v>تبوك</v>
      </c>
      <c r="H1687" s="398" t="s">
        <v>263</v>
      </c>
      <c r="I1687" s="246" t="n">
        <f aca="false">SUM(K1687:R1687)</f>
        <v>4</v>
      </c>
      <c r="J1687" s="182" t="n">
        <v>45880</v>
      </c>
      <c r="K1687" s="148" t="n">
        <f aca="false">1+1+1</f>
        <v>3</v>
      </c>
      <c r="R1687" s="155" t="n">
        <v>1</v>
      </c>
      <c r="S1687" s="192" t="n">
        <f aca="false">(K1687+O1687+Q1687)*24 /1130+(L1687+M1687+P1687+R1687)*12/1130+(N1687*30)/1130</f>
        <v>0.0743362831858407</v>
      </c>
    </row>
    <row r="1688" customFormat="false" ht="15" hidden="true" customHeight="true" outlineLevel="0" collapsed="false">
      <c r="B1688" s="127" t="n">
        <f aca="false">B1687+D1688-C1688</f>
        <v>1168</v>
      </c>
      <c r="C1688" s="127" t="n">
        <f aca="false">327</f>
        <v>327</v>
      </c>
      <c r="E1688" s="212" t="s">
        <v>470</v>
      </c>
      <c r="F1688" s="147" t="str">
        <f aca="false">IFERROR(VLOOKUP(H1688,$AD$1:$AE$301,2,0),"")</f>
        <v/>
      </c>
      <c r="G1688" s="147" t="str">
        <f aca="false">IFERROR(VLOOKUP(F1688,$AE$2:$AF$290,2, 0),"")</f>
        <v/>
      </c>
      <c r="H1688" s="212" t="s">
        <v>393</v>
      </c>
      <c r="I1688" s="246" t="n">
        <f aca="false">SUM(K1688:R1688)</f>
        <v>0</v>
      </c>
      <c r="J1688" s="182" t="n">
        <v>45880</v>
      </c>
      <c r="S1688" s="192" t="n">
        <f aca="false">(K1688+O1688+Q1688)*24 /1130+(L1688+M1688+P1688+R1688)*12/1130+(N1688*30)/1130</f>
        <v>0</v>
      </c>
    </row>
    <row r="1689" customFormat="false" ht="15" hidden="true" customHeight="true" outlineLevel="0" collapsed="false">
      <c r="B1689" s="127" t="n">
        <f aca="false">B1688+D1689-C1689</f>
        <v>0</v>
      </c>
      <c r="C1689" s="127" t="n">
        <v>1168</v>
      </c>
      <c r="E1689" s="212" t="s">
        <v>653</v>
      </c>
      <c r="F1689" s="147" t="str">
        <f aca="false">IFERROR(VLOOKUP(H1689,$AD$1:$AE$301,2,0),"")</f>
        <v/>
      </c>
      <c r="G1689" s="147" t="str">
        <f aca="false">IFERROR(VLOOKUP(F1689,$AE$2:$AF$290,2, 0),"")</f>
        <v/>
      </c>
      <c r="H1689" s="212" t="s">
        <v>393</v>
      </c>
      <c r="I1689" s="246" t="n">
        <f aca="false">SUM(K1689:R1689)</f>
        <v>0</v>
      </c>
      <c r="J1689" s="182" t="n">
        <v>45880</v>
      </c>
      <c r="S1689" s="192" t="n">
        <f aca="false">(K1689+O1689+Q1689)*24 /1130+(L1689+M1689+P1689+R1689)*12/1130+(N1689*30)/1130</f>
        <v>0</v>
      </c>
    </row>
    <row r="1690" customFormat="false" ht="15" hidden="true" customHeight="true" outlineLevel="0" collapsed="false">
      <c r="A1690" s="128" t="n">
        <f aca="false">258+D1690-305-17*5-3*2</f>
        <v>0</v>
      </c>
      <c r="B1690" s="127" t="n">
        <f aca="false">B1689+D1690-C1690</f>
        <v>138</v>
      </c>
      <c r="D1690" s="146" t="n">
        <v>138</v>
      </c>
      <c r="E1690" s="147" t="n">
        <v>1334</v>
      </c>
      <c r="F1690" s="147" t="n">
        <f aca="false">IFERROR(VLOOKUP(H1690,$AD$1:$AE$301,2,0),"")</f>
        <v>1008269</v>
      </c>
      <c r="G1690" s="147" t="str">
        <f aca="false">IFERROR(VLOOKUP(F1690,$AE$2:$AF$290,2, 0),"")</f>
        <v>تبوك</v>
      </c>
      <c r="H1690" s="212" t="s">
        <v>166</v>
      </c>
      <c r="I1690" s="246" t="n">
        <f aca="false">SUM(K1690:R1690)</f>
        <v>1</v>
      </c>
      <c r="J1690" s="182" t="n">
        <v>45881</v>
      </c>
      <c r="Q1690" s="154" t="n">
        <v>1</v>
      </c>
      <c r="S1690" s="192" t="n">
        <f aca="false">(K1690+O1690+Q1690)*24 /1130+(L1690+M1690+P1690+R1690)*12/1130+(N1690*30)/1130</f>
        <v>0.0212389380530973</v>
      </c>
    </row>
    <row r="1691" customFormat="false" ht="15" hidden="true" customHeight="true" outlineLevel="0" collapsed="false">
      <c r="B1691" s="127" t="n">
        <f aca="false">B1690+D1691-C1691</f>
        <v>1270.75</v>
      </c>
      <c r="D1691" s="146" t="n">
        <f aca="false">822.25+155.25*2</f>
        <v>1132.75</v>
      </c>
      <c r="E1691" s="147" t="n">
        <v>1335</v>
      </c>
      <c r="F1691" s="147" t="n">
        <f aca="false">IFERROR(VLOOKUP(H1691,$AD$1:$AE$301,2,0),"")</f>
        <v>587</v>
      </c>
      <c r="G1691" s="147" t="str">
        <f aca="false">IFERROR(VLOOKUP(F1691,$AE$2:$AF$290,2, 0),"")</f>
        <v>تبوك</v>
      </c>
      <c r="H1691" s="212" t="s">
        <v>226</v>
      </c>
      <c r="I1691" s="246" t="n">
        <f aca="false">SUM(K1691:R1691)</f>
        <v>5</v>
      </c>
      <c r="J1691" s="182" t="n">
        <v>45881</v>
      </c>
      <c r="N1691" s="151" t="n">
        <v>3</v>
      </c>
      <c r="R1691" s="155" t="n">
        <v>2</v>
      </c>
      <c r="S1691" s="192" t="n">
        <f aca="false">(K1691+O1691+Q1691)*24 /1130+(L1691+M1691+P1691+R1691)*12/1130+(N1691*30)/1130</f>
        <v>0.100884955752212</v>
      </c>
    </row>
    <row r="1692" customFormat="false" ht="15" hidden="true" customHeight="true" outlineLevel="0" collapsed="false">
      <c r="B1692" s="127" t="n">
        <f aca="false">B1691+D1692-C1692</f>
        <v>1408.75</v>
      </c>
      <c r="D1692" s="146" t="n">
        <f aca="false">138</f>
        <v>138</v>
      </c>
      <c r="E1692" s="147" t="n">
        <v>1336</v>
      </c>
      <c r="F1692" s="147" t="n">
        <f aca="false">IFERROR(VLOOKUP(H1692,$AD$1:$AE$301,2,0),"")</f>
        <v>549</v>
      </c>
      <c r="G1692" s="147" t="str">
        <f aca="false">IFERROR(VLOOKUP(F1692,$AE$2:$AF$290,2, 0),"")</f>
        <v>تبوك</v>
      </c>
      <c r="H1692" s="212" t="s">
        <v>238</v>
      </c>
      <c r="I1692" s="246" t="n">
        <f aca="false">SUM(K1692:R1692)</f>
        <v>1</v>
      </c>
      <c r="J1692" s="182" t="n">
        <v>45881</v>
      </c>
      <c r="Q1692" s="154" t="n">
        <v>1</v>
      </c>
      <c r="S1692" s="192" t="n">
        <f aca="false">(K1692+O1692+Q1692)*24 /1130+(L1692+M1692+P1692+R1692)*12/1130+(N1692*30)/1130</f>
        <v>0.0212389380530973</v>
      </c>
    </row>
    <row r="1693" customFormat="false" ht="15" hidden="true" customHeight="true" outlineLevel="0" collapsed="false">
      <c r="B1693" s="127" t="n">
        <f aca="false">B1692+D1693-C1693</f>
        <v>1673.25</v>
      </c>
      <c r="D1693" s="146" t="n">
        <v>264.5</v>
      </c>
      <c r="E1693" s="147" t="n">
        <v>1337</v>
      </c>
      <c r="F1693" s="147" t="n">
        <f aca="false">IFERROR(VLOOKUP(H1693,$AD$1:$AE$301,2,0),"")</f>
        <v>954</v>
      </c>
      <c r="G1693" s="147" t="str">
        <f aca="false">IFERROR(VLOOKUP(F1693,$AE$2:$AF$290,2, 0),"")</f>
        <v>تبوك</v>
      </c>
      <c r="H1693" s="212" t="s">
        <v>199</v>
      </c>
      <c r="I1693" s="246" t="n">
        <f aca="false">SUM(K1693:R1693)</f>
        <v>1</v>
      </c>
      <c r="J1693" s="182" t="n">
        <v>45881</v>
      </c>
      <c r="R1693" s="155" t="n">
        <v>1</v>
      </c>
      <c r="S1693" s="192" t="n">
        <f aca="false">(K1693+O1693+Q1693)*24 /1130+(L1693+M1693+P1693+R1693)*12/1130+(N1693*30)/1130</f>
        <v>0.0106194690265487</v>
      </c>
    </row>
    <row r="1694" customFormat="false" ht="15" hidden="true" customHeight="true" outlineLevel="0" collapsed="false">
      <c r="B1694" s="127" t="n">
        <f aca="false">B1693+D1694-C1694</f>
        <v>2708.25</v>
      </c>
      <c r="D1694" s="146" t="n">
        <f aca="false">258.75*4</f>
        <v>1035</v>
      </c>
      <c r="E1694" s="147" t="n">
        <v>1338</v>
      </c>
      <c r="F1694" s="147" t="n">
        <f aca="false">IFERROR(VLOOKUP(H1694,$AD$1:$AE$301,2,0),"")</f>
        <v>721</v>
      </c>
      <c r="G1694" s="147" t="str">
        <f aca="false">IFERROR(VLOOKUP(F1694,$AE$2:$AF$290,2, 0),"")</f>
        <v>تبوك</v>
      </c>
      <c r="H1694" s="212" t="s">
        <v>183</v>
      </c>
      <c r="I1694" s="246" t="n">
        <f aca="false">SUM(K1694:R1694)</f>
        <v>4</v>
      </c>
      <c r="J1694" s="182" t="n">
        <v>45881</v>
      </c>
      <c r="M1694" s="150" t="n">
        <v>4</v>
      </c>
      <c r="S1694" s="192" t="n">
        <f aca="false">(K1694+O1694+Q1694)*24 /1130+(L1694+M1694+P1694+R1694)*12/1130+(N1694*30)/1130</f>
        <v>0.0424778761061947</v>
      </c>
    </row>
    <row r="1695" customFormat="false" ht="15" hidden="true" customHeight="true" outlineLevel="0" collapsed="false">
      <c r="A1695" s="128" t="n">
        <f aca="false">D1695+259-2100+1600+96+7</f>
        <v>0</v>
      </c>
      <c r="B1695" s="127" t="n">
        <f aca="false">B1694+D1695-C1695</f>
        <v>2846.25</v>
      </c>
      <c r="D1695" s="146" t="n">
        <f aca="false">138</f>
        <v>138</v>
      </c>
      <c r="E1695" s="147" t="n">
        <v>1339</v>
      </c>
      <c r="F1695" s="147" t="n">
        <f aca="false">IFERROR(VLOOKUP(H1695,$AD$1:$AE$301,2,0),"")</f>
        <v>636</v>
      </c>
      <c r="G1695" s="147" t="str">
        <f aca="false">IFERROR(VLOOKUP(F1695,$AE$2:$AF$290,2, 0),"")</f>
        <v>تبوك</v>
      </c>
      <c r="H1695" s="212" t="s">
        <v>134</v>
      </c>
      <c r="I1695" s="246" t="n">
        <f aca="false">SUM(K1695:R1695)</f>
        <v>1</v>
      </c>
      <c r="J1695" s="182" t="n">
        <v>45881</v>
      </c>
      <c r="Q1695" s="154" t="n">
        <v>1</v>
      </c>
      <c r="S1695" s="192" t="n">
        <f aca="false">(K1695+O1695+Q1695)*24 /1130+(L1695+M1695+P1695+R1695)*12/1130+(N1695*30)/1130</f>
        <v>0.0212389380530973</v>
      </c>
    </row>
    <row r="1696" customFormat="false" ht="15" hidden="true" customHeight="true" outlineLevel="0" collapsed="false">
      <c r="A1696" s="128" t="n">
        <f aca="false">D1696-281.75-370-193</f>
        <v>0.5</v>
      </c>
      <c r="B1696" s="127" t="n">
        <f aca="false">B1695+D1696-C1696</f>
        <v>3691.5</v>
      </c>
      <c r="D1696" s="146" t="n">
        <f aca="false">281.75*3</f>
        <v>845.25</v>
      </c>
      <c r="E1696" s="147" t="n">
        <v>1340</v>
      </c>
      <c r="F1696" s="147" t="n">
        <f aca="false">IFERROR(VLOOKUP(H1696,$AD$1:$AE$301,2,0),"")</f>
        <v>1002901</v>
      </c>
      <c r="G1696" s="147" t="str">
        <f aca="false">IFERROR(VLOOKUP(F1696,$AE$2:$AF$290,2, 0),"")</f>
        <v>تبوك</v>
      </c>
      <c r="H1696" s="212" t="s">
        <v>153</v>
      </c>
      <c r="I1696" s="246" t="n">
        <f aca="false">SUM(K1696:R1696)</f>
        <v>3</v>
      </c>
      <c r="J1696" s="182" t="n">
        <v>45881</v>
      </c>
      <c r="K1696" s="148" t="n">
        <f aca="false">3</f>
        <v>3</v>
      </c>
      <c r="S1696" s="192" t="n">
        <f aca="false">(K1696+O1696+Q1696)*24 /1130+(L1696+M1696+P1696+R1696)*12/1130+(N1696*30)/1130</f>
        <v>0.063716814159292</v>
      </c>
    </row>
    <row r="1697" customFormat="false" ht="15" hidden="true" customHeight="true" outlineLevel="0" collapsed="false">
      <c r="B1697" s="127" t="n">
        <f aca="false">B1696+D1697-C1697</f>
        <v>0</v>
      </c>
      <c r="C1697" s="127" t="n">
        <f aca="false">150+264.5+305+235+2100+637</f>
        <v>3691.5</v>
      </c>
      <c r="E1697" s="212" t="s">
        <v>470</v>
      </c>
      <c r="F1697" s="147" t="str">
        <f aca="false">IFERROR(VLOOKUP(H1697,$AD$1:$AE$301,2,0),"")</f>
        <v/>
      </c>
      <c r="G1697" s="147" t="str">
        <f aca="false">IFERROR(VLOOKUP(F1697,$AE$2:$AF$290,2, 0),"")</f>
        <v/>
      </c>
      <c r="H1697" s="212" t="s">
        <v>393</v>
      </c>
      <c r="I1697" s="246" t="n">
        <f aca="false">SUM(K1697:R1697)</f>
        <v>0</v>
      </c>
      <c r="J1697" s="182" t="n">
        <v>45881</v>
      </c>
      <c r="S1697" s="192" t="n">
        <f aca="false">(K1697+O1697+Q1697)*24 /1130+(L1697+M1697+P1697+R1697)*12/1130+(N1697*30)/1130</f>
        <v>0</v>
      </c>
    </row>
    <row r="1698" customFormat="false" ht="15" hidden="true" customHeight="true" outlineLevel="0" collapsed="false">
      <c r="A1698" s="128" t="n">
        <f aca="false">D1698-100-877</f>
        <v>0.5</v>
      </c>
      <c r="B1698" s="127" t="n">
        <f aca="false">B1697+D1698-C1698</f>
        <v>977.5</v>
      </c>
      <c r="D1698" s="146" t="n">
        <f aca="false">241.5+253*2+230</f>
        <v>977.5</v>
      </c>
      <c r="E1698" s="147" t="n">
        <v>1341</v>
      </c>
      <c r="F1698" s="147" t="n">
        <f aca="false">IFERROR(VLOOKUP(H1698,$AD$1:$AE$301,2,0),"")</f>
        <v>1008030</v>
      </c>
      <c r="G1698" s="147" t="str">
        <f aca="false">IFERROR(VLOOKUP(F1698,$AE$2:$AF$290,2, 0),"")</f>
        <v>البير</v>
      </c>
      <c r="H1698" s="212" t="s">
        <v>298</v>
      </c>
      <c r="I1698" s="246" t="n">
        <f aca="false">SUM(K1698:R1698)</f>
        <v>4</v>
      </c>
      <c r="J1698" s="182" t="n">
        <v>45882</v>
      </c>
      <c r="M1698" s="150" t="n">
        <f aca="false">2+1</f>
        <v>3</v>
      </c>
      <c r="Q1698" s="154" t="n">
        <v>1</v>
      </c>
      <c r="S1698" s="192" t="n">
        <f aca="false">(K1698+O1698+Q1698)*24 /1130+(L1698+M1698+P1698+R1698)*12/1130+(N1698*30)/1130</f>
        <v>0.0530973451327434</v>
      </c>
    </row>
    <row r="1699" customFormat="false" ht="15" hidden="true" customHeight="true" outlineLevel="0" collapsed="false">
      <c r="A1699" s="128" t="n">
        <f aca="false">D1699-1305</f>
        <v>0.25</v>
      </c>
      <c r="B1699" s="127" t="n">
        <f aca="false">B1698+D1699-C1699</f>
        <v>2282.75</v>
      </c>
      <c r="D1699" s="146" t="n">
        <f aca="false">241.5*2+822.25</f>
        <v>1305.25</v>
      </c>
      <c r="E1699" s="147" t="n">
        <v>1342</v>
      </c>
      <c r="F1699" s="147" t="n">
        <f aca="false">IFERROR(VLOOKUP(H1699,$AD$1:$AE$301,2,0),"")</f>
        <v>1007996</v>
      </c>
      <c r="G1699" s="147" t="str">
        <f aca="false">IFERROR(VLOOKUP(F1699,$AE$2:$AF$290,2, 0),"")</f>
        <v>البير</v>
      </c>
      <c r="H1699" s="212" t="s">
        <v>295</v>
      </c>
      <c r="I1699" s="246" t="n">
        <f aca="false">SUM(K1699:R1699)</f>
        <v>5</v>
      </c>
      <c r="J1699" s="182" t="n">
        <v>45882</v>
      </c>
      <c r="N1699" s="151" t="n">
        <v>3</v>
      </c>
      <c r="O1699" s="152" t="n">
        <f aca="false">1+1</f>
        <v>2</v>
      </c>
      <c r="S1699" s="192" t="n">
        <f aca="false">(K1699+O1699+Q1699)*24 /1130+(L1699+M1699+P1699+R1699)*12/1130+(N1699*30)/1130</f>
        <v>0.12212389380531</v>
      </c>
    </row>
    <row r="1700" customFormat="false" ht="15" hidden="true" customHeight="true" outlineLevel="0" collapsed="false">
      <c r="B1700" s="127" t="n">
        <f aca="false">B1699+D1700-C1700</f>
        <v>0.75</v>
      </c>
      <c r="C1700" s="127" t="n">
        <f aca="false">877+100+1305</f>
        <v>2282</v>
      </c>
      <c r="E1700" s="212" t="s">
        <v>470</v>
      </c>
      <c r="F1700" s="147" t="str">
        <f aca="false">IFERROR(VLOOKUP(H1700,$AD$1:$AE$301,2,0),"")</f>
        <v/>
      </c>
      <c r="G1700" s="147" t="str">
        <f aca="false">IFERROR(VLOOKUP(F1700,$AE$2:$AF$290,2, 0),"")</f>
        <v/>
      </c>
      <c r="H1700" s="212" t="s">
        <v>393</v>
      </c>
      <c r="I1700" s="246" t="n">
        <f aca="false">SUM(K1700:R1700)</f>
        <v>0</v>
      </c>
      <c r="J1700" s="182" t="n">
        <v>45882</v>
      </c>
      <c r="S1700" s="192" t="n">
        <f aca="false">(K1700+O1700+Q1700)*24 /1130+(L1700+M1700+P1700+R1700)*12/1130+(N1700*30)/1130</f>
        <v>0</v>
      </c>
    </row>
    <row r="1701" customFormat="false" ht="15" hidden="true" customHeight="true" outlineLevel="0" collapsed="false">
      <c r="A1701" s="128" t="n">
        <f aca="false">D1701-5*24-2099</f>
        <v>0.5</v>
      </c>
      <c r="B1701" s="127" t="n">
        <f aca="false">B1700+D1701-C1701</f>
        <v>2220.25</v>
      </c>
      <c r="D1701" s="146" t="n">
        <f aca="false">281.75*6+299+230</f>
        <v>2219.5</v>
      </c>
      <c r="E1701" s="147" t="n">
        <v>1343</v>
      </c>
      <c r="F1701" s="147" t="n">
        <f aca="false">IFERROR(VLOOKUP(H1701,$AD$1:$AE$301,2,0),"")</f>
        <v>954</v>
      </c>
      <c r="G1701" s="147" t="str">
        <f aca="false">IFERROR(VLOOKUP(F1701,$AE$2:$AF$290,2, 0),"")</f>
        <v>تبوك</v>
      </c>
      <c r="H1701" s="212" t="s">
        <v>199</v>
      </c>
      <c r="I1701" s="246" t="n">
        <f aca="false">SUM(K1701:R1701)</f>
        <v>8</v>
      </c>
      <c r="J1701" s="182" t="n">
        <v>45883</v>
      </c>
      <c r="K1701" s="148" t="n">
        <f aca="false">3+3</f>
        <v>6</v>
      </c>
      <c r="M1701" s="150" t="n">
        <v>1</v>
      </c>
      <c r="R1701" s="155" t="n">
        <v>1</v>
      </c>
      <c r="S1701" s="192" t="n">
        <f aca="false">(K1701+O1701+Q1701)*24 /1130+(L1701+M1701+P1701+R1701)*12/1130+(N1701*30)/1130</f>
        <v>0.148672566371681</v>
      </c>
    </row>
    <row r="1702" customFormat="false" ht="15" hidden="true" customHeight="true" outlineLevel="0" collapsed="false">
      <c r="A1702" s="128" t="n">
        <f aca="false">D1702-538+281.75-485-282</f>
        <v>0.25</v>
      </c>
      <c r="B1702" s="127" t="n">
        <f aca="false">B1701+D1702-C1702</f>
        <v>3243.75</v>
      </c>
      <c r="D1702" s="146" t="n">
        <f aca="false">281.75*3+178.25</f>
        <v>1023.5</v>
      </c>
      <c r="E1702" s="147" t="n">
        <v>1344</v>
      </c>
      <c r="F1702" s="147" t="n">
        <f aca="false">IFERROR(VLOOKUP(H1702,$AD$1:$AE$301,2,0),"")</f>
        <v>755</v>
      </c>
      <c r="G1702" s="147" t="str">
        <f aca="false">IFERROR(VLOOKUP(F1702,$AE$2:$AF$290,2, 0),"")</f>
        <v>تبوك</v>
      </c>
      <c r="H1702" s="212" t="s">
        <v>180</v>
      </c>
      <c r="I1702" s="246" t="n">
        <f aca="false">SUM(K1702:R1702)</f>
        <v>4</v>
      </c>
      <c r="J1702" s="182" t="n">
        <v>45883</v>
      </c>
      <c r="K1702" s="148" t="n">
        <f aca="false">2+1</f>
        <v>3</v>
      </c>
      <c r="L1702" s="149" t="n">
        <v>1</v>
      </c>
      <c r="S1702" s="192" t="n">
        <f aca="false">(K1702+O1702+Q1702)*24 /1130+(L1702+M1702+P1702+R1702)*12/1130+(N1702*30)/1130</f>
        <v>0.0743362831858407</v>
      </c>
    </row>
    <row r="1703" customFormat="false" ht="15" hidden="true" customHeight="true" outlineLevel="0" collapsed="false">
      <c r="B1703" s="127" t="n">
        <f aca="false">B1702+D1703-C1703</f>
        <v>4089</v>
      </c>
      <c r="D1703" s="146" t="n">
        <f aca="false">281.75*3</f>
        <v>845.25</v>
      </c>
      <c r="E1703" s="147" t="n">
        <v>1345</v>
      </c>
      <c r="F1703" s="147" t="n">
        <f aca="false">IFERROR(VLOOKUP(H1703,$AD$1:$AE$301,2,0),"")</f>
        <v>1008057</v>
      </c>
      <c r="G1703" s="147" t="str">
        <f aca="false">IFERROR(VLOOKUP(F1703,$AE$2:$AF$290,2, 0),"")</f>
        <v>تبوك</v>
      </c>
      <c r="H1703" s="212" t="s">
        <v>242</v>
      </c>
      <c r="I1703" s="246" t="n">
        <f aca="false">SUM(K1703:R1703)</f>
        <v>3</v>
      </c>
      <c r="J1703" s="182" t="n">
        <v>45883</v>
      </c>
      <c r="K1703" s="148" t="n">
        <v>3</v>
      </c>
      <c r="S1703" s="192" t="n">
        <f aca="false">(K1703+O1703+Q1703)*24 /1130+(L1703+M1703+P1703+R1703)*12/1130+(N1703*30)/1130</f>
        <v>0.063716814159292</v>
      </c>
    </row>
    <row r="1704" customFormat="false" ht="15" hidden="true" customHeight="true" outlineLevel="0" collapsed="false">
      <c r="A1704" s="288"/>
      <c r="B1704" s="127" t="n">
        <f aca="false">B1703+D1704-C1704</f>
        <v>3357</v>
      </c>
      <c r="C1704" s="127" t="n">
        <f aca="false">282+450</f>
        <v>732</v>
      </c>
      <c r="E1704" s="212" t="s">
        <v>470</v>
      </c>
      <c r="F1704" s="147" t="str">
        <f aca="false">IFERROR(VLOOKUP(H1704,$AD$1:$AE$301,2,0),"")</f>
        <v/>
      </c>
      <c r="G1704" s="147" t="str">
        <f aca="false">IFERROR(VLOOKUP(F1704,$AE$2:$AF$290,2, 0),"")</f>
        <v/>
      </c>
      <c r="H1704" s="212" t="s">
        <v>393</v>
      </c>
      <c r="I1704" s="246" t="n">
        <f aca="false">SUM(K1704:R1704)</f>
        <v>0</v>
      </c>
      <c r="J1704" s="182" t="n">
        <v>45883</v>
      </c>
      <c r="S1704" s="192" t="n">
        <f aca="false">(K1704+O1704+Q1704)*24 /1130+(L1704+M1704+P1704+R1704)*12/1130+(N1704*30)/1130</f>
        <v>0</v>
      </c>
    </row>
    <row r="1705" customFormat="false" ht="15" hidden="true" customHeight="true" outlineLevel="0" collapsed="false">
      <c r="A1705" s="288"/>
      <c r="B1705" s="127" t="n">
        <f aca="false">B1704+D1705-C1705</f>
        <v>324.5</v>
      </c>
      <c r="C1705" s="127" t="n">
        <f aca="false">844+885.5+66+500+300+437</f>
        <v>3032.5</v>
      </c>
      <c r="E1705" s="212" t="s">
        <v>470</v>
      </c>
      <c r="F1705" s="147" t="str">
        <f aca="false">IFERROR(VLOOKUP(H1705,$AD$1:$AE$301,2,0),"")</f>
        <v/>
      </c>
      <c r="G1705" s="147" t="str">
        <f aca="false">IFERROR(VLOOKUP(F1705,$AE$2:$AF$290,2, 0),"")</f>
        <v/>
      </c>
      <c r="H1705" s="212" t="s">
        <v>393</v>
      </c>
      <c r="I1705" s="246" t="n">
        <f aca="false">SUM(K1705:R1705)</f>
        <v>0</v>
      </c>
      <c r="J1705" s="182" t="n">
        <v>45886</v>
      </c>
      <c r="S1705" s="192" t="n">
        <f aca="false">(K1705+O1705+Q1705)*24 /1130+(L1705+M1705+P1705+R1705)*12/1130+(N1705*30)/1130</f>
        <v>0</v>
      </c>
    </row>
    <row r="1706" customFormat="false" ht="15" hidden="true" customHeight="true" outlineLevel="0" collapsed="false">
      <c r="B1706" s="127" t="n">
        <f aca="false">B1705+D1706-C1706</f>
        <v>479.75</v>
      </c>
      <c r="D1706" s="420" t="n">
        <f aca="false">155.25</f>
        <v>155.25</v>
      </c>
      <c r="E1706" s="421" t="n">
        <v>1346</v>
      </c>
      <c r="F1706" s="421" t="n">
        <f aca="false">IFERROR(VLOOKUP(H1706,$AD$1:$AE$301,2,0),"")</f>
        <v>1007980</v>
      </c>
      <c r="G1706" s="147" t="str">
        <f aca="false">IFERROR(VLOOKUP(F1706,$AE$2:$AF$290,2, 0),"")</f>
        <v>ضباء</v>
      </c>
      <c r="H1706" s="422" t="s">
        <v>81</v>
      </c>
      <c r="I1706" s="423" t="n">
        <f aca="false">SUM(K1706:R1706)</f>
        <v>1</v>
      </c>
      <c r="J1706" s="424" t="n">
        <v>45886</v>
      </c>
      <c r="R1706" s="155" t="n">
        <v>1</v>
      </c>
      <c r="S1706" s="192" t="n">
        <f aca="false">(K1706+O1706+Q1706)*24 /1130+(L1706+M1706+P1706+R1706)*12/1130+(N1706*30)/1130</f>
        <v>0.0106194690265487</v>
      </c>
    </row>
    <row r="1707" customFormat="false" ht="15" hidden="true" customHeight="true" outlineLevel="0" collapsed="false">
      <c r="B1707" s="127" t="n">
        <f aca="false">B1706+D1707-C1707</f>
        <v>617.75</v>
      </c>
      <c r="D1707" s="420" t="n">
        <f aca="false">138</f>
        <v>138</v>
      </c>
      <c r="E1707" s="421" t="n">
        <v>1347</v>
      </c>
      <c r="F1707" s="421" t="n">
        <f aca="false">IFERROR(VLOOKUP(H1707,$AD$1:$AE$301,2,0),"")</f>
        <v>1007976</v>
      </c>
      <c r="G1707" s="147" t="str">
        <f aca="false">IFERROR(VLOOKUP(F1707,$AE$2:$AF$290,2, 0),"")</f>
        <v>ضباء</v>
      </c>
      <c r="H1707" s="422" t="s">
        <v>77</v>
      </c>
      <c r="I1707" s="423" t="n">
        <f aca="false">SUM(K1707:R1707)</f>
        <v>1</v>
      </c>
      <c r="J1707" s="424" t="n">
        <v>45886</v>
      </c>
      <c r="Q1707" s="154" t="n">
        <v>1</v>
      </c>
      <c r="S1707" s="192" t="n">
        <f aca="false">(K1707+O1707+Q1707)*24 /1130+(L1707+M1707+P1707+R1707)*12/1130+(N1707*30)/1130</f>
        <v>0.0212389380530973</v>
      </c>
    </row>
    <row r="1708" customFormat="false" ht="15" hidden="true" customHeight="true" outlineLevel="0" collapsed="false">
      <c r="B1708" s="127" t="n">
        <f aca="false">B1707+D1708-C1708</f>
        <v>1503.25</v>
      </c>
      <c r="D1708" s="420" t="n">
        <f aca="false">138+155.25*2+195.5+241.5</f>
        <v>885.5</v>
      </c>
      <c r="E1708" s="421" t="n">
        <v>1348</v>
      </c>
      <c r="F1708" s="421" t="n">
        <f aca="false">IFERROR(VLOOKUP(H1708,$AD$1:$AE$301,2,0),"")</f>
        <v>1007975</v>
      </c>
      <c r="G1708" s="147" t="str">
        <f aca="false">IFERROR(VLOOKUP(F1708,$AE$2:$AF$290,2, 0),"")</f>
        <v>ضباء</v>
      </c>
      <c r="H1708" s="422" t="s">
        <v>76</v>
      </c>
      <c r="I1708" s="423" t="n">
        <f aca="false">SUM(K1708:R1708)</f>
        <v>5</v>
      </c>
      <c r="J1708" s="424" t="n">
        <v>45886</v>
      </c>
      <c r="Q1708" s="154" t="n">
        <f aca="false">1+1</f>
        <v>2</v>
      </c>
      <c r="R1708" s="155" t="n">
        <f aca="false">2+1</f>
        <v>3</v>
      </c>
      <c r="S1708" s="192" t="n">
        <f aca="false">(K1708+O1708+Q1708)*24 /1130+(L1708+M1708+P1708+R1708)*12/1130+(N1708*30)/1130</f>
        <v>0.0743362831858407</v>
      </c>
    </row>
    <row r="1709" customFormat="false" ht="15" hidden="true" customHeight="true" outlineLevel="0" collapsed="false">
      <c r="A1709" s="128" t="n">
        <f aca="false">D1709-2455</f>
        <v>0.25</v>
      </c>
      <c r="B1709" s="127" t="n">
        <f aca="false">B1708+D1709-C1709</f>
        <v>3958.5</v>
      </c>
      <c r="D1709" s="420" t="n">
        <f aca="false">274*3+274*3+241.5+195.75*2+178.25</f>
        <v>2455.25</v>
      </c>
      <c r="E1709" s="421" t="n">
        <v>1349</v>
      </c>
      <c r="F1709" s="421" t="n">
        <f aca="false">IFERROR(VLOOKUP(H1709,$AD$1:$AE$301,2,0),"")</f>
        <v>1008023</v>
      </c>
      <c r="G1709" s="147" t="str">
        <f aca="false">IFERROR(VLOOKUP(F1709,$AE$2:$AF$290,2, 0),"")</f>
        <v>ضباء</v>
      </c>
      <c r="H1709" s="422" t="s">
        <v>95</v>
      </c>
      <c r="I1709" s="423" t="n">
        <f aca="false">SUM(K1709:R1709)</f>
        <v>10</v>
      </c>
      <c r="J1709" s="424" t="n">
        <v>45886</v>
      </c>
      <c r="L1709" s="149" t="n">
        <v>1</v>
      </c>
      <c r="N1709" s="151" t="n">
        <f aca="false">3+3</f>
        <v>6</v>
      </c>
      <c r="Q1709" s="154" t="n">
        <f aca="false">1+1+1</f>
        <v>3</v>
      </c>
      <c r="S1709" s="192" t="n">
        <f aca="false">(K1709+O1709+Q1709)*24 /1130+(L1709+M1709+P1709+R1709)*12/1130+(N1709*30)/1130</f>
        <v>0.233628318584071</v>
      </c>
    </row>
    <row r="1710" customFormat="false" ht="15" hidden="true" customHeight="true" outlineLevel="0" collapsed="false">
      <c r="A1710" s="128" t="n">
        <f aca="false">D1710-900-66</f>
        <v>0</v>
      </c>
      <c r="B1710" s="127" t="n">
        <f aca="false">B1709+D1710-C1710</f>
        <v>4924.5</v>
      </c>
      <c r="D1710" s="420" t="n">
        <f aca="false">253*2+230*2</f>
        <v>966</v>
      </c>
      <c r="E1710" s="421" t="n">
        <v>1350</v>
      </c>
      <c r="F1710" s="421" t="n">
        <f aca="false">IFERROR(VLOOKUP(H1710,$AD$1:$AE$301,2,0),"")</f>
        <v>1008045</v>
      </c>
      <c r="G1710" s="147" t="str">
        <f aca="false">IFERROR(VLOOKUP(F1710,$AE$2:$AF$290,2, 0),"")</f>
        <v>الوجه</v>
      </c>
      <c r="H1710" s="422" t="s">
        <v>107</v>
      </c>
      <c r="I1710" s="423" t="n">
        <f aca="false">SUM(K1710:R1710)</f>
        <v>4</v>
      </c>
      <c r="J1710" s="424" t="n">
        <v>45886</v>
      </c>
      <c r="M1710" s="150" t="n">
        <f aca="false">2+2</f>
        <v>4</v>
      </c>
      <c r="S1710" s="192" t="n">
        <f aca="false">(K1710+O1710+Q1710)*24 /1130+(L1710+M1710+P1710+R1710)*12/1130+(N1710*30)/1130</f>
        <v>0.0424778761061947</v>
      </c>
    </row>
    <row r="1711" customFormat="false" ht="15" hidden="true" customHeight="true" outlineLevel="0" collapsed="false">
      <c r="A1711" s="128" t="n">
        <f aca="false">D1711-1098</f>
        <v>0.25</v>
      </c>
      <c r="B1711" s="127" t="n">
        <f aca="false">B1710+D1711-C1711</f>
        <v>6022.75</v>
      </c>
      <c r="D1711" s="420" t="n">
        <f aca="false">281.75*3+253</f>
        <v>1098.25</v>
      </c>
      <c r="E1711" s="421" t="n">
        <v>1351</v>
      </c>
      <c r="F1711" s="421" t="n">
        <f aca="false">IFERROR(VLOOKUP(H1711,$AD$1:$AE$301,2,0),"")</f>
        <v>1008046</v>
      </c>
      <c r="G1711" s="147" t="str">
        <f aca="false">IFERROR(VLOOKUP(F1711,$AE$2:$AF$290,2, 0),"")</f>
        <v>الوجه</v>
      </c>
      <c r="H1711" s="422" t="s">
        <v>108</v>
      </c>
      <c r="I1711" s="423" t="n">
        <f aca="false">SUM(K1711:R1711)</f>
        <v>4</v>
      </c>
      <c r="J1711" s="424" t="n">
        <v>45886</v>
      </c>
      <c r="K1711" s="148" t="n">
        <f aca="false">2+1</f>
        <v>3</v>
      </c>
      <c r="M1711" s="150" t="n">
        <f aca="false">1</f>
        <v>1</v>
      </c>
      <c r="S1711" s="192" t="n">
        <f aca="false">(K1711+O1711+Q1711)*24 /1130+(L1711+M1711+P1711+R1711)*12/1130+(N1711*30)/1130</f>
        <v>0.0743362831858407</v>
      </c>
    </row>
    <row r="1712" customFormat="false" ht="15" hidden="true" customHeight="true" outlineLevel="0" collapsed="false">
      <c r="A1712" s="128" t="n">
        <f aca="false">D1712+281.75-500-90-2.25</f>
        <v>0</v>
      </c>
      <c r="B1712" s="127" t="n">
        <f aca="false">B1711+D1712-C1712</f>
        <v>6333.25</v>
      </c>
      <c r="D1712" s="420" t="n">
        <f aca="false">155.25*2</f>
        <v>310.5</v>
      </c>
      <c r="E1712" s="421" t="n">
        <v>1352</v>
      </c>
      <c r="F1712" s="421" t="n">
        <f aca="false">IFERROR(VLOOKUP(H1712,$AD$1:$AE$301,2,0),"")</f>
        <v>656</v>
      </c>
      <c r="G1712" s="147" t="str">
        <f aca="false">IFERROR(VLOOKUP(F1712,$AE$2:$AF$290,2, 0),"")</f>
        <v>الوجه</v>
      </c>
      <c r="H1712" s="422" t="s">
        <v>115</v>
      </c>
      <c r="I1712" s="423" t="n">
        <f aca="false">SUM(K1712:R1712)</f>
        <v>2</v>
      </c>
      <c r="J1712" s="424" t="n">
        <v>45886</v>
      </c>
      <c r="R1712" s="155" t="n">
        <v>2</v>
      </c>
      <c r="S1712" s="192" t="n">
        <f aca="false">(K1712+O1712+Q1712)*24 /1130+(L1712+M1712+P1712+R1712)*12/1130+(N1712*30)/1130</f>
        <v>0.0212389380530973</v>
      </c>
    </row>
    <row r="1713" customFormat="false" ht="15" hidden="true" customHeight="true" outlineLevel="0" collapsed="false">
      <c r="A1713" s="128" t="n">
        <f aca="false">D1713+281.75-437</f>
        <v>0</v>
      </c>
      <c r="B1713" s="127" t="n">
        <f aca="false">B1712+D1713-C1713</f>
        <v>6488.5</v>
      </c>
      <c r="D1713" s="420" t="n">
        <f aca="false">155.25</f>
        <v>155.25</v>
      </c>
      <c r="E1713" s="421" t="n">
        <v>1353</v>
      </c>
      <c r="F1713" s="421" t="n">
        <f aca="false">IFERROR(VLOOKUP(H1713,$AD$1:$AE$301,2,0),"")</f>
        <v>1008043</v>
      </c>
      <c r="G1713" s="147" t="str">
        <f aca="false">IFERROR(VLOOKUP(F1713,$AE$2:$AF$290,2, 0),"")</f>
        <v>الوجه</v>
      </c>
      <c r="H1713" s="422" t="s">
        <v>104</v>
      </c>
      <c r="I1713" s="423" t="n">
        <f aca="false">SUM(K1713:R1713)</f>
        <v>1</v>
      </c>
      <c r="J1713" s="424" t="n">
        <v>45886</v>
      </c>
      <c r="R1713" s="155" t="n">
        <v>1</v>
      </c>
      <c r="S1713" s="192" t="n">
        <f aca="false">(K1713+O1713+Q1713)*24 /1130+(L1713+M1713+P1713+R1713)*12/1130+(N1713*30)/1130</f>
        <v>0.0106194690265487</v>
      </c>
    </row>
    <row r="1714" customFormat="false" ht="15" hidden="true" customHeight="true" outlineLevel="0" collapsed="false">
      <c r="A1714" s="128" t="n">
        <f aca="false">D1714-500+190*2-1075</f>
        <v>1</v>
      </c>
      <c r="B1714" s="127" t="n">
        <f aca="false">B1713+D1714-C1714</f>
        <v>7684.5</v>
      </c>
      <c r="D1714" s="420" t="n">
        <f aca="false">230*4+138*2</f>
        <v>1196</v>
      </c>
      <c r="E1714" s="421" t="n">
        <v>1354</v>
      </c>
      <c r="F1714" s="421" t="n">
        <f aca="false">IFERROR(VLOOKUP(H1714,$AD$1:$AE$301,2,0),"")</f>
        <v>1007988</v>
      </c>
      <c r="G1714" s="147" t="str">
        <f aca="false">IFERROR(VLOOKUP(F1714,$AE$2:$AF$290,2, 0),"")</f>
        <v>ضباء</v>
      </c>
      <c r="H1714" s="422" t="s">
        <v>89</v>
      </c>
      <c r="I1714" s="423" t="n">
        <f aca="false">SUM(K1714:R1714)</f>
        <v>6</v>
      </c>
      <c r="J1714" s="424" t="n">
        <v>45886</v>
      </c>
      <c r="M1714" s="150" t="n">
        <v>4</v>
      </c>
      <c r="Q1714" s="154" t="n">
        <v>2</v>
      </c>
      <c r="S1714" s="192" t="n">
        <f aca="false">(K1714+O1714+Q1714)*24 /1130+(L1714+M1714+P1714+R1714)*12/1130+(N1714*30)/1130</f>
        <v>0.0849557522123894</v>
      </c>
    </row>
    <row r="1715" customFormat="false" ht="15" hidden="true" customHeight="true" outlineLevel="0" collapsed="false">
      <c r="B1715" s="127" t="n">
        <f aca="false">B1714+D1715-C1715</f>
        <v>8529.75</v>
      </c>
      <c r="D1715" s="420" t="n">
        <f aca="false">281.75*3</f>
        <v>845.25</v>
      </c>
      <c r="E1715" s="421" t="n">
        <v>1355</v>
      </c>
      <c r="F1715" s="421" t="n">
        <f aca="false">IFERROR(VLOOKUP(H1715,$AD$1:$AE$301,2,0),"")</f>
        <v>1007990</v>
      </c>
      <c r="G1715" s="147" t="str">
        <f aca="false">IFERROR(VLOOKUP(F1715,$AE$2:$AF$290,2, 0),"")</f>
        <v>ضباء</v>
      </c>
      <c r="H1715" s="422" t="s">
        <v>91</v>
      </c>
      <c r="I1715" s="423" t="n">
        <f aca="false">SUM(K1715:R1715)</f>
        <v>3</v>
      </c>
      <c r="J1715" s="424" t="n">
        <v>45886</v>
      </c>
      <c r="K1715" s="148" t="n">
        <v>3</v>
      </c>
      <c r="S1715" s="192" t="n">
        <f aca="false">(K1715+O1715+Q1715)*24 /1130+(L1715+M1715+P1715+R1715)*12/1130+(N1715*30)/1130</f>
        <v>0.063716814159292</v>
      </c>
    </row>
    <row r="1716" customFormat="false" ht="15" hidden="true" customHeight="true" outlineLevel="0" collapsed="false">
      <c r="B1716" s="127" t="n">
        <f aca="false">B1715+D1716-C1716</f>
        <v>7431.75</v>
      </c>
      <c r="C1716" s="127" t="n">
        <f aca="false">1098</f>
        <v>1098</v>
      </c>
      <c r="E1716" s="212" t="s">
        <v>662</v>
      </c>
      <c r="F1716" s="147" t="str">
        <f aca="false">IFERROR(VLOOKUP(H1716,$AD$1:$AE$301,2,0),"")</f>
        <v/>
      </c>
      <c r="G1716" s="147" t="str">
        <f aca="false">IFERROR(VLOOKUP(F1716,$AE$2:$AF$290,2, 0),"")</f>
        <v/>
      </c>
      <c r="H1716" s="212" t="s">
        <v>393</v>
      </c>
      <c r="I1716" s="246" t="n">
        <f aca="false">SUM(K1716:R1716)</f>
        <v>0</v>
      </c>
      <c r="J1716" s="182" t="n">
        <v>45886</v>
      </c>
      <c r="S1716" s="192" t="n">
        <f aca="false">(K1716+O1716+Q1716)*24 /1130+(L1716+M1716+P1716+R1716)*12/1130+(N1716*30)/1130</f>
        <v>0</v>
      </c>
    </row>
    <row r="1717" customFormat="false" ht="15" hidden="true" customHeight="true" outlineLevel="0" collapsed="false">
      <c r="B1717" s="127" t="n">
        <f aca="false">B1716+D1717-C1717</f>
        <v>0.75</v>
      </c>
      <c r="C1717" s="127" t="n">
        <v>7431</v>
      </c>
      <c r="E1717" s="212" t="s">
        <v>653</v>
      </c>
      <c r="F1717" s="147" t="str">
        <f aca="false">IFERROR(VLOOKUP(H1717,$AD$1:$AE$301,2,0),"")</f>
        <v/>
      </c>
      <c r="G1717" s="147" t="str">
        <f aca="false">IFERROR(VLOOKUP(F1717,$AE$2:$AF$290,2, 0),"")</f>
        <v/>
      </c>
      <c r="H1717" s="212" t="s">
        <v>393</v>
      </c>
      <c r="I1717" s="246" t="n">
        <f aca="false">SUM(K1717:R1717)</f>
        <v>0</v>
      </c>
      <c r="J1717" s="182" t="n">
        <v>45887</v>
      </c>
      <c r="S1717" s="192" t="n">
        <f aca="false">(K1717+O1717+Q1717)*24 /1130+(L1717+M1717+P1717+R1717)*12/1130+(N1717*30)/1130</f>
        <v>0</v>
      </c>
    </row>
    <row r="1718" customFormat="false" ht="15" hidden="true" customHeight="true" outlineLevel="0" collapsed="false">
      <c r="A1718" s="128" t="n">
        <f aca="false">D1718-1300-23*5-52</f>
        <v>-0.75</v>
      </c>
      <c r="B1718" s="127" t="n">
        <f aca="false">B1717+D1718-C1718</f>
        <v>1467</v>
      </c>
      <c r="D1718" s="146" t="n">
        <f aca="false">281.75*3+253+230+138</f>
        <v>1466.25</v>
      </c>
      <c r="E1718" s="147" t="n">
        <v>1356</v>
      </c>
      <c r="F1718" s="147" t="n">
        <f aca="false">IFERROR(VLOOKUP(H1718,$AD$1:$AE$301,2,0),"")</f>
        <v>1002861</v>
      </c>
      <c r="G1718" s="147" t="str">
        <f aca="false">IFERROR(VLOOKUP(F1718,$AE$2:$AF$290,2, 0),"")</f>
        <v>تبوك</v>
      </c>
      <c r="H1718" s="212" t="s">
        <v>275</v>
      </c>
      <c r="I1718" s="246" t="n">
        <f aca="false">SUM(K1718:R1718)</f>
        <v>6</v>
      </c>
      <c r="J1718" s="182" t="n">
        <v>45887</v>
      </c>
      <c r="K1718" s="148" t="n">
        <f aca="false">2+1</f>
        <v>3</v>
      </c>
      <c r="M1718" s="150" t="n">
        <f aca="false">1+1</f>
        <v>2</v>
      </c>
      <c r="Q1718" s="154" t="n">
        <v>1</v>
      </c>
      <c r="S1718" s="192" t="n">
        <f aca="false">(K1718+O1718+Q1718)*24 /1130+(L1718+M1718+P1718+R1718)*12/1130+(N1718*30)/1130</f>
        <v>0.106194690265487</v>
      </c>
    </row>
    <row r="1719" customFormat="false" ht="15" hidden="true" customHeight="true" outlineLevel="0" collapsed="false">
      <c r="B1719" s="127" t="n">
        <f aca="false">B1718+D1719-C1719</f>
        <v>2289.25</v>
      </c>
      <c r="D1719" s="146" t="n">
        <f aca="false">274*3+0.25</f>
        <v>822.25</v>
      </c>
      <c r="E1719" s="147" t="n">
        <v>1357</v>
      </c>
      <c r="F1719" s="147" t="n">
        <f aca="false">IFERROR(VLOOKUP(H1719,$AD$1:$AE$301,2,0),"")</f>
        <v>1007996</v>
      </c>
      <c r="G1719" s="147" t="str">
        <f aca="false">IFERROR(VLOOKUP(F1719,$AE$2:$AF$290,2, 0),"")</f>
        <v>البير</v>
      </c>
      <c r="H1719" s="212" t="s">
        <v>295</v>
      </c>
      <c r="I1719" s="246" t="n">
        <f aca="false">SUM(K1719:R1719)</f>
        <v>3</v>
      </c>
      <c r="J1719" s="182" t="n">
        <v>45887</v>
      </c>
      <c r="N1719" s="151" t="n">
        <f aca="false">3</f>
        <v>3</v>
      </c>
      <c r="S1719" s="192" t="n">
        <f aca="false">(K1719+O1719+Q1719)*24 /1130+(L1719+M1719+P1719+R1719)*12/1130+(N1719*30)/1130</f>
        <v>0.079646017699115</v>
      </c>
    </row>
    <row r="1720" customFormat="false" ht="15" hidden="true" customHeight="true" outlineLevel="0" collapsed="false">
      <c r="B1720" s="127" t="n">
        <f aca="false">B1719+D1720-C1720</f>
        <v>0.5</v>
      </c>
      <c r="C1720" s="127" t="n">
        <f aca="false">555.75+348+1300+85</f>
        <v>2288.75</v>
      </c>
      <c r="E1720" s="212" t="s">
        <v>470</v>
      </c>
      <c r="F1720" s="147" t="str">
        <f aca="false">IFERROR(VLOOKUP(H1720,$AD$1:$AE$301,2,0),"")</f>
        <v/>
      </c>
      <c r="G1720" s="147" t="str">
        <f aca="false">IFERROR(VLOOKUP(F1720,$AE$2:$AF$290,2, 0),"")</f>
        <v/>
      </c>
      <c r="H1720" s="212" t="s">
        <v>393</v>
      </c>
      <c r="I1720" s="246" t="n">
        <f aca="false">SUM(K1720:R1720)</f>
        <v>0</v>
      </c>
      <c r="J1720" s="182" t="n">
        <v>45887</v>
      </c>
      <c r="S1720" s="192" t="n">
        <f aca="false">(K1720+O1720+Q1720)*24 /1130+(L1720+M1720+P1720+R1720)*12/1130+(N1720*30)/1130</f>
        <v>0</v>
      </c>
    </row>
    <row r="1721" customFormat="false" ht="15" hidden="true" customHeight="true" outlineLevel="0" collapsed="false">
      <c r="A1721" s="128" t="n">
        <f aca="false">D1721-857+52</f>
        <v>0</v>
      </c>
      <c r="B1721" s="127" t="n">
        <f aca="false">B1720+D1721-C1721</f>
        <v>805.5</v>
      </c>
      <c r="D1721" s="146" t="n">
        <f aca="false">178.25+241.5+230+155.25</f>
        <v>805</v>
      </c>
      <c r="E1721" s="147" t="n">
        <v>1358</v>
      </c>
      <c r="F1721" s="147" t="n">
        <f aca="false">IFERROR(VLOOKUP(H1721,$AD$1:$AE$301,2,0),"")</f>
        <v>1002861</v>
      </c>
      <c r="G1721" s="147" t="str">
        <f aca="false">IFERROR(VLOOKUP(F1721,$AE$2:$AF$290,2, 0),"")</f>
        <v>تبوك</v>
      </c>
      <c r="H1721" s="212" t="s">
        <v>275</v>
      </c>
      <c r="I1721" s="246" t="n">
        <f aca="false">SUM(K1721:R1721)</f>
        <v>4</v>
      </c>
      <c r="J1721" s="182" t="n">
        <v>45888</v>
      </c>
      <c r="L1721" s="149" t="n">
        <v>1</v>
      </c>
      <c r="M1721" s="150" t="n">
        <v>1</v>
      </c>
      <c r="O1721" s="152" t="n">
        <v>1</v>
      </c>
      <c r="R1721" s="155" t="n">
        <v>1</v>
      </c>
      <c r="S1721" s="192" t="n">
        <f aca="false">(K1721+O1721+Q1721)*24 /1130+(L1721+M1721+P1721+R1721)*12/1130+(N1721*30)/1130</f>
        <v>0.0530973451327434</v>
      </c>
    </row>
    <row r="1722" customFormat="false" ht="15" hidden="true" customHeight="true" outlineLevel="0" collapsed="false">
      <c r="B1722" s="127" t="n">
        <f aca="false">B1721+D1722-C1722</f>
        <v>1892.25</v>
      </c>
      <c r="D1722" s="420" t="n">
        <f aca="false">281.75*3+241.5</f>
        <v>1086.75</v>
      </c>
      <c r="E1722" s="421" t="n">
        <v>1359</v>
      </c>
      <c r="F1722" s="421" t="n">
        <f aca="false">IFERROR(VLOOKUP(H1722,$AD$1:$AE$301,2,0),"")</f>
        <v>1007964</v>
      </c>
      <c r="G1722" s="147" t="str">
        <f aca="false">IFERROR(VLOOKUP(F1722,$AE$2:$AF$290,2, 0),"")</f>
        <v>البير</v>
      </c>
      <c r="H1722" s="422" t="s">
        <v>289</v>
      </c>
      <c r="I1722" s="423" t="n">
        <f aca="false">SUM(K1722:R1722)</f>
        <v>4</v>
      </c>
      <c r="J1722" s="424" t="n">
        <v>45888</v>
      </c>
      <c r="K1722" s="148" t="n">
        <v>3</v>
      </c>
      <c r="Q1722" s="154" t="n">
        <v>1</v>
      </c>
      <c r="S1722" s="192" t="n">
        <f aca="false">(K1722+O1722+Q1722)*24 /1130+(L1722+M1722+P1722+R1722)*12/1130+(N1722*30)/1130</f>
        <v>0.0849557522123894</v>
      </c>
    </row>
    <row r="1723" customFormat="false" ht="15" hidden="true" customHeight="true" outlineLevel="0" collapsed="false">
      <c r="A1723" s="128" t="n">
        <f aca="false">D1723-500-345.25</f>
        <v>0</v>
      </c>
      <c r="B1723" s="127" t="n">
        <f aca="false">B1722+D1723-C1723</f>
        <v>2737.5</v>
      </c>
      <c r="D1723" s="420" t="n">
        <f aca="false">281.75*3</f>
        <v>845.25</v>
      </c>
      <c r="E1723" s="421" t="n">
        <v>1360</v>
      </c>
      <c r="F1723" s="421" t="n">
        <f aca="false">IFERROR(VLOOKUP(H1723,$AD$1:$AE$301,2,0),"")</f>
        <v>1007965</v>
      </c>
      <c r="G1723" s="147" t="str">
        <f aca="false">IFERROR(VLOOKUP(F1723,$AE$2:$AF$290,2, 0),"")</f>
        <v>البير</v>
      </c>
      <c r="H1723" s="422" t="s">
        <v>290</v>
      </c>
      <c r="I1723" s="423" t="n">
        <f aca="false">SUM(K1723:R1723)</f>
        <v>3</v>
      </c>
      <c r="J1723" s="424" t="n">
        <v>45888</v>
      </c>
      <c r="K1723" s="148" t="n">
        <f aca="false">2+1</f>
        <v>3</v>
      </c>
      <c r="S1723" s="192" t="n">
        <f aca="false">(K1723+O1723+Q1723)*24 /1130+(L1723+M1723+P1723+R1723)*12/1130+(N1723*30)/1130</f>
        <v>0.063716814159292</v>
      </c>
    </row>
    <row r="1724" customFormat="false" ht="15" hidden="true" customHeight="true" outlineLevel="0" collapsed="false">
      <c r="B1724" s="127" t="n">
        <f aca="false">B1723+D1724-C1724</f>
        <v>3226.25</v>
      </c>
      <c r="D1724" s="420" t="n">
        <f aca="false">195.5+138+155.25</f>
        <v>488.75</v>
      </c>
      <c r="E1724" s="421" t="n">
        <v>1363</v>
      </c>
      <c r="F1724" s="421" t="n">
        <f aca="false">IFERROR(VLOOKUP(H1724,$AD$1:$AE$301,2,0),"")</f>
        <v>1007969</v>
      </c>
      <c r="G1724" s="147" t="str">
        <f aca="false">IFERROR(VLOOKUP(F1724,$AE$2:$AF$290,2, 0),"")</f>
        <v>حقل</v>
      </c>
      <c r="H1724" s="422" t="s">
        <v>309</v>
      </c>
      <c r="I1724" s="423" t="n">
        <f aca="false">SUM(K1724:R1724)</f>
        <v>3</v>
      </c>
      <c r="J1724" s="424" t="n">
        <v>45888</v>
      </c>
      <c r="Q1724" s="154" t="n">
        <v>1</v>
      </c>
      <c r="R1724" s="155" t="n">
        <f aca="false">1+1</f>
        <v>2</v>
      </c>
      <c r="S1724" s="192" t="n">
        <f aca="false">(K1724+O1724+Q1724)*24 /1130+(L1724+M1724+P1724+R1724)*12/1130+(N1724*30)/1130</f>
        <v>0.0424778761061947</v>
      </c>
    </row>
    <row r="1725" customFormat="false" ht="15" hidden="true" customHeight="true" outlineLevel="0" collapsed="false">
      <c r="B1725" s="127" t="n">
        <f aca="false">B1724+D1725-C1725</f>
        <v>4071.5</v>
      </c>
      <c r="D1725" s="420" t="n">
        <f aca="false">281.75*3</f>
        <v>845.25</v>
      </c>
      <c r="E1725" s="421" t="n">
        <v>1362</v>
      </c>
      <c r="F1725" s="421" t="n">
        <f aca="false">IFERROR(VLOOKUP(H1725,$AD$1:$AE$301,2,0),"")</f>
        <v>1007999</v>
      </c>
      <c r="G1725" s="147" t="str">
        <f aca="false">IFERROR(VLOOKUP(F1725,$AE$2:$AF$290,2, 0),"")</f>
        <v>حقل</v>
      </c>
      <c r="H1725" s="422" t="s">
        <v>312</v>
      </c>
      <c r="I1725" s="423" t="n">
        <f aca="false">SUM(K1725:R1725)</f>
        <v>3</v>
      </c>
      <c r="J1725" s="424" t="n">
        <v>45888</v>
      </c>
      <c r="K1725" s="148" t="n">
        <f aca="false">1+2</f>
        <v>3</v>
      </c>
      <c r="S1725" s="192" t="n">
        <f aca="false">(K1725+O1725+Q1725)*24 /1130+(L1725+M1725+P1725+R1725)*12/1130+(N1725*30)/1130</f>
        <v>0.063716814159292</v>
      </c>
    </row>
    <row r="1726" customFormat="false" ht="15" hidden="true" customHeight="true" outlineLevel="0" collapsed="false">
      <c r="A1726" s="128" t="n">
        <f aca="false">D1726-300-500-45</f>
        <v>0.25</v>
      </c>
      <c r="B1726" s="127" t="n">
        <f aca="false">B1725+D1726-C1726</f>
        <v>4916.75</v>
      </c>
      <c r="D1726" s="420" t="n">
        <f aca="false">281.75*3</f>
        <v>845.25</v>
      </c>
      <c r="E1726" s="421" t="n">
        <v>1364</v>
      </c>
      <c r="F1726" s="421" t="n">
        <f aca="false">IFERROR(VLOOKUP(H1726,$AD$1:$AE$301,2,0),"")</f>
        <v>1007968</v>
      </c>
      <c r="G1726" s="147" t="str">
        <f aca="false">IFERROR(VLOOKUP(F1726,$AE$2:$AF$290,2, 0),"")</f>
        <v>حقل</v>
      </c>
      <c r="H1726" s="422" t="s">
        <v>308</v>
      </c>
      <c r="I1726" s="423" t="n">
        <f aca="false">SUM(K1726:R1726)</f>
        <v>3</v>
      </c>
      <c r="J1726" s="424" t="n">
        <v>45888</v>
      </c>
      <c r="K1726" s="148" t="n">
        <v>3</v>
      </c>
      <c r="S1726" s="192" t="n">
        <f aca="false">(K1726+O1726+Q1726)*24 /1130+(L1726+M1726+P1726+R1726)*12/1130+(N1726*30)/1130</f>
        <v>0.063716814159292</v>
      </c>
    </row>
    <row r="1727" customFormat="false" ht="15" hidden="true" customHeight="true" outlineLevel="0" collapsed="false">
      <c r="B1727" s="127" t="n">
        <f aca="false">B1726+D1727-C1727</f>
        <v>5072</v>
      </c>
      <c r="D1727" s="420" t="n">
        <v>155.25</v>
      </c>
      <c r="E1727" s="421" t="n">
        <v>1365</v>
      </c>
      <c r="F1727" s="421" t="n">
        <f aca="false">IFERROR(VLOOKUP(H1727,$AD$1:$AE$301,2,0),"")</f>
        <v>1008005</v>
      </c>
      <c r="G1727" s="147" t="str">
        <f aca="false">IFERROR(VLOOKUP(F1727,$AE$2:$AF$290,2, 0),"")</f>
        <v>حقل</v>
      </c>
      <c r="H1727" s="422" t="s">
        <v>300</v>
      </c>
      <c r="I1727" s="423" t="n">
        <f aca="false">SUM(K1727:R1727)</f>
        <v>1</v>
      </c>
      <c r="J1727" s="424" t="n">
        <v>45888</v>
      </c>
      <c r="R1727" s="155" t="n">
        <v>1</v>
      </c>
      <c r="S1727" s="192" t="n">
        <f aca="false">(K1727+O1727+Q1727)*24 /1130+(L1727+M1727+P1727+R1727)*12/1130+(N1727*30)/1130</f>
        <v>0.0106194690265487</v>
      </c>
    </row>
    <row r="1728" customFormat="false" ht="15" hidden="true" customHeight="true" outlineLevel="0" collapsed="false">
      <c r="B1728" s="127" t="n">
        <f aca="false">B1727+D1728-C1728</f>
        <v>6107</v>
      </c>
      <c r="D1728" s="420" t="n">
        <f aca="false">4*155.25+3*138</f>
        <v>1035</v>
      </c>
      <c r="E1728" s="421" t="n">
        <v>1366</v>
      </c>
      <c r="F1728" s="421" t="n">
        <f aca="false">IFERROR(VLOOKUP(H1728,$AD$1:$AE$301,2,0),"")</f>
        <v>1008004</v>
      </c>
      <c r="G1728" s="147" t="str">
        <f aca="false">IFERROR(VLOOKUP(F1728,$AE$2:$AF$290,2, 0),"")</f>
        <v>حقل</v>
      </c>
      <c r="H1728" s="422" t="s">
        <v>316</v>
      </c>
      <c r="I1728" s="423" t="n">
        <f aca="false">SUM(K1728:R1728)</f>
        <v>7</v>
      </c>
      <c r="J1728" s="424" t="n">
        <v>45888</v>
      </c>
      <c r="Q1728" s="154" t="n">
        <v>3</v>
      </c>
      <c r="R1728" s="155" t="n">
        <v>4</v>
      </c>
      <c r="S1728" s="192" t="n">
        <f aca="false">(K1728+O1728+Q1728)*24 /1130+(L1728+M1728+P1728+R1728)*12/1130+(N1728*30)/1130</f>
        <v>0.106194690265487</v>
      </c>
    </row>
    <row r="1729" customFormat="false" ht="15" hidden="true" customHeight="true" outlineLevel="0" collapsed="false">
      <c r="A1729" s="128" t="n">
        <f aca="false">D1729-845</f>
        <v>0.25</v>
      </c>
      <c r="B1729" s="127" t="n">
        <f aca="false">B1728+D1729-C1729</f>
        <v>6952.25</v>
      </c>
      <c r="D1729" s="420" t="n">
        <f aca="false">281.75*3</f>
        <v>845.25</v>
      </c>
      <c r="E1729" s="421" t="n">
        <v>1367</v>
      </c>
      <c r="F1729" s="421" t="n">
        <f aca="false">IFERROR(VLOOKUP(H1729,$AD$1:$AE$301,2,0),"")</f>
        <v>1008004</v>
      </c>
      <c r="G1729" s="147" t="str">
        <f aca="false">IFERROR(VLOOKUP(F1729,$AE$2:$AF$290,2, 0),"")</f>
        <v>حقل</v>
      </c>
      <c r="H1729" s="422" t="s">
        <v>316</v>
      </c>
      <c r="I1729" s="423" t="n">
        <f aca="false">SUM(K1729:R1729)</f>
        <v>3</v>
      </c>
      <c r="J1729" s="424" t="n">
        <v>45888</v>
      </c>
      <c r="K1729" s="148" t="n">
        <v>3</v>
      </c>
      <c r="S1729" s="192" t="n">
        <f aca="false">(K1729+O1729+Q1729)*24 /1130+(L1729+M1729+P1729+R1729)*12/1130+(N1729*30)/1130</f>
        <v>0.063716814159292</v>
      </c>
    </row>
    <row r="1730" customFormat="false" ht="15" hidden="true" customHeight="true" outlineLevel="0" collapsed="false">
      <c r="A1730" s="128" t="n">
        <f aca="false">D1730-200-400-500-400-150-200-200-200-80-350</f>
        <v>-0.5</v>
      </c>
      <c r="B1730" s="127" t="n">
        <f aca="false">B1729+D1730-C1730</f>
        <v>9631.75</v>
      </c>
      <c r="D1730" s="146" t="n">
        <f aca="false">281.75*3+3*281.75+253+2*253+230</f>
        <v>2679.5</v>
      </c>
      <c r="E1730" s="147" t="n">
        <v>1368</v>
      </c>
      <c r="F1730" s="147" t="n">
        <f aca="false">IFERROR(VLOOKUP(H1730,$AD$1:$AE$301,2,0),"")</f>
        <v>827</v>
      </c>
      <c r="G1730" s="147" t="str">
        <f aca="false">IFERROR(VLOOKUP(F1730,$AE$2:$AF$290,2, 0),"")</f>
        <v>تبوك</v>
      </c>
      <c r="H1730" s="398" t="s">
        <v>182</v>
      </c>
      <c r="I1730" s="246" t="n">
        <f aca="false">SUM(K1730:R1730)</f>
        <v>10</v>
      </c>
      <c r="J1730" s="182" t="n">
        <v>45889</v>
      </c>
      <c r="K1730" s="148" t="n">
        <f aca="false">3+3</f>
        <v>6</v>
      </c>
      <c r="M1730" s="150" t="n">
        <f aca="false">2+1+1</f>
        <v>4</v>
      </c>
      <c r="S1730" s="192" t="n">
        <f aca="false">(K1730+O1730+Q1730)*24 /1130+(L1730+M1730+P1730+R1730)*12/1130+(N1730*30)/1130</f>
        <v>0.169911504424779</v>
      </c>
    </row>
    <row r="1731" customFormat="false" ht="15" hidden="true" customHeight="true" outlineLevel="0" collapsed="false">
      <c r="B1731" s="127" t="n">
        <f aca="false">B1730+D1731-C1731</f>
        <v>2582.75</v>
      </c>
      <c r="C1731" s="127" t="n">
        <f aca="false">857+845+3499+335+1513</f>
        <v>7049</v>
      </c>
      <c r="E1731" s="212" t="s">
        <v>470</v>
      </c>
      <c r="F1731" s="147" t="str">
        <f aca="false">IFERROR(VLOOKUP(H1731,$AD$1:$AE$301,2,0),"")</f>
        <v/>
      </c>
      <c r="G1731" s="147" t="str">
        <f aca="false">IFERROR(VLOOKUP(F1731,$AE$2:$AF$290,2, 0),"")</f>
        <v/>
      </c>
      <c r="H1731" s="398" t="s">
        <v>393</v>
      </c>
      <c r="I1731" s="246" t="n">
        <f aca="false">SUM(K1731:R1731)</f>
        <v>0</v>
      </c>
      <c r="J1731" s="182" t="n">
        <v>45889</v>
      </c>
      <c r="S1731" s="192" t="n">
        <f aca="false">(K1731+O1731+Q1731)*24 /1130+(L1731+M1731+P1731+R1731)*12/1130+(N1731*30)/1130</f>
        <v>0</v>
      </c>
    </row>
    <row r="1732" customFormat="false" ht="15" hidden="true" customHeight="true" outlineLevel="0" collapsed="false">
      <c r="B1732" s="127" t="n">
        <f aca="false">B1731+D1732-C1732</f>
        <v>0.75</v>
      </c>
      <c r="C1732" s="127" t="n">
        <v>2582</v>
      </c>
      <c r="E1732" s="212" t="s">
        <v>653</v>
      </c>
      <c r="F1732" s="147" t="str">
        <f aca="false">IFERROR(VLOOKUP(H1732,$AD$1:$AE$301,2,0),"")</f>
        <v/>
      </c>
      <c r="G1732" s="147" t="str">
        <f aca="false">IFERROR(VLOOKUP(F1732,$AE$2:$AF$290,2, 0),"")</f>
        <v/>
      </c>
      <c r="H1732" s="212" t="s">
        <v>393</v>
      </c>
      <c r="I1732" s="246" t="n">
        <f aca="false">SUM(K1732:R1732)</f>
        <v>0</v>
      </c>
      <c r="J1732" s="182" t="n">
        <v>45890</v>
      </c>
      <c r="S1732" s="192" t="n">
        <f aca="false">(K1732+O1732+Q1732)*24 /1130+(L1732+M1732+P1732+R1732)*12/1130+(N1732*30)/1130</f>
        <v>0</v>
      </c>
    </row>
    <row r="1733" customFormat="false" ht="15" hidden="true" customHeight="true" outlineLevel="0" collapsed="false">
      <c r="A1733" s="128" t="n">
        <f aca="false">D1733-345-263-237</f>
        <v>0.25</v>
      </c>
      <c r="B1733" s="127" t="n">
        <f aca="false">B1732+D1733-C1733</f>
        <v>846</v>
      </c>
      <c r="D1733" s="146" t="n">
        <f aca="false">281.75*3</f>
        <v>845.25</v>
      </c>
      <c r="E1733" s="147" t="n">
        <v>1369</v>
      </c>
      <c r="F1733" s="147" t="n">
        <f aca="false">IFERROR(VLOOKUP(H1733,$AD$1:$AE$301,2,0),"")</f>
        <v>943</v>
      </c>
      <c r="G1733" s="147" t="str">
        <f aca="false">IFERROR(VLOOKUP(F1733,$AE$2:$AF$290,2, 0),"")</f>
        <v>تبوك</v>
      </c>
      <c r="H1733" s="212" t="s">
        <v>259</v>
      </c>
      <c r="I1733" s="246" t="n">
        <f aca="false">SUM(K1733:R1733)</f>
        <v>3</v>
      </c>
      <c r="J1733" s="182" t="n">
        <v>45890</v>
      </c>
      <c r="K1733" s="148" t="n">
        <f aca="false">2+1</f>
        <v>3</v>
      </c>
      <c r="S1733" s="192" t="n">
        <f aca="false">(K1733+O1733+Q1733)*24 /1130+(L1733+M1733+P1733+R1733)*12/1130+(N1733*30)/1130</f>
        <v>0.063716814159292</v>
      </c>
    </row>
    <row r="1734" customFormat="false" ht="15" hidden="true" customHeight="true" outlineLevel="0" collapsed="false">
      <c r="A1734" s="128" t="n">
        <f aca="false">D1734-545-300</f>
        <v>0.25</v>
      </c>
      <c r="B1734" s="127" t="n">
        <f aca="false">B1733+D1734-C1734</f>
        <v>1691.25</v>
      </c>
      <c r="D1734" s="146" t="n">
        <f aca="false">281.75*3</f>
        <v>845.25</v>
      </c>
      <c r="E1734" s="147" t="n">
        <v>1370</v>
      </c>
      <c r="F1734" s="147" t="n">
        <f aca="false">IFERROR(VLOOKUP(H1734,$AD$1:$AE$301,2,0),"")</f>
        <v>1008266</v>
      </c>
      <c r="G1734" s="147" t="str">
        <f aca="false">IFERROR(VLOOKUP(F1734,$AE$2:$AF$290,2, 0),"")</f>
        <v>تبوك</v>
      </c>
      <c r="H1734" s="212" t="s">
        <v>178</v>
      </c>
      <c r="I1734" s="246" t="n">
        <f aca="false">SUM(K1734:R1734)</f>
        <v>3</v>
      </c>
      <c r="J1734" s="182" t="n">
        <v>45890</v>
      </c>
      <c r="K1734" s="148" t="n">
        <f aca="false">2+1</f>
        <v>3</v>
      </c>
      <c r="S1734" s="192" t="n">
        <f aca="false">(K1734+O1734+Q1734)*24 /1130+(L1734+M1734+P1734+R1734)*12/1130+(N1734*30)/1130</f>
        <v>0.063716814159292</v>
      </c>
    </row>
    <row r="1735" customFormat="false" ht="15" hidden="true" customHeight="true" outlineLevel="0" collapsed="false">
      <c r="A1735" s="288"/>
      <c r="B1735" s="127" t="n">
        <f aca="false">B1734+D1735-C1735</f>
        <v>0</v>
      </c>
      <c r="C1735" s="127" t="n">
        <f aca="false">345+538+545+263</f>
        <v>1691</v>
      </c>
      <c r="D1735" s="146" t="n">
        <v>-0.25</v>
      </c>
      <c r="E1735" s="212" t="s">
        <v>470</v>
      </c>
      <c r="F1735" s="147" t="str">
        <f aca="false">IFERROR(VLOOKUP(H1735,$AD$1:$AE$301,2,0),"")</f>
        <v/>
      </c>
      <c r="G1735" s="147" t="str">
        <f aca="false">IFERROR(VLOOKUP(F1735,$AE$2:$AF$290,2, 0),"")</f>
        <v/>
      </c>
      <c r="H1735" s="212" t="s">
        <v>393</v>
      </c>
      <c r="I1735" s="246" t="n">
        <f aca="false">SUM(K1735:R1735)</f>
        <v>0</v>
      </c>
      <c r="J1735" s="182" t="n">
        <v>45890</v>
      </c>
      <c r="S1735" s="192" t="n">
        <f aca="false">(K1735+O1735+Q1735)*24 /1130+(L1735+M1735+P1735+R1735)*12/1130+(N1735*30)/1130</f>
        <v>0</v>
      </c>
    </row>
    <row r="1736" customFormat="false" ht="15" hidden="true" customHeight="true" outlineLevel="0" collapsed="false">
      <c r="A1736" s="288"/>
      <c r="B1736" s="127" t="n">
        <f aca="false">B1735+D1736-C1736</f>
        <v>-1236.25</v>
      </c>
      <c r="C1736" s="127" t="n">
        <f aca="false">237+500+499</f>
        <v>1236</v>
      </c>
      <c r="D1736" s="146" t="n">
        <v>-0.25</v>
      </c>
      <c r="E1736" s="212" t="s">
        <v>470</v>
      </c>
      <c r="F1736" s="147" t="str">
        <f aca="false">IFERROR(VLOOKUP(H1736,$AD$1:$AE$301,2,0),"")</f>
        <v/>
      </c>
      <c r="G1736" s="147" t="str">
        <f aca="false">IFERROR(VLOOKUP(F1736,$AE$2:$AF$290,2, 0),"")</f>
        <v/>
      </c>
      <c r="H1736" s="212" t="s">
        <v>393</v>
      </c>
      <c r="I1736" s="246" t="n">
        <f aca="false">SUM(K1736:R1736)</f>
        <v>0</v>
      </c>
      <c r="J1736" s="182" t="n">
        <v>45893</v>
      </c>
      <c r="S1736" s="192" t="n">
        <f aca="false">(K1736+O1736+Q1736)*24 /1130+(L1736+M1736+P1736+R1736)*12/1130+(N1736*30)/1130</f>
        <v>0</v>
      </c>
    </row>
    <row r="1737" customFormat="false" ht="17.25" hidden="true" customHeight="true" outlineLevel="0" collapsed="false">
      <c r="A1737" s="128" t="n">
        <f aca="false">D1737-1646+410</f>
        <v>0.25</v>
      </c>
      <c r="B1737" s="127" t="n">
        <f aca="false">B1736+D1737-C1737</f>
        <v>0</v>
      </c>
      <c r="D1737" s="425" t="n">
        <f aca="false">253+138+281.75*3</f>
        <v>1236.25</v>
      </c>
      <c r="E1737" s="147" t="n">
        <v>1371</v>
      </c>
      <c r="F1737" s="147" t="n">
        <f aca="false">IFERROR(VLOOKUP(H1737,$AD$1:$AE$301,2,0),"")</f>
        <v>653</v>
      </c>
      <c r="G1737" s="147" t="str">
        <f aca="false">IFERROR(VLOOKUP(F1737,$AE$2:$AF$290,2, 0),"")</f>
        <v>تبوك</v>
      </c>
      <c r="H1737" s="212" t="s">
        <v>264</v>
      </c>
      <c r="I1737" s="246" t="n">
        <f aca="false">SUM(K1737:R1737)</f>
        <v>5</v>
      </c>
      <c r="J1737" s="182" t="n">
        <v>45893</v>
      </c>
      <c r="K1737" s="148" t="n">
        <v>3</v>
      </c>
      <c r="M1737" s="150" t="n">
        <v>1</v>
      </c>
      <c r="Q1737" s="154" t="n">
        <v>1</v>
      </c>
      <c r="S1737" s="192" t="n">
        <f aca="false">(K1737+O1737+Q1737)*24 /1130+(L1737+M1737+P1737+R1737)*12/1130+(N1737*30)/1130</f>
        <v>0.0955752212389381</v>
      </c>
    </row>
    <row r="1738" customFormat="false" ht="15" hidden="true" customHeight="true" outlineLevel="0" collapsed="false">
      <c r="B1738" s="127" t="n">
        <f aca="false">B1737+D1738-C1738</f>
        <v>345</v>
      </c>
      <c r="D1738" s="426" t="n">
        <v>345</v>
      </c>
      <c r="E1738" s="421" t="n">
        <v>1372</v>
      </c>
      <c r="F1738" s="421" t="n">
        <f aca="false">IFERROR(VLOOKUP(H1738,$AD$1:$AE$301,2,0),"")</f>
        <v>1008024</v>
      </c>
      <c r="G1738" s="147" t="str">
        <f aca="false">IFERROR(VLOOKUP(F1738,$AE$2:$AF$290,2, 0),"")</f>
        <v>ضباء</v>
      </c>
      <c r="H1738" s="422" t="s">
        <v>96</v>
      </c>
      <c r="I1738" s="423" t="n">
        <f aca="false">SUM(K1738:R1738)</f>
        <v>1</v>
      </c>
      <c r="J1738" s="424" t="n">
        <v>45894</v>
      </c>
      <c r="M1738" s="150" t="n">
        <v>1</v>
      </c>
      <c r="S1738" s="192" t="n">
        <f aca="false">(K1738+O1738+Q1738)*24 /1130+(L1738+M1738+P1738+R1738)*12/1130+(N1738*30)/1130</f>
        <v>0.0106194690265487</v>
      </c>
    </row>
    <row r="1739" customFormat="false" ht="15" hidden="true" customHeight="true" outlineLevel="0" collapsed="false">
      <c r="A1739" s="128" t="n">
        <f aca="false">D1739-1086</f>
        <v>0.75</v>
      </c>
      <c r="B1739" s="127" t="n">
        <f aca="false">B1738+D1739-C1739</f>
        <v>1431.75</v>
      </c>
      <c r="D1739" s="426" t="n">
        <f aca="false">281.75*3+241.5</f>
        <v>1086.75</v>
      </c>
      <c r="E1739" s="421" t="n">
        <v>1373</v>
      </c>
      <c r="F1739" s="421" t="n">
        <f aca="false">IFERROR(VLOOKUP(H1739,$AD$1:$AE$301,2,0),"")</f>
        <v>1008023</v>
      </c>
      <c r="G1739" s="147" t="str">
        <f aca="false">IFERROR(VLOOKUP(F1739,$AE$2:$AF$290,2, 0),"")</f>
        <v>ضباء</v>
      </c>
      <c r="H1739" s="422" t="s">
        <v>95</v>
      </c>
      <c r="I1739" s="423" t="n">
        <f aca="false">SUM(K1739:R1739)</f>
        <v>4</v>
      </c>
      <c r="J1739" s="424" t="n">
        <v>45894</v>
      </c>
      <c r="K1739" s="148" t="n">
        <v>3</v>
      </c>
      <c r="Q1739" s="154" t="n">
        <v>1</v>
      </c>
      <c r="S1739" s="192" t="n">
        <f aca="false">(K1739+O1739+Q1739)*24 /1130+(L1739+M1739+P1739+R1739)*12/1130+(N1739*30)/1130</f>
        <v>0.0849557522123894</v>
      </c>
    </row>
    <row r="1740" customFormat="false" ht="15" hidden="true" customHeight="true" outlineLevel="0" collapsed="false">
      <c r="A1740" s="128" t="n">
        <f aca="false">D1740+281.75-436.75</f>
        <v>0.25</v>
      </c>
      <c r="B1740" s="127" t="n">
        <f aca="false">B1739+D1740-C1740</f>
        <v>1587</v>
      </c>
      <c r="D1740" s="426" t="n">
        <v>155.25</v>
      </c>
      <c r="E1740" s="421" t="n">
        <v>1374</v>
      </c>
      <c r="F1740" s="421" t="n">
        <f aca="false">IFERROR(VLOOKUP(H1740,$AD$1:$AE$301,2,0),"")</f>
        <v>1008032</v>
      </c>
      <c r="G1740" s="147" t="str">
        <f aca="false">IFERROR(VLOOKUP(F1740,$AE$2:$AF$290,2, 0),"")</f>
        <v>ضباء</v>
      </c>
      <c r="H1740" s="422" t="s">
        <v>101</v>
      </c>
      <c r="I1740" s="423" t="n">
        <f aca="false">SUM(K1740:R1740)</f>
        <v>1</v>
      </c>
      <c r="J1740" s="424" t="n">
        <v>45894</v>
      </c>
      <c r="R1740" s="155" t="n">
        <v>1</v>
      </c>
      <c r="S1740" s="192" t="n">
        <f aca="false">(K1740+O1740+Q1740)*24 /1130+(L1740+M1740+P1740+R1740)*12/1130+(N1740*30)/1130</f>
        <v>0.0106194690265487</v>
      </c>
    </row>
    <row r="1741" customFormat="false" ht="15" hidden="true" customHeight="true" outlineLevel="0" collapsed="false">
      <c r="A1741" s="128" t="n">
        <f aca="false">D1741-1000-350</f>
        <v>1.25</v>
      </c>
      <c r="B1741" s="127" t="n">
        <f aca="false">B1740+D1741-C1741</f>
        <v>2938.25</v>
      </c>
      <c r="D1741" s="426" t="n">
        <f aca="false">195.5+310.5+281.75*3</f>
        <v>1351.25</v>
      </c>
      <c r="E1741" s="421" t="n">
        <v>1375</v>
      </c>
      <c r="F1741" s="421" t="n">
        <f aca="false">IFERROR(VLOOKUP(H1741,$AD$1:$AE$301,2,0),"")</f>
        <v>1008045</v>
      </c>
      <c r="G1741" s="147" t="str">
        <f aca="false">IFERROR(VLOOKUP(F1741,$AE$2:$AF$290,2, 0),"")</f>
        <v>الوجه</v>
      </c>
      <c r="H1741" s="422" t="s">
        <v>107</v>
      </c>
      <c r="I1741" s="423" t="n">
        <f aca="false">SUM(K1741:R1741)</f>
        <v>6</v>
      </c>
      <c r="J1741" s="424" t="n">
        <v>45894</v>
      </c>
      <c r="K1741" s="148" t="n">
        <f aca="false">3</f>
        <v>3</v>
      </c>
      <c r="R1741" s="155" t="n">
        <f aca="false">1+2</f>
        <v>3</v>
      </c>
      <c r="S1741" s="192" t="n">
        <f aca="false">(K1741+O1741+Q1741)*24 /1130+(L1741+M1741+P1741+R1741)*12/1130+(N1741*30)/1130</f>
        <v>0.0955752212389381</v>
      </c>
    </row>
    <row r="1742" customFormat="false" ht="15" hidden="true" customHeight="true" outlineLevel="0" collapsed="false">
      <c r="A1742" s="128" t="n">
        <f aca="false">D1742-1620-70</f>
        <v>0.5</v>
      </c>
      <c r="B1742" s="127" t="n">
        <f aca="false">B1741+D1742-C1742</f>
        <v>4628.75</v>
      </c>
      <c r="D1742" s="426" t="n">
        <f aca="false">281.75*6</f>
        <v>1690.5</v>
      </c>
      <c r="E1742" s="421" t="n">
        <v>1376</v>
      </c>
      <c r="F1742" s="421" t="n">
        <f aca="false">IFERROR(VLOOKUP(H1742,$AD$1:$AE$301,2,0),"")</f>
        <v>1008046</v>
      </c>
      <c r="G1742" s="147" t="str">
        <f aca="false">IFERROR(VLOOKUP(F1742,$AE$2:$AF$290,2, 0),"")</f>
        <v>الوجه</v>
      </c>
      <c r="H1742" s="422" t="s">
        <v>108</v>
      </c>
      <c r="I1742" s="423" t="n">
        <f aca="false">SUM(K1742:R1742)</f>
        <v>6</v>
      </c>
      <c r="J1742" s="424" t="n">
        <v>45894</v>
      </c>
      <c r="K1742" s="148" t="n">
        <f aca="false">4+2</f>
        <v>6</v>
      </c>
      <c r="S1742" s="192" t="n">
        <f aca="false">(K1742+O1742+Q1742)*24 /1130+(L1742+M1742+P1742+R1742)*12/1130+(N1742*30)/1130</f>
        <v>0.127433628318584</v>
      </c>
    </row>
    <row r="1743" customFormat="false" ht="15" hidden="true" customHeight="true" outlineLevel="0" collapsed="false">
      <c r="A1743" s="128" t="n">
        <f aca="false">D1743-281.75-839.5</f>
        <v>0</v>
      </c>
      <c r="B1743" s="127" t="n">
        <f aca="false">B1742+D1743-C1743</f>
        <v>5750</v>
      </c>
      <c r="D1743" s="426" t="n">
        <f aca="false">281.75*3+138*2</f>
        <v>1121.25</v>
      </c>
      <c r="E1743" s="421" t="n">
        <v>1377</v>
      </c>
      <c r="F1743" s="421" t="n">
        <f aca="false">IFERROR(VLOOKUP(H1743,$AD$1:$AE$301,2,0),"")</f>
        <v>656</v>
      </c>
      <c r="G1743" s="147" t="str">
        <f aca="false">IFERROR(VLOOKUP(F1743,$AE$2:$AF$290,2, 0),"")</f>
        <v>الوجه</v>
      </c>
      <c r="H1743" s="422" t="s">
        <v>115</v>
      </c>
      <c r="I1743" s="423" t="n">
        <f aca="false">SUM(K1743:R1743)</f>
        <v>5</v>
      </c>
      <c r="J1743" s="424" t="n">
        <v>45894</v>
      </c>
      <c r="K1743" s="148" t="n">
        <f aca="false">3</f>
        <v>3</v>
      </c>
      <c r="Q1743" s="154" t="n">
        <v>2</v>
      </c>
      <c r="S1743" s="192" t="n">
        <f aca="false">(K1743+O1743+Q1743)*24 /1130+(L1743+M1743+P1743+R1743)*12/1130+(N1743*30)/1130</f>
        <v>0.106194690265487</v>
      </c>
    </row>
    <row r="1744" customFormat="false" ht="15" hidden="true" customHeight="true" outlineLevel="0" collapsed="false">
      <c r="A1744" s="128" t="n">
        <f aca="false">D1744-500-1300</f>
        <v>-0.25</v>
      </c>
      <c r="B1744" s="127" t="n">
        <f aca="false">B1743+D1744-C1744</f>
        <v>7549.75</v>
      </c>
      <c r="D1744" s="426" t="n">
        <f aca="false">138*3+155.25*2+230+281.75*3</f>
        <v>1799.75</v>
      </c>
      <c r="E1744" s="421" t="n">
        <v>1378</v>
      </c>
      <c r="F1744" s="421" t="n">
        <f aca="false">IFERROR(VLOOKUP(H1744,$AD$1:$AE$301,2,0),"")</f>
        <v>1008047</v>
      </c>
      <c r="G1744" s="147" t="str">
        <f aca="false">IFERROR(VLOOKUP(F1744,$AE$2:$AF$290,2, 0),"")</f>
        <v>الوجه</v>
      </c>
      <c r="H1744" s="422" t="s">
        <v>422</v>
      </c>
      <c r="I1744" s="423" t="n">
        <f aca="false">SUM(K1744:R1744)</f>
        <v>9</v>
      </c>
      <c r="J1744" s="424" t="n">
        <v>45894</v>
      </c>
      <c r="K1744" s="148" t="n">
        <v>3</v>
      </c>
      <c r="M1744" s="150" t="n">
        <v>1</v>
      </c>
      <c r="Q1744" s="154" t="n">
        <v>3</v>
      </c>
      <c r="R1744" s="155" t="n">
        <v>2</v>
      </c>
      <c r="S1744" s="192" t="n">
        <f aca="false">(K1744+O1744+Q1744)*24 /1130+(L1744+M1744+P1744+R1744)*12/1130+(N1744*30)/1130</f>
        <v>0.15929203539823</v>
      </c>
    </row>
    <row r="1745" customFormat="false" ht="15" hidden="true" customHeight="true" outlineLevel="0" collapsed="false">
      <c r="B1745" s="127" t="n">
        <f aca="false">B1744+D1745-C1745</f>
        <v>10930.75</v>
      </c>
      <c r="D1745" s="426" t="n">
        <f aca="false">281.75*12</f>
        <v>3381</v>
      </c>
      <c r="E1745" s="421" t="n">
        <v>1379</v>
      </c>
      <c r="F1745" s="421" t="n">
        <f aca="false">IFERROR(VLOOKUP(H1745,$AD$1:$AE$301,2,0),"")</f>
        <v>1008048</v>
      </c>
      <c r="G1745" s="147" t="str">
        <f aca="false">IFERROR(VLOOKUP(F1745,$AE$2:$AF$290,2, 0),"")</f>
        <v>الوجه</v>
      </c>
      <c r="H1745" s="422" t="s">
        <v>110</v>
      </c>
      <c r="I1745" s="423" t="n">
        <f aca="false">SUM(K1745:R1745)</f>
        <v>12</v>
      </c>
      <c r="J1745" s="424" t="n">
        <v>45894</v>
      </c>
      <c r="K1745" s="148" t="n">
        <f aca="false">12</f>
        <v>12</v>
      </c>
      <c r="S1745" s="192" t="n">
        <f aca="false">(K1745+O1745+Q1745)*24 /1130+(L1745+M1745+P1745+R1745)*12/1130+(N1745*30)/1130</f>
        <v>0.254867256637168</v>
      </c>
    </row>
    <row r="1746" customFormat="false" ht="15" hidden="true" customHeight="true" outlineLevel="0" collapsed="false">
      <c r="A1746" s="128" t="n">
        <f aca="false">D1746-281.75-150-63.5-350</f>
        <v>0</v>
      </c>
      <c r="B1746" s="127" t="n">
        <f aca="false">B1745+D1746-C1746</f>
        <v>11776</v>
      </c>
      <c r="D1746" s="426" t="n">
        <f aca="false">281.75*3</f>
        <v>845.25</v>
      </c>
      <c r="E1746" s="421" t="n">
        <v>1380</v>
      </c>
      <c r="F1746" s="421" t="n">
        <f aca="false">IFERROR(VLOOKUP(H1746,$AD$1:$AE$301,2,0),"")</f>
        <v>1008051</v>
      </c>
      <c r="G1746" s="147" t="str">
        <f aca="false">IFERROR(VLOOKUP(F1746,$AE$2:$AF$290,2, 0),"")</f>
        <v>الوجه</v>
      </c>
      <c r="H1746" s="422" t="s">
        <v>113</v>
      </c>
      <c r="I1746" s="423" t="n">
        <f aca="false">SUM(K1746:R1746)</f>
        <v>3</v>
      </c>
      <c r="J1746" s="424" t="n">
        <v>45894</v>
      </c>
      <c r="K1746" s="148" t="n">
        <v>3</v>
      </c>
      <c r="S1746" s="192" t="n">
        <f aca="false">(K1746+O1746+Q1746)*24 /1130+(L1746+M1746+P1746+R1746)*12/1130+(N1746*30)/1130</f>
        <v>0.063716814159292</v>
      </c>
    </row>
    <row r="1747" customFormat="false" ht="15" hidden="true" customHeight="true" outlineLevel="0" collapsed="false">
      <c r="B1747" s="127" t="n">
        <f aca="false">B1746+D1747-C1747</f>
        <v>9930.75</v>
      </c>
      <c r="C1747" s="127" t="n">
        <f aca="false">345+436.75+1000+63.5</f>
        <v>1845.25</v>
      </c>
      <c r="E1747" s="212" t="s">
        <v>470</v>
      </c>
      <c r="F1747" s="147" t="str">
        <f aca="false">IFERROR(VLOOKUP(H1747,$AD$1:$AE$301,2,0),"")</f>
        <v/>
      </c>
      <c r="G1747" s="147" t="str">
        <f aca="false">IFERROR(VLOOKUP(F1747,$AE$2:$AF$290,2, 0),"")</f>
        <v/>
      </c>
      <c r="H1747" s="212" t="s">
        <v>393</v>
      </c>
      <c r="I1747" s="246" t="n">
        <f aca="false">SUM(K1747:R1747)</f>
        <v>0</v>
      </c>
      <c r="J1747" s="182" t="n">
        <v>45894</v>
      </c>
      <c r="S1747" s="192" t="n">
        <f aca="false">(K1747+O1747+Q1747)*24 /1130+(L1747+M1747+P1747+R1747)*12/1130+(N1747*30)/1130</f>
        <v>0</v>
      </c>
    </row>
    <row r="1748" customFormat="false" ht="15" hidden="true" customHeight="true" outlineLevel="0" collapsed="false">
      <c r="B1748" s="127" t="n">
        <f aca="false">B1747+D1748-C1748</f>
        <v>0.75</v>
      </c>
      <c r="C1748" s="127" t="n">
        <v>9930</v>
      </c>
      <c r="E1748" s="212" t="s">
        <v>653</v>
      </c>
      <c r="F1748" s="147" t="str">
        <f aca="false">IFERROR(VLOOKUP(H1748,$AD$1:$AE$301,2,0),"")</f>
        <v/>
      </c>
      <c r="G1748" s="147" t="str">
        <f aca="false">IFERROR(VLOOKUP(F1748,$AE$2:$AF$290,2, 0),"")</f>
        <v/>
      </c>
      <c r="H1748" s="212" t="s">
        <v>393</v>
      </c>
      <c r="I1748" s="246" t="n">
        <f aca="false">SUM(K1748:R1748)</f>
        <v>0</v>
      </c>
      <c r="J1748" s="182" t="n">
        <v>45895</v>
      </c>
      <c r="S1748" s="192" t="n">
        <f aca="false">(K1748+O1748+Q1748)*24 /1130+(L1748+M1748+P1748+R1748)*12/1130+(N1748*30)/1130</f>
        <v>0</v>
      </c>
    </row>
    <row r="1749" customFormat="false" ht="15" hidden="true" customHeight="true" outlineLevel="0" collapsed="false">
      <c r="A1749" s="128" t="n">
        <f aca="false">D1749-445-400</f>
        <v>0.25</v>
      </c>
      <c r="B1749" s="127" t="n">
        <f aca="false">B1748+D1749-C1749</f>
        <v>846</v>
      </c>
      <c r="D1749" s="420" t="n">
        <f aca="false">281.75*3</f>
        <v>845.25</v>
      </c>
      <c r="E1749" s="147" t="n">
        <v>1381</v>
      </c>
      <c r="F1749" s="147" t="n">
        <f aca="false">IFERROR(VLOOKUP(H1749,$AD$1:$AE$301,2,0),"")</f>
        <v>652</v>
      </c>
      <c r="G1749" s="147" t="str">
        <f aca="false">IFERROR(VLOOKUP(F1749,$AE$2:$AF$290,2, 0),"")</f>
        <v>تبوك</v>
      </c>
      <c r="H1749" s="212" t="s">
        <v>263</v>
      </c>
      <c r="I1749" s="246" t="n">
        <f aca="false">SUM(K1749:R1749)</f>
        <v>3</v>
      </c>
      <c r="J1749" s="182" t="n">
        <v>45895</v>
      </c>
      <c r="K1749" s="148" t="n">
        <v>3</v>
      </c>
      <c r="S1749" s="192" t="n">
        <f aca="false">(K1749+O1749+Q1749)*24 /1130+(L1749+M1749+P1749+R1749)*12/1130+(N1749*30)/1130</f>
        <v>0.063716814159292</v>
      </c>
    </row>
    <row r="1750" customFormat="false" ht="15" hidden="true" customHeight="true" outlineLevel="0" collapsed="false">
      <c r="A1750" s="128" t="n">
        <f aca="false">D1750-195.5-97.5-98</f>
        <v>0</v>
      </c>
      <c r="B1750" s="127" t="n">
        <f aca="false">B1749+D1750-C1750</f>
        <v>1237</v>
      </c>
      <c r="D1750" s="146" t="n">
        <f aca="false">195.5*2</f>
        <v>391</v>
      </c>
      <c r="E1750" s="147" t="n">
        <v>1383</v>
      </c>
      <c r="F1750" s="147" t="n">
        <f aca="false">IFERROR(VLOOKUP(H1750,$AD$1:$AE$301,2,0),"")</f>
        <v>759</v>
      </c>
      <c r="G1750" s="147" t="str">
        <f aca="false">IFERROR(VLOOKUP(F1750,$AE$2:$AF$290,2, 0),"")</f>
        <v>تبوك</v>
      </c>
      <c r="H1750" s="212" t="s">
        <v>227</v>
      </c>
      <c r="I1750" s="246" t="n">
        <f aca="false">SUM(K1750:R1750)</f>
        <v>2</v>
      </c>
      <c r="J1750" s="182" t="n">
        <v>45895</v>
      </c>
      <c r="Q1750" s="154" t="n">
        <v>2</v>
      </c>
      <c r="S1750" s="192" t="n">
        <f aca="false">(K1750+O1750+Q1750)*24 /1130+(L1750+M1750+P1750+R1750)*12/1130+(N1750*30)/1130</f>
        <v>0.0424778761061947</v>
      </c>
    </row>
    <row r="1751" customFormat="false" ht="15" hidden="true" customHeight="true" outlineLevel="0" collapsed="false">
      <c r="B1751" s="127" t="n">
        <f aca="false">B1750+D1751-C1751</f>
        <v>0</v>
      </c>
      <c r="C1751" s="127" t="n">
        <v>1237</v>
      </c>
      <c r="E1751" s="212" t="s">
        <v>653</v>
      </c>
      <c r="F1751" s="147" t="str">
        <f aca="false">IFERROR(VLOOKUP(H1751,$AD$1:$AE$301,2,0),"")</f>
        <v/>
      </c>
      <c r="G1751" s="147" t="str">
        <f aca="false">IFERROR(VLOOKUP(F1751,$AE$2:$AF$290,2, 0),"")</f>
        <v/>
      </c>
      <c r="H1751" s="212" t="s">
        <v>393</v>
      </c>
      <c r="I1751" s="246" t="n">
        <f aca="false">SUM(K1751:R1751)</f>
        <v>0</v>
      </c>
      <c r="J1751" s="182" t="n">
        <v>45895</v>
      </c>
      <c r="S1751" s="192" t="n">
        <f aca="false">(K1751+O1751+Q1751)*24 /1130+(L1751+M1751+P1751+R1751)*12/1130+(N1751*30)/1130</f>
        <v>0</v>
      </c>
    </row>
    <row r="1752" customFormat="false" ht="15" hidden="true" customHeight="true" outlineLevel="0" collapsed="false">
      <c r="B1752" s="127" t="n">
        <f aca="false">B1751+D1752-C1752</f>
        <v>138</v>
      </c>
      <c r="D1752" s="146" t="n">
        <v>138</v>
      </c>
      <c r="E1752" s="147" t="n">
        <v>1383</v>
      </c>
      <c r="F1752" s="147" t="n">
        <f aca="false">IFERROR(VLOOKUP(H1752,$AD$1:$AE$301,2,0),"")</f>
        <v>1008057</v>
      </c>
      <c r="G1752" s="147" t="str">
        <f aca="false">IFERROR(VLOOKUP(F1752,$AE$2:$AF$290,2, 0),"")</f>
        <v>تبوك</v>
      </c>
      <c r="H1752" s="212" t="s">
        <v>242</v>
      </c>
      <c r="I1752" s="246" t="n">
        <f aca="false">SUM(K1752:R1752)</f>
        <v>1</v>
      </c>
      <c r="J1752" s="182" t="n">
        <v>45896</v>
      </c>
      <c r="Q1752" s="154" t="n">
        <v>1</v>
      </c>
      <c r="S1752" s="192" t="n">
        <f aca="false">(K1752+O1752+Q1752)*24 /1130+(L1752+M1752+P1752+R1752)*12/1130+(N1752*30)/1130</f>
        <v>0.0212389380530973</v>
      </c>
    </row>
    <row r="1753" customFormat="false" ht="15" hidden="true" customHeight="true" outlineLevel="0" collapsed="false">
      <c r="A1753" s="128" t="n">
        <f aca="false">D1753-563.5-100-150-31.75</f>
        <v>0</v>
      </c>
      <c r="B1753" s="127" t="n">
        <f aca="false">B1752+D1753-C1753</f>
        <v>983.25</v>
      </c>
      <c r="D1753" s="420" t="n">
        <f aca="false">281.75*3</f>
        <v>845.25</v>
      </c>
      <c r="E1753" s="147" t="n">
        <v>1384</v>
      </c>
      <c r="F1753" s="147" t="str">
        <f aca="false">IFERROR(VLOOKUP(H1753,$AD$1:$AE$301,2,0),"")</f>
        <v/>
      </c>
      <c r="G1753" s="147" t="str">
        <f aca="false">IFERROR(VLOOKUP(F1753,$AE$2:$AF$290,2, 0),"")</f>
        <v/>
      </c>
      <c r="H1753" s="212" t="s">
        <v>664</v>
      </c>
      <c r="I1753" s="246" t="n">
        <f aca="false">SUM(K1753:R1753)</f>
        <v>3</v>
      </c>
      <c r="J1753" s="182" t="n">
        <v>45896</v>
      </c>
      <c r="K1753" s="148" t="n">
        <v>3</v>
      </c>
      <c r="S1753" s="192" t="n">
        <f aca="false">(K1753+O1753+Q1753)*24 /1130+(L1753+M1753+P1753+R1753)*12/1130+(N1753*30)/1130</f>
        <v>0.063716814159292</v>
      </c>
    </row>
    <row r="1754" customFormat="false" ht="15" hidden="true" customHeight="true" outlineLevel="0" collapsed="false">
      <c r="B1754" s="127" t="n">
        <f aca="false">B1753+D1754-C1754</f>
        <v>2081.5</v>
      </c>
      <c r="D1754" s="146" t="n">
        <f aca="false">281.75*3+253</f>
        <v>1098.25</v>
      </c>
      <c r="E1754" s="147" t="n">
        <v>1385</v>
      </c>
      <c r="F1754" s="147" t="n">
        <f aca="false">IFERROR(VLOOKUP(H1754,$AD$1:$AE$301,2,0),"")</f>
        <v>1002949</v>
      </c>
      <c r="G1754" s="147" t="str">
        <f aca="false">IFERROR(VLOOKUP(F1754,$AE$2:$AF$290,2, 0),"")</f>
        <v>تبوك</v>
      </c>
      <c r="H1754" s="398" t="s">
        <v>169</v>
      </c>
      <c r="I1754" s="246" t="n">
        <f aca="false">SUM(K1754:R1754)</f>
        <v>4</v>
      </c>
      <c r="J1754" s="182" t="n">
        <v>45896</v>
      </c>
      <c r="K1754" s="148" t="n">
        <f aca="false">2+1</f>
        <v>3</v>
      </c>
      <c r="M1754" s="150" t="n">
        <v>1</v>
      </c>
      <c r="S1754" s="192" t="n">
        <f aca="false">(K1754+O1754+Q1754)*24 /1130+(L1754+M1754+P1754+R1754)*12/1130+(N1754*30)/1130</f>
        <v>0.0743362831858407</v>
      </c>
    </row>
    <row r="1755" customFormat="false" ht="15" hidden="true" customHeight="true" outlineLevel="0" collapsed="false">
      <c r="A1755" s="128" t="n">
        <f aca="false">D1755-150-150</f>
        <v>-1</v>
      </c>
      <c r="B1755" s="127" t="n">
        <f aca="false">B1754+D1755-C1755</f>
        <v>2380.5</v>
      </c>
      <c r="D1755" s="146" t="n">
        <v>299</v>
      </c>
      <c r="E1755" s="147" t="n">
        <v>1386</v>
      </c>
      <c r="F1755" s="147" t="n">
        <f aca="false">IFERROR(VLOOKUP(H1755,$AD$1:$AE$301,2,0),"")</f>
        <v>826</v>
      </c>
      <c r="G1755" s="147" t="str">
        <f aca="false">IFERROR(VLOOKUP(F1755,$AE$2:$AF$290,2, 0),"")</f>
        <v>تبوك</v>
      </c>
      <c r="H1755" s="212" t="s">
        <v>196</v>
      </c>
      <c r="I1755" s="246" t="n">
        <f aca="false">SUM(K1755:R1755)</f>
        <v>1</v>
      </c>
      <c r="J1755" s="182" t="n">
        <v>45896</v>
      </c>
      <c r="R1755" s="155" t="n">
        <v>1</v>
      </c>
      <c r="S1755" s="192" t="n">
        <f aca="false">(K1755+O1755+Q1755)*24 /1130+(L1755+M1755+P1755+R1755)*12/1130+(N1755*30)/1130</f>
        <v>0.0106194690265487</v>
      </c>
    </row>
    <row r="1756" customFormat="false" ht="15" hidden="true" customHeight="true" outlineLevel="0" collapsed="false">
      <c r="B1756" s="127" t="n">
        <f aca="false">B1755+D1756-C1756</f>
        <v>1282.5</v>
      </c>
      <c r="C1756" s="127" t="n">
        <v>1098</v>
      </c>
      <c r="E1756" s="212" t="s">
        <v>662</v>
      </c>
      <c r="F1756" s="147" t="str">
        <f aca="false">IFERROR(VLOOKUP(H1756,$AD$1:$AE$301,2,0),"")</f>
        <v/>
      </c>
      <c r="G1756" s="147" t="str">
        <f aca="false">IFERROR(VLOOKUP(F1756,$AE$2:$AF$290,2, 0),"")</f>
        <v/>
      </c>
      <c r="H1756" s="212" t="s">
        <v>393</v>
      </c>
      <c r="I1756" s="246" t="n">
        <f aca="false">SUM(K1756:R1756)</f>
        <v>0</v>
      </c>
      <c r="J1756" s="182" t="n">
        <v>45896</v>
      </c>
      <c r="S1756" s="192" t="n">
        <f aca="false">(K1756+O1756+Q1756)*24 /1130+(L1756+M1756+P1756+R1756)*12/1130+(N1756*30)/1130</f>
        <v>0</v>
      </c>
    </row>
    <row r="1757" customFormat="false" ht="15" hidden="true" customHeight="true" outlineLevel="0" collapsed="false">
      <c r="B1757" s="127" t="n">
        <f aca="false">B1756+D1757-C1757</f>
        <v>0</v>
      </c>
      <c r="C1757" s="127" t="n">
        <f aca="false">563.5+719</f>
        <v>1282.5</v>
      </c>
      <c r="E1757" s="212" t="s">
        <v>470</v>
      </c>
      <c r="F1757" s="147" t="str">
        <f aca="false">IFERROR(VLOOKUP(H1757,$AD$1:$AE$301,2,0),"")</f>
        <v/>
      </c>
      <c r="G1757" s="147" t="str">
        <f aca="false">IFERROR(VLOOKUP(F1757,$AE$2:$AF$290,2, 0),"")</f>
        <v/>
      </c>
      <c r="H1757" s="212" t="s">
        <v>393</v>
      </c>
      <c r="I1757" s="246" t="n">
        <f aca="false">SUM(K1757:R1757)</f>
        <v>0</v>
      </c>
      <c r="J1757" s="182" t="n">
        <v>45896</v>
      </c>
      <c r="S1757" s="192" t="n">
        <f aca="false">(K1757+O1757+Q1757)*24 /1130+(L1757+M1757+P1757+R1757)*12/1130+(N1757*30)/1130</f>
        <v>0</v>
      </c>
    </row>
    <row r="1758" customFormat="false" ht="15" hidden="true" customHeight="true" outlineLevel="0" collapsed="false">
      <c r="A1758" s="128" t="n">
        <f aca="false">D1758-281.75-577-300-2.75</f>
        <v>0</v>
      </c>
      <c r="B1758" s="127" t="n">
        <f aca="false">B1757+D1758-C1758</f>
        <v>1161.5</v>
      </c>
      <c r="D1758" s="146" t="n">
        <f aca="false">281.75*3+138+178.25</f>
        <v>1161.5</v>
      </c>
      <c r="E1758" s="147" t="n">
        <v>1387</v>
      </c>
      <c r="F1758" s="147" t="n">
        <f aca="false">IFERROR(VLOOKUP(H1758,$AD$1:$AE$301,2,0),"")</f>
        <v>1008266</v>
      </c>
      <c r="G1758" s="147" t="str">
        <f aca="false">IFERROR(VLOOKUP(F1758,$AE$2:$AF$290,2, 0),"")</f>
        <v>تبوك</v>
      </c>
      <c r="H1758" s="212" t="s">
        <v>178</v>
      </c>
      <c r="I1758" s="246" t="n">
        <f aca="false">SUM(K1758:R1758)</f>
        <v>5</v>
      </c>
      <c r="J1758" s="182" t="n">
        <v>45897</v>
      </c>
      <c r="K1758" s="148" t="n">
        <f aca="false">3</f>
        <v>3</v>
      </c>
      <c r="L1758" s="149" t="n">
        <v>1</v>
      </c>
      <c r="Q1758" s="154" t="n">
        <v>1</v>
      </c>
      <c r="S1758" s="192" t="n">
        <f aca="false">(K1758+O1758+Q1758)*24 /1130+(L1758+M1758+P1758+R1758)*12/1130+(N1758*30)/1130</f>
        <v>0.0955752212389381</v>
      </c>
    </row>
    <row r="1759" customFormat="false" ht="15" hidden="true" customHeight="true" outlineLevel="0" collapsed="false">
      <c r="A1759" s="128" t="n">
        <f aca="false">D1759-563.5-65-216.75</f>
        <v>0</v>
      </c>
      <c r="B1759" s="127" t="n">
        <f aca="false">B1758+D1759-C1759</f>
        <v>2006.75</v>
      </c>
      <c r="D1759" s="420" t="n">
        <f aca="false">281.75*3</f>
        <v>845.25</v>
      </c>
      <c r="E1759" s="147" t="n">
        <v>1391</v>
      </c>
      <c r="F1759" s="147" t="n">
        <f aca="false">IFERROR(VLOOKUP(H1759,$AD$1:$AE$301,2,0),"")</f>
        <v>622</v>
      </c>
      <c r="G1759" s="147" t="str">
        <f aca="false">IFERROR(VLOOKUP(F1759,$AE$2:$AF$290,2, 0),"")</f>
        <v>تبوك</v>
      </c>
      <c r="H1759" s="212" t="s">
        <v>177</v>
      </c>
      <c r="I1759" s="246" t="n">
        <f aca="false">SUM(K1759:R1759)</f>
        <v>3</v>
      </c>
      <c r="J1759" s="182" t="n">
        <v>45897</v>
      </c>
      <c r="K1759" s="148" t="n">
        <v>3</v>
      </c>
      <c r="S1759" s="192" t="n">
        <f aca="false">(K1759+O1759+Q1759)*24 /1130+(L1759+M1759+P1759+R1759)*12/1130+(N1759*30)/1130</f>
        <v>0.063716814159292</v>
      </c>
    </row>
    <row r="1760" customFormat="false" ht="15" hidden="true" customHeight="true" outlineLevel="0" collapsed="false">
      <c r="A1760" s="128" t="n">
        <f aca="false">D1760-500-200-550+250</f>
        <v>0.5</v>
      </c>
      <c r="B1760" s="127" t="n">
        <f aca="false">B1759+D1760-C1760</f>
        <v>3007.25</v>
      </c>
      <c r="D1760" s="146" t="n">
        <f aca="false">281.75*3+155.25</f>
        <v>1000.5</v>
      </c>
      <c r="E1760" s="147" t="n">
        <v>1389</v>
      </c>
      <c r="F1760" s="147" t="n">
        <f aca="false">IFERROR(VLOOKUP(H1760,$AD$1:$AE$301,2,0),"")</f>
        <v>946</v>
      </c>
      <c r="G1760" s="147" t="str">
        <f aca="false">IFERROR(VLOOKUP(F1760,$AE$2:$AF$290,2, 0),"")</f>
        <v>تبوك</v>
      </c>
      <c r="H1760" s="212" t="s">
        <v>204</v>
      </c>
      <c r="I1760" s="246" t="n">
        <f aca="false">SUM(K1760:R1760)</f>
        <v>4</v>
      </c>
      <c r="J1760" s="182" t="n">
        <v>45897</v>
      </c>
      <c r="K1760" s="148" t="n">
        <f aca="false">2+1</f>
        <v>3</v>
      </c>
      <c r="R1760" s="155" t="n">
        <v>1</v>
      </c>
      <c r="S1760" s="192" t="n">
        <f aca="false">(K1760+O1760+Q1760)*24 /1130+(L1760+M1760+P1760+R1760)*12/1130+(N1760*30)/1130</f>
        <v>0.0743362831858407</v>
      </c>
    </row>
    <row r="1761" customFormat="false" ht="15" hidden="true" customHeight="true" outlineLevel="0" collapsed="false">
      <c r="A1761" s="128" t="n">
        <f aca="false">D1761-1000-750</f>
        <v>-2</v>
      </c>
      <c r="B1761" s="127" t="n">
        <f aca="false">B1760+D1761-C1761</f>
        <v>4755.25</v>
      </c>
      <c r="D1761" s="146" t="n">
        <f aca="false">291.33*6+0.02</f>
        <v>1748</v>
      </c>
      <c r="E1761" s="147" t="n">
        <v>1388</v>
      </c>
      <c r="F1761" s="147" t="n">
        <f aca="false">IFERROR(VLOOKUP(H1761,$AD$1:$AE$301,2,0),"")</f>
        <v>587</v>
      </c>
      <c r="G1761" s="147" t="str">
        <f aca="false">IFERROR(VLOOKUP(F1761,$AE$2:$AF$290,2, 0),"")</f>
        <v>تبوك</v>
      </c>
      <c r="H1761" s="212" t="s">
        <v>226</v>
      </c>
      <c r="I1761" s="246" t="n">
        <f aca="false">SUM(K1761:R1761)</f>
        <v>6</v>
      </c>
      <c r="J1761" s="182" t="n">
        <v>45897</v>
      </c>
      <c r="N1761" s="151" t="n">
        <v>6</v>
      </c>
      <c r="S1761" s="192" t="n">
        <f aca="false">(K1761+O1761+Q1761)*24 /1130+(L1761+M1761+P1761+R1761)*12/1130+(N1761*30)/1130</f>
        <v>0.15929203539823</v>
      </c>
    </row>
    <row r="1762" customFormat="false" ht="15" hidden="true" customHeight="true" outlineLevel="0" collapsed="false">
      <c r="A1762" s="128" t="n">
        <f aca="false">D1762-90*5-3000-450-27</f>
        <v>0.25</v>
      </c>
      <c r="B1762" s="127" t="n">
        <f aca="false">B1761+D1762-C1762</f>
        <v>8682.5</v>
      </c>
      <c r="D1762" s="146" t="n">
        <f aca="false">253*5+230*5+138+264.5*2+3*281.75</f>
        <v>3927.25</v>
      </c>
      <c r="E1762" s="147" t="n">
        <v>1390</v>
      </c>
      <c r="F1762" s="147" t="n">
        <f aca="false">IFERROR(VLOOKUP(H1762,$AD$1:$AE$301,2,0),"")</f>
        <v>1076</v>
      </c>
      <c r="G1762" s="147" t="str">
        <f aca="false">IFERROR(VLOOKUP(F1762,$AE$2:$AF$290,2, 0),"")</f>
        <v>تبوك</v>
      </c>
      <c r="H1762" s="212" t="s">
        <v>244</v>
      </c>
      <c r="I1762" s="246" t="n">
        <f aca="false">SUM(K1762:R1762)</f>
        <v>16</v>
      </c>
      <c r="J1762" s="182" t="n">
        <v>45897</v>
      </c>
      <c r="K1762" s="148" t="n">
        <v>3</v>
      </c>
      <c r="M1762" s="150" t="n">
        <f aca="false">5+5</f>
        <v>10</v>
      </c>
      <c r="Q1762" s="154" t="n">
        <v>1</v>
      </c>
      <c r="R1762" s="155" t="n">
        <v>2</v>
      </c>
      <c r="S1762" s="192" t="n">
        <f aca="false">(K1762+O1762+Q1762)*24 /1130+(L1762+M1762+P1762+R1762)*12/1130+(N1762*30)/1130</f>
        <v>0.212389380530973</v>
      </c>
    </row>
    <row r="1763" customFormat="false" ht="15" hidden="true" customHeight="true" outlineLevel="0" collapsed="false">
      <c r="A1763" s="128" t="n">
        <f aca="false">D1763-274+282-22*5-950+230</f>
        <v>0.25</v>
      </c>
      <c r="B1763" s="127" t="n">
        <f aca="false">B1762+D1763-C1763</f>
        <v>9504.75</v>
      </c>
      <c r="D1763" s="146" t="n">
        <f aca="false">274*3+0.25</f>
        <v>822.25</v>
      </c>
      <c r="E1763" s="147" t="n">
        <v>1392</v>
      </c>
      <c r="F1763" s="147" t="n">
        <f aca="false">IFERROR(VLOOKUP(H1763,$AD$1:$AE$301,2,0),"")</f>
        <v>1008030</v>
      </c>
      <c r="G1763" s="147" t="str">
        <f aca="false">IFERROR(VLOOKUP(F1763,$AE$2:$AF$290,2, 0),"")</f>
        <v>البير</v>
      </c>
      <c r="H1763" s="212" t="s">
        <v>298</v>
      </c>
      <c r="I1763" s="246" t="n">
        <f aca="false">SUM(K1763:R1763)</f>
        <v>3</v>
      </c>
      <c r="J1763" s="182" t="n">
        <v>45899</v>
      </c>
      <c r="K1763" s="148" t="n">
        <v>1</v>
      </c>
      <c r="N1763" s="151" t="n">
        <v>2</v>
      </c>
      <c r="S1763" s="192" t="n">
        <f aca="false">(K1763+O1763+Q1763)*24 /1130+(L1763+M1763+P1763+R1763)*12/1130+(N1763*30)/1130</f>
        <v>0.0743362831858407</v>
      </c>
    </row>
    <row r="1764" customFormat="false" ht="15" hidden="true" customHeight="true" outlineLevel="0" collapsed="false">
      <c r="A1764" s="128" t="n">
        <f aca="false">D1764+274+282-1000-39</f>
        <v>0</v>
      </c>
      <c r="B1764" s="127" t="n">
        <f aca="false">B1763+D1764-C1764</f>
        <v>9987.75</v>
      </c>
      <c r="D1764" s="146" t="n">
        <f aca="false">241.5*2</f>
        <v>483</v>
      </c>
      <c r="E1764" s="147" t="n">
        <v>1393</v>
      </c>
      <c r="F1764" s="147" t="n">
        <f aca="false">IFERROR(VLOOKUP(H1764,$AD$1:$AE$301,2,0),"")</f>
        <v>1007996</v>
      </c>
      <c r="G1764" s="147" t="str">
        <f aca="false">IFERROR(VLOOKUP(F1764,$AE$2:$AF$290,2, 0),"")</f>
        <v>البير</v>
      </c>
      <c r="H1764" s="212" t="s">
        <v>295</v>
      </c>
      <c r="I1764" s="246" t="n">
        <f aca="false">SUM(K1764:R1764)</f>
        <v>4</v>
      </c>
      <c r="J1764" s="182" t="n">
        <v>45899</v>
      </c>
      <c r="K1764" s="148" t="n">
        <v>1</v>
      </c>
      <c r="N1764" s="151" t="n">
        <v>1</v>
      </c>
      <c r="O1764" s="152" t="n">
        <v>2</v>
      </c>
      <c r="S1764" s="192" t="n">
        <f aca="false">(K1764+O1764+Q1764)*24 /1130+(L1764+M1764+P1764+R1764)*12/1130+(N1764*30)/1130</f>
        <v>0.0902654867256637</v>
      </c>
    </row>
    <row r="1765" customFormat="false" ht="15" hidden="true" customHeight="true" outlineLevel="0" collapsed="false">
      <c r="A1765" s="128" t="n">
        <f aca="false">D1765+345.25-1000+413</f>
        <v>-0.25</v>
      </c>
      <c r="B1765" s="127" t="n">
        <f aca="false">B1764+D1765-C1765</f>
        <v>10229.25</v>
      </c>
      <c r="D1765" s="146" t="n">
        <v>241.5</v>
      </c>
      <c r="E1765" s="147" t="n">
        <v>1394</v>
      </c>
      <c r="F1765" s="147" t="n">
        <f aca="false">IFERROR(VLOOKUP(H1765,$AD$1:$AE$301,2,0),"")</f>
        <v>1007965</v>
      </c>
      <c r="G1765" s="147" t="str">
        <f aca="false">IFERROR(VLOOKUP(F1765,$AE$2:$AF$290,2, 0),"")</f>
        <v>البير</v>
      </c>
      <c r="H1765" s="212" t="s">
        <v>290</v>
      </c>
      <c r="I1765" s="246" t="n">
        <f aca="false">SUM(K1765:R1765)</f>
        <v>1</v>
      </c>
      <c r="J1765" s="182" t="n">
        <v>45899</v>
      </c>
      <c r="Q1765" s="154" t="n">
        <v>1</v>
      </c>
      <c r="S1765" s="192" t="n">
        <f aca="false">(K1765+O1765+Q1765)*24 /1130+(L1765+M1765+P1765+R1765)*12/1130+(N1765*30)/1130</f>
        <v>0.0212389380530973</v>
      </c>
    </row>
    <row r="1766" customFormat="false" ht="15" hidden="true" customHeight="true" outlineLevel="0" collapsed="false">
      <c r="B1766" s="127" t="n">
        <f aca="false">B1765+D1766-C1766</f>
        <v>11557.5</v>
      </c>
      <c r="D1766" s="146" t="n">
        <f aca="false">241.5*2+281.75*3</f>
        <v>1328.25</v>
      </c>
      <c r="E1766" s="147" t="n">
        <v>1395</v>
      </c>
      <c r="F1766" s="147" t="n">
        <f aca="false">IFERROR(VLOOKUP(H1766,$AD$1:$AE$301,2,0),"")</f>
        <v>1008020</v>
      </c>
      <c r="G1766" s="147" t="str">
        <f aca="false">IFERROR(VLOOKUP(F1766,$AE$2:$AF$290,2, 0),"")</f>
        <v>البير</v>
      </c>
      <c r="H1766" s="212" t="s">
        <v>293</v>
      </c>
      <c r="I1766" s="246" t="n">
        <f aca="false">SUM(K1766:R1766)</f>
        <v>5</v>
      </c>
      <c r="J1766" s="182" t="n">
        <v>45899</v>
      </c>
      <c r="K1766" s="148" t="n">
        <v>3</v>
      </c>
      <c r="O1766" s="152" t="n">
        <v>2</v>
      </c>
      <c r="S1766" s="192" t="n">
        <f aca="false">(K1766+O1766+Q1766)*24 /1130+(L1766+M1766+P1766+R1766)*12/1130+(N1766*30)/1130</f>
        <v>0.106194690265487</v>
      </c>
    </row>
    <row r="1767" customFormat="false" ht="15" hidden="true" customHeight="true" outlineLevel="0" collapsed="false">
      <c r="B1767" s="233" t="n">
        <f aca="false">B1766+D1767-C1767</f>
        <v>11712.75</v>
      </c>
      <c r="D1767" s="146" t="n">
        <f aca="false">155.25</f>
        <v>155.25</v>
      </c>
      <c r="E1767" s="147" t="n">
        <v>1396</v>
      </c>
      <c r="F1767" s="147" t="n">
        <f aca="false">IFERROR(VLOOKUP(H1767,$AD$1:$AE$301,2,0),"")</f>
        <v>1008020</v>
      </c>
      <c r="G1767" s="147" t="str">
        <f aca="false">IFERROR(VLOOKUP(F1767,$AE$2:$AF$290,2, 0),"")</f>
        <v>البير</v>
      </c>
      <c r="H1767" s="212" t="s">
        <v>293</v>
      </c>
      <c r="I1767" s="246" t="n">
        <f aca="false">SUM(K1767:R1767)</f>
        <v>1</v>
      </c>
      <c r="J1767" s="182" t="n">
        <v>45899</v>
      </c>
      <c r="R1767" s="155" t="n">
        <v>1</v>
      </c>
      <c r="S1767" s="192" t="n">
        <f aca="false">(K1767+O1767+Q1767)*24 /1130+(L1767+M1767+P1767+R1767)*12/1130+(N1767*30)/1130</f>
        <v>0.0106194690265487</v>
      </c>
    </row>
    <row r="1768" customFormat="false" ht="15" hidden="true" customHeight="true" outlineLevel="0" collapsed="false">
      <c r="A1768" s="128" t="n">
        <f aca="false">D1768-500-670-8.75</f>
        <v>0</v>
      </c>
      <c r="B1768" s="233" t="n">
        <f aca="false">B1767+D1768-C1768</f>
        <v>12891.5</v>
      </c>
      <c r="D1768" s="146" t="n">
        <f aca="false">235.75*5</f>
        <v>1178.75</v>
      </c>
      <c r="E1768" s="147" t="n">
        <v>1397</v>
      </c>
      <c r="F1768" s="147" t="n">
        <f aca="false">IFERROR(VLOOKUP(H1768,$AD$1:$AE$301,2,0),"")</f>
        <v>1007970</v>
      </c>
      <c r="G1768" s="147" t="str">
        <f aca="false">IFERROR(VLOOKUP(F1768,$AE$2:$AF$290,2, 0),"")</f>
        <v>حقل</v>
      </c>
      <c r="H1768" s="212" t="s">
        <v>310</v>
      </c>
      <c r="I1768" s="246" t="n">
        <f aca="false">SUM(K1768:R1768)</f>
        <v>5</v>
      </c>
      <c r="J1768" s="182" t="n">
        <v>45899</v>
      </c>
      <c r="M1768" s="150" t="n">
        <v>5</v>
      </c>
      <c r="S1768" s="192" t="n">
        <f aca="false">(K1768+O1768+Q1768)*24 /1130+(L1768+M1768+P1768+R1768)*12/1130+(N1768*30)/1130</f>
        <v>0.0530973451327434</v>
      </c>
    </row>
    <row r="1769" customFormat="false" ht="15" hidden="true" customHeight="true" outlineLevel="0" collapsed="false">
      <c r="B1769" s="233" t="n">
        <f aca="false">B1768+D1769-C1769</f>
        <v>13736.75</v>
      </c>
      <c r="D1769" s="420" t="n">
        <f aca="false">281.75*3</f>
        <v>845.25</v>
      </c>
      <c r="E1769" s="147" t="n">
        <v>1398</v>
      </c>
      <c r="F1769" s="147" t="n">
        <f aca="false">IFERROR(VLOOKUP(H1769,$AD$1:$AE$301,2,0),"")</f>
        <v>1008003</v>
      </c>
      <c r="G1769" s="147" t="str">
        <f aca="false">IFERROR(VLOOKUP(F1769,$AE$2:$AF$290,2, 0),"")</f>
        <v>حقل</v>
      </c>
      <c r="H1769" s="212" t="s">
        <v>315</v>
      </c>
      <c r="I1769" s="246" t="n">
        <f aca="false">SUM(K1769:R1769)</f>
        <v>3</v>
      </c>
      <c r="J1769" s="182" t="n">
        <v>45899</v>
      </c>
      <c r="K1769" s="148" t="n">
        <v>3</v>
      </c>
      <c r="S1769" s="192" t="n">
        <f aca="false">(K1769+O1769+Q1769)*24 /1130+(L1769+M1769+P1769+R1769)*12/1130+(N1769*30)/1130</f>
        <v>0.063716814159292</v>
      </c>
    </row>
    <row r="1770" customFormat="false" ht="15" hidden="true" customHeight="true" outlineLevel="0" collapsed="false">
      <c r="A1770" s="128" t="n">
        <f aca="false">1500-1500</f>
        <v>0</v>
      </c>
      <c r="B1770" s="233" t="n">
        <f aca="false">B1769+D1770-C1770</f>
        <v>13966.75</v>
      </c>
      <c r="D1770" s="146" t="n">
        <v>230</v>
      </c>
      <c r="E1770" s="147" t="n">
        <v>1399</v>
      </c>
      <c r="F1770" s="147" t="n">
        <f aca="false">IFERROR(VLOOKUP(H1770,$AD$1:$AE$301,2,0),"")</f>
        <v>1008030</v>
      </c>
      <c r="G1770" s="147" t="str">
        <f aca="false">IFERROR(VLOOKUP(F1770,$AE$2:$AF$290,2, 0),"")</f>
        <v>البير</v>
      </c>
      <c r="H1770" s="212" t="s">
        <v>298</v>
      </c>
      <c r="I1770" s="246" t="n">
        <f aca="false">SUM(K1770:R1770)</f>
        <v>1</v>
      </c>
      <c r="J1770" s="182" t="n">
        <v>45899</v>
      </c>
      <c r="M1770" s="150" t="n">
        <v>1</v>
      </c>
      <c r="S1770" s="192" t="n">
        <f aca="false">(K1770+O1770+Q1770)*24 /1130+(L1770+M1770+P1770+R1770)*12/1130+(N1770*30)/1130</f>
        <v>0.0106194690265487</v>
      </c>
    </row>
    <row r="1771" customFormat="false" ht="15" hidden="true" customHeight="true" outlineLevel="0" collapsed="false">
      <c r="A1771" s="128" t="n">
        <f aca="false">D1771-845</f>
        <v>0.25</v>
      </c>
      <c r="B1771" s="233" t="n">
        <f aca="false">B1770+D1771-C1771</f>
        <v>14812</v>
      </c>
      <c r="D1771" s="146" t="n">
        <f aca="false">281.75*3</f>
        <v>845.25</v>
      </c>
      <c r="E1771" s="147" t="n">
        <v>1400</v>
      </c>
      <c r="F1771" s="147" t="n">
        <f aca="false">IFERROR(VLOOKUP(H1771,$AD$1:$AE$301,2,0),"")</f>
        <v>1008261</v>
      </c>
      <c r="G1771" s="147" t="str">
        <f aca="false">IFERROR(VLOOKUP(F1771,$AE$2:$AF$290,2, 0),"")</f>
        <v>تبوك</v>
      </c>
      <c r="H1771" s="212" t="s">
        <v>440</v>
      </c>
      <c r="I1771" s="246" t="n">
        <f aca="false">SUM(K1771:R1771)</f>
        <v>3</v>
      </c>
      <c r="J1771" s="182" t="n">
        <v>45899</v>
      </c>
      <c r="K1771" s="148" t="n">
        <v>3</v>
      </c>
      <c r="S1771" s="192" t="n">
        <f aca="false">(K1771+O1771+Q1771)*24 /1130+(L1771+M1771+P1771+R1771)*12/1130+(N1771*30)/1130</f>
        <v>0.063716814159292</v>
      </c>
    </row>
    <row r="1772" customFormat="false" ht="15" hidden="true" customHeight="true" outlineLevel="0" collapsed="false">
      <c r="A1772" s="128" t="n">
        <f aca="false">D1772+470-719-4*5-150.75-563.5</f>
        <v>0</v>
      </c>
      <c r="B1772" s="233" t="n">
        <f aca="false">B1771+D1772-C1772</f>
        <v>15795.25</v>
      </c>
      <c r="D1772" s="146" t="n">
        <f aca="false">281.75*3+138</f>
        <v>983.25</v>
      </c>
      <c r="E1772" s="147" t="n">
        <v>1401</v>
      </c>
      <c r="F1772" s="147" t="n">
        <f aca="false">IFERROR(VLOOKUP(H1772,$AD$1:$AE$301,2,0),"")</f>
        <v>1002861</v>
      </c>
      <c r="G1772" s="147" t="str">
        <f aca="false">IFERROR(VLOOKUP(F1772,$AE$2:$AF$290,2, 0),"")</f>
        <v>تبوك</v>
      </c>
      <c r="H1772" s="212" t="s">
        <v>275</v>
      </c>
      <c r="I1772" s="246" t="n">
        <f aca="false">SUM(K1772:R1772)</f>
        <v>2</v>
      </c>
      <c r="J1772" s="182" t="n">
        <v>45899</v>
      </c>
      <c r="K1772" s="148" t="n">
        <v>1</v>
      </c>
      <c r="Q1772" s="154" t="n">
        <v>1</v>
      </c>
      <c r="S1772" s="192" t="n">
        <f aca="false">(K1772+O1772+Q1772)*24 /1130+(L1772+M1772+P1772+R1772)*12/1130+(N1772*30)/1130</f>
        <v>0.0424778761061947</v>
      </c>
    </row>
    <row r="1773" customFormat="false" ht="15" hidden="true" customHeight="true" outlineLevel="0" collapsed="false">
      <c r="A1773" s="128" t="n">
        <f aca="false">D1773-78-1000-24*5-2*2-500-38.5-82-180-150-225-145-25-28.5</f>
        <v>0</v>
      </c>
      <c r="B1773" s="233" t="n">
        <f aca="false">B1772+D1773-C1773</f>
        <v>18371.25</v>
      </c>
      <c r="D1773" s="146" t="n">
        <f aca="false">281.75*3+345+138+230+253+235.75+264.5*2</f>
        <v>2576</v>
      </c>
      <c r="E1773" s="147" t="n">
        <v>1402</v>
      </c>
      <c r="F1773" s="147" t="n">
        <f aca="false">IFERROR(VLOOKUP(H1773,$AD$1:$AE$301,2,0),"")</f>
        <v>1002852</v>
      </c>
      <c r="G1773" s="147" t="str">
        <f aca="false">IFERROR(VLOOKUP(F1773,$AE$2:$AF$290,2, 0),"")</f>
        <v>تبوك</v>
      </c>
      <c r="H1773" s="212" t="s">
        <v>159</v>
      </c>
      <c r="I1773" s="246" t="n">
        <f aca="false">SUM(K1773:R1773)</f>
        <v>10</v>
      </c>
      <c r="J1773" s="182" t="n">
        <v>45899</v>
      </c>
      <c r="K1773" s="148" t="n">
        <f aca="false">2+1</f>
        <v>3</v>
      </c>
      <c r="M1773" s="150" t="n">
        <f aca="false">1+1+1</f>
        <v>3</v>
      </c>
      <c r="Q1773" s="154" t="n">
        <v>1</v>
      </c>
      <c r="R1773" s="155" t="n">
        <f aca="false">2+1</f>
        <v>3</v>
      </c>
      <c r="S1773" s="192" t="n">
        <f aca="false">(K1773+O1773+Q1773)*24 /1130+(L1773+M1773+P1773+R1773)*12/1130+(N1773*30)/1130</f>
        <v>0.148672566371681</v>
      </c>
    </row>
    <row r="1774" customFormat="false" ht="15" hidden="true" customHeight="true" outlineLevel="0" collapsed="false">
      <c r="A1774" s="128" t="n">
        <f aca="false">D1774-264+2314-2314+3450-3450</f>
        <v>0.5</v>
      </c>
      <c r="B1774" s="233" t="n">
        <f aca="false">B1773+D1774-C1774</f>
        <v>18635.75</v>
      </c>
      <c r="D1774" s="146" t="n">
        <v>264.5</v>
      </c>
      <c r="E1774" s="147" t="n">
        <v>1403</v>
      </c>
      <c r="F1774" s="147" t="n">
        <f aca="false">IFERROR(VLOOKUP(H1774,$AD$1:$AE$301,2,0),"")</f>
        <v>954</v>
      </c>
      <c r="G1774" s="147" t="str">
        <f aca="false">IFERROR(VLOOKUP(F1774,$AE$2:$AF$290,2, 0),"")</f>
        <v>تبوك</v>
      </c>
      <c r="H1774" s="212" t="s">
        <v>199</v>
      </c>
      <c r="I1774" s="246" t="n">
        <f aca="false">SUM(K1774:R1774)</f>
        <v>1</v>
      </c>
      <c r="J1774" s="182" t="n">
        <v>45899</v>
      </c>
      <c r="R1774" s="155" t="n">
        <f aca="false">1</f>
        <v>1</v>
      </c>
      <c r="S1774" s="192" t="n">
        <f aca="false">(K1774+O1774+Q1774)*24 /1130+(L1774+M1774+P1774+R1774)*12/1130+(N1774*30)/1130</f>
        <v>0.0106194690265487</v>
      </c>
    </row>
    <row r="1775" customFormat="false" ht="15" hidden="true" customHeight="true" outlineLevel="0" collapsed="false">
      <c r="A1775" s="288"/>
      <c r="B1775" s="233" t="n">
        <f aca="false">B1774+D1775-C1775</f>
        <v>16659.75</v>
      </c>
      <c r="C1775" s="127" t="n">
        <f aca="false">1620+356</f>
        <v>1976</v>
      </c>
      <c r="E1775" s="398" t="s">
        <v>662</v>
      </c>
      <c r="F1775" s="147" t="str">
        <f aca="false">IFERROR(VLOOKUP(H1775,$AD$1:$AE$301,2,0),"")</f>
        <v/>
      </c>
      <c r="G1775" s="147" t="str">
        <f aca="false">IFERROR(VLOOKUP(F1775,$AE$2:$AF$290,2, 0),"")</f>
        <v/>
      </c>
      <c r="H1775" s="212" t="s">
        <v>393</v>
      </c>
      <c r="I1775" s="246" t="n">
        <f aca="false">SUM(K1775:R1775)</f>
        <v>0</v>
      </c>
      <c r="J1775" s="182" t="n">
        <v>45899</v>
      </c>
      <c r="S1775" s="192" t="n">
        <f aca="false">(K1775+O1775+Q1775)*24 /1130+(L1775+M1775+P1775+R1775)*12/1130+(N1775*30)/1130</f>
        <v>0</v>
      </c>
    </row>
    <row r="1776" customFormat="false" ht="15" hidden="true" customHeight="true" outlineLevel="0" collapsed="false">
      <c r="A1776" s="288"/>
      <c r="B1776" s="233" t="n">
        <f aca="false">B1775+D1776-C1776</f>
        <v>0.5</v>
      </c>
      <c r="C1776" s="127" t="n">
        <f aca="false">281.75+201.75+20+50+3000+27+2000+39+845+950+1500+150.75+3450+845+485+500+2314</f>
        <v>16659.25</v>
      </c>
      <c r="E1776" s="212" t="s">
        <v>470</v>
      </c>
      <c r="F1776" s="147" t="str">
        <f aca="false">IFERROR(VLOOKUP(H1776,$AD$1:$AE$301,2,0),"")</f>
        <v/>
      </c>
      <c r="G1776" s="147" t="str">
        <f aca="false">IFERROR(VLOOKUP(F1776,$AE$2:$AF$290,2, 0),"")</f>
        <v/>
      </c>
      <c r="H1776" s="212" t="s">
        <v>393</v>
      </c>
      <c r="I1776" s="246" t="n">
        <f aca="false">SUM(K1776:R1776)</f>
        <v>0</v>
      </c>
      <c r="J1776" s="182" t="n">
        <v>45900</v>
      </c>
      <c r="S1776" s="192" t="n">
        <f aca="false">(K1776+O1776+Q1776)*24 /1130+(L1776+M1776+P1776+R1776)*12/1130+(N1776*30)/1130</f>
        <v>0</v>
      </c>
    </row>
    <row r="1777" customFormat="false" ht="15" hidden="true" customHeight="true" outlineLevel="0" collapsed="false">
      <c r="A1777" s="128" t="n">
        <f aca="false">D1777-4*5-825</f>
        <v>0.25</v>
      </c>
      <c r="B1777" s="233" t="n">
        <f aca="false">B1776+D1777-C1777</f>
        <v>845.75</v>
      </c>
      <c r="D1777" s="146" t="n">
        <f aca="false">281.75*3</f>
        <v>845.25</v>
      </c>
      <c r="E1777" s="147" t="n">
        <v>1404</v>
      </c>
      <c r="F1777" s="147" t="n">
        <f aca="false">IFERROR(VLOOKUP(H1777,$AD$1:$AE$301,2,0),"")</f>
        <v>549</v>
      </c>
      <c r="G1777" s="147" t="str">
        <f aca="false">IFERROR(VLOOKUP(F1777,$AE$2:$AF$290,2, 0),"")</f>
        <v>تبوك</v>
      </c>
      <c r="H1777" s="212" t="s">
        <v>238</v>
      </c>
      <c r="I1777" s="246" t="n">
        <f aca="false">SUM(K1777:R1777)</f>
        <v>3</v>
      </c>
      <c r="J1777" s="182" t="n">
        <v>45902</v>
      </c>
      <c r="K1777" s="148" t="n">
        <f aca="false">2+1</f>
        <v>3</v>
      </c>
      <c r="S1777" s="192" t="n">
        <f aca="false">(K1777+O1777+Q1777)*24 /1130+(L1777+M1777+P1777+R1777)*12/1130+(N1777*30)/1130</f>
        <v>0.063716814159292</v>
      </c>
    </row>
    <row r="1778" customFormat="false" ht="15" hidden="true" customHeight="true" outlineLevel="0" collapsed="false">
      <c r="B1778" s="233" t="n">
        <f aca="false">B1777+D1778-C1778</f>
        <v>949.25</v>
      </c>
      <c r="D1778" s="146" t="n">
        <f aca="false">51.75*2</f>
        <v>103.5</v>
      </c>
      <c r="E1778" s="147" t="n">
        <v>1405</v>
      </c>
      <c r="F1778" s="147" t="n">
        <f aca="false">IFERROR(VLOOKUP(H1778,$AD$1:$AE$301,2,0),"")</f>
        <v>945</v>
      </c>
      <c r="G1778" s="147" t="str">
        <f aca="false">IFERROR(VLOOKUP(F1778,$AE$2:$AF$290,2, 0),"")</f>
        <v>تبوك</v>
      </c>
      <c r="H1778" s="212" t="s">
        <v>137</v>
      </c>
      <c r="I1778" s="246" t="n">
        <f aca="false">SUM(K1778:R1778)</f>
        <v>2</v>
      </c>
      <c r="J1778" s="182" t="n">
        <v>45902</v>
      </c>
      <c r="R1778" s="155" t="n">
        <v>2</v>
      </c>
      <c r="S1778" s="192" t="n">
        <f aca="false">(K1778+O1778+Q1778)*24 /1130+(L1778+M1778+P1778+R1778)*12/1130+(N1778*30)/1130</f>
        <v>0.0212389380530973</v>
      </c>
    </row>
    <row r="1779" customFormat="false" ht="15" hidden="true" customHeight="true" outlineLevel="0" collapsed="false">
      <c r="B1779" s="233" t="n">
        <f aca="false">B1778+D1779-C1779</f>
        <v>1524.25</v>
      </c>
      <c r="D1779" s="146" t="n">
        <f aca="false">230+345</f>
        <v>575</v>
      </c>
      <c r="E1779" s="147" t="n">
        <v>1406</v>
      </c>
      <c r="F1779" s="147" t="n">
        <f aca="false">IFERROR(VLOOKUP(H1779,$AD$1:$AE$301,2,0),"")</f>
        <v>721</v>
      </c>
      <c r="G1779" s="147" t="str">
        <f aca="false">IFERROR(VLOOKUP(F1779,$AE$2:$AF$290,2, 0),"")</f>
        <v>تبوك</v>
      </c>
      <c r="H1779" s="398" t="s">
        <v>183</v>
      </c>
      <c r="I1779" s="246" t="n">
        <f aca="false">SUM(K1779:R1779)</f>
        <v>2</v>
      </c>
      <c r="J1779" s="182" t="n">
        <v>45902</v>
      </c>
      <c r="M1779" s="150" t="n">
        <f aca="false">1+1</f>
        <v>2</v>
      </c>
      <c r="S1779" s="192" t="n">
        <f aca="false">(K1779+O1779+Q1779)*24 /1130+(L1779+M1779+P1779+R1779)*12/1130+(N1779*30)/1130</f>
        <v>0.0212389380530973</v>
      </c>
    </row>
    <row r="1780" customFormat="false" ht="15" hidden="true" customHeight="true" outlineLevel="0" collapsed="false">
      <c r="B1780" s="233" t="n">
        <f aca="false">B1779+D1780-C1780</f>
        <v>-274.75</v>
      </c>
      <c r="C1780" s="127" t="n">
        <f aca="false">103+1136+160+400</f>
        <v>1799</v>
      </c>
      <c r="E1780" s="212" t="s">
        <v>470</v>
      </c>
      <c r="F1780" s="147" t="str">
        <f aca="false">IFERROR(VLOOKUP(H1780,$AD$1:$AE$301,2,0),"")</f>
        <v/>
      </c>
      <c r="G1780" s="147" t="str">
        <f aca="false">IFERROR(VLOOKUP(F1780,$AE$2:$AF$290,2, 0),"")</f>
        <v/>
      </c>
      <c r="H1780" s="212" t="s">
        <v>393</v>
      </c>
      <c r="I1780" s="246" t="n">
        <f aca="false">SUM(K1780:R1780)</f>
        <v>0</v>
      </c>
      <c r="J1780" s="182" t="n">
        <v>45902</v>
      </c>
      <c r="S1780" s="192" t="n">
        <f aca="false">(K1780+O1780+Q1780)*24 /1130+(L1780+M1780+P1780+R1780)*12/1130+(N1780*30)/1130</f>
        <v>0</v>
      </c>
    </row>
    <row r="1781" customFormat="false" ht="15" hidden="true" customHeight="true" outlineLevel="0" collapsed="false">
      <c r="B1781" s="233" t="n">
        <f aca="false">B1780+D1781-C1781</f>
        <v>3175.25</v>
      </c>
      <c r="D1781" s="146" t="n">
        <f aca="false">345*10</f>
        <v>3450</v>
      </c>
      <c r="E1781" s="147" t="n">
        <v>1407</v>
      </c>
      <c r="F1781" s="147" t="n">
        <f aca="false">IFERROR(VLOOKUP(H1781,$AD$1:$AE$301,2,0),"")</f>
        <v>1008023</v>
      </c>
      <c r="G1781" s="147" t="str">
        <f aca="false">IFERROR(VLOOKUP(F1781,$AE$2:$AF$290,2, 0),"")</f>
        <v>ضباء</v>
      </c>
      <c r="H1781" s="212" t="s">
        <v>95</v>
      </c>
      <c r="I1781" s="246" t="n">
        <f aca="false">SUM(K1781:R1781)</f>
        <v>10</v>
      </c>
      <c r="J1781" s="182" t="n">
        <v>45903</v>
      </c>
      <c r="M1781" s="150" t="n">
        <v>10</v>
      </c>
      <c r="S1781" s="192" t="n">
        <f aca="false">(K1781+O1781+Q1781)*24 /1130+(L1781+M1781+P1781+R1781)*12/1130+(N1781*30)/1130</f>
        <v>0.106194690265487</v>
      </c>
    </row>
    <row r="1782" customFormat="false" ht="15" hidden="true" customHeight="true" outlineLevel="0" collapsed="false">
      <c r="A1782" s="128" t="n">
        <f aca="false">D1782-5*14-160</f>
        <v>0</v>
      </c>
      <c r="B1782" s="233" t="n">
        <f aca="false">B1781+D1782-C1782</f>
        <v>3405.25</v>
      </c>
      <c r="D1782" s="146" t="n">
        <v>230</v>
      </c>
      <c r="E1782" s="147" t="n">
        <v>1408</v>
      </c>
      <c r="F1782" s="147" t="n">
        <f aca="false">IFERROR(VLOOKUP(H1782,$AD$1:$AE$301,2,0),"")</f>
        <v>1008025</v>
      </c>
      <c r="G1782" s="147" t="str">
        <f aca="false">IFERROR(VLOOKUP(F1782,$AE$2:$AF$290,2, 0),"")</f>
        <v>ضباء</v>
      </c>
      <c r="H1782" s="212" t="s">
        <v>97</v>
      </c>
      <c r="I1782" s="246" t="n">
        <f aca="false">SUM(K1782:R1782)</f>
        <v>1</v>
      </c>
      <c r="J1782" s="182" t="n">
        <v>45903</v>
      </c>
      <c r="M1782" s="150" t="n">
        <v>1</v>
      </c>
      <c r="S1782" s="192" t="n">
        <f aca="false">(K1782+O1782+Q1782)*24 /1130+(L1782+M1782+P1782+R1782)*12/1130+(N1782*30)/1130</f>
        <v>0.0106194690265487</v>
      </c>
    </row>
    <row r="1783" customFormat="false" ht="15" hidden="true" customHeight="true" outlineLevel="0" collapsed="false">
      <c r="B1783" s="233" t="n">
        <f aca="false">B1782+D1783-C1783</f>
        <v>0</v>
      </c>
      <c r="C1783" s="127" t="n">
        <v>3405</v>
      </c>
      <c r="D1783" s="146" t="n">
        <v>-0.25</v>
      </c>
      <c r="E1783" s="212" t="s">
        <v>653</v>
      </c>
      <c r="F1783" s="147" t="str">
        <f aca="false">IFERROR(VLOOKUP(H1783,$AD$1:$AE$301,2,0),"")</f>
        <v/>
      </c>
      <c r="G1783" s="147" t="str">
        <f aca="false">IFERROR(VLOOKUP(F1783,$AE$2:$AF$290,2, 0),"")</f>
        <v/>
      </c>
      <c r="H1783" s="212" t="s">
        <v>393</v>
      </c>
      <c r="I1783" s="246" t="n">
        <f aca="false">SUM(K1783:R1783)</f>
        <v>0</v>
      </c>
      <c r="J1783" s="182" t="n">
        <v>45903</v>
      </c>
      <c r="S1783" s="192" t="n">
        <f aca="false">(K1783+O1783+Q1783)*24 /1130+(L1783+M1783+P1783+R1783)*12/1130+(N1783*30)/1130</f>
        <v>0</v>
      </c>
    </row>
    <row r="1784" customFormat="false" ht="15" hidden="true" customHeight="true" outlineLevel="0" collapsed="false">
      <c r="A1784" s="128" t="n">
        <f aca="false">D1784-1000</f>
        <v>0.5</v>
      </c>
      <c r="B1784" s="233" t="n">
        <f aca="false">B1783+D1784-C1784</f>
        <v>1000.5</v>
      </c>
      <c r="D1784" s="146" t="n">
        <f aca="false">155.25+281.75*3</f>
        <v>1000.5</v>
      </c>
      <c r="E1784" s="147" t="n">
        <v>1409</v>
      </c>
      <c r="F1784" s="147" t="n">
        <f aca="false">IFERROR(VLOOKUP(H1784,$AD$1:$AE$301,2,0),"")</f>
        <v>1008260</v>
      </c>
      <c r="G1784" s="147" t="str">
        <f aca="false">IFERROR(VLOOKUP(F1784,$AE$2:$AF$290,2, 0),"")</f>
        <v>تبوك</v>
      </c>
      <c r="H1784" s="212" t="s">
        <v>184</v>
      </c>
      <c r="I1784" s="246" t="n">
        <f aca="false">SUM(K1784:R1784)</f>
        <v>4</v>
      </c>
      <c r="J1784" s="182" t="n">
        <v>45904</v>
      </c>
      <c r="K1784" s="148" t="n">
        <f aca="false">2+1</f>
        <v>3</v>
      </c>
      <c r="R1784" s="155" t="n">
        <v>1</v>
      </c>
      <c r="S1784" s="192" t="n">
        <f aca="false">(K1784+O1784+Q1784)*24 /1130+(L1784+M1784+P1784+R1784)*12/1130+(N1784*30)/1130</f>
        <v>0.0743362831858407</v>
      </c>
    </row>
    <row r="1785" customFormat="false" ht="15" hidden="true" customHeight="true" outlineLevel="0" collapsed="false">
      <c r="A1785" s="128" t="n">
        <f aca="false">D1785-19*5-8*2-200+58</f>
        <v>0</v>
      </c>
      <c r="B1785" s="233" t="n">
        <f aca="false">B1784+D1785-C1785</f>
        <v>1253.5</v>
      </c>
      <c r="D1785" s="146" t="n">
        <v>253</v>
      </c>
      <c r="E1785" s="147" t="n">
        <v>1410</v>
      </c>
      <c r="F1785" s="147" t="n">
        <f aca="false">IFERROR(VLOOKUP(H1785,$AD$1:$AE$301,2,0),"")</f>
        <v>575</v>
      </c>
      <c r="G1785" s="147" t="str">
        <f aca="false">IFERROR(VLOOKUP(F1785,$AE$2:$AF$290,2, 0),"")</f>
        <v>تبوك</v>
      </c>
      <c r="H1785" s="212" t="s">
        <v>132</v>
      </c>
      <c r="I1785" s="246" t="n">
        <f aca="false">SUM(K1785:R1785)</f>
        <v>1</v>
      </c>
      <c r="J1785" s="182" t="n">
        <v>45904</v>
      </c>
      <c r="M1785" s="150" t="n">
        <v>1</v>
      </c>
      <c r="S1785" s="192" t="n">
        <f aca="false">(K1785+O1785+Q1785)*24 /1130+(L1785+M1785+P1785+R1785)*12/1130+(N1785*30)/1130</f>
        <v>0.0106194690265487</v>
      </c>
    </row>
    <row r="1786" customFormat="false" ht="15" hidden="true" customHeight="true" outlineLevel="0" collapsed="false">
      <c r="B1786" s="233" t="n">
        <f aca="false">B1785+D1786-C1786</f>
        <v>2104.5</v>
      </c>
      <c r="D1786" s="146" t="n">
        <f aca="false">345+253*2</f>
        <v>851</v>
      </c>
      <c r="E1786" s="147" t="n">
        <v>1411</v>
      </c>
      <c r="F1786" s="147" t="n">
        <f aca="false">IFERROR(VLOOKUP(H1786,$AD$1:$AE$301,2,0),"")</f>
        <v>855</v>
      </c>
      <c r="G1786" s="147" t="str">
        <f aca="false">IFERROR(VLOOKUP(F1786,$AE$2:$AF$290,2, 0),"")</f>
        <v>تبوك</v>
      </c>
      <c r="H1786" s="212" t="s">
        <v>141</v>
      </c>
      <c r="I1786" s="246" t="n">
        <f aca="false">SUM(K1786:R1786)</f>
        <v>3</v>
      </c>
      <c r="J1786" s="182" t="n">
        <v>45904</v>
      </c>
      <c r="M1786" s="150" t="n">
        <f aca="false">2+1</f>
        <v>3</v>
      </c>
      <c r="S1786" s="192" t="n">
        <f aca="false">(K1786+O1786+Q1786)*24 /1130+(L1786+M1786+P1786+R1786)*12/1130+(N1786*30)/1130</f>
        <v>0.031858407079646</v>
      </c>
    </row>
    <row r="1787" customFormat="false" ht="15" hidden="true" customHeight="true" outlineLevel="0" collapsed="false">
      <c r="B1787" s="233" t="n">
        <f aca="false">B1786+D1787-C1787</f>
        <v>3432.75</v>
      </c>
      <c r="D1787" s="146" t="n">
        <f aca="false">281.75*3+138+345</f>
        <v>1328.25</v>
      </c>
      <c r="E1787" s="147" t="n">
        <v>1412</v>
      </c>
      <c r="F1787" s="147" t="n">
        <f aca="false">IFERROR(VLOOKUP(H1787,$AD$1:$AE$301,2,0),"")</f>
        <v>983</v>
      </c>
      <c r="G1787" s="147" t="str">
        <f aca="false">IFERROR(VLOOKUP(F1787,$AE$2:$AF$290,2, 0),"")</f>
        <v>تبوك</v>
      </c>
      <c r="H1787" s="212" t="s">
        <v>165</v>
      </c>
      <c r="I1787" s="246" t="n">
        <f aca="false">SUM(K1787:R1787)</f>
        <v>5</v>
      </c>
      <c r="J1787" s="182" t="n">
        <v>45907</v>
      </c>
      <c r="K1787" s="148" t="n">
        <f aca="false">2+1</f>
        <v>3</v>
      </c>
      <c r="M1787" s="150" t="n">
        <v>1</v>
      </c>
      <c r="Q1787" s="154" t="n">
        <v>1</v>
      </c>
      <c r="S1787" s="192" t="n">
        <f aca="false">(K1787+O1787+Q1787)*24 /1130+(L1787+M1787+P1787+R1787)*12/1130+(N1787*30)/1130</f>
        <v>0.0955752212389381</v>
      </c>
    </row>
    <row r="1788" customFormat="false" ht="15" hidden="true" customHeight="true" outlineLevel="0" collapsed="false">
      <c r="A1788" s="128" t="n">
        <f aca="false">D1788-100+1050-1479</f>
        <v>0</v>
      </c>
      <c r="B1788" s="233" t="n">
        <f aca="false">B1787+D1788-C1788</f>
        <v>3961.75</v>
      </c>
      <c r="D1788" s="146" t="n">
        <f aca="false">138*2+253</f>
        <v>529</v>
      </c>
      <c r="E1788" s="147" t="n">
        <v>1413</v>
      </c>
      <c r="F1788" s="147" t="n">
        <f aca="false">IFERROR(VLOOKUP(H1788,$AD$1:$AE$301,2,0),"")</f>
        <v>979</v>
      </c>
      <c r="G1788" s="147" t="str">
        <f aca="false">IFERROR(VLOOKUP(F1788,$AE$2:$AF$290,2, 0),"")</f>
        <v>تبوك</v>
      </c>
      <c r="H1788" s="212" t="s">
        <v>136</v>
      </c>
      <c r="I1788" s="246" t="n">
        <f aca="false">SUM(K1788:R1788)</f>
        <v>3</v>
      </c>
      <c r="J1788" s="182" t="n">
        <v>45907</v>
      </c>
      <c r="M1788" s="150" t="n">
        <v>1</v>
      </c>
      <c r="Q1788" s="154" t="n">
        <f aca="false">2</f>
        <v>2</v>
      </c>
      <c r="S1788" s="192" t="n">
        <f aca="false">(K1788+O1788+Q1788)*24 /1130+(L1788+M1788+P1788+R1788)*12/1130+(N1788*30)/1130</f>
        <v>0.0530973451327434</v>
      </c>
    </row>
    <row r="1789" customFormat="false" ht="15" hidden="true" customHeight="true" outlineLevel="0" collapsed="false">
      <c r="A1789" s="128" t="n">
        <f aca="false">D1789-506</f>
        <v>0</v>
      </c>
      <c r="B1789" s="233" t="n">
        <f aca="false">B1788+D1789-C1789</f>
        <v>4467.75</v>
      </c>
      <c r="D1789" s="146" t="n">
        <f aca="false">253*2</f>
        <v>506</v>
      </c>
      <c r="E1789" s="147" t="n">
        <v>1415</v>
      </c>
      <c r="F1789" s="147" t="n">
        <f aca="false">IFERROR(VLOOKUP(H1789,$AD$1:$AE$301,2,0),"")</f>
        <v>984</v>
      </c>
      <c r="G1789" s="147" t="str">
        <f aca="false">IFERROR(VLOOKUP(F1789,$AE$2:$AF$290,2, 0),"")</f>
        <v>تبوك</v>
      </c>
      <c r="H1789" s="212" t="s">
        <v>131</v>
      </c>
      <c r="I1789" s="246" t="n">
        <f aca="false">SUM(K1789:R1789)</f>
        <v>2</v>
      </c>
      <c r="J1789" s="182" t="n">
        <v>45907</v>
      </c>
      <c r="M1789" s="150" t="n">
        <v>2</v>
      </c>
      <c r="S1789" s="192" t="n">
        <f aca="false">(K1789+O1789+Q1789)*24 /1130+(L1789+M1789+P1789+R1789)*12/1130+(N1789*30)/1130</f>
        <v>0.0212389380530973</v>
      </c>
    </row>
    <row r="1790" customFormat="false" ht="15" hidden="true" customHeight="true" outlineLevel="0" collapsed="false">
      <c r="A1790" s="128" t="n">
        <f aca="false">D1790-210-5*4</f>
        <v>0</v>
      </c>
      <c r="B1790" s="233" t="n">
        <f aca="false">B1789+D1790-C1790</f>
        <v>4697.75</v>
      </c>
      <c r="D1790" s="146" t="n">
        <v>230</v>
      </c>
      <c r="E1790" s="147" t="n">
        <v>1414</v>
      </c>
      <c r="F1790" s="147" t="n">
        <f aca="false">IFERROR(VLOOKUP(H1790,$AD$1:$AE$301,2,0),"")</f>
        <v>549</v>
      </c>
      <c r="G1790" s="147" t="str">
        <f aca="false">IFERROR(VLOOKUP(F1790,$AE$2:$AF$290,2, 0),"")</f>
        <v>تبوك</v>
      </c>
      <c r="H1790" s="212" t="s">
        <v>238</v>
      </c>
      <c r="I1790" s="246" t="n">
        <f aca="false">SUM(K1790:R1790)</f>
        <v>1</v>
      </c>
      <c r="J1790" s="182" t="n">
        <v>45907</v>
      </c>
      <c r="M1790" s="150" t="n">
        <v>1</v>
      </c>
      <c r="S1790" s="192" t="n">
        <f aca="false">(K1790+O1790+Q1790)*24 /1130+(L1790+M1790+P1790+R1790)*12/1130+(N1790*30)/1130</f>
        <v>0.0106194690265487</v>
      </c>
    </row>
    <row r="1791" customFormat="false" ht="15" hidden="true" customHeight="true" outlineLevel="0" collapsed="false">
      <c r="B1791" s="233" t="n">
        <f aca="false">B1790+D1791-C1791</f>
        <v>0.75</v>
      </c>
      <c r="C1791" s="127" t="n">
        <f aca="false">1000+1200+851+1646</f>
        <v>4697</v>
      </c>
      <c r="E1791" s="212" t="s">
        <v>470</v>
      </c>
      <c r="F1791" s="147" t="str">
        <f aca="false">IFERROR(VLOOKUP(H1791,$AD$1:$AE$301,2,0),"")</f>
        <v/>
      </c>
      <c r="G1791" s="147" t="str">
        <f aca="false">IFERROR(VLOOKUP(F1791,$AE$2:$AF$290,2, 0),"")</f>
        <v/>
      </c>
      <c r="H1791" s="212" t="s">
        <v>393</v>
      </c>
      <c r="I1791" s="246" t="n">
        <f aca="false">SUM(K1791:R1791)</f>
        <v>0</v>
      </c>
      <c r="J1791" s="182" t="n">
        <v>45907</v>
      </c>
      <c r="S1791" s="192" t="n">
        <f aca="false">(K1791+O1791+Q1791)*24 /1130+(L1791+M1791+P1791+R1791)*12/1130+(N1791*30)/1130</f>
        <v>0</v>
      </c>
    </row>
    <row r="1792" customFormat="false" ht="15" hidden="true" customHeight="true" outlineLevel="0" collapsed="false">
      <c r="A1792" s="128" t="n">
        <f aca="false">D1792-413-450+17.75</f>
        <v>0</v>
      </c>
      <c r="B1792" s="233" t="n">
        <f aca="false">B1791+D1792-C1792</f>
        <v>846</v>
      </c>
      <c r="D1792" s="146" t="n">
        <f aca="false">281.75*3</f>
        <v>845.25</v>
      </c>
      <c r="E1792" s="147" t="n">
        <v>1416</v>
      </c>
      <c r="F1792" s="147" t="n">
        <f aca="false">IFERROR(VLOOKUP(H1792,$AD$1:$AE$301,2,0),"")</f>
        <v>1007965</v>
      </c>
      <c r="G1792" s="147" t="str">
        <f aca="false">IFERROR(VLOOKUP(F1792,$AE$2:$AF$290,2, 0),"")</f>
        <v>البير</v>
      </c>
      <c r="H1792" s="212" t="s">
        <v>290</v>
      </c>
      <c r="I1792" s="246" t="n">
        <f aca="false">SUM(K1792:R1792)</f>
        <v>3</v>
      </c>
      <c r="J1792" s="182" t="n">
        <v>45908</v>
      </c>
      <c r="K1792" s="148" t="n">
        <v>3</v>
      </c>
      <c r="S1792" s="192" t="n">
        <f aca="false">(K1792+O1792+Q1792)*24 /1130+(L1792+M1792+P1792+R1792)*12/1130+(N1792*30)/1130</f>
        <v>0.063716814159292</v>
      </c>
    </row>
    <row r="1793" customFormat="false" ht="15" hidden="true" customHeight="true" outlineLevel="0" collapsed="false">
      <c r="B1793" s="233" t="n">
        <f aca="false">B1792+D1793-C1793</f>
        <v>1087.5</v>
      </c>
      <c r="D1793" s="146" t="n">
        <v>241.5</v>
      </c>
      <c r="E1793" s="147" t="n">
        <v>1417</v>
      </c>
      <c r="F1793" s="147" t="n">
        <f aca="false">IFERROR(VLOOKUP(H1793,$AD$1:$AE$301,2,0),"")</f>
        <v>1007996</v>
      </c>
      <c r="G1793" s="147" t="str">
        <f aca="false">IFERROR(VLOOKUP(F1793,$AE$2:$AF$290,2, 0),"")</f>
        <v>البير</v>
      </c>
      <c r="H1793" s="212" t="s">
        <v>295</v>
      </c>
      <c r="I1793" s="246" t="n">
        <f aca="false">SUM(K1793:R1793)</f>
        <v>1</v>
      </c>
      <c r="J1793" s="182" t="n">
        <v>45908</v>
      </c>
      <c r="O1793" s="152" t="n">
        <v>1</v>
      </c>
      <c r="S1793" s="192" t="n">
        <f aca="false">(K1793+O1793+Q1793)*24 /1130+(L1793+M1793+P1793+R1793)*12/1130+(N1793*30)/1130</f>
        <v>0.0212389380530973</v>
      </c>
    </row>
    <row r="1794" customFormat="false" ht="15" hidden="true" customHeight="true" outlineLevel="0" collapsed="false">
      <c r="B1794" s="233" t="n">
        <f aca="false">B1793+D1794-C1794</f>
        <v>1283</v>
      </c>
      <c r="D1794" s="146" t="n">
        <v>195.5</v>
      </c>
      <c r="E1794" s="147" t="n">
        <v>1418</v>
      </c>
      <c r="F1794" s="147" t="n">
        <f aca="false">IFERROR(VLOOKUP(H1794,$AD$1:$AE$301,2,0),"")</f>
        <v>1007996</v>
      </c>
      <c r="G1794" s="147" t="str">
        <f aca="false">IFERROR(VLOOKUP(F1794,$AE$2:$AF$290,2, 0),"")</f>
        <v>البير</v>
      </c>
      <c r="H1794" s="212" t="s">
        <v>295</v>
      </c>
      <c r="I1794" s="246" t="n">
        <f aca="false">SUM(K1794:R1794)</f>
        <v>1</v>
      </c>
      <c r="J1794" s="182" t="n">
        <v>45908</v>
      </c>
      <c r="Q1794" s="154" t="n">
        <v>1</v>
      </c>
      <c r="S1794" s="192" t="n">
        <f aca="false">(K1794+O1794+Q1794)*24 /1130+(L1794+M1794+P1794+R1794)*12/1130+(N1794*30)/1130</f>
        <v>0.0212389380530973</v>
      </c>
    </row>
    <row r="1795" customFormat="false" ht="15" hidden="true" customHeight="true" outlineLevel="0" collapsed="false">
      <c r="A1795" s="128" t="n">
        <f aca="false">D1795+D1794+D1793+274+281.75-721-450</f>
        <v>0</v>
      </c>
      <c r="B1795" s="233" t="n">
        <f aca="false">B1794+D1795-C1795</f>
        <v>1461.25</v>
      </c>
      <c r="D1795" s="146" t="n">
        <v>178.25</v>
      </c>
      <c r="E1795" s="147" t="n">
        <v>1419</v>
      </c>
      <c r="F1795" s="147" t="n">
        <f aca="false">IFERROR(VLOOKUP(H1795,$AD$1:$AE$301,2,0),"")</f>
        <v>1007996</v>
      </c>
      <c r="G1795" s="147" t="str">
        <f aca="false">IFERROR(VLOOKUP(F1795,$AE$2:$AF$290,2, 0),"")</f>
        <v>البير</v>
      </c>
      <c r="H1795" s="212" t="s">
        <v>295</v>
      </c>
      <c r="I1795" s="246" t="n">
        <f aca="false">SUM(K1795:R1795)</f>
        <v>1</v>
      </c>
      <c r="J1795" s="182" t="n">
        <v>45908</v>
      </c>
      <c r="L1795" s="149" t="n">
        <v>1</v>
      </c>
      <c r="S1795" s="192" t="n">
        <f aca="false">(K1795+O1795+Q1795)*24 /1130+(L1795+M1795+P1795+R1795)*12/1130+(N1795*30)/1130</f>
        <v>0.0106194690265487</v>
      </c>
    </row>
    <row r="1796" customFormat="false" ht="15" hidden="true" customHeight="true" outlineLevel="0" collapsed="false">
      <c r="A1796" s="128" t="n">
        <f aca="false">D1796-281.75-274-1267</f>
        <v>0</v>
      </c>
      <c r="B1796" s="233" t="n">
        <f aca="false">B1795+D1796-C1796</f>
        <v>3284</v>
      </c>
      <c r="D1796" s="146" t="n">
        <f aca="false">155.5+281.75*3+274*3</f>
        <v>1822.75</v>
      </c>
      <c r="E1796" s="147" t="n">
        <v>1421</v>
      </c>
      <c r="F1796" s="147" t="n">
        <f aca="false">IFERROR(VLOOKUP(H1796,$AD$1:$AE$301,2,0),"")</f>
        <v>1008030</v>
      </c>
      <c r="G1796" s="147" t="str">
        <f aca="false">IFERROR(VLOOKUP(F1796,$AE$2:$AF$290,2, 0),"")</f>
        <v>البير</v>
      </c>
      <c r="H1796" s="212" t="s">
        <v>298</v>
      </c>
      <c r="I1796" s="246" t="n">
        <f aca="false">SUM(K1796:R1796)</f>
        <v>7</v>
      </c>
      <c r="J1796" s="182" t="n">
        <v>45908</v>
      </c>
      <c r="K1796" s="148" t="n">
        <v>3</v>
      </c>
      <c r="N1796" s="151" t="n">
        <f aca="false">2+1</f>
        <v>3</v>
      </c>
      <c r="R1796" s="155" t="n">
        <v>1</v>
      </c>
      <c r="S1796" s="192" t="n">
        <f aca="false">(K1796+O1796+Q1796)*24 /1130+(L1796+M1796+P1796+R1796)*12/1130+(N1796*30)/1130</f>
        <v>0.153982300884956</v>
      </c>
    </row>
    <row r="1797" customFormat="false" ht="15" hidden="true" customHeight="true" outlineLevel="0" collapsed="false">
      <c r="B1797" s="233" t="n">
        <f aca="false">B1796+D1797-C1797</f>
        <v>4388</v>
      </c>
      <c r="D1797" s="146" t="n">
        <f aca="false">155.25*4+241.5+241.5</f>
        <v>1104</v>
      </c>
      <c r="E1797" s="147" t="n">
        <v>1420</v>
      </c>
      <c r="F1797" s="147" t="n">
        <f aca="false">IFERROR(VLOOKUP(H1797,$AD$1:$AE$301,2,0),"")</f>
        <v>1007997</v>
      </c>
      <c r="G1797" s="147" t="str">
        <f aca="false">IFERROR(VLOOKUP(F1797,$AE$2:$AF$290,2, 0),"")</f>
        <v>البير</v>
      </c>
      <c r="H1797" s="212" t="s">
        <v>296</v>
      </c>
      <c r="I1797" s="246" t="n">
        <f aca="false">SUM(K1797:R1797)</f>
        <v>6</v>
      </c>
      <c r="J1797" s="182" t="n">
        <v>45908</v>
      </c>
      <c r="Q1797" s="154" t="n">
        <f aca="false">1+1</f>
        <v>2</v>
      </c>
      <c r="R1797" s="155" t="n">
        <v>4</v>
      </c>
      <c r="S1797" s="192" t="n">
        <f aca="false">(K1797+O1797+Q1797)*24 /1130+(L1797+M1797+P1797+R1797)*12/1130+(N1797*30)/1130</f>
        <v>0.0849557522123894</v>
      </c>
    </row>
    <row r="1798" customFormat="false" ht="15" hidden="true" customHeight="true" outlineLevel="0" collapsed="false">
      <c r="A1798" s="288"/>
      <c r="B1798" s="233" t="n">
        <f aca="false">B1797+D1798-C1798</f>
        <v>2250</v>
      </c>
      <c r="C1798" s="127" t="n">
        <f aca="false">1267+150+700+21</f>
        <v>2138</v>
      </c>
      <c r="E1798" s="212" t="s">
        <v>470</v>
      </c>
      <c r="F1798" s="147" t="str">
        <f aca="false">IFERROR(VLOOKUP(H1798,$AD$1:$AE$301,2,0),"")</f>
        <v/>
      </c>
      <c r="G1798" s="147" t="str">
        <f aca="false">IFERROR(VLOOKUP(F1798,$AE$2:$AF$290,2, 0),"")</f>
        <v/>
      </c>
      <c r="H1798" s="212" t="s">
        <v>393</v>
      </c>
      <c r="I1798" s="246" t="n">
        <f aca="false">SUM(K1798:R1798)</f>
        <v>0</v>
      </c>
      <c r="J1798" s="182" t="n">
        <v>45908</v>
      </c>
      <c r="S1798" s="192" t="n">
        <f aca="false">(K1798+O1798+Q1798)*24 /1130+(L1798+M1798+P1798+R1798)*12/1130+(N1798*30)/1130</f>
        <v>0</v>
      </c>
    </row>
    <row r="1799" customFormat="false" ht="15" hidden="true" customHeight="true" outlineLevel="0" collapsed="false">
      <c r="A1799" s="288"/>
      <c r="B1799" s="233" t="n">
        <f aca="false">B1798+D1799-C1799</f>
        <v>0</v>
      </c>
      <c r="C1799" s="127" t="n">
        <v>2250</v>
      </c>
      <c r="E1799" s="212" t="s">
        <v>653</v>
      </c>
      <c r="F1799" s="147" t="str">
        <f aca="false">IFERROR(VLOOKUP(H1799,$AD$1:$AE$301,2,0),"")</f>
        <v/>
      </c>
      <c r="G1799" s="147" t="str">
        <f aca="false">IFERROR(VLOOKUP(F1799,$AE$2:$AF$290,2, 0),"")</f>
        <v/>
      </c>
      <c r="H1799" s="212" t="s">
        <v>393</v>
      </c>
      <c r="I1799" s="246" t="n">
        <f aca="false">SUM(K1799:R1799)</f>
        <v>0</v>
      </c>
      <c r="J1799" s="182" t="n">
        <v>45908</v>
      </c>
      <c r="S1799" s="192" t="n">
        <f aca="false">(K1799+O1799+Q1799)*24 /1130+(L1799+M1799+P1799+R1799)*12/1130+(N1799*30)/1130</f>
        <v>0</v>
      </c>
    </row>
    <row r="1800" customFormat="false" ht="15" hidden="true" customHeight="true" outlineLevel="0" collapsed="false">
      <c r="A1800" s="128" t="n">
        <f aca="false">D1800-520+205+4.5</f>
        <v>0</v>
      </c>
      <c r="B1800" s="233" t="n">
        <f aca="false">B1799+D1800-C1800</f>
        <v>310.5</v>
      </c>
      <c r="D1800" s="146" t="n">
        <f aca="false">155.25*2</f>
        <v>310.5</v>
      </c>
      <c r="E1800" s="147" t="n">
        <v>1422</v>
      </c>
      <c r="F1800" s="147" t="n">
        <f aca="false">IFERROR(VLOOKUP(H1800,$AD$1:$AE$301,2,0),"")</f>
        <v>587</v>
      </c>
      <c r="G1800" s="147" t="str">
        <f aca="false">IFERROR(VLOOKUP(F1800,$AE$2:$AF$290,2, 0),"")</f>
        <v>تبوك</v>
      </c>
      <c r="H1800" s="212" t="s">
        <v>226</v>
      </c>
      <c r="I1800" s="246" t="n">
        <f aca="false">SUM(K1800:R1800)</f>
        <v>2</v>
      </c>
      <c r="J1800" s="182" t="n">
        <v>45909</v>
      </c>
      <c r="R1800" s="155" t="n">
        <v>2</v>
      </c>
      <c r="S1800" s="192" t="n">
        <f aca="false">(K1800+O1800+Q1800)*24 /1130+(L1800+M1800+P1800+R1800)*12/1130+(N1800*30)/1130</f>
        <v>0.0212389380530973</v>
      </c>
    </row>
    <row r="1801" customFormat="false" ht="15" hidden="true" customHeight="true" outlineLevel="0" collapsed="false">
      <c r="A1801" s="128" t="n">
        <f aca="false">D1801-550+300</f>
        <v>3</v>
      </c>
      <c r="B1801" s="233" t="n">
        <f aca="false">B1800+D1801-C1801</f>
        <v>563.5</v>
      </c>
      <c r="D1801" s="146" t="n">
        <v>253</v>
      </c>
      <c r="E1801" s="147" t="n">
        <v>1423</v>
      </c>
      <c r="F1801" s="147" t="n">
        <f aca="false">IFERROR(VLOOKUP(H1801,$AD$1:$AE$301,2,0),"")</f>
        <v>946</v>
      </c>
      <c r="G1801" s="147" t="str">
        <f aca="false">IFERROR(VLOOKUP(F1801,$AE$2:$AF$290,2, 0),"")</f>
        <v>تبوك</v>
      </c>
      <c r="H1801" s="212" t="s">
        <v>204</v>
      </c>
      <c r="I1801" s="246" t="n">
        <f aca="false">SUM(K1801:R1801)</f>
        <v>1</v>
      </c>
      <c r="J1801" s="182" t="n">
        <v>45909</v>
      </c>
      <c r="M1801" s="150" t="n">
        <v>1</v>
      </c>
      <c r="S1801" s="192" t="n">
        <f aca="false">(K1801+O1801+Q1801)*24 /1130+(L1801+M1801+P1801+R1801)*12/1130+(N1801*30)/1130</f>
        <v>0.0106194690265487</v>
      </c>
    </row>
    <row r="1802" customFormat="false" ht="15" hidden="true" customHeight="true" outlineLevel="0" collapsed="false">
      <c r="B1802" s="233" t="n">
        <f aca="false">B1801+D1802-C1802</f>
        <v>0</v>
      </c>
      <c r="C1802" s="127" t="n">
        <f aca="false">500+63</f>
        <v>563</v>
      </c>
      <c r="D1802" s="146" t="n">
        <v>-0.5</v>
      </c>
      <c r="E1802" s="212" t="s">
        <v>470</v>
      </c>
      <c r="F1802" s="147" t="str">
        <f aca="false">IFERROR(VLOOKUP(H1802,$AD$1:$AE$301,2,0),"")</f>
        <v/>
      </c>
      <c r="G1802" s="147" t="str">
        <f aca="false">IFERROR(VLOOKUP(F1802,$AE$2:$AF$290,2, 0),"")</f>
        <v/>
      </c>
      <c r="H1802" s="212" t="s">
        <v>393</v>
      </c>
      <c r="I1802" s="246" t="n">
        <f aca="false">SUM(K1802:R1802)</f>
        <v>0</v>
      </c>
      <c r="J1802" s="182" t="n">
        <v>45910</v>
      </c>
      <c r="S1802" s="192" t="n">
        <f aca="false">(K1802+O1802+Q1802)*24 /1130+(L1802+M1802+P1802+R1802)*12/1130+(N1802*30)/1130</f>
        <v>0</v>
      </c>
    </row>
    <row r="1803" customFormat="false" ht="15" hidden="true" customHeight="true" outlineLevel="0" collapsed="false">
      <c r="B1803" s="233" t="n">
        <f aca="false">B1802+D1803-C1803</f>
        <v>845.25</v>
      </c>
      <c r="D1803" s="146" t="n">
        <f aca="false">281.75*3</f>
        <v>845.25</v>
      </c>
      <c r="E1803" s="147" t="n">
        <v>1425</v>
      </c>
      <c r="F1803" s="147" t="n">
        <f aca="false">IFERROR(VLOOKUP(H1803,$AD$1:$AE$301,2,0),"")</f>
        <v>1008275</v>
      </c>
      <c r="G1803" s="147" t="str">
        <f aca="false">IFERROR(VLOOKUP(F1803,$AE$2:$AF$290,2, 0),"")</f>
        <v>تبوك</v>
      </c>
      <c r="H1803" s="212" t="s">
        <v>179</v>
      </c>
      <c r="I1803" s="246" t="n">
        <f aca="false">SUM(K1803:R1803)</f>
        <v>3</v>
      </c>
      <c r="J1803" s="182" t="n">
        <v>45910</v>
      </c>
      <c r="K1803" s="148" t="n">
        <v>3</v>
      </c>
      <c r="S1803" s="192" t="n">
        <f aca="false">(K1803+O1803+Q1803)*24 /1130+(L1803+M1803+P1803+R1803)*12/1130+(N1803*30)/1130</f>
        <v>0.063716814159292</v>
      </c>
    </row>
    <row r="1804" customFormat="false" ht="15" hidden="true" customHeight="true" outlineLevel="0" collapsed="false">
      <c r="A1804" s="128" t="n">
        <f aca="false">D1804-1466</f>
        <v>0.25</v>
      </c>
      <c r="B1804" s="233" t="n">
        <f aca="false">B1803+D1804-C1804</f>
        <v>2311.5</v>
      </c>
      <c r="D1804" s="146" t="n">
        <f aca="false">155.25*5+138*5</f>
        <v>1466.25</v>
      </c>
      <c r="E1804" s="147" t="n">
        <v>1424</v>
      </c>
      <c r="F1804" s="147" t="n">
        <f aca="false">IFERROR(VLOOKUP(H1804,$AD$1:$AE$301,2,0),"")</f>
        <v>1006470</v>
      </c>
      <c r="G1804" s="147" t="str">
        <f aca="false">IFERROR(VLOOKUP(F1804,$AE$2:$AF$290,2, 0),"")</f>
        <v>تبوك</v>
      </c>
      <c r="H1804" s="212" t="s">
        <v>276</v>
      </c>
      <c r="I1804" s="246" t="n">
        <f aca="false">SUM(K1804:R1804)</f>
        <v>10</v>
      </c>
      <c r="J1804" s="182" t="n">
        <v>45910</v>
      </c>
      <c r="Q1804" s="154" t="n">
        <v>5</v>
      </c>
      <c r="R1804" s="155" t="n">
        <v>5</v>
      </c>
      <c r="S1804" s="192" t="n">
        <f aca="false">(K1804+O1804+Q1804)*24 /1130+(L1804+M1804+P1804+R1804)*12/1130+(N1804*30)/1130</f>
        <v>0.15929203539823</v>
      </c>
    </row>
    <row r="1805" customFormat="false" ht="15" hidden="true" customHeight="true" outlineLevel="0" collapsed="false">
      <c r="B1805" s="233" t="n">
        <f aca="false">B1804+D1805-C1805</f>
        <v>2610.5</v>
      </c>
      <c r="D1805" s="146" t="n">
        <v>299</v>
      </c>
      <c r="E1805" s="147" t="n">
        <v>1426</v>
      </c>
      <c r="F1805" s="147" t="n">
        <f aca="false">IFERROR(VLOOKUP(H1805,$AD$1:$AE$301,2,0),"")</f>
        <v>1008261</v>
      </c>
      <c r="G1805" s="147" t="str">
        <f aca="false">IFERROR(VLOOKUP(F1805,$AE$2:$AF$290,2, 0),"")</f>
        <v>تبوك</v>
      </c>
      <c r="H1805" s="212" t="s">
        <v>440</v>
      </c>
      <c r="I1805" s="246" t="n">
        <f aca="false">SUM(K1805:R1805)</f>
        <v>1</v>
      </c>
      <c r="J1805" s="182" t="n">
        <v>45910</v>
      </c>
      <c r="R1805" s="155" t="n">
        <v>1</v>
      </c>
      <c r="S1805" s="192" t="n">
        <f aca="false">(K1805+O1805+Q1805)*24 /1130+(L1805+M1805+P1805+R1805)*12/1130+(N1805*30)/1130</f>
        <v>0.0106194690265487</v>
      </c>
    </row>
    <row r="1806" customFormat="false" ht="15" hidden="true" customHeight="true" outlineLevel="0" collapsed="false">
      <c r="A1806" s="128" t="n">
        <f aca="false">D1806-300-1000-383-403+102.25</f>
        <v>0</v>
      </c>
      <c r="B1806" s="233" t="n">
        <f aca="false">B1805+D1806-C1806</f>
        <v>4594.25</v>
      </c>
      <c r="D1806" s="146" t="n">
        <f aca="false">51.75*2+241.5*2+281.75*3+253+299</f>
        <v>1983.75</v>
      </c>
      <c r="E1806" s="147" t="n">
        <v>1427</v>
      </c>
      <c r="F1806" s="147" t="n">
        <f aca="false">IFERROR(VLOOKUP(H1806,$AD$1:$AE$301,2,0),"")</f>
        <v>636</v>
      </c>
      <c r="G1806" s="147" t="str">
        <f aca="false">IFERROR(VLOOKUP(F1806,$AE$2:$AF$290,2, 0),"")</f>
        <v>تبوك</v>
      </c>
      <c r="H1806" s="212" t="s">
        <v>134</v>
      </c>
      <c r="I1806" s="246" t="n">
        <f aca="false">SUM(K1806:R1806)</f>
        <v>9</v>
      </c>
      <c r="J1806" s="182" t="n">
        <v>45910</v>
      </c>
      <c r="K1806" s="148" t="n">
        <v>3</v>
      </c>
      <c r="M1806" s="150" t="n">
        <v>1</v>
      </c>
      <c r="O1806" s="152" t="n">
        <f aca="false">1+1</f>
        <v>2</v>
      </c>
      <c r="R1806" s="155" t="n">
        <f aca="false">2+1</f>
        <v>3</v>
      </c>
      <c r="S1806" s="192" t="n">
        <f aca="false">(K1806+O1806+Q1806)*24 /1130+(L1806+M1806+P1806+R1806)*12/1130+(N1806*30)/1130</f>
        <v>0.148672566371681</v>
      </c>
    </row>
    <row r="1807" customFormat="false" ht="15" hidden="true" customHeight="true" outlineLevel="0" collapsed="false">
      <c r="B1807" s="233" t="n">
        <f aca="false">B1806+D1807-C1807</f>
        <v>2228.25</v>
      </c>
      <c r="C1807" s="127" t="n">
        <f aca="false">577+245+54+1479+11</f>
        <v>2366</v>
      </c>
      <c r="E1807" s="212" t="s">
        <v>470</v>
      </c>
      <c r="F1807" s="147" t="str">
        <f aca="false">IFERROR(VLOOKUP(H1807,$AD$1:$AE$301,2,0),"")</f>
        <v/>
      </c>
      <c r="G1807" s="147" t="str">
        <f aca="false">IFERROR(VLOOKUP(F1807,$AE$2:$AF$290,2, 0),"")</f>
        <v/>
      </c>
      <c r="H1807" s="212" t="s">
        <v>393</v>
      </c>
      <c r="I1807" s="246" t="n">
        <f aca="false">SUM(K1807:R1807)</f>
        <v>0</v>
      </c>
      <c r="J1807" s="182" t="n">
        <v>45910</v>
      </c>
      <c r="S1807" s="192" t="n">
        <f aca="false">(K1807+O1807+Q1807)*24 /1130+(L1807+M1807+P1807+R1807)*12/1130+(N1807*30)/1130</f>
        <v>0</v>
      </c>
    </row>
    <row r="1808" customFormat="false" ht="15" hidden="true" customHeight="true" outlineLevel="0" collapsed="false">
      <c r="B1808" s="233" t="n">
        <f aca="false">B1807+D1808-C1808</f>
        <v>0</v>
      </c>
      <c r="C1808" s="127" t="n">
        <f aca="false">845+1000+383</f>
        <v>2228</v>
      </c>
      <c r="D1808" s="146" t="n">
        <v>-0.25</v>
      </c>
      <c r="E1808" s="212" t="s">
        <v>662</v>
      </c>
      <c r="F1808" s="147" t="str">
        <f aca="false">IFERROR(VLOOKUP(H1808,$AD$1:$AE$301,2,0),"")</f>
        <v/>
      </c>
      <c r="G1808" s="147" t="str">
        <f aca="false">IFERROR(VLOOKUP(F1808,$AE$2:$AF$290,2, 0),"")</f>
        <v/>
      </c>
      <c r="H1808" s="212" t="s">
        <v>393</v>
      </c>
      <c r="I1808" s="246" t="n">
        <f aca="false">SUM(K1808:R1808)</f>
        <v>0</v>
      </c>
      <c r="J1808" s="182" t="n">
        <v>45911</v>
      </c>
      <c r="S1808" s="192" t="n">
        <f aca="false">(K1808+O1808+Q1808)*24 /1130+(L1808+M1808+P1808+R1808)*12/1130+(N1808*30)/1130</f>
        <v>0</v>
      </c>
    </row>
    <row r="1809" customFormat="false" ht="15" hidden="true" customHeight="true" outlineLevel="0" collapsed="false">
      <c r="A1809" s="128" t="n">
        <f aca="false">D1809-281.75-281.75-281.75</f>
        <v>0</v>
      </c>
      <c r="B1809" s="233" t="n">
        <f aca="false">B1808+D1809-C1809</f>
        <v>845.25</v>
      </c>
      <c r="D1809" s="146" t="n">
        <f aca="false">281.75*3</f>
        <v>845.25</v>
      </c>
      <c r="E1809" s="147" t="n">
        <v>1428</v>
      </c>
      <c r="F1809" s="147" t="n">
        <f aca="false">IFERROR(VLOOKUP(H1809,$AD$1:$AE$301,2,0),"")</f>
        <v>555</v>
      </c>
      <c r="G1809" s="147" t="str">
        <f aca="false">IFERROR(VLOOKUP(F1809,$AE$2:$AF$290,2, 0),"")</f>
        <v>تبوك</v>
      </c>
      <c r="H1809" s="212" t="s">
        <v>260</v>
      </c>
      <c r="I1809" s="246" t="n">
        <f aca="false">SUM(K1809:R1809)</f>
        <v>3</v>
      </c>
      <c r="J1809" s="182" t="n">
        <v>45911</v>
      </c>
      <c r="K1809" s="148" t="n">
        <f aca="false">2+1</f>
        <v>3</v>
      </c>
      <c r="S1809" s="192" t="n">
        <f aca="false">(K1809+O1809+Q1809)*24 /1130+(L1809+M1809+P1809+R1809)*12/1130+(N1809*30)/1130</f>
        <v>0.063716814159292</v>
      </c>
    </row>
    <row r="1810" customFormat="false" ht="15" hidden="true" customHeight="true" outlineLevel="0" collapsed="false">
      <c r="A1810" s="128" t="n">
        <f aca="false">D1810-310.5</f>
        <v>0</v>
      </c>
      <c r="B1810" s="233" t="n">
        <f aca="false">B1809+D1810-C1810</f>
        <v>1155.75</v>
      </c>
      <c r="D1810" s="146" t="n">
        <f aca="false">155.25*2</f>
        <v>310.5</v>
      </c>
      <c r="E1810" s="147" t="n">
        <v>1429</v>
      </c>
      <c r="F1810" s="147" t="n">
        <f aca="false">IFERROR(VLOOKUP(H1810,$AD$1:$AE$301,2,0),"")</f>
        <v>653</v>
      </c>
      <c r="G1810" s="147" t="str">
        <f aca="false">IFERROR(VLOOKUP(F1810,$AE$2:$AF$290,2, 0),"")</f>
        <v>تبوك</v>
      </c>
      <c r="H1810" s="212" t="s">
        <v>264</v>
      </c>
      <c r="I1810" s="246" t="n">
        <f aca="false">SUM(K1810:R1810)</f>
        <v>2</v>
      </c>
      <c r="J1810" s="182" t="n">
        <v>45911</v>
      </c>
      <c r="R1810" s="155" t="n">
        <v>2</v>
      </c>
      <c r="S1810" s="192" t="n">
        <f aca="false">(K1810+O1810+Q1810)*24 /1130+(L1810+M1810+P1810+R1810)*12/1130+(N1810*30)/1130</f>
        <v>0.0212389380530973</v>
      </c>
    </row>
    <row r="1811" customFormat="false" ht="15" hidden="true" customHeight="true" outlineLevel="0" collapsed="false">
      <c r="A1811" s="128" t="n">
        <f aca="false">D1811+281.75-280-138</f>
        <v>1.75</v>
      </c>
      <c r="B1811" s="233" t="n">
        <f aca="false">B1810+D1811-C1811</f>
        <v>1293.75</v>
      </c>
      <c r="D1811" s="146" t="n">
        <v>138</v>
      </c>
      <c r="E1811" s="147" t="s">
        <v>665</v>
      </c>
      <c r="F1811" s="147" t="n">
        <f aca="false">IFERROR(VLOOKUP(H1811,$AD$1:$AE$301,2,0),"")</f>
        <v>1008277</v>
      </c>
      <c r="G1811" s="147" t="str">
        <f aca="false">IFERROR(VLOOKUP(F1811,$AE$2:$AF$290,2, 0),"")</f>
        <v>تبوك</v>
      </c>
      <c r="H1811" s="212" t="s">
        <v>233</v>
      </c>
      <c r="I1811" s="246" t="n">
        <f aca="false">SUM(K1811:R1811)</f>
        <v>1</v>
      </c>
      <c r="J1811" s="182" t="n">
        <v>45911</v>
      </c>
      <c r="Q1811" s="154" t="n">
        <v>1</v>
      </c>
      <c r="S1811" s="192" t="n">
        <f aca="false">(K1811+O1811+Q1811)*24 /1130+(L1811+M1811+P1811+R1811)*12/1130+(N1811*30)/1130</f>
        <v>0.0212389380530973</v>
      </c>
    </row>
    <row r="1812" customFormat="false" ht="15" hidden="true" customHeight="true" outlineLevel="0" collapsed="false">
      <c r="B1812" s="233" t="n">
        <f aca="false">B1811+D1812-C1812</f>
        <v>1431.75</v>
      </c>
      <c r="D1812" s="146" t="n">
        <v>138</v>
      </c>
      <c r="E1812" s="147" t="n">
        <v>1431</v>
      </c>
      <c r="F1812" s="147" t="n">
        <f aca="false">IFERROR(VLOOKUP(H1812,$AD$1:$AE$301,2,0),"")</f>
        <v>1007976</v>
      </c>
      <c r="G1812" s="147" t="str">
        <f aca="false">IFERROR(VLOOKUP(F1812,$AE$2:$AF$290,2, 0),"")</f>
        <v>ضباء</v>
      </c>
      <c r="H1812" s="212" t="s">
        <v>77</v>
      </c>
      <c r="I1812" s="246" t="n">
        <f aca="false">SUM(K1812:R1812)</f>
        <v>1</v>
      </c>
      <c r="J1812" s="182" t="n">
        <v>45914</v>
      </c>
      <c r="Q1812" s="154" t="n">
        <v>1</v>
      </c>
      <c r="S1812" s="192" t="n">
        <f aca="false">(K1812+O1812+Q1812)*24 /1130+(L1812+M1812+P1812+R1812)*12/1130+(N1812*30)/1130</f>
        <v>0.0212389380530973</v>
      </c>
    </row>
    <row r="1813" customFormat="false" ht="15" hidden="true" customHeight="true" outlineLevel="0" collapsed="false">
      <c r="B1813" s="233" t="n">
        <f aca="false">B1812+D1813-C1813</f>
        <v>3260.25</v>
      </c>
      <c r="D1813" s="146" t="n">
        <f aca="false">281.75*3+235.75+253+195.5+299</f>
        <v>1828.5</v>
      </c>
      <c r="E1813" s="147" t="n">
        <v>1432</v>
      </c>
      <c r="F1813" s="147" t="n">
        <f aca="false">IFERROR(VLOOKUP(H1813,$AD$1:$AE$301,2,0),"")</f>
        <v>1008023</v>
      </c>
      <c r="G1813" s="147" t="str">
        <f aca="false">IFERROR(VLOOKUP(F1813,$AE$2:$AF$290,2, 0),"")</f>
        <v>ضباء</v>
      </c>
      <c r="H1813" s="212" t="s">
        <v>95</v>
      </c>
      <c r="I1813" s="246" t="n">
        <f aca="false">SUM(K1813:R1813)</f>
        <v>7</v>
      </c>
      <c r="J1813" s="182" t="n">
        <v>45914</v>
      </c>
      <c r="K1813" s="148" t="n">
        <v>3</v>
      </c>
      <c r="M1813" s="150" t="n">
        <f aca="false">1+1</f>
        <v>2</v>
      </c>
      <c r="Q1813" s="154" t="n">
        <v>1</v>
      </c>
      <c r="R1813" s="155" t="n">
        <v>1</v>
      </c>
      <c r="S1813" s="192" t="n">
        <f aca="false">(K1813+O1813+Q1813)*24 /1130+(L1813+M1813+P1813+R1813)*12/1130+(N1813*30)/1130</f>
        <v>0.116814159292035</v>
      </c>
    </row>
    <row r="1814" customFormat="false" ht="15" hidden="true" customHeight="true" outlineLevel="0" collapsed="false">
      <c r="B1814" s="233" t="n">
        <f aca="false">B1813+D1814-C1814</f>
        <v>4335.5</v>
      </c>
      <c r="D1814" s="146" t="n">
        <f aca="false">281.75*3+230</f>
        <v>1075.25</v>
      </c>
      <c r="E1814" s="147" t="n">
        <v>1433</v>
      </c>
      <c r="F1814" s="147" t="n">
        <f aca="false">IFERROR(VLOOKUP(H1814,$AD$1:$AE$301,2,0),"")</f>
        <v>1008024</v>
      </c>
      <c r="G1814" s="147" t="str">
        <f aca="false">IFERROR(VLOOKUP(F1814,$AE$2:$AF$290,2, 0),"")</f>
        <v>ضباء</v>
      </c>
      <c r="H1814" s="212" t="s">
        <v>96</v>
      </c>
      <c r="I1814" s="246" t="n">
        <f aca="false">SUM(K1814:R1814)</f>
        <v>4</v>
      </c>
      <c r="J1814" s="182" t="n">
        <v>45914</v>
      </c>
      <c r="K1814" s="148" t="n">
        <f aca="false">2+1</f>
        <v>3</v>
      </c>
      <c r="M1814" s="150" t="n">
        <v>1</v>
      </c>
      <c r="S1814" s="192" t="n">
        <f aca="false">(K1814+O1814+Q1814)*24 /1130+(L1814+M1814+P1814+R1814)*12/1130+(N1814*30)/1130</f>
        <v>0.0743362831858407</v>
      </c>
    </row>
    <row r="1815" customFormat="false" ht="15" hidden="true" customHeight="true" outlineLevel="0" collapsed="false">
      <c r="A1815" s="128" t="n">
        <f aca="false">D1815+274+840-1007-400</f>
        <v>0.25</v>
      </c>
      <c r="B1815" s="233" t="n">
        <f aca="false">B1814+D1815-C1815</f>
        <v>4628.75</v>
      </c>
      <c r="D1815" s="146" t="n">
        <f aca="false">155.25+138</f>
        <v>293.25</v>
      </c>
      <c r="E1815" s="147" t="n">
        <v>1434</v>
      </c>
      <c r="F1815" s="147" t="n">
        <f aca="false">IFERROR(VLOOKUP(H1815,$AD$1:$AE$301,2,0),"")</f>
        <v>656</v>
      </c>
      <c r="G1815" s="147" t="str">
        <f aca="false">IFERROR(VLOOKUP(F1815,$AE$2:$AF$290,2, 0),"")</f>
        <v>الوجه</v>
      </c>
      <c r="H1815" s="212" t="s">
        <v>115</v>
      </c>
      <c r="I1815" s="246" t="n">
        <f aca="false">SUM(K1815:R1815)</f>
        <v>2</v>
      </c>
      <c r="J1815" s="182" t="n">
        <v>45914</v>
      </c>
      <c r="Q1815" s="154" t="n">
        <v>1</v>
      </c>
      <c r="R1815" s="155" t="n">
        <v>1</v>
      </c>
      <c r="S1815" s="192" t="n">
        <f aca="false">(K1815+O1815+Q1815)*24 /1130+(L1815+M1815+P1815+R1815)*12/1130+(N1815*30)/1130</f>
        <v>0.031858407079646</v>
      </c>
    </row>
    <row r="1816" customFormat="false" ht="15" hidden="true" customHeight="true" outlineLevel="0" collapsed="false">
      <c r="B1816" s="233" t="n">
        <f aca="false">B1815+D1816-C1816</f>
        <v>4858.75</v>
      </c>
      <c r="D1816" s="146" t="n">
        <v>230</v>
      </c>
      <c r="E1816" s="147" t="n">
        <v>1435</v>
      </c>
      <c r="F1816" s="147" t="n">
        <f aca="false">IFERROR(VLOOKUP(H1816,$AD$1:$AE$301,2,0),"")</f>
        <v>1008043</v>
      </c>
      <c r="G1816" s="147" t="str">
        <f aca="false">IFERROR(VLOOKUP(F1816,$AE$2:$AF$290,2, 0),"")</f>
        <v>الوجه</v>
      </c>
      <c r="H1816" s="212" t="s">
        <v>104</v>
      </c>
      <c r="I1816" s="246" t="n">
        <f aca="false">SUM(K1816:R1816)</f>
        <v>1</v>
      </c>
      <c r="J1816" s="182" t="n">
        <v>45914</v>
      </c>
      <c r="M1816" s="150" t="n">
        <v>1</v>
      </c>
      <c r="S1816" s="192" t="n">
        <f aca="false">(K1816+O1816+Q1816)*24 /1130+(L1816+M1816+P1816+R1816)*12/1130+(N1816*30)/1130</f>
        <v>0.0106194690265487</v>
      </c>
    </row>
    <row r="1817" customFormat="false" ht="15" hidden="true" customHeight="true" outlineLevel="0" collapsed="false">
      <c r="B1817" s="233" t="n">
        <f aca="false">B1816+D1817-C1817</f>
        <v>4996.75</v>
      </c>
      <c r="D1817" s="146" t="n">
        <v>138</v>
      </c>
      <c r="E1817" s="147" t="n">
        <v>1436</v>
      </c>
      <c r="F1817" s="147" t="n">
        <f aca="false">IFERROR(VLOOKUP(H1817,$AD$1:$AE$301,2,0),"")</f>
        <v>1008043</v>
      </c>
      <c r="G1817" s="147" t="str">
        <f aca="false">IFERROR(VLOOKUP(F1817,$AE$2:$AF$290,2, 0),"")</f>
        <v>الوجه</v>
      </c>
      <c r="H1817" s="212" t="s">
        <v>104</v>
      </c>
      <c r="I1817" s="246" t="n">
        <f aca="false">SUM(K1817:R1817)</f>
        <v>1</v>
      </c>
      <c r="J1817" s="182" t="n">
        <v>45914</v>
      </c>
      <c r="Q1817" s="154" t="n">
        <v>1</v>
      </c>
      <c r="S1817" s="192" t="n">
        <f aca="false">(K1817+O1817+Q1817)*24 /1130+(L1817+M1817+P1817+R1817)*12/1130+(N1817*30)/1130</f>
        <v>0.0212389380530973</v>
      </c>
    </row>
    <row r="1818" customFormat="false" ht="15" hidden="true" customHeight="true" outlineLevel="0" collapsed="false">
      <c r="A1818" s="128" t="n">
        <f aca="false">D1818-281.75-281.75-281.75</f>
        <v>0</v>
      </c>
      <c r="B1818" s="233" t="n">
        <f aca="false">B1817+D1818-C1818</f>
        <v>5842</v>
      </c>
      <c r="D1818" s="146" t="n">
        <f aca="false">281.75*3</f>
        <v>845.25</v>
      </c>
      <c r="E1818" s="147" t="n">
        <v>1437</v>
      </c>
      <c r="F1818" s="147" t="n">
        <f aca="false">IFERROR(VLOOKUP(H1818,$AD$1:$AE$301,2,0),"")</f>
        <v>1008043</v>
      </c>
      <c r="G1818" s="147" t="str">
        <f aca="false">IFERROR(VLOOKUP(F1818,$AE$2:$AF$290,2, 0),"")</f>
        <v>الوجه</v>
      </c>
      <c r="H1818" s="212" t="s">
        <v>104</v>
      </c>
      <c r="I1818" s="246" t="n">
        <f aca="false">SUM(K1818:R1818)</f>
        <v>3</v>
      </c>
      <c r="J1818" s="182" t="n">
        <v>45914</v>
      </c>
      <c r="K1818" s="148" t="n">
        <v>3</v>
      </c>
      <c r="S1818" s="192" t="n">
        <f aca="false">(K1818+O1818+Q1818)*24 /1130+(L1818+M1818+P1818+R1818)*12/1130+(N1818*30)/1130</f>
        <v>0.063716814159292</v>
      </c>
    </row>
    <row r="1819" customFormat="false" ht="15" hidden="true" customHeight="true" outlineLevel="0" collapsed="false">
      <c r="B1819" s="233" t="n">
        <f aca="false">B1818+D1819-C1819</f>
        <v>4013.5</v>
      </c>
      <c r="C1819" s="127" t="n">
        <v>1828.5</v>
      </c>
      <c r="E1819" s="212" t="s">
        <v>662</v>
      </c>
      <c r="F1819" s="147" t="str">
        <f aca="false">IFERROR(VLOOKUP(H1819,$AD$1:$AE$301,2,0),"")</f>
        <v/>
      </c>
      <c r="G1819" s="147" t="str">
        <f aca="false">IFERROR(VLOOKUP(F1819,$AE$2:$AF$290,2, 0),"")</f>
        <v/>
      </c>
      <c r="H1819" s="212" t="s">
        <v>393</v>
      </c>
      <c r="I1819" s="246" t="n">
        <f aca="false">SUM(K1819:R1819)</f>
        <v>0</v>
      </c>
      <c r="J1819" s="182" t="n">
        <v>45914</v>
      </c>
      <c r="S1819" s="192" t="n">
        <f aca="false">(K1819+O1819+Q1819)*24 /1130+(L1819+M1819+P1819+R1819)*12/1130+(N1819*30)/1130</f>
        <v>0</v>
      </c>
    </row>
    <row r="1820" customFormat="false" ht="15" hidden="true" customHeight="true" outlineLevel="0" collapsed="false">
      <c r="B1820" s="233" t="n">
        <f aca="false">B1819+D1820-C1820</f>
        <v>1874.75</v>
      </c>
      <c r="C1820" s="127" t="n">
        <f aca="false">281.75+282+500+1075</f>
        <v>2138.75</v>
      </c>
      <c r="E1820" s="212" t="s">
        <v>470</v>
      </c>
      <c r="F1820" s="147" t="str">
        <f aca="false">IFERROR(VLOOKUP(H1820,$AD$1:$AE$301,2,0),"")</f>
        <v/>
      </c>
      <c r="G1820" s="147" t="str">
        <f aca="false">IFERROR(VLOOKUP(F1820,$AE$2:$AF$290,2, 0),"")</f>
        <v/>
      </c>
      <c r="H1820" s="212" t="s">
        <v>393</v>
      </c>
      <c r="I1820" s="246" t="n">
        <f aca="false">SUM(K1820:R1820)</f>
        <v>0</v>
      </c>
      <c r="J1820" s="182" t="n">
        <v>45915</v>
      </c>
      <c r="S1820" s="192" t="n">
        <f aca="false">(K1820+O1820+Q1820)*24 /1130+(L1820+M1820+P1820+R1820)*12/1130+(N1820*30)/1130</f>
        <v>0</v>
      </c>
    </row>
    <row r="1821" customFormat="false" ht="15" hidden="true" customHeight="true" outlineLevel="0" collapsed="false">
      <c r="B1821" s="233" t="n">
        <f aca="false">B1820+D1821-C1821</f>
        <v>0.75</v>
      </c>
      <c r="C1821" s="127" t="n">
        <f aca="false">1874</f>
        <v>1874</v>
      </c>
      <c r="E1821" s="212" t="s">
        <v>653</v>
      </c>
      <c r="F1821" s="147" t="str">
        <f aca="false">IFERROR(VLOOKUP(H1821,$AD$1:$AE$301,2,0),"")</f>
        <v/>
      </c>
      <c r="G1821" s="147" t="str">
        <f aca="false">IFERROR(VLOOKUP(F1821,$AE$2:$AF$290,2, 0),"")</f>
        <v/>
      </c>
      <c r="H1821" s="212" t="s">
        <v>393</v>
      </c>
      <c r="I1821" s="246" t="n">
        <f aca="false">SUM(K1821:R1821)</f>
        <v>0</v>
      </c>
      <c r="J1821" s="182" t="n">
        <v>45915</v>
      </c>
      <c r="S1821" s="192" t="n">
        <f aca="false">(K1821+O1821+Q1821)*24 /1130+(L1821+M1821+P1821+R1821)*12/1130+(N1821*30)/1130</f>
        <v>0</v>
      </c>
    </row>
    <row r="1822" customFormat="false" ht="15" hidden="true" customHeight="true" outlineLevel="0" collapsed="false">
      <c r="A1822" s="128" t="n">
        <f aca="false">D1822-250-43</f>
        <v>0.25</v>
      </c>
      <c r="B1822" s="233" t="n">
        <f aca="false">B1821+D1822-C1822</f>
        <v>294</v>
      </c>
      <c r="D1822" s="146" t="n">
        <f aca="false">155.25+138</f>
        <v>293.25</v>
      </c>
      <c r="E1822" s="147" t="n">
        <v>1438</v>
      </c>
      <c r="F1822" s="147" t="n">
        <f aca="false">IFERROR(VLOOKUP(H1822,$AD$1:$AE$301,2,0),"")</f>
        <v>1008056</v>
      </c>
      <c r="G1822" s="147" t="str">
        <f aca="false">IFERROR(VLOOKUP(F1822,$AE$2:$AF$290,2, 0),"")</f>
        <v>تبوك</v>
      </c>
      <c r="H1822" s="212" t="s">
        <v>241</v>
      </c>
      <c r="I1822" s="246" t="n">
        <f aca="false">SUM(K1822:R1822)</f>
        <v>2</v>
      </c>
      <c r="J1822" s="182" t="n">
        <v>45915</v>
      </c>
      <c r="Q1822" s="154" t="n">
        <v>1</v>
      </c>
      <c r="R1822" s="155" t="n">
        <v>1</v>
      </c>
      <c r="S1822" s="192" t="n">
        <f aca="false">(K1822+O1822+Q1822)*24 /1130+(L1822+M1822+P1822+R1822)*12/1130+(N1822*30)/1130</f>
        <v>0.031858407079646</v>
      </c>
    </row>
    <row r="1823" customFormat="false" ht="15" hidden="true" customHeight="true" outlineLevel="0" collapsed="false">
      <c r="A1823" s="128" t="n">
        <f aca="false">D1823-350-102.25-170-200</f>
        <v>0</v>
      </c>
      <c r="B1823" s="233" t="n">
        <f aca="false">B1822+D1823-C1823</f>
        <v>1116.25</v>
      </c>
      <c r="D1823" s="146" t="n">
        <f aca="false">274*3+0.25</f>
        <v>822.25</v>
      </c>
      <c r="E1823" s="147" t="n">
        <v>1439</v>
      </c>
      <c r="F1823" s="147" t="n">
        <f aca="false">IFERROR(VLOOKUP(H1823,$AD$1:$AE$301,2,0),"")</f>
        <v>1008276</v>
      </c>
      <c r="G1823" s="147" t="str">
        <f aca="false">IFERROR(VLOOKUP(F1823,$AE$2:$AF$290,2, 0),"")</f>
        <v>تبوك</v>
      </c>
      <c r="H1823" s="212" t="s">
        <v>145</v>
      </c>
      <c r="I1823" s="246" t="n">
        <f aca="false">SUM(K1823:R1823)</f>
        <v>3</v>
      </c>
      <c r="J1823" s="182" t="n">
        <v>45915</v>
      </c>
      <c r="N1823" s="151" t="n">
        <f aca="false">2+1</f>
        <v>3</v>
      </c>
      <c r="S1823" s="192" t="n">
        <f aca="false">(K1823+O1823+Q1823)*24 /1130+(L1823+M1823+P1823+R1823)*12/1130+(N1823*30)/1130</f>
        <v>0.079646017699115</v>
      </c>
    </row>
    <row r="1824" customFormat="false" ht="15" hidden="true" customHeight="true" outlineLevel="0" collapsed="false">
      <c r="A1824" s="128" t="n">
        <f aca="false">D1824-500-80-200-190-64-140*5+500-284</f>
        <v>0</v>
      </c>
      <c r="B1824" s="233" t="n">
        <f aca="false">B1823+D1824-C1824</f>
        <v>2634.25</v>
      </c>
      <c r="D1824" s="146" t="n">
        <f aca="false">6*253</f>
        <v>1518</v>
      </c>
      <c r="E1824" s="147" t="n">
        <v>1441</v>
      </c>
      <c r="F1824" s="147" t="n">
        <f aca="false">IFERROR(VLOOKUP(H1824,$AD$1:$AE$301,2,0),"")</f>
        <v>855</v>
      </c>
      <c r="G1824" s="147" t="str">
        <f aca="false">IFERROR(VLOOKUP(F1824,$AE$2:$AF$290,2, 0),"")</f>
        <v>تبوك</v>
      </c>
      <c r="H1824" s="212" t="s">
        <v>141</v>
      </c>
      <c r="I1824" s="246" t="n">
        <f aca="false">SUM(K1824:R1824)</f>
        <v>6</v>
      </c>
      <c r="J1824" s="182" t="n">
        <v>45915</v>
      </c>
      <c r="M1824" s="150" t="n">
        <v>6</v>
      </c>
      <c r="S1824" s="192" t="n">
        <f aca="false">(K1824+O1824+Q1824)*24 /1130+(L1824+M1824+P1824+R1824)*12/1130+(N1824*30)/1130</f>
        <v>0.063716814159292</v>
      </c>
    </row>
    <row r="1825" customFormat="false" ht="15" hidden="true" customHeight="true" outlineLevel="0" collapsed="false">
      <c r="B1825" s="233" t="n">
        <f aca="false">B1824+D1825-C1825</f>
        <v>2944.75</v>
      </c>
      <c r="D1825" s="146" t="n">
        <f aca="false">155.25*2</f>
        <v>310.5</v>
      </c>
      <c r="E1825" s="147" t="n">
        <v>1440</v>
      </c>
      <c r="F1825" s="147" t="n">
        <f aca="false">IFERROR(VLOOKUP(H1825,$AD$1:$AE$301,2,0),"")</f>
        <v>562</v>
      </c>
      <c r="G1825" s="147" t="str">
        <f aca="false">IFERROR(VLOOKUP(F1825,$AE$2:$AF$290,2, 0),"")</f>
        <v>تبوك</v>
      </c>
      <c r="H1825" s="212" t="s">
        <v>234</v>
      </c>
      <c r="I1825" s="246" t="n">
        <f aca="false">SUM(K1825:R1825)</f>
        <v>2</v>
      </c>
      <c r="J1825" s="182" t="n">
        <v>45915</v>
      </c>
      <c r="R1825" s="155" t="n">
        <v>2</v>
      </c>
      <c r="S1825" s="192" t="n">
        <f aca="false">(K1825+O1825+Q1825)*24 /1130+(L1825+M1825+P1825+R1825)*12/1130+(N1825*30)/1130</f>
        <v>0.0212389380530973</v>
      </c>
    </row>
    <row r="1826" customFormat="false" ht="15" hidden="true" customHeight="true" outlineLevel="0" collapsed="false">
      <c r="B1826" s="233" t="n">
        <f aca="false">B1825+D1826-C1826</f>
        <v>0</v>
      </c>
      <c r="C1826" s="127" t="n">
        <f aca="false">281.75+250+1000+1000+310.5+102.25</f>
        <v>2944.5</v>
      </c>
      <c r="D1826" s="146" t="n">
        <v>-0.25</v>
      </c>
      <c r="E1826" s="212" t="s">
        <v>470</v>
      </c>
      <c r="F1826" s="147" t="str">
        <f aca="false">IFERROR(VLOOKUP(H1826,$AD$1:$AE$301,2,0),"")</f>
        <v/>
      </c>
      <c r="G1826" s="147" t="str">
        <f aca="false">IFERROR(VLOOKUP(F1826,$AE$2:$AF$290,2, 0),"")</f>
        <v/>
      </c>
      <c r="H1826" s="212" t="s">
        <v>393</v>
      </c>
      <c r="I1826" s="246" t="n">
        <f aca="false">SUM(K1826:R1826)</f>
        <v>0</v>
      </c>
      <c r="J1826" s="182" t="n">
        <v>45915</v>
      </c>
      <c r="S1826" s="192" t="n">
        <f aca="false">(K1826+O1826+Q1826)*24 /1130+(L1826+M1826+P1826+R1826)*12/1130+(N1826*30)/1130</f>
        <v>0</v>
      </c>
    </row>
    <row r="1827" customFormat="false" ht="15" hidden="true" customHeight="true" outlineLevel="0" collapsed="false">
      <c r="A1827" s="128" t="n">
        <f aca="false">D1827+299-3191</f>
        <v>0.25</v>
      </c>
      <c r="B1827" s="233" t="n">
        <f aca="false">B1826+D1827-C1827</f>
        <v>2892.25</v>
      </c>
      <c r="D1827" s="146" t="n">
        <f aca="false">178.25*2+138*2+299+299+264.5+195.5+235.75+230*2+253+253</f>
        <v>2892.25</v>
      </c>
      <c r="E1827" s="147" t="n">
        <v>1442</v>
      </c>
      <c r="F1827" s="147" t="n">
        <f aca="false">IFERROR(VLOOKUP(H1827,$AD$1:$AE$301,2,0),"")</f>
        <v>984</v>
      </c>
      <c r="G1827" s="147" t="str">
        <f aca="false">IFERROR(VLOOKUP(F1827,$AE$2:$AF$290,2, 0),"")</f>
        <v>تبوك</v>
      </c>
      <c r="H1827" s="212" t="s">
        <v>131</v>
      </c>
      <c r="I1827" s="246" t="n">
        <f aca="false">SUM(K1827:R1827)</f>
        <v>13</v>
      </c>
      <c r="J1827" s="182" t="n">
        <v>45915</v>
      </c>
      <c r="L1827" s="149" t="n">
        <v>2</v>
      </c>
      <c r="M1827" s="150" t="n">
        <f aca="false">1+1+1+2</f>
        <v>5</v>
      </c>
      <c r="Q1827" s="154" t="n">
        <v>2</v>
      </c>
      <c r="R1827" s="155" t="n">
        <f aca="false">1+1+1+1</f>
        <v>4</v>
      </c>
      <c r="S1827" s="192" t="n">
        <f aca="false">(K1827+O1827+Q1827)*24 /1130+(L1827+M1827+P1827+R1827)*12/1130+(N1827*30)/1130</f>
        <v>0.15929203539823</v>
      </c>
      <c r="T1827" s="127" t="n">
        <v>1</v>
      </c>
    </row>
    <row r="1828" customFormat="false" ht="15" hidden="true" customHeight="true" outlineLevel="0" collapsed="false">
      <c r="B1828" s="233" t="n">
        <f aca="false">B1827+D1828-C1828</f>
        <v>1202.25</v>
      </c>
      <c r="C1828" s="127" t="n">
        <f aca="false">1690</f>
        <v>1690</v>
      </c>
      <c r="E1828" s="212" t="s">
        <v>662</v>
      </c>
      <c r="F1828" s="147" t="str">
        <f aca="false">IFERROR(VLOOKUP(H1828,$AD$1:$AE$301,2,0),"")</f>
        <v/>
      </c>
      <c r="G1828" s="147" t="str">
        <f aca="false">IFERROR(VLOOKUP(F1828,$AE$2:$AF$290,2, 0),"")</f>
        <v/>
      </c>
      <c r="H1828" s="212" t="s">
        <v>393</v>
      </c>
      <c r="I1828" s="246" t="n">
        <f aca="false">SUM(K1828:R1828)</f>
        <v>0</v>
      </c>
      <c r="J1828" s="182" t="n">
        <v>45917</v>
      </c>
      <c r="S1828" s="192" t="n">
        <f aca="false">(K1828+O1828+Q1828)*24 /1130+(L1828+M1828+P1828+R1828)*12/1130+(N1828*30)/1130</f>
        <v>0</v>
      </c>
    </row>
    <row r="1829" customFormat="false" ht="15" hidden="true" customHeight="true" outlineLevel="0" collapsed="false">
      <c r="B1829" s="233" t="n">
        <f aca="false">B1828+D1829-C1829</f>
        <v>752.25</v>
      </c>
      <c r="C1829" s="127" t="n">
        <f aca="false">170+280</f>
        <v>450</v>
      </c>
      <c r="E1829" s="212" t="s">
        <v>470</v>
      </c>
      <c r="F1829" s="147" t="str">
        <f aca="false">IFERROR(VLOOKUP(H1829,$AD$1:$AE$301,2,0),"")</f>
        <v/>
      </c>
      <c r="G1829" s="147" t="str">
        <f aca="false">IFERROR(VLOOKUP(F1829,$AE$2:$AF$290,2, 0),"")</f>
        <v/>
      </c>
      <c r="H1829" s="212" t="s">
        <v>393</v>
      </c>
      <c r="I1829" s="246" t="n">
        <f aca="false">SUM(K1829:R1829)</f>
        <v>0</v>
      </c>
      <c r="J1829" s="182" t="n">
        <v>45917</v>
      </c>
      <c r="S1829" s="192" t="n">
        <f aca="false">(K1829+O1829+Q1829)*24 /1130+(L1829+M1829+P1829+R1829)*12/1130+(N1829*30)/1130</f>
        <v>0</v>
      </c>
    </row>
    <row r="1830" customFormat="false" ht="15" hidden="true" customHeight="true" outlineLevel="0" collapsed="false">
      <c r="B1830" s="233" t="n">
        <f aca="false">B1829+D1830-C1830</f>
        <v>0</v>
      </c>
      <c r="C1830" s="127" t="n">
        <v>752</v>
      </c>
      <c r="D1830" s="146" t="n">
        <v>-0.25</v>
      </c>
      <c r="E1830" s="212" t="s">
        <v>653</v>
      </c>
      <c r="F1830" s="147" t="str">
        <f aca="false">IFERROR(VLOOKUP(H1830,$AD$1:$AE$301,2,0),"")</f>
        <v/>
      </c>
      <c r="G1830" s="147" t="str">
        <f aca="false">IFERROR(VLOOKUP(F1830,$AE$2:$AF$290,2, 0),"")</f>
        <v/>
      </c>
      <c r="H1830" s="212" t="s">
        <v>393</v>
      </c>
      <c r="I1830" s="246" t="n">
        <f aca="false">SUM(K1830:R1830)</f>
        <v>0</v>
      </c>
      <c r="J1830" s="182" t="n">
        <v>45917</v>
      </c>
      <c r="S1830" s="192" t="n">
        <f aca="false">(K1830+O1830+Q1830)*24 /1130+(L1830+M1830+P1830+R1830)*12/1130+(N1830*30)/1130</f>
        <v>0</v>
      </c>
    </row>
    <row r="1831" customFormat="false" ht="15" hidden="true" customHeight="true" outlineLevel="0" collapsed="false">
      <c r="A1831" s="128" t="n">
        <f aca="false">D1831-143</f>
        <v>0.75</v>
      </c>
      <c r="B1831" s="233" t="n">
        <f aca="false">B1830+D1831-C1831</f>
        <v>143.75</v>
      </c>
      <c r="D1831" s="146" t="n">
        <v>143.75</v>
      </c>
      <c r="E1831" s="147" t="n">
        <v>1443</v>
      </c>
      <c r="F1831" s="147" t="n">
        <f aca="false">IFERROR(VLOOKUP(H1831,$AD$1:$AE$301,2,0),"")</f>
        <v>1008273</v>
      </c>
      <c r="G1831" s="147" t="str">
        <f aca="false">IFERROR(VLOOKUP(F1831,$AE$2:$AF$290,2, 0),"")</f>
        <v>تبوك</v>
      </c>
      <c r="H1831" s="212" t="s">
        <v>144</v>
      </c>
      <c r="I1831" s="246" t="n">
        <f aca="false">SUM(K1831:R1831)</f>
        <v>1</v>
      </c>
      <c r="J1831" s="182" t="n">
        <v>45917</v>
      </c>
      <c r="P1831" s="153" t="n">
        <v>1</v>
      </c>
      <c r="S1831" s="192" t="n">
        <f aca="false">(K1831+O1831+Q1831)*24 /1130+(L1831+M1831+P1831+R1831)*12/1130+(N1831*30)/1130</f>
        <v>0.0106194690265487</v>
      </c>
    </row>
    <row r="1832" customFormat="false" ht="15" hidden="true" customHeight="true" outlineLevel="0" collapsed="false">
      <c r="B1832" s="233" t="n">
        <f aca="false">B1831+D1832-C1832</f>
        <v>396.75</v>
      </c>
      <c r="D1832" s="146" t="n">
        <v>253</v>
      </c>
      <c r="E1832" s="147" t="n">
        <v>1444</v>
      </c>
      <c r="F1832" s="147" t="n">
        <f aca="false">IFERROR(VLOOKUP(H1832,$AD$1:$AE$301,2,0),"")</f>
        <v>721</v>
      </c>
      <c r="G1832" s="147" t="str">
        <f aca="false">IFERROR(VLOOKUP(F1832,$AE$2:$AF$290,2, 0),"")</f>
        <v>تبوك</v>
      </c>
      <c r="H1832" s="212" t="s">
        <v>183</v>
      </c>
      <c r="I1832" s="246" t="n">
        <f aca="false">SUM(K1832:R1832)</f>
        <v>1</v>
      </c>
      <c r="J1832" s="182" t="n">
        <v>45917</v>
      </c>
      <c r="M1832" s="150" t="n">
        <v>1</v>
      </c>
      <c r="S1832" s="192" t="n">
        <f aca="false">(K1832+O1832+Q1832)*24 /1130+(L1832+M1832+P1832+R1832)*12/1130+(N1832*30)/1130</f>
        <v>0.0106194690265487</v>
      </c>
    </row>
    <row r="1833" customFormat="false" ht="15" hidden="true" customHeight="true" outlineLevel="0" collapsed="false">
      <c r="B1833" s="233" t="n">
        <f aca="false">B1832+D1833-C1833</f>
        <v>661.25</v>
      </c>
      <c r="D1833" s="146" t="n">
        <v>264.5</v>
      </c>
      <c r="E1833" s="147" t="n">
        <v>1445</v>
      </c>
      <c r="F1833" s="147" t="n">
        <f aca="false">IFERROR(VLOOKUP(H1833,$AD$1:$AE$301,2,0),"")</f>
        <v>721</v>
      </c>
      <c r="G1833" s="147" t="str">
        <f aca="false">IFERROR(VLOOKUP(F1833,$AE$2:$AF$290,2, 0),"")</f>
        <v>تبوك</v>
      </c>
      <c r="H1833" s="212" t="s">
        <v>183</v>
      </c>
      <c r="I1833" s="246" t="n">
        <f aca="false">SUM(K1833:R1833)</f>
        <v>1</v>
      </c>
      <c r="J1833" s="182" t="n">
        <v>45917</v>
      </c>
      <c r="R1833" s="155" t="n">
        <v>1</v>
      </c>
      <c r="S1833" s="192" t="n">
        <f aca="false">(K1833+O1833+Q1833)*24 /1130+(L1833+M1833+P1833+R1833)*12/1130+(N1833*30)/1130</f>
        <v>0.0106194690265487</v>
      </c>
      <c r="T1833" s="127" t="n">
        <v>1</v>
      </c>
    </row>
    <row r="1834" customFormat="false" ht="15" hidden="true" customHeight="true" outlineLevel="0" collapsed="false">
      <c r="B1834" s="233" t="n">
        <f aca="false">B1833+D1834-C1834</f>
        <v>1506.5</v>
      </c>
      <c r="D1834" s="146" t="n">
        <f aca="false">281.75*3</f>
        <v>845.25</v>
      </c>
      <c r="E1834" s="147" t="n">
        <v>1446</v>
      </c>
      <c r="F1834" s="147" t="n">
        <f aca="false">IFERROR(VLOOKUP(H1834,$AD$1:$AE$301,2,0),"")</f>
        <v>652</v>
      </c>
      <c r="G1834" s="147" t="str">
        <f aca="false">IFERROR(VLOOKUP(F1834,$AE$2:$AF$290,2, 0),"")</f>
        <v>تبوك</v>
      </c>
      <c r="H1834" s="212" t="s">
        <v>263</v>
      </c>
      <c r="I1834" s="246" t="n">
        <f aca="false">SUM(K1834:R1834)</f>
        <v>3</v>
      </c>
      <c r="J1834" s="182" t="n">
        <v>45917</v>
      </c>
      <c r="K1834" s="148" t="n">
        <v>3</v>
      </c>
      <c r="S1834" s="192" t="n">
        <f aca="false">(K1834+O1834+Q1834)*24 /1130+(L1834+M1834+P1834+R1834)*12/1130+(N1834*30)/1130</f>
        <v>0.063716814159292</v>
      </c>
    </row>
    <row r="1835" customFormat="false" ht="15" hidden="true" customHeight="true" outlineLevel="0" collapsed="false">
      <c r="A1835" s="128" t="n">
        <f aca="false">D1835-281.75-281.75-281.75</f>
        <v>0</v>
      </c>
      <c r="B1835" s="233" t="n">
        <f aca="false">B1834+D1835-C1835</f>
        <v>2351.75</v>
      </c>
      <c r="D1835" s="146" t="n">
        <f aca="false">281.75*3</f>
        <v>845.25</v>
      </c>
      <c r="E1835" s="147" t="n">
        <v>1447</v>
      </c>
      <c r="F1835" s="147" t="n">
        <f aca="false">IFERROR(VLOOKUP(H1835,$AD$1:$AE$301,2,0),"")</f>
        <v>555</v>
      </c>
      <c r="G1835" s="147" t="str">
        <f aca="false">IFERROR(VLOOKUP(F1835,$AE$2:$AF$290,2, 0),"")</f>
        <v>تبوك</v>
      </c>
      <c r="H1835" s="212" t="s">
        <v>260</v>
      </c>
      <c r="I1835" s="246" t="n">
        <f aca="false">SUM(K1835:R1835)</f>
        <v>3</v>
      </c>
      <c r="J1835" s="182" t="n">
        <v>45917</v>
      </c>
      <c r="K1835" s="148" t="n">
        <v>3</v>
      </c>
      <c r="S1835" s="192" t="n">
        <f aca="false">(K1835+O1835+Q1835)*24 /1130+(L1835+M1835+P1835+R1835)*12/1130+(N1835*30)/1130</f>
        <v>0.063716814159292</v>
      </c>
    </row>
    <row r="1836" customFormat="false" ht="15" hidden="true" customHeight="true" outlineLevel="0" collapsed="false">
      <c r="A1836" s="128" t="n">
        <f aca="false">D1836+310.5-655.75-1300+800</f>
        <v>0</v>
      </c>
      <c r="B1836" s="233" t="n">
        <f aca="false">B1835+D1836-C1836</f>
        <v>3197</v>
      </c>
      <c r="D1836" s="146" t="n">
        <f aca="false">281.75*3</f>
        <v>845.25</v>
      </c>
      <c r="E1836" s="147" t="n">
        <v>1448</v>
      </c>
      <c r="F1836" s="147" t="n">
        <f aca="false">IFERROR(VLOOKUP(H1836,$AD$1:$AE$301,2,0),"")</f>
        <v>653</v>
      </c>
      <c r="G1836" s="147" t="str">
        <f aca="false">IFERROR(VLOOKUP(F1836,$AE$2:$AF$290,2, 0),"")</f>
        <v>تبوك</v>
      </c>
      <c r="H1836" s="212" t="s">
        <v>264</v>
      </c>
      <c r="I1836" s="246" t="n">
        <f aca="false">SUM(K1836:R1836)</f>
        <v>3</v>
      </c>
      <c r="J1836" s="182" t="n">
        <v>45917</v>
      </c>
      <c r="K1836" s="148" t="n">
        <v>3</v>
      </c>
      <c r="S1836" s="192" t="n">
        <f aca="false">(K1836+O1836+Q1836)*24 /1130+(L1836+M1836+P1836+R1836)*12/1130+(N1836*30)/1130</f>
        <v>0.063716814159292</v>
      </c>
    </row>
    <row r="1837" customFormat="false" ht="15" hidden="true" customHeight="true" outlineLevel="0" collapsed="false">
      <c r="A1837" s="128" t="n">
        <f aca="false">D1837-400-500-600</f>
        <v>0.75</v>
      </c>
      <c r="B1837" s="233" t="n">
        <f aca="false">B1836+D1837-C1837</f>
        <v>4697.75</v>
      </c>
      <c r="D1837" s="146" t="n">
        <f aca="false">253*5+235.75</f>
        <v>1500.75</v>
      </c>
      <c r="E1837" s="147" t="n">
        <v>1449</v>
      </c>
      <c r="F1837" s="147" t="n">
        <f aca="false">IFERROR(VLOOKUP(H1837,$AD$1:$AE$301,2,0),"")</f>
        <v>855</v>
      </c>
      <c r="G1837" s="147" t="str">
        <f aca="false">IFERROR(VLOOKUP(F1837,$AE$2:$AF$290,2, 0),"")</f>
        <v>تبوك</v>
      </c>
      <c r="H1837" s="212" t="s">
        <v>141</v>
      </c>
      <c r="I1837" s="246" t="n">
        <f aca="false">SUM(K1837:R1837)</f>
        <v>6</v>
      </c>
      <c r="J1837" s="182" t="n">
        <v>45917</v>
      </c>
      <c r="M1837" s="150" t="n">
        <f aca="false">5+1</f>
        <v>6</v>
      </c>
      <c r="S1837" s="192" t="n">
        <f aca="false">(K1837+O1837+Q1837)*24 /1130+(L1837+M1837+P1837+R1837)*12/1130+(N1837*30)/1130</f>
        <v>0.063716814159292</v>
      </c>
    </row>
    <row r="1838" customFormat="false" ht="15" hidden="true" customHeight="true" outlineLevel="0" collapsed="false">
      <c r="B1838" s="233" t="n">
        <f aca="false">B1837+D1838-C1838</f>
        <v>0.75</v>
      </c>
      <c r="C1838" s="127" t="n">
        <v>4697</v>
      </c>
      <c r="E1838" s="212" t="s">
        <v>470</v>
      </c>
      <c r="F1838" s="147" t="str">
        <f aca="false">IFERROR(VLOOKUP(H1838,$AD$1:$AE$301,2,0),"")</f>
        <v/>
      </c>
      <c r="G1838" s="147" t="str">
        <f aca="false">IFERROR(VLOOKUP(F1838,$AE$2:$AF$290,2, 0),"")</f>
        <v/>
      </c>
      <c r="H1838" s="212" t="s">
        <v>393</v>
      </c>
      <c r="I1838" s="246" t="n">
        <f aca="false">SUM(K1838:R1838)</f>
        <v>0</v>
      </c>
      <c r="J1838" s="182" t="n">
        <v>45917</v>
      </c>
      <c r="S1838" s="192" t="n">
        <f aca="false">(K1838+O1838+Q1838)*24 /1130+(L1838+M1838+P1838+R1838)*12/1130+(N1838*30)/1130</f>
        <v>0</v>
      </c>
    </row>
    <row r="1839" customFormat="false" ht="15" hidden="true" customHeight="true" outlineLevel="0" collapsed="false">
      <c r="B1839" s="233" t="n">
        <f aca="false">B1838+D1839-C1839</f>
        <v>299.75</v>
      </c>
      <c r="D1839" s="146" t="n">
        <v>299</v>
      </c>
      <c r="E1839" s="147" t="n">
        <v>1450</v>
      </c>
      <c r="F1839" s="147" t="n">
        <f aca="false">IFERROR(VLOOKUP(H1839,$AD$1:$AE$301,2,0),"")</f>
        <v>984</v>
      </c>
      <c r="G1839" s="147" t="str">
        <f aca="false">IFERROR(VLOOKUP(F1839,$AE$2:$AF$290,2, 0),"")</f>
        <v>تبوك</v>
      </c>
      <c r="H1839" s="212" t="s">
        <v>131</v>
      </c>
      <c r="I1839" s="246" t="n">
        <f aca="false">SUM(K1839:R1839)</f>
        <v>1</v>
      </c>
      <c r="J1839" s="182" t="n">
        <v>45918</v>
      </c>
      <c r="R1839" s="155" t="n">
        <v>1</v>
      </c>
      <c r="S1839" s="192" t="n">
        <f aca="false">(K1839+O1839+Q1839)*24 /1130+(L1839+M1839+P1839+R1839)*12/1130+(N1839*30)/1130</f>
        <v>0.0106194690265487</v>
      </c>
    </row>
    <row r="1840" customFormat="false" ht="15" hidden="true" customHeight="true" outlineLevel="0" collapsed="false">
      <c r="A1840" s="128" t="n">
        <f aca="false">D1840-345</f>
        <v>0</v>
      </c>
      <c r="B1840" s="233" t="n">
        <f aca="false">B1839+D1840-C1840</f>
        <v>644.75</v>
      </c>
      <c r="D1840" s="146" t="n">
        <v>345</v>
      </c>
      <c r="E1840" s="147" t="n">
        <v>1451</v>
      </c>
      <c r="F1840" s="147" t="n">
        <f aca="false">IFERROR(VLOOKUP(H1840,$AD$1:$AE$301,2,0),"")</f>
        <v>855</v>
      </c>
      <c r="G1840" s="147" t="str">
        <f aca="false">IFERROR(VLOOKUP(F1840,$AE$2:$AF$290,2, 0),"")</f>
        <v>تبوك</v>
      </c>
      <c r="H1840" s="212" t="s">
        <v>141</v>
      </c>
      <c r="I1840" s="246" t="n">
        <f aca="false">SUM(K1840:R1840)</f>
        <v>1</v>
      </c>
      <c r="J1840" s="182" t="n">
        <v>45918</v>
      </c>
      <c r="M1840" s="150" t="n">
        <v>1</v>
      </c>
      <c r="S1840" s="192" t="n">
        <f aca="false">(K1840+O1840+Q1840)*24 /1130+(L1840+M1840+P1840+R1840)*12/1130+(N1840*30)/1130</f>
        <v>0.0106194690265487</v>
      </c>
    </row>
    <row r="1841" customFormat="false" ht="15" hidden="true" customHeight="true" outlineLevel="0" collapsed="false">
      <c r="A1841" s="128" t="n">
        <f aca="false">D1841-1120</f>
        <v>1.25</v>
      </c>
      <c r="B1841" s="233" t="n">
        <f aca="false">B1840+D1841-C1841</f>
        <v>1766</v>
      </c>
      <c r="D1841" s="146" t="n">
        <f aca="false">3*281.75+138*2</f>
        <v>1121.25</v>
      </c>
      <c r="E1841" s="147" t="n">
        <v>1452</v>
      </c>
      <c r="F1841" s="147" t="n">
        <f aca="false">IFERROR(VLOOKUP(H1841,$AD$1:$AE$301,2,0),"")</f>
        <v>813</v>
      </c>
      <c r="G1841" s="147" t="str">
        <f aca="false">IFERROR(VLOOKUP(F1841,$AE$2:$AF$290,2, 0),"")</f>
        <v>تبوك</v>
      </c>
      <c r="H1841" s="212" t="s">
        <v>229</v>
      </c>
      <c r="I1841" s="246" t="n">
        <f aca="false">SUM(K1841:R1841)</f>
        <v>5</v>
      </c>
      <c r="J1841" s="182" t="n">
        <v>45918</v>
      </c>
      <c r="K1841" s="148" t="n">
        <f aca="false">2+1</f>
        <v>3</v>
      </c>
      <c r="Q1841" s="154" t="n">
        <v>2</v>
      </c>
      <c r="S1841" s="192" t="n">
        <f aca="false">(K1841+O1841+Q1841)*24 /1130+(L1841+M1841+P1841+R1841)*12/1130+(N1841*30)/1130</f>
        <v>0.106194690265487</v>
      </c>
    </row>
    <row r="1842" customFormat="false" ht="15" hidden="true" customHeight="true" outlineLevel="0" collapsed="false">
      <c r="A1842" s="128" t="n">
        <f aca="false">D1842-573-1175</f>
        <v>0</v>
      </c>
      <c r="B1842" s="233" t="n">
        <f aca="false">B1841+D1842-C1842</f>
        <v>3514</v>
      </c>
      <c r="D1842" s="146" t="n">
        <f aca="false">241.5*4+195.5*4</f>
        <v>1748</v>
      </c>
      <c r="E1842" s="147" t="n">
        <v>1453</v>
      </c>
      <c r="F1842" s="147" t="n">
        <f aca="false">IFERROR(VLOOKUP(H1842,$AD$1:$AE$301,2,0),"")</f>
        <v>1007997</v>
      </c>
      <c r="G1842" s="147" t="str">
        <f aca="false">IFERROR(VLOOKUP(F1842,$AE$2:$AF$290,2, 0),"")</f>
        <v>البير</v>
      </c>
      <c r="H1842" s="212" t="s">
        <v>296</v>
      </c>
      <c r="I1842" s="246" t="n">
        <f aca="false">SUM(K1842:R1842)</f>
        <v>8</v>
      </c>
      <c r="J1842" s="182" t="n">
        <v>45918</v>
      </c>
      <c r="Q1842" s="154" t="n">
        <f aca="false">1+3+4</f>
        <v>8</v>
      </c>
      <c r="S1842" s="192" t="n">
        <f aca="false">(K1842+O1842+Q1842)*24 /1130+(L1842+M1842+P1842+R1842)*12/1130+(N1842*30)/1130</f>
        <v>0.169911504424779</v>
      </c>
    </row>
    <row r="1843" customFormat="false" ht="15" hidden="true" customHeight="true" outlineLevel="0" collapsed="false">
      <c r="A1843" s="128" t="n">
        <f aca="false">D1843-390-7-15*5-11</f>
        <v>0</v>
      </c>
      <c r="B1843" s="233" t="n">
        <f aca="false">B1842+D1843-C1843</f>
        <v>3997</v>
      </c>
      <c r="D1843" s="146" t="n">
        <f aca="false">253+230</f>
        <v>483</v>
      </c>
      <c r="E1843" s="147" t="n">
        <v>1454</v>
      </c>
      <c r="F1843" s="147" t="n">
        <f aca="false">IFERROR(VLOOKUP(H1843,$AD$1:$AE$301,2,0),"")</f>
        <v>1008030</v>
      </c>
      <c r="G1843" s="147" t="str">
        <f aca="false">IFERROR(VLOOKUP(F1843,$AE$2:$AF$290,2, 0),"")</f>
        <v>البير</v>
      </c>
      <c r="H1843" s="212" t="s">
        <v>298</v>
      </c>
      <c r="I1843" s="246" t="n">
        <f aca="false">SUM(K1843:R1843)</f>
        <v>2</v>
      </c>
      <c r="J1843" s="182" t="n">
        <v>45918</v>
      </c>
      <c r="M1843" s="150" t="n">
        <f aca="false">1+1</f>
        <v>2</v>
      </c>
      <c r="S1843" s="192" t="n">
        <f aca="false">(K1843+O1843+Q1843)*24 /1130+(L1843+M1843+P1843+R1843)*12/1130+(N1843*30)/1130</f>
        <v>0.0212389380530973</v>
      </c>
    </row>
    <row r="1844" customFormat="false" ht="15" hidden="true" customHeight="true" outlineLevel="0" collapsed="false">
      <c r="B1844" s="233" t="n">
        <f aca="false">B1843+D1844-C1844</f>
        <v>1553</v>
      </c>
      <c r="C1844" s="127" t="n">
        <f aca="false">655.75+281.75+195.5+390+7+80+190+64+566+14</f>
        <v>2444</v>
      </c>
      <c r="E1844" s="212" t="s">
        <v>470</v>
      </c>
      <c r="F1844" s="147" t="str">
        <f aca="false">IFERROR(VLOOKUP(H1844,$AD$1:$AE$301,2,0),"")</f>
        <v/>
      </c>
      <c r="G1844" s="147" t="str">
        <f aca="false">IFERROR(VLOOKUP(F1844,$AE$2:$AF$290,2, 0),"")</f>
        <v/>
      </c>
      <c r="H1844" s="212" t="s">
        <v>393</v>
      </c>
      <c r="I1844" s="246" t="n">
        <f aca="false">SUM(K1844:R1844)</f>
        <v>0</v>
      </c>
      <c r="J1844" s="182" t="n">
        <v>45918</v>
      </c>
      <c r="S1844" s="192" t="n">
        <f aca="false">(K1844+O1844+Q1844)*24 /1130+(L1844+M1844+P1844+R1844)*12/1130+(N1844*30)/1130</f>
        <v>0</v>
      </c>
    </row>
    <row r="1845" customFormat="false" ht="15" hidden="true" customHeight="true" outlineLevel="0" collapsed="false">
      <c r="B1845" s="233" t="n">
        <f aca="false">B1844+D1845-C1845</f>
        <v>0</v>
      </c>
      <c r="C1845" s="127" t="n">
        <v>1553</v>
      </c>
      <c r="E1845" s="212" t="s">
        <v>653</v>
      </c>
      <c r="F1845" s="147" t="str">
        <f aca="false">IFERROR(VLOOKUP(H1845,$AD$1:$AE$301,2,0),"")</f>
        <v/>
      </c>
      <c r="G1845" s="147" t="str">
        <f aca="false">IFERROR(VLOOKUP(F1845,$AE$2:$AF$290,2, 0),"")</f>
        <v/>
      </c>
      <c r="H1845" s="212" t="s">
        <v>393</v>
      </c>
      <c r="I1845" s="246" t="n">
        <f aca="false">SUM(K1845:R1845)</f>
        <v>0</v>
      </c>
      <c r="J1845" s="182" t="n">
        <v>45918</v>
      </c>
      <c r="S1845" s="192" t="n">
        <f aca="false">(K1845+O1845+Q1845)*24 /1130+(L1845+M1845+P1845+R1845)*12/1130+(N1845*30)/1130</f>
        <v>0</v>
      </c>
    </row>
    <row r="1846" customFormat="false" ht="15" hidden="true" customHeight="true" outlineLevel="0" collapsed="false">
      <c r="A1846" s="128" t="n">
        <f aca="false">D1846+3-566</f>
        <v>0.5</v>
      </c>
      <c r="B1846" s="233" t="n">
        <f aca="false">B1845+D1846-C1846</f>
        <v>563.5</v>
      </c>
      <c r="D1846" s="146" t="n">
        <f aca="false">299+264.5</f>
        <v>563.5</v>
      </c>
      <c r="E1846" s="147" t="n">
        <v>1457</v>
      </c>
      <c r="F1846" s="147" t="n">
        <f aca="false">IFERROR(VLOOKUP(H1846,$AD$1:$AE$301,2,0),"")</f>
        <v>562</v>
      </c>
      <c r="G1846" s="147" t="str">
        <f aca="false">IFERROR(VLOOKUP(F1846,$AE$2:$AF$290,2, 0),"")</f>
        <v>تبوك</v>
      </c>
      <c r="H1846" s="212" t="s">
        <v>234</v>
      </c>
      <c r="I1846" s="246" t="n">
        <f aca="false">SUM(K1846:R1846)</f>
        <v>2</v>
      </c>
      <c r="J1846" s="182" t="n">
        <v>45922</v>
      </c>
      <c r="R1846" s="155" t="n">
        <f aca="false">1+1</f>
        <v>2</v>
      </c>
      <c r="S1846" s="192" t="n">
        <f aca="false">(K1846+O1846+Q1846)*24 /1130+(L1846+M1846+P1846+R1846)*12/1130+(N1846*30)/1130</f>
        <v>0.0212389380530973</v>
      </c>
      <c r="T1846" s="127" t="n">
        <v>1</v>
      </c>
    </row>
    <row r="1847" customFormat="false" ht="15" hidden="true" customHeight="true" outlineLevel="0" collapsed="false">
      <c r="B1847" s="233" t="n">
        <f aca="false">B1846+D1847-C1847</f>
        <v>1184.5</v>
      </c>
      <c r="D1847" s="146" t="n">
        <f aca="false">230+138+253</f>
        <v>621</v>
      </c>
      <c r="E1847" s="147" t="n">
        <v>1455</v>
      </c>
      <c r="F1847" s="147" t="n">
        <f aca="false">IFERROR(VLOOKUP(H1847,$AD$1:$AE$301,2,0),"")</f>
        <v>1003</v>
      </c>
      <c r="G1847" s="147" t="str">
        <f aca="false">IFERROR(VLOOKUP(F1847,$AE$2:$AF$290,2, 0),"")</f>
        <v>تبوك</v>
      </c>
      <c r="H1847" s="212" t="s">
        <v>277</v>
      </c>
      <c r="I1847" s="246" t="n">
        <f aca="false">SUM(K1847:R1847)</f>
        <v>3</v>
      </c>
      <c r="J1847" s="182" t="n">
        <v>45922</v>
      </c>
      <c r="M1847" s="150" t="n">
        <f aca="false">1+1</f>
        <v>2</v>
      </c>
      <c r="Q1847" s="154" t="n">
        <v>1</v>
      </c>
      <c r="S1847" s="192" t="n">
        <f aca="false">(K1847+O1847+Q1847)*24 /1130+(L1847+M1847+P1847+R1847)*12/1130+(N1847*30)/1130</f>
        <v>0.0424778761061947</v>
      </c>
    </row>
    <row r="1848" customFormat="false" ht="15" hidden="true" customHeight="true" outlineLevel="0" collapsed="false">
      <c r="A1848" s="128" t="n">
        <f aca="false">D1848-58-1550-5*5-35</f>
        <v>-0.5</v>
      </c>
      <c r="B1848" s="233" t="n">
        <f aca="false">B1847+D1848-C1848</f>
        <v>2852</v>
      </c>
      <c r="D1848" s="146" t="n">
        <f aca="false">281.75*3+3*274+0.25</f>
        <v>1667.5</v>
      </c>
      <c r="E1848" s="147" t="n">
        <v>1459</v>
      </c>
      <c r="F1848" s="147" t="n">
        <f aca="false">IFERROR(VLOOKUP(H1848,$AD$1:$AE$301,2,0),"")</f>
        <v>575</v>
      </c>
      <c r="G1848" s="147" t="str">
        <f aca="false">IFERROR(VLOOKUP(F1848,$AE$2:$AF$290,2, 0),"")</f>
        <v>تبوك</v>
      </c>
      <c r="H1848" s="212" t="s">
        <v>132</v>
      </c>
      <c r="I1848" s="246" t="n">
        <f aca="false">SUM(K1848:R1848)</f>
        <v>6</v>
      </c>
      <c r="J1848" s="182" t="n">
        <v>45922</v>
      </c>
      <c r="K1848" s="148" t="n">
        <f aca="false">3</f>
        <v>3</v>
      </c>
      <c r="N1848" s="151" t="n">
        <f aca="false">2+1</f>
        <v>3</v>
      </c>
      <c r="S1848" s="192" t="n">
        <f aca="false">(K1848+O1848+Q1848)*24 /1130+(L1848+M1848+P1848+R1848)*12/1130+(N1848*30)/1130</f>
        <v>0.143362831858407</v>
      </c>
    </row>
    <row r="1849" customFormat="false" ht="15" hidden="true" customHeight="true" outlineLevel="0" collapsed="false">
      <c r="B1849" s="233" t="n">
        <f aca="false">B1848+D1849-C1849</f>
        <v>3266</v>
      </c>
      <c r="D1849" s="146" t="n">
        <f aca="false">207*2</f>
        <v>414</v>
      </c>
      <c r="E1849" s="147" t="n">
        <v>1456</v>
      </c>
      <c r="F1849" s="147" t="n">
        <f aca="false">IFERROR(VLOOKUP(H1849,$AD$1:$AE$301,2,0),"")</f>
        <v>721</v>
      </c>
      <c r="G1849" s="147" t="str">
        <f aca="false">IFERROR(VLOOKUP(F1849,$AE$2:$AF$290,2, 0),"")</f>
        <v>تبوك</v>
      </c>
      <c r="H1849" s="212" t="s">
        <v>183</v>
      </c>
      <c r="I1849" s="246" t="n">
        <f aca="false">SUM(K1849:R1849)</f>
        <v>2</v>
      </c>
      <c r="J1849" s="182" t="n">
        <v>45922</v>
      </c>
      <c r="L1849" s="149" t="n">
        <v>2</v>
      </c>
      <c r="S1849" s="192" t="n">
        <f aca="false">(K1849+O1849+Q1849)*24 /1130+(L1849+M1849+P1849+R1849)*12/1130+(N1849*30)/1130</f>
        <v>0.0212389380530973</v>
      </c>
    </row>
    <row r="1850" customFormat="false" ht="15" hidden="true" customHeight="true" outlineLevel="0" collapsed="false">
      <c r="A1850" s="128" t="n">
        <f aca="false">D1850-1000.5</f>
        <v>0</v>
      </c>
      <c r="B1850" s="233" t="n">
        <f aca="false">B1849+D1850-C1850</f>
        <v>4266.5</v>
      </c>
      <c r="D1850" s="146" t="n">
        <f aca="false">281.75*3+155.25</f>
        <v>1000.5</v>
      </c>
      <c r="E1850" s="147" t="n">
        <v>1458</v>
      </c>
      <c r="F1850" s="147" t="n">
        <f aca="false">IFERROR(VLOOKUP(H1850,$AD$1:$AE$301,2,0),"")</f>
        <v>1002861</v>
      </c>
      <c r="G1850" s="147" t="str">
        <f aca="false">IFERROR(VLOOKUP(F1850,$AE$2:$AF$290,2, 0),"")</f>
        <v>تبوك</v>
      </c>
      <c r="H1850" s="212" t="s">
        <v>275</v>
      </c>
      <c r="I1850" s="246" t="n">
        <f aca="false">SUM(K1850:R1850)</f>
        <v>4</v>
      </c>
      <c r="J1850" s="182" t="n">
        <v>45922</v>
      </c>
      <c r="K1850" s="148" t="n">
        <f aca="false">3</f>
        <v>3</v>
      </c>
      <c r="R1850" s="155" t="n">
        <v>1</v>
      </c>
      <c r="S1850" s="192" t="n">
        <f aca="false">(K1850+O1850+Q1850)*24 /1130+(L1850+M1850+P1850+R1850)*12/1130+(N1850*30)/1130</f>
        <v>0.0743362831858407</v>
      </c>
    </row>
    <row r="1851" customFormat="false" ht="15" hidden="true" customHeight="true" outlineLevel="0" collapsed="false">
      <c r="A1851" s="128" t="n">
        <f aca="false">D1851-102.25</f>
        <v>1.25</v>
      </c>
      <c r="B1851" s="233" t="n">
        <f aca="false">B1850+D1851-C1851</f>
        <v>4370</v>
      </c>
      <c r="D1851" s="146" t="n">
        <f aca="false">51.75*2</f>
        <v>103.5</v>
      </c>
      <c r="E1851" s="147" t="n">
        <v>1460</v>
      </c>
      <c r="F1851" s="147" t="n">
        <f aca="false">IFERROR(VLOOKUP(H1851,$AD$1:$AE$301,2,0),"")</f>
        <v>636</v>
      </c>
      <c r="G1851" s="147" t="str">
        <f aca="false">IFERROR(VLOOKUP(F1851,$AE$2:$AF$290,2, 0),"")</f>
        <v>تبوك</v>
      </c>
      <c r="H1851" s="212" t="s">
        <v>134</v>
      </c>
      <c r="I1851" s="246" t="n">
        <f aca="false">SUM(K1851:R1851)</f>
        <v>2</v>
      </c>
      <c r="J1851" s="182" t="n">
        <v>45922</v>
      </c>
      <c r="R1851" s="155" t="n">
        <v>2</v>
      </c>
      <c r="S1851" s="192" t="n">
        <f aca="false">(K1851+O1851+Q1851)*24 /1130+(L1851+M1851+P1851+R1851)*12/1130+(N1851*30)/1130</f>
        <v>0.0212389380530973</v>
      </c>
    </row>
    <row r="1852" customFormat="false" ht="15" hidden="true" customHeight="true" outlineLevel="0" collapsed="false">
      <c r="B1852" s="233" t="n">
        <f aca="false">B1851+D1852-C1852</f>
        <v>2288.5</v>
      </c>
      <c r="C1852" s="127" t="n">
        <f aca="false">230+195+35+621+1000.5</f>
        <v>2081.5</v>
      </c>
      <c r="E1852" s="212" t="s">
        <v>470</v>
      </c>
      <c r="F1852" s="147" t="str">
        <f aca="false">IFERROR(VLOOKUP(H1852,$AD$1:$AE$301,2,0),"")</f>
        <v/>
      </c>
      <c r="G1852" s="147" t="str">
        <f aca="false">IFERROR(VLOOKUP(F1852,$AE$2:$AF$290,2, 0),"")</f>
        <v/>
      </c>
      <c r="H1852" s="212" t="s">
        <v>393</v>
      </c>
      <c r="I1852" s="246" t="n">
        <f aca="false">SUM(K1852:R1852)</f>
        <v>0</v>
      </c>
      <c r="J1852" s="182" t="n">
        <v>45922</v>
      </c>
      <c r="S1852" s="192" t="n">
        <f aca="false">(K1852+O1852+Q1852)*24 /1130+(L1852+M1852+P1852+R1852)*12/1130+(N1852*30)/1130</f>
        <v>0</v>
      </c>
    </row>
    <row r="1853" customFormat="false" ht="15" hidden="true" customHeight="true" outlineLevel="0" collapsed="false">
      <c r="B1853" s="233" t="n">
        <f aca="false">B1852+D1853-C1853</f>
        <v>0.5</v>
      </c>
      <c r="C1853" s="127" t="n">
        <v>2288</v>
      </c>
      <c r="E1853" s="212" t="s">
        <v>653</v>
      </c>
      <c r="F1853" s="147" t="str">
        <f aca="false">IFERROR(VLOOKUP(H1853,$AD$1:$AE$301,2,0),"")</f>
        <v/>
      </c>
      <c r="G1853" s="147" t="str">
        <f aca="false">IFERROR(VLOOKUP(F1853,$AE$2:$AF$290,2, 0),"")</f>
        <v/>
      </c>
      <c r="H1853" s="212" t="s">
        <v>393</v>
      </c>
      <c r="I1853" s="246" t="n">
        <f aca="false">SUM(K1853:R1853)</f>
        <v>0</v>
      </c>
      <c r="J1853" s="182" t="n">
        <v>45924</v>
      </c>
      <c r="S1853" s="192" t="n">
        <f aca="false">(K1853+O1853+Q1853)*24 /1130+(L1853+M1853+P1853+R1853)*12/1130+(N1853*30)/1130</f>
        <v>0</v>
      </c>
    </row>
    <row r="1854" customFormat="false" ht="15" hidden="true" customHeight="true" outlineLevel="0" collapsed="false">
      <c r="A1854" s="128" t="n">
        <f aca="false">D1854+274-757</f>
        <v>0</v>
      </c>
      <c r="B1854" s="233" t="n">
        <f aca="false">B1853+D1854-C1854</f>
        <v>483.5</v>
      </c>
      <c r="D1854" s="146" t="n">
        <f aca="false">241.5*2</f>
        <v>483</v>
      </c>
      <c r="E1854" s="147" t="n">
        <v>1461</v>
      </c>
      <c r="F1854" s="147" t="n">
        <f aca="false">IFERROR(VLOOKUP(H1854,$AD$1:$AE$301,2,0),"")</f>
        <v>1007996</v>
      </c>
      <c r="G1854" s="147" t="str">
        <f aca="false">IFERROR(VLOOKUP(F1854,$AE$2:$AF$290,2, 0),"")</f>
        <v>البير</v>
      </c>
      <c r="H1854" s="212" t="s">
        <v>295</v>
      </c>
      <c r="I1854" s="246" t="n">
        <f aca="false">SUM(K1854:R1854)</f>
        <v>2</v>
      </c>
      <c r="J1854" s="182" t="n">
        <v>45924</v>
      </c>
      <c r="O1854" s="152" t="n">
        <f aca="false">1+1</f>
        <v>2</v>
      </c>
      <c r="S1854" s="192" t="n">
        <f aca="false">(K1854+O1854+Q1854)*24 /1130+(L1854+M1854+P1854+R1854)*12/1130+(N1854*30)/1130</f>
        <v>0.0424778761061947</v>
      </c>
    </row>
    <row r="1855" customFormat="false" ht="15" hidden="true" customHeight="true" outlineLevel="0" collapsed="false">
      <c r="B1855" s="233" t="n">
        <f aca="false">B1854+D1855-C1855</f>
        <v>2657</v>
      </c>
      <c r="C1855" s="233"/>
      <c r="D1855" s="146" t="n">
        <f aca="false">281.75*6+241.5*2</f>
        <v>2173.5</v>
      </c>
      <c r="E1855" s="147" t="n">
        <v>1462</v>
      </c>
      <c r="F1855" s="147" t="n">
        <f aca="false">IFERROR(VLOOKUP(H1855,$AD$1:$AE$301,2,0),"")</f>
        <v>1008020</v>
      </c>
      <c r="G1855" s="147" t="str">
        <f aca="false">IFERROR(VLOOKUP(F1855,$AE$2:$AF$290,2, 0),"")</f>
        <v>البير</v>
      </c>
      <c r="H1855" s="212" t="s">
        <v>293</v>
      </c>
      <c r="I1855" s="246" t="n">
        <f aca="false">SUM(K1855:R1855)</f>
        <v>8</v>
      </c>
      <c r="J1855" s="182" t="n">
        <v>45924</v>
      </c>
      <c r="K1855" s="148" t="n">
        <v>6</v>
      </c>
      <c r="O1855" s="152" t="n">
        <f aca="false">1+1</f>
        <v>2</v>
      </c>
      <c r="S1855" s="192" t="n">
        <f aca="false">(K1855+O1855+Q1855)*24 /1130+(L1855+M1855+P1855+R1855)*12/1130+(N1855*30)/1130</f>
        <v>0.169911504424779</v>
      </c>
    </row>
    <row r="1856" customFormat="false" ht="15" hidden="true" customHeight="true" outlineLevel="0" collapsed="false">
      <c r="B1856" s="233" t="n">
        <f aca="false">B1855+D1856-C1856</f>
        <v>2990.5</v>
      </c>
      <c r="C1856" s="233"/>
      <c r="D1856" s="146" t="n">
        <f aca="false">195.5+138</f>
        <v>333.5</v>
      </c>
      <c r="E1856" s="147" t="n">
        <v>1463</v>
      </c>
      <c r="F1856" s="147" t="n">
        <f aca="false">IFERROR(VLOOKUP(H1856,$AD$1:$AE$301,2,0),"")</f>
        <v>1006522</v>
      </c>
      <c r="G1856" s="147" t="str">
        <f aca="false">IFERROR(VLOOKUP(F1856,$AE$2:$AF$290,2, 0),"")</f>
        <v>البدع</v>
      </c>
      <c r="H1856" s="212" t="s">
        <v>317</v>
      </c>
      <c r="I1856" s="246" t="n">
        <f aca="false">SUM(K1856:R1856)</f>
        <v>2</v>
      </c>
      <c r="J1856" s="182" t="n">
        <v>45924</v>
      </c>
      <c r="Q1856" s="154" t="n">
        <f aca="false">1+1</f>
        <v>2</v>
      </c>
      <c r="S1856" s="192" t="n">
        <f aca="false">(K1856+O1856+Q1856)*24 /1130+(L1856+M1856+P1856+R1856)*12/1130+(N1856*30)/1130</f>
        <v>0.0424778761061947</v>
      </c>
    </row>
    <row r="1857" customFormat="false" ht="15" hidden="true" customHeight="true" outlineLevel="0" collapsed="false">
      <c r="A1857" s="128" t="n">
        <f aca="false">D1857-50-17*2-5-89.25</f>
        <v>0</v>
      </c>
      <c r="B1857" s="233" t="n">
        <f aca="false">B1856+D1857-C1857</f>
        <v>3168.75</v>
      </c>
      <c r="D1857" s="146" t="n">
        <v>178.25</v>
      </c>
      <c r="E1857" s="147" t="n">
        <v>1464</v>
      </c>
      <c r="F1857" s="147" t="n">
        <f aca="false">IFERROR(VLOOKUP(H1857,$AD$1:$AE$301,2,0),"")</f>
        <v>1008043</v>
      </c>
      <c r="G1857" s="147" t="str">
        <f aca="false">IFERROR(VLOOKUP(F1857,$AE$2:$AF$290,2, 0),"")</f>
        <v>الوجه</v>
      </c>
      <c r="H1857" s="212" t="s">
        <v>104</v>
      </c>
      <c r="I1857" s="246" t="n">
        <f aca="false">SUM(K1857:R1857)</f>
        <v>1</v>
      </c>
      <c r="J1857" s="182" t="n">
        <v>45924</v>
      </c>
      <c r="L1857" s="149" t="n">
        <v>1</v>
      </c>
      <c r="S1857" s="192" t="n">
        <f aca="false">(K1857+O1857+Q1857)*24 /1130+(L1857+M1857+P1857+R1857)*12/1130+(N1857*30)/1130</f>
        <v>0.0106194690265487</v>
      </c>
    </row>
    <row r="1858" customFormat="false" ht="15" hidden="true" customHeight="true" outlineLevel="0" collapsed="false">
      <c r="A1858" s="128" t="n">
        <f aca="false">D1858-274-500-1123.5</f>
        <v>0</v>
      </c>
      <c r="B1858" s="233" t="n">
        <f aca="false">B1857+D1858-C1858</f>
        <v>5066.25</v>
      </c>
      <c r="D1858" s="146" t="n">
        <f aca="false">3*281.75+274*3+230+0.25</f>
        <v>1897.5</v>
      </c>
      <c r="E1858" s="147" t="n">
        <v>1465</v>
      </c>
      <c r="F1858" s="147" t="n">
        <f aca="false">IFERROR(VLOOKUP(H1858,$AD$1:$AE$301,2,0),"")</f>
        <v>1002</v>
      </c>
      <c r="G1858" s="147" t="str">
        <f aca="false">IFERROR(VLOOKUP(F1858,$AE$2:$AF$290,2, 0),"")</f>
        <v>الوجه</v>
      </c>
      <c r="H1858" s="212" t="s">
        <v>116</v>
      </c>
      <c r="I1858" s="246" t="n">
        <f aca="false">SUM(K1858:R1858)</f>
        <v>7</v>
      </c>
      <c r="J1858" s="182" t="n">
        <v>45924</v>
      </c>
      <c r="K1858" s="148" t="n">
        <f aca="false">2+1</f>
        <v>3</v>
      </c>
      <c r="M1858" s="150" t="n">
        <v>1</v>
      </c>
      <c r="N1858" s="151" t="n">
        <f aca="false">2+1</f>
        <v>3</v>
      </c>
      <c r="S1858" s="192" t="n">
        <f aca="false">(K1858+O1858+Q1858)*24 /1130+(L1858+M1858+P1858+R1858)*12/1130+(N1858*30)/1130</f>
        <v>0.153982300884956</v>
      </c>
    </row>
    <row r="1859" customFormat="false" ht="15" hidden="true" customHeight="true" outlineLevel="0" collapsed="false">
      <c r="A1859" s="128" t="n">
        <f aca="false">D1859-1690</f>
        <v>0.5</v>
      </c>
      <c r="B1859" s="233" t="n">
        <f aca="false">B1858+D1859-C1859</f>
        <v>6756.75</v>
      </c>
      <c r="D1859" s="146" t="n">
        <f aca="false">281.75*6</f>
        <v>1690.5</v>
      </c>
      <c r="E1859" s="147" t="n">
        <v>1466</v>
      </c>
      <c r="F1859" s="147" t="n">
        <f aca="false">IFERROR(VLOOKUP(H1859,$AD$1:$AE$301,2,0),"")</f>
        <v>1008046</v>
      </c>
      <c r="G1859" s="147" t="str">
        <f aca="false">IFERROR(VLOOKUP(F1859,$AE$2:$AF$290,2, 0),"")</f>
        <v>الوجه</v>
      </c>
      <c r="H1859" s="212" t="s">
        <v>108</v>
      </c>
      <c r="I1859" s="246" t="n">
        <f aca="false">SUM(K1859:R1859)</f>
        <v>6</v>
      </c>
      <c r="J1859" s="182" t="n">
        <v>45924</v>
      </c>
      <c r="K1859" s="148" t="n">
        <f aca="false">4+2</f>
        <v>6</v>
      </c>
      <c r="S1859" s="192" t="n">
        <f aca="false">(K1859+O1859+Q1859)*24 /1130+(L1859+M1859+P1859+R1859)*12/1130+(N1859*30)/1130</f>
        <v>0.127433628318584</v>
      </c>
    </row>
    <row r="1860" customFormat="false" ht="15" hidden="true" customHeight="true" outlineLevel="0" collapsed="false">
      <c r="B1860" s="233" t="n">
        <f aca="false">B1859+D1860-C1860</f>
        <v>7722.75</v>
      </c>
      <c r="D1860" s="146" t="n">
        <f aca="false">253*2+230*2</f>
        <v>966</v>
      </c>
      <c r="E1860" s="147" t="n">
        <v>1467</v>
      </c>
      <c r="F1860" s="147" t="n">
        <f aca="false">IFERROR(VLOOKUP(H1860,$AD$1:$AE$301,2,0),"")</f>
        <v>1008045</v>
      </c>
      <c r="G1860" s="147" t="str">
        <f aca="false">IFERROR(VLOOKUP(F1860,$AE$2:$AF$290,2, 0),"")</f>
        <v>الوجه</v>
      </c>
      <c r="H1860" s="212" t="s">
        <v>107</v>
      </c>
      <c r="I1860" s="246" t="n">
        <f aca="false">SUM(K1860:R1860)</f>
        <v>4</v>
      </c>
      <c r="J1860" s="182" t="n">
        <v>45924</v>
      </c>
      <c r="M1860" s="150" t="n">
        <f aca="false">2+2</f>
        <v>4</v>
      </c>
      <c r="S1860" s="192" t="n">
        <f aca="false">(K1860+O1860+Q1860)*24 /1130+(L1860+M1860+P1860+R1860)*12/1130+(N1860*30)/1130</f>
        <v>0.0424778761061947</v>
      </c>
    </row>
    <row r="1861" customFormat="false" ht="15" hidden="true" customHeight="true" outlineLevel="0" collapsed="false">
      <c r="A1861" s="128" t="n">
        <f aca="false">D1861+D1862-1500-7*5</f>
        <v>0.25</v>
      </c>
      <c r="B1861" s="233" t="n">
        <f aca="false">B1860+D1861-C1861</f>
        <v>8568</v>
      </c>
      <c r="D1861" s="146" t="n">
        <f aca="false">281.75*3</f>
        <v>845.25</v>
      </c>
      <c r="E1861" s="147" t="n">
        <v>1468</v>
      </c>
      <c r="F1861" s="147" t="n">
        <f aca="false">IFERROR(VLOOKUP(H1861,$AD$1:$AE$301,2,0),"")</f>
        <v>1008046</v>
      </c>
      <c r="G1861" s="147" t="str">
        <f aca="false">IFERROR(VLOOKUP(F1861,$AE$2:$AF$290,2, 0),"")</f>
        <v>الوجه</v>
      </c>
      <c r="H1861" s="212" t="s">
        <v>108</v>
      </c>
      <c r="I1861" s="246" t="n">
        <f aca="false">SUM(K1861:R1861)</f>
        <v>3</v>
      </c>
      <c r="J1861" s="182" t="n">
        <v>45924</v>
      </c>
      <c r="K1861" s="148" t="n">
        <f aca="false">2+1</f>
        <v>3</v>
      </c>
      <c r="S1861" s="192" t="n">
        <f aca="false">(K1861+O1861+Q1861)*24 /1130+(L1861+M1861+P1861+R1861)*12/1130+(N1861*30)/1130</f>
        <v>0.063716814159292</v>
      </c>
    </row>
    <row r="1862" customFormat="false" ht="15" hidden="true" customHeight="true" outlineLevel="0" collapsed="false">
      <c r="B1862" s="233" t="n">
        <f aca="false">B1861+D1862-C1862</f>
        <v>9258</v>
      </c>
      <c r="D1862" s="146" t="n">
        <f aca="false">230*3</f>
        <v>690</v>
      </c>
      <c r="E1862" s="147" t="n">
        <v>1469</v>
      </c>
      <c r="F1862" s="147" t="n">
        <f aca="false">IFERROR(VLOOKUP(H1862,$AD$1:$AE$301,2,0),"")</f>
        <v>1008046</v>
      </c>
      <c r="G1862" s="147" t="str">
        <f aca="false">IFERROR(VLOOKUP(F1862,$AE$2:$AF$290,2, 0),"")</f>
        <v>الوجه</v>
      </c>
      <c r="H1862" s="212" t="s">
        <v>108</v>
      </c>
      <c r="I1862" s="246" t="n">
        <f aca="false">SUM(K1862:R1862)</f>
        <v>3</v>
      </c>
      <c r="J1862" s="182" t="n">
        <v>45924</v>
      </c>
      <c r="M1862" s="150" t="n">
        <f aca="false">3</f>
        <v>3</v>
      </c>
      <c r="S1862" s="192" t="n">
        <f aca="false">(K1862+O1862+Q1862)*24 /1130+(L1862+M1862+P1862+R1862)*12/1130+(N1862*30)/1130</f>
        <v>0.031858407079646</v>
      </c>
    </row>
    <row r="1863" customFormat="false" ht="15" hidden="true" customHeight="true" outlineLevel="0" collapsed="false">
      <c r="A1863" s="128" t="n">
        <f aca="false">D1863</f>
        <v>0</v>
      </c>
      <c r="B1863" s="233" t="n">
        <f aca="false">B1862+D1863-C1863</f>
        <v>3191</v>
      </c>
      <c r="C1863" s="127" t="n">
        <f aca="false">757+333.5+274+2000+966+282+500+281.75+281.75+345+46</f>
        <v>6067</v>
      </c>
      <c r="E1863" s="212" t="s">
        <v>470</v>
      </c>
      <c r="F1863" s="147" t="str">
        <f aca="false">IFERROR(VLOOKUP(H1863,$AD$1:$AE$301,2,0),"")</f>
        <v/>
      </c>
      <c r="G1863" s="147" t="str">
        <f aca="false">IFERROR(VLOOKUP(F1863,$AE$2:$AF$290,2, 0),"")</f>
        <v/>
      </c>
      <c r="H1863" s="398" t="s">
        <v>393</v>
      </c>
      <c r="I1863" s="246" t="n">
        <f aca="false">SUM(K1863:R1863)</f>
        <v>0</v>
      </c>
      <c r="J1863" s="182" t="n">
        <v>45924</v>
      </c>
      <c r="S1863" s="192" t="n">
        <f aca="false">(K1863+O1863+Q1863)*24 /1130+(L1863+M1863+P1863+R1863)*12/1130+(N1863*30)/1130</f>
        <v>0</v>
      </c>
    </row>
    <row r="1864" customFormat="false" ht="15" hidden="true" customHeight="true" outlineLevel="0" collapsed="false">
      <c r="B1864" s="233" t="n">
        <f aca="false">B1863+D1864-C1864</f>
        <v>0</v>
      </c>
      <c r="C1864" s="127" t="n">
        <v>3191</v>
      </c>
      <c r="E1864" s="212" t="s">
        <v>662</v>
      </c>
      <c r="F1864" s="147" t="str">
        <f aca="false">IFERROR(VLOOKUP(H1864,$AD$1:$AE$301,2,0),"")</f>
        <v/>
      </c>
      <c r="G1864" s="147" t="str">
        <f aca="false">IFERROR(VLOOKUP(F1864,$AE$2:$AF$290,2, 0),"")</f>
        <v/>
      </c>
      <c r="H1864" s="212" t="s">
        <v>393</v>
      </c>
      <c r="I1864" s="246" t="n">
        <f aca="false">SUM(K1864:R1864)</f>
        <v>0</v>
      </c>
      <c r="J1864" s="182" t="n">
        <v>45925</v>
      </c>
      <c r="S1864" s="192" t="n">
        <f aca="false">(K1864+O1864+Q1864)*24 /1130+(L1864+M1864+P1864+R1864)*12/1130+(N1864*30)/1130</f>
        <v>0</v>
      </c>
    </row>
    <row r="1865" customFormat="false" ht="15" hidden="true" customHeight="true" outlineLevel="0" collapsed="false">
      <c r="A1865" s="128" t="n">
        <f aca="false">D1865-408</f>
        <v>0.25</v>
      </c>
      <c r="B1865" s="233" t="n">
        <f aca="false">B1864+D1865-C1865</f>
        <v>408.25</v>
      </c>
      <c r="D1865" s="146" t="n">
        <f aca="false">155.25+253</f>
        <v>408.25</v>
      </c>
      <c r="E1865" s="147" t="n">
        <v>1470</v>
      </c>
      <c r="F1865" s="147" t="n">
        <f aca="false">IFERROR(VLOOKUP(H1865,$AD$1:$AE$301,2,0),"")</f>
        <v>984</v>
      </c>
      <c r="G1865" s="147" t="str">
        <f aca="false">IFERROR(VLOOKUP(F1865,$AE$2:$AF$290,2, 0),"")</f>
        <v>تبوك</v>
      </c>
      <c r="H1865" s="212" t="s">
        <v>131</v>
      </c>
      <c r="I1865" s="246" t="n">
        <f aca="false">SUM(K1865:R1865)</f>
        <v>2</v>
      </c>
      <c r="J1865" s="182" t="n">
        <v>45927</v>
      </c>
      <c r="M1865" s="150" t="n">
        <v>1</v>
      </c>
      <c r="R1865" s="155" t="n">
        <v>1</v>
      </c>
      <c r="S1865" s="192" t="n">
        <f aca="false">(K1865+O1865+Q1865)*24 /1130+(L1865+M1865+P1865+R1865)*12/1130+(N1865*30)/1130</f>
        <v>0.0212389380530973</v>
      </c>
    </row>
    <row r="1866" customFormat="false" ht="15" hidden="true" customHeight="true" outlineLevel="0" collapsed="false">
      <c r="A1866" s="128" t="n">
        <f aca="false">D1866-28*5-90</f>
        <v>0</v>
      </c>
      <c r="B1866" s="233" t="n">
        <f aca="false">B1865+D1866-C1866</f>
        <v>638.25</v>
      </c>
      <c r="D1866" s="146" t="n">
        <f aca="false">230</f>
        <v>230</v>
      </c>
      <c r="E1866" s="147" t="n">
        <v>1471</v>
      </c>
      <c r="F1866" s="147" t="n">
        <f aca="false">IFERROR(VLOOKUP(H1866,$AD$1:$AE$301,2,0),"")</f>
        <v>954</v>
      </c>
      <c r="G1866" s="147" t="str">
        <f aca="false">IFERROR(VLOOKUP(F1866,$AE$2:$AF$290,2, 0),"")</f>
        <v>تبوك</v>
      </c>
      <c r="H1866" s="212" t="s">
        <v>199</v>
      </c>
      <c r="I1866" s="246" t="n">
        <f aca="false">SUM(K1866:R1866)</f>
        <v>1</v>
      </c>
      <c r="J1866" s="182" t="n">
        <v>45927</v>
      </c>
      <c r="M1866" s="150" t="n">
        <v>1</v>
      </c>
      <c r="S1866" s="192" t="n">
        <f aca="false">(K1866+O1866+Q1866)*24 /1130+(L1866+M1866+P1866+R1866)*12/1130+(N1866*30)/1130</f>
        <v>0.0106194690265487</v>
      </c>
    </row>
    <row r="1867" customFormat="false" ht="15" hidden="true" customHeight="true" outlineLevel="0" collapsed="false">
      <c r="B1867" s="233" t="n">
        <f aca="false">B1866+D1867-C1867</f>
        <v>793.5</v>
      </c>
      <c r="D1867" s="146" t="n">
        <v>155.25</v>
      </c>
      <c r="E1867" s="147" t="n">
        <v>1472</v>
      </c>
      <c r="F1867" s="147" t="n">
        <f aca="false">IFERROR(VLOOKUP(H1867,$AD$1:$AE$301,2,0),"")</f>
        <v>1008269</v>
      </c>
      <c r="G1867" s="147" t="str">
        <f aca="false">IFERROR(VLOOKUP(F1867,$AE$2:$AF$290,2, 0),"")</f>
        <v>تبوك</v>
      </c>
      <c r="H1867" s="212" t="s">
        <v>166</v>
      </c>
      <c r="I1867" s="246" t="n">
        <f aca="false">SUM(K1867:R1867)</f>
        <v>1</v>
      </c>
      <c r="J1867" s="182" t="n">
        <v>45927</v>
      </c>
      <c r="R1867" s="155" t="n">
        <v>1</v>
      </c>
      <c r="S1867" s="192" t="n">
        <f aca="false">(K1867+O1867+Q1867)*24 /1130+(L1867+M1867+P1867+R1867)*12/1130+(N1867*30)/1130</f>
        <v>0.0106194690265487</v>
      </c>
    </row>
    <row r="1868" customFormat="false" ht="15" hidden="true" customHeight="true" outlineLevel="0" collapsed="false">
      <c r="B1868" s="233" t="n">
        <f aca="false">B1867+D1868-C1868</f>
        <v>1983.75</v>
      </c>
      <c r="D1868" s="146" t="n">
        <f aca="false">281.75*3+345</f>
        <v>1190.25</v>
      </c>
      <c r="E1868" s="147" t="n">
        <v>1473</v>
      </c>
      <c r="F1868" s="147" t="n">
        <f aca="false">IFERROR(VLOOKUP(H1868,$AD$1:$AE$301,2,0),"")</f>
        <v>721</v>
      </c>
      <c r="G1868" s="147" t="str">
        <f aca="false">IFERROR(VLOOKUP(F1868,$AE$2:$AF$290,2, 0),"")</f>
        <v>تبوك</v>
      </c>
      <c r="H1868" s="212" t="s">
        <v>183</v>
      </c>
      <c r="I1868" s="246" t="n">
        <f aca="false">SUM(K1868:R1868)</f>
        <v>4</v>
      </c>
      <c r="J1868" s="182" t="n">
        <v>45927</v>
      </c>
      <c r="K1868" s="148" t="n">
        <v>3</v>
      </c>
      <c r="M1868" s="150" t="n">
        <v>1</v>
      </c>
      <c r="S1868" s="192" t="n">
        <f aca="false">(K1868+O1868+Q1868)*24 /1130+(L1868+M1868+P1868+R1868)*12/1130+(N1868*30)/1130</f>
        <v>0.0743362831858407</v>
      </c>
    </row>
    <row r="1869" customFormat="false" ht="15" hidden="true" customHeight="true" outlineLevel="0" collapsed="false">
      <c r="A1869" s="128" t="n">
        <f aca="false">D1869-207</f>
        <v>0</v>
      </c>
      <c r="B1869" s="233" t="n">
        <f aca="false">B1868+D1869-C1869</f>
        <v>2190.75</v>
      </c>
      <c r="D1869" s="146" t="n">
        <v>207</v>
      </c>
      <c r="E1869" s="147" t="n">
        <v>1474</v>
      </c>
      <c r="F1869" s="147" t="n">
        <f aca="false">IFERROR(VLOOKUP(H1869,$AD$1:$AE$301,2,0),"")</f>
        <v>1004</v>
      </c>
      <c r="G1869" s="147" t="str">
        <f aca="false">IFERROR(VLOOKUP(F1869,$AE$2:$AF$290,2, 0),"")</f>
        <v>تبوك</v>
      </c>
      <c r="H1869" s="212" t="s">
        <v>181</v>
      </c>
      <c r="I1869" s="246" t="n">
        <f aca="false">SUM(K1869:R1869)</f>
        <v>1</v>
      </c>
      <c r="J1869" s="182" t="n">
        <v>45927</v>
      </c>
      <c r="M1869" s="150" t="n">
        <v>1</v>
      </c>
      <c r="S1869" s="192" t="n">
        <f aca="false">(K1869+O1869+Q1869)*24 /1130+(L1869+M1869+P1869+R1869)*12/1130+(N1869*30)/1130</f>
        <v>0.0106194690265487</v>
      </c>
    </row>
    <row r="1870" customFormat="false" ht="15" hidden="true" customHeight="true" outlineLevel="0" collapsed="false">
      <c r="A1870" s="128" t="n">
        <f aca="false">D1870-281.75-63-500</f>
        <v>0.5</v>
      </c>
      <c r="B1870" s="233" t="n">
        <f aca="false">B1869+D1870-C1870</f>
        <v>3036</v>
      </c>
      <c r="D1870" s="146" t="n">
        <f aca="false">281.75*3</f>
        <v>845.25</v>
      </c>
      <c r="E1870" s="147" t="n">
        <v>1475</v>
      </c>
      <c r="F1870" s="147" t="n">
        <f aca="false">IFERROR(VLOOKUP(H1870,$AD$1:$AE$301,2,0),"")</f>
        <v>635</v>
      </c>
      <c r="G1870" s="147" t="str">
        <f aca="false">IFERROR(VLOOKUP(F1870,$AE$2:$AF$290,2, 0),"")</f>
        <v>تبوك</v>
      </c>
      <c r="H1870" s="212" t="s">
        <v>157</v>
      </c>
      <c r="I1870" s="246" t="n">
        <f aca="false">SUM(K1870:R1870)</f>
        <v>3</v>
      </c>
      <c r="J1870" s="182" t="n">
        <v>45928</v>
      </c>
      <c r="K1870" s="148" t="n">
        <v>3</v>
      </c>
      <c r="S1870" s="192" t="n">
        <f aca="false">(K1870+O1870+Q1870)*24 /1130+(L1870+M1870+P1870+R1870)*12/1130+(N1870*30)/1130</f>
        <v>0.063716814159292</v>
      </c>
    </row>
    <row r="1871" customFormat="false" ht="15" hidden="true" customHeight="true" outlineLevel="0" collapsed="false">
      <c r="B1871" s="233" t="n">
        <f aca="false">B1870+D1871-C1871</f>
        <v>3490.25</v>
      </c>
      <c r="D1871" s="146" t="n">
        <f aca="false">155.25+299</f>
        <v>454.25</v>
      </c>
      <c r="E1871" s="147" t="n">
        <v>1476</v>
      </c>
      <c r="F1871" s="147" t="n">
        <f aca="false">IFERROR(VLOOKUP(H1871,$AD$1:$AE$301,2,0),"")</f>
        <v>652</v>
      </c>
      <c r="G1871" s="147" t="str">
        <f aca="false">IFERROR(VLOOKUP(F1871,$AE$2:$AF$290,2, 0),"")</f>
        <v>تبوك</v>
      </c>
      <c r="H1871" s="212" t="s">
        <v>263</v>
      </c>
      <c r="I1871" s="246" t="n">
        <f aca="false">SUM(K1871:R1871)</f>
        <v>2</v>
      </c>
      <c r="J1871" s="182" t="n">
        <v>45926</v>
      </c>
      <c r="R1871" s="155" t="n">
        <f aca="false">1+1</f>
        <v>2</v>
      </c>
      <c r="S1871" s="192" t="n">
        <f aca="false">(K1871+O1871+Q1871)*24 /1130+(L1871+M1871+P1871+R1871)*12/1130+(N1871*30)/1130</f>
        <v>0.0212389380530973</v>
      </c>
    </row>
    <row r="1872" customFormat="false" ht="15" hidden="true" customHeight="true" outlineLevel="0" collapsed="false">
      <c r="A1872" s="128" t="n">
        <f aca="false">D1872-100-60-10-50-4.25</f>
        <v>0</v>
      </c>
      <c r="B1872" s="233" t="n">
        <f aca="false">B1871+D1872-C1872</f>
        <v>3714.5</v>
      </c>
      <c r="D1872" s="146" t="n">
        <v>224.25</v>
      </c>
      <c r="E1872" s="147" t="n">
        <v>1477</v>
      </c>
      <c r="F1872" s="147" t="n">
        <f aca="false">IFERROR(VLOOKUP(H1872,$AD$1:$AE$301,2,0),"")</f>
        <v>1007961</v>
      </c>
      <c r="G1872" s="147" t="str">
        <f aca="false">IFERROR(VLOOKUP(F1872,$AE$2:$AF$290,2, 0),"")</f>
        <v>البير</v>
      </c>
      <c r="H1872" s="212" t="s">
        <v>285</v>
      </c>
      <c r="I1872" s="246" t="n">
        <f aca="false">SUM(K1872:R1872)</f>
        <v>1</v>
      </c>
      <c r="J1872" s="182" t="n">
        <v>45928</v>
      </c>
      <c r="R1872" s="155" t="n">
        <v>1</v>
      </c>
      <c r="S1872" s="192" t="n">
        <f aca="false">(K1872+O1872+Q1872)*24 /1130+(L1872+M1872+P1872+R1872)*12/1130+(N1872*30)/1130</f>
        <v>0.0106194690265487</v>
      </c>
    </row>
    <row r="1873" customFormat="false" ht="15" hidden="true" customHeight="true" outlineLevel="0" collapsed="false">
      <c r="A1873" s="128" t="n">
        <f aca="false">D1873-670-5*12+230-110-200-130-377.75+300</f>
        <v>0</v>
      </c>
      <c r="B1873" s="233" t="n">
        <f aca="false">B1872+D1873-C1873</f>
        <v>4732.25</v>
      </c>
      <c r="D1873" s="146" t="n">
        <f aca="false">274*3+195.5+0.25</f>
        <v>1017.75</v>
      </c>
      <c r="E1873" s="147" t="n">
        <v>1456</v>
      </c>
      <c r="F1873" s="147" t="n">
        <f aca="false">IFERROR(VLOOKUP(H1873,$AD$1:$AE$301,2,0),"")</f>
        <v>1008030</v>
      </c>
      <c r="G1873" s="147" t="str">
        <f aca="false">IFERROR(VLOOKUP(F1873,$AE$2:$AF$290,2, 0),"")</f>
        <v>البير</v>
      </c>
      <c r="H1873" s="212" t="s">
        <v>298</v>
      </c>
      <c r="I1873" s="246" t="n">
        <f aca="false">SUM(K1873:R1873)</f>
        <v>4</v>
      </c>
      <c r="J1873" s="182" t="n">
        <v>45921</v>
      </c>
      <c r="N1873" s="151" t="n">
        <f aca="false">2+1</f>
        <v>3</v>
      </c>
      <c r="Q1873" s="154" t="n">
        <v>1</v>
      </c>
      <c r="S1873" s="192" t="n">
        <f aca="false">(K1873+O1873+Q1873)*24 /1130+(L1873+M1873+P1873+R1873)*12/1130+(N1873*30)/1130</f>
        <v>0.100884955752212</v>
      </c>
    </row>
    <row r="1874" customFormat="false" ht="15" hidden="true" customHeight="true" outlineLevel="0" collapsed="false">
      <c r="A1874" s="128" t="n">
        <f aca="false">D1874-548-1000-6*5-7*2-346-65-35-250</f>
        <v>0.5</v>
      </c>
      <c r="B1874" s="233" t="n">
        <f aca="false">B1873+D1874-C1874</f>
        <v>7020.75</v>
      </c>
      <c r="D1874" s="146" t="n">
        <f aca="false">274*6+195.5*2+253+0.5</f>
        <v>2288.5</v>
      </c>
      <c r="E1874" s="147" t="n">
        <v>1479</v>
      </c>
      <c r="F1874" s="147" t="n">
        <f aca="false">IFERROR(VLOOKUP(H1874,$AD$1:$AE$301,2,0),"")</f>
        <v>1007996</v>
      </c>
      <c r="G1874" s="147" t="str">
        <f aca="false">IFERROR(VLOOKUP(F1874,$AE$2:$AF$290,2, 0),"")</f>
        <v>البير</v>
      </c>
      <c r="H1874" s="212" t="s">
        <v>295</v>
      </c>
      <c r="I1874" s="246" t="n">
        <f aca="false">SUM(K1874:R1874)</f>
        <v>9</v>
      </c>
      <c r="J1874" s="182" t="n">
        <v>45928</v>
      </c>
      <c r="M1874" s="150" t="n">
        <v>1</v>
      </c>
      <c r="N1874" s="151" t="n">
        <v>6</v>
      </c>
      <c r="Q1874" s="154" t="n">
        <v>2</v>
      </c>
      <c r="S1874" s="192" t="n">
        <f aca="false">(K1874+O1874+Q1874)*24 /1130+(L1874+M1874+P1874+R1874)*12/1130+(N1874*30)/1130</f>
        <v>0.212389380530973</v>
      </c>
    </row>
    <row r="1875" customFormat="false" ht="15" hidden="true" customHeight="true" outlineLevel="0" collapsed="false">
      <c r="A1875" s="128" t="n">
        <f aca="false">D1875-1620-1000-500-350-150</f>
        <v>2.5</v>
      </c>
      <c r="B1875" s="233" t="n">
        <f aca="false">B1874+D1875-C1875</f>
        <v>10643.25</v>
      </c>
      <c r="D1875" s="146" t="n">
        <f aca="false">6*281.75+3*230+253*3+241.5*2</f>
        <v>3622.5</v>
      </c>
      <c r="E1875" s="147" t="n">
        <v>1480</v>
      </c>
      <c r="F1875" s="147" t="n">
        <f aca="false">IFERROR(VLOOKUP(H1875,$AD$1:$AE$301,2,0),"")</f>
        <v>1008014</v>
      </c>
      <c r="G1875" s="147" t="str">
        <f aca="false">IFERROR(VLOOKUP(F1875,$AE$2:$AF$290,2, 0),"")</f>
        <v>البدع</v>
      </c>
      <c r="H1875" s="212" t="s">
        <v>322</v>
      </c>
      <c r="I1875" s="246" t="n">
        <f aca="false">SUM(K1875:R1875)</f>
        <v>14</v>
      </c>
      <c r="J1875" s="182" t="n">
        <v>45924</v>
      </c>
      <c r="K1875" s="148" t="n">
        <f aca="false">4+2</f>
        <v>6</v>
      </c>
      <c r="M1875" s="150" t="n">
        <f aca="false">3+3</f>
        <v>6</v>
      </c>
      <c r="O1875" s="152" t="n">
        <f aca="false">1+1</f>
        <v>2</v>
      </c>
      <c r="S1875" s="192" t="n">
        <f aca="false">(K1875+O1875+Q1875)*24 /1130+(L1875+M1875+P1875+R1875)*12/1130+(N1875*30)/1130</f>
        <v>0.233628318584071</v>
      </c>
    </row>
    <row r="1876" customFormat="false" ht="15" hidden="true" customHeight="true" outlineLevel="0" collapsed="false">
      <c r="A1876" s="128" t="n">
        <f aca="false">D1876-545-300</f>
        <v>0.25</v>
      </c>
      <c r="B1876" s="233" t="n">
        <f aca="false">B1875+D1876-C1876</f>
        <v>11488.5</v>
      </c>
      <c r="D1876" s="146" t="n">
        <f aca="false">281.75*3</f>
        <v>845.25</v>
      </c>
      <c r="E1876" s="147" t="n">
        <v>1481</v>
      </c>
      <c r="F1876" s="147" t="n">
        <f aca="false">IFERROR(VLOOKUP(H1876,$AD$1:$AE$301,2,0),"")</f>
        <v>1007999</v>
      </c>
      <c r="G1876" s="147" t="str">
        <f aca="false">IFERROR(VLOOKUP(F1876,$AE$2:$AF$290,2, 0),"")</f>
        <v>حقل</v>
      </c>
      <c r="H1876" s="212" t="s">
        <v>312</v>
      </c>
      <c r="I1876" s="246" t="n">
        <f aca="false">SUM(K1876:R1876)</f>
        <v>3</v>
      </c>
      <c r="J1876" s="182" t="n">
        <v>45928</v>
      </c>
      <c r="K1876" s="148" t="n">
        <v>3</v>
      </c>
      <c r="S1876" s="192" t="n">
        <f aca="false">(K1876+O1876+Q1876)*24 /1130+(L1876+M1876+P1876+R1876)*12/1130+(N1876*30)/1130</f>
        <v>0.063716814159292</v>
      </c>
    </row>
    <row r="1877" customFormat="false" ht="15" hidden="true" customHeight="true" outlineLevel="0" collapsed="false">
      <c r="A1877" s="128" t="n">
        <f aca="false">D1877-175-216</f>
        <v>0</v>
      </c>
      <c r="B1877" s="233" t="n">
        <f aca="false">B1876+D1877-C1877</f>
        <v>11879.5</v>
      </c>
      <c r="D1877" s="146" t="n">
        <f aca="false">253+138</f>
        <v>391</v>
      </c>
      <c r="E1877" s="147" t="n">
        <v>1482</v>
      </c>
      <c r="F1877" s="147" t="n">
        <f aca="false">IFERROR(VLOOKUP(H1877,$AD$1:$AE$301,2,0),"")</f>
        <v>1008004</v>
      </c>
      <c r="G1877" s="147" t="str">
        <f aca="false">IFERROR(VLOOKUP(F1877,$AE$2:$AF$290,2, 0),"")</f>
        <v>حقل</v>
      </c>
      <c r="H1877" s="212" t="s">
        <v>316</v>
      </c>
      <c r="I1877" s="246" t="n">
        <f aca="false">SUM(K1877:R1877)</f>
        <v>2</v>
      </c>
      <c r="J1877" s="182" t="n">
        <v>45928</v>
      </c>
      <c r="M1877" s="150" t="n">
        <v>1</v>
      </c>
      <c r="Q1877" s="154" t="n">
        <v>1</v>
      </c>
      <c r="S1877" s="192" t="n">
        <f aca="false">(K1877+O1877+Q1877)*24 /1130+(L1877+M1877+P1877+R1877)*12/1130+(N1877*30)/1130</f>
        <v>0.031858407079646</v>
      </c>
    </row>
    <row r="1878" customFormat="false" ht="15" hidden="true" customHeight="true" outlineLevel="0" collapsed="false">
      <c r="B1878" s="233" t="n">
        <f aca="false">B1877+D1878-C1878</f>
        <v>12109.5</v>
      </c>
      <c r="D1878" s="146" t="n">
        <v>230</v>
      </c>
      <c r="E1878" s="147" t="n">
        <v>1483</v>
      </c>
      <c r="F1878" s="147" t="n">
        <f aca="false">IFERROR(VLOOKUP(H1878,$AD$1:$AE$301,2,0),"")</f>
        <v>1008030</v>
      </c>
      <c r="G1878" s="147" t="str">
        <f aca="false">IFERROR(VLOOKUP(F1878,$AE$2:$AF$290,2, 0),"")</f>
        <v>البير</v>
      </c>
      <c r="H1878" s="398" t="s">
        <v>298</v>
      </c>
      <c r="I1878" s="246" t="n">
        <f aca="false">SUM(K1878:R1878)</f>
        <v>1</v>
      </c>
      <c r="J1878" s="182" t="n">
        <v>45928</v>
      </c>
      <c r="M1878" s="150" t="n">
        <v>1</v>
      </c>
      <c r="S1878" s="192" t="n">
        <f aca="false">(K1878+O1878+Q1878)*24 /1130+(L1878+M1878+P1878+R1878)*12/1130+(N1878*30)/1130</f>
        <v>0.0106194690265487</v>
      </c>
    </row>
    <row r="1879" customFormat="false" ht="15" hidden="true" customHeight="true" outlineLevel="0" collapsed="false">
      <c r="B1879" s="233" t="n">
        <f aca="false">B1878+D1879-C1879</f>
        <v>0</v>
      </c>
      <c r="C1879" s="127" t="n">
        <f aca="false">670+181.75+1000+1000+175+545+6282+346+110+500+1300</f>
        <v>12109.75</v>
      </c>
      <c r="D1879" s="146" t="n">
        <v>0.25</v>
      </c>
      <c r="E1879" s="212" t="s">
        <v>470</v>
      </c>
      <c r="F1879" s="147" t="str">
        <f aca="false">IFERROR(VLOOKUP(H1879,$AD$1:$AE$301,2,0),"")</f>
        <v/>
      </c>
      <c r="G1879" s="147" t="str">
        <f aca="false">IFERROR(VLOOKUP(F1879,$AE$2:$AF$290,2, 0),"")</f>
        <v/>
      </c>
      <c r="H1879" s="212" t="s">
        <v>393</v>
      </c>
      <c r="I1879" s="246" t="n">
        <f aca="false">SUM(K1879:R1879)</f>
        <v>0</v>
      </c>
      <c r="J1879" s="182" t="n">
        <v>45928</v>
      </c>
      <c r="S1879" s="192" t="n">
        <f aca="false">(K1879+O1879+Q1879)*24 /1130+(L1879+M1879+P1879+R1879)*12/1130+(N1879*30)/1130</f>
        <v>0</v>
      </c>
    </row>
    <row r="1880" customFormat="false" ht="15" hidden="true" customHeight="true" outlineLevel="0" collapsed="false">
      <c r="A1880" s="128" t="n">
        <f aca="false">D1880-500-345</f>
        <v>0.25</v>
      </c>
      <c r="B1880" s="233" t="n">
        <f aca="false">B1879+D1880-C1880</f>
        <v>845.25</v>
      </c>
      <c r="D1880" s="146" t="n">
        <f aca="false">281.75*3</f>
        <v>845.25</v>
      </c>
      <c r="E1880" s="147" t="n">
        <v>1484</v>
      </c>
      <c r="F1880" s="147" t="n">
        <f aca="false">IFERROR(VLOOKUP(H1880,$AD$1:$AE$301,2,0),"")</f>
        <v>653</v>
      </c>
      <c r="G1880" s="147" t="str">
        <f aca="false">IFERROR(VLOOKUP(F1880,$AE$2:$AF$290,2, 0),"")</f>
        <v>تبوك</v>
      </c>
      <c r="H1880" s="212" t="s">
        <v>264</v>
      </c>
      <c r="I1880" s="246" t="n">
        <f aca="false">SUM(K1880:R1880)</f>
        <v>3</v>
      </c>
      <c r="J1880" s="182" t="n">
        <v>45929</v>
      </c>
      <c r="K1880" s="148" t="n">
        <v>3</v>
      </c>
      <c r="S1880" s="192" t="n">
        <f aca="false">(K1880+O1880+Q1880)*24 /1130+(L1880+M1880+P1880+R1880)*12/1130+(N1880*30)/1130</f>
        <v>0.063716814159292</v>
      </c>
    </row>
    <row r="1881" customFormat="false" ht="15" hidden="true" customHeight="true" outlineLevel="0" collapsed="false">
      <c r="A1881" s="128" t="n">
        <f aca="false">D1881-400-345-100</f>
        <v>0.25</v>
      </c>
      <c r="B1881" s="233" t="n">
        <f aca="false">B1880+D1881-C1881</f>
        <v>1690.5</v>
      </c>
      <c r="D1881" s="146" t="n">
        <f aca="false">281.75*3</f>
        <v>845.25</v>
      </c>
      <c r="E1881" s="147" t="n">
        <v>1485</v>
      </c>
      <c r="F1881" s="147" t="n">
        <f aca="false">IFERROR(VLOOKUP(H1881,$AD$1:$AE$301,2,0),"")</f>
        <v>1008260</v>
      </c>
      <c r="G1881" s="147" t="str">
        <f aca="false">IFERROR(VLOOKUP(F1881,$AE$2:$AF$290,2, 0),"")</f>
        <v>تبوك</v>
      </c>
      <c r="H1881" s="212" t="s">
        <v>184</v>
      </c>
      <c r="I1881" s="246" t="n">
        <f aca="false">SUM(K1881:R1881)</f>
        <v>3</v>
      </c>
      <c r="J1881" s="182" t="n">
        <v>45929</v>
      </c>
      <c r="K1881" s="148" t="n">
        <v>3</v>
      </c>
      <c r="S1881" s="192" t="n">
        <f aca="false">(K1881+O1881+Q1881)*24 /1130+(L1881+M1881+P1881+R1881)*12/1130+(N1881*30)/1130</f>
        <v>0.063716814159292</v>
      </c>
    </row>
    <row r="1882" customFormat="false" ht="15" hidden="true" customHeight="true" outlineLevel="0" collapsed="false">
      <c r="A1882" s="128" t="n">
        <f aca="false">D1882+90-300-42</f>
        <v>1</v>
      </c>
      <c r="B1882" s="233" t="n">
        <f aca="false">B1881+D1882-C1882</f>
        <v>1943.5</v>
      </c>
      <c r="D1882" s="146" t="n">
        <v>253</v>
      </c>
      <c r="E1882" s="147" t="n">
        <v>1486</v>
      </c>
      <c r="F1882" s="147" t="n">
        <f aca="false">IFERROR(VLOOKUP(H1882,$AD$1:$AE$301,2,0),"")</f>
        <v>954</v>
      </c>
      <c r="G1882" s="147" t="str">
        <f aca="false">IFERROR(VLOOKUP(F1882,$AE$2:$AF$290,2, 0),"")</f>
        <v>تبوك</v>
      </c>
      <c r="H1882" s="212" t="s">
        <v>199</v>
      </c>
      <c r="I1882" s="246" t="n">
        <f aca="false">SUM(K1882:R1882)</f>
        <v>1</v>
      </c>
      <c r="J1882" s="182" t="n">
        <v>45929</v>
      </c>
      <c r="M1882" s="150" t="n">
        <v>1</v>
      </c>
      <c r="S1882" s="192" t="n">
        <f aca="false">(K1882+O1882+Q1882)*24 /1130+(L1882+M1882+P1882+R1882)*12/1130+(N1882*30)/1130</f>
        <v>0.0106194690265487</v>
      </c>
    </row>
    <row r="1883" customFormat="false" ht="15" hidden="true" customHeight="true" outlineLevel="0" collapsed="false">
      <c r="A1883" s="128" t="n">
        <f aca="false">138-138</f>
        <v>0</v>
      </c>
      <c r="B1883" s="233" t="n">
        <f aca="false">B1882+D1883-C1883</f>
        <v>2081.5</v>
      </c>
      <c r="D1883" s="146" t="n">
        <f aca="false">138</f>
        <v>138</v>
      </c>
      <c r="E1883" s="147" t="n">
        <v>1487</v>
      </c>
      <c r="F1883" s="147" t="n">
        <f aca="false">IFERROR(VLOOKUP(H1883,$AD$1:$AE$301,2,0),"")</f>
        <v>945</v>
      </c>
      <c r="G1883" s="147" t="str">
        <f aca="false">IFERROR(VLOOKUP(F1883,$AE$2:$AF$290,2, 0),"")</f>
        <v>تبوك</v>
      </c>
      <c r="H1883" s="398" t="s">
        <v>137</v>
      </c>
      <c r="I1883" s="246" t="n">
        <f aca="false">SUM(K1883:R1883)</f>
        <v>1</v>
      </c>
      <c r="J1883" s="182" t="n">
        <v>45929</v>
      </c>
      <c r="Q1883" s="154" t="n">
        <v>1</v>
      </c>
      <c r="S1883" s="192" t="n">
        <f aca="false">(K1883+O1883+Q1883)*24 /1130+(L1883+M1883+P1883+R1883)*12/1130+(N1883*30)/1130</f>
        <v>0.0212389380530973</v>
      </c>
    </row>
    <row r="1884" customFormat="false" ht="15" hidden="true" customHeight="true" outlineLevel="0" collapsed="false">
      <c r="A1884" s="128" t="n">
        <f aca="false">D1884-245-300-150-10*5-25*2-35-15</f>
        <v>0.25</v>
      </c>
      <c r="B1884" s="233" t="n">
        <f aca="false">B1883+D1884-C1884</f>
        <v>2926.75</v>
      </c>
      <c r="D1884" s="146" t="n">
        <f aca="false">281.75*3</f>
        <v>845.25</v>
      </c>
      <c r="E1884" s="147" t="n">
        <v>1488</v>
      </c>
      <c r="F1884" s="147" t="n">
        <f aca="false">IFERROR(VLOOKUP(H1884,$AD$1:$AE$301,2,0),"")</f>
        <v>1008266</v>
      </c>
      <c r="G1884" s="147" t="str">
        <f aca="false">IFERROR(VLOOKUP(F1884,$AE$2:$AF$290,2, 0),"")</f>
        <v>تبوك</v>
      </c>
      <c r="H1884" s="212" t="s">
        <v>178</v>
      </c>
      <c r="I1884" s="246" t="n">
        <f aca="false">SUM(K1884:R1884)</f>
        <v>3</v>
      </c>
      <c r="J1884" s="182" t="n">
        <v>45929</v>
      </c>
      <c r="K1884" s="148" t="n">
        <f aca="false">2+1</f>
        <v>3</v>
      </c>
      <c r="S1884" s="192" t="n">
        <f aca="false">(K1884+O1884+Q1884)*24 /1130+(L1884+M1884+P1884+R1884)*12/1130+(N1884*30)/1130</f>
        <v>0.063716814159292</v>
      </c>
    </row>
    <row r="1885" customFormat="false" ht="15" hidden="true" customHeight="true" outlineLevel="0" collapsed="false">
      <c r="A1885" s="128" t="n">
        <f aca="false">D1885-281.75-281.75-281.75</f>
        <v>0</v>
      </c>
      <c r="B1885" s="233" t="n">
        <f aca="false">B1884+D1885-C1885</f>
        <v>3772</v>
      </c>
      <c r="D1885" s="146" t="n">
        <f aca="false">281.75*3</f>
        <v>845.25</v>
      </c>
      <c r="E1885" s="147" t="n">
        <v>1489</v>
      </c>
      <c r="F1885" s="147" t="n">
        <f aca="false">IFERROR(VLOOKUP(H1885,$AD$1:$AE$301,2,0),"")</f>
        <v>755</v>
      </c>
      <c r="G1885" s="147" t="str">
        <f aca="false">IFERROR(VLOOKUP(F1885,$AE$2:$AF$290,2, 0),"")</f>
        <v>تبوك</v>
      </c>
      <c r="H1885" s="212" t="s">
        <v>180</v>
      </c>
      <c r="I1885" s="246" t="n">
        <f aca="false">SUM(K1885:R1885)</f>
        <v>3</v>
      </c>
      <c r="J1885" s="182" t="n">
        <v>45929</v>
      </c>
      <c r="K1885" s="148" t="n">
        <f aca="false">1+1+1</f>
        <v>3</v>
      </c>
      <c r="S1885" s="192" t="n">
        <f aca="false">(K1885+O1885+Q1885)*24 /1130+(L1885+M1885+P1885+R1885)*12/1130+(N1885*30)/1130</f>
        <v>0.063716814159292</v>
      </c>
    </row>
    <row r="1886" customFormat="false" ht="15" hidden="true" customHeight="true" outlineLevel="0" collapsed="false">
      <c r="A1886" s="128" t="n">
        <f aca="false">D1886-100-1000-500-250-50-100-80</f>
        <v>1.5</v>
      </c>
      <c r="B1886" s="233" t="n">
        <f aca="false">B1885+D1886-C1886</f>
        <v>5853.5</v>
      </c>
      <c r="D1886" s="146" t="n">
        <f aca="false">281.75*6+138+253</f>
        <v>2081.5</v>
      </c>
      <c r="E1886" s="147" t="n">
        <v>1490</v>
      </c>
      <c r="F1886" s="147" t="n">
        <f aca="false">IFERROR(VLOOKUP(H1886,$AD$1:$AE$301,2,0),"")</f>
        <v>982</v>
      </c>
      <c r="G1886" s="147" t="str">
        <f aca="false">IFERROR(VLOOKUP(F1886,$AE$2:$AF$290,2, 0),"")</f>
        <v>تبوك</v>
      </c>
      <c r="H1886" s="212" t="s">
        <v>154</v>
      </c>
      <c r="I1886" s="246" t="n">
        <f aca="false">SUM(K1886:R1886)</f>
        <v>8</v>
      </c>
      <c r="J1886" s="182" t="n">
        <v>45929</v>
      </c>
      <c r="K1886" s="148" t="n">
        <f aca="false">3+3</f>
        <v>6</v>
      </c>
      <c r="M1886" s="150" t="n">
        <v>1</v>
      </c>
      <c r="Q1886" s="154" t="n">
        <v>1</v>
      </c>
      <c r="S1886" s="192" t="n">
        <f aca="false">(K1886+O1886+Q1886)*24 /1130+(L1886+M1886+P1886+R1886)*12/1130+(N1886*30)/1130</f>
        <v>0.15929203539823</v>
      </c>
    </row>
    <row r="1887" customFormat="false" ht="15" hidden="true" customHeight="true" outlineLevel="0" collapsed="false">
      <c r="A1887" s="128" t="n">
        <f aca="false">D1887-264+253-552.5</f>
        <v>0</v>
      </c>
      <c r="B1887" s="233" t="n">
        <f aca="false">B1886+D1887-C1887</f>
        <v>6417</v>
      </c>
      <c r="D1887" s="146" t="n">
        <f aca="false">253*1+155.25*2</f>
        <v>563.5</v>
      </c>
      <c r="E1887" s="147" t="n">
        <v>1491</v>
      </c>
      <c r="F1887" s="147" t="n">
        <f aca="false">IFERROR(VLOOKUP(H1887,$AD$1:$AE$301,2,0),"")</f>
        <v>1006</v>
      </c>
      <c r="G1887" s="147" t="str">
        <f aca="false">IFERROR(VLOOKUP(F1887,$AE$2:$AF$290,2, 0),"")</f>
        <v>تبوك</v>
      </c>
      <c r="H1887" s="212" t="s">
        <v>278</v>
      </c>
      <c r="I1887" s="246" t="n">
        <f aca="false">SUM(K1887:R1887)</f>
        <v>3</v>
      </c>
      <c r="J1887" s="182" t="n">
        <v>45929</v>
      </c>
      <c r="M1887" s="150" t="n">
        <v>1</v>
      </c>
      <c r="R1887" s="155" t="n">
        <f aca="false">2</f>
        <v>2</v>
      </c>
      <c r="S1887" s="192" t="n">
        <f aca="false">(K1887+O1887+Q1887)*24 /1130+(L1887+M1887+P1887+R1887)*12/1130+(N1887*30)/1130</f>
        <v>0.031858407079646</v>
      </c>
    </row>
    <row r="1888" customFormat="false" ht="15" hidden="true" customHeight="true" outlineLevel="0" collapsed="false">
      <c r="A1888" s="128" t="n">
        <f aca="false">D1888-300-500-100-135+51</f>
        <v>-0.75</v>
      </c>
      <c r="B1888" s="233" t="n">
        <f aca="false">B1887+D1888-C1888</f>
        <v>7400.25</v>
      </c>
      <c r="D1888" s="146" t="n">
        <f aca="false">138+281.75*3</f>
        <v>983.25</v>
      </c>
      <c r="E1888" s="147" t="n">
        <v>1492</v>
      </c>
      <c r="F1888" s="147" t="n">
        <f aca="false">IFERROR(VLOOKUP(H1888,$AD$1:$AE$301,2,0),"")</f>
        <v>1002949</v>
      </c>
      <c r="G1888" s="147" t="str">
        <f aca="false">IFERROR(VLOOKUP(F1888,$AE$2:$AF$290,2, 0),"")</f>
        <v>تبوك</v>
      </c>
      <c r="H1888" s="212" t="s">
        <v>169</v>
      </c>
      <c r="I1888" s="246" t="n">
        <f aca="false">SUM(K1888:R1888)</f>
        <v>4</v>
      </c>
      <c r="J1888" s="182" t="n">
        <v>45929</v>
      </c>
      <c r="K1888" s="427" t="n">
        <f aca="false">1+2</f>
        <v>3</v>
      </c>
      <c r="Q1888" s="154" t="n">
        <v>1</v>
      </c>
      <c r="S1888" s="192" t="n">
        <f aca="false">(K1888+O1888+Q1888)*24 /1130+(L1888+M1888+P1888+R1888)*12/1130+(N1888*30)/1130</f>
        <v>0.0849557522123894</v>
      </c>
    </row>
    <row r="1889" customFormat="false" ht="15" hidden="true" customHeight="true" outlineLevel="0" collapsed="false">
      <c r="A1889" s="128" t="n">
        <f aca="false">D1889-690</f>
        <v>0</v>
      </c>
      <c r="B1889" s="233" t="n">
        <f aca="false">B1888+D1889-C1889</f>
        <v>8090.25</v>
      </c>
      <c r="D1889" s="146" t="n">
        <f aca="false">138*5</f>
        <v>690</v>
      </c>
      <c r="E1889" s="147" t="n">
        <v>1493</v>
      </c>
      <c r="F1889" s="147" t="n">
        <f aca="false">IFERROR(VLOOKUP(H1889,$AD$1:$AE$301,2,0),"")</f>
        <v>1008023</v>
      </c>
      <c r="G1889" s="147" t="str">
        <f aca="false">IFERROR(VLOOKUP(F1889,$AE$2:$AF$290,2, 0),"")</f>
        <v>ضباء</v>
      </c>
      <c r="H1889" s="212" t="s">
        <v>95</v>
      </c>
      <c r="I1889" s="246" t="n">
        <f aca="false">SUM(K1889:R1889)</f>
        <v>5</v>
      </c>
      <c r="J1889" s="182" t="n">
        <v>45929</v>
      </c>
      <c r="Q1889" s="154" t="n">
        <v>5</v>
      </c>
      <c r="S1889" s="192" t="n">
        <f aca="false">(K1889+O1889+Q1889)*24 /1130+(L1889+M1889+P1889+R1889)*12/1130+(N1889*30)/1130</f>
        <v>0.106194690265487</v>
      </c>
    </row>
    <row r="1890" customFormat="false" ht="15" hidden="true" customHeight="true" outlineLevel="0" collapsed="false">
      <c r="B1890" s="233" t="n">
        <f aca="false">B1889+D1890-C1890</f>
        <v>8912.5</v>
      </c>
      <c r="D1890" s="146" t="n">
        <f aca="false">274*3+0.25</f>
        <v>822.25</v>
      </c>
      <c r="E1890" s="147" t="n">
        <v>1494</v>
      </c>
      <c r="F1890" s="147" t="n">
        <f aca="false">IFERROR(VLOOKUP(H1890,$AD$1:$AE$301,2,0),"")</f>
        <v>1008024</v>
      </c>
      <c r="G1890" s="147" t="str">
        <f aca="false">IFERROR(VLOOKUP(F1890,$AE$2:$AF$290,2, 0),"")</f>
        <v>ضباء</v>
      </c>
      <c r="H1890" s="212" t="s">
        <v>96</v>
      </c>
      <c r="I1890" s="246" t="n">
        <f aca="false">SUM(K1890:R1890)</f>
        <v>3</v>
      </c>
      <c r="J1890" s="182" t="n">
        <v>45929</v>
      </c>
      <c r="N1890" s="151" t="n">
        <v>3</v>
      </c>
      <c r="S1890" s="192" t="n">
        <f aca="false">(K1890+O1890+Q1890)*24 /1130+(L1890+M1890+P1890+R1890)*12/1130+(N1890*30)/1130</f>
        <v>0.079646017699115</v>
      </c>
    </row>
    <row r="1891" customFormat="false" ht="15" hidden="true" customHeight="true" outlineLevel="0" collapsed="false">
      <c r="B1891" s="233" t="n">
        <f aca="false">B1890+D1891-C1891</f>
        <v>10223.5</v>
      </c>
      <c r="D1891" s="146" t="n">
        <f aca="false">253*2+230*2+345</f>
        <v>1311</v>
      </c>
      <c r="E1891" s="147" t="n">
        <v>1495</v>
      </c>
      <c r="F1891" s="147" t="n">
        <f aca="false">IFERROR(VLOOKUP(H1891,$AD$1:$AE$301,2,0),"")</f>
        <v>1007988</v>
      </c>
      <c r="G1891" s="147" t="str">
        <f aca="false">IFERROR(VLOOKUP(F1891,$AE$2:$AF$290,2, 0),"")</f>
        <v>ضباء</v>
      </c>
      <c r="H1891" s="212" t="s">
        <v>89</v>
      </c>
      <c r="I1891" s="246" t="n">
        <f aca="false">SUM(K1891:R1891)</f>
        <v>5</v>
      </c>
      <c r="J1891" s="182" t="n">
        <v>45929</v>
      </c>
      <c r="M1891" s="150" t="n">
        <f aca="false">2+2+1</f>
        <v>5</v>
      </c>
      <c r="S1891" s="192" t="n">
        <f aca="false">(K1891+O1891+Q1891)*24 /1130+(L1891+M1891+P1891+R1891)*12/1130+(N1891*30)/1130</f>
        <v>0.0530973451327434</v>
      </c>
    </row>
    <row r="1892" customFormat="false" ht="15" hidden="true" customHeight="true" outlineLevel="0" collapsed="false">
      <c r="A1892" s="128" t="n">
        <f aca="false">D1892-281.75-563.5</f>
        <v>0</v>
      </c>
      <c r="B1892" s="233" t="n">
        <f aca="false">B1891+D1892-C1892</f>
        <v>11068.75</v>
      </c>
      <c r="D1892" s="146" t="n">
        <f aca="false">281.75*3</f>
        <v>845.25</v>
      </c>
      <c r="E1892" s="147" t="n">
        <v>1496</v>
      </c>
      <c r="F1892" s="147" t="n">
        <f aca="false">IFERROR(VLOOKUP(H1892,$AD$1:$AE$301,2,0),"")</f>
        <v>1008045</v>
      </c>
      <c r="G1892" s="147" t="str">
        <f aca="false">IFERROR(VLOOKUP(F1892,$AE$2:$AF$290,2, 0),"")</f>
        <v>الوجه</v>
      </c>
      <c r="H1892" s="212" t="s">
        <v>107</v>
      </c>
      <c r="I1892" s="246" t="n">
        <f aca="false">SUM(K1892:R1892)</f>
        <v>3</v>
      </c>
      <c r="J1892" s="182" t="n">
        <v>45929</v>
      </c>
      <c r="K1892" s="148" t="n">
        <v>3</v>
      </c>
      <c r="S1892" s="192" t="n">
        <f aca="false">(K1892+O1892+Q1892)*24 /1130+(L1892+M1892+P1892+R1892)*12/1130+(N1892*30)/1130</f>
        <v>0.063716814159292</v>
      </c>
    </row>
    <row r="1893" customFormat="false" ht="15" hidden="true" customHeight="true" outlineLevel="0" collapsed="false">
      <c r="A1893" s="128" t="n">
        <f aca="false">D1893-1690-6142-2311</f>
        <v>0</v>
      </c>
      <c r="B1893" s="233" t="n">
        <f aca="false">B1892+D1893-C1893</f>
        <v>21211.75</v>
      </c>
      <c r="D1893" s="146" t="n">
        <f aca="false">36*281.75</f>
        <v>10143</v>
      </c>
      <c r="E1893" s="147" t="n">
        <v>1497</v>
      </c>
      <c r="F1893" s="147" t="n">
        <f aca="false">IFERROR(VLOOKUP(H1893,$AD$1:$AE$301,2,0),"")</f>
        <v>1008048</v>
      </c>
      <c r="G1893" s="147" t="str">
        <f aca="false">IFERROR(VLOOKUP(F1893,$AE$2:$AF$290,2, 0),"")</f>
        <v>الوجه</v>
      </c>
      <c r="H1893" s="212" t="s">
        <v>110</v>
      </c>
      <c r="I1893" s="246" t="n">
        <f aca="false">SUM(K1893:R1893)</f>
        <v>36</v>
      </c>
      <c r="J1893" s="182" t="n">
        <v>45929</v>
      </c>
      <c r="K1893" s="148" t="n">
        <f aca="false">2+4+15+15</f>
        <v>36</v>
      </c>
      <c r="S1893" s="192" t="n">
        <f aca="false">(K1893+O1893+Q1893)*24 /1130+(L1893+M1893+P1893+R1893)*12/1130+(N1893*30)/1130</f>
        <v>0.764601769911504</v>
      </c>
    </row>
    <row r="1894" customFormat="false" ht="15" hidden="true" customHeight="true" outlineLevel="0" collapsed="false">
      <c r="A1894" s="128" t="n">
        <f aca="false">D1894-1410-280</f>
        <v>0.5</v>
      </c>
      <c r="B1894" s="233" t="n">
        <f aca="false">B1893+D1894-C1894</f>
        <v>22902.25</v>
      </c>
      <c r="D1894" s="146" t="n">
        <f aca="false">281.75*6</f>
        <v>1690.5</v>
      </c>
      <c r="E1894" s="147" t="n">
        <v>1498</v>
      </c>
      <c r="F1894" s="147" t="n">
        <f aca="false">IFERROR(VLOOKUP(H1894,$AD$1:$AE$301,2,0),"")</f>
        <v>1008047</v>
      </c>
      <c r="G1894" s="147" t="str">
        <f aca="false">IFERROR(VLOOKUP(F1894,$AE$2:$AF$290,2, 0),"")</f>
        <v>الوجه</v>
      </c>
      <c r="H1894" s="212" t="s">
        <v>422</v>
      </c>
      <c r="I1894" s="246" t="n">
        <f aca="false">SUM(K1894:R1894)</f>
        <v>6</v>
      </c>
      <c r="J1894" s="182" t="n">
        <v>45929</v>
      </c>
      <c r="K1894" s="148" t="n">
        <v>6</v>
      </c>
      <c r="S1894" s="192" t="n">
        <f aca="false">(K1894+O1894+Q1894)*24 /1130+(L1894+M1894+P1894+R1894)*12/1130+(N1894*30)/1130</f>
        <v>0.127433628318584</v>
      </c>
    </row>
    <row r="1895" customFormat="false" ht="15" hidden="true" customHeight="true" outlineLevel="0" collapsed="false">
      <c r="A1895" s="128" t="n">
        <f aca="false">D1895-1667.5</f>
        <v>0</v>
      </c>
      <c r="B1895" s="233" t="n">
        <f aca="false">B1894+D1895-C1895</f>
        <v>24569.75</v>
      </c>
      <c r="D1895" s="146" t="n">
        <f aca="false">281.75*3+3*274+0.25</f>
        <v>1667.5</v>
      </c>
      <c r="E1895" s="147" t="n">
        <v>1499</v>
      </c>
      <c r="F1895" s="147" t="n">
        <f aca="false">IFERROR(VLOOKUP(H1895,$AD$1:$AE$301,2,0),"")</f>
        <v>1008276</v>
      </c>
      <c r="G1895" s="147" t="str">
        <f aca="false">IFERROR(VLOOKUP(F1895,$AE$2:$AF$290,2, 0),"")</f>
        <v>تبوك</v>
      </c>
      <c r="H1895" s="212" t="s">
        <v>145</v>
      </c>
      <c r="I1895" s="246" t="n">
        <f aca="false">SUM(K1895:R1895)</f>
        <v>6</v>
      </c>
      <c r="J1895" s="182" t="n">
        <v>45929</v>
      </c>
      <c r="K1895" s="148" t="n">
        <v>3</v>
      </c>
      <c r="N1895" s="151" t="n">
        <v>3</v>
      </c>
      <c r="S1895" s="192" t="n">
        <f aca="false">(K1895+O1895+Q1895)*24 /1130+(L1895+M1895+P1895+R1895)*12/1130+(N1895*30)/1130</f>
        <v>0.143362831858407</v>
      </c>
    </row>
    <row r="1896" customFormat="false" ht="15" hidden="true" customHeight="true" outlineLevel="0" collapsed="false">
      <c r="A1896" s="128" t="n">
        <f aca="false">D1896-1403</f>
        <v>0</v>
      </c>
      <c r="B1896" s="233" t="n">
        <f aca="false">B1895+D1896-C1896</f>
        <v>25972.75</v>
      </c>
      <c r="D1896" s="146" t="n">
        <f aca="false">281.75*3+155.25+264.5+138</f>
        <v>1403</v>
      </c>
      <c r="E1896" s="147" t="n">
        <v>1501</v>
      </c>
      <c r="F1896" s="147" t="n">
        <f aca="false">IFERROR(VLOOKUP(H1896,$AD$1:$AE$301,2,0),"")</f>
        <v>1004</v>
      </c>
      <c r="G1896" s="147" t="str">
        <f aca="false">IFERROR(VLOOKUP(F1896,$AE$2:$AF$290,2, 0),"")</f>
        <v>تبوك</v>
      </c>
      <c r="H1896" s="212" t="s">
        <v>181</v>
      </c>
      <c r="I1896" s="246" t="n">
        <f aca="false">SUM(K1896:R1896)</f>
        <v>6</v>
      </c>
      <c r="J1896" s="182" t="n">
        <v>45930</v>
      </c>
      <c r="K1896" s="148" t="n">
        <v>3</v>
      </c>
      <c r="Q1896" s="154" t="n">
        <v>1</v>
      </c>
      <c r="R1896" s="155" t="n">
        <f aca="false">1+1</f>
        <v>2</v>
      </c>
      <c r="S1896" s="192" t="n">
        <f aca="false">(K1896+O1896+Q1896)*24 /1130+(L1896+M1896+P1896+R1896)*12/1130+(N1896*30)/1130</f>
        <v>0.106194690265487</v>
      </c>
      <c r="T1896" s="127" t="n">
        <v>1</v>
      </c>
    </row>
    <row r="1897" customFormat="false" ht="15" hidden="true" customHeight="true" outlineLevel="0" collapsed="false">
      <c r="B1897" s="233" t="n">
        <f aca="false">B1896+D1897-C1897</f>
        <v>26386.75</v>
      </c>
      <c r="D1897" s="146" t="n">
        <f aca="false">138*3</f>
        <v>414</v>
      </c>
      <c r="E1897" s="147" t="n">
        <v>1500</v>
      </c>
      <c r="F1897" s="147" t="n">
        <f aca="false">IFERROR(VLOOKUP(H1897,$AD$1:$AE$301,2,0),"")</f>
        <v>1006470</v>
      </c>
      <c r="G1897" s="147" t="str">
        <f aca="false">IFERROR(VLOOKUP(F1897,$AE$2:$AF$290,2, 0),"")</f>
        <v>تبوك</v>
      </c>
      <c r="H1897" s="212" t="s">
        <v>276</v>
      </c>
      <c r="I1897" s="246" t="n">
        <f aca="false">SUM(K1897:R1897)</f>
        <v>3</v>
      </c>
      <c r="J1897" s="182" t="n">
        <v>45930</v>
      </c>
      <c r="Q1897" s="154" t="n">
        <v>3</v>
      </c>
      <c r="S1897" s="192" t="n">
        <f aca="false">(K1897+O1897+Q1897)*24 /1130+(L1897+M1897+P1897+R1897)*12/1130+(N1897*30)/1130</f>
        <v>0.063716814159292</v>
      </c>
    </row>
    <row r="1898" customFormat="false" ht="15" hidden="true" customHeight="true" outlineLevel="0" collapsed="false">
      <c r="A1898" s="288"/>
      <c r="B1898" s="233" t="n">
        <f aca="false">B1897+D1898-C1898</f>
        <v>13388.75</v>
      </c>
      <c r="C1898" s="127" t="n">
        <f aca="false">1311+1123.5+563.5+138+281.75+264+30+1667.5+82+180+150+225+281.75+2800+3900</f>
        <v>12998</v>
      </c>
      <c r="E1898" s="212" t="s">
        <v>470</v>
      </c>
      <c r="F1898" s="147" t="str">
        <f aca="false">IFERROR(VLOOKUP(H1898,$AD$1:$AE$301,2,0),"")</f>
        <v/>
      </c>
      <c r="G1898" s="147" t="str">
        <f aca="false">IFERROR(VLOOKUP(F1898,$AE$2:$AF$290,2, 0),"")</f>
        <v/>
      </c>
      <c r="H1898" s="212" t="s">
        <v>393</v>
      </c>
      <c r="I1898" s="246" t="n">
        <f aca="false">SUM(K1898:R1898)</f>
        <v>0</v>
      </c>
      <c r="J1898" s="182" t="n">
        <v>45930</v>
      </c>
      <c r="S1898" s="192" t="n">
        <f aca="false">(K1898+O1898+Q1898)*24 /1130+(L1898+M1898+P1898+R1898)*12/1130+(N1898*30)/1130</f>
        <v>0</v>
      </c>
    </row>
    <row r="1899" customFormat="false" ht="15" hidden="true" customHeight="true" outlineLevel="0" collapsed="false">
      <c r="A1899" s="288"/>
      <c r="B1899" s="233" t="n">
        <f aca="false">B1898+D1899-C1899</f>
        <v>7738.75</v>
      </c>
      <c r="C1899" s="127" t="n">
        <v>5650</v>
      </c>
      <c r="E1899" s="212" t="s">
        <v>653</v>
      </c>
      <c r="F1899" s="147" t="str">
        <f aca="false">IFERROR(VLOOKUP(H1899,$AD$1:$AE$301,2,0),"")</f>
        <v/>
      </c>
      <c r="G1899" s="147" t="str">
        <f aca="false">IFERROR(VLOOKUP(F1899,$AE$2:$AF$290,2, 0),"")</f>
        <v/>
      </c>
      <c r="H1899" s="212" t="s">
        <v>393</v>
      </c>
      <c r="I1899" s="246" t="n">
        <f aca="false">SUM(K1899:R1899)</f>
        <v>0</v>
      </c>
      <c r="J1899" s="182" t="n">
        <v>45930</v>
      </c>
      <c r="S1899" s="192" t="n">
        <f aca="false">(K1899+O1899+Q1899)*24 /1130+(L1899+M1899+P1899+R1899)*12/1130+(N1899*30)/1130</f>
        <v>0</v>
      </c>
    </row>
    <row r="1900" customFormat="false" ht="15" hidden="true" customHeight="true" outlineLevel="0" collapsed="false">
      <c r="B1900" s="233" t="n">
        <f aca="false">B1899+D1900-C1900</f>
        <v>0.75</v>
      </c>
      <c r="C1900" s="127" t="n">
        <f aca="false">157+1403+1690+400+690+1466+1932</f>
        <v>7738</v>
      </c>
      <c r="E1900" s="212" t="s">
        <v>662</v>
      </c>
      <c r="F1900" s="147" t="str">
        <f aca="false">IFERROR(VLOOKUP(H1900,$AD$1:$AE$301,2,0),"")</f>
        <v/>
      </c>
      <c r="G1900" s="147" t="str">
        <f aca="false">IFERROR(VLOOKUP(F1900,$AE$2:$AF$290,2, 0),"")</f>
        <v/>
      </c>
      <c r="H1900" s="212" t="s">
        <v>393</v>
      </c>
      <c r="I1900" s="246" t="n">
        <f aca="false">SUM(K1900:R1900)</f>
        <v>0</v>
      </c>
      <c r="J1900" s="182" t="n">
        <v>45930</v>
      </c>
      <c r="S1900" s="192" t="n">
        <f aca="false">(K1900+O1900+Q1900)*24 /1130+(L1900+M1900+P1900+R1900)*12/1130+(N1900*30)/1130</f>
        <v>0</v>
      </c>
    </row>
    <row r="1901" customFormat="false" ht="15" hidden="true" customHeight="true" outlineLevel="0" collapsed="false">
      <c r="B1901" s="233" t="n">
        <f aca="false">B1900+D1901-C1901</f>
        <v>846</v>
      </c>
      <c r="D1901" s="146" t="n">
        <f aca="false">281.75*3</f>
        <v>845.25</v>
      </c>
      <c r="E1901" s="147" t="n">
        <v>1502</v>
      </c>
      <c r="F1901" s="147" t="n">
        <f aca="false">IFERROR(VLOOKUP(H1901,$AD$1:$AE$301,2,0),"")</f>
        <v>652</v>
      </c>
      <c r="G1901" s="147" t="str">
        <f aca="false">IFERROR(VLOOKUP(F1901,$AE$2:$AF$290,2, 0),"")</f>
        <v>تبوك</v>
      </c>
      <c r="H1901" s="212" t="s">
        <v>263</v>
      </c>
      <c r="I1901" s="246" t="n">
        <f aca="false">SUM(K1901:R1901)</f>
        <v>3</v>
      </c>
      <c r="J1901" s="182" t="n">
        <v>45935</v>
      </c>
      <c r="K1901" s="148" t="n">
        <f aca="false">2+1</f>
        <v>3</v>
      </c>
      <c r="S1901" s="192" t="n">
        <f aca="false">(K1901+O1901+Q1901)*24 /1130+(L1901+M1901+P1901+R1901)*12/1130+(N1901*30)/1130</f>
        <v>0.063716814159292</v>
      </c>
    </row>
    <row r="1902" customFormat="false" ht="15" hidden="true" customHeight="true" outlineLevel="0" collapsed="false">
      <c r="A1902" s="128" t="n">
        <f aca="false">D1902-300-163-10*5-629-100</f>
        <v>0</v>
      </c>
      <c r="B1902" s="233" t="n">
        <f aca="false">B1901+D1902-C1902</f>
        <v>2088</v>
      </c>
      <c r="D1902" s="146" t="n">
        <f aca="false">281.75*3+241.5+155.25</f>
        <v>1242</v>
      </c>
      <c r="E1902" s="147" t="n">
        <v>1503</v>
      </c>
      <c r="F1902" s="147" t="n">
        <f aca="false">IFERROR(VLOOKUP(H1902,$AD$1:$AE$301,2,0),"")</f>
        <v>1008030</v>
      </c>
      <c r="G1902" s="147" t="str">
        <f aca="false">IFERROR(VLOOKUP(F1902,$AE$2:$AF$290,2, 0),"")</f>
        <v>البير</v>
      </c>
      <c r="H1902" s="212" t="s">
        <v>298</v>
      </c>
      <c r="I1902" s="246" t="n">
        <f aca="false">SUM(K1902:R1902)</f>
        <v>5</v>
      </c>
      <c r="J1902" s="182" t="n">
        <v>45935</v>
      </c>
      <c r="K1902" s="148" t="n">
        <v>3</v>
      </c>
      <c r="Q1902" s="154" t="n">
        <v>1</v>
      </c>
      <c r="R1902" s="155" t="n">
        <v>1</v>
      </c>
      <c r="S1902" s="192" t="n">
        <f aca="false">(K1902+O1902+Q1902)*24 /1130+(L1902+M1902+P1902+R1902)*12/1130+(N1902*30)/1130</f>
        <v>0.0955752212389381</v>
      </c>
    </row>
    <row r="1903" customFormat="false" ht="15" hidden="true" customHeight="true" outlineLevel="0" collapsed="false">
      <c r="B1903" s="233" t="n">
        <f aca="false">B1902+D1903-C1903</f>
        <v>0.25</v>
      </c>
      <c r="C1903" s="127" t="n">
        <f aca="false">500+845+200+130+377.75+35</f>
        <v>2087.75</v>
      </c>
      <c r="E1903" s="212" t="s">
        <v>470</v>
      </c>
      <c r="F1903" s="147" t="str">
        <f aca="false">IFERROR(VLOOKUP(H1903,$AD$1:$AE$301,2,0),"")</f>
        <v/>
      </c>
      <c r="G1903" s="147" t="str">
        <f aca="false">IFERROR(VLOOKUP(F1903,$AE$2:$AF$290,2, 0),"")</f>
        <v/>
      </c>
      <c r="H1903" s="212" t="s">
        <v>393</v>
      </c>
      <c r="I1903" s="246" t="n">
        <f aca="false">SUM(K1903:R1903)</f>
        <v>0</v>
      </c>
      <c r="J1903" s="182" t="n">
        <v>45935</v>
      </c>
      <c r="S1903" s="192" t="n">
        <f aca="false">(K1903+O1903+Q1903)*24 /1130+(L1903+M1903+P1903+R1903)*12/1130+(N1903*30)/1130</f>
        <v>0</v>
      </c>
    </row>
    <row r="1904" customFormat="false" ht="15" hidden="true" customHeight="true" outlineLevel="0" collapsed="false">
      <c r="A1904" s="128" t="n">
        <f aca="false">D1904-281.75-3*5-928</f>
        <v>0</v>
      </c>
      <c r="B1904" s="233" t="n">
        <f aca="false">B1903+D1904-C1904</f>
        <v>1225</v>
      </c>
      <c r="D1904" s="146" t="n">
        <f aca="false">281.75*3+241.5+138</f>
        <v>1224.75</v>
      </c>
      <c r="E1904" s="147" t="n">
        <v>1504</v>
      </c>
      <c r="F1904" s="147" t="n">
        <f aca="false">IFERROR(VLOOKUP(H1904,$AD$1:$AE$301,2,0),"")</f>
        <v>549</v>
      </c>
      <c r="G1904" s="147" t="str">
        <f aca="false">IFERROR(VLOOKUP(F1904,$AE$2:$AF$290,2, 0),"")</f>
        <v>تبوك</v>
      </c>
      <c r="H1904" s="212" t="s">
        <v>238</v>
      </c>
      <c r="I1904" s="246" t="n">
        <f aca="false">SUM(K1904:R1904)</f>
        <v>5</v>
      </c>
      <c r="J1904" s="182" t="n">
        <v>45936</v>
      </c>
      <c r="K1904" s="148" t="n">
        <f aca="false">1+2</f>
        <v>3</v>
      </c>
      <c r="O1904" s="152" t="n">
        <v>1</v>
      </c>
      <c r="Q1904" s="154" t="n">
        <v>1</v>
      </c>
      <c r="S1904" s="192" t="n">
        <f aca="false">(K1904+O1904+Q1904)*24 /1130+(L1904+M1904+P1904+R1904)*12/1130+(N1904*30)/1130</f>
        <v>0.106194690265487</v>
      </c>
    </row>
    <row r="1905" customFormat="false" ht="15" hidden="true" customHeight="true" outlineLevel="0" collapsed="false">
      <c r="A1905" s="128" t="n">
        <f aca="false">D1905-155</f>
        <v>0.25</v>
      </c>
      <c r="B1905" s="233" t="n">
        <f aca="false">B1904+D1905-C1905</f>
        <v>1380.25</v>
      </c>
      <c r="D1905" s="146" t="n">
        <v>155.25</v>
      </c>
      <c r="E1905" s="147" t="n">
        <v>1505</v>
      </c>
      <c r="F1905" s="147" t="n">
        <f aca="false">IFERROR(VLOOKUP(H1905,$AD$1:$AE$301,2,0),"")</f>
        <v>1008260</v>
      </c>
      <c r="G1905" s="147" t="str">
        <f aca="false">IFERROR(VLOOKUP(F1905,$AE$2:$AF$290,2, 0),"")</f>
        <v>تبوك</v>
      </c>
      <c r="H1905" s="212" t="s">
        <v>184</v>
      </c>
      <c r="I1905" s="246" t="n">
        <f aca="false">SUM(K1905:R1905)</f>
        <v>1</v>
      </c>
      <c r="J1905" s="182" t="n">
        <v>45937</v>
      </c>
      <c r="R1905" s="155" t="n">
        <v>1</v>
      </c>
      <c r="S1905" s="192" t="n">
        <f aca="false">(K1905+O1905+Q1905)*24 /1130+(L1905+M1905+P1905+R1905)*12/1130+(N1905*30)/1130</f>
        <v>0.0106194690265487</v>
      </c>
    </row>
    <row r="1906" customFormat="false" ht="15" hidden="true" customHeight="true" outlineLevel="0" collapsed="false">
      <c r="B1906" s="233" t="n">
        <f aca="false">B1905+D1906-C1906</f>
        <v>886.25</v>
      </c>
      <c r="C1906" s="127" t="n">
        <f aca="false">207+287</f>
        <v>494</v>
      </c>
      <c r="E1906" s="212" t="s">
        <v>662</v>
      </c>
      <c r="F1906" s="147" t="str">
        <f aca="false">IFERROR(VLOOKUP(H1906,$AD$1:$AE$301,2,0),"")</f>
        <v/>
      </c>
      <c r="G1906" s="147" t="str">
        <f aca="false">IFERROR(VLOOKUP(F1906,$AE$2:$AF$290,2, 0),"")</f>
        <v/>
      </c>
      <c r="H1906" s="212" t="s">
        <v>393</v>
      </c>
      <c r="I1906" s="246" t="n">
        <f aca="false">SUM(K1906:R1906)</f>
        <v>0</v>
      </c>
      <c r="J1906" s="182" t="n">
        <v>45936</v>
      </c>
      <c r="S1906" s="192" t="n">
        <f aca="false">(K1906+O1906+Q1906)*24 /1130+(L1906+M1906+P1906+R1906)*12/1130+(N1906*30)/1130</f>
        <v>0</v>
      </c>
    </row>
    <row r="1907" customFormat="false" ht="15" hidden="true" customHeight="true" outlineLevel="0" collapsed="false">
      <c r="B1907" s="233" t="n">
        <f aca="false">B1906+D1907-C1907</f>
        <v>0</v>
      </c>
      <c r="C1907" s="127" t="n">
        <f aca="false">403+138+345</f>
        <v>886</v>
      </c>
      <c r="D1907" s="146" t="n">
        <v>-0.25</v>
      </c>
      <c r="E1907" s="212" t="s">
        <v>470</v>
      </c>
      <c r="F1907" s="147" t="str">
        <f aca="false">IFERROR(VLOOKUP(H1907,$AD$1:$AE$301,2,0),"")</f>
        <v/>
      </c>
      <c r="G1907" s="147" t="str">
        <f aca="false">IFERROR(VLOOKUP(F1907,$AE$2:$AF$290,2, 0),"")</f>
        <v/>
      </c>
      <c r="H1907" s="212" t="s">
        <v>393</v>
      </c>
      <c r="I1907" s="246" t="n">
        <f aca="false">SUM(K1907:R1907)</f>
        <v>0</v>
      </c>
      <c r="J1907" s="182" t="n">
        <v>45937</v>
      </c>
      <c r="S1907" s="192" t="n">
        <f aca="false">(K1907+O1907+Q1907)*24 /1130+(L1907+M1907+P1907+R1907)*12/1130+(N1907*30)/1130</f>
        <v>0</v>
      </c>
    </row>
    <row r="1908" customFormat="false" ht="15" hidden="true" customHeight="true" outlineLevel="0" collapsed="false">
      <c r="B1908" s="233" t="n">
        <f aca="false">B1907+D1908-C1908</f>
        <v>845.25</v>
      </c>
      <c r="D1908" s="146" t="n">
        <f aca="false">281.75*3</f>
        <v>845.25</v>
      </c>
      <c r="E1908" s="147" t="n">
        <v>1506</v>
      </c>
      <c r="F1908" s="147" t="n">
        <f aca="false">IFERROR(VLOOKUP(H1908,$AD$1:$AE$301,2,0),"")</f>
        <v>668</v>
      </c>
      <c r="G1908" s="147" t="str">
        <f aca="false">IFERROR(VLOOKUP(F1908,$AE$2:$AF$290,2, 0),"")</f>
        <v>تبوك</v>
      </c>
      <c r="H1908" s="212" t="s">
        <v>267</v>
      </c>
      <c r="I1908" s="246" t="n">
        <f aca="false">SUM(K1908:R1908)</f>
        <v>3</v>
      </c>
      <c r="J1908" s="182" t="n">
        <v>45937</v>
      </c>
      <c r="K1908" s="148" t="n">
        <v>3</v>
      </c>
      <c r="S1908" s="192" t="n">
        <f aca="false">(K1908+O1908+Q1908)*24 /1130+(L1908+M1908+P1908+R1908)*12/1130+(N1908*30)/1130</f>
        <v>0.063716814159292</v>
      </c>
    </row>
    <row r="1909" customFormat="false" ht="15" hidden="true" customHeight="true" outlineLevel="0" collapsed="false">
      <c r="B1909" s="233" t="n">
        <f aca="false">B1908+D1909-C1909</f>
        <v>0</v>
      </c>
      <c r="C1909" s="127" t="n">
        <f aca="false">345+15+143+342</f>
        <v>845</v>
      </c>
      <c r="D1909" s="146" t="n">
        <v>-0.25</v>
      </c>
      <c r="E1909" s="212" t="s">
        <v>470</v>
      </c>
      <c r="F1909" s="147" t="str">
        <f aca="false">IFERROR(VLOOKUP(H1909,$AD$1:$AE$301,2,0),"")</f>
        <v/>
      </c>
      <c r="G1909" s="147" t="str">
        <f aca="false">IFERROR(VLOOKUP(F1909,$AE$2:$AF$290,2, 0),"")</f>
        <v/>
      </c>
      <c r="H1909" s="212" t="s">
        <v>393</v>
      </c>
      <c r="I1909" s="246" t="n">
        <f aca="false">SUM(K1909:R1909)</f>
        <v>0</v>
      </c>
      <c r="J1909" s="182" t="n">
        <v>45937</v>
      </c>
      <c r="S1909" s="192" t="n">
        <f aca="false">(K1909+O1909+Q1909)*24 /1130+(L1909+M1909+P1909+R1909)*12/1130+(N1909*30)/1130</f>
        <v>0</v>
      </c>
    </row>
    <row r="1910" customFormat="false" ht="15" hidden="true" customHeight="true" outlineLevel="0" collapsed="false">
      <c r="B1910" s="233" t="n">
        <f aca="false">B1909+D1910-C1910</f>
        <v>345</v>
      </c>
      <c r="D1910" s="146" t="n">
        <f aca="false">345</f>
        <v>345</v>
      </c>
      <c r="E1910" s="147" t="n">
        <v>1507</v>
      </c>
      <c r="F1910" s="147" t="n">
        <f aca="false">IFERROR(VLOOKUP(H1910,$AD$1:$AE$301,2,0),"")</f>
        <v>1008022</v>
      </c>
      <c r="G1910" s="147" t="str">
        <f aca="false">IFERROR(VLOOKUP(F1910,$AE$2:$AF$290,2, 0),"")</f>
        <v>ضباء</v>
      </c>
      <c r="H1910" s="212" t="s">
        <v>94</v>
      </c>
      <c r="I1910" s="246" t="n">
        <f aca="false">SUM(K1910:R1910)</f>
        <v>1</v>
      </c>
      <c r="J1910" s="182" t="n">
        <v>45938</v>
      </c>
      <c r="M1910" s="150" t="n">
        <v>1</v>
      </c>
      <c r="S1910" s="192" t="n">
        <f aca="false">(K1910+O1910+Q1910)*24 /1130+(L1910+M1910+P1910+R1910)*12/1130+(N1910*30)/1130</f>
        <v>0.0106194690265487</v>
      </c>
    </row>
    <row r="1911" customFormat="false" ht="15" hidden="true" customHeight="true" outlineLevel="0" collapsed="false">
      <c r="A1911" s="128" t="n">
        <f aca="false">D1911-20*5-245</f>
        <v>0</v>
      </c>
      <c r="B1911" s="233" t="n">
        <f aca="false">B1910+D1911-C1911</f>
        <v>690</v>
      </c>
      <c r="D1911" s="146" t="n">
        <v>345</v>
      </c>
      <c r="E1911" s="147" t="n">
        <v>1508</v>
      </c>
      <c r="F1911" s="147" t="n">
        <f aca="false">IFERROR(VLOOKUP(H1911,$AD$1:$AE$301,2,0),"")</f>
        <v>1008024</v>
      </c>
      <c r="G1911" s="147" t="str">
        <f aca="false">IFERROR(VLOOKUP(F1911,$AE$2:$AF$290,2, 0),"")</f>
        <v>ضباء</v>
      </c>
      <c r="H1911" s="212" t="s">
        <v>96</v>
      </c>
      <c r="I1911" s="246" t="n">
        <f aca="false">SUM(K1911:R1911)</f>
        <v>1</v>
      </c>
      <c r="J1911" s="182" t="n">
        <v>45938</v>
      </c>
      <c r="M1911" s="150" t="n">
        <v>1</v>
      </c>
      <c r="S1911" s="192" t="n">
        <f aca="false">(K1911+O1911+Q1911)*24 /1130+(L1911+M1911+P1911+R1911)*12/1130+(N1911*30)/1130</f>
        <v>0.0106194690265487</v>
      </c>
    </row>
    <row r="1912" customFormat="false" ht="15" hidden="true" customHeight="true" outlineLevel="0" collapsed="false">
      <c r="A1912" s="128" t="n">
        <f aca="false">D1912+274-605</f>
        <v>2.5</v>
      </c>
      <c r="B1912" s="233" t="n">
        <f aca="false">B1911+D1912-C1912</f>
        <v>1023.5</v>
      </c>
      <c r="D1912" s="146" t="n">
        <f aca="false">195.5+138</f>
        <v>333.5</v>
      </c>
      <c r="E1912" s="147" t="n">
        <v>1509</v>
      </c>
      <c r="F1912" s="147" t="n">
        <f aca="false">IFERROR(VLOOKUP(H1912,$AD$1:$AE$301,2,0),"")</f>
        <v>1008043</v>
      </c>
      <c r="G1912" s="147" t="str">
        <f aca="false">IFERROR(VLOOKUP(F1912,$AE$2:$AF$290,2, 0),"")</f>
        <v>الوجه</v>
      </c>
      <c r="H1912" s="212" t="s">
        <v>104</v>
      </c>
      <c r="I1912" s="246" t="n">
        <f aca="false">SUM(K1912:R1912)</f>
        <v>2</v>
      </c>
      <c r="J1912" s="182" t="n">
        <v>45938</v>
      </c>
      <c r="Q1912" s="154" t="n">
        <f aca="false">1+1</f>
        <v>2</v>
      </c>
      <c r="S1912" s="192" t="n">
        <f aca="false">(K1912+O1912+Q1912)*24 /1130+(L1912+M1912+P1912+R1912)*12/1130+(N1912*30)/1130</f>
        <v>0.0424778761061947</v>
      </c>
    </row>
    <row r="1913" customFormat="false" ht="15" hidden="true" customHeight="true" outlineLevel="0" collapsed="false">
      <c r="A1913" s="128" t="n">
        <f aca="false">D1913-40*5-869.5+563.5</f>
        <v>0</v>
      </c>
      <c r="B1913" s="233" t="n">
        <f aca="false">B1912+D1913-C1913</f>
        <v>1529.5</v>
      </c>
      <c r="D1913" s="146" t="n">
        <f aca="false">253*2</f>
        <v>506</v>
      </c>
      <c r="E1913" s="147" t="n">
        <v>1510</v>
      </c>
      <c r="F1913" s="147" t="n">
        <f aca="false">IFERROR(VLOOKUP(H1913,$AD$1:$AE$301,2,0),"")</f>
        <v>1008045</v>
      </c>
      <c r="G1913" s="147" t="str">
        <f aca="false">IFERROR(VLOOKUP(F1913,$AE$2:$AF$290,2, 0),"")</f>
        <v>الوجه</v>
      </c>
      <c r="H1913" s="212" t="s">
        <v>107</v>
      </c>
      <c r="I1913" s="246" t="n">
        <f aca="false">SUM(K1913:R1913)</f>
        <v>2</v>
      </c>
      <c r="J1913" s="182" t="n">
        <v>45938</v>
      </c>
      <c r="M1913" s="150" t="n">
        <v>2</v>
      </c>
      <c r="S1913" s="192" t="n">
        <f aca="false">(K1913+O1913+Q1913)*24 /1130+(L1913+M1913+P1913+R1913)*12/1130+(N1913*30)/1130</f>
        <v>0.0212389380530973</v>
      </c>
    </row>
    <row r="1914" customFormat="false" ht="15" hidden="true" customHeight="true" outlineLevel="0" collapsed="false">
      <c r="A1914" s="128" t="n">
        <f aca="false">D1914+274-515</f>
        <v>0.5</v>
      </c>
      <c r="B1914" s="233" t="n">
        <f aca="false">B1913+D1914-C1914</f>
        <v>1771</v>
      </c>
      <c r="D1914" s="146" t="n">
        <v>241.5</v>
      </c>
      <c r="E1914" s="147" t="n">
        <v>1511</v>
      </c>
      <c r="F1914" s="147" t="n">
        <f aca="false">IFERROR(VLOOKUP(H1914,$AD$1:$AE$301,2,0),"")</f>
        <v>1008047</v>
      </c>
      <c r="G1914" s="147" t="str">
        <f aca="false">IFERROR(VLOOKUP(F1914,$AE$2:$AF$290,2, 0),"")</f>
        <v>الوجه</v>
      </c>
      <c r="H1914" s="212" t="s">
        <v>422</v>
      </c>
      <c r="I1914" s="246" t="n">
        <f aca="false">SUM(K1914:R1914)</f>
        <v>1</v>
      </c>
      <c r="J1914" s="182" t="n">
        <v>45938</v>
      </c>
      <c r="O1914" s="152" t="n">
        <v>1</v>
      </c>
      <c r="S1914" s="192" t="n">
        <f aca="false">(K1914+O1914+Q1914)*24 /1130+(L1914+M1914+P1914+R1914)*12/1130+(N1914*30)/1130</f>
        <v>0.0212389380530973</v>
      </c>
    </row>
    <row r="1915" customFormat="false" ht="15" hidden="true" customHeight="true" outlineLevel="0" collapsed="false">
      <c r="B1915" s="233" t="n">
        <f aca="false">B1914+D1915-C1915</f>
        <v>2593.25</v>
      </c>
      <c r="D1915" s="146" t="n">
        <f aca="false">274*3+0.25</f>
        <v>822.25</v>
      </c>
      <c r="E1915" s="147" t="n">
        <v>1512</v>
      </c>
      <c r="F1915" s="147" t="n">
        <f aca="false">IFERROR(VLOOKUP(H1915,$AD$1:$AE$301,2,0),"")</f>
        <v>1008043</v>
      </c>
      <c r="G1915" s="147" t="str">
        <f aca="false">IFERROR(VLOOKUP(F1915,$AE$2:$AF$290,2, 0),"")</f>
        <v>الوجه</v>
      </c>
      <c r="H1915" s="212" t="s">
        <v>104</v>
      </c>
      <c r="I1915" s="246" t="n">
        <f aca="false">SUM(K1915:R1915)</f>
        <v>3</v>
      </c>
      <c r="J1915" s="182" t="n">
        <v>45938</v>
      </c>
      <c r="N1915" s="151" t="n">
        <f aca="false">2+1</f>
        <v>3</v>
      </c>
      <c r="S1915" s="192" t="n">
        <f aca="false">(K1915+O1915+Q1915)*24 /1130+(L1915+M1915+P1915+R1915)*12/1130+(N1915*30)/1130</f>
        <v>0.079646017699115</v>
      </c>
    </row>
    <row r="1916" customFormat="false" ht="15" hidden="true" customHeight="true" outlineLevel="0" collapsed="false">
      <c r="A1916" s="128" t="n">
        <f aca="false">D1916-120*5+140</f>
        <v>0</v>
      </c>
      <c r="B1916" s="233" t="n">
        <f aca="false">B1915+D1916-C1916</f>
        <v>3053.25</v>
      </c>
      <c r="D1916" s="146" t="n">
        <f aca="false">230*2</f>
        <v>460</v>
      </c>
      <c r="E1916" s="147" t="n">
        <v>1513</v>
      </c>
      <c r="F1916" s="147" t="n">
        <f aca="false">IFERROR(VLOOKUP(H1916,$AD$1:$AE$301,2,0),"")</f>
        <v>1007988</v>
      </c>
      <c r="G1916" s="147" t="str">
        <f aca="false">IFERROR(VLOOKUP(F1916,$AE$2:$AF$290,2, 0),"")</f>
        <v>ضباء</v>
      </c>
      <c r="H1916" s="212" t="s">
        <v>89</v>
      </c>
      <c r="I1916" s="246" t="n">
        <f aca="false">SUM(K1916:R1916)</f>
        <v>2</v>
      </c>
      <c r="J1916" s="182" t="n">
        <v>45938</v>
      </c>
      <c r="M1916" s="150" t="n">
        <v>2</v>
      </c>
      <c r="S1916" s="192" t="n">
        <f aca="false">(K1916+O1916+Q1916)*24 /1130+(L1916+M1916+P1916+R1916)*12/1130+(N1916*30)/1130</f>
        <v>0.0212389380530973</v>
      </c>
    </row>
    <row r="1917" customFormat="false" ht="15" hidden="true" customHeight="true" outlineLevel="0" collapsed="false">
      <c r="B1917" s="233" t="n">
        <f aca="false">B1916+D1917-C1917</f>
        <v>2700.25</v>
      </c>
      <c r="C1917" s="127" t="n">
        <f aca="false">345+8</f>
        <v>353</v>
      </c>
      <c r="E1917" s="212" t="s">
        <v>653</v>
      </c>
      <c r="F1917" s="147" t="str">
        <f aca="false">IFERROR(VLOOKUP(H1917,$AD$1:$AE$301,2,0),"")</f>
        <v/>
      </c>
      <c r="G1917" s="147" t="str">
        <f aca="false">IFERROR(VLOOKUP(F1917,$AE$2:$AF$290,2, 0),"")</f>
        <v/>
      </c>
      <c r="H1917" s="212" t="s">
        <v>393</v>
      </c>
      <c r="I1917" s="246" t="n">
        <f aca="false">SUM(K1917:R1917)</f>
        <v>0</v>
      </c>
      <c r="J1917" s="182" t="n">
        <v>45939</v>
      </c>
      <c r="S1917" s="192" t="n">
        <f aca="false">(K1917+O1917+Q1917)*24 /1130+(L1917+M1917+P1917+R1917)*12/1130+(N1917*30)/1130</f>
        <v>0</v>
      </c>
    </row>
    <row r="1918" customFormat="false" ht="15" hidden="true" customHeight="true" outlineLevel="0" collapsed="false">
      <c r="B1918" s="233" t="n">
        <f aca="false">B1917+D1918-C1918</f>
        <v>0.25</v>
      </c>
      <c r="C1918" s="127" t="n">
        <v>2700</v>
      </c>
      <c r="E1918" s="212" t="s">
        <v>470</v>
      </c>
      <c r="F1918" s="147" t="str">
        <f aca="false">IFERROR(VLOOKUP(H1918,$AD$1:$AE$301,2,0),"")</f>
        <v/>
      </c>
      <c r="G1918" s="147" t="str">
        <f aca="false">IFERROR(VLOOKUP(F1918,$AE$2:$AF$290,2, 0),"")</f>
        <v/>
      </c>
      <c r="H1918" s="212" t="s">
        <v>393</v>
      </c>
      <c r="I1918" s="246" t="n">
        <f aca="false">SUM(K1918:R1918)</f>
        <v>0</v>
      </c>
      <c r="J1918" s="182" t="n">
        <v>45939</v>
      </c>
      <c r="S1918" s="192" t="n">
        <f aca="false">(K1918+O1918+Q1918)*24 /1130+(L1918+M1918+P1918+R1918)*12/1130+(N1918*30)/1130</f>
        <v>0</v>
      </c>
    </row>
    <row r="1919" customFormat="false" ht="15" hidden="true" customHeight="true" outlineLevel="0" collapsed="false">
      <c r="A1919" s="128" t="n">
        <f aca="false">D1919-500-500-500-6.5</f>
        <v>0</v>
      </c>
      <c r="B1919" s="233" t="n">
        <f aca="false">B1918+D1919-C1919</f>
        <v>1506.75</v>
      </c>
      <c r="D1919" s="146" t="n">
        <f aca="false">281.75*3+155.25+253+253</f>
        <v>1506.5</v>
      </c>
      <c r="E1919" s="147" t="n">
        <v>1514</v>
      </c>
      <c r="F1919" s="147" t="n">
        <f aca="false">IFERROR(VLOOKUP(H1919,$AD$1:$AE$301,2,0),"")</f>
        <v>1008264</v>
      </c>
      <c r="G1919" s="147" t="str">
        <f aca="false">IFERROR(VLOOKUP(F1919,$AE$2:$AF$290,2, 0),"")</f>
        <v>تبوك</v>
      </c>
      <c r="H1919" s="212" t="s">
        <v>160</v>
      </c>
      <c r="I1919" s="246" t="n">
        <f aca="false">SUM(K1919:R1919)</f>
        <v>6</v>
      </c>
      <c r="J1919" s="182" t="n">
        <v>45939</v>
      </c>
      <c r="K1919" s="148" t="n">
        <f aca="false">2+1</f>
        <v>3</v>
      </c>
      <c r="M1919" s="150" t="n">
        <f aca="false">1+1</f>
        <v>2</v>
      </c>
      <c r="R1919" s="155" t="n">
        <v>1</v>
      </c>
      <c r="S1919" s="192" t="n">
        <f aca="false">(K1919+O1919+Q1919)*24 /1130+(L1919+M1919+P1919+R1919)*12/1130+(N1919*30)/1130</f>
        <v>0.0955752212389381</v>
      </c>
    </row>
    <row r="1920" customFormat="false" ht="15" hidden="true" customHeight="true" outlineLevel="0" collapsed="false">
      <c r="A1920" s="128" t="n">
        <f aca="false">D1920-1828</f>
        <v>0.5</v>
      </c>
      <c r="B1920" s="233" t="n">
        <f aca="false">B1919+D1920-C1920</f>
        <v>3335.25</v>
      </c>
      <c r="D1920" s="146" t="n">
        <f aca="false">281.75*6+138</f>
        <v>1828.5</v>
      </c>
      <c r="E1920" s="147" t="n">
        <v>1515</v>
      </c>
      <c r="F1920" s="147" t="n">
        <f aca="false">IFERROR(VLOOKUP(H1920,$AD$1:$AE$301,2,0),"")</f>
        <v>566</v>
      </c>
      <c r="G1920" s="147" t="str">
        <f aca="false">IFERROR(VLOOKUP(F1920,$AE$2:$AF$290,2, 0),"")</f>
        <v>تبوك</v>
      </c>
      <c r="H1920" s="212" t="s">
        <v>168</v>
      </c>
      <c r="I1920" s="246" t="n">
        <f aca="false">SUM(K1920:R1920)</f>
        <v>7</v>
      </c>
      <c r="J1920" s="182" t="n">
        <v>45939</v>
      </c>
      <c r="K1920" s="148" t="n">
        <f aca="false">3+3</f>
        <v>6</v>
      </c>
      <c r="Q1920" s="154" t="n">
        <v>1</v>
      </c>
      <c r="S1920" s="192" t="n">
        <f aca="false">(K1920+O1920+Q1920)*24 /1130+(L1920+M1920+P1920+R1920)*12/1130+(N1920*30)/1130</f>
        <v>0.148672566371681</v>
      </c>
    </row>
    <row r="1921" customFormat="false" ht="15" hidden="true" customHeight="true" outlineLevel="0" collapsed="false">
      <c r="A1921" s="128" t="n">
        <f aca="false">D1921-1000-800+357</f>
        <v>0.25</v>
      </c>
      <c r="B1921" s="233" t="n">
        <f aca="false">B1920+D1921-C1921</f>
        <v>4778.5</v>
      </c>
      <c r="D1921" s="146" t="n">
        <f aca="false">281.75*3+345+253</f>
        <v>1443.25</v>
      </c>
      <c r="E1921" s="147" t="n">
        <v>1516</v>
      </c>
      <c r="F1921" s="147" t="n">
        <f aca="false">IFERROR(VLOOKUP(H1921,$AD$1:$AE$301,2,0),"")</f>
        <v>575</v>
      </c>
      <c r="G1921" s="147" t="str">
        <f aca="false">IFERROR(VLOOKUP(F1921,$AE$2:$AF$290,2, 0),"")</f>
        <v>تبوك</v>
      </c>
      <c r="H1921" s="212" t="s">
        <v>132</v>
      </c>
      <c r="I1921" s="246" t="n">
        <f aca="false">SUM(K1921:R1921)</f>
        <v>5</v>
      </c>
      <c r="J1921" s="182" t="n">
        <v>45939</v>
      </c>
      <c r="K1921" s="148" t="n">
        <v>3</v>
      </c>
      <c r="M1921" s="150" t="n">
        <f aca="false">1+1</f>
        <v>2</v>
      </c>
      <c r="S1921" s="192" t="n">
        <f aca="false">(K1921+O1921+Q1921)*24 /1130+(L1921+M1921+P1921+R1921)*12/1130+(N1921*30)/1130</f>
        <v>0.0849557522123894</v>
      </c>
    </row>
    <row r="1922" customFormat="false" ht="15" hidden="true" customHeight="true" outlineLevel="0" collapsed="false">
      <c r="A1922" s="128" t="n">
        <f aca="false">D1922-1250-1500</f>
        <v>-1.5</v>
      </c>
      <c r="B1922" s="233" t="n">
        <f aca="false">B1921+D1922-C1922</f>
        <v>7527</v>
      </c>
      <c r="D1922" s="146" t="n">
        <f aca="false">281.75*3+299+155.25+241.5*3+138+241.5+345</f>
        <v>2748.5</v>
      </c>
      <c r="E1922" s="147" t="n">
        <v>1517</v>
      </c>
      <c r="F1922" s="147" t="n">
        <f aca="false">IFERROR(VLOOKUP(H1922,$AD$1:$AE$301,2,0),"")</f>
        <v>636</v>
      </c>
      <c r="G1922" s="147" t="str">
        <f aca="false">IFERROR(VLOOKUP(F1922,$AE$2:$AF$290,2, 0),"")</f>
        <v>تبوك</v>
      </c>
      <c r="H1922" s="212" t="s">
        <v>134</v>
      </c>
      <c r="I1922" s="246" t="n">
        <f aca="false">SUM(K1922:R1922)</f>
        <v>11</v>
      </c>
      <c r="J1922" s="182" t="n">
        <v>45939</v>
      </c>
      <c r="K1922" s="148" t="n">
        <f aca="false">2+1</f>
        <v>3</v>
      </c>
      <c r="M1922" s="150" t="n">
        <v>1</v>
      </c>
      <c r="O1922" s="152" t="n">
        <f aca="false">1+2</f>
        <v>3</v>
      </c>
      <c r="Q1922" s="154" t="n">
        <f aca="false">1+1</f>
        <v>2</v>
      </c>
      <c r="R1922" s="155" t="n">
        <f aca="false">1+1</f>
        <v>2</v>
      </c>
      <c r="S1922" s="192" t="n">
        <f aca="false">(K1922+O1922+Q1922)*24 /1130+(L1922+M1922+P1922+R1922)*12/1130+(N1922*30)/1130</f>
        <v>0.201769911504425</v>
      </c>
    </row>
    <row r="1923" customFormat="false" ht="15" hidden="true" customHeight="true" outlineLevel="0" collapsed="false">
      <c r="A1923" s="128" t="n">
        <f aca="false">D1923-11*5-198</f>
        <v>0</v>
      </c>
      <c r="B1923" s="233" t="n">
        <f aca="false">B1922+D1923-C1923</f>
        <v>7780</v>
      </c>
      <c r="D1923" s="146" t="n">
        <v>253</v>
      </c>
      <c r="E1923" s="147" t="n">
        <v>1518</v>
      </c>
      <c r="F1923" s="147" t="n">
        <f aca="false">IFERROR(VLOOKUP(H1923,$AD$1:$AE$301,2,0),"")</f>
        <v>1003</v>
      </c>
      <c r="G1923" s="147" t="str">
        <f aca="false">IFERROR(VLOOKUP(F1923,$AE$2:$AF$290,2, 0),"")</f>
        <v>تبوك</v>
      </c>
      <c r="H1923" s="212" t="s">
        <v>277</v>
      </c>
      <c r="I1923" s="246" t="n">
        <f aca="false">SUM(K1923:R1923)</f>
        <v>1</v>
      </c>
      <c r="J1923" s="182" t="n">
        <v>45939</v>
      </c>
      <c r="M1923" s="150" t="n">
        <v>1</v>
      </c>
      <c r="S1923" s="192" t="n">
        <f aca="false">(K1923+O1923+Q1923)*24 /1130+(L1923+M1923+P1923+R1923)*12/1130+(N1923*30)/1130</f>
        <v>0.0106194690265487</v>
      </c>
    </row>
    <row r="1924" customFormat="false" ht="15" hidden="true" customHeight="true" outlineLevel="0" collapsed="false">
      <c r="B1924" s="233" t="n">
        <f aca="false">B1923+D1924-C1924</f>
        <v>6142</v>
      </c>
      <c r="C1924" s="127" t="n">
        <f aca="false">198+928+512</f>
        <v>1638</v>
      </c>
      <c r="E1924" s="212" t="s">
        <v>470</v>
      </c>
      <c r="F1924" s="147" t="str">
        <f aca="false">IFERROR(VLOOKUP(H1924,$AD$1:$AE$301,2,0),"")</f>
        <v/>
      </c>
      <c r="G1924" s="147" t="str">
        <f aca="false">IFERROR(VLOOKUP(F1924,$AE$2:$AF$290,2, 0),"")</f>
        <v/>
      </c>
      <c r="H1924" s="212" t="s">
        <v>393</v>
      </c>
      <c r="I1924" s="246" t="n">
        <f aca="false">SUM(K1924:R1924)</f>
        <v>0</v>
      </c>
      <c r="J1924" s="182" t="n">
        <v>45939</v>
      </c>
      <c r="S1924" s="192" t="n">
        <f aca="false">(K1924+O1924+Q1924)*24 /1130+(L1924+M1924+P1924+R1924)*12/1130+(N1924*30)/1130</f>
        <v>0</v>
      </c>
    </row>
    <row r="1925" customFormat="false" ht="15" hidden="true" customHeight="true" outlineLevel="0" collapsed="false">
      <c r="B1925" s="233" t="n">
        <f aca="false">B1924+D1925-C1925</f>
        <v>0</v>
      </c>
      <c r="C1925" s="127" t="n">
        <v>6142</v>
      </c>
      <c r="E1925" s="212" t="s">
        <v>662</v>
      </c>
      <c r="F1925" s="147" t="str">
        <f aca="false">IFERROR(VLOOKUP(H1925,$AD$1:$AE$301,2,0),"")</f>
        <v/>
      </c>
      <c r="G1925" s="147" t="str">
        <f aca="false">IFERROR(VLOOKUP(F1925,$AE$2:$AF$290,2, 0),"")</f>
        <v/>
      </c>
      <c r="H1925" s="212" t="s">
        <v>393</v>
      </c>
      <c r="I1925" s="246" t="n">
        <f aca="false">SUM(K1925:R1925)</f>
        <v>0</v>
      </c>
      <c r="J1925" s="182" t="n">
        <v>45939</v>
      </c>
      <c r="S1925" s="192" t="n">
        <f aca="false">(K1925+O1925+Q1925)*24 /1130+(L1925+M1925+P1925+R1925)*12/1130+(N1925*30)/1130</f>
        <v>0</v>
      </c>
    </row>
    <row r="1926" customFormat="false" ht="15" hidden="true" customHeight="true" outlineLevel="0" collapsed="false">
      <c r="A1926" s="128" t="n">
        <f aca="false">D1926+D1927-16*5-900-175</f>
        <v>0.75</v>
      </c>
      <c r="B1926" s="233" t="n">
        <f aca="false">B1925+D1926-C1926</f>
        <v>845.25</v>
      </c>
      <c r="D1926" s="146" t="n">
        <f aca="false">281.75*3</f>
        <v>845.25</v>
      </c>
      <c r="E1926" s="147" t="n">
        <v>1519</v>
      </c>
      <c r="F1926" s="147" t="n">
        <f aca="false">IFERROR(VLOOKUP(H1926,$AD$1:$AE$301,2,0),"")</f>
        <v>1008030</v>
      </c>
      <c r="G1926" s="147" t="str">
        <f aca="false">IFERROR(VLOOKUP(F1926,$AE$2:$AF$290,2, 0),"")</f>
        <v>البير</v>
      </c>
      <c r="H1926" s="212" t="s">
        <v>298</v>
      </c>
      <c r="I1926" s="246" t="n">
        <f aca="false">SUM(K1926:R1926)</f>
        <v>3</v>
      </c>
      <c r="J1926" s="182" t="n">
        <v>45942</v>
      </c>
      <c r="K1926" s="148" t="n">
        <v>3</v>
      </c>
      <c r="S1926" s="192" t="n">
        <f aca="false">(K1926+O1926+Q1926)*24 /1130+(L1926+M1926+P1926+R1926)*12/1130+(N1926*30)/1130</f>
        <v>0.063716814159292</v>
      </c>
    </row>
    <row r="1927" customFormat="false" ht="15" hidden="true" customHeight="true" outlineLevel="0" collapsed="false">
      <c r="B1927" s="233" t="n">
        <f aca="false">B1926+D1927-C1927</f>
        <v>1155.75</v>
      </c>
      <c r="D1927" s="146" t="n">
        <f aca="false">310.5</f>
        <v>310.5</v>
      </c>
      <c r="E1927" s="147" t="n">
        <v>1520</v>
      </c>
      <c r="F1927" s="147" t="n">
        <f aca="false">IFERROR(VLOOKUP(H1927,$AD$1:$AE$301,2,0),"")</f>
        <v>1008030</v>
      </c>
      <c r="G1927" s="147" t="str">
        <f aca="false">IFERROR(VLOOKUP(F1927,$AE$2:$AF$290,2, 0),"")</f>
        <v>البير</v>
      </c>
      <c r="H1927" s="212" t="s">
        <v>298</v>
      </c>
      <c r="I1927" s="246" t="n">
        <f aca="false">SUM(K1927:R1927)</f>
        <v>1</v>
      </c>
      <c r="J1927" s="182" t="n">
        <v>45942</v>
      </c>
      <c r="Q1927" s="154" t="n">
        <v>1</v>
      </c>
      <c r="S1927" s="192" t="n">
        <f aca="false">(K1927+O1927+Q1927)*24 /1130+(L1927+M1927+P1927+R1927)*12/1130+(N1927*30)/1130</f>
        <v>0.0212389380530973</v>
      </c>
    </row>
    <row r="1928" customFormat="false" ht="15" hidden="true" customHeight="true" outlineLevel="0" collapsed="false">
      <c r="A1928" s="128" t="n">
        <f aca="false">D1928-17.75-350-500+22.5</f>
        <v>0</v>
      </c>
      <c r="B1928" s="233" t="n">
        <f aca="false">B1927+D1928-C1928</f>
        <v>2001</v>
      </c>
      <c r="D1928" s="146" t="n">
        <f aca="false">281.75*3</f>
        <v>845.25</v>
      </c>
      <c r="E1928" s="147" t="n">
        <v>1521</v>
      </c>
      <c r="F1928" s="147" t="n">
        <f aca="false">IFERROR(VLOOKUP(H1928,$AD$1:$AE$301,2,0),"")</f>
        <v>1007965</v>
      </c>
      <c r="G1928" s="147" t="str">
        <f aca="false">IFERROR(VLOOKUP(F1928,$AE$2:$AF$290,2, 0),"")</f>
        <v>البير</v>
      </c>
      <c r="H1928" s="212" t="s">
        <v>290</v>
      </c>
      <c r="I1928" s="246" t="n">
        <f aca="false">SUM(K1928:R1928)</f>
        <v>3</v>
      </c>
      <c r="J1928" s="182" t="n">
        <v>45942</v>
      </c>
      <c r="K1928" s="148" t="n">
        <v>3</v>
      </c>
      <c r="S1928" s="192" t="n">
        <f aca="false">(K1928+O1928+Q1928)*24 /1130+(L1928+M1928+P1928+R1928)*12/1130+(N1928*30)/1130</f>
        <v>0.063716814159292</v>
      </c>
    </row>
    <row r="1929" customFormat="false" ht="15" hidden="true" customHeight="true" outlineLevel="0" collapsed="false">
      <c r="B1929" s="233" t="n">
        <f aca="false">B1928+D1929-C1929</f>
        <v>1</v>
      </c>
      <c r="C1929" s="127" t="n">
        <v>2000</v>
      </c>
      <c r="E1929" s="212" t="s">
        <v>662</v>
      </c>
      <c r="F1929" s="147" t="str">
        <f aca="false">IFERROR(VLOOKUP(H1929,$AD$1:$AE$301,2,0),"")</f>
        <v/>
      </c>
      <c r="G1929" s="147" t="str">
        <f aca="false">IFERROR(VLOOKUP(F1929,$AE$2:$AF$290,2, 0),"")</f>
        <v/>
      </c>
      <c r="H1929" s="212" t="s">
        <v>393</v>
      </c>
      <c r="I1929" s="246" t="n">
        <f aca="false">SUM(K1929:R1929)</f>
        <v>0</v>
      </c>
      <c r="J1929" s="182" t="n">
        <v>45942</v>
      </c>
      <c r="S1929" s="192" t="n">
        <f aca="false">(K1929+O1929+Q1929)*24 /1130+(L1929+M1929+P1929+R1929)*12/1130+(N1929*30)/1130</f>
        <v>0</v>
      </c>
    </row>
    <row r="1930" customFormat="false" ht="15" hidden="true" customHeight="true" outlineLevel="0" collapsed="false">
      <c r="B1930" s="233" t="n">
        <f aca="false">B1929+D1930-C1930</f>
        <v>846.25</v>
      </c>
      <c r="D1930" s="146" t="n">
        <f aca="false">281.75*3</f>
        <v>845.25</v>
      </c>
      <c r="E1930" s="147" t="n">
        <v>1522</v>
      </c>
      <c r="F1930" s="147" t="n">
        <f aca="false">IFERROR(VLOOKUP(H1930,$AD$1:$AE$301,2,0),"")</f>
        <v>1008003</v>
      </c>
      <c r="G1930" s="147" t="str">
        <f aca="false">IFERROR(VLOOKUP(F1930,$AE$2:$AF$290,2, 0),"")</f>
        <v>حقل</v>
      </c>
      <c r="H1930" s="212" t="s">
        <v>315</v>
      </c>
      <c r="I1930" s="246" t="n">
        <f aca="false">SUM(K1930:R1930)</f>
        <v>3</v>
      </c>
      <c r="J1930" s="182" t="n">
        <v>45943</v>
      </c>
      <c r="K1930" s="148" t="n">
        <v>3</v>
      </c>
      <c r="S1930" s="192" t="n">
        <f aca="false">(K1930+O1930+Q1930)*24 /1130+(L1930+M1930+P1930+R1930)*12/1130+(N1930*30)/1130</f>
        <v>0.063716814159292</v>
      </c>
    </row>
    <row r="1931" customFormat="false" ht="15" hidden="true" customHeight="true" outlineLevel="0" collapsed="false">
      <c r="A1931" s="128" t="n">
        <f aca="false">D1931-563.5-400-354.25-200-49*5+101</f>
        <v>0</v>
      </c>
      <c r="B1931" s="233" t="n">
        <f aca="false">B1930+D1931-C1931</f>
        <v>2508</v>
      </c>
      <c r="D1931" s="146" t="n">
        <f aca="false">253+230+178.25+155.25+281.75*3</f>
        <v>1661.75</v>
      </c>
      <c r="E1931" s="147" t="n">
        <v>1523</v>
      </c>
      <c r="F1931" s="147" t="n">
        <f aca="false">IFERROR(VLOOKUP(H1931,$AD$1:$AE$301,2,0),"")</f>
        <v>750</v>
      </c>
      <c r="G1931" s="147" t="str">
        <f aca="false">IFERROR(VLOOKUP(F1931,$AE$2:$AF$290,2, 0),"")</f>
        <v>تبوك</v>
      </c>
      <c r="H1931" s="398" t="s">
        <v>225</v>
      </c>
      <c r="I1931" s="246" t="n">
        <f aca="false">SUM(K1931:R1931)</f>
        <v>7</v>
      </c>
      <c r="J1931" s="182" t="n">
        <v>45943</v>
      </c>
      <c r="K1931" s="148" t="n">
        <v>3</v>
      </c>
      <c r="L1931" s="149" t="n">
        <v>1</v>
      </c>
      <c r="M1931" s="150" t="n">
        <f aca="false">1+1</f>
        <v>2</v>
      </c>
      <c r="R1931" s="155" t="n">
        <v>1</v>
      </c>
      <c r="S1931" s="192" t="n">
        <f aca="false">(K1931+O1931+Q1931)*24 /1130+(L1931+M1931+P1931+R1931)*12/1130+(N1931*30)/1130</f>
        <v>0.106194690265487</v>
      </c>
    </row>
    <row r="1932" customFormat="false" ht="15" hidden="true" customHeight="true" outlineLevel="0" collapsed="false">
      <c r="B1932" s="233" t="n">
        <f aca="false">B1931+D1932-C1932</f>
        <v>0</v>
      </c>
      <c r="C1932" s="127" t="n">
        <v>2508</v>
      </c>
      <c r="E1932" s="212" t="s">
        <v>653</v>
      </c>
      <c r="F1932" s="147" t="str">
        <f aca="false">IFERROR(VLOOKUP(H1932,$AD$1:$AE$301,2,0),"")</f>
        <v/>
      </c>
      <c r="G1932" s="147" t="str">
        <f aca="false">IFERROR(VLOOKUP(F1932,$AE$2:$AF$290,2, 0),"")</f>
        <v/>
      </c>
      <c r="H1932" s="212" t="s">
        <v>393</v>
      </c>
      <c r="I1932" s="246" t="n">
        <f aca="false">SUM(K1932:R1932)</f>
        <v>0</v>
      </c>
      <c r="J1932" s="182" t="n">
        <v>45943</v>
      </c>
      <c r="S1932" s="192" t="n">
        <f aca="false">(K1932+O1932+Q1932)*24 /1130+(L1932+M1932+P1932+R1932)*12/1130+(N1932*30)/1130</f>
        <v>0</v>
      </c>
    </row>
    <row r="1933" customFormat="false" ht="15" hidden="true" customHeight="true" outlineLevel="0" collapsed="false">
      <c r="A1933" s="128" t="n">
        <f aca="false">D1933-46*5-949-500</f>
        <v>0</v>
      </c>
      <c r="B1933" s="233" t="n">
        <f aca="false">B1932+D1933-C1933</f>
        <v>1679</v>
      </c>
      <c r="D1933" s="146" t="n">
        <f aca="false">310.5+138*2+264.5*3+299</f>
        <v>1679</v>
      </c>
      <c r="E1933" s="147" t="n">
        <v>1524</v>
      </c>
      <c r="F1933" s="147" t="n">
        <f aca="false">IFERROR(VLOOKUP(H1933,$AD$1:$AE$301,2,0),"")</f>
        <v>1076</v>
      </c>
      <c r="G1933" s="147" t="str">
        <f aca="false">IFERROR(VLOOKUP(F1933,$AE$2:$AF$290,2, 0),"")</f>
        <v>تبوك</v>
      </c>
      <c r="H1933" s="212" t="s">
        <v>244</v>
      </c>
      <c r="I1933" s="246" t="n">
        <f aca="false">SUM(K1933:R1933)</f>
        <v>7</v>
      </c>
      <c r="J1933" s="182" t="n">
        <v>45943</v>
      </c>
      <c r="Q1933" s="154" t="n">
        <f aca="false">2+1</f>
        <v>3</v>
      </c>
      <c r="R1933" s="155" t="n">
        <f aca="false">3+1</f>
        <v>4</v>
      </c>
      <c r="S1933" s="192" t="n">
        <f aca="false">(K1933+O1933+Q1933)*24 /1130+(L1933+M1933+P1933+R1933)*12/1130+(N1933*30)/1130</f>
        <v>0.106194690265487</v>
      </c>
    </row>
    <row r="1934" customFormat="false" ht="15" hidden="true" customHeight="true" outlineLevel="0" collapsed="false">
      <c r="B1934" s="233" t="n">
        <f aca="false">B1933+D1934-C1934</f>
        <v>2524.25</v>
      </c>
      <c r="D1934" s="146" t="n">
        <v>845.25</v>
      </c>
      <c r="E1934" s="147" t="n">
        <v>1525</v>
      </c>
      <c r="F1934" s="147" t="n">
        <f aca="false">IFERROR(VLOOKUP(H1934,$AD$1:$AE$301,2,0),"")</f>
        <v>943</v>
      </c>
      <c r="G1934" s="147" t="str">
        <f aca="false">IFERROR(VLOOKUP(F1934,$AE$2:$AF$290,2, 0),"")</f>
        <v>تبوك</v>
      </c>
      <c r="H1934" s="212" t="s">
        <v>259</v>
      </c>
      <c r="I1934" s="246" t="n">
        <f aca="false">SUM(K1934:R1934)</f>
        <v>3</v>
      </c>
      <c r="J1934" s="182" t="n">
        <v>45943</v>
      </c>
      <c r="K1934" s="148" t="n">
        <f aca="false">2+1</f>
        <v>3</v>
      </c>
      <c r="S1934" s="192" t="n">
        <f aca="false">(K1934+O1934+Q1934)*24 /1130+(L1934+M1934+P1934+R1934)*12/1130+(N1934*30)/1130</f>
        <v>0.063716814159292</v>
      </c>
    </row>
    <row r="1935" customFormat="false" ht="15" hidden="true" customHeight="true" outlineLevel="0" collapsed="false">
      <c r="B1935" s="233" t="n">
        <f aca="false">B1934+D1935-C1935</f>
        <v>1.25</v>
      </c>
      <c r="C1935" s="127" t="n">
        <f aca="false">163+629+170+354.25+201.75+845+160</f>
        <v>2523</v>
      </c>
      <c r="E1935" s="212" t="s">
        <v>470</v>
      </c>
      <c r="F1935" s="147" t="str">
        <f aca="false">IFERROR(VLOOKUP(H1935,$AD$1:$AE$301,2,0),"")</f>
        <v/>
      </c>
      <c r="G1935" s="147" t="str">
        <f aca="false">IFERROR(VLOOKUP(F1935,$AE$2:$AF$290,2, 0),"")</f>
        <v/>
      </c>
      <c r="H1935" s="212" t="s">
        <v>393</v>
      </c>
      <c r="I1935" s="246" t="n">
        <f aca="false">SUM(K1935:R1935)</f>
        <v>0</v>
      </c>
      <c r="J1935" s="182" t="n">
        <v>45943</v>
      </c>
      <c r="S1935" s="192" t="n">
        <f aca="false">(K1935+O1935+Q1935)*24 /1130+(L1935+M1935+P1935+R1935)*12/1130+(N1935*30)/1130</f>
        <v>0</v>
      </c>
    </row>
    <row r="1936" customFormat="false" ht="15" hidden="true" customHeight="true" outlineLevel="0" collapsed="false">
      <c r="A1936" s="128" t="n">
        <f aca="false">D1936-11*5-767</f>
        <v>0.25</v>
      </c>
      <c r="B1936" s="233" t="n">
        <f aca="false">B1935+D1936-C1936</f>
        <v>823.5</v>
      </c>
      <c r="D1936" s="146" t="n">
        <f aca="false">274*3+0.25</f>
        <v>822.25</v>
      </c>
      <c r="E1936" s="147" t="n">
        <v>1526</v>
      </c>
      <c r="F1936" s="147" t="n">
        <f aca="false">IFERROR(VLOOKUP(H1936,$AD$1:$AE$301,2,0),"")</f>
        <v>1008023</v>
      </c>
      <c r="G1936" s="147" t="str">
        <f aca="false">IFERROR(VLOOKUP(F1936,$AE$2:$AF$290,2, 0),"")</f>
        <v>ضباء</v>
      </c>
      <c r="H1936" s="212" t="s">
        <v>95</v>
      </c>
      <c r="I1936" s="246" t="n">
        <f aca="false">SUM(K1936:R1936)</f>
        <v>3</v>
      </c>
      <c r="J1936" s="182" t="n">
        <v>45945</v>
      </c>
      <c r="N1936" s="151" t="n">
        <f aca="false">3</f>
        <v>3</v>
      </c>
      <c r="S1936" s="192" t="n">
        <f aca="false">(K1936+O1936+Q1936)*24 /1130+(L1936+M1936+P1936+R1936)*12/1130+(N1936*30)/1130</f>
        <v>0.079646017699115</v>
      </c>
    </row>
    <row r="1937" customFormat="false" ht="15" hidden="true" customHeight="true" outlineLevel="0" collapsed="false">
      <c r="B1937" s="233" t="n">
        <f aca="false">B1936+D1937-C1937</f>
        <v>1306.5</v>
      </c>
      <c r="D1937" s="146" t="n">
        <f aca="false">241.5*2</f>
        <v>483</v>
      </c>
      <c r="E1937" s="147" t="n">
        <v>1527</v>
      </c>
      <c r="F1937" s="147" t="n">
        <f aca="false">IFERROR(VLOOKUP(H1937,$AD$1:$AE$301,2,0),"")</f>
        <v>1008050</v>
      </c>
      <c r="G1937" s="147" t="str">
        <f aca="false">IFERROR(VLOOKUP(F1937,$AE$2:$AF$290,2, 0),"")</f>
        <v>ضباء</v>
      </c>
      <c r="H1937" s="212" t="s">
        <v>92</v>
      </c>
      <c r="I1937" s="246" t="n">
        <f aca="false">SUM(K1937:R1937)</f>
        <v>2</v>
      </c>
      <c r="J1937" s="182" t="n">
        <v>45945</v>
      </c>
      <c r="O1937" s="152" t="n">
        <f aca="false">1+1</f>
        <v>2</v>
      </c>
      <c r="S1937" s="192" t="n">
        <f aca="false">(K1937+O1937+Q1937)*24 /1130+(L1937+M1937+P1937+R1937)*12/1130+(N1937*30)/1130</f>
        <v>0.0424778761061947</v>
      </c>
    </row>
    <row r="1938" customFormat="false" ht="15" hidden="true" customHeight="true" outlineLevel="0" collapsed="false">
      <c r="B1938" s="233" t="n">
        <f aca="false">B1937+D1938-C1938</f>
        <v>1513.5</v>
      </c>
      <c r="D1938" s="146" t="n">
        <v>207</v>
      </c>
      <c r="E1938" s="147" t="n">
        <v>1528</v>
      </c>
      <c r="F1938" s="147" t="n">
        <f aca="false">IFERROR(VLOOKUP(H1938,$AD$1:$AE$301,2,0),"")</f>
        <v>1008022</v>
      </c>
      <c r="G1938" s="147" t="str">
        <f aca="false">IFERROR(VLOOKUP(F1938,$AE$2:$AF$290,2, 0),"")</f>
        <v>ضباء</v>
      </c>
      <c r="H1938" s="212" t="s">
        <v>94</v>
      </c>
      <c r="I1938" s="246" t="n">
        <f aca="false">SUM(K1938:R1938)</f>
        <v>1</v>
      </c>
      <c r="J1938" s="182" t="n">
        <v>45945</v>
      </c>
      <c r="R1938" s="155" t="n">
        <v>1</v>
      </c>
      <c r="S1938" s="192" t="n">
        <f aca="false">(K1938+O1938+Q1938)*24 /1130+(L1938+M1938+P1938+R1938)*12/1130+(N1938*30)/1130</f>
        <v>0.0106194690265487</v>
      </c>
    </row>
    <row r="1939" customFormat="false" ht="15" hidden="true" customHeight="true" outlineLevel="0" collapsed="false">
      <c r="A1939" s="128" t="n">
        <f aca="false">D1939-845</f>
        <v>0.25</v>
      </c>
      <c r="B1939" s="233" t="n">
        <f aca="false">B1938+D1939-C1939</f>
        <v>2358.75</v>
      </c>
      <c r="D1939" s="146" t="n">
        <f aca="false">281.75*3</f>
        <v>845.25</v>
      </c>
      <c r="E1939" s="147" t="n">
        <v>1529</v>
      </c>
      <c r="F1939" s="147" t="n">
        <f aca="false">IFERROR(VLOOKUP(H1939,$AD$1:$AE$301,2,0),"")</f>
        <v>1008044</v>
      </c>
      <c r="G1939" s="147" t="str">
        <f aca="false">IFERROR(VLOOKUP(F1939,$AE$2:$AF$290,2, 0),"")</f>
        <v>الوجه</v>
      </c>
      <c r="H1939" s="212" t="s">
        <v>106</v>
      </c>
      <c r="I1939" s="246" t="n">
        <f aca="false">SUM(K1939:R1939)</f>
        <v>3</v>
      </c>
      <c r="J1939" s="182" t="n">
        <v>45945</v>
      </c>
      <c r="K1939" s="148" t="n">
        <f aca="false">2+1</f>
        <v>3</v>
      </c>
      <c r="S1939" s="192" t="n">
        <f aca="false">(K1939+O1939+Q1939)*24 /1130+(L1939+M1939+P1939+R1939)*12/1130+(N1939*30)/1130</f>
        <v>0.063716814159292</v>
      </c>
    </row>
    <row r="1940" customFormat="false" ht="15" hidden="true" customHeight="true" outlineLevel="0" collapsed="false">
      <c r="A1940" s="128" t="n">
        <f aca="false">D1940-274-450-450-495</f>
        <v>-1.5</v>
      </c>
      <c r="B1940" s="233" t="n">
        <f aca="false">B1939+D1940-C1940</f>
        <v>4026.25</v>
      </c>
      <c r="D1940" s="146" t="n">
        <f aca="false">281.75*3+274*3+0.25</f>
        <v>1667.5</v>
      </c>
      <c r="E1940" s="147" t="n">
        <v>1530</v>
      </c>
      <c r="F1940" s="147" t="n">
        <f aca="false">IFERROR(VLOOKUP(H1940,$AD$1:$AE$301,2,0),"")</f>
        <v>1008051</v>
      </c>
      <c r="G1940" s="147" t="str">
        <f aca="false">IFERROR(VLOOKUP(F1940,$AE$2:$AF$290,2, 0),"")</f>
        <v>الوجه</v>
      </c>
      <c r="H1940" s="212" t="s">
        <v>113</v>
      </c>
      <c r="I1940" s="246" t="n">
        <f aca="false">SUM(K1940:R1940)</f>
        <v>6</v>
      </c>
      <c r="J1940" s="182" t="n">
        <v>45945</v>
      </c>
      <c r="K1940" s="148" t="n">
        <v>3</v>
      </c>
      <c r="N1940" s="151" t="n">
        <f aca="false">2+1</f>
        <v>3</v>
      </c>
      <c r="S1940" s="192" t="n">
        <f aca="false">(K1940+O1940+Q1940)*24 /1130+(L1940+M1940+P1940+R1940)*12/1130+(N1940*30)/1130</f>
        <v>0.143362831858407</v>
      </c>
    </row>
    <row r="1941" customFormat="false" ht="15" hidden="true" customHeight="true" outlineLevel="0" collapsed="false">
      <c r="A1941" s="128" t="n">
        <f aca="false">D1941-500-300-45</f>
        <v>0.25</v>
      </c>
      <c r="B1941" s="233" t="n">
        <f aca="false">B1940+D1941-C1941</f>
        <v>4871.5</v>
      </c>
      <c r="D1941" s="146" t="n">
        <f aca="false">281.75*3</f>
        <v>845.25</v>
      </c>
      <c r="E1941" s="147" t="n">
        <v>1531</v>
      </c>
      <c r="F1941" s="147" t="n">
        <f aca="false">IFERROR(VLOOKUP(H1941,$AD$1:$AE$301,2,0),"")</f>
        <v>1008054</v>
      </c>
      <c r="G1941" s="147" t="str">
        <f aca="false">IFERROR(VLOOKUP(F1941,$AE$2:$AF$290,2, 0),"")</f>
        <v>الوجه</v>
      </c>
      <c r="H1941" s="212" t="s">
        <v>112</v>
      </c>
      <c r="I1941" s="246" t="n">
        <f aca="false">SUM(K1941:R1941)</f>
        <v>3</v>
      </c>
      <c r="J1941" s="182" t="n">
        <v>45945</v>
      </c>
      <c r="K1941" s="148" t="n">
        <f aca="false">2+1</f>
        <v>3</v>
      </c>
      <c r="S1941" s="192" t="n">
        <f aca="false">(K1941+O1941+Q1941)*24 /1130+(L1941+M1941+P1941+R1941)*12/1130+(N1941*30)/1130</f>
        <v>0.063716814159292</v>
      </c>
    </row>
    <row r="1942" customFormat="false" ht="15" hidden="true" customHeight="true" outlineLevel="0" collapsed="false">
      <c r="B1942" s="233" t="n">
        <f aca="false">B1941+D1942-C1942</f>
        <v>5716.75</v>
      </c>
      <c r="D1942" s="146" t="n">
        <f aca="false">281.75*3</f>
        <v>845.25</v>
      </c>
      <c r="E1942" s="147" t="n">
        <v>1532</v>
      </c>
      <c r="F1942" s="147" t="n">
        <f aca="false">IFERROR(VLOOKUP(H1942,$AD$1:$AE$301,2,0),"")</f>
        <v>1008043</v>
      </c>
      <c r="G1942" s="147" t="str">
        <f aca="false">IFERROR(VLOOKUP(F1942,$AE$2:$AF$290,2, 0),"")</f>
        <v>الوجه</v>
      </c>
      <c r="H1942" s="212" t="s">
        <v>104</v>
      </c>
      <c r="I1942" s="246" t="n">
        <f aca="false">SUM(K1942:R1942)</f>
        <v>3</v>
      </c>
      <c r="J1942" s="182" t="n">
        <v>45945</v>
      </c>
      <c r="K1942" s="148" t="n">
        <f aca="false">2+1</f>
        <v>3</v>
      </c>
      <c r="S1942" s="192" t="n">
        <f aca="false">(K1942+O1942+Q1942)*24 /1130+(L1942+M1942+P1942+R1942)*12/1130+(N1942*30)/1130</f>
        <v>0.063716814159292</v>
      </c>
    </row>
    <row r="1943" customFormat="false" ht="15" hidden="true" customHeight="true" outlineLevel="0" collapsed="false">
      <c r="B1943" s="233" t="n">
        <f aca="false">B1942+D1943-C1943</f>
        <v>6562</v>
      </c>
      <c r="D1943" s="146" t="n">
        <f aca="false">281.75*3</f>
        <v>845.25</v>
      </c>
      <c r="E1943" s="147" t="n">
        <v>1533</v>
      </c>
      <c r="F1943" s="147" t="n">
        <f aca="false">IFERROR(VLOOKUP(H1943,$AD$1:$AE$301,2,0),"")</f>
        <v>1008045</v>
      </c>
      <c r="G1943" s="147" t="str">
        <f aca="false">IFERROR(VLOOKUP(F1943,$AE$2:$AF$290,2, 0),"")</f>
        <v>الوجه</v>
      </c>
      <c r="H1943" s="212" t="s">
        <v>107</v>
      </c>
      <c r="I1943" s="246" t="n">
        <f aca="false">SUM(K1943:R1943)</f>
        <v>3</v>
      </c>
      <c r="J1943" s="182" t="n">
        <v>45945</v>
      </c>
      <c r="K1943" s="148" t="n">
        <v>3</v>
      </c>
      <c r="S1943" s="192" t="n">
        <f aca="false">(K1943+O1943+Q1943)*24 /1130+(L1943+M1943+P1943+R1943)*12/1130+(N1943*30)/1130</f>
        <v>0.063716814159292</v>
      </c>
    </row>
    <row r="1944" customFormat="false" ht="15" hidden="true" customHeight="true" outlineLevel="0" collapsed="false">
      <c r="A1944" s="128" t="n">
        <f aca="false">D1944-2000-68*5-4*2-1160-16.75</f>
        <v>0</v>
      </c>
      <c r="B1944" s="233" t="n">
        <f aca="false">B1943+D1944-C1944</f>
        <v>10086.75</v>
      </c>
      <c r="D1944" s="146" t="n">
        <f aca="false">253*2+230*5+178.25+6*281.75</f>
        <v>3524.75</v>
      </c>
      <c r="E1944" s="147" t="n">
        <v>1534</v>
      </c>
      <c r="F1944" s="147" t="n">
        <f aca="false">IFERROR(VLOOKUP(H1944,$AD$1:$AE$301,2,0),"")</f>
        <v>1008046</v>
      </c>
      <c r="G1944" s="147" t="str">
        <f aca="false">IFERROR(VLOOKUP(F1944,$AE$2:$AF$290,2, 0),"")</f>
        <v>الوجه</v>
      </c>
      <c r="H1944" s="212" t="s">
        <v>108</v>
      </c>
      <c r="I1944" s="246" t="n">
        <f aca="false">SUM(K1944:R1944)</f>
        <v>14</v>
      </c>
      <c r="J1944" s="182" t="n">
        <v>45945</v>
      </c>
      <c r="K1944" s="148" t="n">
        <f aca="false">4+2</f>
        <v>6</v>
      </c>
      <c r="L1944" s="149" t="n">
        <v>1</v>
      </c>
      <c r="M1944" s="150" t="n">
        <f aca="false">5+2</f>
        <v>7</v>
      </c>
      <c r="S1944" s="192" t="n">
        <f aca="false">(K1944+O1944+Q1944)*24 /1130+(L1944+M1944+P1944+R1944)*12/1130+(N1944*30)/1130</f>
        <v>0.212389380530973</v>
      </c>
    </row>
    <row r="1945" customFormat="false" ht="15" hidden="true" customHeight="true" outlineLevel="0" collapsed="false">
      <c r="B1945" s="233" t="n">
        <f aca="false">B1944+D1945-C1945</f>
        <v>10224.75</v>
      </c>
      <c r="D1945" s="146" t="n">
        <v>138</v>
      </c>
      <c r="E1945" s="147" t="n">
        <v>1535</v>
      </c>
      <c r="F1945" s="147" t="n">
        <f aca="false">IFERROR(VLOOKUP(H1945,$AD$1:$AE$301,2,0),"")</f>
        <v>1008274</v>
      </c>
      <c r="G1945" s="147" t="str">
        <f aca="false">IFERROR(VLOOKUP(F1945,$AE$2:$AF$290,2, 0),"")</f>
        <v>تبوك</v>
      </c>
      <c r="H1945" s="212" t="s">
        <v>147</v>
      </c>
      <c r="I1945" s="246" t="n">
        <f aca="false">SUM(K1945:R1945)</f>
        <v>1</v>
      </c>
      <c r="J1945" s="182" t="n">
        <v>45945</v>
      </c>
      <c r="Q1945" s="154" t="n">
        <v>1</v>
      </c>
      <c r="S1945" s="192" t="n">
        <f aca="false">(K1945+O1945+Q1945)*24 /1130+(L1945+M1945+P1945+R1945)*12/1130+(N1945*30)/1130</f>
        <v>0.0212389380530973</v>
      </c>
    </row>
    <row r="1946" customFormat="false" ht="15" hidden="true" customHeight="true" outlineLevel="0" collapsed="false">
      <c r="B1946" s="233" t="n">
        <f aca="false">B1945+D1946-C1946</f>
        <v>845.5</v>
      </c>
      <c r="C1946" s="127" t="n">
        <f aca="false">483+207+869.5+450+74+253+1828+200+270+281.75+4450+13</f>
        <v>9379.25</v>
      </c>
      <c r="E1946" s="212" t="s">
        <v>470</v>
      </c>
      <c r="F1946" s="147" t="str">
        <f aca="false">IFERROR(VLOOKUP(H1946,$AD$1:$AE$301,2,0),"")</f>
        <v/>
      </c>
      <c r="G1946" s="147" t="str">
        <f aca="false">IFERROR(VLOOKUP(F1946,$AE$2:$AF$290,2, 0),"")</f>
        <v/>
      </c>
      <c r="H1946" s="212" t="s">
        <v>393</v>
      </c>
      <c r="I1946" s="246" t="n">
        <f aca="false">SUM(K1946:R1946)</f>
        <v>0</v>
      </c>
      <c r="J1946" s="182" t="n">
        <v>45945</v>
      </c>
      <c r="S1946" s="192" t="n">
        <f aca="false">(K1946+O1946+Q1946)*24 /1130+(L1946+M1946+P1946+R1946)*12/1130+(N1946*30)/1130</f>
        <v>0</v>
      </c>
    </row>
    <row r="1947" customFormat="false" ht="15" hidden="true" customHeight="true" outlineLevel="0" collapsed="false">
      <c r="B1947" s="233" t="n">
        <f aca="false">B1946+D1947-C1947</f>
        <v>0.5</v>
      </c>
      <c r="C1947" s="127" t="n">
        <v>845</v>
      </c>
      <c r="E1947" s="212" t="s">
        <v>662</v>
      </c>
      <c r="F1947" s="147" t="str">
        <f aca="false">IFERROR(VLOOKUP(H1947,$AD$1:$AE$301,2,0),"")</f>
        <v/>
      </c>
      <c r="G1947" s="147" t="str">
        <f aca="false">IFERROR(VLOOKUP(F1947,$AE$2:$AF$290,2, 0),"")</f>
        <v/>
      </c>
      <c r="H1947" s="212" t="s">
        <v>393</v>
      </c>
      <c r="I1947" s="246" t="n">
        <f aca="false">SUM(K1947:R1947)</f>
        <v>0</v>
      </c>
      <c r="J1947" s="182" t="n">
        <v>45945</v>
      </c>
      <c r="S1947" s="192" t="n">
        <f aca="false">(K1947+O1947+Q1947)*24 /1130+(L1947+M1947+P1947+R1947)*12/1130+(N1947*30)/1130</f>
        <v>0</v>
      </c>
    </row>
    <row r="1948" customFormat="false" ht="15" hidden="true" customHeight="true" outlineLevel="0" collapsed="false">
      <c r="A1948" s="128" t="n">
        <f aca="false">D1948-20*5-500-135-20*5-723</f>
        <v>0.25</v>
      </c>
      <c r="B1948" s="233" t="n">
        <f aca="false">B1947+D1948-C1948</f>
        <v>1558.75</v>
      </c>
      <c r="D1948" s="146" t="n">
        <f aca="false">856.75+230*2+241.5</f>
        <v>1558.25</v>
      </c>
      <c r="E1948" s="147" t="n">
        <v>1536</v>
      </c>
      <c r="F1948" s="147" t="n">
        <f aca="false">IFERROR(VLOOKUP(H1948,$AD$1:$AE$301,2,0),"")</f>
        <v>1008030</v>
      </c>
      <c r="G1948" s="147" t="str">
        <f aca="false">IFERROR(VLOOKUP(F1948,$AE$2:$AF$290,2, 0),"")</f>
        <v>البير</v>
      </c>
      <c r="H1948" s="212" t="s">
        <v>298</v>
      </c>
      <c r="I1948" s="246" t="n">
        <f aca="false">SUM(K1948:R1948)</f>
        <v>6</v>
      </c>
      <c r="J1948" s="182" t="n">
        <v>45948</v>
      </c>
      <c r="M1948" s="150" t="n">
        <v>2</v>
      </c>
      <c r="N1948" s="151" t="n">
        <v>3</v>
      </c>
      <c r="Q1948" s="154" t="n">
        <v>1</v>
      </c>
      <c r="S1948" s="192" t="n">
        <f aca="false">(K1948+O1948+Q1948)*24 /1130+(L1948+M1948+P1948+R1948)*12/1130+(N1948*30)/1130</f>
        <v>0.12212389380531</v>
      </c>
    </row>
    <row r="1949" customFormat="false" ht="15" hidden="true" customHeight="true" outlineLevel="0" collapsed="false">
      <c r="A1949" s="128" t="n">
        <f aca="false">D1949-480-3</f>
        <v>0</v>
      </c>
      <c r="B1949" s="233" t="n">
        <f aca="false">B1948+D1949-C1949</f>
        <v>2041.75</v>
      </c>
      <c r="D1949" s="146" t="n">
        <f aca="false">241.5*2</f>
        <v>483</v>
      </c>
      <c r="E1949" s="147" t="n">
        <v>1537</v>
      </c>
      <c r="F1949" s="147" t="n">
        <f aca="false">IFERROR(VLOOKUP(H1949,$AD$1:$AE$301,2,0),"")</f>
        <v>1008020</v>
      </c>
      <c r="G1949" s="147" t="str">
        <f aca="false">IFERROR(VLOOKUP(F1949,$AE$2:$AF$290,2, 0),"")</f>
        <v>البير</v>
      </c>
      <c r="H1949" s="212" t="s">
        <v>293</v>
      </c>
      <c r="I1949" s="246" t="n">
        <f aca="false">SUM(K1949:R1949)</f>
        <v>2</v>
      </c>
      <c r="J1949" s="182" t="n">
        <v>45949</v>
      </c>
      <c r="O1949" s="152" t="n">
        <v>2</v>
      </c>
      <c r="S1949" s="192" t="n">
        <f aca="false">(K1949+O1949+Q1949)*24 /1130+(L1949+M1949+P1949+R1949)*12/1130+(N1949*30)/1130</f>
        <v>0.0424778761061947</v>
      </c>
    </row>
    <row r="1950" customFormat="false" ht="15" hidden="true" customHeight="true" outlineLevel="0" collapsed="false">
      <c r="A1950" s="128" t="n">
        <f aca="false">D1950-150-251</f>
        <v>1.5</v>
      </c>
      <c r="B1950" s="233" t="n">
        <f aca="false">B1949+D1950-C1950</f>
        <v>2444.25</v>
      </c>
      <c r="D1950" s="146" t="n">
        <f aca="false">138+264.5</f>
        <v>402.5</v>
      </c>
      <c r="E1950" s="147" t="n">
        <v>1538</v>
      </c>
      <c r="F1950" s="147" t="n">
        <f aca="false">IFERROR(VLOOKUP(H1950,$AD$1:$AE$301,2,0),"")</f>
        <v>1007969</v>
      </c>
      <c r="G1950" s="147" t="str">
        <f aca="false">IFERROR(VLOOKUP(F1950,$AE$2:$AF$290,2, 0),"")</f>
        <v>حقل</v>
      </c>
      <c r="H1950" s="212" t="s">
        <v>309</v>
      </c>
      <c r="I1950" s="246" t="n">
        <f aca="false">SUM(K1950:R1950)</f>
        <v>2</v>
      </c>
      <c r="J1950" s="182" t="n">
        <v>45949</v>
      </c>
      <c r="Q1950" s="154" t="n">
        <v>1</v>
      </c>
      <c r="R1950" s="155" t="n">
        <v>1</v>
      </c>
      <c r="S1950" s="192" t="n">
        <f aca="false">(K1950+O1950+Q1950)*24 /1130+(L1950+M1950+P1950+R1950)*12/1130+(N1950*30)/1130</f>
        <v>0.031858407079646</v>
      </c>
    </row>
    <row r="1951" customFormat="false" ht="15" hidden="true" customHeight="true" outlineLevel="0" collapsed="false">
      <c r="B1951" s="233" t="n">
        <f aca="false">B1950+D1951-C1951</f>
        <v>2835.25</v>
      </c>
      <c r="D1951" s="146" t="n">
        <f aca="false">195.5*2</f>
        <v>391</v>
      </c>
      <c r="E1951" s="147" t="n">
        <v>1539</v>
      </c>
      <c r="F1951" s="147" t="n">
        <f aca="false">IFERROR(VLOOKUP(H1951,$AD$1:$AE$301,2,0),"")</f>
        <v>1006522</v>
      </c>
      <c r="G1951" s="147" t="str">
        <f aca="false">IFERROR(VLOOKUP(F1951,$AE$2:$AF$290,2, 0),"")</f>
        <v>البدع</v>
      </c>
      <c r="H1951" s="212" t="s">
        <v>317</v>
      </c>
      <c r="I1951" s="246" t="n">
        <f aca="false">SUM(K1951:R1951)</f>
        <v>2</v>
      </c>
      <c r="J1951" s="182" t="n">
        <v>45949</v>
      </c>
      <c r="Q1951" s="154" t="n">
        <v>2</v>
      </c>
      <c r="S1951" s="192" t="n">
        <f aca="false">(K1951+O1951+Q1951)*24 /1130+(L1951+M1951+P1951+R1951)*12/1130+(N1951*30)/1130</f>
        <v>0.0424778761061947</v>
      </c>
    </row>
    <row r="1952" customFormat="false" ht="15" hidden="true" customHeight="true" outlineLevel="0" collapsed="false">
      <c r="A1952" s="128" t="n">
        <f aca="false">D1952+281.75-240-283</f>
        <v>0.25</v>
      </c>
      <c r="B1952" s="233" t="n">
        <f aca="false">B1951+D1952-C1952</f>
        <v>3076.75</v>
      </c>
      <c r="D1952" s="146" t="n">
        <v>241.5</v>
      </c>
      <c r="E1952" s="147" t="n">
        <v>1540</v>
      </c>
      <c r="F1952" s="147" t="n">
        <f aca="false">IFERROR(VLOOKUP(H1952,$AD$1:$AE$301,2,0),"")</f>
        <v>1006522</v>
      </c>
      <c r="G1952" s="147" t="str">
        <f aca="false">IFERROR(VLOOKUP(F1952,$AE$2:$AF$290,2, 0),"")</f>
        <v>البدع</v>
      </c>
      <c r="H1952" s="212" t="s">
        <v>317</v>
      </c>
      <c r="I1952" s="246" t="n">
        <f aca="false">SUM(K1952:R1952)</f>
        <v>1</v>
      </c>
      <c r="J1952" s="182" t="n">
        <v>45949</v>
      </c>
      <c r="O1952" s="152" t="n">
        <v>1</v>
      </c>
      <c r="S1952" s="192" t="n">
        <f aca="false">(K1952+O1952+Q1952)*24 /1130+(L1952+M1952+P1952+R1952)*12/1130+(N1952*30)/1130</f>
        <v>0.0212389380530973</v>
      </c>
    </row>
    <row r="1953" customFormat="false" ht="15" hidden="true" customHeight="true" outlineLevel="0" collapsed="false">
      <c r="B1953" s="233" t="n">
        <f aca="false">B1952+D1953-C1953</f>
        <v>1354.75</v>
      </c>
      <c r="C1953" s="127" t="n">
        <f aca="false">900+390+82+150+200</f>
        <v>1722</v>
      </c>
      <c r="E1953" s="212" t="s">
        <v>470</v>
      </c>
      <c r="F1953" s="147" t="str">
        <f aca="false">IFERROR(VLOOKUP(H1953,$AD$1:$AE$301,2,0),"")</f>
        <v/>
      </c>
      <c r="G1953" s="147" t="str">
        <f aca="false">IFERROR(VLOOKUP(F1953,$AE$2:$AF$290,2, 0),"")</f>
        <v/>
      </c>
      <c r="H1953" s="212" t="s">
        <v>393</v>
      </c>
      <c r="I1953" s="246" t="n">
        <f aca="false">SUM(K1953:R1953)</f>
        <v>0</v>
      </c>
      <c r="J1953" s="182" t="n">
        <v>45949</v>
      </c>
      <c r="S1953" s="192" t="n">
        <f aca="false">(K1953+O1953+Q1953)*24 /1130+(L1953+M1953+P1953+R1953)*12/1130+(N1953*30)/1130</f>
        <v>0</v>
      </c>
    </row>
    <row r="1954" customFormat="false" ht="15" hidden="true" customHeight="true" outlineLevel="0" collapsed="false">
      <c r="B1954" s="233" t="n">
        <f aca="false">B1953+D1954-C1954</f>
        <v>0.75</v>
      </c>
      <c r="C1954" s="127" t="n">
        <v>1354</v>
      </c>
      <c r="E1954" s="212" t="s">
        <v>653</v>
      </c>
      <c r="F1954" s="147" t="str">
        <f aca="false">IFERROR(VLOOKUP(H1954,$AD$1:$AE$301,2,0),"")</f>
        <v/>
      </c>
      <c r="G1954" s="147" t="str">
        <f aca="false">IFERROR(VLOOKUP(F1954,$AE$2:$AF$290,2, 0),"")</f>
        <v/>
      </c>
      <c r="H1954" s="212" t="s">
        <v>393</v>
      </c>
      <c r="I1954" s="246" t="n">
        <f aca="false">SUM(K1954:R1954)</f>
        <v>0</v>
      </c>
      <c r="J1954" s="182" t="n">
        <v>45949</v>
      </c>
      <c r="S1954" s="192" t="n">
        <f aca="false">(K1954+O1954+Q1954)*24 /1130+(L1954+M1954+P1954+R1954)*12/1130+(N1954*30)/1130</f>
        <v>0</v>
      </c>
    </row>
    <row r="1955" customFormat="false" ht="15" hidden="true" customHeight="true" outlineLevel="0" collapsed="false">
      <c r="A1955" s="128" t="n">
        <f aca="false">D1955+274-600-500</f>
        <v>-3.75</v>
      </c>
      <c r="B1955" s="233" t="n">
        <f aca="false">B1954+D1955-C1955</f>
        <v>823</v>
      </c>
      <c r="D1955" s="146" t="n">
        <f aca="false">822.25</f>
        <v>822.25</v>
      </c>
      <c r="E1955" s="147" t="n">
        <v>1541</v>
      </c>
      <c r="F1955" s="147" t="n">
        <f aca="false">IFERROR(VLOOKUP(H1955,$AD$1:$AE$301,2,0),"")</f>
        <v>1008276</v>
      </c>
      <c r="G1955" s="147" t="str">
        <f aca="false">IFERROR(VLOOKUP(F1955,$AE$2:$AF$290,2, 0),"")</f>
        <v>تبوك</v>
      </c>
      <c r="H1955" s="212" t="s">
        <v>145</v>
      </c>
      <c r="I1955" s="246" t="n">
        <f aca="false">SUM(K1955:R1955)</f>
        <v>3</v>
      </c>
      <c r="J1955" s="182" t="n">
        <v>45950</v>
      </c>
      <c r="N1955" s="151" t="n">
        <f aca="false">2+1</f>
        <v>3</v>
      </c>
      <c r="S1955" s="192" t="n">
        <f aca="false">(K1955+O1955+Q1955)*24 /1130+(L1955+M1955+P1955+R1955)*12/1130+(N1955*30)/1130</f>
        <v>0.079646017699115</v>
      </c>
    </row>
    <row r="1956" customFormat="false" ht="15" hidden="true" customHeight="true" outlineLevel="0" collapsed="false">
      <c r="B1956" s="233" t="n">
        <f aca="false">B1955+D1956-C1956</f>
        <v>1076</v>
      </c>
      <c r="D1956" s="146" t="n">
        <v>253</v>
      </c>
      <c r="E1956" s="147" t="n">
        <v>1542</v>
      </c>
      <c r="F1956" s="147" t="n">
        <f aca="false">IFERROR(VLOOKUP(H1956,$AD$1:$AE$301,2,0),"")</f>
        <v>1008260</v>
      </c>
      <c r="G1956" s="147" t="str">
        <f aca="false">IFERROR(VLOOKUP(F1956,$AE$2:$AF$290,2, 0),"")</f>
        <v>تبوك</v>
      </c>
      <c r="H1956" s="212" t="s">
        <v>184</v>
      </c>
      <c r="I1956" s="246" t="n">
        <f aca="false">SUM(K1956:R1956)</f>
        <v>1</v>
      </c>
      <c r="J1956" s="182" t="n">
        <v>45950</v>
      </c>
      <c r="M1956" s="150" t="n">
        <v>1</v>
      </c>
      <c r="S1956" s="192" t="n">
        <f aca="false">(K1956+O1956+Q1956)*24 /1130+(L1956+M1956+P1956+R1956)*12/1130+(N1956*30)/1130</f>
        <v>0.0106194690265487</v>
      </c>
    </row>
    <row r="1957" customFormat="false" ht="15" hidden="true" customHeight="true" outlineLevel="0" collapsed="false">
      <c r="B1957" s="233" t="n">
        <f aca="false">B1956+D1957-C1957</f>
        <v>1386.5</v>
      </c>
      <c r="D1957" s="146" t="n">
        <v>310.5</v>
      </c>
      <c r="E1957" s="147" t="n">
        <v>1543</v>
      </c>
      <c r="F1957" s="147" t="n">
        <f aca="false">IFERROR(VLOOKUP(H1957,$AD$1:$AE$301,2,0),"")</f>
        <v>1008266</v>
      </c>
      <c r="G1957" s="147" t="str">
        <f aca="false">IFERROR(VLOOKUP(F1957,$AE$2:$AF$290,2, 0),"")</f>
        <v>تبوك</v>
      </c>
      <c r="H1957" s="212" t="s">
        <v>178</v>
      </c>
      <c r="I1957" s="246" t="n">
        <f aca="false">SUM(K1957:R1957)</f>
        <v>1</v>
      </c>
      <c r="J1957" s="182" t="n">
        <v>45950</v>
      </c>
      <c r="Q1957" s="154" t="n">
        <v>1</v>
      </c>
      <c r="S1957" s="192" t="n">
        <f aca="false">(K1957+O1957+Q1957)*24 /1130+(L1957+M1957+P1957+R1957)*12/1130+(N1957*30)/1130</f>
        <v>0.0212389380530973</v>
      </c>
    </row>
    <row r="1958" customFormat="false" ht="15" hidden="true" customHeight="true" outlineLevel="0" collapsed="false">
      <c r="A1958" s="128" t="n">
        <f aca="false">D1958-310.5</f>
        <v>0</v>
      </c>
      <c r="B1958" s="233" t="n">
        <f aca="false">B1957+D1958-C1958</f>
        <v>1697</v>
      </c>
      <c r="D1958" s="146" t="n">
        <f aca="false">155.25*2</f>
        <v>310.5</v>
      </c>
      <c r="E1958" s="147" t="n">
        <v>1544</v>
      </c>
      <c r="F1958" s="147" t="n">
        <f aca="false">IFERROR(VLOOKUP(H1958,$AD$1:$AE$301,2,0),"")</f>
        <v>653</v>
      </c>
      <c r="G1958" s="147" t="str">
        <f aca="false">IFERROR(VLOOKUP(F1958,$AE$2:$AF$290,2, 0),"")</f>
        <v>تبوك</v>
      </c>
      <c r="H1958" s="212" t="s">
        <v>264</v>
      </c>
      <c r="I1958" s="246" t="n">
        <f aca="false">SUM(K1958:R1958)</f>
        <v>2</v>
      </c>
      <c r="J1958" s="182" t="n">
        <v>45950</v>
      </c>
      <c r="R1958" s="155" t="n">
        <v>2</v>
      </c>
      <c r="S1958" s="192" t="n">
        <f aca="false">(K1958+O1958+Q1958)*24 /1130+(L1958+M1958+P1958+R1958)*12/1130+(N1958*30)/1130</f>
        <v>0.0212389380530973</v>
      </c>
    </row>
    <row r="1959" customFormat="false" ht="15" hidden="true" customHeight="true" outlineLevel="0" collapsed="false">
      <c r="B1959" s="233" t="n">
        <f aca="false">B1958+D1959-C1959</f>
        <v>0.25</v>
      </c>
      <c r="C1959" s="127" t="n">
        <f aca="false">202+614.75+800+80</f>
        <v>1696.75</v>
      </c>
      <c r="E1959" s="212" t="s">
        <v>470</v>
      </c>
      <c r="F1959" s="147" t="str">
        <f aca="false">IFERROR(VLOOKUP(H1959,$AD$1:$AE$301,2,0),"")</f>
        <v/>
      </c>
      <c r="G1959" s="147" t="str">
        <f aca="false">IFERROR(VLOOKUP(F1959,$AE$2:$AF$290,2, 0),"")</f>
        <v/>
      </c>
      <c r="H1959" s="212" t="s">
        <v>393</v>
      </c>
      <c r="I1959" s="246" t="n">
        <f aca="false">SUM(K1959:R1959)</f>
        <v>0</v>
      </c>
      <c r="J1959" s="182" t="n">
        <v>45950</v>
      </c>
      <c r="S1959" s="192" t="n">
        <f aca="false">(K1959+O1959+Q1959)*24 /1130+(L1959+M1959+P1959+R1959)*12/1130+(N1959*30)/1130</f>
        <v>0</v>
      </c>
    </row>
    <row r="1960" customFormat="false" ht="15" hidden="true" customHeight="true" outlineLevel="0" collapsed="false">
      <c r="B1960" s="233" t="n">
        <f aca="false">B1959+D1960-C1960</f>
        <v>345.25</v>
      </c>
      <c r="D1960" s="146" t="n">
        <v>345</v>
      </c>
      <c r="E1960" s="147" t="n">
        <v>1545</v>
      </c>
      <c r="F1960" s="147" t="n">
        <f aca="false">IFERROR(VLOOKUP(H1960,$AD$1:$AE$301,2,0),"")</f>
        <v>721</v>
      </c>
      <c r="G1960" s="147" t="str">
        <f aca="false">IFERROR(VLOOKUP(F1960,$AE$2:$AF$290,2, 0),"")</f>
        <v>تبوك</v>
      </c>
      <c r="H1960" s="212" t="s">
        <v>183</v>
      </c>
      <c r="I1960" s="246" t="n">
        <f aca="false">SUM(K1960:R1960)</f>
        <v>1</v>
      </c>
      <c r="J1960" s="182" t="n">
        <v>45951</v>
      </c>
      <c r="M1960" s="150" t="n">
        <v>1</v>
      </c>
      <c r="S1960" s="192" t="n">
        <f aca="false">(K1960+O1960+Q1960)*24 /1130+(L1960+M1960+P1960+R1960)*12/1130+(N1960*30)/1130</f>
        <v>0.0106194690265487</v>
      </c>
    </row>
    <row r="1961" customFormat="false" ht="15" hidden="true" customHeight="true" outlineLevel="0" collapsed="false">
      <c r="A1961" s="128" t="n">
        <f aca="false">D1961-281.75-281.75-7*5-614.75</f>
        <v>0</v>
      </c>
      <c r="B1961" s="233" t="n">
        <f aca="false">B1960+D1961-C1961</f>
        <v>1558.5</v>
      </c>
      <c r="D1961" s="146" t="n">
        <f aca="false">281.75*3+230+138</f>
        <v>1213.25</v>
      </c>
      <c r="E1961" s="147" t="n">
        <v>1546</v>
      </c>
      <c r="F1961" s="147" t="n">
        <f aca="false">IFERROR(VLOOKUP(H1961,$AD$1:$AE$301,2,0),"")</f>
        <v>1003</v>
      </c>
      <c r="G1961" s="147" t="str">
        <f aca="false">IFERROR(VLOOKUP(F1961,$AE$2:$AF$290,2, 0),"")</f>
        <v>تبوك</v>
      </c>
      <c r="H1961" s="212" t="s">
        <v>277</v>
      </c>
      <c r="I1961" s="246" t="n">
        <f aca="false">SUM(K1961:R1961)</f>
        <v>5</v>
      </c>
      <c r="J1961" s="182" t="n">
        <v>45951</v>
      </c>
      <c r="K1961" s="148" t="n">
        <v>3</v>
      </c>
      <c r="M1961" s="150" t="n">
        <v>1</v>
      </c>
      <c r="Q1961" s="154" t="n">
        <v>1</v>
      </c>
      <c r="S1961" s="192" t="n">
        <f aca="false">(K1961+O1961+Q1961)*24 /1130+(L1961+M1961+P1961+R1961)*12/1130+(N1961*30)/1130</f>
        <v>0.0955752212389381</v>
      </c>
    </row>
    <row r="1962" customFormat="false" ht="15" hidden="true" customHeight="true" outlineLevel="0" collapsed="false">
      <c r="B1962" s="233" t="n">
        <f aca="false">B1961+D1962-C1962</f>
        <v>0.25</v>
      </c>
      <c r="C1962" s="127" t="n">
        <f aca="false">100+0.25+1458</f>
        <v>1558.25</v>
      </c>
      <c r="E1962" s="212" t="s">
        <v>470</v>
      </c>
      <c r="F1962" s="147" t="str">
        <f aca="false">IFERROR(VLOOKUP(H1962,$AD$1:$AE$301,2,0),"")</f>
        <v/>
      </c>
      <c r="G1962" s="147" t="str">
        <f aca="false">IFERROR(VLOOKUP(F1962,$AE$2:$AF$290,2, 0),"")</f>
        <v/>
      </c>
      <c r="H1962" s="212" t="s">
        <v>393</v>
      </c>
      <c r="I1962" s="246" t="n">
        <f aca="false">SUM(K1962:R1962)</f>
        <v>0</v>
      </c>
      <c r="J1962" s="182" t="n">
        <v>45951</v>
      </c>
      <c r="S1962" s="192" t="n">
        <f aca="false">(K1962+O1962+Q1962)*24 /1130+(L1962+M1962+P1962+R1962)*12/1130+(N1962*30)/1130</f>
        <v>0</v>
      </c>
    </row>
    <row r="1963" customFormat="false" ht="15" hidden="true" customHeight="true" outlineLevel="0" collapsed="false">
      <c r="A1963" s="128" t="n">
        <f aca="false">D1963-1023</f>
        <v>0.5</v>
      </c>
      <c r="B1963" s="233" t="n">
        <f aca="false">B1962+D1963-C1963</f>
        <v>1023.75</v>
      </c>
      <c r="D1963" s="146" t="n">
        <f aca="false">281.75*3+178.25</f>
        <v>1023.5</v>
      </c>
      <c r="E1963" s="147" t="n">
        <v>1548</v>
      </c>
      <c r="F1963" s="147" t="n">
        <f aca="false">IFERROR(VLOOKUP(H1963,$AD$1:$AE$301,2,0),"")</f>
        <v>1002</v>
      </c>
      <c r="G1963" s="147" t="str">
        <f aca="false">IFERROR(VLOOKUP(F1963,$AE$2:$AF$290,2, 0),"")</f>
        <v>الوجه</v>
      </c>
      <c r="H1963" s="212" t="s">
        <v>116</v>
      </c>
      <c r="I1963" s="246" t="n">
        <f aca="false">SUM(K1963:R1963)</f>
        <v>4</v>
      </c>
      <c r="J1963" s="182" t="n">
        <v>45943</v>
      </c>
      <c r="K1963" s="148" t="n">
        <v>3</v>
      </c>
      <c r="L1963" s="149" t="n">
        <v>1</v>
      </c>
      <c r="S1963" s="192" t="n">
        <f aca="false">(K1963+O1963+Q1963)*24 /1130+(L1963+M1963+P1963+R1963)*12/1130+(N1963*30)/1130</f>
        <v>0.0743362831858407</v>
      </c>
    </row>
    <row r="1964" customFormat="false" ht="15" hidden="true" customHeight="true" outlineLevel="0" collapsed="false">
      <c r="A1964" s="128" t="n">
        <f aca="false">D1964-200-145</f>
        <v>0</v>
      </c>
      <c r="B1964" s="233" t="n">
        <f aca="false">B1963+D1964-C1964</f>
        <v>1368.75</v>
      </c>
      <c r="D1964" s="146" t="n">
        <v>345</v>
      </c>
      <c r="E1964" s="147" t="n">
        <v>1547</v>
      </c>
      <c r="F1964" s="147" t="n">
        <f aca="false">IFERROR(VLOOKUP(H1964,$AD$1:$AE$301,2,0),"")</f>
        <v>1008024</v>
      </c>
      <c r="G1964" s="147" t="str">
        <f aca="false">IFERROR(VLOOKUP(F1964,$AE$2:$AF$290,2, 0),"")</f>
        <v>ضباء</v>
      </c>
      <c r="H1964" s="212" t="s">
        <v>96</v>
      </c>
      <c r="I1964" s="246" t="n">
        <f aca="false">SUM(K1964:R1964)</f>
        <v>1</v>
      </c>
      <c r="J1964" s="182" t="n">
        <v>45952</v>
      </c>
      <c r="M1964" s="150" t="n">
        <v>1</v>
      </c>
      <c r="S1964" s="192" t="n">
        <f aca="false">(K1964+O1964+Q1964)*24 /1130+(L1964+M1964+P1964+R1964)*12/1130+(N1964*30)/1130</f>
        <v>0.0106194690265487</v>
      </c>
    </row>
    <row r="1965" customFormat="false" ht="15" hidden="true" customHeight="true" outlineLevel="0" collapsed="false">
      <c r="B1965" s="233" t="n">
        <f aca="false">B1964+D1965-C1965</f>
        <v>2214</v>
      </c>
      <c r="D1965" s="146" t="n">
        <f aca="false">281.75*3</f>
        <v>845.25</v>
      </c>
      <c r="E1965" s="147" t="n">
        <v>1550</v>
      </c>
      <c r="F1965" s="147" t="n">
        <f aca="false">IFERROR(VLOOKUP(H1965,$AD$1:$AE$301,2,0),"")</f>
        <v>1007989</v>
      </c>
      <c r="G1965" s="147" t="str">
        <f aca="false">IFERROR(VLOOKUP(F1965,$AE$2:$AF$290,2, 0),"")</f>
        <v>ضباء</v>
      </c>
      <c r="H1965" s="212" t="s">
        <v>90</v>
      </c>
      <c r="I1965" s="246" t="n">
        <f aca="false">SUM(K1965:R1965)</f>
        <v>3</v>
      </c>
      <c r="J1965" s="182" t="n">
        <v>45945</v>
      </c>
      <c r="K1965" s="148" t="n">
        <v>3</v>
      </c>
      <c r="S1965" s="192" t="n">
        <f aca="false">(K1965+O1965+Q1965)*24 /1130+(L1965+M1965+P1965+R1965)*12/1130+(N1965*30)/1130</f>
        <v>0.063716814159292</v>
      </c>
    </row>
    <row r="1966" customFormat="false" ht="15" hidden="true" customHeight="true" outlineLevel="0" collapsed="false">
      <c r="A1966" s="128" t="n">
        <f aca="false">D1966-937</f>
        <v>0.25</v>
      </c>
      <c r="B1966" s="233" t="n">
        <f aca="false">B1965+D1966-C1966</f>
        <v>3151.25</v>
      </c>
      <c r="D1966" s="146" t="n">
        <f aca="false">345+155.25+299+138</f>
        <v>937.25</v>
      </c>
      <c r="E1966" s="147" t="n">
        <v>1551</v>
      </c>
      <c r="F1966" s="147" t="n">
        <f aca="false">IFERROR(VLOOKUP(H1966,$AD$1:$AE$301,2,0),"")</f>
        <v>1008022</v>
      </c>
      <c r="G1966" s="147" t="str">
        <f aca="false">IFERROR(VLOOKUP(F1966,$AE$2:$AF$290,2, 0),"")</f>
        <v>ضباء</v>
      </c>
      <c r="H1966" s="212" t="s">
        <v>94</v>
      </c>
      <c r="I1966" s="246" t="n">
        <f aca="false">SUM(K1966:R1966)</f>
        <v>4</v>
      </c>
      <c r="J1966" s="182" t="n">
        <v>45952</v>
      </c>
      <c r="M1966" s="150" t="n">
        <v>1</v>
      </c>
      <c r="Q1966" s="154" t="n">
        <v>1</v>
      </c>
      <c r="R1966" s="155" t="n">
        <f aca="false">1+1</f>
        <v>2</v>
      </c>
      <c r="S1966" s="192" t="n">
        <f aca="false">(K1966+O1966+Q1966)*24 /1130+(L1966+M1966+P1966+R1966)*12/1130+(N1966*30)/1130</f>
        <v>0.0530973451327434</v>
      </c>
    </row>
    <row r="1967" customFormat="false" ht="15" hidden="true" customHeight="true" outlineLevel="0" collapsed="false">
      <c r="B1967" s="233" t="n">
        <f aca="false">B1966+D1967-C1967</f>
        <v>3289.25</v>
      </c>
      <c r="D1967" s="146" t="n">
        <v>138</v>
      </c>
      <c r="E1967" s="147" t="n">
        <v>1549</v>
      </c>
      <c r="F1967" s="147" t="n">
        <f aca="false">IFERROR(VLOOKUP(H1967,$AD$1:$AE$301,2,0),"")</f>
        <v>1007988</v>
      </c>
      <c r="G1967" s="147" t="str">
        <f aca="false">IFERROR(VLOOKUP(F1967,$AE$2:$AF$290,2, 0),"")</f>
        <v>ضباء</v>
      </c>
      <c r="H1967" s="212" t="s">
        <v>89</v>
      </c>
      <c r="I1967" s="246" t="n">
        <f aca="false">SUM(K1967:R1967)</f>
        <v>1</v>
      </c>
      <c r="J1967" s="182" t="n">
        <v>45952</v>
      </c>
      <c r="Q1967" s="154" t="n">
        <v>1</v>
      </c>
      <c r="S1967" s="192" t="n">
        <f aca="false">(K1967+O1967+Q1967)*24 /1130+(L1967+M1967+P1967+R1967)*12/1130+(N1967*30)/1130</f>
        <v>0.0212389380530973</v>
      </c>
    </row>
    <row r="1968" customFormat="false" ht="15" hidden="true" customHeight="true" outlineLevel="0" collapsed="false">
      <c r="B1968" s="233" t="n">
        <f aca="false">B1967+D1968-C1968</f>
        <v>2425.75</v>
      </c>
      <c r="C1968" s="127" t="n">
        <f aca="false">563.5+300</f>
        <v>863.5</v>
      </c>
      <c r="E1968" s="212" t="s">
        <v>470</v>
      </c>
      <c r="F1968" s="147" t="str">
        <f aca="false">IFERROR(VLOOKUP(H1968,$AD$1:$AE$301,2,0),"")</f>
        <v/>
      </c>
      <c r="G1968" s="147" t="str">
        <f aca="false">IFERROR(VLOOKUP(F1968,$AE$2:$AF$290,2, 0),"")</f>
        <v/>
      </c>
      <c r="H1968" s="212" t="s">
        <v>393</v>
      </c>
      <c r="I1968" s="246" t="n">
        <f aca="false">SUM(K1968:R1968)</f>
        <v>0</v>
      </c>
      <c r="J1968" s="182" t="n">
        <v>45952</v>
      </c>
      <c r="S1968" s="192" t="n">
        <f aca="false">(K1968+O1968+Q1968)*24 /1130+(L1968+M1968+P1968+R1968)*12/1130+(N1968*30)/1130</f>
        <v>0</v>
      </c>
    </row>
    <row r="1969" customFormat="false" ht="15" hidden="true" customHeight="true" outlineLevel="0" collapsed="false">
      <c r="B1969" s="233" t="n">
        <f aca="false">B1968+D1969-C1969</f>
        <v>0.75</v>
      </c>
      <c r="C1969" s="127" t="n">
        <v>2425</v>
      </c>
      <c r="E1969" s="212" t="s">
        <v>653</v>
      </c>
      <c r="F1969" s="147" t="str">
        <f aca="false">IFERROR(VLOOKUP(H1969,$AD$1:$AE$301,2,0),"")</f>
        <v/>
      </c>
      <c r="G1969" s="147" t="str">
        <f aca="false">IFERROR(VLOOKUP(F1969,$AE$2:$AF$290,2, 0),"")</f>
        <v/>
      </c>
      <c r="H1969" s="212" t="s">
        <v>393</v>
      </c>
      <c r="I1969" s="246" t="n">
        <f aca="false">SUM(K1969:R1969)</f>
        <v>0</v>
      </c>
      <c r="J1969" s="182" t="n">
        <v>45953</v>
      </c>
      <c r="S1969" s="192" t="n">
        <f aca="false">(K1969+O1969+Q1969)*24 /1130+(L1969+M1969+P1969+R1969)*12/1130+(N1969*30)/1130</f>
        <v>0</v>
      </c>
    </row>
    <row r="1970" customFormat="false" ht="15" hidden="true" customHeight="true" outlineLevel="0" collapsed="false">
      <c r="A1970" s="128" t="n">
        <f aca="false">D1970-500-345</f>
        <v>0.25</v>
      </c>
      <c r="B1970" s="233" t="n">
        <f aca="false">B1969+D1970-C1970</f>
        <v>846</v>
      </c>
      <c r="D1970" s="146" t="n">
        <f aca="false">281.75*3</f>
        <v>845.25</v>
      </c>
      <c r="E1970" s="147" t="n">
        <v>1552</v>
      </c>
      <c r="F1970" s="147" t="n">
        <f aca="false">IFERROR(VLOOKUP(H1970,$AD$1:$AE$301,2,0),"")</f>
        <v>1008272</v>
      </c>
      <c r="G1970" s="147" t="str">
        <f aca="false">IFERROR(VLOOKUP(F1970,$AE$2:$AF$290,2, 0),"")</f>
        <v>تبوك</v>
      </c>
      <c r="H1970" s="212" t="s">
        <v>143</v>
      </c>
      <c r="I1970" s="246" t="n">
        <f aca="false">SUM(K1970:R1970)</f>
        <v>3</v>
      </c>
      <c r="J1970" s="182" t="n">
        <v>45953</v>
      </c>
      <c r="K1970" s="148" t="n">
        <f aca="false">2+1</f>
        <v>3</v>
      </c>
      <c r="S1970" s="192" t="n">
        <f aca="false">(K1970+O1970+Q1970)*24 /1130+(L1970+M1970+P1970+R1970)*12/1130+(N1970*30)/1130</f>
        <v>0.063716814159292</v>
      </c>
    </row>
    <row r="1971" customFormat="false" ht="15" hidden="true" customHeight="true" outlineLevel="0" collapsed="false">
      <c r="A1971" s="128" t="n">
        <f aca="false">D1971-33-190-18-5-119-17-20-100-70</f>
        <v>3</v>
      </c>
      <c r="B1971" s="233" t="n">
        <f aca="false">B1970+D1971-C1971</f>
        <v>1421</v>
      </c>
      <c r="D1971" s="146" t="n">
        <f aca="false">299+138*2</f>
        <v>575</v>
      </c>
      <c r="E1971" s="147" t="n">
        <v>1553</v>
      </c>
      <c r="F1971" s="147" t="n">
        <f aca="false">IFERROR(VLOOKUP(H1971,$AD$1:$AE$301,2,0),"")</f>
        <v>562</v>
      </c>
      <c r="G1971" s="147" t="str">
        <f aca="false">IFERROR(VLOOKUP(F1971,$AE$2:$AF$290,2, 0),"")</f>
        <v>تبوك</v>
      </c>
      <c r="H1971" s="212" t="s">
        <v>234</v>
      </c>
      <c r="I1971" s="246" t="n">
        <f aca="false">SUM(K1971:R1971)</f>
        <v>3</v>
      </c>
      <c r="J1971" s="182" t="n">
        <v>45953</v>
      </c>
      <c r="Q1971" s="154" t="n">
        <v>2</v>
      </c>
      <c r="R1971" s="155" t="n">
        <v>1</v>
      </c>
      <c r="S1971" s="192" t="n">
        <f aca="false">(K1971+O1971+Q1971)*24 /1130+(L1971+M1971+P1971+R1971)*12/1130+(N1971*30)/1130</f>
        <v>0.0530973451327434</v>
      </c>
    </row>
    <row r="1972" customFormat="false" ht="15" hidden="true" customHeight="true" outlineLevel="0" collapsed="false">
      <c r="A1972" s="128" t="n">
        <f aca="false">D1972-25-820</f>
        <v>0.25</v>
      </c>
      <c r="B1972" s="233" t="n">
        <f aca="false">B1971+D1972-C1972</f>
        <v>2266.25</v>
      </c>
      <c r="D1972" s="146" t="n">
        <f aca="false">281.75*3</f>
        <v>845.25</v>
      </c>
      <c r="E1972" s="147" t="n">
        <v>1554</v>
      </c>
      <c r="F1972" s="147" t="n">
        <f aca="false">IFERROR(VLOOKUP(H1972,$AD$1:$AE$301,2,0),"")</f>
        <v>1008260</v>
      </c>
      <c r="G1972" s="147" t="str">
        <f aca="false">IFERROR(VLOOKUP(F1972,$AE$2:$AF$290,2, 0),"")</f>
        <v>تبوك</v>
      </c>
      <c r="H1972" s="212" t="s">
        <v>184</v>
      </c>
      <c r="I1972" s="246" t="n">
        <f aca="false">SUM(K1972:R1972)</f>
        <v>3</v>
      </c>
      <c r="J1972" s="182" t="n">
        <v>45953</v>
      </c>
      <c r="K1972" s="148" t="n">
        <v>3</v>
      </c>
      <c r="S1972" s="192" t="n">
        <f aca="false">(K1972+O1972+Q1972)*24 /1130+(L1972+M1972+P1972+R1972)*12/1130+(N1972*30)/1130</f>
        <v>0.063716814159292</v>
      </c>
    </row>
    <row r="1973" customFormat="false" ht="15" hidden="true" customHeight="true" outlineLevel="0" collapsed="false">
      <c r="B1973" s="233" t="n">
        <f aca="false">B1972+D1973-C1973</f>
        <v>3111.5</v>
      </c>
      <c r="D1973" s="146" t="n">
        <f aca="false">281.75*3</f>
        <v>845.25</v>
      </c>
      <c r="E1973" s="147" t="n">
        <v>1555</v>
      </c>
      <c r="F1973" s="147" t="n">
        <f aca="false">IFERROR(VLOOKUP(H1973,$AD$1:$AE$301,2,0),"")</f>
        <v>1008057</v>
      </c>
      <c r="G1973" s="147" t="str">
        <f aca="false">IFERROR(VLOOKUP(F1973,$AE$2:$AF$290,2, 0),"")</f>
        <v>تبوك</v>
      </c>
      <c r="H1973" s="212" t="s">
        <v>242</v>
      </c>
      <c r="I1973" s="246" t="n">
        <f aca="false">SUM(K1973:R1973)</f>
        <v>3</v>
      </c>
      <c r="J1973" s="182" t="n">
        <v>45953</v>
      </c>
      <c r="K1973" s="148" t="n">
        <v>3</v>
      </c>
      <c r="S1973" s="192" t="n">
        <f aca="false">(K1973+O1973+Q1973)*24 /1130+(L1973+M1973+P1973+R1973)*12/1130+(N1973*30)/1130</f>
        <v>0.063716814159292</v>
      </c>
    </row>
    <row r="1974" customFormat="false" ht="15" hidden="true" customHeight="true" outlineLevel="0" collapsed="false">
      <c r="B1974" s="233" t="n">
        <f aca="false">B1973+D1974-C1974</f>
        <v>4836.5</v>
      </c>
      <c r="D1974" s="146" t="n">
        <f aca="false">281.75*3+230+241.5+155.25+253</f>
        <v>1725</v>
      </c>
      <c r="E1974" s="147" t="n">
        <v>1556</v>
      </c>
      <c r="F1974" s="147" t="n">
        <f aca="false">IFERROR(VLOOKUP(H1974,$AD$1:$AE$301,2,0),"")</f>
        <v>1002861</v>
      </c>
      <c r="G1974" s="147" t="str">
        <f aca="false">IFERROR(VLOOKUP(F1974,$AE$2:$AF$290,2, 0),"")</f>
        <v>تبوك</v>
      </c>
      <c r="H1974" s="212" t="s">
        <v>275</v>
      </c>
      <c r="I1974" s="246" t="n">
        <f aca="false">SUM(K1974:R1974)</f>
        <v>7</v>
      </c>
      <c r="J1974" s="182" t="n">
        <v>45955</v>
      </c>
      <c r="K1974" s="148" t="n">
        <f aca="false">2+1</f>
        <v>3</v>
      </c>
      <c r="M1974" s="150" t="n">
        <f aca="false">1+1</f>
        <v>2</v>
      </c>
      <c r="O1974" s="152" t="n">
        <v>1</v>
      </c>
      <c r="R1974" s="155" t="n">
        <v>1</v>
      </c>
      <c r="S1974" s="192" t="n">
        <f aca="false">(K1974+O1974+Q1974)*24 /1130+(L1974+M1974+P1974+R1974)*12/1130+(N1974*30)/1130</f>
        <v>0.116814159292035</v>
      </c>
    </row>
    <row r="1975" customFormat="false" ht="15" hidden="true" customHeight="true" outlineLevel="0" collapsed="false">
      <c r="B1975" s="233" t="n">
        <f aca="false">B1974+D1975-C1975</f>
        <v>1023</v>
      </c>
      <c r="C1975" s="127" t="n">
        <f aca="false">310.5+282+120+3050+51</f>
        <v>3813.5</v>
      </c>
      <c r="E1975" s="212" t="s">
        <v>470</v>
      </c>
      <c r="F1975" s="147" t="str">
        <f aca="false">IFERROR(VLOOKUP(H1975,$AD$1:$AE$301,2,0),"")</f>
        <v/>
      </c>
      <c r="G1975" s="147" t="str">
        <f aca="false">IFERROR(VLOOKUP(F1975,$AE$2:$AF$290,2, 0),"")</f>
        <v/>
      </c>
      <c r="H1975" s="212" t="s">
        <v>393</v>
      </c>
      <c r="I1975" s="246" t="n">
        <f aca="false">SUM(K1975:R1975)</f>
        <v>0</v>
      </c>
      <c r="J1975" s="182" t="n">
        <v>45953</v>
      </c>
      <c r="S1975" s="192" t="n">
        <f aca="false">(K1975+O1975+Q1975)*24 /1130+(L1975+M1975+P1975+R1975)*12/1130+(N1975*30)/1130</f>
        <v>0</v>
      </c>
    </row>
    <row r="1976" customFormat="false" ht="15" hidden="true" customHeight="true" outlineLevel="0" collapsed="false">
      <c r="B1976" s="233" t="n">
        <f aca="false">B1975+D1976-C1976</f>
        <v>0</v>
      </c>
      <c r="C1976" s="127" t="n">
        <v>1023</v>
      </c>
      <c r="E1976" s="212" t="s">
        <v>662</v>
      </c>
      <c r="F1976" s="147" t="str">
        <f aca="false">IFERROR(VLOOKUP(H1976,$AD$1:$AE$301,2,0),"")</f>
        <v/>
      </c>
      <c r="G1976" s="147" t="str">
        <f aca="false">IFERROR(VLOOKUP(F1976,$AE$2:$AF$290,2, 0),"")</f>
        <v/>
      </c>
      <c r="H1976" s="212" t="s">
        <v>393</v>
      </c>
      <c r="I1976" s="246" t="n">
        <f aca="false">SUM(K1976:R1976)</f>
        <v>0</v>
      </c>
      <c r="J1976" s="182" t="n">
        <v>45953</v>
      </c>
      <c r="S1976" s="192" t="n">
        <f aca="false">(K1976+O1976+Q1976)*24 /1130+(L1976+M1976+P1976+R1976)*12/1130+(N1976*30)/1130</f>
        <v>0</v>
      </c>
    </row>
    <row r="1977" customFormat="false" ht="15" hidden="true" customHeight="true" outlineLevel="0" collapsed="false">
      <c r="A1977" s="128" t="n">
        <f aca="false">D1977-1350-7</f>
        <v>0</v>
      </c>
      <c r="B1977" s="233" t="n">
        <f aca="false">B1976+D1977-C1977</f>
        <v>1357</v>
      </c>
      <c r="D1977" s="146" t="n">
        <f aca="false">291.33*3+241.5*2+0.01</f>
        <v>1357</v>
      </c>
      <c r="E1977" s="147" t="n">
        <v>1557</v>
      </c>
      <c r="F1977" s="147" t="n">
        <f aca="false">IFERROR(VLOOKUP(H1977,$AD$1:$AE$301,2,0),"")</f>
        <v>587</v>
      </c>
      <c r="G1977" s="147" t="str">
        <f aca="false">IFERROR(VLOOKUP(F1977,$AE$2:$AF$290,2, 0),"")</f>
        <v>تبوك</v>
      </c>
      <c r="H1977" s="212" t="s">
        <v>226</v>
      </c>
      <c r="I1977" s="246" t="n">
        <f aca="false">SUM(K1977:R1977)</f>
        <v>5</v>
      </c>
      <c r="J1977" s="182" t="n">
        <v>45956</v>
      </c>
      <c r="N1977" s="151" t="n">
        <v>3</v>
      </c>
      <c r="Q1977" s="154" t="n">
        <f aca="false">1+1</f>
        <v>2</v>
      </c>
      <c r="S1977" s="192" t="n">
        <f aca="false">(K1977+O1977+Q1977)*24 /1130+(L1977+M1977+P1977+R1977)*12/1130+(N1977*30)/1130</f>
        <v>0.12212389380531</v>
      </c>
    </row>
    <row r="1978" customFormat="false" ht="15" hidden="true" customHeight="true" outlineLevel="0" collapsed="false">
      <c r="A1978" s="128" t="n">
        <f aca="false">D1978-140-636</f>
        <v>0.25</v>
      </c>
      <c r="B1978" s="233" t="n">
        <f aca="false">B1977+D1978-C1978</f>
        <v>2133.25</v>
      </c>
      <c r="D1978" s="146" t="n">
        <f aca="false">155.25*5</f>
        <v>776.25</v>
      </c>
      <c r="E1978" s="147" t="n">
        <v>1558</v>
      </c>
      <c r="F1978" s="147" t="n">
        <f aca="false">IFERROR(VLOOKUP(H1978,$AD$1:$AE$301,2,0),"")</f>
        <v>1006470</v>
      </c>
      <c r="G1978" s="147" t="str">
        <f aca="false">IFERROR(VLOOKUP(F1978,$AE$2:$AF$290,2, 0),"")</f>
        <v>تبوك</v>
      </c>
      <c r="H1978" s="398" t="s">
        <v>276</v>
      </c>
      <c r="I1978" s="246" t="n">
        <f aca="false">SUM(K1978:R1978)</f>
        <v>5</v>
      </c>
      <c r="J1978" s="182" t="n">
        <v>45956</v>
      </c>
      <c r="R1978" s="155" t="n">
        <v>5</v>
      </c>
      <c r="S1978" s="192" t="n">
        <f aca="false">(K1978+O1978+Q1978)*24 /1130+(L1978+M1978+P1978+R1978)*12/1130+(N1978*30)/1130</f>
        <v>0.0530973451327434</v>
      </c>
    </row>
    <row r="1979" customFormat="false" ht="15" hidden="true" customHeight="true" outlineLevel="0" collapsed="false">
      <c r="A1979" s="128" t="n">
        <f aca="false">D1979-1328</f>
        <v>0.25</v>
      </c>
      <c r="B1979" s="233" t="n">
        <f aca="false">B1978+D1979-C1979</f>
        <v>3461.5</v>
      </c>
      <c r="D1979" s="146" t="n">
        <f aca="false">281.75*3+253+230</f>
        <v>1328.25</v>
      </c>
      <c r="E1979" s="147" t="n">
        <v>1660</v>
      </c>
      <c r="F1979" s="147" t="n">
        <f aca="false">IFERROR(VLOOKUP(H1979,$AD$1:$AE$301,2,0),"")</f>
        <v>827</v>
      </c>
      <c r="G1979" s="147" t="str">
        <f aca="false">IFERROR(VLOOKUP(F1979,$AE$2:$AF$290,2, 0),"")</f>
        <v>تبوك</v>
      </c>
      <c r="H1979" s="212" t="s">
        <v>182</v>
      </c>
      <c r="I1979" s="246" t="n">
        <f aca="false">SUM(K1979:R1979)</f>
        <v>5</v>
      </c>
      <c r="J1979" s="182" t="n">
        <v>45956</v>
      </c>
      <c r="K1979" s="148" t="n">
        <f aca="false">2+1</f>
        <v>3</v>
      </c>
      <c r="M1979" s="150" t="n">
        <f aca="false">1+1</f>
        <v>2</v>
      </c>
      <c r="S1979" s="192" t="n">
        <f aca="false">(K1979+O1979+Q1979)*24 /1130+(L1979+M1979+P1979+R1979)*12/1130+(N1979*30)/1130</f>
        <v>0.0849557522123894</v>
      </c>
    </row>
    <row r="1980" customFormat="false" ht="15" hidden="true" customHeight="true" outlineLevel="0" collapsed="false">
      <c r="A1980" s="128" t="n">
        <f aca="false">D1980-375</f>
        <v>-1.25</v>
      </c>
      <c r="B1980" s="233" t="n">
        <f aca="false">B1979+D1980-C1980</f>
        <v>3835.25</v>
      </c>
      <c r="D1980" s="146" t="n">
        <f aca="false">138+235.75</f>
        <v>373.75</v>
      </c>
      <c r="E1980" s="147" t="n">
        <v>1559</v>
      </c>
      <c r="F1980" s="147" t="n">
        <f aca="false">IFERROR(VLOOKUP(H1980,$AD$1:$AE$301,2,0),"")</f>
        <v>855</v>
      </c>
      <c r="G1980" s="147" t="str">
        <f aca="false">IFERROR(VLOOKUP(F1980,$AE$2:$AF$290,2, 0),"")</f>
        <v>تبوك</v>
      </c>
      <c r="H1980" s="212" t="s">
        <v>141</v>
      </c>
      <c r="I1980" s="246" t="n">
        <f aca="false">SUM(K1980:R1980)</f>
        <v>2</v>
      </c>
      <c r="J1980" s="182" t="n">
        <v>45956</v>
      </c>
      <c r="M1980" s="150" t="n">
        <v>1</v>
      </c>
      <c r="Q1980" s="154" t="n">
        <v>1</v>
      </c>
      <c r="S1980" s="192" t="n">
        <f aca="false">(K1980+O1980+Q1980)*24 /1130+(L1980+M1980+P1980+R1980)*12/1130+(N1980*30)/1130</f>
        <v>0.031858407079646</v>
      </c>
    </row>
    <row r="1981" customFormat="false" ht="15" hidden="true" customHeight="true" outlineLevel="0" collapsed="false">
      <c r="B1981" s="233" t="n">
        <f aca="false">B1980+D1981-C1981</f>
        <v>4680.5</v>
      </c>
      <c r="D1981" s="146" t="n">
        <f aca="false">281.75*3</f>
        <v>845.25</v>
      </c>
      <c r="E1981" s="147" t="n">
        <v>1561</v>
      </c>
      <c r="F1981" s="147" t="n">
        <f aca="false">IFERROR(VLOOKUP(H1981,$AD$1:$AE$301,2,0),"")</f>
        <v>1008265</v>
      </c>
      <c r="G1981" s="147" t="str">
        <f aca="false">IFERROR(VLOOKUP(F1981,$AE$2:$AF$290,2, 0),"")</f>
        <v>تبوك</v>
      </c>
      <c r="H1981" s="212" t="s">
        <v>146</v>
      </c>
      <c r="I1981" s="246" t="n">
        <f aca="false">SUM(K1981:R1981)</f>
        <v>3</v>
      </c>
      <c r="J1981" s="182" t="n">
        <v>45956</v>
      </c>
      <c r="K1981" s="148" t="n">
        <v>3</v>
      </c>
      <c r="S1981" s="192" t="n">
        <f aca="false">(K1981+O1981+Q1981)*24 /1130+(L1981+M1981+P1981+R1981)*12/1130+(N1981*30)/1130</f>
        <v>0.063716814159292</v>
      </c>
    </row>
    <row r="1982" customFormat="false" ht="15" hidden="true" customHeight="true" outlineLevel="0" collapsed="false">
      <c r="B1982" s="233" t="n">
        <f aca="false">B1981+D1982-C1982</f>
        <v>0</v>
      </c>
      <c r="C1982" s="127" t="n">
        <f aca="false">949+3731</f>
        <v>4680</v>
      </c>
      <c r="D1982" s="146" t="n">
        <v>-0.5</v>
      </c>
      <c r="E1982" s="212" t="s">
        <v>470</v>
      </c>
      <c r="F1982" s="147" t="str">
        <f aca="false">IFERROR(VLOOKUP(H1982,$AD$1:$AE$301,2,0),"")</f>
        <v/>
      </c>
      <c r="G1982" s="147" t="str">
        <f aca="false">IFERROR(VLOOKUP(F1982,$AE$2:$AF$290,2, 0),"")</f>
        <v/>
      </c>
      <c r="H1982" s="212" t="s">
        <v>393</v>
      </c>
      <c r="I1982" s="246" t="n">
        <f aca="false">SUM(K1982:R1982)</f>
        <v>0</v>
      </c>
      <c r="J1982" s="182" t="n">
        <v>45956</v>
      </c>
      <c r="S1982" s="192" t="n">
        <f aca="false">(K1982+O1982+Q1982)*24 /1130+(L1982+M1982+P1982+R1982)*12/1130+(N1982*30)/1130</f>
        <v>0</v>
      </c>
    </row>
    <row r="1983" customFormat="false" ht="15" hidden="true" customHeight="true" outlineLevel="0" collapsed="false">
      <c r="A1983" s="128" t="n">
        <f aca="false">D1983-4*5-233</f>
        <v>0</v>
      </c>
      <c r="B1983" s="233" t="n">
        <f aca="false">B1982+D1983-C1983</f>
        <v>253</v>
      </c>
      <c r="D1983" s="146" t="n">
        <v>253</v>
      </c>
      <c r="E1983" s="147" t="n">
        <v>1562</v>
      </c>
      <c r="F1983" s="147" t="n">
        <f aca="false">IFERROR(VLOOKUP(H1983,$AD$1:$AE$301,2,0),"")</f>
        <v>549</v>
      </c>
      <c r="G1983" s="147" t="str">
        <f aca="false">IFERROR(VLOOKUP(F1983,$AE$2:$AF$290,2, 0),"")</f>
        <v>تبوك</v>
      </c>
      <c r="H1983" s="212" t="s">
        <v>238</v>
      </c>
      <c r="I1983" s="246" t="n">
        <f aca="false">SUM(K1983:R1983)</f>
        <v>1</v>
      </c>
      <c r="J1983" s="182" t="n">
        <v>45957</v>
      </c>
      <c r="M1983" s="150" t="n">
        <v>1</v>
      </c>
      <c r="S1983" s="192" t="n">
        <f aca="false">(K1983+O1983+Q1983)*24 /1130+(L1983+M1983+P1983+R1983)*12/1130+(N1983*30)/1130</f>
        <v>0.0106194690265487</v>
      </c>
    </row>
    <row r="1984" customFormat="false" ht="15" hidden="true" customHeight="true" outlineLevel="0" collapsed="false">
      <c r="A1984" s="128" t="n">
        <f aca="false">D1984-310</f>
        <v>0.5</v>
      </c>
      <c r="B1984" s="233" t="n">
        <f aca="false">B1983+D1984-C1984</f>
        <v>563.5</v>
      </c>
      <c r="D1984" s="146" t="n">
        <f aca="false">155.25*2</f>
        <v>310.5</v>
      </c>
      <c r="E1984" s="147" t="n">
        <v>1563</v>
      </c>
      <c r="F1984" s="147" t="n">
        <f aca="false">IFERROR(VLOOKUP(H1984,$AD$1:$AE$301,2,0),"")</f>
        <v>653</v>
      </c>
      <c r="G1984" s="147" t="str">
        <f aca="false">IFERROR(VLOOKUP(F1984,$AE$2:$AF$290,2, 0),"")</f>
        <v>تبوك</v>
      </c>
      <c r="H1984" s="212" t="s">
        <v>264</v>
      </c>
      <c r="I1984" s="246" t="n">
        <f aca="false">SUM(K1984:R1984)</f>
        <v>2</v>
      </c>
      <c r="J1984" s="182" t="n">
        <v>45957</v>
      </c>
      <c r="R1984" s="155" t="n">
        <f aca="false">2</f>
        <v>2</v>
      </c>
      <c r="S1984" s="192" t="n">
        <f aca="false">(K1984+O1984+Q1984)*24 /1130+(L1984+M1984+P1984+R1984)*12/1130+(N1984*30)/1130</f>
        <v>0.0212389380530973</v>
      </c>
    </row>
    <row r="1985" customFormat="false" ht="15" hidden="true" customHeight="true" outlineLevel="0" collapsed="false">
      <c r="A1985" s="128" t="n">
        <f aca="false">D1985-8*5-560-3.75</f>
        <v>0</v>
      </c>
      <c r="B1985" s="233" t="n">
        <f aca="false">B1984+D1985-C1985</f>
        <v>1167.25</v>
      </c>
      <c r="D1985" s="146" t="n">
        <f aca="false">253+195.5+155.25</f>
        <v>603.75</v>
      </c>
      <c r="E1985" s="147" t="n">
        <v>1564</v>
      </c>
      <c r="F1985" s="147" t="n">
        <f aca="false">IFERROR(VLOOKUP(H1985,$AD$1:$AE$301,2,0),"")</f>
        <v>826</v>
      </c>
      <c r="G1985" s="147" t="str">
        <f aca="false">IFERROR(VLOOKUP(F1985,$AE$2:$AF$290,2, 0),"")</f>
        <v>تبوك</v>
      </c>
      <c r="H1985" s="212" t="s">
        <v>196</v>
      </c>
      <c r="I1985" s="246" t="n">
        <f aca="false">SUM(K1985:R1985)</f>
        <v>3</v>
      </c>
      <c r="J1985" s="182" t="n">
        <v>45957</v>
      </c>
      <c r="M1985" s="150" t="n">
        <v>1</v>
      </c>
      <c r="R1985" s="155" t="n">
        <f aca="false">1+1</f>
        <v>2</v>
      </c>
      <c r="S1985" s="192" t="n">
        <f aca="false">(K1985+O1985+Q1985)*24 /1130+(L1985+M1985+P1985+R1985)*12/1130+(N1985*30)/1130</f>
        <v>0.031858407079646</v>
      </c>
    </row>
    <row r="1986" customFormat="false" ht="15" hidden="true" customHeight="true" outlineLevel="0" collapsed="false">
      <c r="A1986" s="128" t="n">
        <f aca="false">D1986-563.5-264.5-281.75</f>
        <v>0</v>
      </c>
      <c r="B1986" s="233" t="n">
        <f aca="false">B1985+D1986-C1986</f>
        <v>2277</v>
      </c>
      <c r="D1986" s="146" t="n">
        <f aca="false">281.75*3+264.5</f>
        <v>1109.75</v>
      </c>
      <c r="E1986" s="147" t="n">
        <v>1565</v>
      </c>
      <c r="F1986" s="147" t="n">
        <f aca="false">IFERROR(VLOOKUP(H1986,$AD$1:$AE$301,2,0),"")</f>
        <v>755</v>
      </c>
      <c r="G1986" s="147" t="str">
        <f aca="false">IFERROR(VLOOKUP(F1986,$AE$2:$AF$290,2, 0),"")</f>
        <v>تبوك</v>
      </c>
      <c r="H1986" s="212" t="s">
        <v>180</v>
      </c>
      <c r="I1986" s="246" t="n">
        <f aca="false">SUM(K1986:R1986)</f>
        <v>4</v>
      </c>
      <c r="J1986" s="182" t="n">
        <v>45957</v>
      </c>
      <c r="K1986" s="148" t="n">
        <f aca="false">2+1</f>
        <v>3</v>
      </c>
      <c r="R1986" s="155" t="n">
        <v>1</v>
      </c>
      <c r="S1986" s="192" t="n">
        <f aca="false">(K1986+O1986+Q1986)*24 /1130+(L1986+M1986+P1986+R1986)*12/1130+(N1986*30)/1130</f>
        <v>0.0743362831858407</v>
      </c>
    </row>
    <row r="1987" customFormat="false" ht="15" hidden="true" customHeight="true" outlineLevel="0" collapsed="false">
      <c r="A1987" s="128" t="n">
        <f aca="false">D1987-299</f>
        <v>0</v>
      </c>
      <c r="B1987" s="233" t="n">
        <f aca="false">B1986+D1987-C1987</f>
        <v>2576</v>
      </c>
      <c r="D1987" s="146" t="n">
        <v>299</v>
      </c>
      <c r="E1987" s="147" t="n">
        <v>1566</v>
      </c>
      <c r="F1987" s="147" t="n">
        <f aca="false">IFERROR(VLOOKUP(H1987,$AD$1:$AE$301,2,0),"")</f>
        <v>1004</v>
      </c>
      <c r="G1987" s="147" t="str">
        <f aca="false">IFERROR(VLOOKUP(F1987,$AE$2:$AF$290,2, 0),"")</f>
        <v>تبوك</v>
      </c>
      <c r="H1987" s="212" t="s">
        <v>181</v>
      </c>
      <c r="I1987" s="246" t="n">
        <f aca="false">SUM(K1987:R1987)</f>
        <v>1</v>
      </c>
      <c r="J1987" s="182" t="n">
        <v>45957</v>
      </c>
      <c r="R1987" s="155" t="n">
        <v>1</v>
      </c>
      <c r="S1987" s="192" t="n">
        <f aca="false">(K1987+O1987+Q1987)*24 /1130+(L1987+M1987+P1987+R1987)*12/1130+(N1987*30)/1130</f>
        <v>0.0106194690265487</v>
      </c>
    </row>
    <row r="1988" customFormat="false" ht="15" hidden="true" customHeight="true" outlineLevel="0" collapsed="false">
      <c r="B1988" s="233" t="n">
        <f aca="false">B1987+D1988-C1988</f>
        <v>0</v>
      </c>
      <c r="C1988" s="127" t="n">
        <f aca="false">310+135+100+1250+781</f>
        <v>2576</v>
      </c>
      <c r="E1988" s="212" t="s">
        <v>470</v>
      </c>
      <c r="F1988" s="147" t="str">
        <f aca="false">IFERROR(VLOOKUP(H1988,$AD$1:$AE$301,2,0),"")</f>
        <v/>
      </c>
      <c r="G1988" s="147" t="str">
        <f aca="false">IFERROR(VLOOKUP(F1988,$AE$2:$AF$290,2, 0),"")</f>
        <v/>
      </c>
      <c r="H1988" s="212" t="s">
        <v>393</v>
      </c>
      <c r="I1988" s="246" t="n">
        <f aca="false">SUM(K1988:R1988)</f>
        <v>0</v>
      </c>
      <c r="J1988" s="182" t="n">
        <v>45958</v>
      </c>
      <c r="S1988" s="192" t="n">
        <f aca="false">(K1988+O1988+Q1988)*24 /1130+(L1988+M1988+P1988+R1988)*12/1130+(N1988*30)/1130</f>
        <v>0</v>
      </c>
    </row>
    <row r="1989" customFormat="false" ht="15" hidden="true" customHeight="true" outlineLevel="0" collapsed="false">
      <c r="A1989" s="128" t="n">
        <f aca="false">D1989+6.5-50-50-2*5-305</f>
        <v>-0.25</v>
      </c>
      <c r="B1989" s="233" t="n">
        <f aca="false">B1988+D1989-C1989</f>
        <v>408.25</v>
      </c>
      <c r="D1989" s="146" t="n">
        <f aca="false">230+178.25</f>
        <v>408.25</v>
      </c>
      <c r="E1989" s="147" t="n">
        <v>1567</v>
      </c>
      <c r="F1989" s="147" t="n">
        <f aca="false">IFERROR(VLOOKUP(H1989,$AD$1:$AE$301,2,0),"")</f>
        <v>1008264</v>
      </c>
      <c r="G1989" s="147" t="str">
        <f aca="false">IFERROR(VLOOKUP(F1989,$AE$2:$AF$290,2, 0),"")</f>
        <v>تبوك</v>
      </c>
      <c r="H1989" s="212" t="s">
        <v>160</v>
      </c>
      <c r="I1989" s="246" t="n">
        <f aca="false">SUM(K1989:R1989)</f>
        <v>2</v>
      </c>
      <c r="J1989" s="182" t="n">
        <v>45958</v>
      </c>
      <c r="L1989" s="149" t="n">
        <v>1</v>
      </c>
      <c r="M1989" s="150" t="n">
        <f aca="false">1</f>
        <v>1</v>
      </c>
      <c r="S1989" s="192" t="n">
        <f aca="false">(K1989+O1989+Q1989)*24 /1130+(L1989+M1989+P1989+R1989)*12/1130+(N1989*30)/1130</f>
        <v>0.0212389380530973</v>
      </c>
    </row>
    <row r="1990" customFormat="false" ht="15" hidden="true" customHeight="true" outlineLevel="0" collapsed="false">
      <c r="B1990" s="233" t="n">
        <f aca="false">B1989+D1990-C1990</f>
        <v>661.25</v>
      </c>
      <c r="D1990" s="146" t="n">
        <v>253</v>
      </c>
      <c r="E1990" s="147" t="n">
        <v>1568</v>
      </c>
      <c r="F1990" s="147" t="n">
        <f aca="false">IFERROR(VLOOKUP(H1990,$AD$1:$AE$301,2,0),"")</f>
        <v>1006</v>
      </c>
      <c r="G1990" s="147" t="str">
        <f aca="false">IFERROR(VLOOKUP(F1990,$AE$2:$AF$290,2, 0),"")</f>
        <v>تبوك</v>
      </c>
      <c r="H1990" s="212" t="s">
        <v>278</v>
      </c>
      <c r="I1990" s="246" t="n">
        <f aca="false">SUM(K1990:R1990)</f>
        <v>1</v>
      </c>
      <c r="J1990" s="182" t="n">
        <v>45958</v>
      </c>
      <c r="M1990" s="150" t="n">
        <v>1</v>
      </c>
      <c r="S1990" s="192" t="n">
        <f aca="false">(K1990+O1990+Q1990)*24 /1130+(L1990+M1990+P1990+R1990)*12/1130+(N1990*30)/1130</f>
        <v>0.0106194690265487</v>
      </c>
    </row>
    <row r="1991" customFormat="false" ht="15" hidden="true" customHeight="true" outlineLevel="0" collapsed="false">
      <c r="A1991" s="128" t="n">
        <f aca="false">D1991-510-600</f>
        <v>-0.25</v>
      </c>
      <c r="B1991" s="233" t="n">
        <f aca="false">B1990+D1991-C1991</f>
        <v>1771</v>
      </c>
      <c r="D1991" s="146" t="n">
        <f aca="false">281.75*3+264.5</f>
        <v>1109.75</v>
      </c>
      <c r="E1991" s="147" t="n">
        <v>1569</v>
      </c>
      <c r="F1991" s="147" t="n">
        <f aca="false">IFERROR(VLOOKUP(H1991,$AD$1:$AE$301,2,0),"")</f>
        <v>1006</v>
      </c>
      <c r="G1991" s="147" t="str">
        <f aca="false">IFERROR(VLOOKUP(F1991,$AE$2:$AF$290,2, 0),"")</f>
        <v>تبوك</v>
      </c>
      <c r="H1991" s="212" t="s">
        <v>278</v>
      </c>
      <c r="I1991" s="246" t="n">
        <f aca="false">SUM(K1991:R1991)</f>
        <v>4</v>
      </c>
      <c r="J1991" s="182" t="n">
        <v>45958</v>
      </c>
      <c r="K1991" s="148" t="n">
        <f aca="false">2+1</f>
        <v>3</v>
      </c>
      <c r="R1991" s="155" t="n">
        <v>1</v>
      </c>
      <c r="S1991" s="192" t="n">
        <f aca="false">(K1991+O1991+Q1991)*24 /1130+(L1991+M1991+P1991+R1991)*12/1130+(N1991*30)/1130</f>
        <v>0.0743362831858407</v>
      </c>
    </row>
    <row r="1992" customFormat="false" ht="15" hidden="true" customHeight="true" outlineLevel="0" collapsed="false">
      <c r="A1992" s="128" t="n">
        <f aca="false">D1992+274-250-43-416+50</f>
        <v>0.25</v>
      </c>
      <c r="B1992" s="233" t="n">
        <f aca="false">B1991+D1992-C1992</f>
        <v>2156.25</v>
      </c>
      <c r="D1992" s="146" t="n">
        <f aca="false">230+155.25</f>
        <v>385.25</v>
      </c>
      <c r="E1992" s="147" t="n">
        <v>1570</v>
      </c>
      <c r="F1992" s="147" t="n">
        <f aca="false">IFERROR(VLOOKUP(H1992,$AD$1:$AE$301,2,0),"")</f>
        <v>1008030</v>
      </c>
      <c r="G1992" s="147" t="str">
        <f aca="false">IFERROR(VLOOKUP(F1992,$AE$2:$AF$290,2, 0),"")</f>
        <v>البير</v>
      </c>
      <c r="H1992" s="212" t="s">
        <v>298</v>
      </c>
      <c r="I1992" s="246" t="n">
        <f aca="false">SUM(K1992:R1992)</f>
        <v>2</v>
      </c>
      <c r="J1992" s="182" t="n">
        <v>45958</v>
      </c>
      <c r="M1992" s="150" t="n">
        <v>1</v>
      </c>
      <c r="R1992" s="155" t="n">
        <v>1</v>
      </c>
      <c r="S1992" s="192" t="n">
        <f aca="false">(K1992+O1992+Q1992)*24 /1130+(L1992+M1992+P1992+R1992)*12/1130+(N1992*30)/1130</f>
        <v>0.0212389380530973</v>
      </c>
    </row>
    <row r="1993" customFormat="false" ht="15" hidden="true" customHeight="true" outlineLevel="0" collapsed="false">
      <c r="A1993" s="128" t="n">
        <f aca="false">D1993+281.75-4*5-5*2-1158-548.5</f>
        <v>0</v>
      </c>
      <c r="B1993" s="233" t="n">
        <f aca="false">B1992+D1993-C1993</f>
        <v>3611</v>
      </c>
      <c r="D1993" s="146" t="n">
        <f aca="false">822+241.5*1+195.5*2+0.25</f>
        <v>1454.75</v>
      </c>
      <c r="E1993" s="147" t="n">
        <v>1571</v>
      </c>
      <c r="F1993" s="147" t="n">
        <f aca="false">IFERROR(VLOOKUP(H1993,$AD$1:$AE$301,2,0),"")</f>
        <v>1007996</v>
      </c>
      <c r="G1993" s="147" t="str">
        <f aca="false">IFERROR(VLOOKUP(F1993,$AE$2:$AF$290,2, 0),"")</f>
        <v>البير</v>
      </c>
      <c r="H1993" s="212" t="s">
        <v>295</v>
      </c>
      <c r="I1993" s="246" t="n">
        <f aca="false">SUM(K1993:R1993)</f>
        <v>6</v>
      </c>
      <c r="J1993" s="182" t="n">
        <v>45958</v>
      </c>
      <c r="N1993" s="151" t="n">
        <f aca="false">3</f>
        <v>3</v>
      </c>
      <c r="Q1993" s="154" t="n">
        <f aca="false">1+1+1</f>
        <v>3</v>
      </c>
      <c r="S1993" s="192" t="n">
        <f aca="false">(K1993+O1993+Q1993)*24 /1130+(L1993+M1993+P1993+R1993)*12/1130+(N1993*30)/1130</f>
        <v>0.143362831858407</v>
      </c>
    </row>
    <row r="1994" customFormat="false" ht="15" hidden="true" customHeight="true" outlineLevel="0" collapsed="false">
      <c r="B1994" s="233" t="n">
        <f aca="false">B1993+D1994-C1994</f>
        <v>4456.25</v>
      </c>
      <c r="D1994" s="146" t="n">
        <f aca="false">281.75*3</f>
        <v>845.25</v>
      </c>
      <c r="E1994" s="147" t="n">
        <v>1572</v>
      </c>
      <c r="F1994" s="147" t="n">
        <f aca="false">IFERROR(VLOOKUP(H1994,$AD$1:$AE$301,2,0),"")</f>
        <v>1008007</v>
      </c>
      <c r="G1994" s="147" t="str">
        <f aca="false">IFERROR(VLOOKUP(F1994,$AE$2:$AF$290,2, 0),"")</f>
        <v>حقل</v>
      </c>
      <c r="H1994" s="212" t="s">
        <v>303</v>
      </c>
      <c r="I1994" s="246" t="n">
        <f aca="false">SUM(K1994:R1994)</f>
        <v>3</v>
      </c>
      <c r="J1994" s="182" t="n">
        <v>45958</v>
      </c>
      <c r="K1994" s="148" t="n">
        <f aca="false">2+1</f>
        <v>3</v>
      </c>
      <c r="S1994" s="192" t="n">
        <f aca="false">(K1994+O1994+Q1994)*24 /1130+(L1994+M1994+P1994+R1994)*12/1130+(N1994*30)/1130</f>
        <v>0.063716814159292</v>
      </c>
    </row>
    <row r="1995" customFormat="false" ht="15" hidden="true" customHeight="true" outlineLevel="0" collapsed="false">
      <c r="B1995" s="233" t="n">
        <f aca="false">B1994+D1995-C1995</f>
        <v>5560.25</v>
      </c>
      <c r="D1995" s="146" t="n">
        <f aca="false">138*8</f>
        <v>1104</v>
      </c>
      <c r="E1995" s="147" t="n">
        <v>1573</v>
      </c>
      <c r="F1995" s="147" t="n">
        <f aca="false">IFERROR(VLOOKUP(H1995,$AD$1:$AE$301,2,0),"")</f>
        <v>1008004</v>
      </c>
      <c r="G1995" s="147" t="str">
        <f aca="false">IFERROR(VLOOKUP(F1995,$AE$2:$AF$290,2, 0),"")</f>
        <v>حقل</v>
      </c>
      <c r="H1995" s="212" t="s">
        <v>316</v>
      </c>
      <c r="I1995" s="246" t="n">
        <f aca="false">SUM(K1995:R1995)</f>
        <v>8</v>
      </c>
      <c r="J1995" s="182" t="n">
        <v>45958</v>
      </c>
      <c r="Q1995" s="154" t="n">
        <v>8</v>
      </c>
      <c r="S1995" s="192" t="n">
        <f aca="false">(K1995+O1995+Q1995)*24 /1130+(L1995+M1995+P1995+R1995)*12/1130+(N1995*30)/1130</f>
        <v>0.169911504424779</v>
      </c>
    </row>
    <row r="1996" customFormat="false" ht="15" hidden="true" customHeight="true" outlineLevel="0" collapsed="false">
      <c r="B1996" s="233" t="n">
        <f aca="false">B1995+D1996-C1996</f>
        <v>8096</v>
      </c>
      <c r="D1996" s="146" t="n">
        <f aca="false">281.75*9</f>
        <v>2535.75</v>
      </c>
      <c r="E1996" s="147" t="n">
        <v>1574</v>
      </c>
      <c r="F1996" s="147" t="n">
        <f aca="false">IFERROR(VLOOKUP(H1996,$AD$1:$AE$301,2,0),"")</f>
        <v>1007970</v>
      </c>
      <c r="G1996" s="147" t="str">
        <f aca="false">IFERROR(VLOOKUP(F1996,$AE$2:$AF$290,2, 0),"")</f>
        <v>حقل</v>
      </c>
      <c r="H1996" s="212" t="s">
        <v>310</v>
      </c>
      <c r="I1996" s="246" t="n">
        <f aca="false">SUM(K1996:R1996)</f>
        <v>9</v>
      </c>
      <c r="J1996" s="182" t="n">
        <v>45958</v>
      </c>
      <c r="K1996" s="148" t="n">
        <v>9</v>
      </c>
      <c r="S1996" s="192" t="n">
        <f aca="false">(K1996+O1996+Q1996)*24 /1130+(L1996+M1996+P1996+R1996)*12/1130+(N1996*30)/1130</f>
        <v>0.191150442477876</v>
      </c>
    </row>
    <row r="1997" customFormat="false" ht="15" hidden="true" customHeight="true" outlineLevel="0" collapsed="false">
      <c r="B1997" s="233" t="n">
        <f aca="false">B1996+D1997-C1997</f>
        <v>8326</v>
      </c>
      <c r="D1997" s="146" t="n">
        <v>230</v>
      </c>
      <c r="E1997" s="147" t="n">
        <v>1575</v>
      </c>
      <c r="F1997" s="147" t="n">
        <f aca="false">IFERROR(VLOOKUP(H1997,$AD$1:$AE$301,2,0),"")</f>
        <v>1006522</v>
      </c>
      <c r="G1997" s="147" t="str">
        <f aca="false">IFERROR(VLOOKUP(F1997,$AE$2:$AF$290,2, 0),"")</f>
        <v>البدع</v>
      </c>
      <c r="H1997" s="212" t="s">
        <v>317</v>
      </c>
      <c r="I1997" s="246" t="n">
        <f aca="false">SUM(K1997:R1997)</f>
        <v>1</v>
      </c>
      <c r="J1997" s="182" t="n">
        <v>45958</v>
      </c>
      <c r="M1997" s="150" t="n">
        <v>1</v>
      </c>
      <c r="S1997" s="192" t="n">
        <f aca="false">(K1997+O1997+Q1997)*24 /1130+(L1997+M1997+P1997+R1997)*12/1130+(N1997*30)/1130</f>
        <v>0.0106194690265487</v>
      </c>
    </row>
    <row r="1998" customFormat="false" ht="15" hidden="true" customHeight="true" outlineLevel="0" collapsed="false">
      <c r="B1998" s="233" t="n">
        <f aca="false">B1997+D1998-C1998</f>
        <v>11643.75</v>
      </c>
      <c r="D1998" s="146" t="n">
        <f aca="false">3*230+3*253+178.25+6*281.75</f>
        <v>3317.75</v>
      </c>
      <c r="E1998" s="147" t="n">
        <v>1576</v>
      </c>
      <c r="F1998" s="147" t="n">
        <f aca="false">IFERROR(VLOOKUP(H1998,$AD$1:$AE$301,2,0),"")</f>
        <v>1008017</v>
      </c>
      <c r="G1998" s="147" t="str">
        <f aca="false">IFERROR(VLOOKUP(F1998,$AE$2:$AF$290,2, 0),"")</f>
        <v>البدع</v>
      </c>
      <c r="H1998" s="212" t="s">
        <v>325</v>
      </c>
      <c r="I1998" s="246" t="n">
        <f aca="false">SUM(K1998:R1998)</f>
        <v>13</v>
      </c>
      <c r="J1998" s="182" t="n">
        <v>45958</v>
      </c>
      <c r="K1998" s="148" t="n">
        <f aca="false">3+3</f>
        <v>6</v>
      </c>
      <c r="L1998" s="149" t="n">
        <v>1</v>
      </c>
      <c r="M1998" s="150" t="n">
        <f aca="false">3+3</f>
        <v>6</v>
      </c>
      <c r="S1998" s="192" t="n">
        <f aca="false">(K1998+O1998+Q1998)*24 /1130+(L1998+M1998+P1998+R1998)*12/1130+(N1998*30)/1130</f>
        <v>0.201769911504425</v>
      </c>
    </row>
    <row r="1999" customFormat="false" ht="15" hidden="true" customHeight="true" outlineLevel="0" collapsed="false">
      <c r="B1999" s="233" t="n">
        <f aca="false">B1998+D1999-C1999</f>
        <v>12489</v>
      </c>
      <c r="D1999" s="146" t="n">
        <f aca="false">281.75*3</f>
        <v>845.25</v>
      </c>
      <c r="E1999" s="147" t="n">
        <v>1577</v>
      </c>
      <c r="F1999" s="147" t="n">
        <f aca="false">IFERROR(VLOOKUP(H1999,$AD$1:$AE$301,2,0),"")</f>
        <v>1008021</v>
      </c>
      <c r="G1999" s="147" t="str">
        <f aca="false">IFERROR(VLOOKUP(F1999,$AE$2:$AF$290,2, 0),"")</f>
        <v>البير</v>
      </c>
      <c r="H1999" s="212" t="s">
        <v>294</v>
      </c>
      <c r="I1999" s="246" t="n">
        <f aca="false">SUM(K1999:R1999)</f>
        <v>3</v>
      </c>
      <c r="J1999" s="182" t="n">
        <v>45958</v>
      </c>
      <c r="K1999" s="148" t="n">
        <f aca="false">2+1</f>
        <v>3</v>
      </c>
      <c r="S1999" s="192" t="n">
        <f aca="false">(K1999+O1999+Q1999)*24 /1130+(L1999+M1999+P1999+R1999)*12/1130+(N1999*30)/1130</f>
        <v>0.063716814159292</v>
      </c>
    </row>
    <row r="2000" customFormat="false" ht="15" hidden="true" customHeight="true" outlineLevel="0" collapsed="false">
      <c r="B2000" s="233" t="n">
        <f aca="false">B1999+D2000-C2000</f>
        <v>9770</v>
      </c>
      <c r="C2000" s="127" t="n">
        <f aca="false">408+2311</f>
        <v>2719</v>
      </c>
      <c r="E2000" s="212" t="s">
        <v>662</v>
      </c>
      <c r="F2000" s="147" t="str">
        <f aca="false">IFERROR(VLOOKUP(H2000,$AD$1:$AE$301,2,0),"")</f>
        <v/>
      </c>
      <c r="G2000" s="147" t="str">
        <f aca="false">IFERROR(VLOOKUP(F2000,$AE$2:$AF$290,2, 0),"")</f>
        <v/>
      </c>
      <c r="H2000" s="212" t="s">
        <v>393</v>
      </c>
      <c r="I2000" s="246" t="n">
        <f aca="false">SUM(K2000:R2000)</f>
        <v>0</v>
      </c>
      <c r="J2000" s="182" t="n">
        <v>45958</v>
      </c>
      <c r="S2000" s="192" t="n">
        <f aca="false">(K2000+O2000+Q2000)*24 /1130+(L2000+M2000+P2000+R2000)*12/1130+(N2000*30)/1130</f>
        <v>0</v>
      </c>
    </row>
    <row r="2001" customFormat="false" ht="15" hidden="true" customHeight="true" outlineLevel="0" collapsed="false">
      <c r="B2001" s="233" t="n">
        <f aca="false">B2000+D2001-C2001</f>
        <v>0.75</v>
      </c>
      <c r="C2001" s="127" t="n">
        <f aca="false">281.75+552.5+250+43+1104+283+3317+230+58+1500+2150</f>
        <v>9769.25</v>
      </c>
      <c r="E2001" s="212" t="s">
        <v>470</v>
      </c>
      <c r="F2001" s="147" t="str">
        <f aca="false">IFERROR(VLOOKUP(H2001,$AD$1:$AE$301,2,0),"")</f>
        <v/>
      </c>
      <c r="G2001" s="147" t="str">
        <f aca="false">IFERROR(VLOOKUP(F2001,$AE$2:$AF$290,2, 0),"")</f>
        <v/>
      </c>
      <c r="H2001" s="212" t="s">
        <v>393</v>
      </c>
      <c r="I2001" s="246" t="n">
        <f aca="false">SUM(K2001:R2001)</f>
        <v>0</v>
      </c>
      <c r="J2001" s="182" t="n">
        <v>45958</v>
      </c>
      <c r="S2001" s="192" t="n">
        <f aca="false">(K2001+O2001+Q2001)*24 /1130+(L2001+M2001+P2001+R2001)*12/1130+(N2001*30)/1130</f>
        <v>0</v>
      </c>
    </row>
    <row r="2002" customFormat="false" ht="15" hidden="true" customHeight="true" outlineLevel="0" collapsed="false">
      <c r="A2002" s="128" t="n">
        <f aca="false">D2002-500-345</f>
        <v>0.25</v>
      </c>
      <c r="B2002" s="233" t="n">
        <f aca="false">B2001+D2002-C2002</f>
        <v>846</v>
      </c>
      <c r="D2002" s="146" t="n">
        <f aca="false">281.75*3</f>
        <v>845.25</v>
      </c>
      <c r="E2002" s="147" t="n">
        <v>1578</v>
      </c>
      <c r="F2002" s="147" t="n">
        <f aca="false">IFERROR(VLOOKUP(H2002,$AD$1:$AE$301,2,0),"")</f>
        <v>653</v>
      </c>
      <c r="G2002" s="147" t="str">
        <f aca="false">IFERROR(VLOOKUP(F2002,$AE$2:$AF$290,2, 0),"")</f>
        <v>تبوك</v>
      </c>
      <c r="H2002" s="212" t="s">
        <v>264</v>
      </c>
      <c r="I2002" s="246" t="n">
        <f aca="false">SUM(K2002:R2002)</f>
        <v>3</v>
      </c>
      <c r="J2002" s="182" t="n">
        <v>45959</v>
      </c>
      <c r="K2002" s="148" t="n">
        <v>3</v>
      </c>
      <c r="S2002" s="192" t="n">
        <f aca="false">(K2002+O2002+Q2002)*24 /1130+(L2002+M2002+P2002+R2002)*12/1130+(N2002*30)/1130</f>
        <v>0.063716814159292</v>
      </c>
    </row>
    <row r="2003" customFormat="false" ht="15" hidden="true" customHeight="true" outlineLevel="0" collapsed="false">
      <c r="A2003" s="128" t="n">
        <f aca="false">D2003-500-300-500-900-100-500</f>
        <v>0.25</v>
      </c>
      <c r="B2003" s="233" t="n">
        <f aca="false">B2002+D2003-C2003</f>
        <v>3646.25</v>
      </c>
      <c r="D2003" s="146" t="n">
        <f aca="false">3*281.75+2*230+253+241.5*2+241.5+258.75*2</f>
        <v>2800.25</v>
      </c>
      <c r="E2003" s="147" t="n">
        <v>1579</v>
      </c>
      <c r="F2003" s="147" t="n">
        <f aca="false">IFERROR(VLOOKUP(H2003,$AD$1:$AE$301,2,0),"")</f>
        <v>636</v>
      </c>
      <c r="G2003" s="147" t="str">
        <f aca="false">IFERROR(VLOOKUP(F2003,$AE$2:$AF$290,2, 0),"")</f>
        <v>تبوك</v>
      </c>
      <c r="H2003" s="212" t="s">
        <v>134</v>
      </c>
      <c r="I2003" s="246" t="n">
        <f aca="false">SUM(K2003:R2003)</f>
        <v>11</v>
      </c>
      <c r="J2003" s="182" t="n">
        <v>45959</v>
      </c>
      <c r="K2003" s="148" t="n">
        <f aca="false">2+1</f>
        <v>3</v>
      </c>
      <c r="M2003" s="150" t="n">
        <f aca="false">2+1</f>
        <v>3</v>
      </c>
      <c r="O2003" s="152" t="n">
        <f aca="false">1+1+2</f>
        <v>4</v>
      </c>
      <c r="Q2003" s="154" t="n">
        <f aca="false">1</f>
        <v>1</v>
      </c>
      <c r="S2003" s="192" t="n">
        <f aca="false">(K2003+O2003+Q2003)*24 /1130+(L2003+M2003+P2003+R2003)*12/1130+(N2003*30)/1130</f>
        <v>0.201769911504425</v>
      </c>
    </row>
    <row r="2004" customFormat="false" ht="15" hidden="true" customHeight="true" outlineLevel="0" collapsed="false">
      <c r="A2004" s="128" t="n">
        <f aca="false">D2004-500-523</f>
        <v>0.5</v>
      </c>
      <c r="B2004" s="233" t="n">
        <f aca="false">B2003+D2004-C2004</f>
        <v>4669.75</v>
      </c>
      <c r="D2004" s="146" t="n">
        <f aca="false">281.75*3+178.25</f>
        <v>1023.5</v>
      </c>
      <c r="E2004" s="147" t="n">
        <v>1580</v>
      </c>
      <c r="F2004" s="147" t="n">
        <f aca="false">IFERROR(VLOOKUP(H2004,$AD$1:$AE$301,2,0),"")</f>
        <v>1008266</v>
      </c>
      <c r="G2004" s="147" t="str">
        <f aca="false">IFERROR(VLOOKUP(F2004,$AE$2:$AF$290,2, 0),"")</f>
        <v>تبوك</v>
      </c>
      <c r="H2004" s="212" t="s">
        <v>178</v>
      </c>
      <c r="I2004" s="246" t="n">
        <f aca="false">SUM(K2004:R2004)</f>
        <v>4</v>
      </c>
      <c r="J2004" s="182" t="n">
        <v>45959</v>
      </c>
      <c r="K2004" s="148" t="n">
        <f aca="false">2+1</f>
        <v>3</v>
      </c>
      <c r="L2004" s="149" t="n">
        <v>1</v>
      </c>
      <c r="S2004" s="192" t="n">
        <f aca="false">(K2004+O2004+Q2004)*24 /1130+(L2004+M2004+P2004+R2004)*12/1130+(N2004*30)/1130</f>
        <v>0.0743362831858407</v>
      </c>
    </row>
    <row r="2005" customFormat="false" ht="15" hidden="true" customHeight="true" outlineLevel="0" collapsed="false">
      <c r="A2005" s="128" t="n">
        <f aca="false">D2005-281.75-200-30-188-100-10-20-15</f>
        <v>0.5</v>
      </c>
      <c r="B2005" s="233" t="n">
        <f aca="false">B2004+D2005-C2005</f>
        <v>5515</v>
      </c>
      <c r="D2005" s="146" t="n">
        <f aca="false">281.75*3</f>
        <v>845.25</v>
      </c>
      <c r="E2005" s="147" t="n">
        <v>1581</v>
      </c>
      <c r="F2005" s="147" t="n">
        <f aca="false">IFERROR(VLOOKUP(H2005,$AD$1:$AE$301,2,0),"")</f>
        <v>1008262</v>
      </c>
      <c r="G2005" s="147" t="str">
        <f aca="false">IFERROR(VLOOKUP(F2005,$AE$2:$AF$290,2, 0),"")</f>
        <v>تبوك</v>
      </c>
      <c r="H2005" s="212" t="s">
        <v>176</v>
      </c>
      <c r="I2005" s="246" t="n">
        <f aca="false">SUM(K2005:R2005)</f>
        <v>3</v>
      </c>
      <c r="J2005" s="182" t="n">
        <v>45959</v>
      </c>
      <c r="K2005" s="148" t="n">
        <f aca="false">2+1</f>
        <v>3</v>
      </c>
      <c r="S2005" s="192" t="n">
        <f aca="false">(K2005+O2005+Q2005)*24 /1130+(L2005+M2005+P2005+R2005)*12/1130+(N2005*30)/1130</f>
        <v>0.063716814159292</v>
      </c>
    </row>
    <row r="2006" customFormat="false" ht="15" hidden="true" customHeight="true" outlineLevel="0" collapsed="false">
      <c r="A2006" s="128" t="n">
        <f aca="false">D2006-200-150-495</f>
        <v>0.25</v>
      </c>
      <c r="B2006" s="233" t="n">
        <f aca="false">B2005+D2006-C2006</f>
        <v>6360.25</v>
      </c>
      <c r="D2006" s="146" t="n">
        <f aca="false">281.75*3</f>
        <v>845.25</v>
      </c>
      <c r="E2006" s="147" t="n">
        <v>1582</v>
      </c>
      <c r="F2006" s="147" t="n">
        <f aca="false">IFERROR(VLOOKUP(H2006,$AD$1:$AE$301,2,0),"")</f>
        <v>635</v>
      </c>
      <c r="G2006" s="147" t="str">
        <f aca="false">IFERROR(VLOOKUP(F2006,$AE$2:$AF$290,2, 0),"")</f>
        <v>تبوك</v>
      </c>
      <c r="H2006" s="212" t="s">
        <v>157</v>
      </c>
      <c r="I2006" s="246" t="n">
        <f aca="false">SUM(K2006:R2006)</f>
        <v>3</v>
      </c>
      <c r="J2006" s="182" t="n">
        <v>45959</v>
      </c>
      <c r="K2006" s="148" t="n">
        <f aca="false">2+1</f>
        <v>3</v>
      </c>
      <c r="S2006" s="192" t="n">
        <f aca="false">(K2006+O2006+Q2006)*24 /1130+(L2006+M2006+P2006+R2006)*12/1130+(N2006*30)/1130</f>
        <v>0.063716814159292</v>
      </c>
    </row>
    <row r="2007" customFormat="false" ht="15" hidden="true" customHeight="true" outlineLevel="0" collapsed="false">
      <c r="B2007" s="233" t="n">
        <f aca="false">B2006+D2007-C2007</f>
        <v>7119.25</v>
      </c>
      <c r="D2007" s="146" t="n">
        <f aca="false">3*138+345</f>
        <v>759</v>
      </c>
      <c r="E2007" s="147" t="n">
        <v>1583</v>
      </c>
      <c r="F2007" s="147" t="n">
        <f aca="false">IFERROR(VLOOKUP(H2007,$AD$1:$AE$301,2,0),"")</f>
        <v>1007988</v>
      </c>
      <c r="G2007" s="147" t="str">
        <f aca="false">IFERROR(VLOOKUP(F2007,$AE$2:$AF$290,2, 0),"")</f>
        <v>ضباء</v>
      </c>
      <c r="H2007" s="212" t="s">
        <v>89</v>
      </c>
      <c r="I2007" s="246" t="n">
        <f aca="false">SUM(K2007:R2007)</f>
        <v>4</v>
      </c>
      <c r="J2007" s="182" t="n">
        <v>45959</v>
      </c>
      <c r="M2007" s="150" t="n">
        <v>1</v>
      </c>
      <c r="Q2007" s="154" t="n">
        <v>3</v>
      </c>
      <c r="S2007" s="192" t="n">
        <f aca="false">(K2007+O2007+Q2007)*24 /1130+(L2007+M2007+P2007+R2007)*12/1130+(N2007*30)/1130</f>
        <v>0.0743362831858407</v>
      </c>
    </row>
    <row r="2008" customFormat="false" ht="15" hidden="true" customHeight="true" outlineLevel="0" collapsed="false">
      <c r="A2008" s="128" t="n">
        <f aca="false">D2008+281.75+281.75-274-274-700-10-133-45-100-5</f>
        <v>0</v>
      </c>
      <c r="B2008" s="233" t="n">
        <f aca="false">B2007+D2008-C2008</f>
        <v>8096.75</v>
      </c>
      <c r="D2008" s="146" t="n">
        <f aca="false">822.25+155.25</f>
        <v>977.5</v>
      </c>
      <c r="E2008" s="147" t="n">
        <v>1584</v>
      </c>
      <c r="F2008" s="147" t="n">
        <f aca="false">IFERROR(VLOOKUP(H2008,$AD$1:$AE$301,2,0),"")</f>
        <v>1008025</v>
      </c>
      <c r="G2008" s="147" t="str">
        <f aca="false">IFERROR(VLOOKUP(F2008,$AE$2:$AF$290,2, 0),"")</f>
        <v>ضباء</v>
      </c>
      <c r="H2008" s="212" t="s">
        <v>97</v>
      </c>
      <c r="I2008" s="246" t="n">
        <f aca="false">SUM(K2008:R2008)</f>
        <v>4</v>
      </c>
      <c r="J2008" s="182" t="n">
        <v>45959</v>
      </c>
      <c r="N2008" s="151" t="n">
        <v>3</v>
      </c>
      <c r="R2008" s="155" t="n">
        <v>1</v>
      </c>
      <c r="S2008" s="192" t="n">
        <f aca="false">(K2008+O2008+Q2008)*24 /1130+(L2008+M2008+P2008+R2008)*12/1130+(N2008*30)/1130</f>
        <v>0.0902654867256637</v>
      </c>
    </row>
    <row r="2009" customFormat="false" ht="15" hidden="true" customHeight="true" outlineLevel="0" collapsed="false">
      <c r="B2009" s="233" t="n">
        <f aca="false">B2008+D2009-C2009</f>
        <v>8919</v>
      </c>
      <c r="D2009" s="146" t="n">
        <v>822.25</v>
      </c>
      <c r="E2009" s="147" t="n">
        <v>1585</v>
      </c>
      <c r="F2009" s="147" t="n">
        <f aca="false">IFERROR(VLOOKUP(H2009,$AD$1:$AE$301,2,0),"")</f>
        <v>1033</v>
      </c>
      <c r="G2009" s="147" t="str">
        <f aca="false">IFERROR(VLOOKUP(F2009,$AE$2:$AF$290,2, 0),"")</f>
        <v>الوجه</v>
      </c>
      <c r="H2009" s="212" t="s">
        <v>117</v>
      </c>
      <c r="I2009" s="246" t="n">
        <f aca="false">SUM(K2009:R2009)</f>
        <v>3</v>
      </c>
      <c r="J2009" s="182" t="n">
        <v>45959</v>
      </c>
      <c r="N2009" s="151" t="n">
        <v>3</v>
      </c>
      <c r="S2009" s="192" t="n">
        <f aca="false">(K2009+O2009+Q2009)*24 /1130+(L2009+M2009+P2009+R2009)*12/1130+(N2009*30)/1130</f>
        <v>0.079646017699115</v>
      </c>
    </row>
    <row r="2010" customFormat="false" ht="15" hidden="true" customHeight="true" outlineLevel="0" collapsed="false">
      <c r="A2010" s="128" t="n">
        <f aca="false">D2010+281.75-1282</f>
        <v>0.25</v>
      </c>
      <c r="B2010" s="233" t="n">
        <f aca="false">B2009+D2010-C2010</f>
        <v>9919.5</v>
      </c>
      <c r="D2010" s="146" t="n">
        <f aca="false">281.75*3+155.25</f>
        <v>1000.5</v>
      </c>
      <c r="E2010" s="147" t="n">
        <v>1586</v>
      </c>
      <c r="F2010" s="147" t="n">
        <f aca="false">IFERROR(VLOOKUP(H2010,$AD$1:$AE$301,2,0),"")</f>
        <v>1008045</v>
      </c>
      <c r="G2010" s="147" t="str">
        <f aca="false">IFERROR(VLOOKUP(F2010,$AE$2:$AF$290,2, 0),"")</f>
        <v>الوجه</v>
      </c>
      <c r="H2010" s="212" t="s">
        <v>107</v>
      </c>
      <c r="I2010" s="246" t="n">
        <f aca="false">SUM(K2010:R2010)</f>
        <v>4</v>
      </c>
      <c r="J2010" s="182" t="n">
        <v>45959</v>
      </c>
      <c r="K2010" s="148" t="n">
        <f aca="false">2+1</f>
        <v>3</v>
      </c>
      <c r="R2010" s="155" t="n">
        <v>1</v>
      </c>
      <c r="S2010" s="192" t="n">
        <f aca="false">(K2010+O2010+Q2010)*24 /1130+(L2010+M2010+P2010+R2010)*12/1130+(N2010*30)/1130</f>
        <v>0.0743362831858407</v>
      </c>
    </row>
    <row r="2011" customFormat="false" ht="15" hidden="true" customHeight="true" outlineLevel="0" collapsed="false">
      <c r="A2011" s="128" t="n">
        <f aca="false">D2011-2000+17-58*5-2*2-448.5</f>
        <v>0</v>
      </c>
      <c r="B2011" s="233" t="n">
        <f aca="false">B2010+D2011-C2011</f>
        <v>12645</v>
      </c>
      <c r="D2011" s="146" t="n">
        <f aca="false">6*281.75+345+3*230</f>
        <v>2725.5</v>
      </c>
      <c r="E2011" s="147" t="n">
        <v>1587</v>
      </c>
      <c r="F2011" s="147" t="n">
        <f aca="false">IFERROR(VLOOKUP(H2011,$AD$1:$AE$301,2,0),"")</f>
        <v>1008046</v>
      </c>
      <c r="G2011" s="147" t="str">
        <f aca="false">IFERROR(VLOOKUP(F2011,$AE$2:$AF$290,2, 0),"")</f>
        <v>الوجه</v>
      </c>
      <c r="H2011" s="212" t="s">
        <v>108</v>
      </c>
      <c r="I2011" s="246" t="n">
        <f aca="false">SUM(K2011:R2011)</f>
        <v>10</v>
      </c>
      <c r="J2011" s="182" t="n">
        <v>45959</v>
      </c>
      <c r="K2011" s="148" t="n">
        <f aca="false">3+3</f>
        <v>6</v>
      </c>
      <c r="M2011" s="150" t="n">
        <f aca="false">3+1</f>
        <v>4</v>
      </c>
      <c r="S2011" s="192" t="n">
        <f aca="false">(K2011+O2011+Q2011)*24 /1130+(L2011+M2011+P2011+R2011)*12/1130+(N2011*30)/1130</f>
        <v>0.169911504424779</v>
      </c>
    </row>
    <row r="2012" customFormat="false" ht="15" hidden="true" customHeight="true" outlineLevel="0" collapsed="false">
      <c r="A2012" s="128" t="n">
        <f aca="false">D2012-281.75-450-110-296.75</f>
        <v>0</v>
      </c>
      <c r="B2012" s="233" t="n">
        <f aca="false">B2011+D2012-C2012</f>
        <v>13783.5</v>
      </c>
      <c r="D2012" s="146" t="n">
        <f aca="false">281.75*3+155.25+138</f>
        <v>1138.5</v>
      </c>
      <c r="E2012" s="147" t="n">
        <v>1588</v>
      </c>
      <c r="F2012" s="147" t="n">
        <f aca="false">IFERROR(VLOOKUP(H2012,$AD$1:$AE$301,2,0),"")</f>
        <v>656</v>
      </c>
      <c r="G2012" s="147" t="str">
        <f aca="false">IFERROR(VLOOKUP(F2012,$AE$2:$AF$290,2, 0),"")</f>
        <v>الوجه</v>
      </c>
      <c r="H2012" s="212" t="s">
        <v>115</v>
      </c>
      <c r="I2012" s="246" t="n">
        <f aca="false">SUM(K2012:R2012)</f>
        <v>5</v>
      </c>
      <c r="J2012" s="182" t="n">
        <v>45959</v>
      </c>
      <c r="K2012" s="148" t="n">
        <f aca="false">2+1</f>
        <v>3</v>
      </c>
      <c r="Q2012" s="154" t="n">
        <f aca="false">1</f>
        <v>1</v>
      </c>
      <c r="R2012" s="155" t="n">
        <v>1</v>
      </c>
      <c r="S2012" s="192" t="n">
        <f aca="false">(K2012+O2012+Q2012)*24 /1130+(L2012+M2012+P2012+R2012)*12/1130+(N2012*30)/1130</f>
        <v>0.0955752212389381</v>
      </c>
    </row>
    <row r="2013" customFormat="false" ht="15" hidden="true" customHeight="true" outlineLevel="0" collapsed="false">
      <c r="B2013" s="233" t="n">
        <f aca="false">B2012+D2013-C2013</f>
        <v>14094</v>
      </c>
      <c r="D2013" s="146" t="n">
        <f aca="false">155.25*2</f>
        <v>310.5</v>
      </c>
      <c r="E2013" s="147" t="n">
        <v>1589</v>
      </c>
      <c r="F2013" s="147" t="n">
        <f aca="false">IFERROR(VLOOKUP(H2013,$AD$1:$AE$301,2,0),"")</f>
        <v>1008047</v>
      </c>
      <c r="G2013" s="147" t="str">
        <f aca="false">IFERROR(VLOOKUP(F2013,$AE$2:$AF$290,2, 0),"")</f>
        <v>الوجه</v>
      </c>
      <c r="H2013" s="212" t="s">
        <v>422</v>
      </c>
      <c r="I2013" s="246" t="n">
        <f aca="false">SUM(K2013:R2013)</f>
        <v>2</v>
      </c>
      <c r="J2013" s="182" t="n">
        <v>45959</v>
      </c>
      <c r="R2013" s="155" t="n">
        <f aca="false">2</f>
        <v>2</v>
      </c>
      <c r="S2013" s="192" t="n">
        <f aca="false">(K2013+O2013+Q2013)*24 /1130+(L2013+M2013+P2013+R2013)*12/1130+(N2013*30)/1130</f>
        <v>0.0212389380530973</v>
      </c>
    </row>
    <row r="2014" customFormat="false" ht="15" hidden="true" customHeight="true" outlineLevel="0" collapsed="false">
      <c r="A2014" s="128" t="n">
        <f aca="false">D2014-845</f>
        <v>0.25</v>
      </c>
      <c r="B2014" s="233" t="n">
        <f aca="false">B2013+D2014-C2014</f>
        <v>14939.25</v>
      </c>
      <c r="D2014" s="146" t="n">
        <f aca="false">281.75*3</f>
        <v>845.25</v>
      </c>
      <c r="E2014" s="147" t="n">
        <v>1590</v>
      </c>
      <c r="F2014" s="147" t="n">
        <f aca="false">IFERROR(VLOOKUP(H2014,$AD$1:$AE$301,2,0),"")</f>
        <v>1008054</v>
      </c>
      <c r="G2014" s="147" t="str">
        <f aca="false">IFERROR(VLOOKUP(F2014,$AE$2:$AF$290,2, 0),"")</f>
        <v>الوجه</v>
      </c>
      <c r="H2014" s="212" t="s">
        <v>112</v>
      </c>
      <c r="I2014" s="246" t="n">
        <f aca="false">SUM(K2014:R2014)</f>
        <v>3</v>
      </c>
      <c r="J2014" s="182" t="n">
        <v>45959</v>
      </c>
      <c r="K2014" s="148" t="n">
        <v>3</v>
      </c>
      <c r="S2014" s="192" t="n">
        <f aca="false">(K2014+O2014+Q2014)*24 /1130+(L2014+M2014+P2014+R2014)*12/1130+(N2014*30)/1130</f>
        <v>0.063716814159292</v>
      </c>
    </row>
    <row r="2015" customFormat="false" ht="15" hidden="true" customHeight="true" outlineLevel="0" collapsed="false">
      <c r="A2015" s="128" t="n">
        <f aca="false">D2015-400-200-245</f>
        <v>0.25</v>
      </c>
      <c r="B2015" s="233" t="n">
        <f aca="false">B2014+D2015-C2015</f>
        <v>15784.5</v>
      </c>
      <c r="D2015" s="146" t="n">
        <f aca="false">281.75*3</f>
        <v>845.25</v>
      </c>
      <c r="E2015" s="147" t="n">
        <v>1591</v>
      </c>
      <c r="F2015" s="147" t="n">
        <f aca="false">IFERROR(VLOOKUP(H2015,$AD$1:$AE$301,2,0),"")</f>
        <v>1008051</v>
      </c>
      <c r="G2015" s="147" t="str">
        <f aca="false">IFERROR(VLOOKUP(F2015,$AE$2:$AF$290,2, 0),"")</f>
        <v>الوجه</v>
      </c>
      <c r="H2015" s="212" t="s">
        <v>113</v>
      </c>
      <c r="I2015" s="246" t="n">
        <f aca="false">SUM(K2015:R2015)</f>
        <v>3</v>
      </c>
      <c r="J2015" s="182" t="n">
        <v>45959</v>
      </c>
      <c r="K2015" s="148" t="n">
        <v>3</v>
      </c>
      <c r="S2015" s="192" t="n">
        <f aca="false">(K2015+O2015+Q2015)*24 /1130+(L2015+M2015+P2015+R2015)*12/1130+(N2015*30)/1130</f>
        <v>0.063716814159292</v>
      </c>
    </row>
    <row r="2016" customFormat="false" ht="19.5" hidden="true" customHeight="true" outlineLevel="0" collapsed="false">
      <c r="A2016" s="128" t="n">
        <f aca="false">D2016-281.75-5*5-535-3</f>
        <v>0.5</v>
      </c>
      <c r="B2016" s="233" t="n">
        <f aca="false">B2015+D2016-C2016</f>
        <v>16629.75</v>
      </c>
      <c r="D2016" s="146" t="n">
        <f aca="false">281.75*3</f>
        <v>845.25</v>
      </c>
      <c r="E2016" s="147" t="n">
        <v>1592</v>
      </c>
      <c r="F2016" s="147" t="n">
        <f aca="false">IFERROR(VLOOKUP(H2016,$AD$1:$AE$301,2,0),"")</f>
        <v>1008043</v>
      </c>
      <c r="G2016" s="147" t="str">
        <f aca="false">IFERROR(VLOOKUP(F2016,$AE$2:$AF$290,2, 0),"")</f>
        <v>الوجه</v>
      </c>
      <c r="H2016" s="212" t="s">
        <v>104</v>
      </c>
      <c r="I2016" s="246" t="n">
        <f aca="false">SUM(K2016:R2016)</f>
        <v>3</v>
      </c>
      <c r="J2016" s="182" t="n">
        <v>45959</v>
      </c>
      <c r="K2016" s="148" t="n">
        <f aca="false">2+1</f>
        <v>3</v>
      </c>
      <c r="S2016" s="192" t="n">
        <f aca="false">(K2016+O2016+Q2016)*24 /1130+(L2016+M2016+P2016+R2016)*12/1130+(N2016*30)/1130</f>
        <v>0.063716814159292</v>
      </c>
    </row>
    <row r="2017" customFormat="false" ht="15" hidden="true" customHeight="true" outlineLevel="0" collapsed="false">
      <c r="A2017" s="128" t="n">
        <f aca="false">D2017-1017</f>
        <v>0.75</v>
      </c>
      <c r="B2017" s="233" t="n">
        <f aca="false">B2016+D2017-C2017</f>
        <v>17647.5</v>
      </c>
      <c r="D2017" s="146" t="n">
        <f aca="false">299+299+264.5+155.25</f>
        <v>1017.75</v>
      </c>
      <c r="E2017" s="147" t="n">
        <v>1593</v>
      </c>
      <c r="F2017" s="147" t="n">
        <f aca="false">IFERROR(VLOOKUP(H2017,$AD$1:$AE$301,2,0),"")</f>
        <v>1002</v>
      </c>
      <c r="G2017" s="147" t="str">
        <f aca="false">IFERROR(VLOOKUP(F2017,$AE$2:$AF$290,2, 0),"")</f>
        <v>الوجه</v>
      </c>
      <c r="H2017" s="212" t="s">
        <v>116</v>
      </c>
      <c r="I2017" s="246" t="n">
        <f aca="false">SUM(K2017:R2017)</f>
        <v>4</v>
      </c>
      <c r="J2017" s="182" t="n">
        <v>45959</v>
      </c>
      <c r="R2017" s="154" t="n">
        <f aca="false">1+1+1+1</f>
        <v>4</v>
      </c>
      <c r="S2017" s="192" t="n">
        <f aca="false">(K2017+O2017+Q2017)*24 /1130+(L2017+M2017+P2017+R2017)*12/1130+(N2017*30)/1130</f>
        <v>0.0424778761061947</v>
      </c>
    </row>
    <row r="2018" customFormat="false" ht="15" hidden="true" customHeight="true" outlineLevel="0" collapsed="false">
      <c r="A2018" s="128" t="n">
        <f aca="false">D2018-845</f>
        <v>0.25</v>
      </c>
      <c r="B2018" s="233" t="n">
        <f aca="false">B2017+D2018-C2018</f>
        <v>18492.75</v>
      </c>
      <c r="D2018" s="146" t="n">
        <f aca="false">281.75*3</f>
        <v>845.25</v>
      </c>
      <c r="E2018" s="147" t="n">
        <v>1594</v>
      </c>
      <c r="F2018" s="147" t="n">
        <f aca="false">IFERROR(VLOOKUP(H2018,$AD$1:$AE$301,2,0),"")</f>
        <v>1008044</v>
      </c>
      <c r="G2018" s="147" t="str">
        <f aca="false">IFERROR(VLOOKUP(F2018,$AE$2:$AF$290,2, 0),"")</f>
        <v>الوجه</v>
      </c>
      <c r="H2018" s="212" t="s">
        <v>106</v>
      </c>
      <c r="I2018" s="246" t="n">
        <f aca="false">SUM(K2018:R2018)</f>
        <v>3</v>
      </c>
      <c r="J2018" s="182" t="n">
        <v>45959</v>
      </c>
      <c r="K2018" s="148" t="n">
        <v>3</v>
      </c>
      <c r="S2018" s="192" t="n">
        <f aca="false">(K2018+O2018+Q2018)*24 /1130+(L2018+M2018+P2018+R2018)*12/1130+(N2018*30)/1130</f>
        <v>0.063716814159292</v>
      </c>
    </row>
    <row r="2019" customFormat="false" ht="15" hidden="true" customHeight="true" outlineLevel="0" collapsed="false">
      <c r="A2019" s="128" t="n">
        <f aca="false">D2019-822</f>
        <v>0.25</v>
      </c>
      <c r="B2019" s="233" t="n">
        <f aca="false">B2018+D2019-C2019</f>
        <v>19315</v>
      </c>
      <c r="D2019" s="146" t="n">
        <v>822.25</v>
      </c>
      <c r="E2019" s="147" t="n">
        <v>1595</v>
      </c>
      <c r="F2019" s="147" t="n">
        <f aca="false">IFERROR(VLOOKUP(H2019,$AD$1:$AE$301,2,0),"")</f>
        <v>1033</v>
      </c>
      <c r="G2019" s="147" t="str">
        <f aca="false">IFERROR(VLOOKUP(F2019,$AE$2:$AF$290,2, 0),"")</f>
        <v>الوجه</v>
      </c>
      <c r="H2019" s="212" t="s">
        <v>117</v>
      </c>
      <c r="I2019" s="246" t="n">
        <f aca="false">SUM(K2019:R2019)</f>
        <v>3</v>
      </c>
      <c r="J2019" s="182" t="n">
        <v>45959</v>
      </c>
      <c r="N2019" s="151" t="n">
        <v>3</v>
      </c>
      <c r="S2019" s="192" t="n">
        <f aca="false">(K2019+O2019+Q2019)*24 /1130+(L2019+M2019+P2019+R2019)*12/1130+(N2019*30)/1130</f>
        <v>0.079646017699115</v>
      </c>
    </row>
    <row r="2020" customFormat="false" ht="15" hidden="true" customHeight="true" outlineLevel="0" collapsed="false">
      <c r="A2020" s="128" t="n">
        <f aca="false">D2020-357-500-241</f>
        <v>0.25</v>
      </c>
      <c r="B2020" s="233" t="n">
        <f aca="false">B2019+D2020-C2020</f>
        <v>20413.25</v>
      </c>
      <c r="D2020" s="146" t="n">
        <f aca="false">845.25+253</f>
        <v>1098.25</v>
      </c>
      <c r="E2020" s="147" t="n">
        <v>1596</v>
      </c>
      <c r="F2020" s="147" t="n">
        <f aca="false">IFERROR(VLOOKUP(H2020,$AD$1:$AE$301,2,0),"")</f>
        <v>575</v>
      </c>
      <c r="G2020" s="147" t="str">
        <f aca="false">IFERROR(VLOOKUP(F2020,$AE$2:$AF$290,2, 0),"")</f>
        <v>تبوك</v>
      </c>
      <c r="H2020" s="212" t="s">
        <v>132</v>
      </c>
      <c r="I2020" s="246" t="n">
        <f aca="false">SUM(K2020:R2020)</f>
        <v>4</v>
      </c>
      <c r="J2020" s="182" t="n">
        <v>45960</v>
      </c>
      <c r="K2020" s="148" t="n">
        <f aca="false">2+1</f>
        <v>3</v>
      </c>
      <c r="M2020" s="150" t="n">
        <v>1</v>
      </c>
      <c r="S2020" s="192" t="n">
        <f aca="false">(K2020+O2020+Q2020)*24 /1130+(L2020+M2020+P2020+R2020)*12/1130+(N2020*30)/1130</f>
        <v>0.0743362831858407</v>
      </c>
    </row>
    <row r="2021" customFormat="false" ht="15" hidden="true" customHeight="true" outlineLevel="0" collapsed="false">
      <c r="A2021" s="128" t="n">
        <f aca="false">D2021-655.75-5*5-475</f>
        <v>0</v>
      </c>
      <c r="B2021" s="233" t="n">
        <f aca="false">B2020+D2021-C2021</f>
        <v>21569</v>
      </c>
      <c r="D2021" s="146" t="n">
        <f aca="false">345*2+230+235.75</f>
        <v>1155.75</v>
      </c>
      <c r="E2021" s="147" t="n">
        <v>1198</v>
      </c>
      <c r="F2021" s="147" t="n">
        <f aca="false">IFERROR(VLOOKUP(H2021,$AD$1:$AE$301,2,0),"")</f>
        <v>855</v>
      </c>
      <c r="G2021" s="147" t="str">
        <f aca="false">IFERROR(VLOOKUP(F2021,$AE$2:$AF$290,2, 0),"")</f>
        <v>تبوك</v>
      </c>
      <c r="H2021" s="212" t="s">
        <v>141</v>
      </c>
      <c r="I2021" s="246" t="n">
        <f aca="false">SUM(K2021:R2021)</f>
        <v>4</v>
      </c>
      <c r="J2021" s="182" t="n">
        <v>45960</v>
      </c>
      <c r="M2021" s="150" t="n">
        <f aca="false">2+1+1</f>
        <v>4</v>
      </c>
      <c r="S2021" s="192" t="n">
        <f aca="false">(K2021+O2021+Q2021)*24 /1130+(L2021+M2021+P2021+R2021)*12/1130+(N2021*30)/1130</f>
        <v>0.0424778761061947</v>
      </c>
    </row>
    <row r="2022" customFormat="false" ht="15" hidden="true" customHeight="true" outlineLevel="0" collapsed="false">
      <c r="A2022" s="128" t="n">
        <f aca="false">D2022-1152+42</f>
        <v>-0.25</v>
      </c>
      <c r="B2022" s="233" t="n">
        <f aca="false">B2021+D2022-C2022</f>
        <v>22678.75</v>
      </c>
      <c r="D2022" s="146" t="n">
        <f aca="false">281.75*3+264.5</f>
        <v>1109.75</v>
      </c>
      <c r="E2022" s="147" t="n">
        <v>1597</v>
      </c>
      <c r="F2022" s="147" t="n">
        <f aca="false">IFERROR(VLOOKUP(H2022,$AD$1:$AE$301,2,0),"")</f>
        <v>954</v>
      </c>
      <c r="G2022" s="147" t="str">
        <f aca="false">IFERROR(VLOOKUP(F2022,$AE$2:$AF$290,2, 0),"")</f>
        <v>تبوك</v>
      </c>
      <c r="H2022" s="212" t="s">
        <v>199</v>
      </c>
      <c r="I2022" s="246" t="n">
        <f aca="false">SUM(K2022:R2022)</f>
        <v>4</v>
      </c>
      <c r="J2022" s="182" t="n">
        <v>45960</v>
      </c>
      <c r="K2022" s="148" t="n">
        <f aca="false">2+1</f>
        <v>3</v>
      </c>
      <c r="R2022" s="155" t="n">
        <v>1</v>
      </c>
      <c r="S2022" s="192" t="n">
        <f aca="false">(K2022+O2022+Q2022)*24 /1130+(L2022+M2022+P2022+R2022)*12/1130+(N2022*30)/1130</f>
        <v>0.0743362831858407</v>
      </c>
    </row>
    <row r="2023" customFormat="false" ht="15" hidden="true" customHeight="true" outlineLevel="0" collapsed="false">
      <c r="A2023" s="128" t="n">
        <f aca="false">D2023-11-281.75-281.75-120-136-120-400-460</f>
        <v>0.75</v>
      </c>
      <c r="B2023" s="233" t="n">
        <f aca="false">B2022+D2023-C2023</f>
        <v>24490</v>
      </c>
      <c r="D2023" s="146" t="n">
        <f aca="false">845.25+253*2+230*2</f>
        <v>1811.25</v>
      </c>
      <c r="E2023" s="147" t="n">
        <v>1599</v>
      </c>
      <c r="F2023" s="147" t="n">
        <f aca="false">IFERROR(VLOOKUP(H2023,$AD$1:$AE$301,2,0),"")</f>
        <v>1002861</v>
      </c>
      <c r="G2023" s="147" t="str">
        <f aca="false">IFERROR(VLOOKUP(F2023,$AE$2:$AF$290,2, 0),"")</f>
        <v>تبوك</v>
      </c>
      <c r="H2023" s="212" t="s">
        <v>275</v>
      </c>
      <c r="I2023" s="246" t="n">
        <f aca="false">SUM(K2023:R2023)</f>
        <v>7</v>
      </c>
      <c r="J2023" s="182" t="n">
        <v>45960</v>
      </c>
      <c r="K2023" s="148" t="n">
        <f aca="false">2+1</f>
        <v>3</v>
      </c>
      <c r="M2023" s="150" t="n">
        <v>4</v>
      </c>
      <c r="S2023" s="192" t="n">
        <f aca="false">(K2023+O2023+Q2023)*24 /1130+(L2023+M2023+P2023+R2023)*12/1130+(N2023*30)/1130</f>
        <v>0.106194690265487</v>
      </c>
    </row>
    <row r="2024" customFormat="false" ht="15" hidden="true" customHeight="true" outlineLevel="0" collapsed="false">
      <c r="B2024" s="233" t="n">
        <f aca="false">B2023+D2024-C2024</f>
        <v>14041</v>
      </c>
      <c r="C2024" s="127" t="n">
        <f aca="false">233+500+30+759+937+145+700+45+400+200+6000+500</f>
        <v>10449</v>
      </c>
      <c r="E2024" s="212" t="s">
        <v>470</v>
      </c>
      <c r="F2024" s="147" t="str">
        <f aca="false">IFERROR(VLOOKUP(H2024,$AD$1:$AE$301,2,0),"")</f>
        <v/>
      </c>
      <c r="G2024" s="147" t="str">
        <f aca="false">IFERROR(VLOOKUP(F2024,$AE$2:$AF$290,2, 0),"")</f>
        <v/>
      </c>
      <c r="H2024" s="212" t="s">
        <v>393</v>
      </c>
      <c r="I2024" s="246" t="n">
        <f aca="false">SUM(K2024:R2024)</f>
        <v>0</v>
      </c>
      <c r="J2024" s="182" t="n">
        <v>45960</v>
      </c>
      <c r="S2024" s="192" t="n">
        <f aca="false">(K2024+O2024+Q2024)*24 /1130+(L2024+M2024+P2024+R2024)*12/1130+(N2024*30)/1130</f>
        <v>0</v>
      </c>
    </row>
    <row r="2025" customFormat="false" ht="15" hidden="true" customHeight="true" outlineLevel="0" collapsed="false">
      <c r="B2025" s="233" t="n">
        <f aca="false">B2024+D2025-C2025</f>
        <v>6151</v>
      </c>
      <c r="C2025" s="127" t="n">
        <f aca="false">7890</f>
        <v>7890</v>
      </c>
      <c r="E2025" s="212" t="s">
        <v>653</v>
      </c>
      <c r="F2025" s="147" t="str">
        <f aca="false">IFERROR(VLOOKUP(H2025,$AD$1:$AE$301,2,0),"")</f>
        <v/>
      </c>
      <c r="G2025" s="147" t="str">
        <f aca="false">IFERROR(VLOOKUP(F2025,$AE$2:$AF$290,2, 0),"")</f>
        <v/>
      </c>
      <c r="H2025" s="212" t="s">
        <v>393</v>
      </c>
      <c r="I2025" s="246" t="n">
        <f aca="false">SUM(K2025:R2025)</f>
        <v>0</v>
      </c>
      <c r="J2025" s="182" t="n">
        <v>45960</v>
      </c>
      <c r="S2025" s="192" t="n">
        <f aca="false">(K2025+O2025+Q2025)*24 /1130+(L2025+M2025+P2025+R2025)*12/1130+(N2025*30)/1130</f>
        <v>0</v>
      </c>
    </row>
    <row r="2026" customFormat="false" ht="15" hidden="true" customHeight="true" outlineLevel="0" collapsed="false">
      <c r="B2026" s="233" t="n">
        <f aca="false">B2025+D2026-C2026</f>
        <v>3411</v>
      </c>
      <c r="C2026" s="127" t="n">
        <f aca="false">500+162+200+1152+523+188+15</f>
        <v>2740</v>
      </c>
      <c r="E2026" s="212" t="s">
        <v>470</v>
      </c>
      <c r="F2026" s="147" t="str">
        <f aca="false">IFERROR(VLOOKUP(H2026,$AD$1:$AE$301,2,0),"")</f>
        <v/>
      </c>
      <c r="G2026" s="147" t="str">
        <f aca="false">IFERROR(VLOOKUP(F2026,$AE$2:$AF$290,2, 0),"")</f>
        <v/>
      </c>
      <c r="H2026" s="212" t="s">
        <v>393</v>
      </c>
      <c r="I2026" s="246" t="n">
        <f aca="false">SUM(K2026:R2026)</f>
        <v>0</v>
      </c>
      <c r="J2026" s="182" t="n">
        <v>45960</v>
      </c>
      <c r="S2026" s="192" t="n">
        <f aca="false">(K2026+O2026+Q2026)*24 /1130+(L2026+M2026+P2026+R2026)*12/1130+(N2026*30)/1130</f>
        <v>0</v>
      </c>
    </row>
    <row r="2027" customFormat="false" ht="15" hidden="true" customHeight="true" outlineLevel="0" collapsed="false">
      <c r="B2027" s="233" t="n">
        <f aca="false">B2026+D2027-C2027</f>
        <v>0</v>
      </c>
      <c r="C2027" s="127" t="n">
        <f aca="false">33+190+18+5+1000+119+17+2029</f>
        <v>3411</v>
      </c>
      <c r="E2027" s="212" t="s">
        <v>470</v>
      </c>
      <c r="F2027" s="147" t="str">
        <f aca="false">IFERROR(VLOOKUP(H2027,$AD$1:$AE$301,2,0),"")</f>
        <v/>
      </c>
      <c r="G2027" s="147" t="str">
        <f aca="false">IFERROR(VLOOKUP(F2027,$AE$2:$AF$290,2, 0),"")</f>
        <v/>
      </c>
      <c r="H2027" s="212" t="s">
        <v>393</v>
      </c>
      <c r="I2027" s="246" t="n">
        <f aca="false">SUM(K2027:R2027)</f>
        <v>0</v>
      </c>
      <c r="J2027" s="182" t="n">
        <v>45960</v>
      </c>
      <c r="S2027" s="192" t="n">
        <f aca="false">(K2027+O2027+Q2027)*24 /1130+(L2027+M2027+P2027+R2027)*12/1130+(N2027*30)/1130</f>
        <v>0</v>
      </c>
    </row>
    <row r="2028" customFormat="false" ht="15" hidden="true" customHeight="true" outlineLevel="0" collapsed="false">
      <c r="A2028" s="128" t="n">
        <f aca="false">D2028-700-300.5</f>
        <v>0</v>
      </c>
      <c r="B2028" s="233" t="n">
        <f aca="false">B2027+D2028-C2028</f>
        <v>1000.5</v>
      </c>
      <c r="D2028" s="146" t="n">
        <f aca="false">281.75*3+155.25</f>
        <v>1000.5</v>
      </c>
      <c r="E2028" s="147" t="n">
        <v>53001601</v>
      </c>
      <c r="F2028" s="147" t="n">
        <f aca="false">IFERROR(VLOOKUP(H2028,$AD$1:$AE$301,2,0),"")</f>
        <v>1008030</v>
      </c>
      <c r="G2028" s="147" t="str">
        <f aca="false">IFERROR(VLOOKUP(F2028,$AE$2:$AF$290,2, 0),"")</f>
        <v>البير</v>
      </c>
      <c r="H2028" s="212" t="s">
        <v>298</v>
      </c>
      <c r="I2028" s="246" t="n">
        <f aca="false">SUM(K2028:R2028)</f>
        <v>4</v>
      </c>
      <c r="J2028" s="182" t="n">
        <v>45964</v>
      </c>
      <c r="K2028" s="148" t="n">
        <f aca="false">2+1</f>
        <v>3</v>
      </c>
      <c r="R2028" s="155" t="n">
        <v>1</v>
      </c>
      <c r="S2028" s="192" t="n">
        <f aca="false">(K2028+O2028+Q2028)*24 /1130+(L2028+M2028+P2028+R2028)*12/1130+(N2028*30)/1130</f>
        <v>0.0743362831858407</v>
      </c>
    </row>
    <row r="2029" customFormat="false" ht="15" hidden="true" customHeight="true" outlineLevel="0" collapsed="false">
      <c r="A2029" s="128" t="n">
        <f aca="false">D2029-500-200-100-22-868</f>
        <v>0.5</v>
      </c>
      <c r="B2029" s="233" t="n">
        <f aca="false">B2028+D2029-C2029</f>
        <v>2691</v>
      </c>
      <c r="D2029" s="146" t="n">
        <f aca="false">281.75*6</f>
        <v>1690.5</v>
      </c>
      <c r="E2029" s="147" t="n">
        <v>53001600</v>
      </c>
      <c r="F2029" s="147" t="n">
        <f aca="false">IFERROR(VLOOKUP(H2029,$AD$1:$AE$301,2,0),"")</f>
        <v>1007965</v>
      </c>
      <c r="G2029" s="147" t="str">
        <f aca="false">IFERROR(VLOOKUP(F2029,$AE$2:$AF$290,2, 0),"")</f>
        <v>البير</v>
      </c>
      <c r="H2029" s="212" t="s">
        <v>290</v>
      </c>
      <c r="I2029" s="246" t="n">
        <f aca="false">SUM(K2029:R2029)</f>
        <v>6</v>
      </c>
      <c r="J2029" s="182" t="n">
        <v>45964</v>
      </c>
      <c r="K2029" s="148" t="n">
        <f aca="false">5+1</f>
        <v>6</v>
      </c>
      <c r="S2029" s="192" t="n">
        <f aca="false">(K2029+O2029+Q2029)*24 /1130+(L2029+M2029+P2029+R2029)*12/1130+(N2029*30)/1130</f>
        <v>0.127433628318584</v>
      </c>
    </row>
    <row r="2030" customFormat="false" ht="15" hidden="true" customHeight="true" outlineLevel="0" collapsed="false">
      <c r="B2030" s="233" t="n">
        <f aca="false">B2029+D2030-C2030</f>
        <v>1316</v>
      </c>
      <c r="C2030" s="127" t="n">
        <f aca="false">20+100+135+345+495+280</f>
        <v>1375</v>
      </c>
      <c r="E2030" s="147" t="s">
        <v>666</v>
      </c>
      <c r="G2030" s="147" t="str">
        <f aca="false">IFERROR(VLOOKUP(F2030,$AE$2:$AF$290,2, 0),"")</f>
        <v/>
      </c>
      <c r="H2030" s="212" t="s">
        <v>393</v>
      </c>
      <c r="I2030" s="246" t="n">
        <f aca="false">SUM(K2030:R2030)</f>
        <v>0</v>
      </c>
      <c r="J2030" s="182" t="n">
        <v>45964</v>
      </c>
      <c r="S2030" s="192" t="n">
        <f aca="false">(K2030+O2030+Q2030)*24 /1130+(L2030+M2030+P2030+R2030)*12/1130+(N2030*30)/1130</f>
        <v>0</v>
      </c>
    </row>
    <row r="2031" customFormat="false" ht="15" hidden="true" customHeight="true" outlineLevel="0" collapsed="false">
      <c r="B2031" s="233" t="n">
        <f aca="false">B2030+D2031-C2031</f>
        <v>0</v>
      </c>
      <c r="C2031" s="127" t="n">
        <f aca="false">299+1017</f>
        <v>1316</v>
      </c>
      <c r="E2031" s="147" t="s">
        <v>667</v>
      </c>
      <c r="F2031" s="147" t="str">
        <f aca="false">IFERROR(VLOOKUP(H2031,$AD$1:$AE$301,2,0),"")</f>
        <v/>
      </c>
      <c r="G2031" s="147" t="str">
        <f aca="false">IFERROR(VLOOKUP(F2031,$AE$2:$AF$290,2, 0),"")</f>
        <v/>
      </c>
      <c r="H2031" s="212" t="s">
        <v>393</v>
      </c>
      <c r="I2031" s="246" t="n">
        <f aca="false">SUM(K2031:R2031)</f>
        <v>0</v>
      </c>
      <c r="J2031" s="182" t="n">
        <v>45964</v>
      </c>
      <c r="S2031" s="192" t="n">
        <f aca="false">(K2031+O2031+Q2031)*24 /1130+(L2031+M2031+P2031+R2031)*12/1130+(N2031*30)/1130</f>
        <v>0</v>
      </c>
    </row>
    <row r="2032" customFormat="false" ht="15" hidden="true" customHeight="true" outlineLevel="0" collapsed="false">
      <c r="A2032" s="128" t="n">
        <f aca="false">D2032-500-500+16.75</f>
        <v>0</v>
      </c>
      <c r="B2032" s="233" t="n">
        <f aca="false">B2031+D2032-C2032</f>
        <v>983.25</v>
      </c>
      <c r="D2032" s="146" t="n">
        <f aca="false">281.75*3+138</f>
        <v>983.25</v>
      </c>
      <c r="E2032" s="147" t="n">
        <v>1602</v>
      </c>
      <c r="F2032" s="147" t="n">
        <f aca="false">IFERROR(VLOOKUP(H2032,$AD$1:$AE$301,2,0),"")</f>
        <v>653</v>
      </c>
      <c r="G2032" s="147" t="str">
        <f aca="false">IFERROR(VLOOKUP(F2032,$AE$2:$AF$290,2, 0),"")</f>
        <v>تبوك</v>
      </c>
      <c r="H2032" s="212" t="s">
        <v>264</v>
      </c>
      <c r="I2032" s="246" t="n">
        <f aca="false">SUM(K2032:R2032)</f>
        <v>4</v>
      </c>
      <c r="J2032" s="182" t="n">
        <v>45965</v>
      </c>
      <c r="K2032" s="148" t="n">
        <v>3</v>
      </c>
      <c r="Q2032" s="154" t="n">
        <v>1</v>
      </c>
      <c r="S2032" s="192" t="n">
        <f aca="false">(K2032+O2032+Q2032)*24 /1130+(L2032+M2032+P2032+R2032)*12/1130+(N2032*30)/1130</f>
        <v>0.0849557522123894</v>
      </c>
    </row>
    <row r="2033" customFormat="false" ht="15" hidden="true" customHeight="true" outlineLevel="0" collapsed="false">
      <c r="A2033" s="128" t="n">
        <f aca="false">D2033-155.25-135-4*5</f>
        <v>0.25</v>
      </c>
      <c r="B2033" s="233" t="n">
        <f aca="false">B2032+D2033-C2033</f>
        <v>1293.75</v>
      </c>
      <c r="D2033" s="146" t="n">
        <f aca="false">155.25*2</f>
        <v>310.5</v>
      </c>
      <c r="E2033" s="147" t="n">
        <v>1603</v>
      </c>
      <c r="F2033" s="147" t="n">
        <f aca="false">IFERROR(VLOOKUP(H2033,$AD$1:$AE$301,2,0),"")</f>
        <v>549</v>
      </c>
      <c r="G2033" s="147" t="str">
        <f aca="false">IFERROR(VLOOKUP(F2033,$AE$2:$AF$290,2, 0),"")</f>
        <v>تبوك</v>
      </c>
      <c r="H2033" s="212" t="s">
        <v>238</v>
      </c>
      <c r="I2033" s="246" t="n">
        <f aca="false">SUM(K2033:R2033)</f>
        <v>1</v>
      </c>
      <c r="J2033" s="182" t="n">
        <v>45965</v>
      </c>
      <c r="R2033" s="155" t="n">
        <v>1</v>
      </c>
      <c r="S2033" s="192" t="n">
        <f aca="false">(K2033+O2033+Q2033)*24 /1130+(L2033+M2033+P2033+R2033)*12/1130+(N2033*30)/1130</f>
        <v>0.0106194690265487</v>
      </c>
    </row>
    <row r="2034" customFormat="false" ht="15" hidden="true" customHeight="true" outlineLevel="0" collapsed="false">
      <c r="B2034" s="233" t="n">
        <f aca="false">B2033+D2034-C2034</f>
        <v>0.75</v>
      </c>
      <c r="C2034" s="127" t="n">
        <v>1293</v>
      </c>
      <c r="E2034" s="147" t="s">
        <v>668</v>
      </c>
      <c r="F2034" s="147" t="str">
        <f aca="false">IFERROR(VLOOKUP(H2034,$AD$1:$AE$301,2,0),"")</f>
        <v/>
      </c>
      <c r="G2034" s="147" t="str">
        <f aca="false">IFERROR(VLOOKUP(F2034,$AE$2:$AF$290,2, 0),"")</f>
        <v/>
      </c>
      <c r="H2034" s="212" t="s">
        <v>393</v>
      </c>
      <c r="I2034" s="246" t="n">
        <f aca="false">SUM(K2034:R2034)</f>
        <v>0</v>
      </c>
      <c r="J2034" s="182" t="n">
        <v>45966</v>
      </c>
      <c r="S2034" s="192" t="n">
        <f aca="false">(K2034+O2034+Q2034)*24 /1130+(L2034+M2034+P2034+R2034)*12/1130+(N2034*30)/1130</f>
        <v>0</v>
      </c>
    </row>
    <row r="2035" customFormat="false" ht="15" hidden="true" customHeight="true" outlineLevel="0" collapsed="false">
      <c r="B2035" s="233" t="n">
        <f aca="false">B2034+D2035-C2035</f>
        <v>437.75</v>
      </c>
      <c r="D2035" s="146" t="n">
        <f aca="false">299+138</f>
        <v>437</v>
      </c>
      <c r="E2035" s="147" t="n">
        <v>53001604</v>
      </c>
      <c r="F2035" s="147" t="n">
        <f aca="false">IFERROR(VLOOKUP(H2035,$AD$1:$AE$301,2,0),"")</f>
        <v>1002875</v>
      </c>
      <c r="G2035" s="147" t="str">
        <f aca="false">IFERROR(VLOOKUP(F2035,$AE$2:$AF$290,2, 0),"")</f>
        <v>تبوك</v>
      </c>
      <c r="H2035" s="212" t="s">
        <v>161</v>
      </c>
      <c r="I2035" s="246" t="n">
        <f aca="false">SUM(K2035:R2035)</f>
        <v>2</v>
      </c>
      <c r="J2035" s="182" t="n">
        <v>45966</v>
      </c>
      <c r="Q2035" s="154" t="n">
        <v>1</v>
      </c>
      <c r="R2035" s="155" t="n">
        <v>1</v>
      </c>
      <c r="S2035" s="192" t="n">
        <f aca="false">(K2035+O2035+Q2035)*24 /1130+(L2035+M2035+P2035+R2035)*12/1130+(N2035*30)/1130</f>
        <v>0.031858407079646</v>
      </c>
    </row>
    <row r="2036" customFormat="false" ht="15" hidden="true" customHeight="true" outlineLevel="0" collapsed="false">
      <c r="A2036" s="128" t="n">
        <f aca="false">D2036-1690</f>
        <v>0.5</v>
      </c>
      <c r="B2036" s="233" t="n">
        <f aca="false">B2035+D2036-C2036</f>
        <v>2128.25</v>
      </c>
      <c r="D2036" s="146" t="n">
        <f aca="false">281.75*6</f>
        <v>1690.5</v>
      </c>
      <c r="E2036" s="147" t="n">
        <v>53001605</v>
      </c>
      <c r="F2036" s="147" t="n">
        <f aca="false">IFERROR(VLOOKUP(H2036,$AD$1:$AE$301,2,0),"")</f>
        <v>1006467</v>
      </c>
      <c r="G2036" s="147" t="str">
        <f aca="false">IFERROR(VLOOKUP(F2036,$AE$2:$AF$290,2, 0),"")</f>
        <v>تبوك</v>
      </c>
      <c r="H2036" s="212" t="s">
        <v>271</v>
      </c>
      <c r="I2036" s="246" t="n">
        <f aca="false">SUM(K2036:R2036)</f>
        <v>6</v>
      </c>
      <c r="J2036" s="182" t="n">
        <v>45966</v>
      </c>
      <c r="K2036" s="148" t="n">
        <f aca="false">3+3</f>
        <v>6</v>
      </c>
      <c r="S2036" s="192" t="n">
        <f aca="false">(K2036+O2036+Q2036)*24 /1130+(L2036+M2036+P2036+R2036)*12/1130+(N2036*30)/1130</f>
        <v>0.127433628318584</v>
      </c>
    </row>
    <row r="2037" customFormat="false" ht="15" hidden="true" customHeight="true" outlineLevel="0" collapsed="false">
      <c r="B2037" s="233" t="n">
        <f aca="false">B2036+D2037-C2037</f>
        <v>2973.5</v>
      </c>
      <c r="D2037" s="146" t="n">
        <f aca="false">281.75*3</f>
        <v>845.25</v>
      </c>
      <c r="E2037" s="147" t="n">
        <v>53001606</v>
      </c>
      <c r="F2037" s="147" t="n">
        <f aca="false">IFERROR(VLOOKUP(H2037,$AD$1:$AE$301,2,0),"")</f>
        <v>1002886</v>
      </c>
      <c r="G2037" s="147" t="str">
        <f aca="false">IFERROR(VLOOKUP(F2037,$AE$2:$AF$290,2, 0),"")</f>
        <v>تبوك</v>
      </c>
      <c r="H2037" s="212" t="s">
        <v>270</v>
      </c>
      <c r="I2037" s="246" t="n">
        <f aca="false">SUM(K2037:R2037)</f>
        <v>3</v>
      </c>
      <c r="J2037" s="182" t="n">
        <v>45966</v>
      </c>
      <c r="K2037" s="148" t="n">
        <f aca="false">2+1</f>
        <v>3</v>
      </c>
      <c r="S2037" s="192" t="n">
        <f aca="false">(K2037+O2037+Q2037)*24 /1130+(L2037+M2037+P2037+R2037)*12/1130+(N2037*30)/1130</f>
        <v>0.063716814159292</v>
      </c>
    </row>
    <row r="2038" customFormat="false" ht="15" hidden="true" customHeight="true" outlineLevel="0" collapsed="false">
      <c r="A2038" s="128" t="n">
        <f aca="false">D2038-845</f>
        <v>0.25</v>
      </c>
      <c r="B2038" s="233" t="n">
        <f aca="false">B2037+D2038-C2038</f>
        <v>3818.75</v>
      </c>
      <c r="D2038" s="146" t="n">
        <f aca="false">281.75*3</f>
        <v>845.25</v>
      </c>
      <c r="E2038" s="147" t="n">
        <v>53001607</v>
      </c>
      <c r="F2038" s="147" t="n">
        <f aca="false">IFERROR(VLOOKUP(H2038,$AD$1:$AE$301,2,0),"")</f>
        <v>1002949</v>
      </c>
      <c r="G2038" s="147" t="str">
        <f aca="false">IFERROR(VLOOKUP(F2038,$AE$2:$AF$290,2, 0),"")</f>
        <v>تبوك</v>
      </c>
      <c r="H2038" s="212" t="s">
        <v>170</v>
      </c>
      <c r="I2038" s="246" t="n">
        <f aca="false">SUM(K2038:R2038)</f>
        <v>3</v>
      </c>
      <c r="J2038" s="182" t="n">
        <v>45966</v>
      </c>
      <c r="K2038" s="148" t="n">
        <f aca="false">1+2</f>
        <v>3</v>
      </c>
      <c r="S2038" s="192" t="n">
        <f aca="false">(K2038+O2038+Q2038)*24 /1130+(L2038+M2038+P2038+R2038)*12/1130+(N2038*30)/1130</f>
        <v>0.063716814159292</v>
      </c>
    </row>
    <row r="2039" customFormat="false" ht="15" hidden="true" customHeight="true" outlineLevel="0" collapsed="false">
      <c r="B2039" s="233" t="n">
        <f aca="false">B2038+D2039-C2039</f>
        <v>4664</v>
      </c>
      <c r="D2039" s="146" t="n">
        <f aca="false">281.75*3</f>
        <v>845.25</v>
      </c>
      <c r="E2039" s="147" t="n">
        <v>53001608</v>
      </c>
      <c r="F2039" s="147" t="n">
        <f aca="false">IFERROR(VLOOKUP(H2039,$AD$1:$AE$301,2,0),"")</f>
        <v>1002898</v>
      </c>
      <c r="G2039" s="147" t="str">
        <f aca="false">IFERROR(VLOOKUP(F2039,$AE$2:$AF$290,2, 0),"")</f>
        <v>تبوك</v>
      </c>
      <c r="H2039" s="212" t="s">
        <v>195</v>
      </c>
      <c r="I2039" s="246" t="n">
        <f aca="false">SUM(K2039:R2039)</f>
        <v>3</v>
      </c>
      <c r="J2039" s="182" t="n">
        <v>45966</v>
      </c>
      <c r="K2039" s="148" t="n">
        <v>3</v>
      </c>
      <c r="S2039" s="192" t="n">
        <f aca="false">(K2039+O2039+Q2039)*24 /1130+(L2039+M2039+P2039+R2039)*12/1130+(N2039*30)/1130</f>
        <v>0.063716814159292</v>
      </c>
    </row>
    <row r="2040" customFormat="false" ht="15" hidden="true" customHeight="true" outlineLevel="0" collapsed="false">
      <c r="B2040" s="233" t="n">
        <f aca="false">B2039+D2040-C2040</f>
        <v>5170</v>
      </c>
      <c r="D2040" s="146" t="n">
        <f aca="false">253*2</f>
        <v>506</v>
      </c>
      <c r="E2040" s="147" t="n">
        <v>53001609</v>
      </c>
      <c r="F2040" s="147" t="n">
        <f aca="false">IFERROR(VLOOKUP(H2040,$AD$1:$AE$301,2,0),"")</f>
        <v>1002890</v>
      </c>
      <c r="G2040" s="147" t="str">
        <f aca="false">IFERROR(VLOOKUP(F2040,$AE$2:$AF$290,2, 0),"")</f>
        <v>تبوك</v>
      </c>
      <c r="H2040" s="212" t="s">
        <v>247</v>
      </c>
      <c r="I2040" s="246" t="n">
        <f aca="false">SUM(K2040:R2040)</f>
        <v>2</v>
      </c>
      <c r="J2040" s="182" t="n">
        <v>45966</v>
      </c>
      <c r="M2040" s="150" t="n">
        <v>2</v>
      </c>
      <c r="S2040" s="192" t="n">
        <f aca="false">(K2040+O2040+Q2040)*24 /1130+(L2040+M2040+P2040+R2040)*12/1130+(N2040*30)/1130</f>
        <v>0.0212389380530973</v>
      </c>
    </row>
    <row r="2041" customFormat="false" ht="15" hidden="true" customHeight="true" outlineLevel="0" collapsed="false">
      <c r="B2041" s="233" t="n">
        <f aca="false">B2040+D2041-C2041</f>
        <v>4514.25</v>
      </c>
      <c r="C2041" s="127" t="n">
        <f aca="false">655.75</f>
        <v>655.75</v>
      </c>
      <c r="E2041" s="147" t="s">
        <v>667</v>
      </c>
      <c r="F2041" s="147" t="str">
        <f aca="false">IFERROR(VLOOKUP(H2041,$AD$1:$AE$301,2,0),"")</f>
        <v/>
      </c>
      <c r="G2041" s="147" t="str">
        <f aca="false">IFERROR(VLOOKUP(F2041,$AE$2:$AF$290,2, 0),"")</f>
        <v/>
      </c>
      <c r="H2041" s="212" t="s">
        <v>393</v>
      </c>
      <c r="I2041" s="246" t="n">
        <f aca="false">SUM(K2041:R2041)</f>
        <v>0</v>
      </c>
      <c r="J2041" s="182" t="n">
        <v>45966</v>
      </c>
      <c r="S2041" s="192" t="n">
        <f aca="false">(K2041+O2041+Q2041)*24 /1130+(L2041+M2041+P2041+R2041)*12/1130+(N2041*30)/1130</f>
        <v>0</v>
      </c>
    </row>
    <row r="2042" customFormat="false" ht="15" hidden="true" customHeight="true" outlineLevel="0" collapsed="false">
      <c r="B2042" s="233" t="n">
        <f aca="false">B2041+D2042-C2042</f>
        <v>1703.25</v>
      </c>
      <c r="C2042" s="127" t="n">
        <f aca="false">135+845+845+506+345+135</f>
        <v>2811</v>
      </c>
      <c r="E2042" s="147" t="s">
        <v>666</v>
      </c>
      <c r="F2042" s="147" t="str">
        <f aca="false">IFERROR(VLOOKUP(H2042,$AD$1:$AE$301,2,0),"")</f>
        <v/>
      </c>
      <c r="G2042" s="147" t="str">
        <f aca="false">IFERROR(VLOOKUP(F2042,$AE$2:$AF$290,2, 0),"")</f>
        <v/>
      </c>
      <c r="H2042" s="212" t="s">
        <v>393</v>
      </c>
      <c r="I2042" s="246" t="n">
        <f aca="false">SUM(K2042:R2042)</f>
        <v>0</v>
      </c>
      <c r="J2042" s="182" t="n">
        <v>45966</v>
      </c>
      <c r="S2042" s="192" t="n">
        <f aca="false">(K2042+O2042+Q2042)*24 /1130+(L2042+M2042+P2042+R2042)*12/1130+(N2042*30)/1130</f>
        <v>0</v>
      </c>
    </row>
    <row r="2043" customFormat="false" ht="15" hidden="true" customHeight="true" outlineLevel="0" collapsed="false">
      <c r="B2043" s="233" t="n">
        <f aca="false">B2042+D2043-C2043</f>
        <v>0.25</v>
      </c>
      <c r="C2043" s="127" t="n">
        <v>1703</v>
      </c>
      <c r="E2043" s="147" t="s">
        <v>668</v>
      </c>
      <c r="F2043" s="147" t="str">
        <f aca="false">IFERROR(VLOOKUP(H2043,$AD$1:$AE$301,2,0),"")</f>
        <v/>
      </c>
      <c r="G2043" s="147" t="str">
        <f aca="false">IFERROR(VLOOKUP(F2043,$AE$2:$AF$290,2, 0),"")</f>
        <v/>
      </c>
      <c r="H2043" s="212" t="s">
        <v>393</v>
      </c>
      <c r="I2043" s="246" t="n">
        <f aca="false">SUM(K2043:R2043)</f>
        <v>0</v>
      </c>
      <c r="J2043" s="182" t="n">
        <v>45967</v>
      </c>
      <c r="S2043" s="192" t="n">
        <f aca="false">(K2043+O2043+Q2043)*24 /1130+(L2043+M2043+P2043+R2043)*12/1130+(N2043*30)/1130</f>
        <v>0</v>
      </c>
    </row>
    <row r="2044" customFormat="false" ht="15" hidden="true" customHeight="true" outlineLevel="0" collapsed="false">
      <c r="B2044" s="233" t="n">
        <f aca="false">B2043+D2044-C2044</f>
        <v>506.25</v>
      </c>
      <c r="D2044" s="146" t="n">
        <f aca="false">253+253</f>
        <v>506</v>
      </c>
      <c r="E2044" s="147" t="n">
        <v>53001610</v>
      </c>
      <c r="F2044" s="147" t="n">
        <f aca="false">IFERROR(VLOOKUP(H2044,$AD$1:$AE$301,2,0),"")</f>
        <v>1002856</v>
      </c>
      <c r="G2044" s="147" t="str">
        <f aca="false">IFERROR(VLOOKUP(F2044,$AE$2:$AF$290,2, 0),"")</f>
        <v>تبوك</v>
      </c>
      <c r="H2044" s="212" t="s">
        <v>283</v>
      </c>
      <c r="I2044" s="246" t="n">
        <f aca="false">SUM(K2044:R2044)</f>
        <v>2</v>
      </c>
      <c r="J2044" s="182" t="n">
        <v>45967</v>
      </c>
      <c r="M2044" s="150" t="n">
        <f aca="false">1+1</f>
        <v>2</v>
      </c>
      <c r="S2044" s="192" t="n">
        <f aca="false">(K2044+O2044+Q2044)*24 /1130+(L2044+M2044+P2044+R2044)*12/1130+(N2044*30)/1130</f>
        <v>0.0212389380530973</v>
      </c>
    </row>
    <row r="2045" customFormat="false" ht="15" hidden="true" customHeight="true" outlineLevel="0" collapsed="false">
      <c r="B2045" s="233" t="n">
        <f aca="false">B2044+D2045-C2045</f>
        <v>644.25</v>
      </c>
      <c r="D2045" s="146" t="n">
        <v>138</v>
      </c>
      <c r="E2045" s="147" t="n">
        <v>53001611</v>
      </c>
      <c r="F2045" s="147" t="n">
        <f aca="false">IFERROR(VLOOKUP(H2045,$AD$1:$AE$301,2,0),"")</f>
        <v>1002856</v>
      </c>
      <c r="G2045" s="147" t="str">
        <f aca="false">IFERROR(VLOOKUP(F2045,$AE$2:$AF$290,2, 0),"")</f>
        <v>تبوك</v>
      </c>
      <c r="H2045" s="212" t="s">
        <v>283</v>
      </c>
      <c r="I2045" s="246" t="n">
        <f aca="false">SUM(K2045:R2045)</f>
        <v>1</v>
      </c>
      <c r="J2045" s="182" t="n">
        <v>45967</v>
      </c>
      <c r="Q2045" s="154" t="n">
        <v>1</v>
      </c>
      <c r="S2045" s="192" t="n">
        <f aca="false">(K2045+O2045+Q2045)*24 /1130+(L2045+M2045+P2045+R2045)*12/1130+(N2045*30)/1130</f>
        <v>0.0212389380530973</v>
      </c>
    </row>
    <row r="2046" customFormat="false" ht="15" hidden="true" customHeight="true" outlineLevel="0" collapsed="false">
      <c r="A2046" s="128" t="n">
        <f aca="false">D2046-20-170-55-100-320-34*5-6*2</f>
        <v>-1.75</v>
      </c>
      <c r="B2046" s="233" t="n">
        <f aca="false">B2045+D2046-C2046</f>
        <v>1489.5</v>
      </c>
      <c r="D2046" s="146" t="n">
        <f aca="false">281.75*3</f>
        <v>845.25</v>
      </c>
      <c r="E2046" s="147" t="n">
        <v>53001612</v>
      </c>
      <c r="F2046" s="147" t="n">
        <f aca="false">IFERROR(VLOOKUP(H2046,$AD$1:$AE$301,2,0),"")</f>
        <v>1002861</v>
      </c>
      <c r="G2046" s="147" t="str">
        <f aca="false">IFERROR(VLOOKUP(F2046,$AE$2:$AF$290,2, 0),"")</f>
        <v>تبوك</v>
      </c>
      <c r="H2046" s="212" t="s">
        <v>275</v>
      </c>
      <c r="I2046" s="246" t="n">
        <f aca="false">SUM(K2046:R2046)</f>
        <v>3</v>
      </c>
      <c r="J2046" s="182" t="n">
        <v>45967</v>
      </c>
      <c r="K2046" s="148" t="n">
        <f aca="false">2+1</f>
        <v>3</v>
      </c>
      <c r="S2046" s="192" t="n">
        <f aca="false">(K2046+O2046+Q2046)*24 /1130+(L2046+M2046+P2046+R2046)*12/1130+(N2046*30)/1130</f>
        <v>0.063716814159292</v>
      </c>
    </row>
    <row r="2047" customFormat="false" ht="15" hidden="true" customHeight="true" outlineLevel="0" collapsed="false">
      <c r="A2047" s="128" t="n">
        <f aca="false">D2047-500-98</f>
        <v>0</v>
      </c>
      <c r="B2047" s="233" t="n">
        <f aca="false">B2046+D2047-C2047</f>
        <v>2087.5</v>
      </c>
      <c r="D2047" s="146" t="n">
        <f aca="false">345+253</f>
        <v>598</v>
      </c>
      <c r="E2047" s="147" t="n">
        <v>53001613</v>
      </c>
      <c r="F2047" s="147" t="n">
        <f aca="false">IFERROR(VLOOKUP(H2047,$AD$1:$AE$301,2,0),"")</f>
        <v>1002931</v>
      </c>
      <c r="G2047" s="147" t="str">
        <f aca="false">IFERROR(VLOOKUP(F2047,$AE$2:$AF$290,2, 0),"")</f>
        <v>تبوك</v>
      </c>
      <c r="H2047" s="212" t="s">
        <v>248</v>
      </c>
      <c r="I2047" s="246" t="n">
        <f aca="false">SUM(K2047:R2047)</f>
        <v>2</v>
      </c>
      <c r="J2047" s="182" t="n">
        <v>45967</v>
      </c>
      <c r="M2047" s="150" t="n">
        <f aca="false">1+1</f>
        <v>2</v>
      </c>
      <c r="S2047" s="192" t="n">
        <f aca="false">(K2047+O2047+Q2047)*24 /1130+(L2047+M2047+P2047+R2047)*12/1130+(N2047*30)/1130</f>
        <v>0.0212389380530973</v>
      </c>
    </row>
    <row r="2048" customFormat="false" ht="15" hidden="true" customHeight="true" outlineLevel="0" collapsed="false">
      <c r="A2048" s="128" t="n">
        <f aca="false">D2048-845</f>
        <v>0.25</v>
      </c>
      <c r="B2048" s="233" t="n">
        <f aca="false">B2047+D2048-C2048</f>
        <v>2932.75</v>
      </c>
      <c r="D2048" s="146" t="n">
        <f aca="false">281.75*3</f>
        <v>845.25</v>
      </c>
      <c r="E2048" s="147" t="n">
        <v>53001614</v>
      </c>
      <c r="F2048" s="147" t="n">
        <f aca="false">IFERROR(VLOOKUP(H2048,$AD$1:$AE$301,2,0),"")</f>
        <v>1002948</v>
      </c>
      <c r="G2048" s="147" t="str">
        <f aca="false">IFERROR(VLOOKUP(F2048,$AE$2:$AF$290,2, 0),"")</f>
        <v>تبوك</v>
      </c>
      <c r="H2048" s="212" t="s">
        <v>273</v>
      </c>
      <c r="I2048" s="246" t="n">
        <f aca="false">SUM(K2048:R2048)</f>
        <v>3</v>
      </c>
      <c r="J2048" s="182" t="n">
        <v>45967</v>
      </c>
      <c r="K2048" s="148" t="n">
        <f aca="false">2+1</f>
        <v>3</v>
      </c>
      <c r="S2048" s="192" t="n">
        <f aca="false">(K2048+O2048+Q2048)*24 /1130+(L2048+M2048+P2048+R2048)*12/1130+(N2048*30)/1130</f>
        <v>0.063716814159292</v>
      </c>
    </row>
    <row r="2049" customFormat="false" ht="15" hidden="true" customHeight="true" outlineLevel="0" collapsed="false">
      <c r="A2049" s="128" t="n">
        <f aca="false">D2049-70*5-155</f>
        <v>1</v>
      </c>
      <c r="B2049" s="233" t="n">
        <f aca="false">B2048+D2049-C2049</f>
        <v>3438.75</v>
      </c>
      <c r="D2049" s="146" t="n">
        <f aca="false">253*2</f>
        <v>506</v>
      </c>
      <c r="E2049" s="147" t="n">
        <v>53001615</v>
      </c>
      <c r="F2049" s="147" t="n">
        <f aca="false">IFERROR(VLOOKUP(H2049,$AD$1:$AE$301,2,0),"")</f>
        <v>629</v>
      </c>
      <c r="G2049" s="147" t="str">
        <f aca="false">IFERROR(VLOOKUP(F2049,$AE$2:$AF$290,2, 0),"")</f>
        <v>تبوك</v>
      </c>
      <c r="H2049" s="212" t="s">
        <v>246</v>
      </c>
      <c r="I2049" s="246" t="n">
        <f aca="false">SUM(K2049:R2049)</f>
        <v>2</v>
      </c>
      <c r="J2049" s="182" t="n">
        <v>45967</v>
      </c>
      <c r="M2049" s="150" t="n">
        <v>2</v>
      </c>
      <c r="S2049" s="192" t="n">
        <f aca="false">(K2049+O2049+Q2049)*24 /1130+(L2049+M2049+P2049+R2049)*12/1130+(N2049*30)/1130</f>
        <v>0.0212389380530973</v>
      </c>
    </row>
    <row r="2050" customFormat="false" ht="15" hidden="true" customHeight="true" outlineLevel="0" collapsed="false">
      <c r="A2050" s="128" t="n">
        <f aca="false">D2050+D2051-160-95-460-3.75</f>
        <v>0</v>
      </c>
      <c r="B2050" s="233" t="n">
        <f aca="false">B2049+D2050-C2050</f>
        <v>4002.25</v>
      </c>
      <c r="D2050" s="146" t="n">
        <f aca="false">299+264.5</f>
        <v>563.5</v>
      </c>
      <c r="E2050" s="147" t="n">
        <v>53001616</v>
      </c>
      <c r="F2050" s="147" t="n">
        <f aca="false">IFERROR(VLOOKUP(H2050,$AD$1:$AE$301,2,0),"")</f>
        <v>1045</v>
      </c>
      <c r="G2050" s="147" t="str">
        <f aca="false">IFERROR(VLOOKUP(F2050,$AE$2:$AF$290,2, 0),"")</f>
        <v>تبوك</v>
      </c>
      <c r="H2050" s="212" t="s">
        <v>142</v>
      </c>
      <c r="I2050" s="246" t="n">
        <f aca="false">SUM(K2050:R2050)</f>
        <v>2</v>
      </c>
      <c r="J2050" s="182" t="n">
        <v>45967</v>
      </c>
      <c r="R2050" s="155" t="n">
        <f aca="false">1+1</f>
        <v>2</v>
      </c>
      <c r="S2050" s="192" t="n">
        <f aca="false">(K2050+O2050+Q2050)*24 /1130+(L2050+M2050+P2050+R2050)*12/1130+(N2050*30)/1130</f>
        <v>0.0212389380530973</v>
      </c>
    </row>
    <row r="2051" customFormat="false" ht="15" hidden="true" customHeight="true" outlineLevel="0" collapsed="false">
      <c r="B2051" s="233" t="n">
        <f aca="false">B2050+D2051-C2051</f>
        <v>4157.5</v>
      </c>
      <c r="D2051" s="146" t="n">
        <v>155.25</v>
      </c>
      <c r="E2051" s="147" t="n">
        <v>53001617</v>
      </c>
      <c r="F2051" s="147" t="n">
        <f aca="false">IFERROR(VLOOKUP(H2051,$AD$1:$AE$301,2,0),"")</f>
        <v>1045</v>
      </c>
      <c r="G2051" s="147" t="str">
        <f aca="false">IFERROR(VLOOKUP(F2051,$AE$2:$AF$290,2, 0),"")</f>
        <v>تبوك</v>
      </c>
      <c r="H2051" s="212" t="s">
        <v>142</v>
      </c>
      <c r="I2051" s="246" t="n">
        <f aca="false">SUM(K2051:R2051)</f>
        <v>1</v>
      </c>
      <c r="J2051" s="182" t="n">
        <v>45967</v>
      </c>
      <c r="R2051" s="155" t="n">
        <f aca="false">1</f>
        <v>1</v>
      </c>
      <c r="S2051" s="192" t="n">
        <f aca="false">(K2051+O2051+Q2051)*24 /1130+(L2051+M2051+P2051+R2051)*12/1130+(N2051*30)/1130</f>
        <v>0.0106194690265487</v>
      </c>
    </row>
    <row r="2052" customFormat="false" ht="15" hidden="true" customHeight="true" outlineLevel="0" collapsed="false">
      <c r="A2052" s="128" t="n">
        <f aca="false">D2052-506</f>
        <v>0</v>
      </c>
      <c r="B2052" s="233" t="n">
        <f aca="false">B2051+D2052-C2052</f>
        <v>4663.5</v>
      </c>
      <c r="D2052" s="146" t="n">
        <f aca="false">253*2</f>
        <v>506</v>
      </c>
      <c r="E2052" s="147" t="n">
        <v>53001618</v>
      </c>
      <c r="F2052" s="147" t="n">
        <f aca="false">IFERROR(VLOOKUP(H2052,$AD$1:$AE$301,2,0),"")</f>
        <v>1002919</v>
      </c>
      <c r="G2052" s="147" t="str">
        <f aca="false">IFERROR(VLOOKUP(F2052,$AE$2:$AF$290,2, 0),"")</f>
        <v>تبوك</v>
      </c>
      <c r="H2052" s="212" t="s">
        <v>139</v>
      </c>
      <c r="I2052" s="246" t="n">
        <f aca="false">SUM(K2052:R2052)</f>
        <v>2</v>
      </c>
      <c r="J2052" s="182" t="n">
        <v>45967</v>
      </c>
      <c r="M2052" s="150" t="n">
        <v>2</v>
      </c>
      <c r="S2052" s="192" t="n">
        <f aca="false">(K2052+O2052+Q2052)*24 /1130+(L2052+M2052+P2052+R2052)*12/1130+(N2052*30)/1130</f>
        <v>0.0212389380530973</v>
      </c>
    </row>
    <row r="2053" customFormat="false" ht="15" hidden="true" customHeight="true" outlineLevel="0" collapsed="false">
      <c r="B2053" s="233" t="n">
        <f aca="false">B2052+D2053-C2053</f>
        <v>2685.5</v>
      </c>
      <c r="C2053" s="127" t="n">
        <f aca="false">20+170+98+1690</f>
        <v>1978</v>
      </c>
      <c r="E2053" s="147" t="s">
        <v>666</v>
      </c>
      <c r="F2053" s="147" t="str">
        <f aca="false">IFERROR(VLOOKUP(H2053,$AD$1:$AE$301,2,0),"")</f>
        <v/>
      </c>
      <c r="G2053" s="147" t="str">
        <f aca="false">IFERROR(VLOOKUP(F2053,$AE$2:$AF$290,2, 0),"")</f>
        <v/>
      </c>
      <c r="H2053" s="212" t="s">
        <v>393</v>
      </c>
      <c r="I2053" s="246" t="n">
        <f aca="false">SUM(K2053:R2053)</f>
        <v>0</v>
      </c>
      <c r="J2053" s="182" t="n">
        <v>45970</v>
      </c>
      <c r="S2053" s="192" t="n">
        <f aca="false">(K2053+O2053+Q2053)*24 /1130+(L2053+M2053+P2053+R2053)*12/1130+(N2053*30)/1130</f>
        <v>0</v>
      </c>
    </row>
    <row r="2054" customFormat="false" ht="15" hidden="true" customHeight="true" outlineLevel="0" collapsed="false">
      <c r="B2054" s="233" t="n">
        <f aca="false">B2053+D2054-C2054</f>
        <v>845</v>
      </c>
      <c r="C2054" s="127" t="n">
        <v>1840</v>
      </c>
      <c r="D2054" s="146" t="n">
        <v>-0.5</v>
      </c>
      <c r="E2054" s="147" t="s">
        <v>668</v>
      </c>
      <c r="F2054" s="147" t="str">
        <f aca="false">IFERROR(VLOOKUP(H2054,$AD$1:$AE$301,2,0),"")</f>
        <v/>
      </c>
      <c r="G2054" s="147" t="str">
        <f aca="false">IFERROR(VLOOKUP(F2054,$AE$2:$AF$290,2, 0),"")</f>
        <v/>
      </c>
      <c r="H2054" s="212" t="s">
        <v>393</v>
      </c>
      <c r="I2054" s="246" t="n">
        <f aca="false">SUM(K2054:R2054)</f>
        <v>0</v>
      </c>
      <c r="J2054" s="182" t="n">
        <v>45970</v>
      </c>
      <c r="S2054" s="192" t="n">
        <f aca="false">(K2054+O2054+Q2054)*24 /1130+(L2054+M2054+P2054+R2054)*12/1130+(N2054*30)/1130</f>
        <v>0</v>
      </c>
    </row>
    <row r="2055" customFormat="false" ht="15" hidden="true" customHeight="true" outlineLevel="0" collapsed="false">
      <c r="B2055" s="233" t="n">
        <f aca="false">B2054+D2055-C2055</f>
        <v>0</v>
      </c>
      <c r="C2055" s="127" t="n">
        <f aca="false">845</f>
        <v>845</v>
      </c>
      <c r="E2055" s="147" t="s">
        <v>669</v>
      </c>
      <c r="F2055" s="147" t="str">
        <f aca="false">IFERROR(VLOOKUP(H2055,$AD$1:$AE$301,2,0),"")</f>
        <v/>
      </c>
      <c r="G2055" s="147" t="str">
        <f aca="false">IFERROR(VLOOKUP(F2055,$AE$2:$AF$290,2, 0),"")</f>
        <v/>
      </c>
      <c r="H2055" s="212" t="s">
        <v>393</v>
      </c>
      <c r="I2055" s="246" t="n">
        <f aca="false">SUM(K2055:R2055)</f>
        <v>0</v>
      </c>
      <c r="J2055" s="182" t="n">
        <v>45970</v>
      </c>
      <c r="S2055" s="192" t="n">
        <f aca="false">(K2055+O2055+Q2055)*24 /1130+(L2055+M2055+P2055+R2055)*12/1130+(N2055*30)/1130</f>
        <v>0</v>
      </c>
    </row>
    <row r="2056" customFormat="false" ht="15" hidden="true" customHeight="true" outlineLevel="0" collapsed="false">
      <c r="B2056" s="233" t="n">
        <f aca="false">B2055+D2056-C2056</f>
        <v>5755.75</v>
      </c>
      <c r="D2056" s="146" t="n">
        <f aca="false">21*274+1.75</f>
        <v>5755.75</v>
      </c>
      <c r="E2056" s="147" t="n">
        <v>53001619</v>
      </c>
      <c r="F2056" s="147" t="n">
        <f aca="false">IFERROR(VLOOKUP(H2056,$AD$1:$AE$301,2,0),"")</f>
        <v>1006469</v>
      </c>
      <c r="G2056" s="147" t="str">
        <f aca="false">IFERROR(VLOOKUP(F2056,$AE$2:$AF$290,2, 0),"")</f>
        <v>تبوك</v>
      </c>
      <c r="H2056" s="212" t="s">
        <v>282</v>
      </c>
      <c r="I2056" s="246" t="n">
        <f aca="false">SUM(K2056:R2056)</f>
        <v>21</v>
      </c>
      <c r="J2056" s="182" t="n">
        <v>45970</v>
      </c>
      <c r="N2056" s="151" t="n">
        <f aca="false">21</f>
        <v>21</v>
      </c>
      <c r="S2056" s="192" t="n">
        <f aca="false">(K2056+O2056+Q2056)*24 /1130+(L2056+M2056+P2056+R2056)*12/1130+(N2056*30)/1130</f>
        <v>0.557522123893805</v>
      </c>
    </row>
    <row r="2057" customFormat="false" ht="15" hidden="true" customHeight="true" outlineLevel="0" collapsed="false">
      <c r="A2057" s="128" t="n">
        <f aca="false">D2057-133-22*5-302-300</f>
        <v>0.25</v>
      </c>
      <c r="B2057" s="233" t="n">
        <f aca="false">B2056+D2057-C2057</f>
        <v>6601</v>
      </c>
      <c r="D2057" s="146" t="n">
        <f aca="false">281.75*3</f>
        <v>845.25</v>
      </c>
      <c r="E2057" s="147" t="n">
        <v>53001620</v>
      </c>
      <c r="F2057" s="147" t="n">
        <f aca="false">IFERROR(VLOOKUP(H2057,$AD$1:$AE$301,2,0),"")</f>
        <v>1002883</v>
      </c>
      <c r="G2057" s="147" t="str">
        <f aca="false">IFERROR(VLOOKUP(F2057,$AE$2:$AF$290,2, 0),"")</f>
        <v>تبوك</v>
      </c>
      <c r="H2057" s="212" t="s">
        <v>198</v>
      </c>
      <c r="I2057" s="246" t="n">
        <f aca="false">SUM(K2057:R2057)</f>
        <v>3</v>
      </c>
      <c r="J2057" s="182" t="n">
        <v>45970</v>
      </c>
      <c r="K2057" s="148" t="n">
        <f aca="false">2+1</f>
        <v>3</v>
      </c>
      <c r="S2057" s="192" t="n">
        <f aca="false">(K2057+O2057+Q2057)*24 /1130+(L2057+M2057+P2057+R2057)*12/1130+(N2057*30)/1130</f>
        <v>0.063716814159292</v>
      </c>
    </row>
    <row r="2058" customFormat="false" ht="15" hidden="true" customHeight="true" outlineLevel="0" collapsed="false">
      <c r="A2058" s="128" t="n">
        <f aca="false">D2058-500-345</f>
        <v>0.25</v>
      </c>
      <c r="B2058" s="233" t="n">
        <f aca="false">B2057+D2058-C2058</f>
        <v>7446.25</v>
      </c>
      <c r="D2058" s="146" t="n">
        <f aca="false">281.75*3</f>
        <v>845.25</v>
      </c>
      <c r="E2058" s="147" t="n">
        <v>53001621</v>
      </c>
      <c r="F2058" s="147" t="n">
        <f aca="false">IFERROR(VLOOKUP(H2058,$AD$1:$AE$301,2,0),"")</f>
        <v>1002910</v>
      </c>
      <c r="G2058" s="147" t="str">
        <f aca="false">IFERROR(VLOOKUP(F2058,$AE$2:$AF$290,2, 0),"")</f>
        <v>تبوك</v>
      </c>
      <c r="H2058" s="212" t="s">
        <v>197</v>
      </c>
      <c r="I2058" s="246" t="n">
        <f aca="false">SUM(K2058:R2058)</f>
        <v>3</v>
      </c>
      <c r="J2058" s="182" t="n">
        <v>45970</v>
      </c>
      <c r="K2058" s="148" t="n">
        <f aca="false">2+1</f>
        <v>3</v>
      </c>
      <c r="S2058" s="192" t="n">
        <f aca="false">(K2058+O2058+Q2058)*24 /1130+(L2058+M2058+P2058+R2058)*12/1130+(N2058*30)/1130</f>
        <v>0.063716814159292</v>
      </c>
    </row>
    <row r="2059" customFormat="false" ht="15" hidden="true" customHeight="true" outlineLevel="0" collapsed="false">
      <c r="A2059" s="128" t="n">
        <f aca="false">D2059-281.75-560</f>
        <v>3.5</v>
      </c>
      <c r="B2059" s="233" t="n">
        <f aca="false">B2058+D2059-C2059</f>
        <v>8291.5</v>
      </c>
      <c r="D2059" s="146" t="n">
        <f aca="false">281.75*3</f>
        <v>845.25</v>
      </c>
      <c r="E2059" s="147" t="n">
        <v>53001622</v>
      </c>
      <c r="F2059" s="147" t="n">
        <f aca="false">IFERROR(VLOOKUP(H2059,$AD$1:$AE$301,2,0),"")</f>
        <v>555</v>
      </c>
      <c r="G2059" s="147" t="str">
        <f aca="false">IFERROR(VLOOKUP(F2059,$AE$2:$AF$290,2, 0),"")</f>
        <v>تبوك</v>
      </c>
      <c r="H2059" s="212" t="s">
        <v>260</v>
      </c>
      <c r="I2059" s="246" t="n">
        <f aca="false">SUM(K2059:R2059)</f>
        <v>3</v>
      </c>
      <c r="J2059" s="182" t="n">
        <v>45966</v>
      </c>
      <c r="K2059" s="148" t="n">
        <f aca="false">3</f>
        <v>3</v>
      </c>
      <c r="S2059" s="192" t="n">
        <f aca="false">(K2059+O2059+Q2059)*24 /1130+(L2059+M2059+P2059+R2059)*12/1130+(N2059*30)/1130</f>
        <v>0.063716814159292</v>
      </c>
    </row>
    <row r="2060" customFormat="false" ht="15" hidden="true" customHeight="true" outlineLevel="0" collapsed="false">
      <c r="B2060" s="233" t="n">
        <f aca="false">B2059+D2060-C2060</f>
        <v>2537.5</v>
      </c>
      <c r="C2060" s="127" t="n">
        <f aca="false">5754</f>
        <v>5754</v>
      </c>
      <c r="E2060" s="147" t="s">
        <v>667</v>
      </c>
      <c r="G2060" s="147" t="str">
        <f aca="false">IFERROR(VLOOKUP(F2060,$AE$2:$AF$290,2, 0),"")</f>
        <v/>
      </c>
      <c r="H2060" s="212" t="s">
        <v>393</v>
      </c>
      <c r="I2060" s="246" t="n">
        <f aca="false">SUM(K2060:R2060)</f>
        <v>0</v>
      </c>
      <c r="J2060" s="182" t="n">
        <v>45967</v>
      </c>
      <c r="S2060" s="192" t="n">
        <f aca="false">(K2060+O2060+Q2060)*24 /1130+(L2060+M2060+P2060+R2060)*12/1130+(N2060*30)/1130</f>
        <v>0</v>
      </c>
    </row>
    <row r="2061" customFormat="false" ht="15" hidden="true" customHeight="true" outlineLevel="0" collapsed="false">
      <c r="B2061" s="233" t="n">
        <f aca="false">B2060+D2061-C2061</f>
        <v>1804.5</v>
      </c>
      <c r="C2061" s="127" t="n">
        <f aca="false">100+133+500</f>
        <v>733</v>
      </c>
      <c r="E2061" s="147" t="s">
        <v>666</v>
      </c>
      <c r="G2061" s="147" t="str">
        <f aca="false">IFERROR(VLOOKUP(F2061,$AE$2:$AF$290,2, 0),"")</f>
        <v/>
      </c>
      <c r="H2061" s="212" t="s">
        <v>393</v>
      </c>
      <c r="I2061" s="246" t="n">
        <f aca="false">SUM(K2061:R2061)</f>
        <v>0</v>
      </c>
      <c r="J2061" s="182" t="n">
        <v>45968</v>
      </c>
      <c r="S2061" s="192" t="n">
        <f aca="false">(K2061+O2061+Q2061)*24 /1130+(L2061+M2061+P2061+R2061)*12/1130+(N2061*30)/1130</f>
        <v>0</v>
      </c>
    </row>
    <row r="2062" customFormat="false" ht="15" hidden="true" customHeight="true" outlineLevel="0" collapsed="false">
      <c r="B2062" s="233" t="n">
        <f aca="false">B2061+D2062-C2062</f>
        <v>0</v>
      </c>
      <c r="C2062" s="127" t="n">
        <v>1804</v>
      </c>
      <c r="D2062" s="146" t="n">
        <v>-0.5</v>
      </c>
      <c r="E2062" s="147" t="s">
        <v>668</v>
      </c>
      <c r="F2062" s="147" t="str">
        <f aca="false">IFERROR(VLOOKUP(H2062,$AD$1:$AE$301,2,0),"")</f>
        <v/>
      </c>
      <c r="G2062" s="147" t="str">
        <f aca="false">IFERROR(VLOOKUP(F2062,$AE$2:$AF$290,2, 0),"")</f>
        <v/>
      </c>
      <c r="H2062" s="212" t="s">
        <v>393</v>
      </c>
      <c r="I2062" s="246" t="n">
        <f aca="false">SUM(K2062:R2062)</f>
        <v>0</v>
      </c>
      <c r="J2062" s="182" t="n">
        <v>45971</v>
      </c>
      <c r="S2062" s="192" t="n">
        <f aca="false">(K2062+O2062+Q2062)*24 /1130+(L2062+M2062+P2062+R2062)*12/1130+(N2062*30)/1130</f>
        <v>0</v>
      </c>
    </row>
    <row r="2063" customFormat="false" ht="15" hidden="true" customHeight="true" outlineLevel="0" collapsed="false">
      <c r="A2063" s="128" t="n">
        <f aca="false">D2063-483</f>
        <v>0</v>
      </c>
      <c r="B2063" s="233" t="n">
        <f aca="false">B2062+D2063-C2063</f>
        <v>483</v>
      </c>
      <c r="D2063" s="146" t="n">
        <f aca="false">345+138</f>
        <v>483</v>
      </c>
      <c r="E2063" s="147" t="n">
        <v>53001623</v>
      </c>
      <c r="F2063" s="147" t="n">
        <f aca="false">IFERROR(VLOOKUP(H2063,$AD$1:$AE$301,2,0),"")</f>
        <v>1006525</v>
      </c>
      <c r="G2063" s="147" t="str">
        <f aca="false">IFERROR(VLOOKUP(F2063,$AE$2:$AF$290,2, 0),"")</f>
        <v>تبوك</v>
      </c>
      <c r="H2063" s="212" t="s">
        <v>274</v>
      </c>
      <c r="I2063" s="246" t="n">
        <f aca="false">SUM(K2063:R2063)</f>
        <v>2</v>
      </c>
      <c r="J2063" s="182" t="n">
        <v>45971</v>
      </c>
      <c r="M2063" s="150" t="n">
        <v>1</v>
      </c>
      <c r="Q2063" s="154" t="n">
        <v>1</v>
      </c>
      <c r="S2063" s="192" t="n">
        <f aca="false">(K2063+O2063+Q2063)*24 /1130+(L2063+M2063+P2063+R2063)*12/1130+(N2063*30)/1130</f>
        <v>0.031858407079646</v>
      </c>
    </row>
    <row r="2064" customFormat="false" ht="15" hidden="true" customHeight="true" outlineLevel="0" collapsed="false">
      <c r="B2064" s="233" t="n">
        <f aca="false">B2063+D2064-C2064</f>
        <v>1230.5</v>
      </c>
      <c r="D2064" s="146" t="n">
        <f aca="false">138*4+195.5</f>
        <v>747.5</v>
      </c>
      <c r="E2064" s="147" t="n">
        <v>53001624</v>
      </c>
      <c r="F2064" s="147" t="n">
        <f aca="false">IFERROR(VLOOKUP(H2064,$AD$1:$AE$301,2,0),"")</f>
        <v>1048</v>
      </c>
      <c r="G2064" s="147" t="str">
        <f aca="false">IFERROR(VLOOKUP(F2064,$AE$2:$AF$290,2, 0),"")</f>
        <v>تبوك</v>
      </c>
      <c r="H2064" s="212" t="s">
        <v>279</v>
      </c>
      <c r="I2064" s="246" t="n">
        <f aca="false">SUM(K2064:R2064)</f>
        <v>5</v>
      </c>
      <c r="J2064" s="182" t="n">
        <v>45971</v>
      </c>
      <c r="Q2064" s="154" t="n">
        <v>4</v>
      </c>
      <c r="R2064" s="155" t="n">
        <v>1</v>
      </c>
      <c r="S2064" s="192" t="n">
        <f aca="false">(K2064+O2064+Q2064)*24 /1130+(L2064+M2064+P2064+R2064)*12/1130+(N2064*30)/1130</f>
        <v>0.0955752212389381</v>
      </c>
    </row>
    <row r="2065" customFormat="false" ht="15" hidden="true" customHeight="true" outlineLevel="0" collapsed="false">
      <c r="B2065" s="233" t="n">
        <f aca="false">B2064+D2065-C2065</f>
        <v>2075.75</v>
      </c>
      <c r="D2065" s="146" t="n">
        <f aca="false">281.75*3</f>
        <v>845.25</v>
      </c>
      <c r="E2065" s="147" t="n">
        <v>53001625</v>
      </c>
      <c r="F2065" s="147" t="n">
        <f aca="false">IFERROR(VLOOKUP(H2065,$AD$1:$AE$301,2,0),"")</f>
        <v>1008024</v>
      </c>
      <c r="G2065" s="147" t="str">
        <f aca="false">IFERROR(VLOOKUP(F2065,$AE$2:$AF$290,2, 0),"")</f>
        <v>ضباء</v>
      </c>
      <c r="H2065" s="212" t="s">
        <v>96</v>
      </c>
      <c r="I2065" s="246" t="n">
        <f aca="false">SUM(K2065:R2065)</f>
        <v>3</v>
      </c>
      <c r="J2065" s="182" t="n">
        <v>45971</v>
      </c>
      <c r="K2065" s="148" t="n">
        <f aca="false">2+1</f>
        <v>3</v>
      </c>
      <c r="S2065" s="192" t="n">
        <f aca="false">(K2065+O2065+Q2065)*24 /1130+(L2065+M2065+P2065+R2065)*12/1130+(N2065*30)/1130</f>
        <v>0.063716814159292</v>
      </c>
    </row>
    <row r="2066" customFormat="false" ht="15" hidden="true" customHeight="true" outlineLevel="0" collapsed="false">
      <c r="A2066" s="128" t="n">
        <f aca="false">D2066-655-38*5</f>
        <v>0.25</v>
      </c>
      <c r="B2066" s="233" t="n">
        <f aca="false">B2065+D2066-C2066</f>
        <v>2921</v>
      </c>
      <c r="D2066" s="146" t="n">
        <f aca="false">281.75*3</f>
        <v>845.25</v>
      </c>
      <c r="E2066" s="147" t="n">
        <v>53001626</v>
      </c>
      <c r="F2066" s="147" t="n">
        <f aca="false">IFERROR(VLOOKUP(H2066,$AD$1:$AE$301,2,0),"")</f>
        <v>1008045</v>
      </c>
      <c r="G2066" s="147" t="str">
        <f aca="false">IFERROR(VLOOKUP(F2066,$AE$2:$AF$290,2, 0),"")</f>
        <v>الوجه</v>
      </c>
      <c r="H2066" s="212" t="s">
        <v>107</v>
      </c>
      <c r="I2066" s="246" t="n">
        <f aca="false">SUM(K2066:R2066)</f>
        <v>3</v>
      </c>
      <c r="J2066" s="182" t="n">
        <v>45971</v>
      </c>
      <c r="K2066" s="148" t="n">
        <v>3</v>
      </c>
      <c r="S2066" s="192" t="n">
        <f aca="false">(K2066+O2066+Q2066)*24 /1130+(L2066+M2066+P2066+R2066)*12/1130+(N2066*30)/1130</f>
        <v>0.063716814159292</v>
      </c>
    </row>
    <row r="2067" customFormat="false" ht="15" hidden="true" customHeight="true" outlineLevel="0" collapsed="false">
      <c r="A2067" s="128" t="n">
        <f aca="false">D2067+448.5-1391.5</f>
        <v>0</v>
      </c>
      <c r="B2067" s="233" t="n">
        <f aca="false">B2066+D2067-C2067</f>
        <v>3864</v>
      </c>
      <c r="D2067" s="146" t="n">
        <f aca="false">230*2+241.5*2</f>
        <v>943</v>
      </c>
      <c r="E2067" s="147" t="n">
        <v>53001627</v>
      </c>
      <c r="F2067" s="147" t="n">
        <f aca="false">IFERROR(VLOOKUP(H2067,$AD$1:$AE$301,2,0),"")</f>
        <v>1008046</v>
      </c>
      <c r="G2067" s="147" t="str">
        <f aca="false">IFERROR(VLOOKUP(F2067,$AE$2:$AF$290,2, 0),"")</f>
        <v>الوجه</v>
      </c>
      <c r="H2067" s="212" t="s">
        <v>108</v>
      </c>
      <c r="I2067" s="246" t="n">
        <f aca="false">SUM(K2067:R2067)</f>
        <v>4</v>
      </c>
      <c r="J2067" s="182" t="n">
        <v>45971</v>
      </c>
      <c r="M2067" s="150" t="n">
        <v>2</v>
      </c>
      <c r="O2067" s="152" t="n">
        <v>2</v>
      </c>
      <c r="S2067" s="192" t="n">
        <f aca="false">(K2067+O2067+Q2067)*24 /1130+(L2067+M2067+P2067+R2067)*12/1130+(N2067*30)/1130</f>
        <v>0.063716814159292</v>
      </c>
    </row>
    <row r="2068" customFormat="false" ht="15" hidden="true" customHeight="true" outlineLevel="0" collapsed="false">
      <c r="B2068" s="233" t="n">
        <f aca="false">B2067+D2068-C2068</f>
        <v>4094</v>
      </c>
      <c r="D2068" s="146" t="n">
        <v>230</v>
      </c>
      <c r="E2068" s="147" t="n">
        <v>53001628</v>
      </c>
      <c r="F2068" s="147" t="n">
        <f aca="false">IFERROR(VLOOKUP(H2068,$AD$1:$AE$301,2,0),"")</f>
        <v>1008043</v>
      </c>
      <c r="G2068" s="147" t="str">
        <f aca="false">IFERROR(VLOOKUP(F2068,$AE$2:$AF$290,2, 0),"")</f>
        <v>الوجه</v>
      </c>
      <c r="H2068" s="212" t="s">
        <v>104</v>
      </c>
      <c r="I2068" s="246" t="n">
        <f aca="false">SUM(K2068:R2068)</f>
        <v>1</v>
      </c>
      <c r="J2068" s="182" t="n">
        <v>45971</v>
      </c>
      <c r="M2068" s="150" t="n">
        <v>1</v>
      </c>
      <c r="S2068" s="192" t="n">
        <f aca="false">(K2068+O2068+Q2068)*24 /1130+(L2068+M2068+P2068+R2068)*12/1130+(N2068*30)/1130</f>
        <v>0.0106194690265487</v>
      </c>
    </row>
    <row r="2069" customFormat="false" ht="15" hidden="true" customHeight="true" outlineLevel="0" collapsed="false">
      <c r="A2069" s="128" t="n">
        <f aca="false">D2069+D2068-6*2-373</f>
        <v>0.25</v>
      </c>
      <c r="B2069" s="233" t="n">
        <f aca="false">B2068+D2069-C2069</f>
        <v>4249.25</v>
      </c>
      <c r="D2069" s="146" t="n">
        <v>155.25</v>
      </c>
      <c r="E2069" s="147" t="n">
        <v>53001629</v>
      </c>
      <c r="F2069" s="147" t="n">
        <f aca="false">IFERROR(VLOOKUP(H2069,$AD$1:$AE$301,2,0),"")</f>
        <v>1008043</v>
      </c>
      <c r="G2069" s="147" t="str">
        <f aca="false">IFERROR(VLOOKUP(F2069,$AE$2:$AF$290,2, 0),"")</f>
        <v>الوجه</v>
      </c>
      <c r="H2069" s="212" t="s">
        <v>104</v>
      </c>
      <c r="I2069" s="246" t="n">
        <f aca="false">SUM(K2069:R2069)</f>
        <v>1</v>
      </c>
      <c r="J2069" s="182" t="n">
        <v>45971</v>
      </c>
      <c r="R2069" s="155" t="n">
        <v>1</v>
      </c>
      <c r="S2069" s="192" t="n">
        <f aca="false">(K2069+O2069+Q2069)*24 /1130+(L2069+M2069+P2069+R2069)*12/1130+(N2069*30)/1130</f>
        <v>0.0106194690265487</v>
      </c>
    </row>
    <row r="2070" customFormat="false" ht="15" hidden="true" customHeight="true" outlineLevel="0" collapsed="false">
      <c r="A2070" s="128" t="n">
        <f aca="false">D2070-22*5-488</f>
        <v>0</v>
      </c>
      <c r="B2070" s="233" t="n">
        <f aca="false">B2069+D2070-C2070</f>
        <v>4847.25</v>
      </c>
      <c r="D2070" s="146" t="n">
        <f aca="false">345+253</f>
        <v>598</v>
      </c>
      <c r="E2070" s="147" t="n">
        <v>53001630</v>
      </c>
      <c r="F2070" s="147" t="n">
        <f aca="false">IFERROR(VLOOKUP(H2070,$AD$1:$AE$301,2,0),"")</f>
        <v>1008047</v>
      </c>
      <c r="G2070" s="147" t="str">
        <f aca="false">IFERROR(VLOOKUP(F2070,$AE$2:$AF$290,2, 0),"")</f>
        <v>الوجه</v>
      </c>
      <c r="H2070" s="212" t="s">
        <v>422</v>
      </c>
      <c r="I2070" s="246" t="n">
        <f aca="false">SUM(K2070:R2070)</f>
        <v>2</v>
      </c>
      <c r="J2070" s="182" t="n">
        <v>45971</v>
      </c>
      <c r="M2070" s="150" t="n">
        <f aca="false">1+1</f>
        <v>2</v>
      </c>
      <c r="S2070" s="192" t="n">
        <f aca="false">(K2070+O2070+Q2070)*24 /1130+(L2070+M2070+P2070+R2070)*12/1130+(N2070*30)/1130</f>
        <v>0.0212389380530973</v>
      </c>
    </row>
    <row r="2071" customFormat="false" ht="15" hidden="true" customHeight="true" outlineLevel="0" collapsed="false">
      <c r="B2071" s="233" t="n">
        <f aca="false">B2070+D2071-C2071</f>
        <v>3947.25</v>
      </c>
      <c r="C2071" s="127" t="n">
        <f aca="false">655+245</f>
        <v>900</v>
      </c>
      <c r="E2071" s="147" t="s">
        <v>666</v>
      </c>
      <c r="F2071" s="147" t="str">
        <f aca="false">IFERROR(VLOOKUP(H2071,$AD$1:$AE$301,2,0),"")</f>
        <v/>
      </c>
      <c r="G2071" s="147" t="str">
        <f aca="false">IFERROR(VLOOKUP(F2071,$AE$2:$AF$290,2, 0),"")</f>
        <v/>
      </c>
      <c r="H2071" s="212" t="s">
        <v>393</v>
      </c>
      <c r="I2071" s="246" t="n">
        <f aca="false">SUM(K2071:R2071)</f>
        <v>0</v>
      </c>
      <c r="J2071" s="182" t="n">
        <v>45971</v>
      </c>
      <c r="S2071" s="192" t="n">
        <f aca="false">(K2071+O2071+Q2071)*24 /1130+(L2071+M2071+P2071+R2071)*12/1130+(N2071*30)/1130</f>
        <v>0</v>
      </c>
    </row>
    <row r="2072" customFormat="false" ht="15" hidden="true" customHeight="true" outlineLevel="0" collapsed="false">
      <c r="B2072" s="233" t="n">
        <f aca="false">B2071+D2072-C2072</f>
        <v>0</v>
      </c>
      <c r="C2072" s="127" t="n">
        <v>3947</v>
      </c>
      <c r="D2072" s="146" t="n">
        <v>-0.25</v>
      </c>
      <c r="E2072" s="147" t="s">
        <v>668</v>
      </c>
      <c r="F2072" s="147" t="str">
        <f aca="false">IFERROR(VLOOKUP(H2072,$AD$1:$AE$301,2,0),"")</f>
        <v/>
      </c>
      <c r="G2072" s="147" t="str">
        <f aca="false">IFERROR(VLOOKUP(F2072,$AE$2:$AF$290,2, 0),"")</f>
        <v/>
      </c>
      <c r="H2072" s="212" t="s">
        <v>393</v>
      </c>
      <c r="I2072" s="246" t="n">
        <f aca="false">SUM(K2072:R2072)</f>
        <v>0</v>
      </c>
      <c r="J2072" s="182" t="n">
        <v>45972</v>
      </c>
      <c r="S2072" s="192" t="n">
        <f aca="false">(K2072+O2072+Q2072)*24 /1130+(L2072+M2072+P2072+R2072)*12/1130+(N2072*30)/1130</f>
        <v>0</v>
      </c>
    </row>
    <row r="2073" customFormat="false" ht="15" hidden="true" customHeight="true" outlineLevel="0" collapsed="false">
      <c r="A2073" s="128" t="n">
        <f aca="false">D2073-169*5-13*2-60</f>
        <v>0.5</v>
      </c>
      <c r="B2073" s="233" t="n">
        <f aca="false">B2072+D2073-C2073</f>
        <v>931.5</v>
      </c>
      <c r="D2073" s="146" t="n">
        <f aca="false">155.25*6</f>
        <v>931.5</v>
      </c>
      <c r="E2073" s="147" t="n">
        <v>53001631</v>
      </c>
      <c r="F2073" s="147" t="n">
        <f aca="false">IFERROR(VLOOKUP(H2073,$AD$1:$AE$301,2,0),"")</f>
        <v>1002931</v>
      </c>
      <c r="G2073" s="147" t="str">
        <f aca="false">IFERROR(VLOOKUP(F2073,$AE$2:$AF$290,2, 0),"")</f>
        <v>تبوك</v>
      </c>
      <c r="H2073" s="212" t="s">
        <v>248</v>
      </c>
      <c r="I2073" s="246" t="n">
        <f aca="false">SUM(K2073:R2073)</f>
        <v>6</v>
      </c>
      <c r="J2073" s="182" t="n">
        <v>45972</v>
      </c>
      <c r="R2073" s="155" t="n">
        <v>6</v>
      </c>
      <c r="S2073" s="192" t="n">
        <f aca="false">(K2073+O2073+Q2073)*24 /1130+(L2073+M2073+P2073+R2073)*12/1130+(N2073*30)/1130</f>
        <v>0.063716814159292</v>
      </c>
    </row>
    <row r="2074" customFormat="false" ht="15" hidden="true" customHeight="true" outlineLevel="0" collapsed="false">
      <c r="A2074" s="128" t="n">
        <f aca="false">D2074-845</f>
        <v>0.25</v>
      </c>
      <c r="B2074" s="233" t="n">
        <f aca="false">B2073+D2074-C2074</f>
        <v>1776.75</v>
      </c>
      <c r="D2074" s="146" t="n">
        <f aca="false">281.75*3</f>
        <v>845.25</v>
      </c>
      <c r="E2074" s="147" t="n">
        <v>53001632</v>
      </c>
      <c r="F2074" s="147" t="n">
        <f aca="false">IFERROR(VLOOKUP(H2074,$AD$1:$AE$301,2,0),"")</f>
        <v>1002949</v>
      </c>
      <c r="G2074" s="147" t="str">
        <f aca="false">IFERROR(VLOOKUP(F2074,$AE$2:$AF$290,2, 0),"")</f>
        <v>تبوك</v>
      </c>
      <c r="H2074" s="212" t="s">
        <v>155</v>
      </c>
      <c r="I2074" s="246" t="n">
        <f aca="false">SUM(K2074:R2074)</f>
        <v>3</v>
      </c>
      <c r="J2074" s="182" t="n">
        <v>45972</v>
      </c>
      <c r="K2074" s="148" t="n">
        <f aca="false">2+1</f>
        <v>3</v>
      </c>
      <c r="S2074" s="192" t="n">
        <f aca="false">(K2074+O2074+Q2074)*24 /1130+(L2074+M2074+P2074+R2074)*12/1130+(N2074*30)/1130</f>
        <v>0.063716814159292</v>
      </c>
    </row>
    <row r="2075" customFormat="false" ht="15" hidden="true" customHeight="true" outlineLevel="0" collapsed="false">
      <c r="B2075" s="233" t="n">
        <f aca="false">B2074+D2075-C2075</f>
        <v>2374.75</v>
      </c>
      <c r="D2075" s="146" t="n">
        <f aca="false">253+345</f>
        <v>598</v>
      </c>
      <c r="E2075" s="147" t="n">
        <v>53001633</v>
      </c>
      <c r="F2075" s="147" t="n">
        <f aca="false">IFERROR(VLOOKUP(H2075,$AD$1:$AE$301,2,0),"")</f>
        <v>721</v>
      </c>
      <c r="G2075" s="147" t="str">
        <f aca="false">IFERROR(VLOOKUP(F2075,$AE$2:$AF$290,2, 0),"")</f>
        <v>تبوك</v>
      </c>
      <c r="H2075" s="212" t="s">
        <v>183</v>
      </c>
      <c r="I2075" s="246" t="n">
        <f aca="false">SUM(K2075:R2075)</f>
        <v>2</v>
      </c>
      <c r="J2075" s="182" t="n">
        <v>45972</v>
      </c>
      <c r="M2075" s="150" t="n">
        <f aca="false">1+1</f>
        <v>2</v>
      </c>
      <c r="S2075" s="192" t="n">
        <f aca="false">(K2075+O2075+Q2075)*24 /1130+(L2075+M2075+P2075+R2075)*12/1130+(N2075*30)/1130</f>
        <v>0.0212389380530973</v>
      </c>
    </row>
    <row r="2076" customFormat="false" ht="15" hidden="true" customHeight="true" outlineLevel="0" collapsed="false">
      <c r="B2076" s="233" t="n">
        <f aca="false">B2075+D2076-C2076</f>
        <v>2512.75</v>
      </c>
      <c r="D2076" s="146" t="n">
        <v>138</v>
      </c>
      <c r="E2076" s="147" t="n">
        <v>53001634</v>
      </c>
      <c r="F2076" s="147" t="n">
        <f aca="false">IFERROR(VLOOKUP(H2076,$AD$1:$AE$301,2,0),"")</f>
        <v>1008277</v>
      </c>
      <c r="G2076" s="147" t="str">
        <f aca="false">IFERROR(VLOOKUP(F2076,$AE$2:$AF$290,2, 0),"")</f>
        <v>تبوك</v>
      </c>
      <c r="H2076" s="212" t="s">
        <v>233</v>
      </c>
      <c r="I2076" s="246" t="n">
        <f aca="false">SUM(K2076:R2076)</f>
        <v>1</v>
      </c>
      <c r="J2076" s="182" t="n">
        <v>45972</v>
      </c>
      <c r="Q2076" s="154" t="n">
        <v>1</v>
      </c>
      <c r="S2076" s="192" t="n">
        <f aca="false">(K2076+O2076+Q2076)*24 /1130+(L2076+M2076+P2076+R2076)*12/1130+(N2076*30)/1130</f>
        <v>0.0212389380530973</v>
      </c>
    </row>
    <row r="2077" customFormat="false" ht="15" hidden="true" customHeight="true" outlineLevel="0" collapsed="false">
      <c r="A2077" s="128" t="n">
        <f aca="false">D2077-16.75-293.75</f>
        <v>0</v>
      </c>
      <c r="B2077" s="233" t="n">
        <f aca="false">B2076+D2077-C2077</f>
        <v>2823.25</v>
      </c>
      <c r="D2077" s="146" t="n">
        <f aca="false">155.25*2</f>
        <v>310.5</v>
      </c>
      <c r="E2077" s="147" t="n">
        <v>53001635</v>
      </c>
      <c r="F2077" s="147" t="n">
        <f aca="false">IFERROR(VLOOKUP(H2077,$AD$1:$AE$301,2,0),"")</f>
        <v>653</v>
      </c>
      <c r="G2077" s="147" t="str">
        <f aca="false">IFERROR(VLOOKUP(F2077,$AE$2:$AF$290,2, 0),"")</f>
        <v>تبوك</v>
      </c>
      <c r="H2077" s="212" t="s">
        <v>264</v>
      </c>
      <c r="I2077" s="246" t="n">
        <f aca="false">SUM(K2077:R2077)</f>
        <v>2</v>
      </c>
      <c r="J2077" s="182" t="n">
        <v>45972</v>
      </c>
      <c r="R2077" s="155" t="n">
        <v>2</v>
      </c>
      <c r="S2077" s="192" t="n">
        <f aca="false">(K2077+O2077+Q2077)*24 /1130+(L2077+M2077+P2077+R2077)*12/1130+(N2077*30)/1130</f>
        <v>0.0212389380530973</v>
      </c>
    </row>
    <row r="2078" customFormat="false" ht="15" hidden="true" customHeight="true" outlineLevel="0" collapsed="false">
      <c r="B2078" s="233" t="n">
        <f aca="false">B2077+D2078-C2078</f>
        <v>3329.25</v>
      </c>
      <c r="D2078" s="146" t="n">
        <f aca="false">253*2</f>
        <v>506</v>
      </c>
      <c r="E2078" s="147" t="n">
        <v>53001636</v>
      </c>
      <c r="F2078" s="147" t="n">
        <f aca="false">IFERROR(VLOOKUP(H2078,$AD$1:$AE$301,2,0),"")</f>
        <v>1002915</v>
      </c>
      <c r="G2078" s="147" t="str">
        <f aca="false">IFERROR(VLOOKUP(F2078,$AE$2:$AF$290,2, 0),"")</f>
        <v>تبوك</v>
      </c>
      <c r="H2078" s="212" t="s">
        <v>258</v>
      </c>
      <c r="I2078" s="246" t="n">
        <f aca="false">SUM(K2078:R2078)</f>
        <v>2</v>
      </c>
      <c r="J2078" s="182" t="n">
        <v>45972</v>
      </c>
      <c r="M2078" s="150" t="n">
        <v>2</v>
      </c>
      <c r="S2078" s="192" t="n">
        <f aca="false">(K2078+O2078+Q2078)*24 /1130+(L2078+M2078+P2078+R2078)*12/1130+(N2078*30)/1130</f>
        <v>0.0212389380530973</v>
      </c>
    </row>
    <row r="2079" customFormat="false" ht="15" hidden="true" customHeight="true" outlineLevel="0" collapsed="false">
      <c r="B2079" s="233" t="n">
        <f aca="false">B2078+D2079-C2079</f>
        <v>2551.25</v>
      </c>
      <c r="C2079" s="127" t="n">
        <f aca="false">138+500+140</f>
        <v>778</v>
      </c>
      <c r="E2079" s="147" t="s">
        <v>666</v>
      </c>
      <c r="F2079" s="147" t="str">
        <f aca="false">IFERROR(VLOOKUP(H2079,$AD$1:$AE$301,2,0),"")</f>
        <v/>
      </c>
      <c r="G2079" s="147" t="str">
        <f aca="false">IFERROR(VLOOKUP(F2079,$AE$2:$AF$290,2, 0),"")</f>
        <v/>
      </c>
      <c r="H2079" s="212" t="s">
        <v>393</v>
      </c>
      <c r="I2079" s="246" t="n">
        <f aca="false">SUM(K2079:R2079)</f>
        <v>0</v>
      </c>
      <c r="J2079" s="182" t="n">
        <v>45972</v>
      </c>
      <c r="S2079" s="192" t="n">
        <f aca="false">(K2079+O2079+Q2079)*24 /1130+(L2079+M2079+P2079+R2079)*12/1130+(N2079*30)/1130</f>
        <v>0</v>
      </c>
    </row>
    <row r="2080" customFormat="false" ht="15" hidden="true" customHeight="true" outlineLevel="0" collapsed="false">
      <c r="B2080" s="233" t="n">
        <f aca="false">B2079+D2080-C2080</f>
        <v>1751.25</v>
      </c>
      <c r="C2080" s="127" t="n">
        <f aca="false">800</f>
        <v>800</v>
      </c>
      <c r="E2080" s="147" t="s">
        <v>667</v>
      </c>
      <c r="F2080" s="147" t="str">
        <f aca="false">IFERROR(VLOOKUP(H2080,$AD$1:$AE$301,2,0),"")</f>
        <v/>
      </c>
      <c r="G2080" s="147" t="str">
        <f aca="false">IFERROR(VLOOKUP(F2080,$AE$2:$AF$290,2, 0),"")</f>
        <v/>
      </c>
      <c r="H2080" s="212" t="s">
        <v>393</v>
      </c>
      <c r="I2080" s="246" t="n">
        <f aca="false">SUM(K2080:R2080)</f>
        <v>0</v>
      </c>
      <c r="J2080" s="182" t="n">
        <v>45972</v>
      </c>
      <c r="S2080" s="192" t="n">
        <f aca="false">(K2080+O2080+Q2080)*24 /1130+(L2080+M2080+P2080+R2080)*12/1130+(N2080*30)/1130</f>
        <v>0</v>
      </c>
    </row>
    <row r="2081" customFormat="false" ht="15" hidden="true" customHeight="true" outlineLevel="0" collapsed="false">
      <c r="B2081" s="233" t="n">
        <f aca="false">B2080+D2081-C2081</f>
        <v>0.75</v>
      </c>
      <c r="C2081" s="127" t="n">
        <f aca="false">1750.5</f>
        <v>1750.5</v>
      </c>
      <c r="E2081" s="147" t="s">
        <v>668</v>
      </c>
      <c r="F2081" s="147" t="str">
        <f aca="false">IFERROR(VLOOKUP(H2081,$AD$1:$AE$301,2,0),"")</f>
        <v/>
      </c>
      <c r="G2081" s="147" t="str">
        <f aca="false">IFERROR(VLOOKUP(F2081,$AE$2:$AF$290,2, 0),"")</f>
        <v/>
      </c>
      <c r="H2081" s="212" t="s">
        <v>393</v>
      </c>
      <c r="I2081" s="246" t="n">
        <f aca="false">SUM(K2081:R2081)</f>
        <v>0</v>
      </c>
      <c r="J2081" s="182" t="n">
        <v>45972</v>
      </c>
      <c r="S2081" s="192" t="n">
        <f aca="false">(K2081+O2081+Q2081)*24 /1130+(L2081+M2081+P2081+R2081)*12/1130+(N2081*30)/1130</f>
        <v>0</v>
      </c>
    </row>
    <row r="2082" customFormat="false" ht="15" hidden="true" customHeight="true" outlineLevel="0" collapsed="false">
      <c r="B2082" s="233" t="n">
        <f aca="false">B2081+D2082-C2082</f>
        <v>506.75</v>
      </c>
      <c r="D2082" s="146" t="n">
        <f aca="false">253*2</f>
        <v>506</v>
      </c>
      <c r="E2082" s="147" t="n">
        <v>53001637</v>
      </c>
      <c r="F2082" s="147" t="n">
        <f aca="false">IFERROR(VLOOKUP(H2082,$AD$1:$AE$301,2,0),"")</f>
        <v>1002906</v>
      </c>
      <c r="G2082" s="147" t="str">
        <f aca="false">IFERROR(VLOOKUP(F2082,$AE$2:$AF$290,2, 0),"")</f>
        <v>تبوك</v>
      </c>
      <c r="H2082" s="212" t="s">
        <v>138</v>
      </c>
      <c r="I2082" s="246" t="n">
        <f aca="false">SUM(K2082:R2082)</f>
        <v>2</v>
      </c>
      <c r="J2082" s="182" t="n">
        <v>45973</v>
      </c>
      <c r="M2082" s="150" t="n">
        <v>2</v>
      </c>
      <c r="S2082" s="192" t="n">
        <f aca="false">(K2082+O2082+Q2082)*24 /1130+(L2082+M2082+P2082+R2082)*12/1130+(N2082*30)/1130</f>
        <v>0.0212389380530973</v>
      </c>
    </row>
    <row r="2083" customFormat="false" ht="15" hidden="true" customHeight="true" outlineLevel="0" collapsed="false">
      <c r="B2083" s="233" t="n">
        <f aca="false">B2082+D2083-C2083</f>
        <v>1012.75</v>
      </c>
      <c r="D2083" s="146" t="n">
        <f aca="false">253*2</f>
        <v>506</v>
      </c>
      <c r="E2083" s="147" t="n">
        <v>53001638</v>
      </c>
      <c r="F2083" s="147" t="n">
        <f aca="false">IFERROR(VLOOKUP(H2083,$AD$1:$AE$301,2,0),"")</f>
        <v>1008001</v>
      </c>
      <c r="G2083" s="147" t="str">
        <f aca="false">IFERROR(VLOOKUP(F2083,$AE$2:$AF$290,2, 0),"")</f>
        <v>حقل</v>
      </c>
      <c r="H2083" s="212" t="s">
        <v>314</v>
      </c>
      <c r="I2083" s="246" t="n">
        <f aca="false">SUM(K2083:R2083)</f>
        <v>2</v>
      </c>
      <c r="J2083" s="182" t="n">
        <v>45973</v>
      </c>
      <c r="M2083" s="150" t="n">
        <v>2</v>
      </c>
      <c r="S2083" s="192" t="n">
        <f aca="false">(K2083+O2083+Q2083)*24 /1130+(L2083+M2083+P2083+R2083)*12/1130+(N2083*30)/1130</f>
        <v>0.0212389380530973</v>
      </c>
    </row>
    <row r="2084" customFormat="false" ht="15" hidden="true" customHeight="true" outlineLevel="0" collapsed="false">
      <c r="B2084" s="233" t="n">
        <f aca="false">B2083+D2084-C2084</f>
        <v>1265.75</v>
      </c>
      <c r="D2084" s="146" t="n">
        <v>253</v>
      </c>
      <c r="E2084" s="147" t="n">
        <v>53001639</v>
      </c>
      <c r="F2084" s="147" t="n">
        <f aca="false">IFERROR(VLOOKUP(H2084,$AD$1:$AE$301,2,0),"")</f>
        <v>993</v>
      </c>
      <c r="G2084" s="147" t="str">
        <f aca="false">IFERROR(VLOOKUP(F2084,$AE$2:$AF$290,2, 0),"")</f>
        <v>تبوك</v>
      </c>
      <c r="H2084" s="212" t="s">
        <v>280</v>
      </c>
      <c r="I2084" s="246" t="n">
        <f aca="false">SUM(K2084:R2084)</f>
        <v>1</v>
      </c>
      <c r="J2084" s="182" t="n">
        <v>45973</v>
      </c>
      <c r="M2084" s="150" t="n">
        <v>1</v>
      </c>
      <c r="S2084" s="192" t="n">
        <f aca="false">(K2084+O2084+Q2084)*24 /1130+(L2084+M2084+P2084+R2084)*12/1130+(N2084*30)/1130</f>
        <v>0.0106194690265487</v>
      </c>
    </row>
    <row r="2085" customFormat="false" ht="15" hidden="true" customHeight="true" outlineLevel="0" collapsed="false">
      <c r="B2085" s="233" t="n">
        <f aca="false">B2084+D2085-C2085</f>
        <v>2111</v>
      </c>
      <c r="D2085" s="146" t="n">
        <f aca="false">281.75*3</f>
        <v>845.25</v>
      </c>
      <c r="E2085" s="147" t="n">
        <v>53001640</v>
      </c>
      <c r="F2085" s="147" t="n">
        <f aca="false">IFERROR(VLOOKUP(H2085,$AD$1:$AE$301,2,0),"")</f>
        <v>1002904</v>
      </c>
      <c r="G2085" s="147" t="str">
        <f aca="false">IFERROR(VLOOKUP(F2085,$AE$2:$AF$290,2, 0),"")</f>
        <v>تبوك</v>
      </c>
      <c r="H2085" s="212" t="s">
        <v>221</v>
      </c>
      <c r="I2085" s="246" t="n">
        <f aca="false">SUM(K2085:R2085)</f>
        <v>3</v>
      </c>
      <c r="J2085" s="182" t="n">
        <v>45973</v>
      </c>
      <c r="K2085" s="148" t="n">
        <f aca="false">1+2</f>
        <v>3</v>
      </c>
      <c r="S2085" s="192" t="n">
        <f aca="false">(K2085+O2085+Q2085)*24 /1130+(L2085+M2085+P2085+R2085)*12/1130+(N2085*30)/1130</f>
        <v>0.063716814159292</v>
      </c>
    </row>
    <row r="2086" customFormat="false" ht="15" hidden="true" customHeight="true" outlineLevel="0" collapsed="false">
      <c r="A2086" s="128" t="n">
        <f aca="false">D2086-100-100</f>
        <v>76</v>
      </c>
      <c r="B2086" s="233" t="n">
        <f aca="false">B2085+D2086-C2086</f>
        <v>2387</v>
      </c>
      <c r="D2086" s="146" t="n">
        <f aca="false">138*2</f>
        <v>276</v>
      </c>
      <c r="E2086" s="147" t="n">
        <v>53001641</v>
      </c>
      <c r="F2086" s="147" t="n">
        <f aca="false">IFERROR(VLOOKUP(H2086,$AD$1:$AE$301,2,0),"")</f>
        <v>630</v>
      </c>
      <c r="G2086" s="147" t="str">
        <f aca="false">IFERROR(VLOOKUP(F2086,$AE$2:$AF$290,2, 0),"")</f>
        <v>تبوك</v>
      </c>
      <c r="H2086" s="212" t="s">
        <v>252</v>
      </c>
      <c r="I2086" s="246" t="n">
        <f aca="false">SUM(K2086:R2086)</f>
        <v>2</v>
      </c>
      <c r="J2086" s="182" t="n">
        <v>45973</v>
      </c>
      <c r="Q2086" s="154" t="n">
        <v>2</v>
      </c>
      <c r="S2086" s="192" t="n">
        <f aca="false">(K2086+O2086+Q2086)*24 /1130+(L2086+M2086+P2086+R2086)*12/1130+(N2086*30)/1130</f>
        <v>0.0424778761061947</v>
      </c>
    </row>
    <row r="2087" customFormat="false" ht="15" hidden="true" customHeight="true" outlineLevel="0" collapsed="false">
      <c r="B2087" s="233" t="n">
        <f aca="false">B2086+D2087-C2087</f>
        <v>3232.25</v>
      </c>
      <c r="D2087" s="146" t="n">
        <f aca="false">281.75*3</f>
        <v>845.25</v>
      </c>
      <c r="E2087" s="147" t="n">
        <v>53001642</v>
      </c>
      <c r="F2087" s="147" t="n">
        <f aca="false">IFERROR(VLOOKUP(H2087,$AD$1:$AE$301,2,0),"")</f>
        <v>1002892</v>
      </c>
      <c r="G2087" s="147" t="str">
        <f aca="false">IFERROR(VLOOKUP(F2087,$AE$2:$AF$290,2, 0),"")</f>
        <v>تبوك</v>
      </c>
      <c r="H2087" s="212" t="s">
        <v>269</v>
      </c>
      <c r="I2087" s="246" t="n">
        <f aca="false">SUM(K2087:R2087)</f>
        <v>3</v>
      </c>
      <c r="J2087" s="182" t="n">
        <v>45973</v>
      </c>
      <c r="K2087" s="148" t="n">
        <f aca="false">2+1</f>
        <v>3</v>
      </c>
      <c r="S2087" s="192" t="n">
        <f aca="false">(K2087+O2087+Q2087)*24 /1130+(L2087+M2087+P2087+R2087)*12/1130+(N2087*30)/1130</f>
        <v>0.063716814159292</v>
      </c>
    </row>
    <row r="2088" customFormat="false" ht="15" hidden="true" customHeight="true" outlineLevel="0" collapsed="false">
      <c r="B2088" s="233" t="n">
        <f aca="false">B2087+D2088-C2088</f>
        <v>1320.75</v>
      </c>
      <c r="C2088" s="127" t="n">
        <f aca="false">120+6+281.75+563.5+281.75+563.5+95</f>
        <v>1911.5</v>
      </c>
      <c r="E2088" s="147" t="s">
        <v>666</v>
      </c>
      <c r="F2088" s="147" t="str">
        <f aca="false">IFERROR(VLOOKUP(H2088,$AD$1:$AE$301,2,0),"")</f>
        <v/>
      </c>
      <c r="G2088" s="147" t="str">
        <f aca="false">IFERROR(VLOOKUP(F2088,$AE$2:$AF$290,2, 0),"")</f>
        <v/>
      </c>
      <c r="H2088" s="212" t="s">
        <v>393</v>
      </c>
      <c r="I2088" s="246" t="n">
        <f aca="false">SUM(K2088:R2088)</f>
        <v>0</v>
      </c>
      <c r="J2088" s="182" t="n">
        <v>45973</v>
      </c>
      <c r="S2088" s="192" t="n">
        <f aca="false">(K2088+O2088+Q2088)*24 /1130+(L2088+M2088+P2088+R2088)*12/1130+(N2088*30)/1130</f>
        <v>0</v>
      </c>
    </row>
    <row r="2089" customFormat="false" ht="15" hidden="true" customHeight="true" outlineLevel="0" collapsed="false">
      <c r="B2089" s="233" t="n">
        <f aca="false">B2088+D2089-C2089</f>
        <v>0.75</v>
      </c>
      <c r="C2089" s="127" t="n">
        <v>1320</v>
      </c>
      <c r="E2089" s="147" t="s">
        <v>668</v>
      </c>
      <c r="F2089" s="147" t="str">
        <f aca="false">IFERROR(VLOOKUP(H2089,$AD$1:$AE$301,2,0),"")</f>
        <v/>
      </c>
      <c r="G2089" s="147" t="str">
        <f aca="false">IFERROR(VLOOKUP(F2089,$AE$2:$AF$290,2, 0),"")</f>
        <v/>
      </c>
      <c r="H2089" s="212" t="s">
        <v>393</v>
      </c>
      <c r="I2089" s="246" t="n">
        <f aca="false">SUM(K2089:R2089)</f>
        <v>0</v>
      </c>
      <c r="J2089" s="182" t="n">
        <v>45974</v>
      </c>
      <c r="S2089" s="192" t="n">
        <f aca="false">(K2089+O2089+Q2089)*24 /1130+(L2089+M2089+P2089+R2089)*12/1130+(N2089*30)/1130</f>
        <v>0</v>
      </c>
    </row>
    <row r="2090" customFormat="false" ht="15" hidden="true" customHeight="true" outlineLevel="0" collapsed="false">
      <c r="A2090" s="128" t="n">
        <f aca="false">D2090-545-300</f>
        <v>0.25</v>
      </c>
      <c r="B2090" s="233" t="n">
        <f aca="false">B2089+D2090-C2090</f>
        <v>846</v>
      </c>
      <c r="D2090" s="146" t="n">
        <f aca="false">281.75*3</f>
        <v>845.25</v>
      </c>
      <c r="E2090" s="147" t="n">
        <v>53001643</v>
      </c>
      <c r="F2090" s="147" t="n">
        <f aca="false">IFERROR(VLOOKUP(H2090,$AD$1:$AE$301,2,0),"")</f>
        <v>1002921</v>
      </c>
      <c r="G2090" s="147" t="str">
        <f aca="false">IFERROR(VLOOKUP(F2090,$AE$2:$AF$290,2, 0),"")</f>
        <v>تبوك</v>
      </c>
      <c r="H2090" s="212" t="s">
        <v>281</v>
      </c>
      <c r="I2090" s="246" t="n">
        <f aca="false">SUM(K2090:R2090)</f>
        <v>3</v>
      </c>
      <c r="J2090" s="182" t="n">
        <v>45974</v>
      </c>
      <c r="K2090" s="148" t="n">
        <f aca="false">2+1</f>
        <v>3</v>
      </c>
      <c r="S2090" s="192" t="n">
        <f aca="false">(K2090+O2090+Q2090)*24 /1130+(L2090+M2090+P2090+R2090)*12/1130+(N2090*30)/1130</f>
        <v>0.063716814159292</v>
      </c>
    </row>
    <row r="2091" customFormat="false" ht="15" hidden="true" customHeight="true" outlineLevel="0" collapsed="false">
      <c r="A2091" s="128" t="n">
        <f aca="false">D2091-171*5-750</f>
        <v>-0.75</v>
      </c>
      <c r="B2091" s="233" t="n">
        <f aca="false">B2090+D2091-C2091</f>
        <v>2450.25</v>
      </c>
      <c r="D2091" s="146" t="n">
        <f aca="false">281.75*3+3*253</f>
        <v>1604.25</v>
      </c>
      <c r="E2091" s="147" t="n">
        <v>53001644</v>
      </c>
      <c r="F2091" s="147" t="n">
        <f aca="false">IFERROR(VLOOKUP(H2091,$AD$1:$AE$301,2,0),"")</f>
        <v>629</v>
      </c>
      <c r="G2091" s="147" t="str">
        <f aca="false">IFERROR(VLOOKUP(F2091,$AE$2:$AF$290,2, 0),"")</f>
        <v>تبوك</v>
      </c>
      <c r="H2091" s="212" t="s">
        <v>246</v>
      </c>
      <c r="I2091" s="246" t="n">
        <f aca="false">SUM(K2091:R2091)</f>
        <v>6</v>
      </c>
      <c r="J2091" s="182" t="n">
        <v>45974</v>
      </c>
      <c r="K2091" s="148" t="n">
        <f aca="false">1+2</f>
        <v>3</v>
      </c>
      <c r="M2091" s="150" t="n">
        <v>3</v>
      </c>
      <c r="S2091" s="192" t="n">
        <f aca="false">(K2091+O2091+Q2091)*24 /1130+(L2091+M2091+P2091+R2091)*12/1130+(N2091*30)/1130</f>
        <v>0.0955752212389381</v>
      </c>
    </row>
    <row r="2092" customFormat="false" ht="15" hidden="true" customHeight="true" outlineLevel="0" collapsed="false">
      <c r="B2092" s="233" t="n">
        <f aca="false">B2091+D2092-C2092</f>
        <v>3295.5</v>
      </c>
      <c r="D2092" s="146" t="n">
        <f aca="false">281.75*3</f>
        <v>845.25</v>
      </c>
      <c r="E2092" s="147" t="n">
        <v>53001645</v>
      </c>
      <c r="F2092" s="147" t="n">
        <f aca="false">IFERROR(VLOOKUP(H2092,$AD$1:$AE$301,2,0),"")</f>
        <v>943</v>
      </c>
      <c r="G2092" s="147" t="str">
        <f aca="false">IFERROR(VLOOKUP(F2092,$AE$2:$AF$290,2, 0),"")</f>
        <v>تبوك</v>
      </c>
      <c r="H2092" s="212" t="s">
        <v>259</v>
      </c>
      <c r="I2092" s="246" t="n">
        <f aca="false">SUM(K2092:R2092)</f>
        <v>3</v>
      </c>
      <c r="J2092" s="182" t="n">
        <v>45974</v>
      </c>
      <c r="K2092" s="148" t="n">
        <f aca="false">1+2</f>
        <v>3</v>
      </c>
      <c r="S2092" s="192" t="n">
        <f aca="false">(K2092+O2092+Q2092)*24 /1130+(L2092+M2092+P2092+R2092)*12/1130+(N2092*30)/1130</f>
        <v>0.063716814159292</v>
      </c>
    </row>
    <row r="2093" customFormat="false" ht="15" hidden="true" customHeight="true" outlineLevel="0" collapsed="false">
      <c r="A2093" s="128" t="n">
        <f aca="false">D2093-845</f>
        <v>0.25</v>
      </c>
      <c r="B2093" s="233" t="n">
        <f aca="false">B2092+D2093-C2093</f>
        <v>4140.75</v>
      </c>
      <c r="D2093" s="146" t="n">
        <f aca="false">281.75*3</f>
        <v>845.25</v>
      </c>
      <c r="E2093" s="147" t="n">
        <v>53001646</v>
      </c>
      <c r="F2093" s="147" t="str">
        <f aca="false">IFERROR(VLOOKUP(H2093,$AD$1:$AE$301,2,0),"")</f>
        <v/>
      </c>
      <c r="G2093" s="147" t="str">
        <f aca="false">IFERROR(VLOOKUP(F2093,$AE$2:$AF$290,2, 0),"")</f>
        <v/>
      </c>
      <c r="H2093" s="212" t="s">
        <v>670</v>
      </c>
      <c r="I2093" s="246" t="n">
        <f aca="false">SUM(K2093:R2093)</f>
        <v>3</v>
      </c>
      <c r="J2093" s="182" t="n">
        <v>45974</v>
      </c>
      <c r="K2093" s="148" t="n">
        <v>3</v>
      </c>
      <c r="S2093" s="192" t="n">
        <f aca="false">(K2093+O2093+Q2093)*24 /1130+(L2093+M2093+P2093+R2093)*12/1130+(N2093*30)/1130</f>
        <v>0.063716814159292</v>
      </c>
    </row>
    <row r="2094" customFormat="false" ht="15" hidden="true" customHeight="true" outlineLevel="0" collapsed="false">
      <c r="B2094" s="233" t="n">
        <f aca="false">B2093+D2094-C2094</f>
        <v>4278.75</v>
      </c>
      <c r="D2094" s="146" t="n">
        <v>138</v>
      </c>
      <c r="E2094" s="147" t="n">
        <v>53001647</v>
      </c>
      <c r="F2094" s="147" t="n">
        <f aca="false">IFERROR(VLOOKUP(H2094,$AD$1:$AE$301,2,0),"")</f>
        <v>721</v>
      </c>
      <c r="G2094" s="147" t="str">
        <f aca="false">IFERROR(VLOOKUP(F2094,$AE$2:$AF$290,2, 0),"")</f>
        <v>تبوك</v>
      </c>
      <c r="H2094" s="212" t="s">
        <v>183</v>
      </c>
      <c r="I2094" s="246" t="n">
        <f aca="false">SUM(K2094:R2094)</f>
        <v>1</v>
      </c>
      <c r="J2094" s="182" t="n">
        <v>45974</v>
      </c>
      <c r="Q2094" s="154" t="n">
        <v>1</v>
      </c>
      <c r="S2094" s="192" t="n">
        <f aca="false">(K2094+O2094+Q2094)*24 /1130+(L2094+M2094+P2094+R2094)*12/1130+(N2094*30)/1130</f>
        <v>0.0212389380530973</v>
      </c>
    </row>
    <row r="2095" customFormat="false" ht="15" hidden="true" customHeight="true" outlineLevel="0" collapsed="false">
      <c r="B2095" s="233" t="n">
        <f aca="false">B2094+D2095-C2095</f>
        <v>5124</v>
      </c>
      <c r="D2095" s="146" t="n">
        <f aca="false">281.75*3</f>
        <v>845.25</v>
      </c>
      <c r="E2095" s="147" t="n">
        <v>53001648</v>
      </c>
      <c r="F2095" s="147" t="n">
        <f aca="false">IFERROR(VLOOKUP(H2095,$AD$1:$AE$301,2,0),"")</f>
        <v>1002926</v>
      </c>
      <c r="G2095" s="147" t="str">
        <f aca="false">IFERROR(VLOOKUP(F2095,$AE$2:$AF$290,2, 0),"")</f>
        <v>تبوك</v>
      </c>
      <c r="H2095" s="212" t="s">
        <v>257</v>
      </c>
      <c r="I2095" s="246" t="n">
        <f aca="false">SUM(K2095:R2095)</f>
        <v>3</v>
      </c>
      <c r="J2095" s="182" t="n">
        <v>45974</v>
      </c>
      <c r="K2095" s="148" t="n">
        <f aca="false">1+2</f>
        <v>3</v>
      </c>
      <c r="S2095" s="192" t="n">
        <f aca="false">(K2095+O2095+Q2095)*24 /1130+(L2095+M2095+P2095+R2095)*12/1130+(N2095*30)/1130</f>
        <v>0.063716814159292</v>
      </c>
    </row>
    <row r="2096" customFormat="false" ht="15" hidden="true" customHeight="true" outlineLevel="0" collapsed="false">
      <c r="B2096" s="233" t="n">
        <f aca="false">B2095+D2096-C2096</f>
        <v>2570.5</v>
      </c>
      <c r="C2096" s="127" t="n">
        <f aca="false">300+563.5+845+845</f>
        <v>2553.5</v>
      </c>
      <c r="E2096" s="147" t="s">
        <v>666</v>
      </c>
      <c r="F2096" s="147" t="str">
        <f aca="false">IFERROR(VLOOKUP(H2096,$AD$1:$AE$301,2,0),"")</f>
        <v/>
      </c>
      <c r="G2096" s="147" t="str">
        <f aca="false">IFERROR(VLOOKUP(F2096,$AE$2:$AF$290,2, 0),"")</f>
        <v/>
      </c>
      <c r="H2096" s="212" t="s">
        <v>393</v>
      </c>
      <c r="I2096" s="246" t="n">
        <f aca="false">SUM(K2096:R2096)</f>
        <v>0</v>
      </c>
      <c r="J2096" s="182" t="n">
        <v>45974</v>
      </c>
      <c r="S2096" s="192" t="n">
        <f aca="false">(K2096+O2096+Q2096)*24 /1130+(L2096+M2096+P2096+R2096)*12/1130+(N2096*30)/1130</f>
        <v>0</v>
      </c>
    </row>
    <row r="2097" customFormat="false" ht="15" hidden="true" customHeight="true" outlineLevel="0" collapsed="false">
      <c r="B2097" s="233" t="n">
        <f aca="false">B2096+D2097-C2097</f>
        <v>0.5</v>
      </c>
      <c r="C2097" s="127" t="n">
        <v>2570</v>
      </c>
      <c r="E2097" s="147" t="s">
        <v>667</v>
      </c>
      <c r="F2097" s="147" t="str">
        <f aca="false">IFERROR(VLOOKUP(H2097,$AD$1:$AE$301,2,0),"")</f>
        <v/>
      </c>
      <c r="G2097" s="147" t="str">
        <f aca="false">IFERROR(VLOOKUP(F2097,$AE$2:$AF$290,2, 0),"")</f>
        <v/>
      </c>
      <c r="H2097" s="212" t="s">
        <v>393</v>
      </c>
      <c r="I2097" s="246" t="n">
        <f aca="false">SUM(K2097:R2097)</f>
        <v>0</v>
      </c>
      <c r="J2097" s="182" t="n">
        <v>45974</v>
      </c>
      <c r="S2097" s="192" t="n">
        <f aca="false">(K2097+O2097+Q2097)*24 /1130+(L2097+M2097+P2097+R2097)*12/1130+(N2097*30)/1130</f>
        <v>0</v>
      </c>
    </row>
    <row r="2098" customFormat="false" ht="15" hidden="true" customHeight="true" outlineLevel="0" collapsed="false">
      <c r="A2098" s="128" t="n">
        <f aca="false">D2098-9*5-340</f>
        <v>0.25</v>
      </c>
      <c r="B2098" s="233" t="n">
        <f aca="false">B2097+D2098-C2098</f>
        <v>385.75</v>
      </c>
      <c r="D2098" s="146" t="n">
        <f aca="false">230+155.25</f>
        <v>385.25</v>
      </c>
      <c r="E2098" s="147" t="n">
        <v>53001649</v>
      </c>
      <c r="F2098" s="147" t="n">
        <f aca="false">IFERROR(VLOOKUP(H2098,$AD$1:$AE$301,2,0),"")</f>
        <v>1008260</v>
      </c>
      <c r="G2098" s="147" t="str">
        <f aca="false">IFERROR(VLOOKUP(F2098,$AE$2:$AF$290,2, 0),"")</f>
        <v>تبوك</v>
      </c>
      <c r="H2098" s="212" t="s">
        <v>184</v>
      </c>
      <c r="I2098" s="246" t="n">
        <f aca="false">SUM(K2098:R2098)</f>
        <v>2</v>
      </c>
      <c r="J2098" s="182" t="n">
        <v>45977</v>
      </c>
      <c r="M2098" s="150" t="n">
        <v>1</v>
      </c>
      <c r="R2098" s="155" t="n">
        <v>1</v>
      </c>
      <c r="S2098" s="192" t="n">
        <f aca="false">(K2098+O2098+Q2098)*24 /1130+(L2098+M2098+P2098+R2098)*12/1130+(N2098*30)/1130</f>
        <v>0.0212389380530973</v>
      </c>
    </row>
    <row r="2099" customFormat="false" ht="15" hidden="true" customHeight="true" outlineLevel="0" collapsed="false">
      <c r="A2099" s="128" t="n">
        <f aca="false">D2099-500-483</f>
        <v>0.25</v>
      </c>
      <c r="B2099" s="233" t="n">
        <f aca="false">B2098+D2099-C2099</f>
        <v>1369</v>
      </c>
      <c r="D2099" s="146" t="n">
        <f aca="false">845.25+138</f>
        <v>983.25</v>
      </c>
      <c r="E2099" s="147" t="n">
        <v>53001650</v>
      </c>
      <c r="F2099" s="147" t="n">
        <f aca="false">IFERROR(VLOOKUP(H2099,$AD$1:$AE$301,2,0),"")</f>
        <v>1002910</v>
      </c>
      <c r="G2099" s="147" t="str">
        <f aca="false">IFERROR(VLOOKUP(F2099,$AE$2:$AF$290,2, 0),"")</f>
        <v>تبوك</v>
      </c>
      <c r="H2099" s="212" t="s">
        <v>197</v>
      </c>
      <c r="I2099" s="246" t="n">
        <f aca="false">SUM(K2099:R2099)</f>
        <v>4</v>
      </c>
      <c r="J2099" s="182" t="n">
        <v>45977</v>
      </c>
      <c r="K2099" s="148" t="n">
        <f aca="false">1+2</f>
        <v>3</v>
      </c>
      <c r="Q2099" s="154" t="n">
        <v>1</v>
      </c>
      <c r="S2099" s="192" t="n">
        <f aca="false">(K2099+O2099+Q2099)*24 /1130+(L2099+M2099+P2099+R2099)*12/1130+(N2099*30)/1130</f>
        <v>0.0849557522123894</v>
      </c>
    </row>
    <row r="2100" customFormat="false" ht="15" hidden="true" customHeight="true" outlineLevel="0" collapsed="false">
      <c r="B2100" s="233" t="n">
        <f aca="false">B2099+D2100-C2100</f>
        <v>2214.25</v>
      </c>
      <c r="D2100" s="146" t="n">
        <f aca="false">281.75*3</f>
        <v>845.25</v>
      </c>
      <c r="E2100" s="147" t="n">
        <v>53001651</v>
      </c>
      <c r="F2100" s="147" t="n">
        <f aca="false">IFERROR(VLOOKUP(H2100,$AD$1:$AE$301,2,0),"")</f>
        <v>1002930</v>
      </c>
      <c r="G2100" s="147" t="str">
        <f aca="false">IFERROR(VLOOKUP(F2100,$AE$2:$AF$290,2, 0),"")</f>
        <v>تبوك</v>
      </c>
      <c r="H2100" s="212" t="s">
        <v>171</v>
      </c>
      <c r="I2100" s="246" t="n">
        <f aca="false">SUM(K2100:R2100)</f>
        <v>3</v>
      </c>
      <c r="J2100" s="182" t="n">
        <v>45977</v>
      </c>
      <c r="K2100" s="148" t="n">
        <f aca="false">2+1</f>
        <v>3</v>
      </c>
      <c r="S2100" s="192" t="n">
        <f aca="false">(K2100+O2100+Q2100)*24 /1130+(L2100+M2100+P2100+R2100)*12/1130+(N2100*30)/1130</f>
        <v>0.063716814159292</v>
      </c>
    </row>
    <row r="2101" customFormat="false" ht="15" hidden="true" customHeight="true" outlineLevel="0" collapsed="false">
      <c r="B2101" s="233" t="n">
        <f aca="false">B2100+D2101-C2101</f>
        <v>2352.25</v>
      </c>
      <c r="D2101" s="146" t="n">
        <v>138</v>
      </c>
      <c r="E2101" s="147" t="n">
        <v>53001652</v>
      </c>
      <c r="F2101" s="147" t="str">
        <f aca="false">IFERROR(VLOOKUP(H2101,$AD$1:$AE$301,2,0),"")</f>
        <v/>
      </c>
      <c r="G2101" s="147" t="str">
        <f aca="false">IFERROR(VLOOKUP(F2101,$AE$2:$AF$290,2, 0),"")</f>
        <v/>
      </c>
      <c r="H2101" s="212" t="s">
        <v>671</v>
      </c>
      <c r="I2101" s="246" t="n">
        <f aca="false">SUM(K2101:R2101)</f>
        <v>1</v>
      </c>
      <c r="J2101" s="182" t="n">
        <v>45977</v>
      </c>
      <c r="Q2101" s="154" t="n">
        <v>1</v>
      </c>
      <c r="S2101" s="192" t="n">
        <f aca="false">(K2101+O2101+Q2101)*24 /1130+(L2101+M2101+P2101+R2101)*12/1130+(N2101*30)/1130</f>
        <v>0.0212389380530973</v>
      </c>
    </row>
    <row r="2102" customFormat="false" ht="15" hidden="true" customHeight="true" outlineLevel="0" collapsed="false">
      <c r="B2102" s="233" t="n">
        <f aca="false">B2101+D2102-C2102</f>
        <v>636.25</v>
      </c>
      <c r="C2102" s="127" t="n">
        <f aca="false">345+845+500+26</f>
        <v>1716</v>
      </c>
      <c r="E2102" s="147" t="s">
        <v>666</v>
      </c>
      <c r="F2102" s="147" t="str">
        <f aca="false">IFERROR(VLOOKUP(H2102,$AD$1:$AE$301,2,0),"")</f>
        <v/>
      </c>
      <c r="G2102" s="147" t="str">
        <f aca="false">IFERROR(VLOOKUP(F2102,$AE$2:$AF$290,2, 0),"")</f>
        <v/>
      </c>
      <c r="H2102" s="212" t="s">
        <v>393</v>
      </c>
      <c r="I2102" s="246" t="n">
        <f aca="false">SUM(K2102:R2102)</f>
        <v>0</v>
      </c>
      <c r="J2102" s="182" t="n">
        <v>45977</v>
      </c>
      <c r="S2102" s="192" t="n">
        <f aca="false">(K2102+O2102+Q2102)*24 /1130+(L2102+M2102+P2102+R2102)*12/1130+(N2102*30)/1130</f>
        <v>0</v>
      </c>
    </row>
    <row r="2103" customFormat="false" ht="15" hidden="true" customHeight="true" outlineLevel="0" collapsed="false">
      <c r="B2103" s="233" t="n">
        <f aca="false">B2102+D2103-C2103</f>
        <v>0</v>
      </c>
      <c r="C2103" s="127" t="n">
        <f aca="false">636</f>
        <v>636</v>
      </c>
      <c r="D2103" s="146" t="n">
        <v>-0.25</v>
      </c>
      <c r="E2103" s="147" t="s">
        <v>667</v>
      </c>
      <c r="F2103" s="147" t="str">
        <f aca="false">IFERROR(VLOOKUP(H2103,$AD$1:$AE$301,2,0),"")</f>
        <v/>
      </c>
      <c r="G2103" s="147" t="str">
        <f aca="false">IFERROR(VLOOKUP(F2103,$AE$2:$AF$290,2, 0),"")</f>
        <v/>
      </c>
      <c r="H2103" s="212" t="s">
        <v>393</v>
      </c>
      <c r="I2103" s="246" t="n">
        <f aca="false">SUM(K2103:R2103)</f>
        <v>0</v>
      </c>
      <c r="J2103" s="182" t="n">
        <v>45976</v>
      </c>
      <c r="S2103" s="192" t="n">
        <f aca="false">(K2103+O2103+Q2103)*24 /1130+(L2103+M2103+P2103+R2103)*12/1130+(N2103*30)/1130</f>
        <v>0</v>
      </c>
    </row>
    <row r="2104" customFormat="false" ht="15" hidden="true" customHeight="true" outlineLevel="0" collapsed="false">
      <c r="B2104" s="233" t="n">
        <f aca="false">B2103+D2104-C2104</f>
        <v>345</v>
      </c>
      <c r="D2104" s="146" t="n">
        <v>345</v>
      </c>
      <c r="E2104" s="147" t="n">
        <v>53001653</v>
      </c>
      <c r="F2104" s="147" t="n">
        <f aca="false">IFERROR(VLOOKUP(H2104,$AD$1:$AE$301,2,0),"")</f>
        <v>1006525</v>
      </c>
      <c r="G2104" s="147" t="str">
        <f aca="false">IFERROR(VLOOKUP(F2104,$AE$2:$AF$290,2, 0),"")</f>
        <v>تبوك</v>
      </c>
      <c r="H2104" s="212" t="s">
        <v>274</v>
      </c>
      <c r="I2104" s="246" t="n">
        <f aca="false">SUM(K2104:R2104)</f>
        <v>1</v>
      </c>
      <c r="J2104" s="182" t="n">
        <v>45978</v>
      </c>
      <c r="M2104" s="150" t="n">
        <v>1</v>
      </c>
      <c r="S2104" s="192" t="n">
        <f aca="false">(K2104+O2104+Q2104)*24 /1130+(L2104+M2104+P2104+R2104)*12/1130+(N2104*30)/1130</f>
        <v>0.0106194690265487</v>
      </c>
    </row>
    <row r="2105" customFormat="false" ht="15" hidden="true" customHeight="true" outlineLevel="0" collapsed="false">
      <c r="B2105" s="233" t="n">
        <f aca="false">B2104+D2105-C2105</f>
        <v>598</v>
      </c>
      <c r="D2105" s="146" t="n">
        <v>253</v>
      </c>
      <c r="E2105" s="147" t="n">
        <v>53001654</v>
      </c>
      <c r="F2105" s="147" t="n">
        <f aca="false">IFERROR(VLOOKUP(H2105,$AD$1:$AE$301,2,0),"")</f>
        <v>1008057</v>
      </c>
      <c r="G2105" s="147" t="str">
        <f aca="false">IFERROR(VLOOKUP(F2105,$AE$2:$AF$290,2, 0),"")</f>
        <v>تبوك</v>
      </c>
      <c r="H2105" s="212" t="s">
        <v>242</v>
      </c>
      <c r="I2105" s="246" t="n">
        <f aca="false">SUM(K2105:R2105)</f>
        <v>1</v>
      </c>
      <c r="J2105" s="182" t="n">
        <v>45973</v>
      </c>
      <c r="M2105" s="150" t="n">
        <v>1</v>
      </c>
      <c r="S2105" s="192" t="n">
        <f aca="false">(K2105+O2105+Q2105)*24 /1130+(L2105+M2105+P2105+R2105)*12/1130+(N2105*30)/1130</f>
        <v>0.0106194690265487</v>
      </c>
    </row>
    <row r="2106" customFormat="false" ht="15" hidden="true" customHeight="true" outlineLevel="0" collapsed="false">
      <c r="A2106" s="128" t="n">
        <f aca="false">D2106-200+300.5-300-263</f>
        <v>-2.5</v>
      </c>
      <c r="B2106" s="233" t="n">
        <f aca="false">B2105+D2106-C2106</f>
        <v>1058</v>
      </c>
      <c r="D2106" s="146" t="n">
        <f aca="false">230*2</f>
        <v>460</v>
      </c>
      <c r="E2106" s="147" t="n">
        <v>53001655</v>
      </c>
      <c r="F2106" s="147" t="n">
        <f aca="false">IFERROR(VLOOKUP(H2106,$AD$1:$AE$301,2,0),"")</f>
        <v>1008030</v>
      </c>
      <c r="G2106" s="147" t="str">
        <f aca="false">IFERROR(VLOOKUP(F2106,$AE$2:$AF$290,2, 0),"")</f>
        <v>البير</v>
      </c>
      <c r="H2106" s="212" t="s">
        <v>298</v>
      </c>
      <c r="I2106" s="246" t="n">
        <f aca="false">SUM(K2106:R2106)</f>
        <v>2</v>
      </c>
      <c r="J2106" s="182" t="n">
        <v>45978</v>
      </c>
      <c r="M2106" s="150" t="n">
        <v>2</v>
      </c>
      <c r="S2106" s="192" t="n">
        <f aca="false">(K2106+O2106+Q2106)*24 /1130+(L2106+M2106+P2106+R2106)*12/1130+(N2106*30)/1130</f>
        <v>0.0212389380530973</v>
      </c>
    </row>
    <row r="2107" customFormat="false" ht="15" hidden="true" customHeight="true" outlineLevel="0" collapsed="false">
      <c r="A2107" s="128" t="n">
        <f aca="false">D2107+548.5+97-1200-186-300</f>
        <v>0.25</v>
      </c>
      <c r="B2107" s="233" t="n">
        <f aca="false">B2106+D2107-C2107</f>
        <v>2098.75</v>
      </c>
      <c r="D2107" s="146" t="n">
        <f aca="false">845.25+195.5</f>
        <v>1040.75</v>
      </c>
      <c r="E2107" s="147" t="n">
        <v>53001656</v>
      </c>
      <c r="F2107" s="147" t="n">
        <f aca="false">IFERROR(VLOOKUP(H2107,$AD$1:$AE$301,2,0),"")</f>
        <v>1007996</v>
      </c>
      <c r="G2107" s="147" t="str">
        <f aca="false">IFERROR(VLOOKUP(F2107,$AE$2:$AF$290,2, 0),"")</f>
        <v>البير</v>
      </c>
      <c r="H2107" s="212" t="s">
        <v>295</v>
      </c>
      <c r="I2107" s="246" t="n">
        <f aca="false">SUM(K2107:R2107)</f>
        <v>4</v>
      </c>
      <c r="J2107" s="182" t="n">
        <v>45978</v>
      </c>
      <c r="K2107" s="148" t="n">
        <f aca="false">2+1</f>
        <v>3</v>
      </c>
      <c r="Q2107" s="154" t="n">
        <v>1</v>
      </c>
      <c r="S2107" s="192" t="n">
        <f aca="false">(K2107+O2107+Q2107)*24 /1130+(L2107+M2107+P2107+R2107)*12/1130+(N2107*30)/1130</f>
        <v>0.0849557522123894</v>
      </c>
    </row>
    <row r="2108" customFormat="false" ht="15" hidden="true" customHeight="true" outlineLevel="0" collapsed="false">
      <c r="A2108" s="128" t="n">
        <f aca="false">D2108-2-1150+306.75</f>
        <v>0</v>
      </c>
      <c r="B2108" s="233" t="n">
        <f aca="false">B2107+D2108-C2108</f>
        <v>2944</v>
      </c>
      <c r="D2108" s="146" t="n">
        <f aca="false">281.75*3</f>
        <v>845.25</v>
      </c>
      <c r="E2108" s="147" t="n">
        <v>53001657</v>
      </c>
      <c r="F2108" s="147" t="n">
        <f aca="false">IFERROR(VLOOKUP(H2108,$AD$1:$AE$301,2,0),"")</f>
        <v>1007965</v>
      </c>
      <c r="G2108" s="147" t="str">
        <f aca="false">IFERROR(VLOOKUP(F2108,$AE$2:$AF$290,2, 0),"")</f>
        <v>البير</v>
      </c>
      <c r="H2108" s="212" t="s">
        <v>290</v>
      </c>
      <c r="I2108" s="246" t="n">
        <f aca="false">SUM(K2108:R2108)</f>
        <v>3</v>
      </c>
      <c r="J2108" s="182" t="n">
        <v>45978</v>
      </c>
      <c r="K2108" s="148" t="n">
        <v>3</v>
      </c>
      <c r="S2108" s="192" t="n">
        <f aca="false">(K2108+O2108+Q2108)*24 /1130+(L2108+M2108+P2108+R2108)*12/1130+(N2108*30)/1130</f>
        <v>0.063716814159292</v>
      </c>
    </row>
    <row r="2109" customFormat="false" ht="15" hidden="true" customHeight="true" outlineLevel="0" collapsed="false">
      <c r="B2109" s="233" t="n">
        <f aca="false">B2108+D2109-C2109</f>
        <v>3789.25</v>
      </c>
      <c r="D2109" s="146" t="n">
        <f aca="false">281.75*3</f>
        <v>845.25</v>
      </c>
      <c r="E2109" s="147" t="n">
        <v>53001658</v>
      </c>
      <c r="F2109" s="147" t="n">
        <f aca="false">IFERROR(VLOOKUP(H2109,$AD$1:$AE$301,2,0),"")</f>
        <v>1008003</v>
      </c>
      <c r="G2109" s="147" t="str">
        <f aca="false">IFERROR(VLOOKUP(F2109,$AE$2:$AF$290,2, 0),"")</f>
        <v>حقل</v>
      </c>
      <c r="H2109" s="212" t="s">
        <v>315</v>
      </c>
      <c r="I2109" s="246" t="n">
        <f aca="false">SUM(K2109:R2109)</f>
        <v>3</v>
      </c>
      <c r="J2109" s="182" t="n">
        <v>45978</v>
      </c>
      <c r="K2109" s="148" t="n">
        <v>3</v>
      </c>
      <c r="S2109" s="192" t="n">
        <f aca="false">(K2109+O2109+Q2109)*24 /1130+(L2109+M2109+P2109+R2109)*12/1130+(N2109*30)/1130</f>
        <v>0.063716814159292</v>
      </c>
    </row>
    <row r="2110" customFormat="false" ht="15" hidden="true" customHeight="true" outlineLevel="0" collapsed="false">
      <c r="A2110" s="128" t="n">
        <f aca="false">D2110+253+2000-3000</f>
        <v>0.5</v>
      </c>
      <c r="B2110" s="233" t="n">
        <f aca="false">B2109+D2110-C2110</f>
        <v>4536.75</v>
      </c>
      <c r="D2110" s="146" t="n">
        <f aca="false">253*2+241.5</f>
        <v>747.5</v>
      </c>
      <c r="E2110" s="147" t="n">
        <v>53001659</v>
      </c>
      <c r="F2110" s="147" t="n">
        <f aca="false">IFERROR(VLOOKUP(H2110,$AD$1:$AE$301,2,0),"")</f>
        <v>1008004</v>
      </c>
      <c r="G2110" s="147" t="str">
        <f aca="false">IFERROR(VLOOKUP(F2110,$AE$2:$AF$290,2, 0),"")</f>
        <v>حقل</v>
      </c>
      <c r="H2110" s="212" t="s">
        <v>316</v>
      </c>
      <c r="I2110" s="246" t="n">
        <f aca="false">SUM(K2110:R2110)</f>
        <v>3</v>
      </c>
      <c r="J2110" s="182" t="n">
        <v>45978</v>
      </c>
      <c r="M2110" s="150" t="n">
        <v>2</v>
      </c>
      <c r="O2110" s="152" t="n">
        <v>1</v>
      </c>
      <c r="S2110" s="192" t="n">
        <f aca="false">(K2110+O2110+Q2110)*24 /1130+(L2110+M2110+P2110+R2110)*12/1130+(N2110*30)/1130</f>
        <v>0.0424778761061947</v>
      </c>
    </row>
    <row r="2111" customFormat="false" ht="15" hidden="true" customHeight="true" outlineLevel="0" collapsed="false">
      <c r="B2111" s="233" t="n">
        <f aca="false">B2110+D2111-C2111</f>
        <v>1924.75</v>
      </c>
      <c r="C2111" s="127" t="n">
        <f aca="false">186+1200+200+723+50+253</f>
        <v>2612</v>
      </c>
      <c r="E2111" s="147" t="s">
        <v>666</v>
      </c>
      <c r="F2111" s="147" t="str">
        <f aca="false">IFERROR(VLOOKUP(H2111,$AD$1:$AE$301,2,0),"")</f>
        <v/>
      </c>
      <c r="G2111" s="147" t="str">
        <f aca="false">IFERROR(VLOOKUP(F2111,$AE$2:$AF$290,2, 0),"")</f>
        <v/>
      </c>
      <c r="H2111" s="212" t="s">
        <v>393</v>
      </c>
      <c r="I2111" s="246" t="n">
        <f aca="false">SUM(K2111:R2111)</f>
        <v>0</v>
      </c>
      <c r="J2111" s="182" t="n">
        <v>45978</v>
      </c>
      <c r="S2111" s="192" t="n">
        <f aca="false">(K2111+O2111+Q2111)*24 /1130+(L2111+M2111+P2111+R2111)*12/1130+(N2111*30)/1130</f>
        <v>0</v>
      </c>
    </row>
    <row r="2112" customFormat="false" ht="15" hidden="true" customHeight="true" outlineLevel="0" collapsed="false">
      <c r="B2112" s="233" t="n">
        <f aca="false">B2111+D2112-C2112</f>
        <v>0.75</v>
      </c>
      <c r="C2112" s="127" t="n">
        <v>1924</v>
      </c>
      <c r="E2112" s="147" t="s">
        <v>668</v>
      </c>
      <c r="F2112" s="147" t="str">
        <f aca="false">IFERROR(VLOOKUP(H2112,$AD$1:$AE$301,2,0),"")</f>
        <v/>
      </c>
      <c r="G2112" s="147" t="str">
        <f aca="false">IFERROR(VLOOKUP(F2112,$AE$2:$AF$290,2, 0),"")</f>
        <v/>
      </c>
      <c r="H2112" s="212" t="s">
        <v>393</v>
      </c>
      <c r="I2112" s="246" t="n">
        <f aca="false">SUM(K2112:R2112)</f>
        <v>0</v>
      </c>
      <c r="J2112" s="182" t="n">
        <v>45979</v>
      </c>
      <c r="S2112" s="192" t="n">
        <f aca="false">(K2112+O2112+Q2112)*24 /1130+(L2112+M2112+P2112+R2112)*12/1130+(N2112*30)/1130</f>
        <v>0</v>
      </c>
    </row>
    <row r="2113" customFormat="false" ht="15" hidden="true" customHeight="true" outlineLevel="0" collapsed="false">
      <c r="A2113" s="128" t="n">
        <f aca="false">D2113-138</f>
        <v>0</v>
      </c>
      <c r="B2113" s="233" t="n">
        <f aca="false">B2112+D2113-C2113</f>
        <v>138.75</v>
      </c>
      <c r="D2113" s="146" t="n">
        <v>138</v>
      </c>
      <c r="E2113" s="147" t="n">
        <v>53001660</v>
      </c>
      <c r="F2113" s="147" t="n">
        <f aca="false">IFERROR(VLOOKUP(H2113,$AD$1:$AE$301,2,0),"")</f>
        <v>1002940</v>
      </c>
      <c r="G2113" s="147" t="str">
        <f aca="false">IFERROR(VLOOKUP(F2113,$AE$2:$AF$290,2, 0),"")</f>
        <v>تبوك</v>
      </c>
      <c r="H2113" s="212" t="s">
        <v>167</v>
      </c>
      <c r="I2113" s="246" t="n">
        <f aca="false">SUM(K2113:R2113)</f>
        <v>1</v>
      </c>
      <c r="J2113" s="182" t="n">
        <v>45979</v>
      </c>
      <c r="Q2113" s="154" t="n">
        <v>1</v>
      </c>
      <c r="S2113" s="192" t="n">
        <f aca="false">(K2113+O2113+Q2113)*24 /1130+(L2113+M2113+P2113+R2113)*12/1130+(N2113*30)/1130</f>
        <v>0.0212389380530973</v>
      </c>
    </row>
    <row r="2114" customFormat="false" ht="15" hidden="true" customHeight="true" outlineLevel="0" collapsed="false">
      <c r="A2114" s="128" t="n">
        <f aca="false">D2114-100-950-2.25</f>
        <v>0</v>
      </c>
      <c r="B2114" s="233" t="n">
        <f aca="false">B2113+D2114-C2114</f>
        <v>1191</v>
      </c>
      <c r="D2114" s="146" t="n">
        <f aca="false">155.25*5+138*2</f>
        <v>1052.25</v>
      </c>
      <c r="E2114" s="147" t="n">
        <v>53001661</v>
      </c>
      <c r="F2114" s="147" t="n">
        <f aca="false">IFERROR(VLOOKUP(H2114,$AD$1:$AE$301,2,0),"")</f>
        <v>1006470</v>
      </c>
      <c r="G2114" s="147" t="str">
        <f aca="false">IFERROR(VLOOKUP(F2114,$AE$2:$AF$290,2, 0),"")</f>
        <v>تبوك</v>
      </c>
      <c r="H2114" s="212" t="s">
        <v>276</v>
      </c>
      <c r="I2114" s="246" t="n">
        <f aca="false">SUM(K2114:R2114)</f>
        <v>7</v>
      </c>
      <c r="J2114" s="182" t="n">
        <v>45979</v>
      </c>
      <c r="Q2114" s="154" t="n">
        <v>2</v>
      </c>
      <c r="R2114" s="155" t="n">
        <v>5</v>
      </c>
      <c r="S2114" s="192" t="n">
        <f aca="false">(K2114+O2114+Q2114)*24 /1130+(L2114+M2114+P2114+R2114)*12/1130+(N2114*30)/1130</f>
        <v>0.0955752212389381</v>
      </c>
    </row>
    <row r="2115" customFormat="false" ht="15" hidden="true" customHeight="true" outlineLevel="0" collapsed="false">
      <c r="B2115" s="233" t="n">
        <f aca="false">B2114+D2115-C2115</f>
        <v>2088</v>
      </c>
      <c r="D2115" s="146" t="n">
        <f aca="false">299*3</f>
        <v>897</v>
      </c>
      <c r="E2115" s="147" t="n">
        <v>53001662</v>
      </c>
      <c r="F2115" s="147" t="n">
        <f aca="false">IFERROR(VLOOKUP(H2115,$AD$1:$AE$301,2,0),"")</f>
        <v>629</v>
      </c>
      <c r="G2115" s="147" t="str">
        <f aca="false">IFERROR(VLOOKUP(F2115,$AE$2:$AF$290,2, 0),"")</f>
        <v>تبوك</v>
      </c>
      <c r="H2115" s="212" t="s">
        <v>246</v>
      </c>
      <c r="I2115" s="246" t="n">
        <f aca="false">SUM(K2115:R2115)</f>
        <v>3</v>
      </c>
      <c r="J2115" s="182" t="n">
        <v>45979</v>
      </c>
      <c r="R2115" s="155" t="n">
        <v>3</v>
      </c>
      <c r="S2115" s="192" t="n">
        <f aca="false">(K2115+O2115+Q2115)*24 /1130+(L2115+M2115+P2115+R2115)*12/1130+(N2115*30)/1130</f>
        <v>0.031858407079646</v>
      </c>
    </row>
    <row r="2116" customFormat="false" ht="15" hidden="true" customHeight="true" outlineLevel="0" collapsed="false">
      <c r="A2116" s="128" t="n">
        <f aca="false">D2116-1200+32.75</f>
        <v>0</v>
      </c>
      <c r="B2116" s="233" t="n">
        <f aca="false">B2115+D2116-C2116</f>
        <v>3255.25</v>
      </c>
      <c r="D2116" s="146" t="n">
        <f aca="false">235.75*3+230*2</f>
        <v>1167.25</v>
      </c>
      <c r="E2116" s="147" t="n">
        <v>53001663</v>
      </c>
      <c r="F2116" s="147" t="n">
        <f aca="false">IFERROR(VLOOKUP(H2116,$AD$1:$AE$301,2,0),"")</f>
        <v>855</v>
      </c>
      <c r="G2116" s="147" t="str">
        <f aca="false">IFERROR(VLOOKUP(F2116,$AE$2:$AF$290,2, 0),"")</f>
        <v>تبوك</v>
      </c>
      <c r="H2116" s="212" t="s">
        <v>141</v>
      </c>
      <c r="I2116" s="246" t="n">
        <f aca="false">SUM(K2116:R2116)</f>
        <v>5</v>
      </c>
      <c r="J2116" s="182" t="n">
        <v>45979</v>
      </c>
      <c r="M2116" s="150" t="n">
        <f aca="false">3+2</f>
        <v>5</v>
      </c>
      <c r="S2116" s="192" t="n">
        <f aca="false">(K2116+O2116+Q2116)*24 /1130+(L2116+M2116+P2116+R2116)*12/1130+(N2116*30)/1130</f>
        <v>0.0530973451327434</v>
      </c>
    </row>
    <row r="2117" customFormat="false" ht="15" hidden="true" customHeight="true" outlineLevel="0" collapsed="false">
      <c r="B2117" s="233" t="n">
        <f aca="false">B2116+D2117-C2117</f>
        <v>0</v>
      </c>
      <c r="C2117" s="127" t="n">
        <v>3255</v>
      </c>
      <c r="D2117" s="146" t="n">
        <v>-0.25</v>
      </c>
      <c r="E2117" s="147" t="s">
        <v>668</v>
      </c>
      <c r="F2117" s="147" t="str">
        <f aca="false">IFERROR(VLOOKUP(H2117,$AD$1:$AE$301,2,0),"")</f>
        <v/>
      </c>
      <c r="G2117" s="147" t="str">
        <f aca="false">IFERROR(VLOOKUP(F2117,$AE$2:$AF$290,2, 0),"")</f>
        <v/>
      </c>
      <c r="H2117" s="212" t="s">
        <v>393</v>
      </c>
      <c r="I2117" s="246" t="n">
        <f aca="false">SUM(K2117:R2117)</f>
        <v>0</v>
      </c>
      <c r="J2117" s="182" t="n">
        <v>45980</v>
      </c>
      <c r="S2117" s="192" t="n">
        <f aca="false">(K2117+O2117+Q2117)*24 /1130+(L2117+M2117+P2117+R2117)*12/1130+(N2117*30)/1130</f>
        <v>0</v>
      </c>
    </row>
    <row r="2118" customFormat="false" ht="15" hidden="true" customHeight="true" outlineLevel="0" collapsed="false">
      <c r="A2118" s="128" t="n">
        <f aca="false">D2118-230-200-115-300</f>
        <v>0.25</v>
      </c>
      <c r="B2118" s="233" t="n">
        <f aca="false">B2117+D2118-C2118</f>
        <v>845.25</v>
      </c>
      <c r="D2118" s="146" t="n">
        <f aca="false">281.75*3</f>
        <v>845.25</v>
      </c>
      <c r="E2118" s="147" t="n">
        <v>53001664</v>
      </c>
      <c r="F2118" s="147" t="n">
        <f aca="false">IFERROR(VLOOKUP(H2118,$AD$1:$AE$301,2,0),"")</f>
        <v>1002914</v>
      </c>
      <c r="G2118" s="147" t="str">
        <f aca="false">IFERROR(VLOOKUP(F2118,$AE$2:$AF$290,2, 0),"")</f>
        <v>تبوك</v>
      </c>
      <c r="H2118" s="212" t="s">
        <v>162</v>
      </c>
      <c r="I2118" s="246" t="n">
        <f aca="false">SUM(K2118:R2118)</f>
        <v>3</v>
      </c>
      <c r="J2118" s="182" t="n">
        <v>45980</v>
      </c>
      <c r="K2118" s="148" t="n">
        <f aca="false">2+1</f>
        <v>3</v>
      </c>
      <c r="S2118" s="192" t="n">
        <f aca="false">(K2118+O2118+Q2118)*24 /1130+(L2118+M2118+P2118+R2118)*12/1130+(N2118*30)/1130</f>
        <v>0.063716814159292</v>
      </c>
    </row>
    <row r="2119" customFormat="false" ht="15" hidden="true" customHeight="true" outlineLevel="0" collapsed="false">
      <c r="A2119" s="128" t="n">
        <f aca="false">D2119-1725</f>
        <v>0</v>
      </c>
      <c r="B2119" s="233" t="n">
        <f aca="false">B2118+D2119-C2119</f>
        <v>2570.25</v>
      </c>
      <c r="D2119" s="146" t="n">
        <f aca="false">345*5</f>
        <v>1725</v>
      </c>
      <c r="E2119" s="147" t="n">
        <v>53001665</v>
      </c>
      <c r="F2119" s="147" t="n">
        <f aca="false">IFERROR(VLOOKUP(H2119,$AD$1:$AE$301,2,0),"")</f>
        <v>1002934</v>
      </c>
      <c r="G2119" s="147" t="str">
        <f aca="false">IFERROR(VLOOKUP(F2119,$AE$2:$AF$290,2, 0),"")</f>
        <v>تبوك</v>
      </c>
      <c r="H2119" s="212" t="s">
        <v>243</v>
      </c>
      <c r="I2119" s="246" t="n">
        <f aca="false">SUM(K2119:R2119)</f>
        <v>5</v>
      </c>
      <c r="J2119" s="182" t="n">
        <v>45980</v>
      </c>
      <c r="M2119" s="150" t="n">
        <v>5</v>
      </c>
      <c r="S2119" s="192" t="n">
        <f aca="false">(K2119+O2119+Q2119)*24 /1130+(L2119+M2119+P2119+R2119)*12/1130+(N2119*30)/1130</f>
        <v>0.0530973451327434</v>
      </c>
    </row>
    <row r="2120" customFormat="false" ht="15" hidden="true" customHeight="true" outlineLevel="0" collapsed="false">
      <c r="A2120" s="128" t="n">
        <f aca="false">D2120-845</f>
        <v>0.25</v>
      </c>
      <c r="B2120" s="233" t="n">
        <f aca="false">B2119+D2120-C2120</f>
        <v>3415.5</v>
      </c>
      <c r="D2120" s="146" t="n">
        <f aca="false">281.75*3</f>
        <v>845.25</v>
      </c>
      <c r="E2120" s="147" t="n">
        <v>53001666</v>
      </c>
      <c r="F2120" s="147" t="n">
        <f aca="false">IFERROR(VLOOKUP(H2120,$AD$1:$AE$301,2,0),"")</f>
        <v>1008022</v>
      </c>
      <c r="G2120" s="147" t="str">
        <f aca="false">IFERROR(VLOOKUP(F2120,$AE$2:$AF$290,2, 0),"")</f>
        <v>ضباء</v>
      </c>
      <c r="H2120" s="212" t="s">
        <v>94</v>
      </c>
      <c r="I2120" s="246" t="n">
        <f aca="false">SUM(K2120:R2120)</f>
        <v>3</v>
      </c>
      <c r="J2120" s="182" t="n">
        <v>45980</v>
      </c>
      <c r="K2120" s="148" t="n">
        <f aca="false">2+1</f>
        <v>3</v>
      </c>
      <c r="S2120" s="192" t="n">
        <f aca="false">(K2120+O2120+Q2120)*24 /1130+(L2120+M2120+P2120+R2120)*12/1130+(N2120*30)/1130</f>
        <v>0.063716814159292</v>
      </c>
    </row>
    <row r="2121" customFormat="false" ht="15" hidden="true" customHeight="true" outlineLevel="0" collapsed="false">
      <c r="A2121" s="128" t="n">
        <f aca="false">D2121-822</f>
        <v>0.25</v>
      </c>
      <c r="B2121" s="233" t="n">
        <f aca="false">B2120+D2121-C2121</f>
        <v>4237.75</v>
      </c>
      <c r="D2121" s="146" t="n">
        <f aca="false">3*274+0.25</f>
        <v>822.25</v>
      </c>
      <c r="E2121" s="147" t="n">
        <v>53001667</v>
      </c>
      <c r="F2121" s="147" t="n">
        <f aca="false">IFERROR(VLOOKUP(H2121,$AD$1:$AE$301,2,0),"")</f>
        <v>1008023</v>
      </c>
      <c r="G2121" s="147" t="str">
        <f aca="false">IFERROR(VLOOKUP(F2121,$AE$2:$AF$290,2, 0),"")</f>
        <v>ضباء</v>
      </c>
      <c r="H2121" s="212" t="s">
        <v>95</v>
      </c>
      <c r="I2121" s="246" t="n">
        <f aca="false">SUM(K2121:R2121)</f>
        <v>3</v>
      </c>
      <c r="J2121" s="182" t="n">
        <v>45980</v>
      </c>
      <c r="N2121" s="151" t="n">
        <v>3</v>
      </c>
      <c r="S2121" s="192" t="n">
        <f aca="false">(K2121+O2121+Q2121)*24 /1130+(L2121+M2121+P2121+R2121)*12/1130+(N2121*30)/1130</f>
        <v>0.079646017699115</v>
      </c>
    </row>
    <row r="2122" customFormat="false" ht="15" hidden="true" customHeight="true" outlineLevel="0" collapsed="false">
      <c r="B2122" s="233" t="n">
        <f aca="false">B2121+D2122-C2122</f>
        <v>5060</v>
      </c>
      <c r="D2122" s="146" t="n">
        <f aca="false">3*274+0.25</f>
        <v>822.25</v>
      </c>
      <c r="E2122" s="147" t="n">
        <v>53001668</v>
      </c>
      <c r="F2122" s="147" t="n">
        <f aca="false">IFERROR(VLOOKUP(H2122,$AD$1:$AE$301,2,0),"")</f>
        <v>1033</v>
      </c>
      <c r="G2122" s="147" t="str">
        <f aca="false">IFERROR(VLOOKUP(F2122,$AE$2:$AF$290,2, 0),"")</f>
        <v>الوجه</v>
      </c>
      <c r="H2122" s="212" t="s">
        <v>117</v>
      </c>
      <c r="I2122" s="246" t="n">
        <f aca="false">SUM(K2122:R2122)</f>
        <v>3</v>
      </c>
      <c r="J2122" s="182" t="n">
        <v>45980</v>
      </c>
      <c r="N2122" s="151" t="n">
        <v>3</v>
      </c>
      <c r="S2122" s="192" t="n">
        <f aca="false">(K2122+O2122+Q2122)*24 /1130+(L2122+M2122+P2122+R2122)*12/1130+(N2122*30)/1130</f>
        <v>0.079646017699115</v>
      </c>
    </row>
    <row r="2123" customFormat="false" ht="15" hidden="true" customHeight="true" outlineLevel="0" collapsed="false">
      <c r="B2123" s="233" t="n">
        <f aca="false">B2122+D2123-C2123</f>
        <v>5750</v>
      </c>
      <c r="D2123" s="146" t="n">
        <f aca="false">345*2</f>
        <v>690</v>
      </c>
      <c r="E2123" s="147" t="n">
        <v>53001669</v>
      </c>
      <c r="F2123" s="147" t="n">
        <f aca="false">IFERROR(VLOOKUP(H2123,$AD$1:$AE$301,2,0),"")</f>
        <v>1008048</v>
      </c>
      <c r="G2123" s="147" t="str">
        <f aca="false">IFERROR(VLOOKUP(F2123,$AE$2:$AF$290,2, 0),"")</f>
        <v>الوجه</v>
      </c>
      <c r="H2123" s="212" t="s">
        <v>110</v>
      </c>
      <c r="I2123" s="246" t="n">
        <f aca="false">SUM(K2123:R2123)</f>
        <v>2</v>
      </c>
      <c r="J2123" s="182" t="n">
        <v>45980</v>
      </c>
      <c r="M2123" s="150" t="n">
        <v>2</v>
      </c>
      <c r="S2123" s="192" t="n">
        <f aca="false">(K2123+O2123+Q2123)*24 /1130+(L2123+M2123+P2123+R2123)*12/1130+(N2123*30)/1130</f>
        <v>0.0212389380530973</v>
      </c>
    </row>
    <row r="2124" customFormat="false" ht="15" hidden="true" customHeight="true" outlineLevel="0" collapsed="false">
      <c r="A2124" s="128" t="n">
        <f aca="false">D2124-845</f>
        <v>0.25</v>
      </c>
      <c r="B2124" s="233" t="n">
        <f aca="false">B2123+D2124-C2124</f>
        <v>6595.25</v>
      </c>
      <c r="D2124" s="146" t="n">
        <f aca="false">281.75*3</f>
        <v>845.25</v>
      </c>
      <c r="E2124" s="147" t="n">
        <v>53001670</v>
      </c>
      <c r="F2124" s="147" t="n">
        <f aca="false">IFERROR(VLOOKUP(H2124,$AD$1:$AE$301,2,0),"")</f>
        <v>1008054</v>
      </c>
      <c r="G2124" s="147" t="str">
        <f aca="false">IFERROR(VLOOKUP(F2124,$AE$2:$AF$290,2, 0),"")</f>
        <v>الوجه</v>
      </c>
      <c r="H2124" s="212" t="s">
        <v>112</v>
      </c>
      <c r="I2124" s="246" t="n">
        <f aca="false">SUM(K2124:R2124)</f>
        <v>3</v>
      </c>
      <c r="J2124" s="182" t="n">
        <v>45980</v>
      </c>
      <c r="K2124" s="148" t="n">
        <v>3</v>
      </c>
      <c r="S2124" s="192" t="n">
        <f aca="false">(K2124+O2124+Q2124)*24 /1130+(L2124+M2124+P2124+R2124)*12/1130+(N2124*30)/1130</f>
        <v>0.063716814159292</v>
      </c>
    </row>
    <row r="2125" customFormat="false" ht="15" hidden="true" customHeight="true" outlineLevel="0" collapsed="false">
      <c r="A2125" s="128" t="n">
        <f aca="false">D2125-230</f>
        <v>0</v>
      </c>
      <c r="B2125" s="233" t="n">
        <f aca="false">B2124+D2125-C2125</f>
        <v>6825.25</v>
      </c>
      <c r="D2125" s="146" t="n">
        <f aca="false">230</f>
        <v>230</v>
      </c>
      <c r="E2125" s="147" t="n">
        <v>53001671</v>
      </c>
      <c r="F2125" s="147" t="n">
        <f aca="false">IFERROR(VLOOKUP(H2125,$AD$1:$AE$301,2,0),"")</f>
        <v>1007988</v>
      </c>
      <c r="G2125" s="147" t="str">
        <f aca="false">IFERROR(VLOOKUP(F2125,$AE$2:$AF$290,2, 0),"")</f>
        <v>ضباء</v>
      </c>
      <c r="H2125" s="212" t="s">
        <v>89</v>
      </c>
      <c r="I2125" s="246" t="n">
        <f aca="false">SUM(K2125:R2125)</f>
        <v>1</v>
      </c>
      <c r="J2125" s="182" t="n">
        <v>45980</v>
      </c>
      <c r="M2125" s="150" t="n">
        <v>1</v>
      </c>
      <c r="S2125" s="192" t="n">
        <f aca="false">(K2125+O2125+Q2125)*24 /1130+(L2125+M2125+P2125+R2125)*12/1130+(N2125*30)/1130</f>
        <v>0.0106194690265487</v>
      </c>
    </row>
    <row r="2126" customFormat="false" ht="15" hidden="true" customHeight="true" outlineLevel="0" collapsed="false">
      <c r="B2126" s="233" t="n">
        <f aca="false">B2125+D2126-C2126</f>
        <v>5584.25</v>
      </c>
      <c r="C2126" s="127" t="n">
        <f aca="false">1011+230</f>
        <v>1241</v>
      </c>
      <c r="E2126" s="147" t="s">
        <v>668</v>
      </c>
      <c r="F2126" s="147" t="str">
        <f aca="false">IFERROR(VLOOKUP(H2126,$AD$1:$AE$301,2,0),"")</f>
        <v/>
      </c>
      <c r="G2126" s="147" t="str">
        <f aca="false">IFERROR(VLOOKUP(F2126,$AE$2:$AF$290,2, 0),"")</f>
        <v/>
      </c>
      <c r="H2126" s="212" t="s">
        <v>393</v>
      </c>
      <c r="I2126" s="246" t="n">
        <f aca="false">SUM(K2126:R2126)</f>
        <v>0</v>
      </c>
      <c r="J2126" s="182" t="n">
        <v>45981</v>
      </c>
      <c r="S2126" s="192" t="n">
        <f aca="false">(K2126+O2126+Q2126)*24 /1130+(L2126+M2126+P2126+R2126)*12/1130+(N2126*30)/1130</f>
        <v>0</v>
      </c>
    </row>
    <row r="2127" customFormat="false" ht="15" hidden="true" customHeight="true" outlineLevel="0" collapsed="false">
      <c r="B2127" s="233" t="n">
        <f aca="false">B2126+D2127-C2127</f>
        <v>3917.5</v>
      </c>
      <c r="C2127" s="127" t="n">
        <f aca="false">845+200+281.75+133+207</f>
        <v>1666.75</v>
      </c>
      <c r="E2127" s="147" t="s">
        <v>666</v>
      </c>
      <c r="F2127" s="147" t="str">
        <f aca="false">IFERROR(VLOOKUP(H2127,$AD$1:$AE$301,2,0),"")</f>
        <v/>
      </c>
      <c r="G2127" s="147" t="str">
        <f aca="false">IFERROR(VLOOKUP(F2127,$AE$2:$AF$290,2, 0),"")</f>
        <v/>
      </c>
      <c r="H2127" s="212" t="s">
        <v>393</v>
      </c>
      <c r="I2127" s="246" t="n">
        <f aca="false">SUM(K2127:R2127)</f>
        <v>0</v>
      </c>
      <c r="J2127" s="182" t="n">
        <v>45981</v>
      </c>
      <c r="S2127" s="192" t="n">
        <f aca="false">(K2127+O2127+Q2127)*24 /1130+(L2127+M2127+P2127+R2127)*12/1130+(N2127*30)/1130</f>
        <v>0</v>
      </c>
    </row>
    <row r="2128" customFormat="false" ht="15" hidden="true" customHeight="true" outlineLevel="0" collapsed="false">
      <c r="B2128" s="233" t="n">
        <f aca="false">B2127+D2128-C2128</f>
        <v>2192.5</v>
      </c>
      <c r="C2128" s="127" t="n">
        <v>1725</v>
      </c>
      <c r="E2128" s="147" t="s">
        <v>672</v>
      </c>
      <c r="F2128" s="147" t="str">
        <f aca="false">IFERROR(VLOOKUP(H2128,$AD$1:$AE$301,2,0),"")</f>
        <v/>
      </c>
      <c r="G2128" s="147" t="str">
        <f aca="false">IFERROR(VLOOKUP(F2128,$AE$2:$AF$290,2, 0),"")</f>
        <v/>
      </c>
      <c r="H2128" s="212" t="s">
        <v>393</v>
      </c>
      <c r="I2128" s="246" t="n">
        <f aca="false">SUM(K2128:R2128)</f>
        <v>0</v>
      </c>
      <c r="J2128" s="182" t="n">
        <v>45981</v>
      </c>
      <c r="S2128" s="192" t="n">
        <f aca="false">(K2128+O2128+Q2128)*24 /1130+(L2128+M2128+P2128+R2128)*12/1130+(N2128*30)/1130</f>
        <v>0</v>
      </c>
    </row>
    <row r="2129" customFormat="false" ht="15" hidden="true" customHeight="true" outlineLevel="0" collapsed="false">
      <c r="B2129" s="233" t="n">
        <f aca="false">B2128+D2129-C2129</f>
        <v>0.5</v>
      </c>
      <c r="C2129" s="127" t="n">
        <v>2192</v>
      </c>
      <c r="E2129" s="147" t="s">
        <v>668</v>
      </c>
      <c r="F2129" s="147" t="str">
        <f aca="false">IFERROR(VLOOKUP(H2129,$AD$1:$AE$301,2,0),"")</f>
        <v/>
      </c>
      <c r="G2129" s="147" t="str">
        <f aca="false">IFERROR(VLOOKUP(F2129,$AE$2:$AF$290,2, 0),"")</f>
        <v/>
      </c>
      <c r="H2129" s="212" t="s">
        <v>393</v>
      </c>
      <c r="I2129" s="246" t="n">
        <f aca="false">SUM(K2129:R2129)</f>
        <v>0</v>
      </c>
      <c r="J2129" s="182" t="n">
        <v>45981</v>
      </c>
      <c r="S2129" s="192" t="n">
        <f aca="false">(K2129+O2129+Q2129)*24 /1130+(L2129+M2129+P2129+R2129)*12/1130+(N2129*30)/1130</f>
        <v>0</v>
      </c>
    </row>
    <row r="2130" customFormat="false" ht="15" hidden="true" customHeight="true" outlineLevel="0" collapsed="false">
      <c r="B2130" s="233" t="n">
        <f aca="false">B2129+D2130-C2130</f>
        <v>207.5</v>
      </c>
      <c r="D2130" s="146" t="n">
        <f aca="false">51.75*4</f>
        <v>207</v>
      </c>
      <c r="E2130" s="147" t="n">
        <v>53001672</v>
      </c>
      <c r="F2130" s="147" t="n">
        <f aca="false">IFERROR(VLOOKUP(H2130,$AD$1:$AE$301,2,0),"")</f>
        <v>945</v>
      </c>
      <c r="G2130" s="147" t="str">
        <f aca="false">IFERROR(VLOOKUP(F2130,$AE$2:$AF$290,2, 0),"")</f>
        <v>تبوك</v>
      </c>
      <c r="H2130" s="212" t="s">
        <v>137</v>
      </c>
      <c r="I2130" s="246" t="n">
        <f aca="false">SUM(K2130:R2130)</f>
        <v>4</v>
      </c>
      <c r="J2130" s="182" t="n">
        <v>45981</v>
      </c>
      <c r="R2130" s="155" t="n">
        <v>4</v>
      </c>
      <c r="S2130" s="192" t="n">
        <f aca="false">(K2130+O2130+Q2130)*24 /1130+(L2130+M2130+P2130+R2130)*12/1130+(N2130*30)/1130</f>
        <v>0.0424778761061947</v>
      </c>
    </row>
    <row r="2131" customFormat="false" ht="15" hidden="true" customHeight="true" outlineLevel="0" collapsed="false">
      <c r="A2131" s="128" t="n">
        <f aca="false">D2131-281.75-563</f>
        <v>0.5</v>
      </c>
      <c r="B2131" s="233" t="n">
        <f aca="false">B2130+D2131-C2131</f>
        <v>1052.75</v>
      </c>
      <c r="D2131" s="146" t="n">
        <f aca="false">281.75*3</f>
        <v>845.25</v>
      </c>
      <c r="E2131" s="147" t="n">
        <v>53001673</v>
      </c>
      <c r="F2131" s="147" t="n">
        <f aca="false">IFERROR(VLOOKUP(H2131,$AD$1:$AE$301,2,0),"")</f>
        <v>1008261</v>
      </c>
      <c r="G2131" s="147" t="str">
        <f aca="false">IFERROR(VLOOKUP(F2131,$AE$2:$AF$290,2, 0),"")</f>
        <v>تبوك</v>
      </c>
      <c r="H2131" s="212" t="s">
        <v>440</v>
      </c>
      <c r="I2131" s="246" t="n">
        <f aca="false">SUM(K2131:R2131)</f>
        <v>3</v>
      </c>
      <c r="J2131" s="182" t="n">
        <v>45981</v>
      </c>
      <c r="K2131" s="148" t="n">
        <f aca="false">2+1</f>
        <v>3</v>
      </c>
      <c r="S2131" s="192" t="n">
        <f aca="false">(K2131+O2131+Q2131)*24 /1130+(L2131+M2131+P2131+R2131)*12/1130+(N2131*30)/1130</f>
        <v>0.063716814159292</v>
      </c>
    </row>
    <row r="2132" customFormat="false" ht="15" hidden="true" customHeight="true" outlineLevel="0" collapsed="false">
      <c r="A2132" s="128" t="n">
        <f aca="false">D2132-85*5-1011+44.5</f>
        <v>0</v>
      </c>
      <c r="B2132" s="233" t="n">
        <f aca="false">B2131+D2132-C2132</f>
        <v>2444.25</v>
      </c>
      <c r="D2132" s="146" t="n">
        <f aca="false">299*2+264.5*3</f>
        <v>1391.5</v>
      </c>
      <c r="E2132" s="147" t="n">
        <v>53001674</v>
      </c>
      <c r="F2132" s="147" t="n">
        <f aca="false">IFERROR(VLOOKUP(H2132,$AD$1:$AE$301,2,0),"")</f>
        <v>1002931</v>
      </c>
      <c r="G2132" s="147" t="str">
        <f aca="false">IFERROR(VLOOKUP(F2132,$AE$2:$AF$290,2, 0),"")</f>
        <v>تبوك</v>
      </c>
      <c r="H2132" s="212" t="s">
        <v>248</v>
      </c>
      <c r="I2132" s="246" t="n">
        <f aca="false">SUM(K2132:R2132)</f>
        <v>5</v>
      </c>
      <c r="J2132" s="182" t="n">
        <v>45981</v>
      </c>
      <c r="R2132" s="155" t="n">
        <f aca="false">3+2</f>
        <v>5</v>
      </c>
      <c r="S2132" s="192" t="n">
        <f aca="false">(K2132+O2132+Q2132)*24 /1130+(L2132+M2132+P2132+R2132)*12/1130+(N2132*30)/1130</f>
        <v>0.0530973451327434</v>
      </c>
    </row>
    <row r="2133" customFormat="false" ht="15" hidden="true" customHeight="true" outlineLevel="0" collapsed="false">
      <c r="B2133" s="233" t="n">
        <f aca="false">B2132+D2133-C2133</f>
        <v>3088.25</v>
      </c>
      <c r="D2133" s="146" t="n">
        <f aca="false">253*2+138</f>
        <v>644</v>
      </c>
      <c r="E2133" s="147" t="n">
        <v>53001675</v>
      </c>
      <c r="F2133" s="147" t="n">
        <f aca="false">IFERROR(VLOOKUP(H2133,$AD$1:$AE$301,2,0),"")</f>
        <v>1002891</v>
      </c>
      <c r="G2133" s="147" t="str">
        <f aca="false">IFERROR(VLOOKUP(F2133,$AE$2:$AF$290,2, 0),"")</f>
        <v>تبوك</v>
      </c>
      <c r="H2133" s="212" t="s">
        <v>201</v>
      </c>
      <c r="I2133" s="246" t="n">
        <f aca="false">SUM(K2133:R2133)</f>
        <v>3</v>
      </c>
      <c r="J2133" s="182" t="n">
        <v>45981</v>
      </c>
      <c r="M2133" s="150" t="n">
        <f aca="false">2</f>
        <v>2</v>
      </c>
      <c r="Q2133" s="154" t="n">
        <v>1</v>
      </c>
      <c r="S2133" s="192" t="n">
        <f aca="false">(K2133+O2133+Q2133)*24 /1130+(L2133+M2133+P2133+R2133)*12/1130+(N2133*30)/1130</f>
        <v>0.0424778761061947</v>
      </c>
    </row>
    <row r="2134" customFormat="false" ht="15" hidden="true" customHeight="true" outlineLevel="0" collapsed="false">
      <c r="A2134" s="128" t="n">
        <f aca="false">D2134-51-512-281.75</f>
        <v>0.5</v>
      </c>
      <c r="B2134" s="233" t="n">
        <f aca="false">B2133+D2134-C2134</f>
        <v>3933.5</v>
      </c>
      <c r="D2134" s="146" t="n">
        <f aca="false">281.75*3</f>
        <v>845.25</v>
      </c>
      <c r="E2134" s="147" t="n">
        <v>53001677</v>
      </c>
      <c r="F2134" s="147" t="n">
        <f aca="false">IFERROR(VLOOKUP(H2134,$AD$1:$AE$301,2,0),"")</f>
        <v>1002949</v>
      </c>
      <c r="G2134" s="147" t="str">
        <f aca="false">IFERROR(VLOOKUP(F2134,$AE$2:$AF$290,2, 0),"")</f>
        <v>تبوك</v>
      </c>
      <c r="H2134" s="212" t="s">
        <v>169</v>
      </c>
      <c r="I2134" s="246" t="n">
        <f aca="false">SUM(K2134:R2134)</f>
        <v>3</v>
      </c>
      <c r="J2134" s="182" t="n">
        <v>45981</v>
      </c>
      <c r="K2134" s="148" t="n">
        <f aca="false">2+1</f>
        <v>3</v>
      </c>
      <c r="S2134" s="192" t="n">
        <f aca="false">(K2134+O2134+Q2134)*24 /1130+(L2134+M2134+P2134+R2134)*12/1130+(N2134*30)/1130</f>
        <v>0.063716814159292</v>
      </c>
    </row>
    <row r="2135" customFormat="false" ht="15" hidden="true" customHeight="true" outlineLevel="0" collapsed="false">
      <c r="B2135" s="233" t="n">
        <f aca="false">B2134+D2135-C2135</f>
        <v>5198.5</v>
      </c>
      <c r="D2135" s="146" t="n">
        <f aca="false">253*5</f>
        <v>1265</v>
      </c>
      <c r="E2135" s="147" t="n">
        <v>53001676</v>
      </c>
      <c r="F2135" s="147" t="n">
        <f aca="false">IFERROR(VLOOKUP(H2135,$AD$1:$AE$301,2,0),"")</f>
        <v>1002934</v>
      </c>
      <c r="G2135" s="147" t="str">
        <f aca="false">IFERROR(VLOOKUP(F2135,$AE$2:$AF$290,2, 0),"")</f>
        <v>تبوك</v>
      </c>
      <c r="H2135" s="212" t="s">
        <v>243</v>
      </c>
      <c r="I2135" s="246" t="n">
        <f aca="false">SUM(K2135:R2135)</f>
        <v>5</v>
      </c>
      <c r="J2135" s="182" t="n">
        <v>45981</v>
      </c>
      <c r="M2135" s="150" t="n">
        <v>5</v>
      </c>
      <c r="S2135" s="192" t="n">
        <f aca="false">(K2135+O2135+Q2135)*24 /1130+(L2135+M2135+P2135+R2135)*12/1130+(N2135*30)/1130</f>
        <v>0.0530973451327434</v>
      </c>
    </row>
    <row r="2136" customFormat="false" ht="15" hidden="true" customHeight="true" outlineLevel="0" collapsed="false">
      <c r="A2136" s="128" t="n">
        <f aca="false">D2136-1600-90</f>
        <v>0.5</v>
      </c>
      <c r="B2136" s="233" t="n">
        <f aca="false">B2135+D2136-C2136</f>
        <v>6889</v>
      </c>
      <c r="D2136" s="146" t="n">
        <f aca="false">281.75*6</f>
        <v>1690.5</v>
      </c>
      <c r="E2136" s="147" t="n">
        <v>53001679</v>
      </c>
      <c r="F2136" s="147" t="n">
        <f aca="false">IFERROR(VLOOKUP(H2136,$AD$1:$AE$301,2,0),"")</f>
        <v>1002879</v>
      </c>
      <c r="G2136" s="147" t="str">
        <f aca="false">IFERROR(VLOOKUP(F2136,$AE$2:$AF$290,2, 0),"")</f>
        <v>تبوك</v>
      </c>
      <c r="H2136" s="212" t="s">
        <v>537</v>
      </c>
      <c r="I2136" s="246" t="n">
        <f aca="false">SUM(K2136:R2136)</f>
        <v>6</v>
      </c>
      <c r="J2136" s="182" t="n">
        <v>45981</v>
      </c>
      <c r="K2136" s="148" t="n">
        <f aca="false">4+2</f>
        <v>6</v>
      </c>
      <c r="S2136" s="192" t="n">
        <f aca="false">(K2136+O2136+Q2136)*24 /1130+(L2136+M2136+P2136+R2136)*12/1130+(N2136*30)/1130</f>
        <v>0.127433628318584</v>
      </c>
    </row>
    <row r="2137" customFormat="false" ht="15" hidden="true" customHeight="true" outlineLevel="0" collapsed="false">
      <c r="A2137" s="128" t="n">
        <f aca="false">D2137-310</f>
        <v>0.5</v>
      </c>
      <c r="B2137" s="233" t="n">
        <f aca="false">B2136+D2137-C2137</f>
        <v>7199.5</v>
      </c>
      <c r="D2137" s="146" t="n">
        <f aca="false">155.25*2</f>
        <v>310.5</v>
      </c>
      <c r="E2137" s="147" t="n">
        <v>53001678</v>
      </c>
      <c r="F2137" s="147" t="n">
        <f aca="false">IFERROR(VLOOKUP(H2137,$AD$1:$AE$301,2,0),"")</f>
        <v>1002898</v>
      </c>
      <c r="G2137" s="147" t="str">
        <f aca="false">IFERROR(VLOOKUP(F2137,$AE$2:$AF$290,2, 0),"")</f>
        <v>تبوك</v>
      </c>
      <c r="H2137" s="212" t="s">
        <v>195</v>
      </c>
      <c r="I2137" s="246" t="n">
        <f aca="false">SUM(K2137:R2137)</f>
        <v>2</v>
      </c>
      <c r="J2137" s="182" t="n">
        <v>45981</v>
      </c>
      <c r="R2137" s="155" t="n">
        <v>2</v>
      </c>
      <c r="S2137" s="192" t="n">
        <f aca="false">(K2137+O2137+Q2137)*24 /1130+(L2137+M2137+P2137+R2137)*12/1130+(N2137*30)/1130</f>
        <v>0.0212389380530973</v>
      </c>
    </row>
    <row r="2138" customFormat="false" ht="15" hidden="true" customHeight="true" outlineLevel="0" collapsed="false">
      <c r="B2138" s="233" t="n">
        <f aca="false">B2137+D2138-C2138</f>
        <v>4549.5</v>
      </c>
      <c r="C2138" s="127" t="n">
        <v>2650</v>
      </c>
      <c r="E2138" s="147" t="s">
        <v>668</v>
      </c>
      <c r="F2138" s="147" t="str">
        <f aca="false">IFERROR(VLOOKUP(H2138,$AD$1:$AE$301,2,0),"")</f>
        <v/>
      </c>
      <c r="G2138" s="147" t="str">
        <f aca="false">IFERROR(VLOOKUP(F2138,$AE$2:$AF$290,2, 0),"")</f>
        <v/>
      </c>
      <c r="H2138" s="212" t="s">
        <v>393</v>
      </c>
      <c r="I2138" s="246" t="n">
        <f aca="false">SUM(K2138:R2138)</f>
        <v>0</v>
      </c>
      <c r="J2138" s="182" t="n">
        <v>45984</v>
      </c>
      <c r="S2138" s="192" t="n">
        <f aca="false">(K2138+O2138+Q2138)*24 /1130+(L2138+M2138+P2138+R2138)*12/1130+(N2138*30)/1130</f>
        <v>0</v>
      </c>
    </row>
    <row r="2139" customFormat="false" ht="15" hidden="true" customHeight="true" outlineLevel="0" collapsed="false">
      <c r="B2139" s="233" t="n">
        <f aca="false">B2138+D2139-C2139</f>
        <v>3284.5</v>
      </c>
      <c r="C2139" s="127" t="n">
        <v>1265</v>
      </c>
      <c r="E2139" s="147" t="s">
        <v>672</v>
      </c>
      <c r="F2139" s="147" t="str">
        <f aca="false">IFERROR(VLOOKUP(H2139,$AD$1:$AE$301,2,0),"")</f>
        <v/>
      </c>
      <c r="G2139" s="147" t="str">
        <f aca="false">IFERROR(VLOOKUP(F2139,$AE$2:$AF$290,2, 0),"")</f>
        <v/>
      </c>
      <c r="H2139" s="212" t="s">
        <v>393</v>
      </c>
      <c r="I2139" s="246" t="n">
        <f aca="false">SUM(K2139:R2139)</f>
        <v>0</v>
      </c>
      <c r="J2139" s="182" t="n">
        <v>45981</v>
      </c>
      <c r="S2139" s="192" t="n">
        <f aca="false">(K2139+O2139+Q2139)*24 /1130+(L2139+M2139+P2139+R2139)*12/1130+(N2139*30)/1130</f>
        <v>0</v>
      </c>
    </row>
    <row r="2140" customFormat="false" ht="15" hidden="true" customHeight="true" outlineLevel="0" collapsed="false">
      <c r="B2140" s="233" t="n">
        <f aca="false">B2139+D2140-C2140</f>
        <v>500.5</v>
      </c>
      <c r="C2140" s="127" t="n">
        <f aca="false">644+1328+300+500+12</f>
        <v>2784</v>
      </c>
      <c r="E2140" s="147" t="s">
        <v>666</v>
      </c>
      <c r="F2140" s="147" t="str">
        <f aca="false">IFERROR(VLOOKUP(H2140,$AD$1:$AE$301,2,0),"")</f>
        <v/>
      </c>
      <c r="G2140" s="147" t="str">
        <f aca="false">IFERROR(VLOOKUP(F2140,$AE$2:$AF$290,2, 0),"")</f>
        <v/>
      </c>
      <c r="H2140" s="212" t="s">
        <v>393</v>
      </c>
      <c r="I2140" s="246" t="n">
        <f aca="false">SUM(K2140:R2140)</f>
        <v>0</v>
      </c>
      <c r="J2140" s="182" t="n">
        <v>45981</v>
      </c>
      <c r="S2140" s="192" t="n">
        <f aca="false">(K2140+O2140+Q2140)*24 /1130+(L2140+M2140+P2140+R2140)*12/1130+(N2140*30)/1130</f>
        <v>0</v>
      </c>
    </row>
    <row r="2141" customFormat="false" ht="15" hidden="true" customHeight="true" outlineLevel="0" collapsed="false">
      <c r="B2141" s="233" t="n">
        <f aca="false">B2140+D2141-C2141</f>
        <v>0</v>
      </c>
      <c r="C2141" s="127" t="n">
        <f aca="false">500</f>
        <v>500</v>
      </c>
      <c r="D2141" s="146" t="n">
        <v>-0.5</v>
      </c>
      <c r="E2141" s="147" t="s">
        <v>667</v>
      </c>
      <c r="F2141" s="147" t="str">
        <f aca="false">IFERROR(VLOOKUP(H2141,$AD$1:$AE$301,2,0),"")</f>
        <v/>
      </c>
      <c r="G2141" s="147" t="str">
        <f aca="false">IFERROR(VLOOKUP(F2141,$AE$2:$AF$290,2, 0),"")</f>
        <v/>
      </c>
      <c r="H2141" s="212" t="s">
        <v>393</v>
      </c>
      <c r="I2141" s="246" t="n">
        <f aca="false">SUM(K2141:R2141)</f>
        <v>0</v>
      </c>
      <c r="J2141" s="182" t="n">
        <v>45981</v>
      </c>
      <c r="S2141" s="192" t="n">
        <f aca="false">(K2141+O2141+Q2141)*24 /1130+(L2141+M2141+P2141+R2141)*12/1130+(N2141*30)/1130</f>
        <v>0</v>
      </c>
    </row>
    <row r="2142" customFormat="false" ht="15" hidden="true" customHeight="true" outlineLevel="0" collapsed="false">
      <c r="A2142" s="128" t="n">
        <f aca="false">D2142-130-38-10</f>
        <v>0.25</v>
      </c>
      <c r="B2142" s="233" t="n">
        <f aca="false">B2141+D2142-C2142</f>
        <v>178.25</v>
      </c>
      <c r="D2142" s="146" t="n">
        <v>178.25</v>
      </c>
      <c r="E2142" s="147" t="n">
        <v>53001680</v>
      </c>
      <c r="F2142" s="147" t="n">
        <f aca="false">IFERROR(VLOOKUP(H2142,$AD$1:$AE$301,2,0),"")</f>
        <v>539</v>
      </c>
      <c r="G2142" s="147" t="str">
        <f aca="false">IFERROR(VLOOKUP(F2142,$AE$2:$AF$290,2, 0),"")</f>
        <v>تبوك</v>
      </c>
      <c r="H2142" s="212" t="s">
        <v>237</v>
      </c>
      <c r="I2142" s="246" t="n">
        <f aca="false">SUM(K2142:R2142)</f>
        <v>1</v>
      </c>
      <c r="J2142" s="182" t="n">
        <v>45984</v>
      </c>
      <c r="L2142" s="149" t="n">
        <v>1</v>
      </c>
      <c r="S2142" s="192" t="n">
        <f aca="false">(K2142+O2142+Q2142)*24 /1130+(L2142+M2142+P2142+R2142)*12/1130+(N2142*30)/1130</f>
        <v>0.0106194690265487</v>
      </c>
    </row>
    <row r="2143" customFormat="false" ht="15" hidden="true" customHeight="true" outlineLevel="0" collapsed="false">
      <c r="A2143" s="128" t="n">
        <f aca="false">D2143-5*19-43</f>
        <v>0</v>
      </c>
      <c r="B2143" s="233" t="n">
        <f aca="false">B2142+D2143-C2143</f>
        <v>316.25</v>
      </c>
      <c r="D2143" s="146" t="n">
        <v>138</v>
      </c>
      <c r="E2143" s="147" t="n">
        <v>53001681</v>
      </c>
      <c r="F2143" s="147" t="n">
        <f aca="false">IFERROR(VLOOKUP(H2143,$AD$1:$AE$301,2,0),"")</f>
        <v>1003</v>
      </c>
      <c r="G2143" s="147" t="str">
        <f aca="false">IFERROR(VLOOKUP(F2143,$AE$2:$AF$290,2, 0),"")</f>
        <v>تبوك</v>
      </c>
      <c r="H2143" s="212" t="s">
        <v>277</v>
      </c>
      <c r="I2143" s="246" t="n">
        <f aca="false">SUM(K2143:R2143)</f>
        <v>1</v>
      </c>
      <c r="J2143" s="182" t="n">
        <v>45984</v>
      </c>
      <c r="Q2143" s="154" t="n">
        <v>1</v>
      </c>
      <c r="S2143" s="192" t="n">
        <f aca="false">(K2143+O2143+Q2143)*24 /1130+(L2143+M2143+P2143+R2143)*12/1130+(N2143*30)/1130</f>
        <v>0.0212389380530973</v>
      </c>
    </row>
    <row r="2144" customFormat="false" ht="15" hidden="true" customHeight="true" outlineLevel="0" collapsed="false">
      <c r="A2144" s="128" t="n">
        <f aca="false">D2144-983</f>
        <v>0.25</v>
      </c>
      <c r="B2144" s="233" t="n">
        <f aca="false">B2143+D2144-C2144</f>
        <v>1299.5</v>
      </c>
      <c r="D2144" s="146" t="n">
        <f aca="false">281.75*3+138</f>
        <v>983.25</v>
      </c>
      <c r="E2144" s="147" t="n">
        <v>53001682</v>
      </c>
      <c r="F2144" s="147" t="str">
        <f aca="false">IFERROR(VLOOKUP(H2144,$AD$1:$AE$301,2,0),"")</f>
        <v/>
      </c>
      <c r="G2144" s="147" t="str">
        <f aca="false">IFERROR(VLOOKUP(F2144,$AE$2:$AF$290,2, 0),"")</f>
        <v/>
      </c>
      <c r="H2144" s="212" t="s">
        <v>673</v>
      </c>
      <c r="I2144" s="246" t="n">
        <f aca="false">SUM(K2144:R2144)</f>
        <v>4</v>
      </c>
      <c r="J2144" s="182" t="n">
        <v>45984</v>
      </c>
      <c r="K2144" s="148" t="n">
        <f aca="false">1+2</f>
        <v>3</v>
      </c>
      <c r="Q2144" s="154" t="n">
        <v>1</v>
      </c>
      <c r="S2144" s="192" t="n">
        <f aca="false">(K2144+O2144+Q2144)*24 /1130+(L2144+M2144+P2144+R2144)*12/1130+(N2144*30)/1130</f>
        <v>0.0849557522123894</v>
      </c>
    </row>
    <row r="2145" customFormat="false" ht="15" hidden="true" customHeight="true" outlineLevel="0" collapsed="false">
      <c r="A2145" s="128" t="n">
        <f aca="false">D2145-101-300-281.75-400-125-120.5</f>
        <v>0</v>
      </c>
      <c r="B2145" s="233" t="n">
        <f aca="false">B2144+D2145-C2145</f>
        <v>2627.75</v>
      </c>
      <c r="D2145" s="146" t="n">
        <f aca="false">281.75*3+253+230</f>
        <v>1328.25</v>
      </c>
      <c r="E2145" s="147" t="n">
        <v>53001683</v>
      </c>
      <c r="F2145" s="147" t="n">
        <f aca="false">IFERROR(VLOOKUP(H2145,$AD$1:$AE$301,2,0),"")</f>
        <v>750</v>
      </c>
      <c r="G2145" s="147" t="str">
        <f aca="false">IFERROR(VLOOKUP(F2145,$AE$2:$AF$290,2, 0),"")</f>
        <v>تبوك</v>
      </c>
      <c r="H2145" s="212" t="s">
        <v>225</v>
      </c>
      <c r="I2145" s="246" t="n">
        <f aca="false">SUM(K2145:R2145)</f>
        <v>5</v>
      </c>
      <c r="J2145" s="182" t="n">
        <v>45984</v>
      </c>
      <c r="K2145" s="148" t="n">
        <f aca="false">1+2</f>
        <v>3</v>
      </c>
      <c r="M2145" s="150" t="n">
        <f aca="false">1+1</f>
        <v>2</v>
      </c>
      <c r="S2145" s="192" t="n">
        <f aca="false">(K2145+O2145+Q2145)*24 /1130+(L2145+M2145+P2145+R2145)*12/1130+(N2145*30)/1130</f>
        <v>0.0849557522123894</v>
      </c>
    </row>
    <row r="2146" customFormat="false" ht="15" hidden="true" customHeight="true" outlineLevel="0" collapsed="false">
      <c r="B2146" s="233" t="n">
        <f aca="false">B2145+D2146-C2146</f>
        <v>0.75</v>
      </c>
      <c r="C2146" s="127" t="n">
        <v>2627</v>
      </c>
      <c r="E2146" s="147" t="s">
        <v>668</v>
      </c>
      <c r="G2146" s="147" t="str">
        <f aca="false">IFERROR(VLOOKUP(F2146,$AE$2:$AF$290,2, 0),"")</f>
        <v/>
      </c>
      <c r="H2146" s="212" t="s">
        <v>393</v>
      </c>
      <c r="I2146" s="246" t="n">
        <f aca="false">SUM(K2146:R2146)</f>
        <v>0</v>
      </c>
      <c r="J2146" s="182" t="n">
        <v>45985</v>
      </c>
      <c r="S2146" s="192" t="n">
        <f aca="false">(K2146+O2146+Q2146)*24 /1130+(L2146+M2146+P2146+R2146)*12/1130+(N2146*30)/1130</f>
        <v>0</v>
      </c>
    </row>
    <row r="2147" customFormat="false" ht="15" hidden="true" customHeight="true" outlineLevel="0" collapsed="false">
      <c r="B2147" s="233" t="n">
        <f aca="false">B2146+D2147-C2147</f>
        <v>984</v>
      </c>
      <c r="D2147" s="146" t="n">
        <f aca="false">281.75*3+138</f>
        <v>983.25</v>
      </c>
      <c r="E2147" s="147" t="n">
        <v>53001684</v>
      </c>
      <c r="F2147" s="147" t="n">
        <f aca="false">IFERROR(VLOOKUP(H2147,$AD$1:$AE$301,2,0),"")</f>
        <v>1006466</v>
      </c>
      <c r="G2147" s="147" t="str">
        <f aca="false">IFERROR(VLOOKUP(F2147,$AE$2:$AF$290,2, 0),"")</f>
        <v>تبوك</v>
      </c>
      <c r="H2147" s="212" t="s">
        <v>148</v>
      </c>
      <c r="I2147" s="246" t="n">
        <f aca="false">SUM(K2147:R2147)</f>
        <v>4</v>
      </c>
      <c r="J2147" s="182" t="n">
        <v>45985</v>
      </c>
      <c r="K2147" s="148" t="n">
        <f aca="false">1+2</f>
        <v>3</v>
      </c>
      <c r="Q2147" s="154" t="n">
        <v>1</v>
      </c>
      <c r="S2147" s="192" t="n">
        <f aca="false">(K2147+O2147+Q2147)*24 /1130+(L2147+M2147+P2147+R2147)*12/1130+(N2147*30)/1130</f>
        <v>0.0849557522123894</v>
      </c>
    </row>
    <row r="2148" customFormat="false" ht="15" hidden="true" customHeight="true" outlineLevel="0" collapsed="false">
      <c r="A2148" s="128" t="n">
        <f aca="false">D2148-44.5-800</f>
        <v>0.75</v>
      </c>
      <c r="B2148" s="233" t="n">
        <f aca="false">B2147+D2148-C2148</f>
        <v>1829.25</v>
      </c>
      <c r="D2148" s="146" t="n">
        <f aca="false">845.25</f>
        <v>845.25</v>
      </c>
      <c r="E2148" s="147" t="n">
        <v>53001685</v>
      </c>
      <c r="F2148" s="147" t="n">
        <f aca="false">IFERROR(VLOOKUP(H2148,$AD$1:$AE$301,2,0),"")</f>
        <v>1002931</v>
      </c>
      <c r="G2148" s="147" t="str">
        <f aca="false">IFERROR(VLOOKUP(F2148,$AE$2:$AF$290,2, 0),"")</f>
        <v>تبوك</v>
      </c>
      <c r="H2148" s="212" t="s">
        <v>248</v>
      </c>
      <c r="I2148" s="246" t="n">
        <f aca="false">SUM(K2148:R2148)</f>
        <v>3</v>
      </c>
      <c r="J2148" s="182" t="n">
        <v>45985</v>
      </c>
      <c r="K2148" s="148" t="n">
        <f aca="false">1+2</f>
        <v>3</v>
      </c>
      <c r="S2148" s="192" t="n">
        <f aca="false">(K2148+O2148+Q2148)*24 /1130+(L2148+M2148+P2148+R2148)*12/1130+(N2148*30)/1130</f>
        <v>0.063716814159292</v>
      </c>
    </row>
    <row r="2149" customFormat="false" ht="15" hidden="true" customHeight="true" outlineLevel="0" collapsed="false">
      <c r="A2149" s="128" t="n">
        <f aca="false">D2149-281.75-1398-800-1400</f>
        <v>18.75</v>
      </c>
      <c r="B2149" s="233" t="n">
        <f aca="false">B2148+D2149-C2149</f>
        <v>5727.75</v>
      </c>
      <c r="D2149" s="146" t="n">
        <f aca="false">241.5*2+822.25+845.25+241.5*4+195.5*4</f>
        <v>3898.5</v>
      </c>
      <c r="E2149" s="147" t="n">
        <v>53001686</v>
      </c>
      <c r="F2149" s="147" t="n">
        <f aca="false">IFERROR(VLOOKUP(H2149,$AD$1:$AE$301,2,0),"")</f>
        <v>590</v>
      </c>
      <c r="G2149" s="147" t="str">
        <f aca="false">IFERROR(VLOOKUP(F2149,$AE$2:$AF$290,2, 0),"")</f>
        <v>البدع</v>
      </c>
      <c r="H2149" s="212" t="s">
        <v>223</v>
      </c>
      <c r="I2149" s="246" t="n">
        <f aca="false">SUM(K2149:R2149)</f>
        <v>16</v>
      </c>
      <c r="J2149" s="182" t="n">
        <v>45985</v>
      </c>
      <c r="K2149" s="148" t="n">
        <f aca="false">2+1</f>
        <v>3</v>
      </c>
      <c r="N2149" s="151" t="n">
        <v>3</v>
      </c>
      <c r="O2149" s="152" t="n">
        <v>2</v>
      </c>
      <c r="Q2149" s="154" t="n">
        <f aca="false">3+1+4</f>
        <v>8</v>
      </c>
      <c r="S2149" s="192" t="n">
        <f aca="false">(K2149+O2149+Q2149)*24 /1130+(L2149+M2149+P2149+R2149)*12/1130+(N2149*30)/1130</f>
        <v>0.355752212389381</v>
      </c>
    </row>
    <row r="2150" customFormat="false" ht="15" hidden="true" customHeight="true" outlineLevel="0" collapsed="false">
      <c r="B2150" s="233" t="n">
        <f aca="false">B2149+D2150-C2150</f>
        <v>6038.25</v>
      </c>
      <c r="D2150" s="146" t="n">
        <f aca="false">155.25*2</f>
        <v>310.5</v>
      </c>
      <c r="E2150" s="147" t="n">
        <v>53001687</v>
      </c>
      <c r="F2150" s="147" t="n">
        <f aca="false">IFERROR(VLOOKUP(H2150,$AD$1:$AE$301,2,0),"")</f>
        <v>587</v>
      </c>
      <c r="G2150" s="147" t="str">
        <f aca="false">IFERROR(VLOOKUP(F2150,$AE$2:$AF$290,2, 0),"")</f>
        <v>تبوك</v>
      </c>
      <c r="H2150" s="212" t="s">
        <v>226</v>
      </c>
      <c r="I2150" s="246" t="n">
        <f aca="false">SUM(K2150:R2150)</f>
        <v>2</v>
      </c>
      <c r="J2150" s="182" t="n">
        <v>45985</v>
      </c>
      <c r="R2150" s="155" t="n">
        <v>2</v>
      </c>
      <c r="S2150" s="192" t="n">
        <f aca="false">(K2150+O2150+Q2150)*24 /1130+(L2150+M2150+P2150+R2150)*12/1130+(N2150*30)/1130</f>
        <v>0.0212389380530973</v>
      </c>
    </row>
    <row r="2151" customFormat="false" ht="15" hidden="true" customHeight="true" outlineLevel="0" collapsed="false">
      <c r="A2151" s="128" t="n">
        <f aca="false">D2151-155</f>
        <v>0.25</v>
      </c>
      <c r="B2151" s="233" t="n">
        <f aca="false">B2150+D2151-C2151</f>
        <v>6193.5</v>
      </c>
      <c r="D2151" s="146" t="n">
        <f aca="false">155.25</f>
        <v>155.25</v>
      </c>
      <c r="E2151" s="147" t="n">
        <v>53001688</v>
      </c>
      <c r="F2151" s="147" t="n">
        <f aca="false">IFERROR(VLOOKUP(H2151,$AD$1:$AE$301,2,0),"")</f>
        <v>946</v>
      </c>
      <c r="G2151" s="147" t="str">
        <f aca="false">IFERROR(VLOOKUP(F2151,$AE$2:$AF$290,2, 0),"")</f>
        <v>تبوك</v>
      </c>
      <c r="H2151" s="212" t="s">
        <v>204</v>
      </c>
      <c r="I2151" s="246" t="n">
        <f aca="false">SUM(K2151:R2151)</f>
        <v>1</v>
      </c>
      <c r="J2151" s="182" t="n">
        <v>45985</v>
      </c>
      <c r="R2151" s="155" t="n">
        <v>1</v>
      </c>
      <c r="S2151" s="192" t="n">
        <f aca="false">(K2151+O2151+Q2151)*24 /1130+(L2151+M2151+P2151+R2151)*12/1130+(N2151*30)/1130</f>
        <v>0.0106194690265487</v>
      </c>
    </row>
    <row r="2152" customFormat="false" ht="15" hidden="true" customHeight="true" outlineLevel="0" collapsed="false">
      <c r="A2152" s="260" t="n">
        <f aca="false">D2152-5*5+600-881-200</f>
        <v>0</v>
      </c>
      <c r="B2152" s="233" t="n">
        <f aca="false">B2151+D2152-C2152</f>
        <v>6699.5</v>
      </c>
      <c r="D2152" s="146" t="n">
        <f aca="false">253+253</f>
        <v>506</v>
      </c>
      <c r="E2152" s="147" t="n">
        <v>53001689</v>
      </c>
      <c r="F2152" s="147" t="n">
        <f aca="false">IFERROR(VLOOKUP(H2152,$AD$1:$AE$301,2,0),"")</f>
        <v>1006</v>
      </c>
      <c r="G2152" s="147" t="str">
        <f aca="false">IFERROR(VLOOKUP(F2152,$AE$2:$AF$290,2, 0),"")</f>
        <v>تبوك</v>
      </c>
      <c r="H2152" s="212" t="s">
        <v>278</v>
      </c>
      <c r="I2152" s="246" t="n">
        <f aca="false">SUM(K2152:R2152)</f>
        <v>2</v>
      </c>
      <c r="J2152" s="182" t="n">
        <v>45985</v>
      </c>
      <c r="M2152" s="150" t="n">
        <f aca="false">1+1</f>
        <v>2</v>
      </c>
      <c r="S2152" s="192" t="n">
        <f aca="false">(K2152+O2152+Q2152)*24 /1130+(L2152+M2152+P2152+R2152)*12/1130+(N2152*30)/1130</f>
        <v>0.0212389380530973</v>
      </c>
    </row>
    <row r="2153" customFormat="false" ht="15" hidden="true" customHeight="true" outlineLevel="0" collapsed="false">
      <c r="B2153" s="233" t="n">
        <f aca="false">B2152+D2153-C2153</f>
        <v>6187.5</v>
      </c>
      <c r="C2153" s="127" t="n">
        <f aca="false">512</f>
        <v>512</v>
      </c>
      <c r="E2153" s="147" t="s">
        <v>674</v>
      </c>
      <c r="F2153" s="147" t="str">
        <f aca="false">IFERROR(VLOOKUP(H2153,$AD$1:$AE$301,2,0),"")</f>
        <v/>
      </c>
      <c r="G2153" s="147" t="str">
        <f aca="false">IFERROR(VLOOKUP(F2153,$AE$2:$AF$290,2, 0),"")</f>
        <v/>
      </c>
      <c r="H2153" s="212" t="s">
        <v>393</v>
      </c>
      <c r="I2153" s="246" t="n">
        <f aca="false">SUM(K2153:R2153)</f>
        <v>0</v>
      </c>
      <c r="J2153" s="182" t="n">
        <v>45985</v>
      </c>
      <c r="S2153" s="192" t="n">
        <f aca="false">(K2153+O2153+Q2153)*24 /1130+(L2153+M2153+P2153+R2153)*12/1130+(N2153*30)/1130</f>
        <v>0</v>
      </c>
    </row>
    <row r="2154" customFormat="false" ht="15" hidden="true" customHeight="true" outlineLevel="0" collapsed="false">
      <c r="B2154" s="233" t="n">
        <f aca="false">B2153+D2154-C2154</f>
        <v>2039.25</v>
      </c>
      <c r="C2154" s="127" t="n">
        <f aca="false">400+310+300+800+983+281.75+510+563.5</f>
        <v>4148.25</v>
      </c>
      <c r="E2154" s="147" t="s">
        <v>675</v>
      </c>
      <c r="F2154" s="147" t="str">
        <f aca="false">IFERROR(VLOOKUP(H2154,$AD$1:$AE$301,2,0),"")</f>
        <v/>
      </c>
      <c r="G2154" s="147" t="str">
        <f aca="false">IFERROR(VLOOKUP(F2154,$AE$2:$AF$290,2, 0),"")</f>
        <v/>
      </c>
      <c r="H2154" s="212" t="s">
        <v>393</v>
      </c>
      <c r="I2154" s="246" t="n">
        <f aca="false">SUM(K2154:R2154)</f>
        <v>0</v>
      </c>
      <c r="J2154" s="182" t="n">
        <v>45985</v>
      </c>
      <c r="S2154" s="192" t="n">
        <f aca="false">(K2154+O2154+Q2154)*24 /1130+(L2154+M2154+P2154+R2154)*12/1130+(N2154*30)/1130</f>
        <v>0</v>
      </c>
    </row>
    <row r="2155" customFormat="false" ht="15" hidden="true" customHeight="true" outlineLevel="0" collapsed="false">
      <c r="B2155" s="233" t="n">
        <f aca="false">B2154+D2155-C2155</f>
        <v>0.25</v>
      </c>
      <c r="C2155" s="127" t="n">
        <v>2039</v>
      </c>
      <c r="E2155" s="147" t="s">
        <v>668</v>
      </c>
      <c r="F2155" s="147" t="str">
        <f aca="false">IFERROR(VLOOKUP(H2155,$AD$1:$AE$301,2,0),"")</f>
        <v/>
      </c>
      <c r="G2155" s="147" t="str">
        <f aca="false">IFERROR(VLOOKUP(F2155,$AE$2:$AF$290,2, 0),"")</f>
        <v/>
      </c>
      <c r="H2155" s="212" t="s">
        <v>393</v>
      </c>
      <c r="I2155" s="246" t="n">
        <f aca="false">SUM(K2155:R2155)</f>
        <v>0</v>
      </c>
      <c r="J2155" s="182" t="n">
        <v>45986</v>
      </c>
      <c r="S2155" s="192" t="n">
        <f aca="false">(K2155+O2155+Q2155)*24 /1130+(L2155+M2155+P2155+R2155)*12/1130+(N2155*30)/1130</f>
        <v>0</v>
      </c>
    </row>
    <row r="2156" customFormat="false" ht="15" hidden="true" customHeight="true" outlineLevel="0" collapsed="false">
      <c r="B2156" s="233" t="n">
        <f aca="false">B2155+D2156-C2156</f>
        <v>391.25</v>
      </c>
      <c r="D2156" s="146" t="n">
        <f aca="false">138+253</f>
        <v>391</v>
      </c>
      <c r="E2156" s="147" t="n">
        <v>53001690</v>
      </c>
      <c r="F2156" s="147" t="n">
        <f aca="false">IFERROR(VLOOKUP(H2156,$AD$1:$AE$301,2,0),"")</f>
        <v>1002921</v>
      </c>
      <c r="G2156" s="147" t="str">
        <f aca="false">IFERROR(VLOOKUP(F2156,$AE$2:$AF$290,2, 0),"")</f>
        <v>تبوك</v>
      </c>
      <c r="H2156" s="212" t="s">
        <v>281</v>
      </c>
      <c r="I2156" s="246" t="n">
        <f aca="false">SUM(K2156:R2156)</f>
        <v>2</v>
      </c>
      <c r="J2156" s="182" t="n">
        <v>45986</v>
      </c>
      <c r="M2156" s="150" t="n">
        <v>1</v>
      </c>
      <c r="Q2156" s="154" t="n">
        <v>1</v>
      </c>
      <c r="S2156" s="192" t="n">
        <f aca="false">(K2156+O2156+Q2156)*24 /1130+(L2156+M2156+P2156+R2156)*12/1130+(N2156*30)/1130</f>
        <v>0.031858407079646</v>
      </c>
    </row>
    <row r="2157" customFormat="false" ht="15" hidden="true" customHeight="true" outlineLevel="0" collapsed="false">
      <c r="A2157" s="128" t="n">
        <f aca="false">D2157-293</f>
        <v>0.25</v>
      </c>
      <c r="B2157" s="233" t="n">
        <f aca="false">B2156+D2157-C2157</f>
        <v>684.5</v>
      </c>
      <c r="D2157" s="146" t="n">
        <f aca="false">155.25+138</f>
        <v>293.25</v>
      </c>
      <c r="E2157" s="147" t="n">
        <v>53001691</v>
      </c>
      <c r="F2157" s="147" t="n">
        <f aca="false">IFERROR(VLOOKUP(H2157,$AD$1:$AE$301,2,0),"")</f>
        <v>1008272</v>
      </c>
      <c r="G2157" s="147" t="str">
        <f aca="false">IFERROR(VLOOKUP(F2157,$AE$2:$AF$290,2, 0),"")</f>
        <v>تبوك</v>
      </c>
      <c r="H2157" s="212" t="s">
        <v>143</v>
      </c>
      <c r="I2157" s="246" t="n">
        <f aca="false">SUM(K2157:R2157)</f>
        <v>2</v>
      </c>
      <c r="J2157" s="182" t="n">
        <v>45986</v>
      </c>
      <c r="Q2157" s="154" t="n">
        <v>1</v>
      </c>
      <c r="R2157" s="155" t="n">
        <v>1</v>
      </c>
      <c r="S2157" s="192" t="n">
        <f aca="false">(K2157+O2157+Q2157)*24 /1130+(L2157+M2157+P2157+R2157)*12/1130+(N2157*30)/1130</f>
        <v>0.031858407079646</v>
      </c>
    </row>
    <row r="2158" customFormat="false" ht="15" hidden="true" customHeight="true" outlineLevel="0" collapsed="false">
      <c r="A2158" s="128" t="n">
        <f aca="false">D2158-600</f>
        <v>3.75</v>
      </c>
      <c r="B2158" s="233" t="n">
        <f aca="false">B2157+D2158-C2158</f>
        <v>1288.25</v>
      </c>
      <c r="D2158" s="146" t="n">
        <f aca="false">138+310.5+155.25</f>
        <v>603.75</v>
      </c>
      <c r="E2158" s="147" t="n">
        <v>53001692</v>
      </c>
      <c r="F2158" s="147" t="n">
        <f aca="false">IFERROR(VLOOKUP(H2158,$AD$1:$AE$301,2,0),"")</f>
        <v>1002861</v>
      </c>
      <c r="G2158" s="147" t="str">
        <f aca="false">IFERROR(VLOOKUP(F2158,$AE$2:$AF$290,2, 0),"")</f>
        <v>تبوك</v>
      </c>
      <c r="H2158" s="212" t="s">
        <v>275</v>
      </c>
      <c r="I2158" s="246" t="n">
        <f aca="false">SUM(K2158:R2158)</f>
        <v>3</v>
      </c>
      <c r="J2158" s="182" t="n">
        <v>45986</v>
      </c>
      <c r="Q2158" s="154" t="n">
        <f aca="false">1+1</f>
        <v>2</v>
      </c>
      <c r="R2158" s="155" t="n">
        <v>1</v>
      </c>
      <c r="S2158" s="192" t="n">
        <f aca="false">(K2158+O2158+Q2158)*24 /1130+(L2158+M2158+P2158+R2158)*12/1130+(N2158*30)/1130</f>
        <v>0.0530973451327434</v>
      </c>
    </row>
    <row r="2159" customFormat="false" ht="15" hidden="true" customHeight="true" outlineLevel="0" collapsed="false">
      <c r="A2159" s="128" t="n">
        <f aca="false">D2159-563.5-282</f>
        <v>-0.25</v>
      </c>
      <c r="B2159" s="233" t="n">
        <f aca="false">B2158+D2159-C2159</f>
        <v>2133.5</v>
      </c>
      <c r="D2159" s="146" t="n">
        <f aca="false">281.75*3</f>
        <v>845.25</v>
      </c>
      <c r="E2159" s="147" t="n">
        <v>53001693</v>
      </c>
      <c r="F2159" s="147" t="n">
        <f aca="false">IFERROR(VLOOKUP(H2159,$AD$1:$AE$301,2,0),"")</f>
        <v>755</v>
      </c>
      <c r="G2159" s="147" t="str">
        <f aca="false">IFERROR(VLOOKUP(F2159,$AE$2:$AF$290,2, 0),"")</f>
        <v>تبوك</v>
      </c>
      <c r="H2159" s="212" t="s">
        <v>180</v>
      </c>
      <c r="I2159" s="246" t="n">
        <f aca="false">SUM(K2159:R2159)</f>
        <v>3</v>
      </c>
      <c r="J2159" s="182" t="n">
        <v>45986</v>
      </c>
      <c r="K2159" s="148" t="n">
        <v>3</v>
      </c>
      <c r="S2159" s="192" t="n">
        <f aca="false">(K2159+O2159+Q2159)*24 /1130+(L2159+M2159+P2159+R2159)*12/1130+(N2159*30)/1130</f>
        <v>0.063716814159292</v>
      </c>
    </row>
    <row r="2160" customFormat="false" ht="15" hidden="true" customHeight="true" outlineLevel="0" collapsed="false">
      <c r="A2160" s="128" t="n">
        <f aca="false">D2160-300+15-281.75-455</f>
        <v>1.75</v>
      </c>
      <c r="B2160" s="233" t="n">
        <f aca="false">B2159+D2160-C2160</f>
        <v>3157</v>
      </c>
      <c r="D2160" s="146" t="n">
        <f aca="false">281.75*3+178.25</f>
        <v>1023.5</v>
      </c>
      <c r="E2160" s="147" t="n">
        <v>53001694</v>
      </c>
      <c r="F2160" s="147" t="n">
        <f aca="false">IFERROR(VLOOKUP(H2160,$AD$1:$AE$301,2,0),"")</f>
        <v>1008266</v>
      </c>
      <c r="G2160" s="147" t="str">
        <f aca="false">IFERROR(VLOOKUP(F2160,$AE$2:$AF$290,2, 0),"")</f>
        <v>تبوك</v>
      </c>
      <c r="H2160" s="212" t="s">
        <v>178</v>
      </c>
      <c r="I2160" s="246" t="n">
        <f aca="false">SUM(K2160:R2160)</f>
        <v>4</v>
      </c>
      <c r="J2160" s="182" t="n">
        <v>45986</v>
      </c>
      <c r="K2160" s="148" t="n">
        <f aca="false">2+1</f>
        <v>3</v>
      </c>
      <c r="L2160" s="149" t="n">
        <v>1</v>
      </c>
      <c r="S2160" s="192" t="n">
        <f aca="false">(K2160+O2160+Q2160)*24 /1130+(L2160+M2160+P2160+R2160)*12/1130+(N2160*30)/1130</f>
        <v>0.0743362831858407</v>
      </c>
    </row>
    <row r="2161" customFormat="false" ht="15" hidden="true" customHeight="true" outlineLevel="0" collapsed="false">
      <c r="B2161" s="233" t="n">
        <f aca="false">B2160+D2161-C2161</f>
        <v>2593.5</v>
      </c>
      <c r="C2161" s="127" t="n">
        <f aca="false">563.5</f>
        <v>563.5</v>
      </c>
      <c r="E2161" s="147" t="s">
        <v>675</v>
      </c>
      <c r="F2161" s="147" t="str">
        <f aca="false">IFERROR(VLOOKUP(H2161,$AD$1:$AE$301,2,0),"")</f>
        <v/>
      </c>
      <c r="G2161" s="147" t="str">
        <f aca="false">IFERROR(VLOOKUP(F2161,$AE$2:$AF$290,2, 0),"")</f>
        <v/>
      </c>
      <c r="H2161" s="212" t="s">
        <v>393</v>
      </c>
      <c r="I2161" s="246" t="n">
        <f aca="false">SUM(K2161:R2161)</f>
        <v>0</v>
      </c>
      <c r="J2161" s="182" t="n">
        <v>45986</v>
      </c>
      <c r="S2161" s="192" t="n">
        <f aca="false">(K2161+O2161+Q2161)*24 /1130+(L2161+M2161+P2161+R2161)*12/1130+(N2161*30)/1130</f>
        <v>0</v>
      </c>
    </row>
    <row r="2162" customFormat="false" ht="15" hidden="true" customHeight="true" outlineLevel="0" collapsed="false">
      <c r="B2162" s="233" t="n">
        <f aca="false">B2161+D2162-C2162</f>
        <v>0.5</v>
      </c>
      <c r="C2162" s="127" t="n">
        <v>2593</v>
      </c>
      <c r="E2162" s="147" t="s">
        <v>668</v>
      </c>
      <c r="F2162" s="147" t="str">
        <f aca="false">IFERROR(VLOOKUP(H2162,$AD$1:$AE$301,2,0),"")</f>
        <v/>
      </c>
      <c r="G2162" s="147" t="str">
        <f aca="false">IFERROR(VLOOKUP(F2162,$AE$2:$AF$290,2, 0),"")</f>
        <v/>
      </c>
      <c r="H2162" s="212" t="s">
        <v>393</v>
      </c>
      <c r="I2162" s="246" t="n">
        <f aca="false">SUM(K2162:R2162)</f>
        <v>0</v>
      </c>
      <c r="J2162" s="182" t="n">
        <v>45986</v>
      </c>
      <c r="S2162" s="192" t="n">
        <f aca="false">(K2162+O2162+Q2162)*24 /1130+(L2162+M2162+P2162+R2162)*12/1130+(N2162*30)/1130</f>
        <v>0</v>
      </c>
    </row>
    <row r="2163" customFormat="false" ht="15" hidden="true" customHeight="true" outlineLevel="0" collapsed="false">
      <c r="A2163" s="128" t="n">
        <f aca="false">D2163-45-600-300-120-18*5-4*2</f>
        <v>-7.25</v>
      </c>
      <c r="B2163" s="233" t="n">
        <f aca="false">B2162+D2163-C2163</f>
        <v>1156.25</v>
      </c>
      <c r="D2163" s="146" t="n">
        <f aca="false">281.75*3+310.5</f>
        <v>1155.75</v>
      </c>
      <c r="E2163" s="147" t="n">
        <v>53001695</v>
      </c>
      <c r="F2163" s="147" t="n">
        <f aca="false">IFERROR(VLOOKUP(H2163,$AD$1:$AE$301,2,0),"")</f>
        <v>575</v>
      </c>
      <c r="G2163" s="147" t="str">
        <f aca="false">IFERROR(VLOOKUP(F2163,$AE$2:$AF$290,2, 0),"")</f>
        <v>تبوك</v>
      </c>
      <c r="H2163" s="212" t="s">
        <v>132</v>
      </c>
      <c r="I2163" s="246" t="n">
        <f aca="false">SUM(K2163:R2163)</f>
        <v>4</v>
      </c>
      <c r="J2163" s="182" t="n">
        <v>45987</v>
      </c>
      <c r="K2163" s="148" t="n">
        <f aca="false">2+1</f>
        <v>3</v>
      </c>
      <c r="Q2163" s="154" t="n">
        <v>1</v>
      </c>
      <c r="S2163" s="192" t="n">
        <f aca="false">(K2163+O2163+Q2163)*24 /1130+(L2163+M2163+P2163+R2163)*12/1130+(N2163*30)/1130</f>
        <v>0.0849557522123894</v>
      </c>
    </row>
    <row r="2164" customFormat="false" ht="15" hidden="true" customHeight="true" outlineLevel="0" collapsed="false">
      <c r="B2164" s="233" t="n">
        <f aca="false">B2163+D2164-C2164</f>
        <v>1501.25</v>
      </c>
      <c r="D2164" s="146" t="n">
        <v>345</v>
      </c>
      <c r="E2164" s="147" t="n">
        <v>53001696</v>
      </c>
      <c r="F2164" s="147" t="n">
        <f aca="false">IFERROR(VLOOKUP(H2164,$AD$1:$AE$301,2,0),"")</f>
        <v>1002949</v>
      </c>
      <c r="G2164" s="147" t="str">
        <f aca="false">IFERROR(VLOOKUP(F2164,$AE$2:$AF$290,2, 0),"")</f>
        <v>تبوك</v>
      </c>
      <c r="H2164" s="212" t="s">
        <v>155</v>
      </c>
      <c r="I2164" s="246" t="n">
        <f aca="false">SUM(K2164:R2164)</f>
        <v>1</v>
      </c>
      <c r="J2164" s="182" t="n">
        <v>45987</v>
      </c>
      <c r="M2164" s="150" t="n">
        <v>1</v>
      </c>
      <c r="S2164" s="192" t="n">
        <f aca="false">(K2164+O2164+Q2164)*24 /1130+(L2164+M2164+P2164+R2164)*12/1130+(N2164*30)/1130</f>
        <v>0.0106194690265487</v>
      </c>
    </row>
    <row r="2165" customFormat="false" ht="15" hidden="true" customHeight="true" outlineLevel="0" collapsed="false">
      <c r="A2165" s="128" t="n">
        <f aca="false">D2165-12*5+3.75-330-5*12-59.75</f>
        <v>0</v>
      </c>
      <c r="B2165" s="233" t="n">
        <f aca="false">B2164+D2165-C2165</f>
        <v>2007.25</v>
      </c>
      <c r="D2165" s="146" t="n">
        <f aca="false">2*253</f>
        <v>506</v>
      </c>
      <c r="E2165" s="147" t="n">
        <v>53001697</v>
      </c>
      <c r="F2165" s="147" t="n">
        <f aca="false">IFERROR(VLOOKUP(H2165,$AD$1:$AE$301,2,0),"")</f>
        <v>1045</v>
      </c>
      <c r="G2165" s="147" t="str">
        <f aca="false">IFERROR(VLOOKUP(F2165,$AE$2:$AF$290,2, 0),"")</f>
        <v>تبوك</v>
      </c>
      <c r="H2165" s="212" t="s">
        <v>142</v>
      </c>
      <c r="I2165" s="246" t="n">
        <f aca="false">SUM(K2165:R2165)</f>
        <v>2</v>
      </c>
      <c r="J2165" s="182" t="n">
        <v>45987</v>
      </c>
      <c r="M2165" s="150" t="n">
        <v>2</v>
      </c>
      <c r="S2165" s="192" t="n">
        <f aca="false">(K2165+O2165+Q2165)*24 /1130+(L2165+M2165+P2165+R2165)*12/1130+(N2165*30)/1130</f>
        <v>0.0212389380530973</v>
      </c>
    </row>
    <row r="2166" customFormat="false" ht="15" hidden="true" customHeight="true" outlineLevel="0" collapsed="false">
      <c r="A2166" s="128" t="n">
        <f aca="false">D2166-32.75-1000</f>
        <v>2.25</v>
      </c>
      <c r="B2166" s="233" t="n">
        <f aca="false">B2165+D2166-C2166</f>
        <v>3042.25</v>
      </c>
      <c r="D2166" s="146" t="n">
        <f aca="false">345*3</f>
        <v>1035</v>
      </c>
      <c r="E2166" s="147" t="n">
        <v>53001698</v>
      </c>
      <c r="F2166" s="147" t="n">
        <f aca="false">IFERROR(VLOOKUP(H2166,$AD$1:$AE$301,2,0),"")</f>
        <v>855</v>
      </c>
      <c r="G2166" s="147" t="str">
        <f aca="false">IFERROR(VLOOKUP(F2166,$AE$2:$AF$290,2, 0),"")</f>
        <v>تبوك</v>
      </c>
      <c r="H2166" s="212" t="s">
        <v>141</v>
      </c>
      <c r="I2166" s="246" t="n">
        <f aca="false">SUM(K2166:R2166)</f>
        <v>3</v>
      </c>
      <c r="J2166" s="182" t="n">
        <v>45987</v>
      </c>
      <c r="M2166" s="150" t="n">
        <v>3</v>
      </c>
      <c r="S2166" s="192" t="n">
        <f aca="false">(K2166+O2166+Q2166)*24 /1130+(L2166+M2166+P2166+R2166)*12/1130+(N2166*30)/1130</f>
        <v>0.031858407079646</v>
      </c>
    </row>
    <row r="2167" customFormat="false" ht="15" hidden="true" customHeight="true" outlineLevel="0" collapsed="false">
      <c r="B2167" s="233" t="n">
        <f aca="false">B2166+D2167-C2167</f>
        <v>2267.25</v>
      </c>
      <c r="C2167" s="127" t="n">
        <f aca="false">125+55+345+50+200</f>
        <v>775</v>
      </c>
      <c r="E2167" s="147" t="s">
        <v>675</v>
      </c>
      <c r="F2167" s="147" t="str">
        <f aca="false">IFERROR(VLOOKUP(H2167,$AD$1:$AE$301,2,0),"")</f>
        <v/>
      </c>
      <c r="G2167" s="147" t="str">
        <f aca="false">IFERROR(VLOOKUP(F2167,$AE$2:$AF$290,2, 0),"")</f>
        <v/>
      </c>
      <c r="H2167" s="212" t="s">
        <v>393</v>
      </c>
      <c r="I2167" s="246" t="n">
        <f aca="false">SUM(K2167:R2167)</f>
        <v>0</v>
      </c>
      <c r="J2167" s="182" t="n">
        <v>45987</v>
      </c>
      <c r="S2167" s="192" t="n">
        <f aca="false">(K2167+O2167+Q2167)*24 /1130+(L2167+M2167+P2167+R2167)*12/1130+(N2167*30)/1130</f>
        <v>0</v>
      </c>
    </row>
    <row r="2168" customFormat="false" ht="15" hidden="true" customHeight="true" outlineLevel="0" collapsed="false">
      <c r="B2168" s="233" t="n">
        <f aca="false">B2167+D2168-C2168</f>
        <v>0</v>
      </c>
      <c r="C2168" s="127" t="n">
        <v>2267</v>
      </c>
      <c r="D2168" s="146" t="n">
        <v>-0.25</v>
      </c>
      <c r="E2168" s="147" t="s">
        <v>668</v>
      </c>
      <c r="F2168" s="147" t="str">
        <f aca="false">IFERROR(VLOOKUP(H2168,$AD$1:$AE$301,2,0),"")</f>
        <v/>
      </c>
      <c r="G2168" s="147" t="str">
        <f aca="false">IFERROR(VLOOKUP(F2168,$AE$2:$AF$290,2, 0),"")</f>
        <v/>
      </c>
      <c r="H2168" s="212" t="s">
        <v>393</v>
      </c>
      <c r="I2168" s="246" t="n">
        <f aca="false">SUM(K2168:R2168)</f>
        <v>0</v>
      </c>
      <c r="J2168" s="182" t="n">
        <v>45988</v>
      </c>
      <c r="S2168" s="192" t="n">
        <f aca="false">(K2168+O2168+Q2168)*24 /1130+(L2168+M2168+P2168+R2168)*12/1130+(N2168*30)/1130</f>
        <v>0</v>
      </c>
    </row>
    <row r="2169" customFormat="false" ht="15" hidden="true" customHeight="true" outlineLevel="0" collapsed="false">
      <c r="A2169" s="128" t="n">
        <f aca="false">D2169-408</f>
        <v>0.25</v>
      </c>
      <c r="B2169" s="233" t="n">
        <f aca="false">B2168+D2169-C2169</f>
        <v>408.25</v>
      </c>
      <c r="D2169" s="146" t="n">
        <f aca="false">253+155.25</f>
        <v>408.25</v>
      </c>
      <c r="E2169" s="147" t="n">
        <v>53001699</v>
      </c>
      <c r="F2169" s="147" t="n">
        <f aca="false">IFERROR(VLOOKUP(H2169,$AD$1:$AE$301,2,0),"")</f>
        <v>562</v>
      </c>
      <c r="G2169" s="147" t="str">
        <f aca="false">IFERROR(VLOOKUP(F2169,$AE$2:$AF$290,2, 0),"")</f>
        <v>تبوك</v>
      </c>
      <c r="H2169" s="212" t="s">
        <v>234</v>
      </c>
      <c r="I2169" s="246" t="n">
        <f aca="false">SUM(K2169:R2169)</f>
        <v>2</v>
      </c>
      <c r="J2169" s="182" t="n">
        <v>45988</v>
      </c>
      <c r="M2169" s="150" t="n">
        <v>1</v>
      </c>
      <c r="R2169" s="155" t="n">
        <v>1</v>
      </c>
      <c r="S2169" s="192" t="n">
        <f aca="false">(K2169+O2169+Q2169)*24 /1130+(L2169+M2169+P2169+R2169)*12/1130+(N2169*30)/1130</f>
        <v>0.0212389380530973</v>
      </c>
    </row>
    <row r="2170" customFormat="false" ht="15" hidden="true" customHeight="true" outlineLevel="0" collapsed="false">
      <c r="A2170" s="128" t="n">
        <f aca="false">D2170-983</f>
        <v>0.25</v>
      </c>
      <c r="B2170" s="233" t="n">
        <f aca="false">B2169+D2170-C2170</f>
        <v>1391.5</v>
      </c>
      <c r="D2170" s="146" t="n">
        <f aca="false">281.75*3+138</f>
        <v>983.25</v>
      </c>
      <c r="E2170" s="147" t="n">
        <v>53001700</v>
      </c>
      <c r="F2170" s="147" t="n">
        <f aca="false">IFERROR(VLOOKUP(H2170,$AD$1:$AE$301,2,0),"")</f>
        <v>1002875</v>
      </c>
      <c r="G2170" s="147" t="str">
        <f aca="false">IFERROR(VLOOKUP(F2170,$AE$2:$AF$290,2, 0),"")</f>
        <v>تبوك</v>
      </c>
      <c r="H2170" s="212" t="s">
        <v>161</v>
      </c>
      <c r="I2170" s="246" t="n">
        <f aca="false">SUM(K2170:R2170)</f>
        <v>4</v>
      </c>
      <c r="J2170" s="182" t="n">
        <v>45988</v>
      </c>
      <c r="K2170" s="148" t="n">
        <v>3</v>
      </c>
      <c r="Q2170" s="154" t="n">
        <v>1</v>
      </c>
      <c r="S2170" s="192" t="n">
        <f aca="false">(K2170+O2170+Q2170)*24 /1130+(L2170+M2170+P2170+R2170)*12/1130+(N2170*30)/1130</f>
        <v>0.0849557522123894</v>
      </c>
    </row>
    <row r="2171" customFormat="false" ht="15" hidden="true" customHeight="true" outlineLevel="0" collapsed="false">
      <c r="A2171" s="128" t="n">
        <f aca="false">D2171-80*5-1957.75+6</f>
        <v>0</v>
      </c>
      <c r="B2171" s="233" t="n">
        <f aca="false">B2170+D2171-C2171</f>
        <v>3743.25</v>
      </c>
      <c r="D2171" s="146" t="n">
        <f aca="false">281.75*3+230*2+253*2+241.5+299</f>
        <v>2351.75</v>
      </c>
      <c r="E2171" s="147" t="n">
        <v>53001701</v>
      </c>
      <c r="F2171" s="147" t="n">
        <f aca="false">IFERROR(VLOOKUP(H2171,$AD$1:$AE$301,2,0),"")</f>
        <v>1076</v>
      </c>
      <c r="G2171" s="147" t="str">
        <f aca="false">IFERROR(VLOOKUP(F2171,$AE$2:$AF$290,2, 0),"")</f>
        <v>تبوك</v>
      </c>
      <c r="H2171" s="212" t="s">
        <v>244</v>
      </c>
      <c r="I2171" s="246" t="n">
        <f aca="false">SUM(K2171:R2171)</f>
        <v>9</v>
      </c>
      <c r="J2171" s="182" t="n">
        <v>45988</v>
      </c>
      <c r="K2171" s="148" t="n">
        <f aca="false">2+1</f>
        <v>3</v>
      </c>
      <c r="M2171" s="150" t="n">
        <f aca="false">2+2</f>
        <v>4</v>
      </c>
      <c r="O2171" s="152" t="n">
        <v>1</v>
      </c>
      <c r="R2171" s="155" t="n">
        <v>1</v>
      </c>
      <c r="S2171" s="192" t="n">
        <f aca="false">(K2171+O2171+Q2171)*24 /1130+(L2171+M2171+P2171+R2171)*12/1130+(N2171*30)/1130</f>
        <v>0.138053097345133</v>
      </c>
    </row>
    <row r="2172" customFormat="false" ht="15" hidden="true" customHeight="true" outlineLevel="0" collapsed="false">
      <c r="A2172" s="128" t="n">
        <f aca="false">D2172-1730.75</f>
        <v>0</v>
      </c>
      <c r="B2172" s="233" t="n">
        <f aca="false">B2171+D2172-C2172</f>
        <v>5474</v>
      </c>
      <c r="D2172" s="146" t="n">
        <f aca="false">281.75*3+253+253+241.5+138</f>
        <v>1730.75</v>
      </c>
      <c r="E2172" s="147" t="n">
        <v>53001702</v>
      </c>
      <c r="F2172" s="147" t="n">
        <f aca="false">IFERROR(VLOOKUP(H2172,$AD$1:$AE$301,2,0),"")</f>
        <v>827</v>
      </c>
      <c r="G2172" s="147" t="str">
        <f aca="false">IFERROR(VLOOKUP(F2172,$AE$2:$AF$290,2, 0),"")</f>
        <v>تبوك</v>
      </c>
      <c r="H2172" s="212" t="s">
        <v>182</v>
      </c>
      <c r="I2172" s="246" t="n">
        <f aca="false">SUM(K2172:R2172)</f>
        <v>7</v>
      </c>
      <c r="J2172" s="182" t="n">
        <v>45988</v>
      </c>
      <c r="K2172" s="148" t="n">
        <f aca="false">1+2</f>
        <v>3</v>
      </c>
      <c r="M2172" s="150" t="n">
        <f aca="false">1+1</f>
        <v>2</v>
      </c>
      <c r="O2172" s="152" t="n">
        <v>1</v>
      </c>
      <c r="Q2172" s="154" t="n">
        <v>1</v>
      </c>
      <c r="S2172" s="192" t="n">
        <f aca="false">(K2172+O2172+Q2172)*24 /1130+(L2172+M2172+P2172+R2172)*12/1130+(N2172*30)/1130</f>
        <v>0.127433628318584</v>
      </c>
    </row>
    <row r="2173" customFormat="false" ht="15" hidden="true" customHeight="true" outlineLevel="0" collapsed="false">
      <c r="A2173" s="128" t="n">
        <f aca="false">D2173-800-57-350-140-343</f>
        <v>0.5</v>
      </c>
      <c r="B2173" s="233" t="n">
        <f aca="false">B2172+D2173-C2173</f>
        <v>7164.5</v>
      </c>
      <c r="D2173" s="146" t="n">
        <f aca="false">281.75*6</f>
        <v>1690.5</v>
      </c>
      <c r="E2173" s="147" t="n">
        <v>53001703</v>
      </c>
      <c r="F2173" s="147" t="n">
        <f aca="false">IFERROR(VLOOKUP(H2173,$AD$1:$AE$301,2,0),"")</f>
        <v>1002938</v>
      </c>
      <c r="G2173" s="147" t="str">
        <f aca="false">IFERROR(VLOOKUP(F2173,$AE$2:$AF$290,2, 0),"")</f>
        <v>تبوك</v>
      </c>
      <c r="H2173" s="212" t="s">
        <v>175</v>
      </c>
      <c r="I2173" s="246" t="n">
        <f aca="false">SUM(K2173:R2173)</f>
        <v>6</v>
      </c>
      <c r="J2173" s="182" t="n">
        <v>45988</v>
      </c>
      <c r="K2173" s="148" t="n">
        <f aca="false">5+1</f>
        <v>6</v>
      </c>
      <c r="S2173" s="192" t="n">
        <f aca="false">(K2173+O2173+Q2173)*24 /1130+(L2173+M2173+P2173+R2173)*12/1130+(N2173*30)/1130</f>
        <v>0.127433628318584</v>
      </c>
    </row>
    <row r="2174" customFormat="false" ht="15" hidden="true" customHeight="true" outlineLevel="0" collapsed="false">
      <c r="A2174" s="128" t="n">
        <f aca="false">D2174-80-20-55</f>
        <v>0.25</v>
      </c>
      <c r="B2174" s="233" t="n">
        <f aca="false">B2173+D2174-C2174</f>
        <v>7319.75</v>
      </c>
      <c r="D2174" s="146" t="n">
        <f aca="false">155.25</f>
        <v>155.25</v>
      </c>
      <c r="E2174" s="147" t="n">
        <v>53001704</v>
      </c>
      <c r="F2174" s="147" t="n">
        <f aca="false">IFERROR(VLOOKUP(H2174,$AD$1:$AE$301,2,0),"")</f>
        <v>1008262</v>
      </c>
      <c r="G2174" s="147" t="str">
        <f aca="false">IFERROR(VLOOKUP(F2174,$AE$2:$AF$290,2, 0),"")</f>
        <v>تبوك</v>
      </c>
      <c r="H2174" s="212" t="s">
        <v>176</v>
      </c>
      <c r="I2174" s="246" t="n">
        <f aca="false">SUM(K2174:R2174)</f>
        <v>1</v>
      </c>
      <c r="J2174" s="182" t="n">
        <v>45988</v>
      </c>
      <c r="R2174" s="155" t="n">
        <v>1</v>
      </c>
      <c r="S2174" s="192" t="n">
        <f aca="false">(K2174+O2174+Q2174)*24 /1130+(L2174+M2174+P2174+R2174)*12/1130+(N2174*30)/1130</f>
        <v>0.0106194690265487</v>
      </c>
    </row>
    <row r="2175" customFormat="false" ht="15" hidden="true" customHeight="true" outlineLevel="0" collapsed="false">
      <c r="A2175" s="128" t="n">
        <f aca="false">D2175-845</f>
        <v>0.25</v>
      </c>
      <c r="B2175" s="233" t="n">
        <f aca="false">B2174+D2175-C2175</f>
        <v>8165</v>
      </c>
      <c r="D2175" s="146" t="n">
        <f aca="false">281.75*3</f>
        <v>845.25</v>
      </c>
      <c r="E2175" s="147" t="n">
        <v>53001705</v>
      </c>
      <c r="F2175" s="147" t="n">
        <f aca="false">IFERROR(VLOOKUP(H2175,$AD$1:$AE$301,2,0),"")</f>
        <v>1002891</v>
      </c>
      <c r="G2175" s="147" t="str">
        <f aca="false">IFERROR(VLOOKUP(F2175,$AE$2:$AF$290,2, 0),"")</f>
        <v>تبوك</v>
      </c>
      <c r="H2175" s="212" t="s">
        <v>201</v>
      </c>
      <c r="I2175" s="246" t="n">
        <f aca="false">SUM(K2175:R2175)</f>
        <v>3</v>
      </c>
      <c r="J2175" s="182" t="n">
        <v>45988</v>
      </c>
      <c r="K2175" s="148" t="n">
        <f aca="false">2+1</f>
        <v>3</v>
      </c>
      <c r="S2175" s="192" t="n">
        <f aca="false">(K2175+O2175+Q2175)*24 /1130+(L2175+M2175+P2175+R2175)*12/1130+(N2175*30)/1130</f>
        <v>0.063716814159292</v>
      </c>
    </row>
    <row r="2176" customFormat="false" ht="15" hidden="true" customHeight="true" outlineLevel="0" collapsed="false">
      <c r="A2176" s="128" t="n">
        <f aca="false">D2176-1725-150</f>
        <v>-0.5</v>
      </c>
      <c r="B2176" s="233" t="n">
        <f aca="false">B2175+D2176-C2176</f>
        <v>10039.5</v>
      </c>
      <c r="D2176" s="146" t="n">
        <f aca="false">281.75*3+345+253*2+178.25</f>
        <v>1874.5</v>
      </c>
      <c r="E2176" s="147" t="n">
        <v>53001706</v>
      </c>
      <c r="F2176" s="147" t="n">
        <f aca="false">IFERROR(VLOOKUP(H2176,$AD$1:$AE$301,2,0),"")</f>
        <v>1002890</v>
      </c>
      <c r="G2176" s="147" t="str">
        <f aca="false">IFERROR(VLOOKUP(F2176,$AE$2:$AF$290,2, 0),"")</f>
        <v>تبوك</v>
      </c>
      <c r="H2176" s="212" t="s">
        <v>247</v>
      </c>
      <c r="I2176" s="246" t="n">
        <f aca="false">SUM(K2176:R2176)</f>
        <v>7</v>
      </c>
      <c r="J2176" s="182" t="n">
        <v>45988</v>
      </c>
      <c r="K2176" s="148" t="n">
        <f aca="false">1+2</f>
        <v>3</v>
      </c>
      <c r="L2176" s="149" t="n">
        <v>1</v>
      </c>
      <c r="M2176" s="150" t="n">
        <f aca="false">2+1</f>
        <v>3</v>
      </c>
      <c r="S2176" s="192" t="n">
        <f aca="false">(K2176+O2176+Q2176)*24 /1130+(L2176+M2176+P2176+R2176)*12/1130+(N2176*30)/1130</f>
        <v>0.106194690265487</v>
      </c>
    </row>
    <row r="2177" customFormat="false" ht="15" hidden="true" customHeight="true" outlineLevel="0" collapsed="false">
      <c r="A2177" s="128" t="n">
        <f aca="false">D2177+281.75-200-350-55-90-52-60-250-5*2-17*5-50</f>
        <v>5.5</v>
      </c>
      <c r="B2177" s="233" t="n">
        <f aca="false">B2176+D2177-C2177</f>
        <v>10965.25</v>
      </c>
      <c r="D2177" s="146" t="n">
        <f aca="false">253*2+241.5+178.25</f>
        <v>925.75</v>
      </c>
      <c r="E2177" s="147" t="n">
        <v>53001707</v>
      </c>
      <c r="F2177" s="147" t="n">
        <f aca="false">IFERROR(VLOOKUP(H2177,$AD$1:$AE$301,2,0),"")</f>
        <v>1006531</v>
      </c>
      <c r="G2177" s="147" t="str">
        <f aca="false">IFERROR(VLOOKUP(F2177,$AE$2:$AF$290,2, 0),"")</f>
        <v>تبوك</v>
      </c>
      <c r="H2177" s="212" t="s">
        <v>272</v>
      </c>
      <c r="I2177" s="246" t="n">
        <f aca="false">SUM(K2177:R2177)</f>
        <v>4</v>
      </c>
      <c r="J2177" s="182" t="n">
        <v>45988</v>
      </c>
      <c r="L2177" s="149" t="n">
        <v>1</v>
      </c>
      <c r="M2177" s="150" t="n">
        <v>2</v>
      </c>
      <c r="O2177" s="152" t="n">
        <v>1</v>
      </c>
      <c r="S2177" s="192" t="n">
        <f aca="false">(K2177+O2177+Q2177)*24 /1130+(L2177+M2177+P2177+R2177)*12/1130+(N2177*30)/1130</f>
        <v>0.0530973451327434</v>
      </c>
    </row>
    <row r="2178" customFormat="false" ht="15" hidden="true" customHeight="true" outlineLevel="0" collapsed="false">
      <c r="A2178" s="128" t="n">
        <f aca="false">D2178-274-274-300+50-34+10</f>
        <v>0.25</v>
      </c>
      <c r="B2178" s="233" t="n">
        <f aca="false">B2177+D2178-C2178</f>
        <v>11787.5</v>
      </c>
      <c r="D2178" s="146" t="n">
        <f aca="false">822.25</f>
        <v>822.25</v>
      </c>
      <c r="E2178" s="147" t="n">
        <v>53001708</v>
      </c>
      <c r="F2178" s="147" t="n">
        <f aca="false">IFERROR(VLOOKUP(H2178,$AD$1:$AE$301,2,0),"")</f>
        <v>1060</v>
      </c>
      <c r="G2178" s="147" t="str">
        <f aca="false">IFERROR(VLOOKUP(F2178,$AE$2:$AF$290,2, 0),"")</f>
        <v>تبوك</v>
      </c>
      <c r="H2178" s="212" t="s">
        <v>140</v>
      </c>
      <c r="I2178" s="246" t="n">
        <f aca="false">SUM(K2178:R2178)</f>
        <v>3</v>
      </c>
      <c r="J2178" s="182" t="n">
        <v>45988</v>
      </c>
      <c r="N2178" s="151" t="n">
        <f aca="false">1+2</f>
        <v>3</v>
      </c>
      <c r="S2178" s="192" t="n">
        <f aca="false">(K2178+O2178+Q2178)*24 /1130+(L2178+M2178+P2178+R2178)*12/1130+(N2178*30)/1130</f>
        <v>0.079646017699115</v>
      </c>
    </row>
    <row r="2179" customFormat="false" ht="15" hidden="true" customHeight="true" outlineLevel="0" collapsed="false">
      <c r="A2179" s="128" t="n">
        <f aca="false">D2179-1690</f>
        <v>0.5</v>
      </c>
      <c r="B2179" s="233" t="n">
        <f aca="false">B2178+D2179-C2179</f>
        <v>13478</v>
      </c>
      <c r="D2179" s="146" t="n">
        <f aca="false">281.75*6</f>
        <v>1690.5</v>
      </c>
      <c r="E2179" s="147" t="n">
        <v>53001709</v>
      </c>
      <c r="F2179" s="147" t="str">
        <f aca="false">IFERROR(VLOOKUP(H2179,$AD$1:$AE$301,2,0),"")</f>
        <v/>
      </c>
      <c r="G2179" s="147" t="str">
        <f aca="false">IFERROR(VLOOKUP(F2179,$AE$2:$AF$290,2, 0),"")</f>
        <v/>
      </c>
      <c r="H2179" s="212" t="s">
        <v>670</v>
      </c>
      <c r="I2179" s="246" t="n">
        <f aca="false">SUM(K2179:R2179)</f>
        <v>6</v>
      </c>
      <c r="J2179" s="182" t="n">
        <v>45988</v>
      </c>
      <c r="K2179" s="148" t="n">
        <f aca="false">3+3</f>
        <v>6</v>
      </c>
      <c r="S2179" s="192" t="n">
        <f aca="false">(K2179+O2179+Q2179)*24 /1130+(L2179+M2179+P2179+R2179)*12/1130+(N2179*30)/1130</f>
        <v>0.127433628318584</v>
      </c>
    </row>
    <row r="2180" customFormat="false" ht="15" hidden="true" customHeight="true" outlineLevel="0" collapsed="false">
      <c r="A2180" s="128" t="n">
        <f aca="false">D2180-845</f>
        <v>0.25</v>
      </c>
      <c r="B2180" s="233" t="n">
        <f aca="false">B2179+D2180-C2180</f>
        <v>14323.25</v>
      </c>
      <c r="D2180" s="146" t="n">
        <f aca="false">281.75*3</f>
        <v>845.25</v>
      </c>
      <c r="E2180" s="147" t="n">
        <v>53001710</v>
      </c>
      <c r="F2180" s="147" t="n">
        <f aca="false">IFERROR(VLOOKUP(H2180,$AD$1:$AE$301,2,0),"")</f>
        <v>1002949</v>
      </c>
      <c r="G2180" s="147" t="str">
        <f aca="false">IFERROR(VLOOKUP(F2180,$AE$2:$AF$290,2, 0),"")</f>
        <v>تبوك</v>
      </c>
      <c r="H2180" s="212" t="s">
        <v>155</v>
      </c>
      <c r="I2180" s="246" t="n">
        <f aca="false">SUM(K2180:R2180)</f>
        <v>3</v>
      </c>
      <c r="J2180" s="182" t="n">
        <v>45988</v>
      </c>
      <c r="K2180" s="148" t="n">
        <f aca="false">2+1</f>
        <v>3</v>
      </c>
      <c r="S2180" s="192" t="n">
        <f aca="false">(K2180+O2180+Q2180)*24 /1130+(L2180+M2180+P2180+R2180)*12/1130+(N2180*30)/1130</f>
        <v>0.063716814159292</v>
      </c>
    </row>
    <row r="2181" customFormat="false" ht="15" hidden="true" customHeight="true" outlineLevel="0" collapsed="false">
      <c r="A2181" s="128" t="n">
        <f aca="false">D2181-1725</f>
        <v>0</v>
      </c>
      <c r="B2181" s="233" t="n">
        <f aca="false">B2180+D2181-C2181</f>
        <v>16048.25</v>
      </c>
      <c r="D2181" s="146" t="n">
        <f aca="false">5*345</f>
        <v>1725</v>
      </c>
      <c r="E2181" s="147" t="n">
        <v>53001711</v>
      </c>
      <c r="F2181" s="147" t="n">
        <f aca="false">IFERROR(VLOOKUP(H2181,$AD$1:$AE$301,2,0),"")</f>
        <v>1008023</v>
      </c>
      <c r="G2181" s="147" t="str">
        <f aca="false">IFERROR(VLOOKUP(F2181,$AE$2:$AF$290,2, 0),"")</f>
        <v>ضباء</v>
      </c>
      <c r="H2181" s="212" t="s">
        <v>95</v>
      </c>
      <c r="I2181" s="246" t="n">
        <f aca="false">SUM(K2181:R2181)</f>
        <v>5</v>
      </c>
      <c r="J2181" s="182" t="n">
        <v>45988</v>
      </c>
      <c r="M2181" s="150" t="n">
        <f aca="false">4</f>
        <v>4</v>
      </c>
      <c r="R2181" s="155" t="n">
        <v>1</v>
      </c>
      <c r="S2181" s="192" t="n">
        <f aca="false">(K2181+O2181+Q2181)*24 /1130+(L2181+M2181+P2181+R2181)*12/1130+(N2181*30)/1130</f>
        <v>0.0530973451327434</v>
      </c>
    </row>
    <row r="2182" customFormat="false" ht="15" hidden="true" customHeight="true" outlineLevel="0" collapsed="false">
      <c r="B2182" s="233" t="n">
        <f aca="false">B2181+D2182-C2182</f>
        <v>16393.25</v>
      </c>
      <c r="D2182" s="146" t="n">
        <v>345</v>
      </c>
      <c r="E2182" s="147" t="n">
        <v>53001712</v>
      </c>
      <c r="F2182" s="147" t="n">
        <f aca="false">IFERROR(VLOOKUP(H2182,$AD$1:$AE$301,2,0),"")</f>
        <v>1008024</v>
      </c>
      <c r="G2182" s="147" t="str">
        <f aca="false">IFERROR(VLOOKUP(F2182,$AE$2:$AF$290,2, 0),"")</f>
        <v>ضباء</v>
      </c>
      <c r="H2182" s="212" t="s">
        <v>96</v>
      </c>
      <c r="I2182" s="246" t="n">
        <f aca="false">SUM(K2182:R2182)</f>
        <v>1</v>
      </c>
      <c r="J2182" s="182" t="n">
        <v>45988</v>
      </c>
      <c r="M2182" s="150" t="n">
        <v>1</v>
      </c>
      <c r="S2182" s="192" t="n">
        <f aca="false">(K2182+O2182+Q2182)*24 /1130+(L2182+M2182+P2182+R2182)*12/1130+(N2182*30)/1130</f>
        <v>0.0106194690265487</v>
      </c>
    </row>
    <row r="2183" customFormat="false" ht="15" hidden="true" customHeight="true" outlineLevel="0" collapsed="false">
      <c r="A2183" s="128" t="n">
        <f aca="false">D2183+230-730-345</f>
        <v>0.25</v>
      </c>
      <c r="B2183" s="233" t="n">
        <f aca="false">B2182+D2183-C2183</f>
        <v>17238.5</v>
      </c>
      <c r="D2183" s="146" t="n">
        <f aca="false">230*3+155.25</f>
        <v>845.25</v>
      </c>
      <c r="E2183" s="147" t="n">
        <v>53001713</v>
      </c>
      <c r="F2183" s="147" t="n">
        <f aca="false">IFERROR(VLOOKUP(H2183,$AD$1:$AE$301,2,0),"")</f>
        <v>1007988</v>
      </c>
      <c r="G2183" s="147" t="str">
        <f aca="false">IFERROR(VLOOKUP(F2183,$AE$2:$AF$290,2, 0),"")</f>
        <v>ضباء</v>
      </c>
      <c r="H2183" s="212" t="s">
        <v>89</v>
      </c>
      <c r="I2183" s="246" t="n">
        <f aca="false">SUM(K2183:R2183)</f>
        <v>4</v>
      </c>
      <c r="J2183" s="182" t="n">
        <v>45988</v>
      </c>
      <c r="M2183" s="150" t="n">
        <v>3</v>
      </c>
      <c r="R2183" s="155" t="n">
        <v>1</v>
      </c>
      <c r="S2183" s="192" t="n">
        <f aca="false">(K2183+O2183+Q2183)*24 /1130+(L2183+M2183+P2183+R2183)*12/1130+(N2183*30)/1130</f>
        <v>0.0424778761061947</v>
      </c>
    </row>
    <row r="2184" customFormat="false" ht="15" hidden="true" customHeight="true" outlineLevel="0" collapsed="false">
      <c r="B2184" s="233" t="n">
        <f aca="false">B2183+D2184-C2184</f>
        <v>18083.75</v>
      </c>
      <c r="D2184" s="146" t="n">
        <f aca="false">281.75*3</f>
        <v>845.25</v>
      </c>
      <c r="E2184" s="147" t="n">
        <v>53001714</v>
      </c>
      <c r="F2184" s="147" t="n">
        <f aca="false">IFERROR(VLOOKUP(H2184,$AD$1:$AE$301,2,0),"")</f>
        <v>1008045</v>
      </c>
      <c r="G2184" s="147" t="str">
        <f aca="false">IFERROR(VLOOKUP(F2184,$AE$2:$AF$290,2, 0),"")</f>
        <v>الوجه</v>
      </c>
      <c r="H2184" s="212" t="s">
        <v>107</v>
      </c>
      <c r="I2184" s="246" t="n">
        <f aca="false">SUM(K2184:R2184)</f>
        <v>3</v>
      </c>
      <c r="J2184" s="182" t="n">
        <v>45988</v>
      </c>
      <c r="K2184" s="148" t="n">
        <f aca="false">3</f>
        <v>3</v>
      </c>
      <c r="S2184" s="192" t="n">
        <f aca="false">(K2184+O2184+Q2184)*24 /1130+(L2184+M2184+P2184+R2184)*12/1130+(N2184*30)/1130</f>
        <v>0.063716814159292</v>
      </c>
    </row>
    <row r="2185" customFormat="false" ht="15" hidden="true" customHeight="true" outlineLevel="0" collapsed="false">
      <c r="A2185" s="128" t="n">
        <f aca="false">D2185+1391-55*5-600-100-1106</f>
        <v>0</v>
      </c>
      <c r="B2185" s="233" t="n">
        <f aca="false">B2184+D2185-C2185</f>
        <v>18773.75</v>
      </c>
      <c r="D2185" s="146" t="n">
        <f aca="false">230*3</f>
        <v>690</v>
      </c>
      <c r="E2185" s="147" t="n">
        <v>53001715</v>
      </c>
      <c r="F2185" s="147" t="n">
        <f aca="false">IFERROR(VLOOKUP(H2185,$AD$1:$AE$301,2,0),"")</f>
        <v>1008046</v>
      </c>
      <c r="G2185" s="147" t="str">
        <f aca="false">IFERROR(VLOOKUP(F2185,$AE$2:$AF$290,2, 0),"")</f>
        <v>الوجه</v>
      </c>
      <c r="H2185" s="212" t="s">
        <v>108</v>
      </c>
      <c r="I2185" s="246" t="n">
        <f aca="false">SUM(K2185:R2185)</f>
        <v>3</v>
      </c>
      <c r="J2185" s="182" t="n">
        <v>45988</v>
      </c>
      <c r="M2185" s="150" t="n">
        <v>3</v>
      </c>
      <c r="S2185" s="192" t="n">
        <f aca="false">(K2185+O2185+Q2185)*24 /1130+(L2185+M2185+P2185+R2185)*12/1130+(N2185*30)/1130</f>
        <v>0.031858407079646</v>
      </c>
    </row>
    <row r="2186" customFormat="false" ht="15" hidden="true" customHeight="true" outlineLevel="0" collapsed="false">
      <c r="A2186" s="128" t="n">
        <f aca="false">D2186+2*274+296.75-30-700-20-400+281.75-320-50</f>
        <v>-2.5</v>
      </c>
      <c r="B2186" s="233" t="n">
        <f aca="false">B2185+D2186-C2186</f>
        <v>19164.75</v>
      </c>
      <c r="D2186" s="146" t="n">
        <f aca="false">253+138</f>
        <v>391</v>
      </c>
      <c r="E2186" s="147" t="n">
        <v>53001716</v>
      </c>
      <c r="F2186" s="147" t="n">
        <f aca="false">IFERROR(VLOOKUP(H2186,$AD$1:$AE$301,2,0),"")</f>
        <v>656</v>
      </c>
      <c r="G2186" s="147" t="str">
        <f aca="false">IFERROR(VLOOKUP(F2186,$AE$2:$AF$290,2, 0),"")</f>
        <v>الوجه</v>
      </c>
      <c r="H2186" s="212" t="s">
        <v>115</v>
      </c>
      <c r="I2186" s="246" t="n">
        <f aca="false">SUM(K2186:R2186)</f>
        <v>2</v>
      </c>
      <c r="J2186" s="182" t="n">
        <v>45988</v>
      </c>
      <c r="M2186" s="150" t="n">
        <v>1</v>
      </c>
      <c r="Q2186" s="154" t="n">
        <v>1</v>
      </c>
      <c r="S2186" s="192" t="n">
        <f aca="false">(K2186+O2186+Q2186)*24 /1130+(L2186+M2186+P2186+R2186)*12/1130+(N2186*30)/1130</f>
        <v>0.031858407079646</v>
      </c>
    </row>
    <row r="2187" customFormat="false" ht="15" hidden="true" customHeight="true" outlineLevel="0" collapsed="false">
      <c r="B2187" s="233" t="n">
        <f aca="false">B2186+D2187-C2187</f>
        <v>20010</v>
      </c>
      <c r="D2187" s="146" t="n">
        <f aca="false">281.75*3</f>
        <v>845.25</v>
      </c>
      <c r="E2187" s="147" t="n">
        <v>53001717</v>
      </c>
      <c r="F2187" s="147" t="n">
        <f aca="false">IFERROR(VLOOKUP(H2187,$AD$1:$AE$301,2,0),"")</f>
        <v>1008047</v>
      </c>
      <c r="G2187" s="147" t="str">
        <f aca="false">IFERROR(VLOOKUP(F2187,$AE$2:$AF$290,2, 0),"")</f>
        <v>الوجه</v>
      </c>
      <c r="H2187" s="212" t="s">
        <v>422</v>
      </c>
      <c r="I2187" s="246" t="n">
        <f aca="false">SUM(K2187:R2187)</f>
        <v>3</v>
      </c>
      <c r="J2187" s="182" t="n">
        <v>45988</v>
      </c>
      <c r="K2187" s="148" t="n">
        <v>3</v>
      </c>
      <c r="S2187" s="192" t="n">
        <f aca="false">(K2187+O2187+Q2187)*24 /1130+(L2187+M2187+P2187+R2187)*12/1130+(N2187*30)/1130</f>
        <v>0.063716814159292</v>
      </c>
    </row>
    <row r="2188" customFormat="false" ht="15" hidden="true" customHeight="true" outlineLevel="0" collapsed="false">
      <c r="A2188" s="128" t="n">
        <f aca="false">D2188-845</f>
        <v>0.25</v>
      </c>
      <c r="B2188" s="233" t="n">
        <f aca="false">B2187+D2188-C2188</f>
        <v>20855.25</v>
      </c>
      <c r="D2188" s="146" t="n">
        <f aca="false">281.75*3</f>
        <v>845.25</v>
      </c>
      <c r="E2188" s="147" t="n">
        <v>53001718</v>
      </c>
      <c r="F2188" s="147" t="n">
        <f aca="false">IFERROR(VLOOKUP(H2188,$AD$1:$AE$301,2,0),"")</f>
        <v>1008054</v>
      </c>
      <c r="G2188" s="147" t="str">
        <f aca="false">IFERROR(VLOOKUP(F2188,$AE$2:$AF$290,2, 0),"")</f>
        <v>الوجه</v>
      </c>
      <c r="H2188" s="212" t="s">
        <v>112</v>
      </c>
      <c r="I2188" s="246" t="n">
        <f aca="false">SUM(K2188:R2188)</f>
        <v>3</v>
      </c>
      <c r="J2188" s="182" t="n">
        <v>45988</v>
      </c>
      <c r="K2188" s="148" t="n">
        <f aca="false">3</f>
        <v>3</v>
      </c>
      <c r="S2188" s="192" t="n">
        <f aca="false">(K2188+O2188+Q2188)*24 /1130+(L2188+M2188+P2188+R2188)*12/1130+(N2188*30)/1130</f>
        <v>0.063716814159292</v>
      </c>
    </row>
    <row r="2189" customFormat="false" ht="15" hidden="true" customHeight="true" outlineLevel="0" collapsed="false">
      <c r="A2189" s="128" t="n">
        <f aca="false">D2189-500-344.25</f>
        <v>1</v>
      </c>
      <c r="B2189" s="233" t="n">
        <f aca="false">B2188+D2189-C2189</f>
        <v>21700.5</v>
      </c>
      <c r="D2189" s="146" t="n">
        <f aca="false">281.75*3</f>
        <v>845.25</v>
      </c>
      <c r="E2189" s="147" t="n">
        <v>53001719</v>
      </c>
      <c r="F2189" s="147" t="n">
        <f aca="false">IFERROR(VLOOKUP(H2189,$AD$1:$AE$301,2,0),"")</f>
        <v>1008051</v>
      </c>
      <c r="G2189" s="147" t="str">
        <f aca="false">IFERROR(VLOOKUP(F2189,$AE$2:$AF$290,2, 0),"")</f>
        <v>الوجه</v>
      </c>
      <c r="H2189" s="212" t="s">
        <v>113</v>
      </c>
      <c r="I2189" s="246" t="n">
        <f aca="false">SUM(K2189:R2189)</f>
        <v>3</v>
      </c>
      <c r="J2189" s="182" t="n">
        <v>45988</v>
      </c>
      <c r="K2189" s="148" t="n">
        <f aca="false">2+1</f>
        <v>3</v>
      </c>
      <c r="S2189" s="192" t="n">
        <f aca="false">(K2189+O2189+Q2189)*24 /1130+(L2189+M2189+P2189+R2189)*12/1130+(N2189*30)/1130</f>
        <v>0.063716814159292</v>
      </c>
    </row>
    <row r="2190" customFormat="false" ht="15" hidden="true" customHeight="true" outlineLevel="0" collapsed="false">
      <c r="A2190" s="128" t="n">
        <f aca="false">D2190+281.75-143-115-160</f>
        <v>1.75</v>
      </c>
      <c r="B2190" s="233" t="n">
        <f aca="false">B2189+D2190-C2190</f>
        <v>21838.5</v>
      </c>
      <c r="D2190" s="146" t="n">
        <v>138</v>
      </c>
      <c r="E2190" s="147" t="n">
        <v>53001720</v>
      </c>
      <c r="F2190" s="147" t="n">
        <f aca="false">IFERROR(VLOOKUP(H2190,$AD$1:$AE$301,2,0),"")</f>
        <v>1008043</v>
      </c>
      <c r="G2190" s="147" t="str">
        <f aca="false">IFERROR(VLOOKUP(F2190,$AE$2:$AF$290,2, 0),"")</f>
        <v>الوجه</v>
      </c>
      <c r="H2190" s="212" t="s">
        <v>104</v>
      </c>
      <c r="I2190" s="246" t="n">
        <f aca="false">SUM(K2190:R2190)</f>
        <v>1</v>
      </c>
      <c r="J2190" s="182" t="n">
        <v>45988</v>
      </c>
      <c r="Q2190" s="154" t="n">
        <v>1</v>
      </c>
      <c r="S2190" s="192" t="n">
        <f aca="false">(K2190+O2190+Q2190)*24 /1130+(L2190+M2190+P2190+R2190)*12/1130+(N2190*30)/1130</f>
        <v>0.0212389380530973</v>
      </c>
    </row>
    <row r="2191" customFormat="false" ht="15" hidden="true" customHeight="true" outlineLevel="0" collapsed="false">
      <c r="B2191" s="233" t="n">
        <f aca="false">B2190+D2191-C2191</f>
        <v>22683.75</v>
      </c>
      <c r="D2191" s="146" t="n">
        <f aca="false">281.75*3</f>
        <v>845.25</v>
      </c>
      <c r="E2191" s="147" t="n">
        <v>53001721</v>
      </c>
      <c r="F2191" s="147" t="n">
        <f aca="false">IFERROR(VLOOKUP(H2191,$AD$1:$AE$301,2,0),"")</f>
        <v>1008043</v>
      </c>
      <c r="G2191" s="147" t="str">
        <f aca="false">IFERROR(VLOOKUP(F2191,$AE$2:$AF$290,2, 0),"")</f>
        <v>الوجه</v>
      </c>
      <c r="H2191" s="212" t="s">
        <v>104</v>
      </c>
      <c r="I2191" s="246" t="n">
        <f aca="false">SUM(K2191:R2191)</f>
        <v>3</v>
      </c>
      <c r="J2191" s="182" t="n">
        <v>45988</v>
      </c>
      <c r="K2191" s="148" t="n">
        <f aca="false">2+1</f>
        <v>3</v>
      </c>
      <c r="S2191" s="192" t="n">
        <f aca="false">(K2191+O2191+Q2191)*24 /1130+(L2191+M2191+P2191+R2191)*12/1130+(N2191*30)/1130</f>
        <v>0.063716814159292</v>
      </c>
    </row>
    <row r="2192" customFormat="false" ht="15" hidden="true" customHeight="true" outlineLevel="0" collapsed="false">
      <c r="A2192" s="128" t="n">
        <f aca="false">D2192-966</f>
        <v>0</v>
      </c>
      <c r="B2192" s="233" t="n">
        <f aca="false">B2191+D2192-C2192</f>
        <v>23649.75</v>
      </c>
      <c r="D2192" s="146" t="n">
        <f aca="false">230*2+253+253</f>
        <v>966</v>
      </c>
      <c r="E2192" s="147" t="n">
        <v>53001722</v>
      </c>
      <c r="F2192" s="147" t="n">
        <f aca="false">IFERROR(VLOOKUP(H2192,$AD$1:$AE$301,2,0),"")</f>
        <v>1002</v>
      </c>
      <c r="G2192" s="147" t="str">
        <f aca="false">IFERROR(VLOOKUP(F2192,$AE$2:$AF$290,2, 0),"")</f>
        <v>الوجه</v>
      </c>
      <c r="H2192" s="212" t="s">
        <v>116</v>
      </c>
      <c r="I2192" s="246" t="n">
        <f aca="false">SUM(K2192:R2192)</f>
        <v>4</v>
      </c>
      <c r="J2192" s="182" t="n">
        <v>45988</v>
      </c>
      <c r="M2192" s="150" t="n">
        <f aca="false">2+1+1</f>
        <v>4</v>
      </c>
      <c r="S2192" s="192" t="n">
        <f aca="false">(K2192+O2192+Q2192)*24 /1130+(L2192+M2192+P2192+R2192)*12/1130+(N2192*30)/1130</f>
        <v>0.0424778761061947</v>
      </c>
    </row>
    <row r="2193" customFormat="false" ht="15" hidden="true" customHeight="true" outlineLevel="0" collapsed="false">
      <c r="A2193" s="128" t="n">
        <f aca="false">D2193-825-822</f>
        <v>-2.5</v>
      </c>
      <c r="B2193" s="233" t="n">
        <f aca="false">B2192+D2193-C2193</f>
        <v>25294.25</v>
      </c>
      <c r="D2193" s="146" t="n">
        <f aca="false">822.25*2</f>
        <v>1644.5</v>
      </c>
      <c r="E2193" s="147" t="n">
        <v>53001723</v>
      </c>
      <c r="F2193" s="147" t="n">
        <f aca="false">IFERROR(VLOOKUP(H2193,$AD$1:$AE$301,2,0),"")</f>
        <v>1033</v>
      </c>
      <c r="G2193" s="147" t="str">
        <f aca="false">IFERROR(VLOOKUP(F2193,$AE$2:$AF$290,2, 0),"")</f>
        <v>الوجه</v>
      </c>
      <c r="H2193" s="212" t="s">
        <v>117</v>
      </c>
      <c r="I2193" s="246" t="n">
        <f aca="false">SUM(K2193:R2193)</f>
        <v>6</v>
      </c>
      <c r="J2193" s="182" t="n">
        <v>45988</v>
      </c>
      <c r="N2193" s="151" t="n">
        <v>6</v>
      </c>
      <c r="S2193" s="192" t="n">
        <f aca="false">(K2193+O2193+Q2193)*24 /1130+(L2193+M2193+P2193+R2193)*12/1130+(N2193*30)/1130</f>
        <v>0.15929203539823</v>
      </c>
    </row>
    <row r="2194" customFormat="false" ht="15" hidden="true" customHeight="true" outlineLevel="0" collapsed="false">
      <c r="A2194" s="128" t="n">
        <f aca="false">D2194+138*3-759-100-50-5*24-230</f>
        <v>0.25</v>
      </c>
      <c r="B2194" s="233" t="n">
        <f aca="false">B2193+D2194-C2194</f>
        <v>26139.5</v>
      </c>
      <c r="D2194" s="146" t="n">
        <f aca="false">281.75*3</f>
        <v>845.25</v>
      </c>
      <c r="E2194" s="147" t="n">
        <v>53001724</v>
      </c>
      <c r="F2194" s="147" t="n">
        <f aca="false">IFERROR(VLOOKUP(H2194,$AD$1:$AE$301,2,0),"")</f>
        <v>954</v>
      </c>
      <c r="G2194" s="147" t="str">
        <f aca="false">IFERROR(VLOOKUP(F2194,$AE$2:$AF$290,2, 0),"")</f>
        <v>تبوك</v>
      </c>
      <c r="H2194" s="212" t="s">
        <v>199</v>
      </c>
      <c r="I2194" s="246" t="n">
        <f aca="false">SUM(K2194:R2194)</f>
        <v>3</v>
      </c>
      <c r="J2194" s="182" t="n">
        <v>45989</v>
      </c>
      <c r="K2194" s="148" t="n">
        <f aca="false">1+2</f>
        <v>3</v>
      </c>
      <c r="S2194" s="192" t="n">
        <f aca="false">(K2194+O2194+Q2194)*24 /1130+(L2194+M2194+P2194+R2194)*12/1130+(N2194*30)/1130</f>
        <v>0.063716814159292</v>
      </c>
    </row>
    <row r="2195" customFormat="false" ht="15" hidden="true" customHeight="true" outlineLevel="0" collapsed="false">
      <c r="A2195" s="128" t="n">
        <f aca="false">D2195-345+50-15</f>
        <v>0.5</v>
      </c>
      <c r="B2195" s="233" t="n">
        <f aca="false">B2194+D2195-C2195</f>
        <v>26450</v>
      </c>
      <c r="D2195" s="146" t="n">
        <v>310.5</v>
      </c>
      <c r="E2195" s="147" t="n">
        <v>53001725</v>
      </c>
      <c r="F2195" s="147" t="n">
        <f aca="false">IFERROR(VLOOKUP(H2195,$AD$1:$AE$301,2,0),"")</f>
        <v>1007961</v>
      </c>
      <c r="G2195" s="147" t="str">
        <f aca="false">IFERROR(VLOOKUP(F2195,$AE$2:$AF$290,2, 0),"")</f>
        <v>البير</v>
      </c>
      <c r="H2195" s="212" t="s">
        <v>285</v>
      </c>
      <c r="I2195" s="246" t="n">
        <f aca="false">SUM(K2195:R2195)</f>
        <v>1</v>
      </c>
      <c r="J2195" s="182" t="n">
        <v>45990</v>
      </c>
      <c r="Q2195" s="154" t="n">
        <v>1</v>
      </c>
      <c r="S2195" s="192" t="n">
        <f aca="false">(K2195+O2195+Q2195)*24 /1130+(L2195+M2195+P2195+R2195)*12/1130+(N2195*30)/1130</f>
        <v>0.0212389380530973</v>
      </c>
    </row>
    <row r="2196" customFormat="false" ht="15" hidden="true" customHeight="true" outlineLevel="0" collapsed="false">
      <c r="A2196" s="128" t="n">
        <f aca="false">D2196-306.75-245</f>
        <v>0.25</v>
      </c>
      <c r="B2196" s="233" t="n">
        <f aca="false">B2195+D2196-C2196</f>
        <v>27002</v>
      </c>
      <c r="D2196" s="146" t="n">
        <f aca="false">241.5+310.5</f>
        <v>552</v>
      </c>
      <c r="E2196" s="147" t="n">
        <v>53001726</v>
      </c>
      <c r="F2196" s="147" t="n">
        <f aca="false">IFERROR(VLOOKUP(H2196,$AD$1:$AE$301,2,0),"")</f>
        <v>1007965</v>
      </c>
      <c r="G2196" s="147" t="str">
        <f aca="false">IFERROR(VLOOKUP(F2196,$AE$2:$AF$290,2, 0),"")</f>
        <v>البير</v>
      </c>
      <c r="H2196" s="212" t="s">
        <v>290</v>
      </c>
      <c r="I2196" s="246" t="n">
        <f aca="false">SUM(K2196:R2196)</f>
        <v>2</v>
      </c>
      <c r="J2196" s="182" t="n">
        <v>45990</v>
      </c>
      <c r="Q2196" s="154" t="n">
        <f aca="false">1+1</f>
        <v>2</v>
      </c>
      <c r="S2196" s="192" t="n">
        <f aca="false">(K2196+O2196+Q2196)*24 /1130+(L2196+M2196+P2196+R2196)*12/1130+(N2196*30)/1130</f>
        <v>0.0424778761061947</v>
      </c>
    </row>
    <row r="2197" customFormat="false" ht="15" hidden="true" customHeight="true" outlineLevel="0" collapsed="false">
      <c r="A2197" s="128" t="n">
        <f aca="false">D2197-420-563.5-200+45</f>
        <v>0</v>
      </c>
      <c r="B2197" s="233" t="n">
        <f aca="false">B2196+D2197-C2197</f>
        <v>28140.5</v>
      </c>
      <c r="D2197" s="146" t="n">
        <f aca="false">281.75*3+138+155.25</f>
        <v>1138.5</v>
      </c>
      <c r="E2197" s="147" t="n">
        <v>53001727</v>
      </c>
      <c r="F2197" s="147" t="n">
        <f aca="false">IFERROR(VLOOKUP(H2197,$AD$1:$AE$301,2,0),"")</f>
        <v>1007969</v>
      </c>
      <c r="G2197" s="147" t="str">
        <f aca="false">IFERROR(VLOOKUP(F2197,$AE$2:$AF$290,2, 0),"")</f>
        <v>حقل</v>
      </c>
      <c r="H2197" s="212" t="s">
        <v>309</v>
      </c>
      <c r="I2197" s="246" t="n">
        <f aca="false">SUM(K2197:R2197)</f>
        <v>4</v>
      </c>
      <c r="J2197" s="182" t="n">
        <v>45990</v>
      </c>
      <c r="K2197" s="148" t="n">
        <v>3</v>
      </c>
      <c r="Q2197" s="154" t="n">
        <v>1</v>
      </c>
      <c r="S2197" s="192" t="n">
        <f aca="false">(K2197+O2197+Q2197)*24 /1130+(L2197+M2197+P2197+R2197)*12/1130+(N2197*30)/1130</f>
        <v>0.0849557522123894</v>
      </c>
    </row>
    <row r="2198" customFormat="false" ht="15" hidden="true" customHeight="true" outlineLevel="0" collapsed="false">
      <c r="A2198" s="128" t="n">
        <f aca="false">D2198-258-345-87</f>
        <v>0</v>
      </c>
      <c r="B2198" s="233" t="n">
        <f aca="false">B2197+D2198-C2198</f>
        <v>28140.5</v>
      </c>
      <c r="C2198" s="127" t="n">
        <v>690</v>
      </c>
      <c r="D2198" s="146" t="n">
        <f aca="false">345*2</f>
        <v>690</v>
      </c>
      <c r="E2198" s="147" t="n">
        <v>53001728</v>
      </c>
      <c r="F2198" s="147" t="n">
        <f aca="false">IFERROR(VLOOKUP(H2198,$AD$1:$AE$301,2,0),"")</f>
        <v>1007970</v>
      </c>
      <c r="G2198" s="147" t="str">
        <f aca="false">IFERROR(VLOOKUP(F2198,$AE$2:$AF$290,2, 0),"")</f>
        <v>حقل</v>
      </c>
      <c r="H2198" s="212" t="s">
        <v>310</v>
      </c>
      <c r="I2198" s="246" t="n">
        <f aca="false">SUM(K2198:R2198)</f>
        <v>2</v>
      </c>
      <c r="J2198" s="182" t="n">
        <v>45990</v>
      </c>
      <c r="M2198" s="150" t="n">
        <v>2</v>
      </c>
      <c r="S2198" s="192" t="n">
        <f aca="false">(K2198+O2198+Q2198)*24 /1130+(L2198+M2198+P2198+R2198)*12/1130+(N2198*30)/1130</f>
        <v>0.0212389380530973</v>
      </c>
    </row>
    <row r="2199" customFormat="false" ht="15" hidden="true" customHeight="true" outlineLevel="0" collapsed="false">
      <c r="B2199" s="233" t="n">
        <f aca="false">B2198+D2199-C2199</f>
        <v>28393.5</v>
      </c>
      <c r="D2199" s="146" t="n">
        <v>253</v>
      </c>
      <c r="E2199" s="147" t="n">
        <v>53001729</v>
      </c>
      <c r="F2199" s="147" t="n">
        <f aca="false">IFERROR(VLOOKUP(H2199,$AD$1:$AE$301,2,0),"")</f>
        <v>1008004</v>
      </c>
      <c r="G2199" s="147" t="str">
        <f aca="false">IFERROR(VLOOKUP(F2199,$AE$2:$AF$290,2, 0),"")</f>
        <v>حقل</v>
      </c>
      <c r="H2199" s="212" t="s">
        <v>316</v>
      </c>
      <c r="I2199" s="246" t="n">
        <f aca="false">SUM(K2199:R2199)</f>
        <v>1</v>
      </c>
      <c r="J2199" s="182" t="n">
        <v>45990</v>
      </c>
      <c r="R2199" s="155" t="n">
        <v>1</v>
      </c>
      <c r="S2199" s="192" t="n">
        <f aca="false">(K2199+O2199+Q2199)*24 /1130+(L2199+M2199+P2199+R2199)*12/1130+(N2199*30)/1130</f>
        <v>0.0106194690265487</v>
      </c>
    </row>
    <row r="2200" customFormat="false" ht="15" hidden="true" customHeight="true" outlineLevel="0" collapsed="false">
      <c r="A2200" s="128" t="n">
        <f aca="false">D2200-563.5-282</f>
        <v>-0.25</v>
      </c>
      <c r="B2200" s="233" t="n">
        <f aca="false">B2199+D2200-C2200</f>
        <v>29238.75</v>
      </c>
      <c r="D2200" s="146" t="n">
        <f aca="false">281.75*3</f>
        <v>845.25</v>
      </c>
      <c r="E2200" s="147" t="n">
        <v>53001730</v>
      </c>
      <c r="F2200" s="147" t="n">
        <f aca="false">IFERROR(VLOOKUP(H2200,$AD$1:$AE$301,2,0),"")</f>
        <v>1008007</v>
      </c>
      <c r="G2200" s="147" t="str">
        <f aca="false">IFERROR(VLOOKUP(F2200,$AE$2:$AF$290,2, 0),"")</f>
        <v>حقل</v>
      </c>
      <c r="H2200" s="212" t="s">
        <v>303</v>
      </c>
      <c r="I2200" s="246" t="n">
        <f aca="false">SUM(K2200:R2200)</f>
        <v>3</v>
      </c>
      <c r="J2200" s="182" t="n">
        <v>45990</v>
      </c>
      <c r="K2200" s="148" t="n">
        <v>3</v>
      </c>
      <c r="S2200" s="192" t="n">
        <f aca="false">(K2200+O2200+Q2200)*24 /1130+(L2200+M2200+P2200+R2200)*12/1130+(N2200*30)/1130</f>
        <v>0.063716814159292</v>
      </c>
    </row>
    <row r="2201" customFormat="false" ht="15" hidden="true" customHeight="true" outlineLevel="0" collapsed="false">
      <c r="B2201" s="233" t="n">
        <f aca="false">B2200+D2201-C2201</f>
        <v>29394</v>
      </c>
      <c r="D2201" s="146" t="n">
        <f aca="false">3*51.75</f>
        <v>155.25</v>
      </c>
      <c r="E2201" s="147" t="n">
        <v>53001731</v>
      </c>
      <c r="F2201" s="147" t="n">
        <f aca="false">IFERROR(VLOOKUP(H2201,$AD$1:$AE$301,2,0),"")</f>
        <v>945</v>
      </c>
      <c r="G2201" s="147" t="str">
        <f aca="false">IFERROR(VLOOKUP(F2201,$AE$2:$AF$290,2, 0),"")</f>
        <v>تبوك</v>
      </c>
      <c r="H2201" s="212" t="s">
        <v>137</v>
      </c>
      <c r="I2201" s="246" t="n">
        <f aca="false">SUM(K2201:R2201)</f>
        <v>3</v>
      </c>
      <c r="J2201" s="182" t="n">
        <v>45991</v>
      </c>
      <c r="R2201" s="155" t="n">
        <v>3</v>
      </c>
      <c r="S2201" s="192" t="n">
        <f aca="false">(K2201+O2201+Q2201)*24 /1130+(L2201+M2201+P2201+R2201)*12/1130+(N2201*30)/1130</f>
        <v>0.031858407079646</v>
      </c>
    </row>
    <row r="2202" customFormat="false" ht="15" hidden="true" customHeight="true" outlineLevel="0" collapsed="false">
      <c r="B2202" s="233" t="n">
        <f aca="false">B2201+D2202-C2202</f>
        <v>30751</v>
      </c>
      <c r="D2202" s="146" t="n">
        <f aca="false">253*4+345</f>
        <v>1357</v>
      </c>
      <c r="E2202" s="147" t="n">
        <v>53001733</v>
      </c>
      <c r="F2202" s="147" t="n">
        <f aca="false">IFERROR(VLOOKUP(H2202,$AD$1:$AE$301,2,0),"")</f>
        <v>1063</v>
      </c>
      <c r="G2202" s="147" t="str">
        <f aca="false">IFERROR(VLOOKUP(F2202,$AE$2:$AF$290,2, 0),"")</f>
        <v>تبوك</v>
      </c>
      <c r="H2202" s="212" t="s">
        <v>158</v>
      </c>
      <c r="I2202" s="246" t="n">
        <f aca="false">SUM(K2202:R2202)</f>
        <v>5</v>
      </c>
      <c r="J2202" s="182" t="n">
        <v>45991</v>
      </c>
      <c r="M2202" s="150" t="n">
        <f aca="false">4+1</f>
        <v>5</v>
      </c>
      <c r="S2202" s="192" t="n">
        <f aca="false">(K2202+O2202+Q2202)*24 /1130+(L2202+M2202+P2202+R2202)*12/1130+(N2202*30)/1130</f>
        <v>0.0530973451327434</v>
      </c>
    </row>
    <row r="2203" customFormat="false" ht="15" hidden="true" customHeight="true" outlineLevel="0" collapsed="false">
      <c r="B2203" s="233" t="n">
        <f aca="false">B2202+D2203-C2203</f>
        <v>31596.25</v>
      </c>
      <c r="D2203" s="146" t="n">
        <f aca="false">281.75*3</f>
        <v>845.25</v>
      </c>
      <c r="E2203" s="147" t="n">
        <v>53001732</v>
      </c>
      <c r="F2203" s="147" t="n">
        <f aca="false">IFERROR(VLOOKUP(H2203,$AD$1:$AE$301,2,0),"")</f>
        <v>1002909</v>
      </c>
      <c r="G2203" s="147" t="str">
        <f aca="false">IFERROR(VLOOKUP(F2203,$AE$2:$AF$290,2, 0),"")</f>
        <v>تبوك</v>
      </c>
      <c r="H2203" s="212" t="s">
        <v>200</v>
      </c>
      <c r="I2203" s="246" t="n">
        <f aca="false">SUM(K2203:R2203)</f>
        <v>3</v>
      </c>
      <c r="J2203" s="182" t="n">
        <v>45991</v>
      </c>
      <c r="K2203" s="148" t="n">
        <f aca="false">1+2</f>
        <v>3</v>
      </c>
      <c r="S2203" s="192" t="n">
        <f aca="false">(K2203+O2203+Q2203)*24 /1130+(L2203+M2203+P2203+R2203)*12/1130+(N2203*30)/1130</f>
        <v>0.063716814159292</v>
      </c>
    </row>
    <row r="2204" customFormat="false" ht="15" hidden="true" customHeight="true" outlineLevel="0" collapsed="false">
      <c r="A2204" s="128" t="n">
        <f aca="false">D2204-563.5-280</f>
        <v>1.75</v>
      </c>
      <c r="B2204" s="233" t="n">
        <f aca="false">B2203+D2204-C2204</f>
        <v>32441.5</v>
      </c>
      <c r="D2204" s="146" t="n">
        <f aca="false">281.75*3</f>
        <v>845.25</v>
      </c>
      <c r="E2204" s="147" t="n">
        <v>53001734</v>
      </c>
      <c r="F2204" s="147" t="n">
        <f aca="false">IFERROR(VLOOKUP(H2204,$AD$1:$AE$301,2,0),"")</f>
        <v>635</v>
      </c>
      <c r="G2204" s="147" t="str">
        <f aca="false">IFERROR(VLOOKUP(F2204,$AE$2:$AF$290,2, 0),"")</f>
        <v>تبوك</v>
      </c>
      <c r="H2204" s="212" t="s">
        <v>157</v>
      </c>
      <c r="I2204" s="246" t="n">
        <f aca="false">SUM(K2204:R2204)</f>
        <v>3</v>
      </c>
      <c r="J2204" s="182" t="n">
        <v>45991</v>
      </c>
      <c r="K2204" s="148" t="n">
        <f aca="false">2+1</f>
        <v>3</v>
      </c>
      <c r="S2204" s="192" t="n">
        <f aca="false">(K2204+O2204+Q2204)*24 /1130+(L2204+M2204+P2204+R2204)*12/1130+(N2204*30)/1130</f>
        <v>0.063716814159292</v>
      </c>
    </row>
    <row r="2205" customFormat="false" ht="15" hidden="true" customHeight="true" outlineLevel="0" collapsed="false">
      <c r="B2205" s="233" t="n">
        <f aca="false">B2204+D2205-C2205</f>
        <v>26054</v>
      </c>
      <c r="C2205" s="127" t="n">
        <f aca="false">1957.75+800+845+345+200+281.75+845+100+30+700+20+143+120</f>
        <v>6387.5</v>
      </c>
      <c r="E2205" s="147" t="s">
        <v>675</v>
      </c>
      <c r="F2205" s="147" t="str">
        <f aca="false">IFERROR(VLOOKUP(H2205,$AD$1:$AE$301,2,0),"")</f>
        <v/>
      </c>
      <c r="G2205" s="147" t="str">
        <f aca="false">IFERROR(VLOOKUP(F2205,$AE$2:$AF$290,2, 0),"")</f>
        <v/>
      </c>
      <c r="H2205" s="212" t="s">
        <v>393</v>
      </c>
      <c r="I2205" s="246" t="n">
        <f aca="false">SUM(K2205:R2205)</f>
        <v>0</v>
      </c>
      <c r="J2205" s="182" t="n">
        <v>45988</v>
      </c>
      <c r="S2205" s="192" t="n">
        <f aca="false">(K2205+O2205+Q2205)*24 /1130+(L2205+M2205+P2205+R2205)*12/1130+(N2205*30)/1130</f>
        <v>0</v>
      </c>
    </row>
    <row r="2206" customFormat="false" ht="15" hidden="true" customHeight="true" outlineLevel="0" collapsed="false">
      <c r="B2206" s="233" t="n">
        <f aca="false">B2205+D2206-C2206</f>
        <v>17328</v>
      </c>
      <c r="C2206" s="127" t="n">
        <f aca="false">455+57+140+3000+845+1725+845+759+500+400</f>
        <v>8726</v>
      </c>
      <c r="E2206" s="147" t="s">
        <v>675</v>
      </c>
      <c r="F2206" s="147" t="str">
        <f aca="false">IFERROR(VLOOKUP(H2206,$AD$1:$AE$301,2,0),"")</f>
        <v/>
      </c>
      <c r="G2206" s="147" t="str">
        <f aca="false">IFERROR(VLOOKUP(F2206,$AE$2:$AF$290,2, 0),"")</f>
        <v/>
      </c>
      <c r="H2206" s="212" t="s">
        <v>393</v>
      </c>
      <c r="I2206" s="246" t="n">
        <f aca="false">SUM(K2206:R2206)</f>
        <v>0</v>
      </c>
      <c r="J2206" s="182" t="n">
        <v>45991</v>
      </c>
      <c r="S2206" s="192" t="n">
        <f aca="false">(K2206+O2206+Q2206)*24 /1130+(L2206+M2206+P2206+R2206)*12/1130+(N2206*30)/1130</f>
        <v>0</v>
      </c>
    </row>
    <row r="2207" customFormat="false" ht="15" hidden="true" customHeight="true" outlineLevel="0" collapsed="false">
      <c r="B2207" s="233" t="n">
        <f aca="false">B2206+D2207-C2207</f>
        <v>11344</v>
      </c>
      <c r="C2207" s="127" t="n">
        <f aca="false">1400+825+1357+1106+330+966</f>
        <v>5984</v>
      </c>
      <c r="E2207" s="147" t="s">
        <v>667</v>
      </c>
      <c r="F2207" s="147" t="str">
        <f aca="false">IFERROR(VLOOKUP(H2207,$AD$1:$AE$301,2,0),"")</f>
        <v/>
      </c>
      <c r="G2207" s="147" t="str">
        <f aca="false">IFERROR(VLOOKUP(F2207,$AE$2:$AF$290,2, 0),"")</f>
        <v/>
      </c>
      <c r="H2207" s="212" t="s">
        <v>393</v>
      </c>
      <c r="I2207" s="246" t="n">
        <f aca="false">SUM(K2207:R2207)</f>
        <v>0</v>
      </c>
      <c r="J2207" s="182" t="n">
        <v>45990</v>
      </c>
      <c r="S2207" s="192" t="n">
        <f aca="false">(K2207+O2207+Q2207)*24 /1130+(L2207+M2207+P2207+R2207)*12/1130+(N2207*30)/1130</f>
        <v>0</v>
      </c>
    </row>
    <row r="2208" customFormat="false" ht="15" hidden="true" customHeight="true" outlineLevel="0" collapsed="false">
      <c r="B2208" s="233" t="n">
        <f aca="false">B2207+D2208-C2208</f>
        <v>0</v>
      </c>
      <c r="C2208" s="127" t="n">
        <f aca="false">11344</f>
        <v>11344</v>
      </c>
      <c r="E2208" s="147" t="s">
        <v>668</v>
      </c>
      <c r="F2208" s="147" t="str">
        <f aca="false">IFERROR(VLOOKUP(H2208,$AD$1:$AE$301,2,0),"")</f>
        <v/>
      </c>
      <c r="G2208" s="147" t="str">
        <f aca="false">IFERROR(VLOOKUP(F2208,$AE$2:$AF$290,2, 0),"")</f>
        <v/>
      </c>
      <c r="H2208" s="212" t="s">
        <v>393</v>
      </c>
      <c r="I2208" s="246" t="n">
        <f aca="false">SUM(K2208:R2208)</f>
        <v>0</v>
      </c>
      <c r="J2208" s="182" t="n">
        <v>45992</v>
      </c>
      <c r="S2208" s="192" t="n">
        <f aca="false">(K2208+O2208+Q2208)*24 /1130+(L2208+M2208+P2208+R2208)*12/1130+(N2208*30)/1130</f>
        <v>0</v>
      </c>
    </row>
    <row r="2209" customFormat="false" ht="15" hidden="true" customHeight="true" outlineLevel="0" collapsed="false">
      <c r="A2209" s="128" t="n">
        <f aca="false">D2209-457-200-500</f>
        <v>-1.25</v>
      </c>
      <c r="B2209" s="233" t="n">
        <f aca="false">B2208+D2209-C2209</f>
        <v>1155.75</v>
      </c>
      <c r="D2209" s="146" t="n">
        <f aca="false">281.75*3+2*155.25</f>
        <v>1155.75</v>
      </c>
      <c r="E2209" s="147" t="n">
        <v>53001735</v>
      </c>
      <c r="F2209" s="147" t="n">
        <f aca="false">IFERROR(VLOOKUP(H2209,$AD$1:$AE$301,2,0),"")</f>
        <v>653</v>
      </c>
      <c r="G2209" s="147" t="str">
        <f aca="false">IFERROR(VLOOKUP(F2209,$AE$2:$AF$290,2, 0),"")</f>
        <v>تبوك</v>
      </c>
      <c r="H2209" s="212" t="s">
        <v>264</v>
      </c>
      <c r="I2209" s="246" t="n">
        <f aca="false">SUM(K2209:R2209)</f>
        <v>5</v>
      </c>
      <c r="J2209" s="182" t="n">
        <v>45993</v>
      </c>
      <c r="K2209" s="148" t="n">
        <v>3</v>
      </c>
      <c r="R2209" s="155" t="n">
        <v>2</v>
      </c>
      <c r="S2209" s="192" t="n">
        <f aca="false">(K2209+O2209+Q2209)*24 /1130+(L2209+M2209+P2209+R2209)*12/1130+(N2209*30)/1130</f>
        <v>0.0849557522123894</v>
      </c>
    </row>
    <row r="2210" customFormat="false" ht="15" hidden="true" customHeight="true" outlineLevel="0" collapsed="false">
      <c r="B2210" s="233" t="n">
        <f aca="false">B2209+D2210-C2210</f>
        <v>1546.75</v>
      </c>
      <c r="D2210" s="146" t="n">
        <f aca="false">195.5*2</f>
        <v>391</v>
      </c>
      <c r="E2210" s="147" t="n">
        <v>53001736</v>
      </c>
      <c r="F2210" s="147" t="n">
        <f aca="false">IFERROR(VLOOKUP(H2210,$AD$1:$AE$301,2,0),"")</f>
        <v>1007996</v>
      </c>
      <c r="G2210" s="147" t="str">
        <f aca="false">IFERROR(VLOOKUP(F2210,$AE$2:$AF$290,2, 0),"")</f>
        <v>البير</v>
      </c>
      <c r="H2210" s="212" t="s">
        <v>295</v>
      </c>
      <c r="I2210" s="246" t="n">
        <f aca="false">SUM(K2210:R2210)</f>
        <v>2</v>
      </c>
      <c r="J2210" s="182" t="n">
        <v>45993</v>
      </c>
      <c r="Q2210" s="154" t="n">
        <v>2</v>
      </c>
      <c r="S2210" s="192" t="n">
        <f aca="false">(K2210+O2210+Q2210)*24 /1130+(L2210+M2210+P2210+R2210)*12/1130+(N2210*30)/1130</f>
        <v>0.0424778761061947</v>
      </c>
    </row>
    <row r="2211" customFormat="false" ht="15" hidden="true" customHeight="true" outlineLevel="0" collapsed="false">
      <c r="B2211" s="233" t="n">
        <f aca="false">B2210+D2211-C2211</f>
        <v>1788.25</v>
      </c>
      <c r="D2211" s="146" t="n">
        <v>241.5</v>
      </c>
      <c r="E2211" s="147" t="n">
        <v>53001737</v>
      </c>
      <c r="F2211" s="147" t="n">
        <f aca="false">IFERROR(VLOOKUP(H2211,$AD$1:$AE$301,2,0),"")</f>
        <v>1007964</v>
      </c>
      <c r="G2211" s="147" t="str">
        <f aca="false">IFERROR(VLOOKUP(F2211,$AE$2:$AF$290,2, 0),"")</f>
        <v>البير</v>
      </c>
      <c r="H2211" s="212" t="s">
        <v>289</v>
      </c>
      <c r="I2211" s="246" t="n">
        <f aca="false">SUM(K2211:R2211)</f>
        <v>1</v>
      </c>
      <c r="J2211" s="182" t="n">
        <v>45993</v>
      </c>
      <c r="Q2211" s="154" t="n">
        <v>1</v>
      </c>
      <c r="S2211" s="192" t="n">
        <f aca="false">(K2211+O2211+Q2211)*24 /1130+(L2211+M2211+P2211+R2211)*12/1130+(N2211*30)/1130</f>
        <v>0.0212389380530973</v>
      </c>
    </row>
    <row r="2212" customFormat="false" ht="15" hidden="true" customHeight="true" outlineLevel="0" collapsed="false">
      <c r="A2212" s="128" t="n">
        <f aca="false">D2212-5-840</f>
        <v>0.25</v>
      </c>
      <c r="B2212" s="233" t="n">
        <f aca="false">B2211+D2212-C2212</f>
        <v>2633.5</v>
      </c>
      <c r="D2212" s="146" t="n">
        <f aca="false">281.75*3</f>
        <v>845.25</v>
      </c>
      <c r="E2212" s="147" t="n">
        <v>53001738</v>
      </c>
      <c r="F2212" s="147" t="n">
        <f aca="false">IFERROR(VLOOKUP(H2212,$AD$1:$AE$301,2,0),"")</f>
        <v>1007965</v>
      </c>
      <c r="G2212" s="147" t="str">
        <f aca="false">IFERROR(VLOOKUP(F2212,$AE$2:$AF$290,2, 0),"")</f>
        <v>البير</v>
      </c>
      <c r="H2212" s="212" t="s">
        <v>290</v>
      </c>
      <c r="I2212" s="246" t="n">
        <f aca="false">SUM(K2212:R2212)</f>
        <v>3</v>
      </c>
      <c r="J2212" s="182" t="n">
        <v>45993</v>
      </c>
      <c r="K2212" s="148" t="n">
        <v>3</v>
      </c>
      <c r="S2212" s="192" t="n">
        <f aca="false">(K2212+O2212+Q2212)*24 /1130+(L2212+M2212+P2212+R2212)*12/1130+(N2212*30)/1130</f>
        <v>0.063716814159292</v>
      </c>
    </row>
    <row r="2213" customFormat="false" ht="15" hidden="true" customHeight="true" outlineLevel="0" collapsed="false">
      <c r="B2213" s="233" t="n">
        <f aca="false">B2212+D2213-C2213</f>
        <v>0</v>
      </c>
      <c r="C2213" s="127" t="n">
        <f aca="false">300+391+241.5+1690+11</f>
        <v>2633.5</v>
      </c>
      <c r="E2213" s="147" t="s">
        <v>675</v>
      </c>
      <c r="F2213" s="147" t="str">
        <f aca="false">IFERROR(VLOOKUP(H2213,$AD$1:$AE$301,2,0),"")</f>
        <v/>
      </c>
      <c r="G2213" s="147" t="str">
        <f aca="false">IFERROR(VLOOKUP(F2213,$AE$2:$AF$290,2, 0),"")</f>
        <v/>
      </c>
      <c r="H2213" s="212" t="s">
        <v>393</v>
      </c>
      <c r="I2213" s="246" t="n">
        <f aca="false">SUM(K2213:R2213)</f>
        <v>0</v>
      </c>
      <c r="J2213" s="182" t="n">
        <v>45993</v>
      </c>
      <c r="S2213" s="192" t="n">
        <f aca="false">(K2213+O2213+Q2213)*24 /1130+(L2213+M2213+P2213+R2213)*12/1130+(N2213*30)/1130</f>
        <v>0</v>
      </c>
    </row>
    <row r="2214" customFormat="false" ht="15" hidden="true" customHeight="true" outlineLevel="0" collapsed="false">
      <c r="B2214" s="233" t="n">
        <f aca="false">B2213+D2214-C2214</f>
        <v>253</v>
      </c>
      <c r="D2214" s="146" t="n">
        <v>253</v>
      </c>
      <c r="E2214" s="147" t="n">
        <v>53001739</v>
      </c>
      <c r="F2214" s="147" t="n">
        <f aca="false">IFERROR(VLOOKUP(H2214,$AD$1:$AE$301,2,0),"")</f>
        <v>1008260</v>
      </c>
      <c r="G2214" s="147" t="str">
        <f aca="false">IFERROR(VLOOKUP(F2214,$AE$2:$AF$290,2, 0),"")</f>
        <v>تبوك</v>
      </c>
      <c r="H2214" s="212" t="s">
        <v>184</v>
      </c>
      <c r="I2214" s="246" t="n">
        <f aca="false">SUM(K2214:R2214)</f>
        <v>1</v>
      </c>
      <c r="J2214" s="182" t="n">
        <v>45994</v>
      </c>
      <c r="M2214" s="150" t="n">
        <v>1</v>
      </c>
      <c r="S2214" s="192" t="n">
        <f aca="false">(K2214+O2214+Q2214)*24 /1130+(L2214+M2214+P2214+R2214)*12/1130+(N2214*30)/1130</f>
        <v>0.0106194690265487</v>
      </c>
    </row>
    <row r="2215" customFormat="false" ht="15" hidden="true" customHeight="true" outlineLevel="0" collapsed="false">
      <c r="B2215" s="233" t="n">
        <f aca="false">B2214+D2215-C2215</f>
        <v>1098.25</v>
      </c>
      <c r="D2215" s="146" t="n">
        <f aca="false">281.75*3</f>
        <v>845.25</v>
      </c>
      <c r="E2215" s="147" t="n">
        <v>53001740</v>
      </c>
      <c r="F2215" s="147" t="n">
        <f aca="false">IFERROR(VLOOKUP(H2215,$AD$1:$AE$301,2,0),"")</f>
        <v>1008024</v>
      </c>
      <c r="G2215" s="147" t="str">
        <f aca="false">IFERROR(VLOOKUP(F2215,$AE$2:$AF$290,2, 0),"")</f>
        <v>ضباء</v>
      </c>
      <c r="H2215" s="212" t="s">
        <v>96</v>
      </c>
      <c r="I2215" s="246" t="n">
        <f aca="false">SUM(K2215:R2215)</f>
        <v>3</v>
      </c>
      <c r="J2215" s="182" t="n">
        <v>45994</v>
      </c>
      <c r="K2215" s="148" t="n">
        <f aca="false">2+1</f>
        <v>3</v>
      </c>
      <c r="S2215" s="192" t="n">
        <f aca="false">(K2215+O2215+Q2215)*24 /1130+(L2215+M2215+P2215+R2215)*12/1130+(N2215*30)/1130</f>
        <v>0.063716814159292</v>
      </c>
    </row>
    <row r="2216" customFormat="false" ht="15" hidden="true" customHeight="true" outlineLevel="0" collapsed="false">
      <c r="B2216" s="233" t="n">
        <f aca="false">B2215+D2216-C2216</f>
        <v>3248.75</v>
      </c>
      <c r="D2216" s="146" t="n">
        <f aca="false">281.75*3+274*3+241.5*2+0.25</f>
        <v>2150.5</v>
      </c>
      <c r="E2216" s="147" t="n">
        <v>53001741</v>
      </c>
      <c r="F2216" s="147" t="n">
        <f aca="false">IFERROR(VLOOKUP(H2216,$AD$1:$AE$301,2,0),"")</f>
        <v>1007988</v>
      </c>
      <c r="G2216" s="147" t="str">
        <f aca="false">IFERROR(VLOOKUP(F2216,$AE$2:$AF$290,2, 0),"")</f>
        <v>ضباء</v>
      </c>
      <c r="H2216" s="212" t="s">
        <v>89</v>
      </c>
      <c r="I2216" s="246" t="n">
        <f aca="false">SUM(K2216:R2216)</f>
        <v>8</v>
      </c>
      <c r="J2216" s="182" t="n">
        <v>45994</v>
      </c>
      <c r="K2216" s="148" t="n">
        <f aca="false">2+1</f>
        <v>3</v>
      </c>
      <c r="N2216" s="151" t="n">
        <f aca="false">2+1</f>
        <v>3</v>
      </c>
      <c r="O2216" s="152" t="n">
        <f aca="false">1+1</f>
        <v>2</v>
      </c>
      <c r="S2216" s="192" t="n">
        <f aca="false">(K2216+O2216+Q2216)*24 /1130+(L2216+M2216+P2216+R2216)*12/1130+(N2216*30)/1130</f>
        <v>0.185840707964602</v>
      </c>
    </row>
    <row r="2217" customFormat="false" ht="15" hidden="true" customHeight="true" outlineLevel="0" collapsed="false">
      <c r="B2217" s="233" t="n">
        <f aca="false">B2216+D2217-C2217</f>
        <v>3754.75</v>
      </c>
      <c r="D2217" s="146" t="n">
        <f aca="false">253*2</f>
        <v>506</v>
      </c>
      <c r="E2217" s="147" t="n">
        <v>53001742</v>
      </c>
      <c r="F2217" s="147" t="n">
        <f aca="false">IFERROR(VLOOKUP(H2217,$AD$1:$AE$301,2,0),"")</f>
        <v>1008025</v>
      </c>
      <c r="G2217" s="147" t="str">
        <f aca="false">IFERROR(VLOOKUP(F2217,$AE$2:$AF$290,2, 0),"")</f>
        <v>ضباء</v>
      </c>
      <c r="H2217" s="212" t="s">
        <v>97</v>
      </c>
      <c r="I2217" s="246" t="n">
        <f aca="false">SUM(K2217:R2217)</f>
        <v>2</v>
      </c>
      <c r="J2217" s="182" t="n">
        <v>45994</v>
      </c>
      <c r="M2217" s="150" t="n">
        <v>2</v>
      </c>
      <c r="S2217" s="192" t="n">
        <f aca="false">(K2217+O2217+Q2217)*24 /1130+(L2217+M2217+P2217+R2217)*12/1130+(N2217*30)/1130</f>
        <v>0.0212389380530973</v>
      </c>
    </row>
    <row r="2218" customFormat="false" ht="15" hidden="true" customHeight="true" outlineLevel="0" collapsed="false">
      <c r="A2218" s="128" t="n">
        <f aca="false">D2218-500-375-150</f>
        <v>-1.5</v>
      </c>
      <c r="B2218" s="233" t="n">
        <f aca="false">B2217+D2218-C2218</f>
        <v>4778.25</v>
      </c>
      <c r="D2218" s="146" t="n">
        <f aca="false">281.75*3+178.25</f>
        <v>1023.5</v>
      </c>
      <c r="E2218" s="147" t="n">
        <v>53001743</v>
      </c>
      <c r="F2218" s="147" t="n">
        <f aca="false">IFERROR(VLOOKUP(H2218,$AD$1:$AE$301,2,0),"")</f>
        <v>1008054</v>
      </c>
      <c r="G2218" s="147" t="str">
        <f aca="false">IFERROR(VLOOKUP(F2218,$AE$2:$AF$290,2, 0),"")</f>
        <v>الوجه</v>
      </c>
      <c r="H2218" s="212" t="s">
        <v>112</v>
      </c>
      <c r="I2218" s="246" t="n">
        <f aca="false">SUM(K2218:R2218)</f>
        <v>4</v>
      </c>
      <c r="J2218" s="182" t="n">
        <v>45994</v>
      </c>
      <c r="K2218" s="148" t="n">
        <v>3</v>
      </c>
      <c r="L2218" s="149" t="n">
        <v>1</v>
      </c>
      <c r="S2218" s="192" t="n">
        <f aca="false">(K2218+O2218+Q2218)*24 /1130+(L2218+M2218+P2218+R2218)*12/1130+(N2218*30)/1130</f>
        <v>0.0743362831858407</v>
      </c>
    </row>
    <row r="2219" customFormat="false" ht="15" hidden="true" customHeight="true" outlineLevel="0" collapsed="false">
      <c r="B2219" s="233" t="n">
        <f aca="false">B2218+D2219-C2219</f>
        <v>5623.5</v>
      </c>
      <c r="D2219" s="146" t="n">
        <f aca="false">281.75*3</f>
        <v>845.25</v>
      </c>
      <c r="E2219" s="147" t="n">
        <v>53001744</v>
      </c>
      <c r="F2219" s="147" t="n">
        <f aca="false">IFERROR(VLOOKUP(H2219,$AD$1:$AE$301,2,0),"")</f>
        <v>1008045</v>
      </c>
      <c r="G2219" s="147" t="str">
        <f aca="false">IFERROR(VLOOKUP(F2219,$AE$2:$AF$290,2, 0),"")</f>
        <v>الوجه</v>
      </c>
      <c r="H2219" s="212" t="s">
        <v>107</v>
      </c>
      <c r="I2219" s="246" t="n">
        <f aca="false">SUM(K2219:R2219)</f>
        <v>3</v>
      </c>
      <c r="J2219" s="182" t="n">
        <v>45994</v>
      </c>
      <c r="K2219" s="148" t="n">
        <f aca="false">2+1</f>
        <v>3</v>
      </c>
      <c r="S2219" s="192" t="n">
        <f aca="false">(K2219+O2219+Q2219)*24 /1130+(L2219+M2219+P2219+R2219)*12/1130+(N2219*30)/1130</f>
        <v>0.063716814159292</v>
      </c>
    </row>
    <row r="2220" customFormat="false" ht="15" hidden="true" customHeight="true" outlineLevel="0" collapsed="false">
      <c r="A2220" s="128" t="n">
        <f aca="false">D2220-1000-328.25</f>
        <v>0</v>
      </c>
      <c r="B2220" s="233" t="n">
        <f aca="false">B2219+D2220-C2220</f>
        <v>6951.75</v>
      </c>
      <c r="D2220" s="146" t="n">
        <f aca="false">230+253+281.75*3</f>
        <v>1328.25</v>
      </c>
      <c r="E2220" s="147" t="n">
        <v>53001745</v>
      </c>
      <c r="F2220" s="147" t="n">
        <f aca="false">IFERROR(VLOOKUP(H2220,$AD$1:$AE$301,2,0),"")</f>
        <v>1008046</v>
      </c>
      <c r="G2220" s="147" t="str">
        <f aca="false">IFERROR(VLOOKUP(F2220,$AE$2:$AF$290,2, 0),"")</f>
        <v>الوجه</v>
      </c>
      <c r="H2220" s="212" t="s">
        <v>108</v>
      </c>
      <c r="I2220" s="246" t="n">
        <f aca="false">SUM(K2220:R2220)</f>
        <v>5</v>
      </c>
      <c r="J2220" s="182" t="n">
        <v>45994</v>
      </c>
      <c r="K2220" s="148" t="n">
        <f aca="false">2+1</f>
        <v>3</v>
      </c>
      <c r="M2220" s="150" t="n">
        <f aca="false">1+1</f>
        <v>2</v>
      </c>
      <c r="S2220" s="192" t="n">
        <f aca="false">(K2220+O2220+Q2220)*24 /1130+(L2220+M2220+P2220+R2220)*12/1130+(N2220*30)/1130</f>
        <v>0.0849557522123894</v>
      </c>
    </row>
    <row r="2221" customFormat="false" ht="15" hidden="true" customHeight="true" outlineLevel="0" collapsed="false">
      <c r="B2221" s="233" t="n">
        <f aca="false">B2220+D2221-C2221</f>
        <v>1052.75</v>
      </c>
      <c r="C2221" s="127" t="n">
        <f aca="false">845+845+2150+506+345+845+20+343</f>
        <v>5899</v>
      </c>
      <c r="E2221" s="147" t="s">
        <v>675</v>
      </c>
      <c r="F2221" s="147" t="str">
        <f aca="false">IFERROR(VLOOKUP(H2221,$AD$1:$AE$301,2,0),"")</f>
        <v/>
      </c>
      <c r="G2221" s="147" t="str">
        <f aca="false">IFERROR(VLOOKUP(F2221,$AE$2:$AF$290,2, 0),"")</f>
        <v/>
      </c>
      <c r="H2221" s="212" t="s">
        <v>393</v>
      </c>
      <c r="I2221" s="246" t="n">
        <f aca="false">SUM(K2221:R2221)</f>
        <v>0</v>
      </c>
      <c r="J2221" s="182" t="n">
        <v>45995</v>
      </c>
      <c r="S2221" s="192" t="n">
        <f aca="false">(K2221+O2221+Q2221)*24 /1130+(L2221+M2221+P2221+R2221)*12/1130+(N2221*30)/1130</f>
        <v>0</v>
      </c>
    </row>
    <row r="2222" customFormat="false" ht="15" hidden="true" customHeight="true" outlineLevel="0" collapsed="false">
      <c r="B2222" s="233" t="n">
        <f aca="false">B2221+D2222-C2222</f>
        <v>0.75</v>
      </c>
      <c r="C2222" s="127" t="n">
        <v>1052</v>
      </c>
      <c r="E2222" s="147" t="s">
        <v>668</v>
      </c>
      <c r="F2222" s="147" t="str">
        <f aca="false">IFERROR(VLOOKUP(H2222,$AD$1:$AE$301,2,0),"")</f>
        <v/>
      </c>
      <c r="G2222" s="147" t="str">
        <f aca="false">IFERROR(VLOOKUP(F2222,$AE$2:$AF$290,2, 0),"")</f>
        <v/>
      </c>
      <c r="H2222" s="212" t="s">
        <v>393</v>
      </c>
      <c r="I2222" s="246" t="n">
        <f aca="false">SUM(K2222:R2222)</f>
        <v>0</v>
      </c>
      <c r="J2222" s="182" t="n">
        <v>45995</v>
      </c>
      <c r="S2222" s="192" t="n">
        <f aca="false">(K2222+O2222+Q2222)*24 /1130+(L2222+M2222+P2222+R2222)*12/1130+(N2222*30)/1130</f>
        <v>0</v>
      </c>
    </row>
    <row r="2223" customFormat="false" ht="15" hidden="true" customHeight="true" outlineLevel="0" collapsed="false">
      <c r="A2223" s="128" t="n">
        <f aca="false">D2223-563.5-713</f>
        <v>0</v>
      </c>
      <c r="B2223" s="233" t="n">
        <f aca="false">B2222+D2223-C2223</f>
        <v>1277.25</v>
      </c>
      <c r="D2223" s="146" t="n">
        <f aca="false">281.75*3+155.25+138*2</f>
        <v>1276.5</v>
      </c>
      <c r="E2223" s="147" t="n">
        <v>53001746</v>
      </c>
      <c r="F2223" s="147" t="n">
        <f aca="false">IFERROR(VLOOKUP(H2223,$AD$1:$AE$301,2,0),"")</f>
        <v>984</v>
      </c>
      <c r="G2223" s="147" t="str">
        <f aca="false">IFERROR(VLOOKUP(F2223,$AE$2:$AF$290,2, 0),"")</f>
        <v>تبوك</v>
      </c>
      <c r="H2223" s="212" t="s">
        <v>131</v>
      </c>
      <c r="I2223" s="246" t="n">
        <f aca="false">SUM(K2223:R2223)</f>
        <v>6</v>
      </c>
      <c r="J2223" s="182" t="n">
        <v>45995</v>
      </c>
      <c r="K2223" s="148" t="n">
        <v>3</v>
      </c>
      <c r="Q2223" s="154" t="n">
        <v>2</v>
      </c>
      <c r="R2223" s="155" t="n">
        <v>1</v>
      </c>
      <c r="S2223" s="192" t="n">
        <f aca="false">(K2223+O2223+Q2223)*24 /1130+(L2223+M2223+P2223+R2223)*12/1130+(N2223*30)/1130</f>
        <v>0.116814159292035</v>
      </c>
    </row>
    <row r="2224" customFormat="false" ht="15" hidden="true" customHeight="true" outlineLevel="0" collapsed="false">
      <c r="B2224" s="233" t="n">
        <f aca="false">B2223+D2224-C2224</f>
        <v>2289.25</v>
      </c>
      <c r="D2224" s="146" t="n">
        <f aca="false">253*4</f>
        <v>1012</v>
      </c>
      <c r="E2224" s="147" t="n">
        <v>53001747</v>
      </c>
      <c r="F2224" s="147" t="n">
        <f aca="false">IFERROR(VLOOKUP(H2224,$AD$1:$AE$301,2,0),"")</f>
        <v>1045</v>
      </c>
      <c r="G2224" s="147" t="str">
        <f aca="false">IFERROR(VLOOKUP(F2224,$AE$2:$AF$290,2, 0),"")</f>
        <v>تبوك</v>
      </c>
      <c r="H2224" s="212" t="s">
        <v>142</v>
      </c>
      <c r="I2224" s="246" t="n">
        <f aca="false">SUM(K2224:R2224)</f>
        <v>4</v>
      </c>
      <c r="J2224" s="182" t="n">
        <v>45995</v>
      </c>
      <c r="M2224" s="150" t="n">
        <v>4</v>
      </c>
      <c r="S2224" s="192" t="n">
        <f aca="false">(K2224+O2224+Q2224)*24 /1130+(L2224+M2224+P2224+R2224)*12/1130+(N2224*30)/1130</f>
        <v>0.0424778761061947</v>
      </c>
    </row>
    <row r="2225" customFormat="false" ht="15" hidden="true" customHeight="true" outlineLevel="0" collapsed="false">
      <c r="A2225" s="128" t="n">
        <f aca="false">D2225+281.75-173-350</f>
        <v>0.25</v>
      </c>
      <c r="B2225" s="233" t="n">
        <f aca="false">B2224+D2225-C2225</f>
        <v>2530.75</v>
      </c>
      <c r="D2225" s="146" t="n">
        <f aca="false">241.5</f>
        <v>241.5</v>
      </c>
      <c r="E2225" s="147" t="n">
        <v>53001748</v>
      </c>
      <c r="F2225" s="147" t="n">
        <f aca="false">IFERROR(VLOOKUP(H2225,$AD$1:$AE$301,2,0),"")</f>
        <v>1008056</v>
      </c>
      <c r="G2225" s="147" t="str">
        <f aca="false">IFERROR(VLOOKUP(F2225,$AE$2:$AF$290,2, 0),"")</f>
        <v>تبوك</v>
      </c>
      <c r="H2225" s="212" t="s">
        <v>241</v>
      </c>
      <c r="I2225" s="246" t="n">
        <f aca="false">SUM(K2225:R2225)</f>
        <v>1</v>
      </c>
      <c r="J2225" s="182" t="n">
        <v>45995</v>
      </c>
      <c r="Q2225" s="154" t="n">
        <v>1</v>
      </c>
      <c r="S2225" s="192" t="n">
        <f aca="false">(K2225+O2225+Q2225)*24 /1130+(L2225+M2225+P2225+R2225)*12/1130+(N2225*30)/1130</f>
        <v>0.0212389380530973</v>
      </c>
    </row>
    <row r="2226" customFormat="false" ht="15" hidden="true" customHeight="true" outlineLevel="0" collapsed="false">
      <c r="A2226" s="128" t="n">
        <f aca="false">D2226+281.75-420</f>
        <v>-0.25</v>
      </c>
      <c r="B2226" s="233" t="n">
        <f aca="false">B2225+D2226-C2226</f>
        <v>2668.75</v>
      </c>
      <c r="D2226" s="146" t="n">
        <v>138</v>
      </c>
      <c r="E2226" s="147" t="n">
        <v>53001749</v>
      </c>
      <c r="F2226" s="147" t="n">
        <f aca="false">IFERROR(VLOOKUP(H2226,$AD$1:$AE$301,2,0),"")</f>
        <v>1008057</v>
      </c>
      <c r="G2226" s="147" t="str">
        <f aca="false">IFERROR(VLOOKUP(F2226,$AE$2:$AF$290,2, 0),"")</f>
        <v>تبوك</v>
      </c>
      <c r="H2226" s="212" t="s">
        <v>242</v>
      </c>
      <c r="I2226" s="246" t="n">
        <f aca="false">SUM(K2226:R2226)</f>
        <v>1</v>
      </c>
      <c r="J2226" s="182" t="n">
        <v>45995</v>
      </c>
      <c r="Q2226" s="154" t="n">
        <v>1</v>
      </c>
      <c r="S2226" s="192" t="n">
        <f aca="false">(K2226+O2226+Q2226)*24 /1130+(L2226+M2226+P2226+R2226)*12/1130+(N2226*30)/1130</f>
        <v>0.0212389380530973</v>
      </c>
    </row>
    <row r="2227" customFormat="false" ht="15" hidden="true" customHeight="true" outlineLevel="0" collapsed="false">
      <c r="A2227" s="128" t="n">
        <f aca="false">D2227-19*5-1463</f>
        <v>0.25</v>
      </c>
      <c r="B2227" s="233" t="n">
        <f aca="false">B2226+D2227-C2227</f>
        <v>4227</v>
      </c>
      <c r="D2227" s="146" t="n">
        <f aca="false">281.75*3+230*2+253</f>
        <v>1558.25</v>
      </c>
      <c r="E2227" s="147" t="n">
        <v>53001750</v>
      </c>
      <c r="F2227" s="147" t="n">
        <f aca="false">IFERROR(VLOOKUP(H2227,$AD$1:$AE$301,2,0),"")</f>
        <v>1006</v>
      </c>
      <c r="G2227" s="147" t="str">
        <f aca="false">IFERROR(VLOOKUP(F2227,$AE$2:$AF$290,2, 0),"")</f>
        <v>تبوك</v>
      </c>
      <c r="H2227" s="212" t="s">
        <v>278</v>
      </c>
      <c r="I2227" s="246" t="n">
        <f aca="false">SUM(K2227:R2227)</f>
        <v>6</v>
      </c>
      <c r="J2227" s="182" t="n">
        <v>45995</v>
      </c>
      <c r="K2227" s="148" t="n">
        <f aca="false">1+2</f>
        <v>3</v>
      </c>
      <c r="M2227" s="150" t="n">
        <f aca="false">2+1</f>
        <v>3</v>
      </c>
      <c r="S2227" s="192" t="n">
        <f aca="false">(K2227+O2227+Q2227)*24 /1130+(L2227+M2227+P2227+R2227)*12/1130+(N2227*30)/1130</f>
        <v>0.0955752212389381</v>
      </c>
    </row>
    <row r="2228" customFormat="false" ht="15" hidden="true" customHeight="true" outlineLevel="0" collapsed="false">
      <c r="B2228" s="233" t="n">
        <f aca="false">B2227+D2228-C2228</f>
        <v>0.75</v>
      </c>
      <c r="C2228" s="127" t="n">
        <f aca="false">43+881+145+25+28.5+293.75+408+350+200+100+1752</f>
        <v>4226.25</v>
      </c>
      <c r="E2228" s="147" t="s">
        <v>675</v>
      </c>
      <c r="F2228" s="147" t="str">
        <f aca="false">IFERROR(VLOOKUP(H2228,$AD$1:$AE$301,2,0),"")</f>
        <v/>
      </c>
      <c r="G2228" s="147" t="str">
        <f aca="false">IFERROR(VLOOKUP(F2228,$AE$2:$AF$290,2, 0),"")</f>
        <v/>
      </c>
      <c r="H2228" s="212" t="s">
        <v>393</v>
      </c>
      <c r="I2228" s="246" t="n">
        <f aca="false">SUM(K2228:R2228)</f>
        <v>0</v>
      </c>
      <c r="J2228" s="182" t="n">
        <v>45995</v>
      </c>
      <c r="S2228" s="192" t="n">
        <f aca="false">(K2228+O2228+Q2228)*24 /1130+(L2228+M2228+P2228+R2228)*12/1130+(N2228*30)/1130</f>
        <v>0</v>
      </c>
    </row>
    <row r="2229" customFormat="false" ht="15" hidden="true" customHeight="true" outlineLevel="0" collapsed="false">
      <c r="A2229" s="128" t="n">
        <f aca="false">D2229-281.75-300-115-50-20*5</f>
        <v>-1.5</v>
      </c>
      <c r="B2229" s="233" t="n">
        <f aca="false">B2228+D2229-C2229</f>
        <v>846</v>
      </c>
      <c r="D2229" s="146" t="n">
        <f aca="false">281.75*3</f>
        <v>845.25</v>
      </c>
      <c r="E2229" s="147" t="n">
        <v>53001751</v>
      </c>
      <c r="F2229" s="147" t="n">
        <f aca="false">IFERROR(VLOOKUP(H2229,$AD$1:$AE$301,2,0),"")</f>
        <v>1008272</v>
      </c>
      <c r="G2229" s="147" t="str">
        <f aca="false">IFERROR(VLOOKUP(F2229,$AE$2:$AF$290,2, 0),"")</f>
        <v>تبوك</v>
      </c>
      <c r="H2229" s="212" t="s">
        <v>143</v>
      </c>
      <c r="I2229" s="246" t="n">
        <f aca="false">SUM(K2229:R2229)</f>
        <v>3</v>
      </c>
      <c r="J2229" s="182" t="n">
        <v>45998</v>
      </c>
      <c r="K2229" s="148" t="n">
        <v>3</v>
      </c>
      <c r="S2229" s="192" t="n">
        <f aca="false">(K2229+O2229+Q2229)*24 /1130+(L2229+M2229+P2229+R2229)*12/1130+(N2229*30)/1130</f>
        <v>0.063716814159292</v>
      </c>
    </row>
    <row r="2230" customFormat="false" ht="15" hidden="true" customHeight="true" outlineLevel="0" collapsed="false">
      <c r="A2230" s="128" t="n">
        <f aca="false">D2230+282-535</f>
        <v>0</v>
      </c>
      <c r="B2230" s="233" t="n">
        <f aca="false">B2229+D2230-C2230</f>
        <v>1099</v>
      </c>
      <c r="D2230" s="146" t="n">
        <v>253</v>
      </c>
      <c r="E2230" s="147" t="n">
        <v>53001752</v>
      </c>
      <c r="F2230" s="147" t="n">
        <f aca="false">IFERROR(VLOOKUP(H2230,$AD$1:$AE$301,2,0),"")</f>
        <v>721</v>
      </c>
      <c r="G2230" s="147" t="str">
        <f aca="false">IFERROR(VLOOKUP(F2230,$AE$2:$AF$290,2, 0),"")</f>
        <v>تبوك</v>
      </c>
      <c r="H2230" s="212" t="s">
        <v>183</v>
      </c>
      <c r="I2230" s="246" t="n">
        <f aca="false">SUM(K2230:R2230)</f>
        <v>1</v>
      </c>
      <c r="J2230" s="182" t="n">
        <v>45998</v>
      </c>
      <c r="M2230" s="150" t="n">
        <v>1</v>
      </c>
      <c r="S2230" s="192" t="n">
        <f aca="false">(K2230+O2230+Q2230)*24 /1130+(L2230+M2230+P2230+R2230)*12/1130+(N2230*30)/1130</f>
        <v>0.0106194690265487</v>
      </c>
    </row>
    <row r="2231" customFormat="false" ht="15" hidden="true" customHeight="true" outlineLevel="0" collapsed="false">
      <c r="A2231" s="128" t="n">
        <f aca="false">D2231+281.75-100-300-500</f>
        <v>-3</v>
      </c>
      <c r="B2231" s="233" t="n">
        <f aca="false">B2230+D2231-C2231</f>
        <v>1714.25</v>
      </c>
      <c r="D2231" s="146" t="n">
        <f aca="false">230*2+155.25</f>
        <v>615.25</v>
      </c>
      <c r="E2231" s="147" t="n">
        <v>53001753</v>
      </c>
      <c r="F2231" s="147" t="n">
        <f aca="false">IFERROR(VLOOKUP(H2231,$AD$1:$AE$301,2,0),"")</f>
        <v>562</v>
      </c>
      <c r="G2231" s="147" t="str">
        <f aca="false">IFERROR(VLOOKUP(F2231,$AE$2:$AF$290,2, 0),"")</f>
        <v>تبوك</v>
      </c>
      <c r="H2231" s="212" t="s">
        <v>234</v>
      </c>
      <c r="I2231" s="246" t="n">
        <f aca="false">SUM(K2231:R2231)</f>
        <v>3</v>
      </c>
      <c r="J2231" s="182" t="n">
        <v>45998</v>
      </c>
      <c r="M2231" s="150" t="n">
        <v>2</v>
      </c>
      <c r="R2231" s="155" t="n">
        <v>1</v>
      </c>
      <c r="S2231" s="192" t="n">
        <f aca="false">(K2231+O2231+Q2231)*24 /1130+(L2231+M2231+P2231+R2231)*12/1130+(N2231*30)/1130</f>
        <v>0.031858407079646</v>
      </c>
    </row>
    <row r="2232" customFormat="false" ht="15" hidden="true" customHeight="true" outlineLevel="0" collapsed="false">
      <c r="B2232" s="233" t="n">
        <f aca="false">B2231+D2232-C2232</f>
        <v>0.25</v>
      </c>
      <c r="C2232" s="127" t="n">
        <v>1714</v>
      </c>
      <c r="E2232" s="147" t="s">
        <v>668</v>
      </c>
      <c r="F2232" s="147" t="str">
        <f aca="false">IFERROR(VLOOKUP(H2232,$AD$1:$AE$301,2,0),"")</f>
        <v/>
      </c>
      <c r="G2232" s="147" t="str">
        <f aca="false">IFERROR(VLOOKUP(F2232,$AE$2:$AF$290,2, 0),"")</f>
        <v/>
      </c>
      <c r="H2232" s="212" t="s">
        <v>393</v>
      </c>
      <c r="I2232" s="246" t="n">
        <f aca="false">SUM(K2232:R2232)</f>
        <v>0</v>
      </c>
      <c r="J2232" s="182" t="n">
        <v>45999</v>
      </c>
      <c r="S2232" s="192" t="n">
        <f aca="false">(K2232+O2232+Q2232)*24 /1130+(L2232+M2232+P2232+R2232)*12/1130+(N2232*30)/1130</f>
        <v>0</v>
      </c>
    </row>
    <row r="2233" customFormat="false" ht="15" hidden="true" customHeight="true" outlineLevel="0" collapsed="false">
      <c r="A2233" s="128" t="n">
        <f aca="false">D2233+275-253-470</f>
        <v>0.5</v>
      </c>
      <c r="B2233" s="233" t="n">
        <f aca="false">B2232+D2233-C2233</f>
        <v>448.75</v>
      </c>
      <c r="D2233" s="146" t="n">
        <f aca="false">253+195.5</f>
        <v>448.5</v>
      </c>
      <c r="E2233" s="147" t="n">
        <v>53001754</v>
      </c>
      <c r="F2233" s="147" t="n">
        <f aca="false">IFERROR(VLOOKUP(H2233,$AD$1:$AE$301,2,0),"")</f>
        <v>1007996</v>
      </c>
      <c r="G2233" s="147" t="str">
        <f aca="false">IFERROR(VLOOKUP(F2233,$AE$2:$AF$290,2, 0),"")</f>
        <v>البير</v>
      </c>
      <c r="H2233" s="212" t="s">
        <v>295</v>
      </c>
      <c r="I2233" s="246" t="n">
        <f aca="false">SUM(K2233:R2233)</f>
        <v>2</v>
      </c>
      <c r="J2233" s="182" t="n">
        <v>45999</v>
      </c>
      <c r="M2233" s="150" t="n">
        <v>1</v>
      </c>
      <c r="Q2233" s="154" t="n">
        <v>1</v>
      </c>
      <c r="S2233" s="192" t="n">
        <f aca="false">(K2233+O2233+Q2233)*24 /1130+(L2233+M2233+P2233+R2233)*12/1130+(N2233*30)/1130</f>
        <v>0.031858407079646</v>
      </c>
    </row>
    <row r="2234" customFormat="false" ht="15" hidden="true" customHeight="true" outlineLevel="0" collapsed="false">
      <c r="A2234" s="128" t="n">
        <f aca="false">D2234-563-45-237</f>
        <v>0.25</v>
      </c>
      <c r="B2234" s="233" t="n">
        <f aca="false">B2233+D2234-C2234</f>
        <v>1294</v>
      </c>
      <c r="D2234" s="146" t="n">
        <f aca="false">281.75*3</f>
        <v>845.25</v>
      </c>
      <c r="E2234" s="147" t="n">
        <v>53001755</v>
      </c>
      <c r="F2234" s="147" t="n">
        <f aca="false">IFERROR(VLOOKUP(H2234,$AD$1:$AE$301,2,0),"")</f>
        <v>1007969</v>
      </c>
      <c r="G2234" s="147" t="str">
        <f aca="false">IFERROR(VLOOKUP(F2234,$AE$2:$AF$290,2, 0),"")</f>
        <v>حقل</v>
      </c>
      <c r="H2234" s="212" t="s">
        <v>309</v>
      </c>
      <c r="I2234" s="246" t="n">
        <f aca="false">SUM(K2234:R2234)</f>
        <v>3</v>
      </c>
      <c r="J2234" s="182" t="n">
        <v>45999</v>
      </c>
      <c r="K2234" s="148" t="n">
        <v>3</v>
      </c>
      <c r="S2234" s="192" t="n">
        <f aca="false">(K2234+O2234+Q2234)*24 /1130+(L2234+M2234+P2234+R2234)*12/1130+(N2234*30)/1130</f>
        <v>0.063716814159292</v>
      </c>
    </row>
    <row r="2235" customFormat="false" ht="15" hidden="true" customHeight="true" outlineLevel="0" collapsed="false">
      <c r="A2235" s="128" t="n">
        <f aca="false">D2235-800-200</f>
        <v>0.5</v>
      </c>
      <c r="B2235" s="233" t="n">
        <f aca="false">B2234+D2235-C2235</f>
        <v>2294.5</v>
      </c>
      <c r="D2235" s="146" t="n">
        <f aca="false">281.75*3+155.25</f>
        <v>1000.5</v>
      </c>
      <c r="E2235" s="147" t="n">
        <v>53001756</v>
      </c>
      <c r="F2235" s="147" t="n">
        <f aca="false">IFERROR(VLOOKUP(H2235,$AD$1:$AE$301,2,0),"")</f>
        <v>1007999</v>
      </c>
      <c r="G2235" s="147" t="str">
        <f aca="false">IFERROR(VLOOKUP(F2235,$AE$2:$AF$290,2, 0),"")</f>
        <v>حقل</v>
      </c>
      <c r="H2235" s="212" t="s">
        <v>312</v>
      </c>
      <c r="I2235" s="246" t="n">
        <f aca="false">SUM(K2235:R2235)</f>
        <v>4</v>
      </c>
      <c r="J2235" s="182" t="n">
        <v>45999</v>
      </c>
      <c r="K2235" s="148" t="n">
        <f aca="false">2+1</f>
        <v>3</v>
      </c>
      <c r="R2235" s="155" t="n">
        <v>1</v>
      </c>
      <c r="S2235" s="192" t="n">
        <f aca="false">(K2235+O2235+Q2235)*24 /1130+(L2235+M2235+P2235+R2235)*12/1130+(N2235*30)/1130</f>
        <v>0.0743362831858407</v>
      </c>
    </row>
    <row r="2236" customFormat="false" ht="15" hidden="true" customHeight="true" outlineLevel="0" collapsed="false">
      <c r="A2236" s="128" t="n">
        <f aca="false">D2236-20*5-220-151</f>
        <v>0.5</v>
      </c>
      <c r="B2236" s="233" t="n">
        <f aca="false">B2235+D2236-C2236</f>
        <v>2766</v>
      </c>
      <c r="D2236" s="146" t="n">
        <f aca="false">241.5+230</f>
        <v>471.5</v>
      </c>
      <c r="E2236" s="147" t="n">
        <v>53001757</v>
      </c>
      <c r="F2236" s="147" t="n">
        <f aca="false">IFERROR(VLOOKUP(H2236,$AD$1:$AE$301,2,0),"")</f>
        <v>1006522</v>
      </c>
      <c r="G2236" s="147" t="str">
        <f aca="false">IFERROR(VLOOKUP(F2236,$AE$2:$AF$290,2, 0),"")</f>
        <v>البدع</v>
      </c>
      <c r="H2236" s="212" t="s">
        <v>317</v>
      </c>
      <c r="I2236" s="246" t="n">
        <f aca="false">SUM(K2236:R2236)</f>
        <v>2</v>
      </c>
      <c r="J2236" s="182" t="n">
        <v>45999</v>
      </c>
      <c r="M2236" s="150" t="n">
        <v>1</v>
      </c>
      <c r="Q2236" s="154" t="n">
        <v>1</v>
      </c>
      <c r="S2236" s="192" t="n">
        <f aca="false">(K2236+O2236+Q2236)*24 /1130+(L2236+M2236+P2236+R2236)*12/1130+(N2236*30)/1130</f>
        <v>0.031858407079646</v>
      </c>
    </row>
    <row r="2237" customFormat="false" ht="15" hidden="true" customHeight="true" outlineLevel="0" collapsed="false">
      <c r="A2237" s="128" t="n">
        <f aca="false">D2237-2610</f>
        <v>0.5</v>
      </c>
      <c r="B2237" s="233" t="n">
        <f aca="false">B2236+D2237-C2237</f>
        <v>5376.5</v>
      </c>
      <c r="D2237" s="146" t="n">
        <f aca="false">6*281.75+230*4</f>
        <v>2610.5</v>
      </c>
      <c r="E2237" s="147" t="n">
        <v>53001758</v>
      </c>
      <c r="F2237" s="147" t="n">
        <f aca="false">IFERROR(VLOOKUP(H2237,$AD$1:$AE$301,2,0),"")</f>
        <v>1008014</v>
      </c>
      <c r="G2237" s="147" t="str">
        <f aca="false">IFERROR(VLOOKUP(F2237,$AE$2:$AF$290,2, 0),"")</f>
        <v>البدع</v>
      </c>
      <c r="H2237" s="212" t="s">
        <v>322</v>
      </c>
      <c r="I2237" s="246" t="n">
        <f aca="false">SUM(K2237:R2237)</f>
        <v>10</v>
      </c>
      <c r="J2237" s="182" t="n">
        <v>45999</v>
      </c>
      <c r="K2237" s="148" t="n">
        <f aca="false">5+1</f>
        <v>6</v>
      </c>
      <c r="M2237" s="150" t="n">
        <v>4</v>
      </c>
      <c r="S2237" s="192" t="n">
        <f aca="false">(K2237+O2237+Q2237)*24 /1130+(L2237+M2237+P2237+R2237)*12/1130+(N2237*30)/1130</f>
        <v>0.169911504424779</v>
      </c>
    </row>
    <row r="2238" customFormat="false" ht="15" hidden="true" customHeight="true" outlineLevel="0" collapsed="false">
      <c r="B2238" s="233" t="n">
        <f aca="false">B2237+D2238-C2238</f>
        <v>3372.5</v>
      </c>
      <c r="C2238" s="127" t="n">
        <f aca="false">100+230+253+470+800+151</f>
        <v>2004</v>
      </c>
      <c r="E2238" s="147" t="s">
        <v>675</v>
      </c>
      <c r="F2238" s="147" t="str">
        <f aca="false">IFERROR(VLOOKUP(H2238,$AD$1:$AE$301,2,0),"")</f>
        <v/>
      </c>
      <c r="G2238" s="147" t="str">
        <f aca="false">IFERROR(VLOOKUP(F2238,$AE$2:$AF$290,2, 0),"")</f>
        <v/>
      </c>
      <c r="H2238" s="212" t="s">
        <v>393</v>
      </c>
      <c r="I2238" s="246" t="n">
        <f aca="false">SUM(K2238:R2238)</f>
        <v>0</v>
      </c>
      <c r="J2238" s="182" t="n">
        <v>46000</v>
      </c>
      <c r="S2238" s="192" t="n">
        <f aca="false">(K2238+O2238+Q2238)*24 /1130+(L2238+M2238+P2238+R2238)*12/1130+(N2238*30)/1130</f>
        <v>0</v>
      </c>
    </row>
    <row r="2239" customFormat="false" ht="15" hidden="true" customHeight="true" outlineLevel="0" collapsed="false">
      <c r="B2239" s="233" t="n">
        <f aca="false">B2238+D2239-C2239</f>
        <v>2372.5</v>
      </c>
      <c r="C2239" s="127" t="n">
        <v>1000</v>
      </c>
      <c r="E2239" s="147" t="s">
        <v>667</v>
      </c>
      <c r="F2239" s="147" t="str">
        <f aca="false">IFERROR(VLOOKUP(H2239,$AD$1:$AE$301,2,0),"")</f>
        <v/>
      </c>
      <c r="G2239" s="147" t="str">
        <f aca="false">IFERROR(VLOOKUP(F2239,$AE$2:$AF$290,2, 0),"")</f>
        <v/>
      </c>
      <c r="H2239" s="212" t="s">
        <v>393</v>
      </c>
      <c r="I2239" s="246" t="n">
        <f aca="false">SUM(K2239:R2239)</f>
        <v>0</v>
      </c>
      <c r="J2239" s="182" t="n">
        <v>46000</v>
      </c>
      <c r="S2239" s="192" t="n">
        <f aca="false">(K2239+O2239+Q2239)*24 /1130+(L2239+M2239+P2239+R2239)*12/1130+(N2239*30)/1130</f>
        <v>0</v>
      </c>
    </row>
    <row r="2240" customFormat="false" ht="15" hidden="true" customHeight="true" outlineLevel="0" collapsed="false">
      <c r="B2240" s="233" t="n">
        <f aca="false">B2239+D2240-C2240</f>
        <v>0</v>
      </c>
      <c r="C2240" s="127" t="n">
        <v>2372</v>
      </c>
      <c r="D2240" s="146" t="n">
        <v>-0.5</v>
      </c>
      <c r="E2240" s="147" t="s">
        <v>668</v>
      </c>
      <c r="F2240" s="147" t="str">
        <f aca="false">IFERROR(VLOOKUP(H2240,$AD$1:$AE$301,2,0),"")</f>
        <v/>
      </c>
      <c r="G2240" s="147" t="str">
        <f aca="false">IFERROR(VLOOKUP(F2240,$AE$2:$AF$290,2, 0),"")</f>
        <v/>
      </c>
      <c r="H2240" s="212" t="s">
        <v>393</v>
      </c>
      <c r="I2240" s="246" t="n">
        <f aca="false">SUM(K2240:R2240)</f>
        <v>0</v>
      </c>
      <c r="J2240" s="182" t="n">
        <v>46000</v>
      </c>
      <c r="S2240" s="192" t="n">
        <f aca="false">(K2240+O2240+Q2240)*24 /1130+(L2240+M2240+P2240+R2240)*12/1130+(N2240*30)/1130</f>
        <v>0</v>
      </c>
    </row>
    <row r="2241" customFormat="false" ht="15" hidden="true" customHeight="true" outlineLevel="0" collapsed="false">
      <c r="B2241" s="233" t="n">
        <f aca="false">B2240+D2241-C2241</f>
        <v>276</v>
      </c>
      <c r="D2241" s="146" t="n">
        <f aca="false">138*2</f>
        <v>276</v>
      </c>
      <c r="E2241" s="147" t="n">
        <v>53001759</v>
      </c>
      <c r="F2241" s="147" t="n">
        <f aca="false">IFERROR(VLOOKUP(H2241,$AD$1:$AE$301,2,0),"")</f>
        <v>1008274</v>
      </c>
      <c r="G2241" s="147" t="str">
        <f aca="false">IFERROR(VLOOKUP(F2241,$AE$2:$AF$290,2, 0),"")</f>
        <v>تبوك</v>
      </c>
      <c r="H2241" s="212" t="s">
        <v>147</v>
      </c>
      <c r="I2241" s="246" t="n">
        <f aca="false">SUM(K2241:R2241)</f>
        <v>2</v>
      </c>
      <c r="J2241" s="182" t="n">
        <v>46000</v>
      </c>
      <c r="Q2241" s="154" t="n">
        <v>2</v>
      </c>
      <c r="S2241" s="192" t="n">
        <f aca="false">(K2241+O2241+Q2241)*24 /1130+(L2241+M2241+P2241+R2241)*12/1130+(N2241*30)/1130</f>
        <v>0.0424778761061947</v>
      </c>
    </row>
    <row r="2242" customFormat="false" ht="15" hidden="true" customHeight="true" outlineLevel="0" collapsed="false">
      <c r="A2242" s="128" t="n">
        <f aca="false">D2242-140-104</f>
        <v>-2.5</v>
      </c>
      <c r="B2242" s="233" t="n">
        <f aca="false">B2241+D2242-C2242</f>
        <v>517.5</v>
      </c>
      <c r="D2242" s="146" t="n">
        <v>241.5</v>
      </c>
      <c r="E2242" s="147" t="n">
        <v>53001760</v>
      </c>
      <c r="F2242" s="147" t="n">
        <f aca="false">IFERROR(VLOOKUP(H2242,$AD$1:$AE$301,2,0),"")</f>
        <v>635</v>
      </c>
      <c r="G2242" s="147" t="str">
        <f aca="false">IFERROR(VLOOKUP(F2242,$AE$2:$AF$290,2, 0),"")</f>
        <v>تبوك</v>
      </c>
      <c r="H2242" s="212" t="s">
        <v>157</v>
      </c>
      <c r="I2242" s="246" t="n">
        <f aca="false">SUM(K2242:R2242)</f>
        <v>1</v>
      </c>
      <c r="J2242" s="182" t="n">
        <v>46000</v>
      </c>
      <c r="Q2242" s="154" t="n">
        <v>1</v>
      </c>
      <c r="S2242" s="192" t="n">
        <f aca="false">(K2242+O2242+Q2242)*24 /1130+(L2242+M2242+P2242+R2242)*12/1130+(N2242*30)/1130</f>
        <v>0.0212389380530973</v>
      </c>
    </row>
    <row r="2243" customFormat="false" ht="15" hidden="true" customHeight="true" outlineLevel="0" collapsed="false">
      <c r="B2243" s="233" t="n">
        <f aca="false">B2242+D2243-C2243</f>
        <v>0</v>
      </c>
      <c r="C2243" s="127" t="n">
        <f aca="false">517</f>
        <v>517</v>
      </c>
      <c r="D2243" s="146" t="n">
        <v>-0.5</v>
      </c>
      <c r="E2243" s="147" t="s">
        <v>667</v>
      </c>
      <c r="F2243" s="147" t="str">
        <f aca="false">IFERROR(VLOOKUP(H2243,$AD$1:$AE$301,2,0),"")</f>
        <v/>
      </c>
      <c r="G2243" s="147" t="str">
        <f aca="false">IFERROR(VLOOKUP(F2243,$AE$2:$AF$290,2, 0),"")</f>
        <v/>
      </c>
      <c r="H2243" s="212" t="s">
        <v>393</v>
      </c>
      <c r="I2243" s="246" t="n">
        <f aca="false">SUM(K2243:R2243)</f>
        <v>0</v>
      </c>
      <c r="J2243" s="182" t="n">
        <v>46000</v>
      </c>
      <c r="S2243" s="192" t="n">
        <f aca="false">(K2243+O2243+Q2243)*24 /1130+(L2243+M2243+P2243+R2243)*12/1130+(N2243*30)/1130</f>
        <v>0</v>
      </c>
    </row>
    <row r="2244" customFormat="false" ht="15" hidden="true" customHeight="true" outlineLevel="0" collapsed="false">
      <c r="B2244" s="233" t="n">
        <f aca="false">B2243+D2244-C2244</f>
        <v>828</v>
      </c>
      <c r="D2244" s="146" t="n">
        <f aca="false">345*2+138</f>
        <v>828</v>
      </c>
      <c r="E2244" s="147" t="n">
        <v>53001761</v>
      </c>
      <c r="F2244" s="147" t="n">
        <f aca="false">IFERROR(VLOOKUP(H2244,$AD$1:$AE$301,2,0),"")</f>
        <v>1048</v>
      </c>
      <c r="G2244" s="147" t="str">
        <f aca="false">IFERROR(VLOOKUP(F2244,$AE$2:$AF$290,2, 0),"")</f>
        <v>تبوك</v>
      </c>
      <c r="H2244" s="212" t="s">
        <v>279</v>
      </c>
      <c r="I2244" s="246" t="n">
        <f aca="false">SUM(K2244:R2244)</f>
        <v>3</v>
      </c>
      <c r="J2244" s="182" t="n">
        <v>46001</v>
      </c>
      <c r="Q2244" s="154" t="n">
        <v>1</v>
      </c>
      <c r="R2244" s="155" t="n">
        <v>2</v>
      </c>
      <c r="S2244" s="192" t="n">
        <f aca="false">(K2244+O2244+Q2244)*24 /1130+(L2244+M2244+P2244+R2244)*12/1130+(N2244*30)/1130</f>
        <v>0.0424778761061947</v>
      </c>
    </row>
    <row r="2245" customFormat="false" ht="15" hidden="true" customHeight="true" outlineLevel="0" collapsed="false">
      <c r="B2245" s="233" t="n">
        <f aca="false">B2244+D2245-C2245</f>
        <v>1081</v>
      </c>
      <c r="D2245" s="146" t="n">
        <v>253</v>
      </c>
      <c r="E2245" s="147" t="n">
        <v>53001762</v>
      </c>
      <c r="F2245" s="147" t="n">
        <f aca="false">IFERROR(VLOOKUP(H2245,$AD$1:$AE$301,2,0),"")</f>
        <v>1008028</v>
      </c>
      <c r="G2245" s="147" t="str">
        <f aca="false">IFERROR(VLOOKUP(F2245,$AE$2:$AF$290,2, 0),"")</f>
        <v>ضباء</v>
      </c>
      <c r="H2245" s="212" t="s">
        <v>99</v>
      </c>
      <c r="I2245" s="246" t="n">
        <f aca="false">SUM(K2245:R2245)</f>
        <v>1</v>
      </c>
      <c r="J2245" s="182" t="n">
        <v>46001</v>
      </c>
      <c r="M2245" s="150" t="n">
        <v>1</v>
      </c>
      <c r="S2245" s="192" t="n">
        <f aca="false">(K2245+O2245+Q2245)*24 /1130+(L2245+M2245+P2245+R2245)*12/1130+(N2245*30)/1130</f>
        <v>0.0106194690265487</v>
      </c>
    </row>
    <row r="2246" customFormat="false" ht="15" hidden="true" customHeight="true" outlineLevel="0" collapsed="false">
      <c r="B2246" s="233" t="n">
        <f aca="false">B2245+D2246-C2246</f>
        <v>1426</v>
      </c>
      <c r="D2246" s="146" t="n">
        <v>345</v>
      </c>
      <c r="E2246" s="147" t="n">
        <v>53001763</v>
      </c>
      <c r="F2246" s="147" t="n">
        <f aca="false">IFERROR(VLOOKUP(H2246,$AD$1:$AE$301,2,0),"")</f>
        <v>1008024</v>
      </c>
      <c r="G2246" s="147" t="str">
        <f aca="false">IFERROR(VLOOKUP(F2246,$AE$2:$AF$290,2, 0),"")</f>
        <v>ضباء</v>
      </c>
      <c r="H2246" s="212" t="s">
        <v>96</v>
      </c>
      <c r="I2246" s="246" t="n">
        <f aca="false">SUM(K2246:R2246)</f>
        <v>1</v>
      </c>
      <c r="J2246" s="182" t="n">
        <v>46001</v>
      </c>
      <c r="M2246" s="150" t="n">
        <v>1</v>
      </c>
      <c r="S2246" s="192" t="n">
        <f aca="false">(K2246+O2246+Q2246)*24 /1130+(L2246+M2246+P2246+R2246)*12/1130+(N2246*30)/1130</f>
        <v>0.0106194690265487</v>
      </c>
    </row>
    <row r="2247" customFormat="false" ht="15" hidden="true" customHeight="true" outlineLevel="0" collapsed="false">
      <c r="A2247" s="128" t="n">
        <f aca="false">D2247-845</f>
        <v>0.25</v>
      </c>
      <c r="B2247" s="233" t="n">
        <f aca="false">B2246+D2247-C2247</f>
        <v>2271.25</v>
      </c>
      <c r="D2247" s="146" t="n">
        <f aca="false">281.75*3</f>
        <v>845.25</v>
      </c>
      <c r="E2247" s="147" t="n">
        <v>53001764</v>
      </c>
      <c r="F2247" s="147" t="n">
        <f aca="false">IFERROR(VLOOKUP(H2247,$AD$1:$AE$301,2,0),"")</f>
        <v>1008044</v>
      </c>
      <c r="G2247" s="147" t="str">
        <f aca="false">IFERROR(VLOOKUP(F2247,$AE$2:$AF$290,2, 0),"")</f>
        <v>الوجه</v>
      </c>
      <c r="H2247" s="212" t="s">
        <v>106</v>
      </c>
      <c r="I2247" s="246" t="n">
        <f aca="false">SUM(K2247:R2247)</f>
        <v>3</v>
      </c>
      <c r="J2247" s="182" t="n">
        <v>46001</v>
      </c>
      <c r="K2247" s="148" t="n">
        <f aca="false">2+1</f>
        <v>3</v>
      </c>
      <c r="S2247" s="192" t="n">
        <f aca="false">(K2247+O2247+Q2247)*24 /1130+(L2247+M2247+P2247+R2247)*12/1130+(N2247*30)/1130</f>
        <v>0.063716814159292</v>
      </c>
    </row>
    <row r="2248" customFormat="false" ht="15" hidden="true" customHeight="true" outlineLevel="0" collapsed="false">
      <c r="A2248" s="128" t="n">
        <f aca="false">D2248-463.5-281.75-100</f>
        <v>0</v>
      </c>
      <c r="B2248" s="233" t="n">
        <f aca="false">B2247+D2248-C2248</f>
        <v>3116.5</v>
      </c>
      <c r="D2248" s="146" t="n">
        <f aca="false">281.75*3</f>
        <v>845.25</v>
      </c>
      <c r="E2248" s="147" t="n">
        <v>53001765</v>
      </c>
      <c r="F2248" s="147" t="n">
        <f aca="false">IFERROR(VLOOKUP(H2248,$AD$1:$AE$301,2,0),"")</f>
        <v>1008051</v>
      </c>
      <c r="G2248" s="147" t="str">
        <f aca="false">IFERROR(VLOOKUP(F2248,$AE$2:$AF$290,2, 0),"")</f>
        <v>الوجه</v>
      </c>
      <c r="H2248" s="212" t="s">
        <v>113</v>
      </c>
      <c r="I2248" s="246" t="n">
        <f aca="false">SUM(K2248:R2248)</f>
        <v>3</v>
      </c>
      <c r="J2248" s="182" t="n">
        <v>46001</v>
      </c>
      <c r="K2248" s="148" t="n">
        <v>3</v>
      </c>
      <c r="S2248" s="192" t="n">
        <f aca="false">(K2248+O2248+Q2248)*24 /1130+(L2248+M2248+P2248+R2248)*12/1130+(N2248*30)/1130</f>
        <v>0.063716814159292</v>
      </c>
    </row>
    <row r="2249" customFormat="false" ht="15" hidden="true" customHeight="true" outlineLevel="0" collapsed="false">
      <c r="A2249" s="128" t="n">
        <f aca="false">D2249-310</f>
        <v>0.5</v>
      </c>
      <c r="B2249" s="233" t="n">
        <f aca="false">B2248+D2249-C2249</f>
        <v>3427</v>
      </c>
      <c r="D2249" s="146" t="n">
        <f aca="false">155.25*2</f>
        <v>310.5</v>
      </c>
      <c r="E2249" s="147" t="n">
        <v>53001766</v>
      </c>
      <c r="F2249" s="147" t="n">
        <f aca="false">IFERROR(VLOOKUP(H2249,$AD$1:$AE$301,2,0),"")</f>
        <v>656</v>
      </c>
      <c r="G2249" s="147" t="str">
        <f aca="false">IFERROR(VLOOKUP(F2249,$AE$2:$AF$290,2, 0),"")</f>
        <v>الوجه</v>
      </c>
      <c r="H2249" s="212" t="s">
        <v>115</v>
      </c>
      <c r="I2249" s="246" t="n">
        <f aca="false">SUM(K2249:R2249)</f>
        <v>2</v>
      </c>
      <c r="J2249" s="182" t="n">
        <v>46001</v>
      </c>
      <c r="R2249" s="155" t="n">
        <v>2</v>
      </c>
      <c r="S2249" s="192" t="n">
        <f aca="false">(K2249+O2249+Q2249)*24 /1130+(L2249+M2249+P2249+R2249)*12/1130+(N2249*30)/1130</f>
        <v>0.0212389380530973</v>
      </c>
    </row>
    <row r="2250" customFormat="false" ht="15" hidden="true" customHeight="true" outlineLevel="0" collapsed="false">
      <c r="B2250" s="233" t="n">
        <f aca="false">B2249+D2250-C2250</f>
        <v>3703</v>
      </c>
      <c r="D2250" s="146" t="n">
        <f aca="false">138*2</f>
        <v>276</v>
      </c>
      <c r="E2250" s="147" t="n">
        <v>53001767</v>
      </c>
      <c r="F2250" s="147" t="n">
        <f aca="false">IFERROR(VLOOKUP(H2250,$AD$1:$AE$301,2,0),"")</f>
        <v>1008047</v>
      </c>
      <c r="G2250" s="147" t="str">
        <f aca="false">IFERROR(VLOOKUP(F2250,$AE$2:$AF$290,2, 0),"")</f>
        <v>الوجه</v>
      </c>
      <c r="H2250" s="212" t="s">
        <v>422</v>
      </c>
      <c r="I2250" s="246" t="n">
        <f aca="false">SUM(K2250:R2250)</f>
        <v>2</v>
      </c>
      <c r="J2250" s="182" t="n">
        <v>46001</v>
      </c>
      <c r="Q2250" s="154" t="n">
        <v>2</v>
      </c>
      <c r="S2250" s="192" t="n">
        <f aca="false">(K2250+O2250+Q2250)*24 /1130+(L2250+M2250+P2250+R2250)*12/1130+(N2250*30)/1130</f>
        <v>0.0424778761061947</v>
      </c>
    </row>
    <row r="2251" customFormat="false" ht="15" hidden="true" customHeight="true" outlineLevel="0" collapsed="false">
      <c r="B2251" s="233" t="n">
        <f aca="false">B2250+D2251-C2251</f>
        <v>5514.25</v>
      </c>
      <c r="D2251" s="146" t="n">
        <f aca="false">281.75*3+253*2+230*2</f>
        <v>1811.25</v>
      </c>
      <c r="E2251" s="147" t="n">
        <v>53001768</v>
      </c>
      <c r="F2251" s="147" t="n">
        <f aca="false">IFERROR(VLOOKUP(H2251,$AD$1:$AE$301,2,0),"")</f>
        <v>1008045</v>
      </c>
      <c r="G2251" s="147" t="str">
        <f aca="false">IFERROR(VLOOKUP(F2251,$AE$2:$AF$290,2, 0),"")</f>
        <v>الوجه</v>
      </c>
      <c r="H2251" s="212" t="s">
        <v>107</v>
      </c>
      <c r="I2251" s="246" t="n">
        <f aca="false">SUM(K2251:R2251)</f>
        <v>7</v>
      </c>
      <c r="J2251" s="182" t="n">
        <v>46001</v>
      </c>
      <c r="K2251" s="148" t="n">
        <v>3</v>
      </c>
      <c r="M2251" s="150" t="n">
        <f aca="false">2+2</f>
        <v>4</v>
      </c>
      <c r="S2251" s="192" t="n">
        <f aca="false">(K2251+O2251+Q2251)*24 /1130+(L2251+M2251+P2251+R2251)*12/1130+(N2251*30)/1130</f>
        <v>0.106194690265487</v>
      </c>
    </row>
    <row r="2252" customFormat="false" ht="15" hidden="true" customHeight="true" outlineLevel="0" collapsed="false">
      <c r="A2252" s="128" t="n">
        <f aca="false">D2252+328.25-558.25</f>
        <v>0</v>
      </c>
      <c r="B2252" s="233" t="n">
        <f aca="false">B2251+D2252-C2252</f>
        <v>5744.25</v>
      </c>
      <c r="D2252" s="146" t="n">
        <f aca="false">230</f>
        <v>230</v>
      </c>
      <c r="E2252" s="147" t="n">
        <v>53001769</v>
      </c>
      <c r="F2252" s="147" t="n">
        <f aca="false">IFERROR(VLOOKUP(H2252,$AD$1:$AE$301,2,0),"")</f>
        <v>1008046</v>
      </c>
      <c r="G2252" s="147" t="str">
        <f aca="false">IFERROR(VLOOKUP(F2252,$AE$2:$AF$290,2, 0),"")</f>
        <v>الوجه</v>
      </c>
      <c r="H2252" s="212" t="s">
        <v>108</v>
      </c>
      <c r="I2252" s="246" t="n">
        <f aca="false">SUM(K2252:R2252)</f>
        <v>1</v>
      </c>
      <c r="J2252" s="182" t="n">
        <v>46001</v>
      </c>
      <c r="M2252" s="150" t="n">
        <v>1</v>
      </c>
      <c r="S2252" s="192" t="n">
        <f aca="false">(K2252+O2252+Q2252)*24 /1130+(L2252+M2252+P2252+R2252)*12/1130+(N2252*30)/1130</f>
        <v>0.0106194690265487</v>
      </c>
    </row>
    <row r="2253" customFormat="false" ht="15" hidden="true" customHeight="true" outlineLevel="0" collapsed="false">
      <c r="A2253" s="128" t="n">
        <f aca="false">D2253-281.75+100-600-63.5</f>
        <v>0</v>
      </c>
      <c r="B2253" s="233" t="n">
        <f aca="false">B2252+D2253-C2253</f>
        <v>6589.5</v>
      </c>
      <c r="D2253" s="146" t="n">
        <f aca="false">281.75*3</f>
        <v>845.25</v>
      </c>
      <c r="E2253" s="147" t="n">
        <v>53001770</v>
      </c>
      <c r="F2253" s="147" t="n">
        <f aca="false">IFERROR(VLOOKUP(H2253,$AD$1:$AE$301,2,0),"")</f>
        <v>1008051</v>
      </c>
      <c r="G2253" s="147" t="str">
        <f aca="false">IFERROR(VLOOKUP(F2253,$AE$2:$AF$290,2, 0),"")</f>
        <v>الوجه</v>
      </c>
      <c r="H2253" s="212" t="s">
        <v>113</v>
      </c>
      <c r="I2253" s="246" t="n">
        <f aca="false">SUM(K2253:R2253)</f>
        <v>3</v>
      </c>
      <c r="J2253" s="182" t="n">
        <v>46001</v>
      </c>
      <c r="K2253" s="148" t="n">
        <v>3</v>
      </c>
      <c r="S2253" s="192" t="n">
        <f aca="false">(K2253+O2253+Q2253)*24 /1130+(L2253+M2253+P2253+R2253)*12/1130+(N2253*30)/1130</f>
        <v>0.063716814159292</v>
      </c>
    </row>
    <row r="2254" customFormat="false" ht="15" hidden="true" customHeight="true" outlineLevel="0" collapsed="false">
      <c r="B2254" s="233" t="n">
        <f aca="false">B2253+D2254-C2254</f>
        <v>0.25</v>
      </c>
      <c r="C2254" s="127" t="n">
        <f aca="false">1281.75+463.5+1811+3000+33</f>
        <v>6589.25</v>
      </c>
      <c r="E2254" s="147" t="s">
        <v>675</v>
      </c>
      <c r="F2254" s="147" t="str">
        <f aca="false">IFERROR(VLOOKUP(H2254,$AD$1:$AE$301,2,0),"")</f>
        <v/>
      </c>
      <c r="G2254" s="147" t="str">
        <f aca="false">IFERROR(VLOOKUP(F2254,$AE$2:$AF$290,2, 0),"")</f>
        <v/>
      </c>
      <c r="H2254" s="212" t="s">
        <v>393</v>
      </c>
      <c r="I2254" s="246" t="n">
        <f aca="false">SUM(K2254:R2254)</f>
        <v>0</v>
      </c>
      <c r="J2254" s="182" t="n">
        <v>46002</v>
      </c>
      <c r="S2254" s="192" t="n">
        <f aca="false">(K2254+O2254+Q2254)*24 /1130+(L2254+M2254+P2254+R2254)*12/1130+(N2254*30)/1130</f>
        <v>0</v>
      </c>
    </row>
    <row r="2255" customFormat="false" ht="15" hidden="true" customHeight="true" outlineLevel="0" collapsed="false">
      <c r="A2255" s="128" t="n">
        <f aca="false">D2255-6-454</f>
        <v>0</v>
      </c>
      <c r="B2255" s="233" t="n">
        <f aca="false">B2254+D2255-C2255</f>
        <v>460.25</v>
      </c>
      <c r="D2255" s="146" t="n">
        <f aca="false">230*2</f>
        <v>460</v>
      </c>
      <c r="E2255" s="147" t="n">
        <v>53001771</v>
      </c>
      <c r="F2255" s="147" t="n">
        <f aca="false">IFERROR(VLOOKUP(H2255,$AD$1:$AE$301,2,0),"")</f>
        <v>1076</v>
      </c>
      <c r="G2255" s="147" t="str">
        <f aca="false">IFERROR(VLOOKUP(F2255,$AE$2:$AF$290,2, 0),"")</f>
        <v>تبوك</v>
      </c>
      <c r="H2255" s="212" t="s">
        <v>244</v>
      </c>
      <c r="I2255" s="246" t="n">
        <f aca="false">SUM(K2255:R2255)</f>
        <v>2</v>
      </c>
      <c r="J2255" s="182" t="n">
        <v>46002</v>
      </c>
      <c r="M2255" s="150" t="n">
        <v>2</v>
      </c>
      <c r="S2255" s="192" t="n">
        <f aca="false">(K2255+O2255+Q2255)*24 /1130+(L2255+M2255+P2255+R2255)*12/1130+(N2255*30)/1130</f>
        <v>0.0212389380530973</v>
      </c>
    </row>
    <row r="2256" customFormat="false" ht="15" hidden="true" customHeight="true" outlineLevel="0" collapsed="false">
      <c r="A2256" s="128" t="n">
        <f aca="false">D2256-570-210-20-4-38-80-112-269-55-160-185-220-415-484-5-99-100+283.25</f>
        <v>0</v>
      </c>
      <c r="B2256" s="233" t="n">
        <f aca="false">B2255+D2256-C2256</f>
        <v>3203</v>
      </c>
      <c r="D2256" s="146" t="n">
        <f aca="false">253*5+264.5*5+155.25</f>
        <v>2742.75</v>
      </c>
      <c r="E2256" s="147" t="n">
        <v>53001772</v>
      </c>
      <c r="F2256" s="147" t="n">
        <f aca="false">IFERROR(VLOOKUP(H2256,$AD$1:$AE$301,2,0),"")</f>
        <v>855</v>
      </c>
      <c r="G2256" s="147" t="str">
        <f aca="false">IFERROR(VLOOKUP(F2256,$AE$2:$AF$290,2, 0),"")</f>
        <v>تبوك</v>
      </c>
      <c r="H2256" s="212" t="s">
        <v>141</v>
      </c>
      <c r="I2256" s="246" t="n">
        <f aca="false">SUM(K2256:R2256)</f>
        <v>11</v>
      </c>
      <c r="J2256" s="182" t="n">
        <v>46002</v>
      </c>
      <c r="M2256" s="150" t="n">
        <v>5</v>
      </c>
      <c r="R2256" s="155" t="n">
        <f aca="false">5+1</f>
        <v>6</v>
      </c>
      <c r="S2256" s="192" t="n">
        <f aca="false">(K2256+O2256+Q2256)*24 /1130+(L2256+M2256+P2256+R2256)*12/1130+(N2256*30)/1130</f>
        <v>0.116814159292035</v>
      </c>
    </row>
    <row r="2257" customFormat="false" ht="15" hidden="true" customHeight="true" outlineLevel="0" collapsed="false">
      <c r="A2257" s="128" t="n">
        <f aca="false">D2257-283.25-15</f>
        <v>0.75</v>
      </c>
      <c r="B2257" s="233" t="n">
        <f aca="false">B2256+D2257-C2257</f>
        <v>3502</v>
      </c>
      <c r="D2257" s="146" t="n">
        <v>299</v>
      </c>
      <c r="E2257" s="147" t="n">
        <v>53001773</v>
      </c>
      <c r="F2257" s="147" t="n">
        <f aca="false">IFERROR(VLOOKUP(H2257,$AD$1:$AE$301,2,0),"")</f>
        <v>855</v>
      </c>
      <c r="G2257" s="147" t="str">
        <f aca="false">IFERROR(VLOOKUP(F2257,$AE$2:$AF$290,2, 0),"")</f>
        <v>تبوك</v>
      </c>
      <c r="H2257" s="212" t="s">
        <v>141</v>
      </c>
      <c r="I2257" s="246" t="n">
        <f aca="false">SUM(K2257:R2257)</f>
        <v>1</v>
      </c>
      <c r="J2257" s="182" t="n">
        <v>46004</v>
      </c>
      <c r="R2257" s="155" t="n">
        <v>1</v>
      </c>
      <c r="S2257" s="192" t="n">
        <f aca="false">(K2257+O2257+Q2257)*24 /1130+(L2257+M2257+P2257+R2257)*12/1130+(N2257*30)/1130</f>
        <v>0.0106194690265487</v>
      </c>
    </row>
    <row r="2258" customFormat="false" ht="15" hidden="true" customHeight="true" outlineLevel="0" collapsed="false">
      <c r="A2258" s="128" t="n">
        <f aca="false">D2258-5*6-338</f>
        <v>0</v>
      </c>
      <c r="B2258" s="233" t="n">
        <f aca="false">B2257+D2258-C2258</f>
        <v>3870</v>
      </c>
      <c r="D2258" s="146" t="n">
        <f aca="false">138+230</f>
        <v>368</v>
      </c>
      <c r="E2258" s="147" t="n">
        <v>53001774</v>
      </c>
      <c r="F2258" s="147" t="n">
        <f aca="false">IFERROR(VLOOKUP(H2258,$AD$1:$AE$301,2,0),"")</f>
        <v>1003</v>
      </c>
      <c r="G2258" s="147" t="str">
        <f aca="false">IFERROR(VLOOKUP(F2258,$AE$2:$AF$290,2, 0),"")</f>
        <v>تبوك</v>
      </c>
      <c r="H2258" s="212" t="s">
        <v>277</v>
      </c>
      <c r="I2258" s="246" t="n">
        <f aca="false">SUM(K2258:R2258)</f>
        <v>2</v>
      </c>
      <c r="J2258" s="182" t="n">
        <v>46004</v>
      </c>
      <c r="M2258" s="150" t="n">
        <v>1</v>
      </c>
      <c r="Q2258" s="154" t="n">
        <v>1</v>
      </c>
      <c r="S2258" s="192" t="n">
        <f aca="false">(K2258+O2258+Q2258)*24 /1130+(L2258+M2258+P2258+R2258)*12/1130+(N2258*30)/1130</f>
        <v>0.031858407079646</v>
      </c>
    </row>
    <row r="2259" customFormat="false" ht="15" hidden="true" customHeight="true" outlineLevel="0" collapsed="false">
      <c r="B2259" s="233" t="n">
        <f aca="false">B2258+D2259-C2259</f>
        <v>5146.5</v>
      </c>
      <c r="D2259" s="146" t="n">
        <f aca="false">281.75*3+253+178.25</f>
        <v>1276.5</v>
      </c>
      <c r="E2259" s="147" t="n">
        <v>53001775</v>
      </c>
      <c r="F2259" s="147" t="n">
        <f aca="false">IFERROR(VLOOKUP(H2259,$AD$1:$AE$301,2,0),"")</f>
        <v>1008266</v>
      </c>
      <c r="G2259" s="147" t="str">
        <f aca="false">IFERROR(VLOOKUP(F2259,$AE$2:$AF$290,2, 0),"")</f>
        <v>تبوك</v>
      </c>
      <c r="H2259" s="212" t="s">
        <v>178</v>
      </c>
      <c r="I2259" s="246" t="n">
        <f aca="false">SUM(K2259:R2259)</f>
        <v>5</v>
      </c>
      <c r="J2259" s="182" t="n">
        <v>46004</v>
      </c>
      <c r="K2259" s="148" t="n">
        <f aca="false">2+1</f>
        <v>3</v>
      </c>
      <c r="L2259" s="149" t="n">
        <v>1</v>
      </c>
      <c r="M2259" s="150" t="n">
        <v>1</v>
      </c>
      <c r="S2259" s="192" t="n">
        <f aca="false">(K2259+O2259+Q2259)*24 /1130+(L2259+M2259+P2259+R2259)*12/1130+(N2259*30)/1130</f>
        <v>0.0849557522123894</v>
      </c>
    </row>
    <row r="2260" customFormat="false" ht="15" hidden="true" customHeight="true" outlineLevel="0" collapsed="false">
      <c r="B2260" s="233" t="n">
        <f aca="false">B2259+D2260-C2260</f>
        <v>1666.5</v>
      </c>
      <c r="C2260" s="127" t="n">
        <f aca="false">570+210+20+4+38+80+112+269+55+160+185+220+415+484+5+99+100+454</f>
        <v>3480</v>
      </c>
      <c r="E2260" s="147" t="s">
        <v>675</v>
      </c>
      <c r="F2260" s="147" t="str">
        <f aca="false">IFERROR(VLOOKUP(H2260,$AD$1:$AE$301,2,0),"")</f>
        <v/>
      </c>
      <c r="G2260" s="147" t="str">
        <f aca="false">IFERROR(VLOOKUP(F2260,$AE$2:$AF$290,2, 0),"")</f>
        <v/>
      </c>
      <c r="H2260" s="212" t="s">
        <v>393</v>
      </c>
      <c r="I2260" s="246" t="n">
        <f aca="false">SUM(K2260:R2260)</f>
        <v>0</v>
      </c>
      <c r="J2260" s="182" t="n">
        <v>46004</v>
      </c>
      <c r="S2260" s="192" t="n">
        <f aca="false">(K2260+O2260+Q2260)*24 /1130+(L2260+M2260+P2260+R2260)*12/1130+(N2260*30)/1130</f>
        <v>0</v>
      </c>
    </row>
    <row r="2261" customFormat="false" ht="15" hidden="true" customHeight="true" outlineLevel="0" collapsed="false">
      <c r="B2261" s="233" t="n">
        <f aca="false">B2260+D2261-C2261</f>
        <v>0.5</v>
      </c>
      <c r="C2261" s="127" t="n">
        <f aca="false">457+338+282+555+34</f>
        <v>1666</v>
      </c>
      <c r="E2261" s="147" t="s">
        <v>675</v>
      </c>
      <c r="F2261" s="147" t="str">
        <f aca="false">IFERROR(VLOOKUP(H2261,$AD$1:$AE$301,2,0),"")</f>
        <v/>
      </c>
      <c r="G2261" s="147" t="str">
        <f aca="false">IFERROR(VLOOKUP(F2261,$AE$2:$AF$290,2, 0),"")</f>
        <v/>
      </c>
      <c r="H2261" s="212" t="s">
        <v>393</v>
      </c>
      <c r="I2261" s="246" t="n">
        <f aca="false">SUM(K2261:R2261)</f>
        <v>0</v>
      </c>
      <c r="J2261" s="182" t="n">
        <v>46005</v>
      </c>
      <c r="S2261" s="192" t="n">
        <f aca="false">(K2261+O2261+Q2261)*24 /1130+(L2261+M2261+P2261+R2261)*12/1130+(N2261*30)/1130</f>
        <v>0</v>
      </c>
    </row>
    <row r="2262" customFormat="false" ht="15" hidden="true" customHeight="true" outlineLevel="0" collapsed="false">
      <c r="A2262" s="128" t="n">
        <f aca="false">D2262-291.5-274+281.75-555</f>
        <v>0.75</v>
      </c>
      <c r="B2262" s="233" t="n">
        <f aca="false">B2261+D2262-C2262</f>
        <v>840</v>
      </c>
      <c r="D2262" s="146" t="n">
        <f aca="false">291.5+274+274</f>
        <v>839.5</v>
      </c>
      <c r="E2262" s="147" t="n">
        <v>53001776</v>
      </c>
      <c r="F2262" s="147" t="n">
        <f aca="false">IFERROR(VLOOKUP(H2262,$AD$1:$AE$301,2,0),"")</f>
        <v>1008276</v>
      </c>
      <c r="G2262" s="147" t="str">
        <f aca="false">IFERROR(VLOOKUP(F2262,$AE$2:$AF$290,2, 0),"")</f>
        <v>تبوك</v>
      </c>
      <c r="H2262" s="212" t="s">
        <v>145</v>
      </c>
      <c r="I2262" s="246" t="n">
        <f aca="false">SUM(K2262:R2262)</f>
        <v>3</v>
      </c>
      <c r="J2262" s="182" t="n">
        <v>46005</v>
      </c>
      <c r="N2262" s="151" t="n">
        <f aca="false">2+1</f>
        <v>3</v>
      </c>
      <c r="S2262" s="192" t="n">
        <f aca="false">(K2262+O2262+Q2262)*24 /1130+(L2262+M2262+P2262+R2262)*12/1130+(N2262*30)/1130</f>
        <v>0.079646017699115</v>
      </c>
    </row>
    <row r="2263" customFormat="false" ht="15" hidden="true" customHeight="true" outlineLevel="0" collapsed="false">
      <c r="A2263" s="128" t="n">
        <f aca="false">D2263-281.75-1150-9*5-2*5+50</f>
        <v>12.25</v>
      </c>
      <c r="B2263" s="233" t="n">
        <f aca="false">B2262+D2263-C2263</f>
        <v>2289</v>
      </c>
      <c r="D2263" s="146" t="n">
        <f aca="false">281.75*3+253+195.5+155.25</f>
        <v>1449</v>
      </c>
      <c r="E2263" s="147" t="n">
        <v>53001777</v>
      </c>
      <c r="F2263" s="147" t="n">
        <f aca="false">IFERROR(VLOOKUP(H2263,$AD$1:$AE$301,2,0),"")</f>
        <v>1008017</v>
      </c>
      <c r="G2263" s="147" t="str">
        <f aca="false">IFERROR(VLOOKUP(F2263,$AE$2:$AF$290,2, 0),"")</f>
        <v>البدع</v>
      </c>
      <c r="H2263" s="212" t="s">
        <v>325</v>
      </c>
      <c r="I2263" s="246" t="n">
        <f aca="false">SUM(K2263:R2263)</f>
        <v>6</v>
      </c>
      <c r="J2263" s="182" t="n">
        <v>46005</v>
      </c>
      <c r="K2263" s="148" t="n">
        <v>3</v>
      </c>
      <c r="M2263" s="150" t="n">
        <v>1</v>
      </c>
      <c r="R2263" s="155" t="n">
        <f aca="false">1+1</f>
        <v>2</v>
      </c>
      <c r="S2263" s="192" t="n">
        <f aca="false">(K2263+O2263+Q2263)*24 /1130+(L2263+M2263+P2263+R2263)*12/1130+(N2263*30)/1130</f>
        <v>0.0955752212389381</v>
      </c>
    </row>
    <row r="2264" customFormat="false" ht="15" hidden="true" customHeight="true" outlineLevel="0" collapsed="false">
      <c r="A2264" s="128" t="n">
        <f aca="false">2070-2000-70</f>
        <v>0</v>
      </c>
      <c r="B2264" s="233" t="n">
        <f aca="false">B2263+D2264-C2264</f>
        <v>4359</v>
      </c>
      <c r="D2264" s="146" t="n">
        <f aca="false">51.75*40</f>
        <v>2070</v>
      </c>
      <c r="E2264" s="147" t="n">
        <v>53001778</v>
      </c>
      <c r="F2264" s="147" t="n">
        <f aca="false">IFERROR(VLOOKUP(H2264,$AD$1:$AE$301,2,0),"")</f>
        <v>1008014</v>
      </c>
      <c r="G2264" s="147" t="str">
        <f aca="false">IFERROR(VLOOKUP(F2264,$AE$2:$AF$290,2, 0),"")</f>
        <v>البدع</v>
      </c>
      <c r="H2264" s="212" t="s">
        <v>322</v>
      </c>
      <c r="I2264" s="246" t="n">
        <f aca="false">SUM(K2264:R2264)</f>
        <v>40</v>
      </c>
      <c r="J2264" s="182" t="n">
        <v>46005</v>
      </c>
      <c r="R2264" s="155" t="n">
        <v>40</v>
      </c>
      <c r="S2264" s="192" t="n">
        <f aca="false">(K2264+O2264+Q2264)*24 /1130+(L2264+M2264+P2264+R2264)*12/1130+(N2264*30)/1130</f>
        <v>0.424778761061947</v>
      </c>
    </row>
    <row r="2265" customFormat="false" ht="15" hidden="true" customHeight="true" outlineLevel="0" collapsed="false">
      <c r="B2265" s="233" t="n">
        <f aca="false">B2264+D2265-C2265</f>
        <v>4612</v>
      </c>
      <c r="D2265" s="146" t="n">
        <v>253</v>
      </c>
      <c r="E2265" s="147" t="n">
        <v>53001779</v>
      </c>
      <c r="F2265" s="147" t="n">
        <f aca="false">IFERROR(VLOOKUP(H2265,$AD$1:$AE$301,2,0),"")</f>
        <v>1008019</v>
      </c>
      <c r="G2265" s="147" t="str">
        <f aca="false">IFERROR(VLOOKUP(F2265,$AE$2:$AF$290,2, 0),"")</f>
        <v>البدع</v>
      </c>
      <c r="H2265" s="212" t="s">
        <v>327</v>
      </c>
      <c r="I2265" s="246" t="n">
        <f aca="false">SUM(K2265:R2265)</f>
        <v>1</v>
      </c>
      <c r="J2265" s="182" t="n">
        <v>46005</v>
      </c>
      <c r="M2265" s="150" t="n">
        <v>1</v>
      </c>
      <c r="S2265" s="192" t="n">
        <f aca="false">(K2265+O2265+Q2265)*24 /1130+(L2265+M2265+P2265+R2265)*12/1130+(N2265*30)/1130</f>
        <v>0.0106194690265487</v>
      </c>
    </row>
    <row r="2266" customFormat="false" ht="15" hidden="true" customHeight="true" outlineLevel="0" collapsed="false">
      <c r="B2266" s="233" t="n">
        <f aca="false">B2265+D2266-C2266</f>
        <v>1112</v>
      </c>
      <c r="C2266" s="127" t="n">
        <f aca="false">3500</f>
        <v>3500</v>
      </c>
      <c r="E2266" s="147" t="s">
        <v>668</v>
      </c>
      <c r="F2266" s="147" t="str">
        <f aca="false">IFERROR(VLOOKUP(H2266,$AD$1:$AE$301,2,0),"")</f>
        <v/>
      </c>
      <c r="G2266" s="147" t="str">
        <f aca="false">IFERROR(VLOOKUP(F2266,$AE$2:$AF$290,2, 0),"")</f>
        <v/>
      </c>
      <c r="H2266" s="212" t="s">
        <v>393</v>
      </c>
      <c r="I2266" s="246" t="n">
        <f aca="false">SUM(K2266:R2266)</f>
        <v>0</v>
      </c>
      <c r="J2266" s="182" t="n">
        <v>46005</v>
      </c>
      <c r="S2266" s="192" t="n">
        <f aca="false">(K2266+O2266+Q2266)*24 /1130+(L2266+M2266+P2266+R2266)*12/1130+(N2266*30)/1130</f>
        <v>0</v>
      </c>
    </row>
    <row r="2267" customFormat="false" ht="15" hidden="true" customHeight="true" outlineLevel="0" collapsed="false">
      <c r="B2267" s="233" t="n">
        <f aca="false">B2266+D2267-C2267</f>
        <v>292</v>
      </c>
      <c r="C2267" s="127" t="n">
        <f aca="false">820</f>
        <v>820</v>
      </c>
      <c r="E2267" s="147" t="s">
        <v>667</v>
      </c>
      <c r="F2267" s="147" t="str">
        <f aca="false">IFERROR(VLOOKUP(H2267,$AD$1:$AE$301,2,0),"")</f>
        <v/>
      </c>
      <c r="G2267" s="147" t="str">
        <f aca="false">IFERROR(VLOOKUP(F2267,$AE$2:$AF$290,2, 0),"")</f>
        <v/>
      </c>
      <c r="H2267" s="212" t="s">
        <v>393</v>
      </c>
      <c r="I2267" s="246" t="n">
        <f aca="false">SUM(K2267:R2267)</f>
        <v>0</v>
      </c>
      <c r="J2267" s="182" t="n">
        <v>46005</v>
      </c>
      <c r="S2267" s="192" t="n">
        <f aca="false">(K2267+O2267+Q2267)*24 /1130+(L2267+M2267+P2267+R2267)*12/1130+(N2267*30)/1130</f>
        <v>0</v>
      </c>
    </row>
    <row r="2268" customFormat="false" ht="15" hidden="true" customHeight="true" outlineLevel="0" collapsed="false">
      <c r="B2268" s="233" t="n">
        <f aca="false">B2267+D2268-C2268</f>
        <v>2</v>
      </c>
      <c r="C2268" s="127" t="n">
        <v>290</v>
      </c>
      <c r="E2268" s="147" t="s">
        <v>667</v>
      </c>
      <c r="F2268" s="147" t="str">
        <f aca="false">IFERROR(VLOOKUP(H2268,$AD$1:$AE$301,2,0),"")</f>
        <v/>
      </c>
      <c r="G2268" s="147" t="str">
        <f aca="false">IFERROR(VLOOKUP(F2268,$AE$2:$AF$290,2, 0),"")</f>
        <v/>
      </c>
      <c r="H2268" s="212" t="s">
        <v>393</v>
      </c>
      <c r="I2268" s="246" t="n">
        <f aca="false">SUM(K2268:R2268)</f>
        <v>0</v>
      </c>
      <c r="J2268" s="182" t="n">
        <v>46005</v>
      </c>
      <c r="S2268" s="192" t="n">
        <f aca="false">(K2268+O2268+Q2268)*24 /1130+(L2268+M2268+P2268+R2268)*12/1130+(N2268*30)/1130</f>
        <v>0</v>
      </c>
    </row>
    <row r="2269" customFormat="false" ht="15" hidden="true" customHeight="true" outlineLevel="0" collapsed="false">
      <c r="B2269" s="233" t="n">
        <f aca="false">B2268+D2269-C2269</f>
        <v>761</v>
      </c>
      <c r="D2269" s="146" t="n">
        <f aca="false">253*3</f>
        <v>759</v>
      </c>
      <c r="E2269" s="147" t="n">
        <v>53001780</v>
      </c>
      <c r="F2269" s="147" t="n">
        <f aca="false">IFERROR(VLOOKUP(H2269,$AD$1:$AE$301,2,0),"")</f>
        <v>1048</v>
      </c>
      <c r="G2269" s="147" t="str">
        <f aca="false">IFERROR(VLOOKUP(F2269,$AE$2:$AF$290,2, 0),"")</f>
        <v>تبوك</v>
      </c>
      <c r="H2269" s="212" t="s">
        <v>279</v>
      </c>
      <c r="I2269" s="246" t="n">
        <f aca="false">SUM(K2269:R2269)</f>
        <v>3</v>
      </c>
      <c r="J2269" s="182" t="n">
        <v>46006</v>
      </c>
      <c r="M2269" s="150" t="n">
        <v>3</v>
      </c>
      <c r="S2269" s="192" t="n">
        <f aca="false">(K2269+O2269+Q2269)*24 /1130+(L2269+M2269+P2269+R2269)*12/1130+(N2269*30)/1130</f>
        <v>0.031858407079646</v>
      </c>
    </row>
    <row r="2270" customFormat="false" ht="15" hidden="true" customHeight="true" outlineLevel="0" collapsed="false">
      <c r="B2270" s="233" t="n">
        <f aca="false">B2269+D2270-C2270</f>
        <v>0.5</v>
      </c>
      <c r="C2270" s="127" t="n">
        <f aca="false">160.5+600</f>
        <v>760.5</v>
      </c>
      <c r="E2270" s="147" t="s">
        <v>667</v>
      </c>
      <c r="F2270" s="147" t="str">
        <f aca="false">IFERROR(VLOOKUP(H2270,$AD$1:$AE$301,2,0),"")</f>
        <v/>
      </c>
      <c r="G2270" s="147" t="str">
        <f aca="false">IFERROR(VLOOKUP(F2270,$AE$2:$AF$290,2, 0),"")</f>
        <v/>
      </c>
      <c r="H2270" s="212" t="s">
        <v>393</v>
      </c>
      <c r="I2270" s="246" t="n">
        <f aca="false">SUM(K2270:R2270)</f>
        <v>0</v>
      </c>
      <c r="J2270" s="182" t="n">
        <v>46007</v>
      </c>
      <c r="S2270" s="192" t="n">
        <f aca="false">(K2270+O2270+Q2270)*24 /1130+(L2270+M2270+P2270+R2270)*12/1130+(N2270*30)/1130</f>
        <v>0</v>
      </c>
    </row>
    <row r="2271" customFormat="false" ht="15" hidden="true" customHeight="true" outlineLevel="0" collapsed="false">
      <c r="B2271" s="233" t="n">
        <f aca="false">B2270+D2271-C2271</f>
        <v>374.25</v>
      </c>
      <c r="D2271" s="146" t="n">
        <f aca="false">235.75+138</f>
        <v>373.75</v>
      </c>
      <c r="E2271" s="147" t="n">
        <v>53001781</v>
      </c>
      <c r="F2271" s="147" t="n">
        <f aca="false">IFERROR(VLOOKUP(H2271,$AD$1:$AE$301,2,0),"")</f>
        <v>721</v>
      </c>
      <c r="G2271" s="147" t="str">
        <f aca="false">IFERROR(VLOOKUP(F2271,$AE$2:$AF$290,2, 0),"")</f>
        <v>تبوك</v>
      </c>
      <c r="H2271" s="212" t="s">
        <v>183</v>
      </c>
      <c r="I2271" s="246" t="n">
        <f aca="false">SUM(K2271:R2271)</f>
        <v>2</v>
      </c>
      <c r="J2271" s="182" t="n">
        <v>46007</v>
      </c>
      <c r="M2271" s="150" t="n">
        <v>1</v>
      </c>
      <c r="Q2271" s="154" t="n">
        <v>1</v>
      </c>
      <c r="S2271" s="192" t="n">
        <f aca="false">(K2271+O2271+Q2271)*24 /1130+(L2271+M2271+P2271+R2271)*12/1130+(N2271*30)/1130</f>
        <v>0.031858407079646</v>
      </c>
    </row>
    <row r="2272" customFormat="false" ht="15" hidden="true" customHeight="true" outlineLevel="0" collapsed="false">
      <c r="A2272" s="128" t="n">
        <f aca="false">D2272+253-500-497-100</f>
        <v>1.25</v>
      </c>
      <c r="B2272" s="233" t="n">
        <f aca="false">B2271+D2272-C2272</f>
        <v>1219.5</v>
      </c>
      <c r="D2272" s="146" t="n">
        <f aca="false">281.75*3</f>
        <v>845.25</v>
      </c>
      <c r="E2272" s="147" t="n">
        <v>53001782</v>
      </c>
      <c r="F2272" s="147" t="n">
        <f aca="false">IFERROR(VLOOKUP(H2272,$AD$1:$AE$301,2,0),"")</f>
        <v>653</v>
      </c>
      <c r="G2272" s="147" t="str">
        <f aca="false">IFERROR(VLOOKUP(F2272,$AE$2:$AF$290,2, 0),"")</f>
        <v>تبوك</v>
      </c>
      <c r="H2272" s="212" t="s">
        <v>264</v>
      </c>
      <c r="I2272" s="246" t="n">
        <f aca="false">SUM(K2272:R2272)</f>
        <v>3</v>
      </c>
      <c r="J2272" s="182" t="n">
        <v>46007</v>
      </c>
      <c r="K2272" s="148" t="n">
        <v>3</v>
      </c>
      <c r="S2272" s="192" t="n">
        <f aca="false">(K2272+O2272+Q2272)*24 /1130+(L2272+M2272+P2272+R2272)*12/1130+(N2272*30)/1130</f>
        <v>0.063716814159292</v>
      </c>
    </row>
    <row r="2273" customFormat="false" ht="15" hidden="true" customHeight="true" outlineLevel="0" collapsed="false">
      <c r="B2273" s="233" t="n">
        <f aca="false">B2272+D2273-C2273</f>
        <v>2409.75</v>
      </c>
      <c r="D2273" s="146" t="n">
        <f aca="false">345+281.75*3</f>
        <v>1190.25</v>
      </c>
      <c r="E2273" s="147" t="n">
        <v>53001783</v>
      </c>
      <c r="F2273" s="147" t="n">
        <f aca="false">IFERROR(VLOOKUP(H2273,$AD$1:$AE$301,2,0),"")</f>
        <v>1008261</v>
      </c>
      <c r="G2273" s="147" t="str">
        <f aca="false">IFERROR(VLOOKUP(F2273,$AE$2:$AF$290,2, 0),"")</f>
        <v>تبوك</v>
      </c>
      <c r="H2273" s="212" t="s">
        <v>440</v>
      </c>
      <c r="I2273" s="246" t="n">
        <f aca="false">SUM(K2273:R2273)</f>
        <v>4</v>
      </c>
      <c r="J2273" s="182" t="n">
        <v>46007</v>
      </c>
      <c r="K2273" s="148" t="n">
        <f aca="false">2+1</f>
        <v>3</v>
      </c>
      <c r="M2273" s="150" t="n">
        <v>1</v>
      </c>
      <c r="S2273" s="192" t="n">
        <f aca="false">(K2273+O2273+Q2273)*24 /1130+(L2273+M2273+P2273+R2273)*12/1130+(N2273*30)/1130</f>
        <v>0.0743362831858407</v>
      </c>
    </row>
    <row r="2274" customFormat="false" ht="15" hidden="true" customHeight="true" outlineLevel="0" collapsed="false">
      <c r="B2274" s="233" t="n">
        <f aca="false">B2273+D2274-C2274</f>
        <v>0.25</v>
      </c>
      <c r="C2274" s="233" t="n">
        <f aca="false">200+908.5+500+801</f>
        <v>2409.5</v>
      </c>
      <c r="E2274" s="147" t="s">
        <v>675</v>
      </c>
      <c r="F2274" s="147" t="str">
        <f aca="false">IFERROR(VLOOKUP(H2274,$AD$1:$AE$301,2,0),"")</f>
        <v/>
      </c>
      <c r="G2274" s="147" t="str">
        <f aca="false">IFERROR(VLOOKUP(F2274,$AE$2:$AF$290,2, 0),"")</f>
        <v/>
      </c>
      <c r="H2274" s="212" t="s">
        <v>393</v>
      </c>
      <c r="I2274" s="246" t="n">
        <f aca="false">SUM(K2274:R2274)</f>
        <v>0</v>
      </c>
      <c r="J2274" s="182" t="n">
        <v>46007</v>
      </c>
      <c r="S2274" s="192" t="n">
        <f aca="false">(K2274+O2274+Q2274)*24 /1130+(L2274+M2274+P2274+R2274)*12/1130+(N2274*30)/1130</f>
        <v>0</v>
      </c>
    </row>
    <row r="2275" customFormat="false" ht="15" hidden="true" customHeight="true" outlineLevel="0" collapsed="false">
      <c r="A2275" s="128" t="n">
        <f aca="false">D2275-563.5-180-100</f>
        <v>1.75</v>
      </c>
      <c r="B2275" s="233" t="n">
        <f aca="false">B2274+D2275-C2275</f>
        <v>845.5</v>
      </c>
      <c r="D2275" s="146" t="n">
        <f aca="false">281.75*3</f>
        <v>845.25</v>
      </c>
      <c r="E2275" s="147" t="n">
        <v>53001784</v>
      </c>
      <c r="F2275" s="147" t="n">
        <f aca="false">IFERROR(VLOOKUP(H2275,$AD$1:$AE$301,2,0),"")</f>
        <v>1008043</v>
      </c>
      <c r="G2275" s="147" t="str">
        <f aca="false">IFERROR(VLOOKUP(F2275,$AE$2:$AF$290,2, 0),"")</f>
        <v>الوجه</v>
      </c>
      <c r="H2275" s="212" t="s">
        <v>104</v>
      </c>
      <c r="I2275" s="246" t="n">
        <f aca="false">SUM(K2275:R2275)</f>
        <v>3</v>
      </c>
      <c r="J2275" s="182" t="n">
        <v>46008</v>
      </c>
      <c r="K2275" s="148" t="n">
        <f aca="false">2+1</f>
        <v>3</v>
      </c>
      <c r="S2275" s="192" t="n">
        <f aca="false">(K2275+O2275+Q2275)*24 /1130+(L2275+M2275+P2275+R2275)*12/1130+(N2275*30)/1130</f>
        <v>0.063716814159292</v>
      </c>
    </row>
    <row r="2276" customFormat="false" ht="15" hidden="true" customHeight="true" outlineLevel="0" collapsed="false">
      <c r="B2276" s="233" t="n">
        <f aca="false">B2275+D2276-C2276</f>
        <v>1190.5</v>
      </c>
      <c r="D2276" s="146" t="n">
        <v>345</v>
      </c>
      <c r="E2276" s="147" t="n">
        <v>53001785</v>
      </c>
      <c r="F2276" s="147" t="n">
        <f aca="false">IFERROR(VLOOKUP(H2276,$AD$1:$AE$301,2,0),"")</f>
        <v>1008045</v>
      </c>
      <c r="G2276" s="147" t="str">
        <f aca="false">IFERROR(VLOOKUP(F2276,$AE$2:$AF$290,2, 0),"")</f>
        <v>الوجه</v>
      </c>
      <c r="H2276" s="212" t="s">
        <v>107</v>
      </c>
      <c r="I2276" s="246" t="n">
        <f aca="false">SUM(K2276:R2276)</f>
        <v>1</v>
      </c>
      <c r="J2276" s="182" t="n">
        <v>46008</v>
      </c>
      <c r="M2276" s="150" t="n">
        <v>1</v>
      </c>
      <c r="S2276" s="192" t="n">
        <f aca="false">(K2276+O2276+Q2276)*24 /1130+(L2276+M2276+P2276+R2276)*12/1130+(N2276*30)/1130</f>
        <v>0.0106194690265487</v>
      </c>
    </row>
    <row r="2277" customFormat="false" ht="15" hidden="true" customHeight="true" outlineLevel="0" collapsed="false">
      <c r="A2277" s="128" t="n">
        <f aca="false">D2277-545-500+100+100</f>
        <v>0.25</v>
      </c>
      <c r="B2277" s="233" t="n">
        <f aca="false">B2276+D2277-C2277</f>
        <v>2035.75</v>
      </c>
      <c r="D2277" s="146" t="n">
        <f aca="false">281.75*3</f>
        <v>845.25</v>
      </c>
      <c r="E2277" s="147" t="n">
        <v>53001786</v>
      </c>
      <c r="F2277" s="147" t="n">
        <f aca="false">IFERROR(VLOOKUP(H2277,$AD$1:$AE$301,2,0),"")</f>
        <v>1008054</v>
      </c>
      <c r="G2277" s="147" t="str">
        <f aca="false">IFERROR(VLOOKUP(F2277,$AE$2:$AF$290,2, 0),"")</f>
        <v>الوجه</v>
      </c>
      <c r="H2277" s="212" t="s">
        <v>112</v>
      </c>
      <c r="I2277" s="246" t="n">
        <f aca="false">SUM(K2277:R2277)</f>
        <v>3</v>
      </c>
      <c r="J2277" s="182" t="n">
        <v>46008</v>
      </c>
      <c r="K2277" s="148" t="n">
        <f aca="false">3</f>
        <v>3</v>
      </c>
      <c r="S2277" s="192" t="n">
        <f aca="false">(K2277+O2277+Q2277)*24 /1130+(L2277+M2277+P2277+R2277)*12/1130+(N2277*30)/1130</f>
        <v>0.063716814159292</v>
      </c>
    </row>
    <row r="2278" customFormat="false" ht="15" hidden="true" customHeight="true" outlineLevel="0" collapsed="false">
      <c r="A2278" s="128" t="n">
        <f aca="false">D2278-500-250-15-17</f>
        <v>0</v>
      </c>
      <c r="B2278" s="233" t="n">
        <f aca="false">B2277+D2278-C2278</f>
        <v>2817.75</v>
      </c>
      <c r="D2278" s="146" t="n">
        <f aca="false">253+264.5*2</f>
        <v>782</v>
      </c>
      <c r="E2278" s="147" t="n">
        <v>53001787</v>
      </c>
      <c r="F2278" s="147" t="n">
        <f aca="false">IFERROR(VLOOKUP(H2278,$AD$1:$AE$301,2,0),"")</f>
        <v>1002</v>
      </c>
      <c r="G2278" s="147" t="str">
        <f aca="false">IFERROR(VLOOKUP(F2278,$AE$2:$AF$290,2, 0),"")</f>
        <v>الوجه</v>
      </c>
      <c r="H2278" s="212" t="s">
        <v>116</v>
      </c>
      <c r="I2278" s="246" t="n">
        <f aca="false">SUM(K2278:R2278)</f>
        <v>3</v>
      </c>
      <c r="J2278" s="182" t="n">
        <v>46008</v>
      </c>
      <c r="M2278" s="150" t="n">
        <v>1</v>
      </c>
      <c r="R2278" s="155" t="n">
        <v>2</v>
      </c>
      <c r="S2278" s="192" t="n">
        <f aca="false">(K2278+O2278+Q2278)*24 /1130+(L2278+M2278+P2278+R2278)*12/1130+(N2278*30)/1130</f>
        <v>0.031858407079646</v>
      </c>
    </row>
    <row r="2279" customFormat="false" ht="15" hidden="true" customHeight="true" outlineLevel="0" collapsed="false">
      <c r="B2279" s="233" t="n">
        <f aca="false">B2278+D2279-C2279</f>
        <v>3640</v>
      </c>
      <c r="D2279" s="146" t="n">
        <f aca="false">822+0.25</f>
        <v>822.25</v>
      </c>
      <c r="E2279" s="147" t="n">
        <v>53001788</v>
      </c>
      <c r="F2279" s="147" t="n">
        <f aca="false">IFERROR(VLOOKUP(H2279,$AD$1:$AE$301,2,0),"")</f>
        <v>1033</v>
      </c>
      <c r="G2279" s="147" t="str">
        <f aca="false">IFERROR(VLOOKUP(F2279,$AE$2:$AF$290,2, 0),"")</f>
        <v>الوجه</v>
      </c>
      <c r="H2279" s="212" t="s">
        <v>117</v>
      </c>
      <c r="I2279" s="246" t="n">
        <f aca="false">SUM(K2279:R2279)</f>
        <v>3</v>
      </c>
      <c r="J2279" s="182" t="n">
        <v>46008</v>
      </c>
      <c r="N2279" s="151" t="n">
        <v>3</v>
      </c>
      <c r="S2279" s="192" t="n">
        <f aca="false">(K2279+O2279+Q2279)*24 /1130+(L2279+M2279+P2279+R2279)*12/1130+(N2279*30)/1130</f>
        <v>0.079646017699115</v>
      </c>
    </row>
    <row r="2280" customFormat="false" ht="15" hidden="true" customHeight="true" outlineLevel="0" collapsed="false">
      <c r="B2280" s="233" t="n">
        <f aca="false">B2279+D2280-C2280</f>
        <v>2920</v>
      </c>
      <c r="C2280" s="127" t="n">
        <f aca="false">345+375</f>
        <v>720</v>
      </c>
      <c r="E2280" s="147" t="s">
        <v>675</v>
      </c>
      <c r="F2280" s="147" t="str">
        <f aca="false">IFERROR(VLOOKUP(H2280,$AD$1:$AE$301,2,0),"")</f>
        <v/>
      </c>
      <c r="G2280" s="147" t="str">
        <f aca="false">IFERROR(VLOOKUP(F2280,$AE$2:$AF$290,2, 0),"")</f>
        <v/>
      </c>
      <c r="H2280" s="212" t="s">
        <v>393</v>
      </c>
      <c r="I2280" s="246" t="n">
        <f aca="false">SUM(K2280:R2280)</f>
        <v>0</v>
      </c>
      <c r="J2280" s="182" t="n">
        <v>46008</v>
      </c>
      <c r="S2280" s="192" t="n">
        <f aca="false">(K2280+O2280+Q2280)*24 /1130+(L2280+M2280+P2280+R2280)*12/1130+(N2280*30)/1130</f>
        <v>0</v>
      </c>
    </row>
    <row r="2281" customFormat="false" ht="15" hidden="true" customHeight="true" outlineLevel="0" collapsed="false">
      <c r="B2281" s="233" t="n">
        <f aca="false">B2280+D2281-C2281</f>
        <v>2356.5</v>
      </c>
      <c r="C2281" s="127" t="n">
        <f aca="false">563.5</f>
        <v>563.5</v>
      </c>
      <c r="E2281" s="147" t="s">
        <v>667</v>
      </c>
      <c r="F2281" s="147" t="str">
        <f aca="false">IFERROR(VLOOKUP(H2281,$AD$1:$AE$301,2,0),"")</f>
        <v/>
      </c>
      <c r="G2281" s="147" t="str">
        <f aca="false">IFERROR(VLOOKUP(F2281,$AE$2:$AF$290,2, 0),"")</f>
        <v/>
      </c>
      <c r="H2281" s="212" t="s">
        <v>393</v>
      </c>
      <c r="I2281" s="246" t="n">
        <f aca="false">SUM(K2281:R2281)</f>
        <v>0</v>
      </c>
      <c r="J2281" s="182" t="n">
        <v>46008</v>
      </c>
      <c r="S2281" s="192" t="n">
        <f aca="false">(K2281+O2281+Q2281)*24 /1130+(L2281+M2281+P2281+R2281)*12/1130+(N2281*30)/1130</f>
        <v>0</v>
      </c>
    </row>
    <row r="2282" customFormat="false" ht="15" hidden="true" customHeight="true" outlineLevel="0" collapsed="false">
      <c r="B2282" s="233" t="n">
        <f aca="false">B2281+D2282-C2282</f>
        <v>0.5</v>
      </c>
      <c r="C2282" s="127" t="n">
        <f aca="false">2356</f>
        <v>2356</v>
      </c>
      <c r="E2282" s="147" t="s">
        <v>668</v>
      </c>
      <c r="F2282" s="147" t="str">
        <f aca="false">IFERROR(VLOOKUP(H2282,$AD$1:$AE$301,2,0),"")</f>
        <v/>
      </c>
      <c r="G2282" s="147" t="str">
        <f aca="false">IFERROR(VLOOKUP(F2282,$AE$2:$AF$290,2, 0),"")</f>
        <v/>
      </c>
      <c r="H2282" s="212" t="s">
        <v>393</v>
      </c>
      <c r="I2282" s="246" t="n">
        <f aca="false">SUM(K2282:R2282)</f>
        <v>0</v>
      </c>
      <c r="J2282" s="182" t="n">
        <v>46009</v>
      </c>
      <c r="S2282" s="192" t="n">
        <f aca="false">(K2282+O2282+Q2282)*24 /1130+(L2282+M2282+P2282+R2282)*12/1130+(N2282*30)/1130</f>
        <v>0</v>
      </c>
    </row>
    <row r="2283" customFormat="false" ht="15" hidden="true" customHeight="true" outlineLevel="0" collapsed="false">
      <c r="A2283" s="128" t="n">
        <f aca="false">D2283-1025+845.25-10630</f>
        <v>0.25</v>
      </c>
      <c r="B2283" s="233" t="n">
        <f aca="false">B2282+D2283-C2283</f>
        <v>10810.5</v>
      </c>
      <c r="D2283" s="146" t="n">
        <f aca="false">345*10+253*20+230*10</f>
        <v>10810</v>
      </c>
      <c r="E2283" s="147" t="n">
        <v>53001789</v>
      </c>
      <c r="F2283" s="147" t="n">
        <f aca="false">IFERROR(VLOOKUP(H2283,$AD$1:$AE$301,2,0),"")</f>
        <v>1063</v>
      </c>
      <c r="G2283" s="147" t="str">
        <f aca="false">IFERROR(VLOOKUP(F2283,$AE$2:$AF$290,2, 0),"")</f>
        <v>تبوك</v>
      </c>
      <c r="H2283" s="212" t="s">
        <v>158</v>
      </c>
      <c r="I2283" s="246" t="n">
        <f aca="false">SUM(K2283:R2283)</f>
        <v>40</v>
      </c>
      <c r="J2283" s="182" t="n">
        <v>46009</v>
      </c>
      <c r="M2283" s="150" t="n">
        <f aca="false">20+10+10</f>
        <v>40</v>
      </c>
      <c r="S2283" s="192" t="n">
        <f aca="false">(K2283+O2283+Q2283)*24 /1130+(L2283+M2283+P2283+R2283)*12/1130+(N2283*30)/1130</f>
        <v>0.424778761061947</v>
      </c>
    </row>
    <row r="2284" customFormat="false" ht="15" hidden="true" customHeight="true" outlineLevel="0" collapsed="false">
      <c r="B2284" s="233" t="n">
        <f aca="false">B2283+D2284-C2284</f>
        <v>11655.75</v>
      </c>
      <c r="D2284" s="146" t="n">
        <f aca="false">281.75*3</f>
        <v>845.25</v>
      </c>
      <c r="E2284" s="147" t="n">
        <v>53001790</v>
      </c>
      <c r="F2284" s="147" t="n">
        <f aca="false">IFERROR(VLOOKUP(H2284,$AD$1:$AE$301,2,0),"")</f>
        <v>1063</v>
      </c>
      <c r="G2284" s="147" t="str">
        <f aca="false">IFERROR(VLOOKUP(F2284,$AE$2:$AF$290,2, 0),"")</f>
        <v>تبوك</v>
      </c>
      <c r="H2284" s="212" t="s">
        <v>158</v>
      </c>
      <c r="I2284" s="246" t="n">
        <f aca="false">SUM(K2284:R2284)</f>
        <v>3</v>
      </c>
      <c r="J2284" s="182" t="n">
        <v>46009</v>
      </c>
      <c r="K2284" s="148" t="n">
        <v>3</v>
      </c>
      <c r="S2284" s="192" t="n">
        <f aca="false">(K2284+O2284+Q2284)*24 /1130+(L2284+M2284+P2284+R2284)*12/1130+(N2284*30)/1130</f>
        <v>0.063716814159292</v>
      </c>
    </row>
    <row r="2285" customFormat="false" ht="15" hidden="true" customHeight="true" outlineLevel="0" collapsed="false">
      <c r="A2285" s="128" t="n">
        <f aca="false">D2285-563.5-281.75</f>
        <v>0</v>
      </c>
      <c r="B2285" s="233" t="n">
        <f aca="false">B2284+D2285-C2285</f>
        <v>12501</v>
      </c>
      <c r="D2285" s="146" t="n">
        <f aca="false">281.75*3</f>
        <v>845.25</v>
      </c>
      <c r="E2285" s="147" t="n">
        <v>53001791</v>
      </c>
      <c r="F2285" s="147" t="n">
        <f aca="false">IFERROR(VLOOKUP(H2285,$AD$1:$AE$301,2,0),"")</f>
        <v>755</v>
      </c>
      <c r="G2285" s="147" t="str">
        <f aca="false">IFERROR(VLOOKUP(F2285,$AE$2:$AF$290,2, 0),"")</f>
        <v>تبوك</v>
      </c>
      <c r="H2285" s="212" t="s">
        <v>180</v>
      </c>
      <c r="I2285" s="246" t="n">
        <f aca="false">SUM(K2285:R2285)</f>
        <v>3</v>
      </c>
      <c r="J2285" s="182" t="n">
        <v>46009</v>
      </c>
      <c r="K2285" s="148" t="n">
        <v>3</v>
      </c>
      <c r="S2285" s="192" t="n">
        <f aca="false">(K2285+O2285+Q2285)*24 /1130+(L2285+M2285+P2285+R2285)*12/1130+(N2285*30)/1130</f>
        <v>0.063716814159292</v>
      </c>
    </row>
    <row r="2286" customFormat="false" ht="15" hidden="true" customHeight="true" outlineLevel="0" collapsed="false">
      <c r="B2286" s="233" t="n">
        <f aca="false">B2285+D2286-C2286</f>
        <v>11836</v>
      </c>
      <c r="C2286" s="127" t="n">
        <f aca="false">250+35+150+5+25+200</f>
        <v>665</v>
      </c>
      <c r="E2286" s="147" t="s">
        <v>675</v>
      </c>
      <c r="F2286" s="147" t="str">
        <f aca="false">IFERROR(VLOOKUP(#REF!,$AD$1:$AE$301,2,0),"")</f>
        <v/>
      </c>
      <c r="G2286" s="147" t="str">
        <f aca="false">IFERROR(VLOOKUP(F2286,$AE$2:$AF$290,2, 0),"")</f>
        <v/>
      </c>
      <c r="H2286" s="212" t="s">
        <v>393</v>
      </c>
      <c r="I2286" s="246" t="n">
        <f aca="false">SUM(K2286:R2286)</f>
        <v>0</v>
      </c>
      <c r="J2286" s="182" t="n">
        <v>46009</v>
      </c>
      <c r="S2286" s="192" t="n">
        <f aca="false">(K2286+O2286+Q2286)*24 /1130+(L2286+M2286+P2286+R2286)*12/1130+(N2286*30)/1130</f>
        <v>0</v>
      </c>
    </row>
    <row r="2287" customFormat="false" ht="15" hidden="true" customHeight="true" outlineLevel="0" collapsed="false">
      <c r="B2287" s="233" t="n">
        <f aca="false">B2286+D2287-C2287</f>
        <v>10631</v>
      </c>
      <c r="C2287" s="127" t="n">
        <v>1205</v>
      </c>
      <c r="E2287" s="147" t="s">
        <v>668</v>
      </c>
      <c r="F2287" s="147" t="str">
        <f aca="false">IFERROR(VLOOKUP(H2287,$AD$1:$AE$301,2,0),"")</f>
        <v/>
      </c>
      <c r="G2287" s="147" t="str">
        <f aca="false">IFERROR(VLOOKUP(F2287,$AE$2:$AF$290,2, 0),"")</f>
        <v/>
      </c>
      <c r="H2287" s="212" t="s">
        <v>393</v>
      </c>
      <c r="I2287" s="246" t="n">
        <f aca="false">SUM(K2287:R2287)</f>
        <v>0</v>
      </c>
      <c r="J2287" s="182" t="n">
        <v>46009</v>
      </c>
      <c r="S2287" s="192" t="n">
        <f aca="false">(K2287+O2287+Q2287)*24 /1130+(L2287+M2287+P2287+R2287)*12/1130+(N2287*30)/1130</f>
        <v>0</v>
      </c>
    </row>
    <row r="2288" customFormat="false" ht="15" hidden="true" customHeight="true" outlineLevel="0" collapsed="false">
      <c r="B2288" s="233" t="n">
        <f aca="false">B2287+D2288-C2288</f>
        <v>1</v>
      </c>
      <c r="C2288" s="127" t="n">
        <v>10630</v>
      </c>
      <c r="E2288" s="147" t="s">
        <v>667</v>
      </c>
      <c r="F2288" s="147" t="str">
        <f aca="false">IFERROR(VLOOKUP(H2288,$AD$1:$AE$301,2,0),"")</f>
        <v/>
      </c>
      <c r="G2288" s="147" t="str">
        <f aca="false">IFERROR(VLOOKUP(F2288,$AE$2:$AF$290,2, 0),"")</f>
        <v/>
      </c>
      <c r="H2288" s="212" t="s">
        <v>393</v>
      </c>
      <c r="I2288" s="246" t="n">
        <f aca="false">SUM(K2288:R2288)</f>
        <v>0</v>
      </c>
      <c r="J2288" s="182" t="n">
        <v>46012</v>
      </c>
      <c r="S2288" s="192" t="n">
        <f aca="false">(K2288+O2288+Q2288)*24 /1130+(L2288+M2288+P2288+R2288)*12/1130+(N2288*30)/1130</f>
        <v>0</v>
      </c>
    </row>
    <row r="2289" customFormat="false" ht="15" hidden="true" customHeight="true" outlineLevel="0" collapsed="false">
      <c r="A2289" s="128" t="n">
        <f aca="false">D2289-845</f>
        <v>0.25</v>
      </c>
      <c r="B2289" s="233" t="n">
        <f aca="false">B2288+D2289-C2289</f>
        <v>846.25</v>
      </c>
      <c r="D2289" s="146" t="n">
        <f aca="false">281.75*3</f>
        <v>845.25</v>
      </c>
      <c r="E2289" s="147" t="n">
        <v>53001792</v>
      </c>
      <c r="F2289" s="147" t="n">
        <f aca="false">IFERROR(VLOOKUP(H2289,$AD$1:$AE$301,2,0),"")</f>
        <v>1007965</v>
      </c>
      <c r="G2289" s="147" t="str">
        <f aca="false">IFERROR(VLOOKUP(F2289,$AE$2:$AF$290,2, 0),"")</f>
        <v>البير</v>
      </c>
      <c r="H2289" s="212" t="s">
        <v>290</v>
      </c>
      <c r="I2289" s="246" t="n">
        <f aca="false">SUM(K2289:R2289)</f>
        <v>3</v>
      </c>
      <c r="J2289" s="182" t="n">
        <v>46012</v>
      </c>
      <c r="K2289" s="148" t="n">
        <f aca="false">1+2</f>
        <v>3</v>
      </c>
      <c r="S2289" s="192" t="n">
        <f aca="false">(K2289+O2289+Q2289)*24 /1130+(L2289+M2289+P2289+R2289)*12/1130+(N2289*30)/1130</f>
        <v>0.063716814159292</v>
      </c>
    </row>
    <row r="2290" customFormat="false" ht="15" hidden="true" customHeight="true" outlineLevel="0" collapsed="false">
      <c r="A2290" s="128" t="n">
        <f aca="false">D2290+274+274+D2291-1226.5-281.75-563.5</f>
        <v>0</v>
      </c>
      <c r="B2290" s="233" t="n">
        <f aca="false">B2289+D2290-C2290</f>
        <v>2128.5</v>
      </c>
      <c r="D2290" s="146" t="n">
        <f aca="false">281.75*3+241.5*1+195.5</f>
        <v>1282.25</v>
      </c>
      <c r="E2290" s="147" t="n">
        <v>53001793</v>
      </c>
      <c r="F2290" s="147" t="n">
        <f aca="false">IFERROR(VLOOKUP(H2290,$AD$1:$AE$301,2,0),"")</f>
        <v>1007996</v>
      </c>
      <c r="G2290" s="147" t="str">
        <f aca="false">IFERROR(VLOOKUP(F2290,$AE$2:$AF$290,2, 0),"")</f>
        <v>البير</v>
      </c>
      <c r="H2290" s="212" t="s">
        <v>295</v>
      </c>
      <c r="I2290" s="246" t="n">
        <f aca="false">SUM(K2290:R2290)</f>
        <v>5</v>
      </c>
      <c r="J2290" s="182" t="n">
        <v>46012</v>
      </c>
      <c r="K2290" s="148" t="n">
        <v>3</v>
      </c>
      <c r="O2290" s="152" t="n">
        <f aca="false">1</f>
        <v>1</v>
      </c>
      <c r="Q2290" s="154" t="n">
        <v>1</v>
      </c>
      <c r="S2290" s="192" t="n">
        <f aca="false">(K2290+O2290+Q2290)*24 /1130+(L2290+M2290+P2290+R2290)*12/1130+(N2290*30)/1130</f>
        <v>0.106194690265487</v>
      </c>
    </row>
    <row r="2291" customFormat="false" ht="15" hidden="true" customHeight="true" outlineLevel="0" collapsed="false">
      <c r="B2291" s="233" t="n">
        <f aca="false">B2290+D2291-C2291</f>
        <v>2370</v>
      </c>
      <c r="D2291" s="146" t="n">
        <f aca="false">241.5</f>
        <v>241.5</v>
      </c>
      <c r="E2291" s="147" t="n">
        <v>53001794</v>
      </c>
      <c r="F2291" s="147" t="n">
        <f aca="false">IFERROR(VLOOKUP(H2291,$AD$1:$AE$301,2,0),"")</f>
        <v>1007996</v>
      </c>
      <c r="G2291" s="147" t="str">
        <f aca="false">IFERROR(VLOOKUP(F2291,$AE$2:$AF$290,2, 0),"")</f>
        <v>البير</v>
      </c>
      <c r="H2291" s="212" t="s">
        <v>295</v>
      </c>
      <c r="I2291" s="246" t="n">
        <f aca="false">SUM(K2291:R2291)</f>
        <v>1</v>
      </c>
      <c r="J2291" s="182" t="n">
        <v>46012</v>
      </c>
      <c r="O2291" s="152" t="n">
        <v>1</v>
      </c>
      <c r="S2291" s="192" t="n">
        <f aca="false">(K2291+O2291+Q2291)*24 /1130+(L2291+M2291+P2291+R2291)*12/1130+(N2291*30)/1130</f>
        <v>0.0212389380530973</v>
      </c>
    </row>
    <row r="2292" customFormat="false" ht="15" hidden="true" customHeight="true" outlineLevel="0" collapsed="false">
      <c r="A2292" s="128" t="n">
        <f aca="false">D2292+281.75-1679</f>
        <v>0</v>
      </c>
      <c r="B2292" s="233" t="n">
        <f aca="false">B2291+D2292-C2292</f>
        <v>3767.25</v>
      </c>
      <c r="D2292" s="146" t="n">
        <f aca="false">230*2+253*2+138*2+155.25</f>
        <v>1397.25</v>
      </c>
      <c r="E2292" s="147" t="n">
        <v>53001795</v>
      </c>
      <c r="F2292" s="147" t="n">
        <f aca="false">IFERROR(VLOOKUP(H2292,$AD$1:$AE$301,2,0),"")</f>
        <v>1003</v>
      </c>
      <c r="G2292" s="147" t="str">
        <f aca="false">IFERROR(VLOOKUP(F2292,$AE$2:$AF$290,2, 0),"")</f>
        <v>تبوك</v>
      </c>
      <c r="H2292" s="212" t="s">
        <v>277</v>
      </c>
      <c r="I2292" s="246" t="n">
        <f aca="false">SUM(K2292:R2292)</f>
        <v>7</v>
      </c>
      <c r="J2292" s="182" t="n">
        <v>46012</v>
      </c>
      <c r="M2292" s="150" t="n">
        <f aca="false">2+2</f>
        <v>4</v>
      </c>
      <c r="Q2292" s="154" t="n">
        <f aca="false">2</f>
        <v>2</v>
      </c>
      <c r="R2292" s="155" t="n">
        <v>1</v>
      </c>
      <c r="S2292" s="192" t="n">
        <f aca="false">(K2292+O2292+Q2292)*24 /1130+(L2292+M2292+P2292+R2292)*12/1130+(N2292*30)/1130</f>
        <v>0.0955752212389381</v>
      </c>
    </row>
    <row r="2293" customFormat="false" ht="15" hidden="true" customHeight="true" outlineLevel="0" collapsed="false">
      <c r="B2293" s="233" t="n">
        <f aca="false">B2292+D2293-C2293</f>
        <v>580</v>
      </c>
      <c r="C2293" s="127" t="n">
        <f aca="false">281.75+1000+226.5+1679</f>
        <v>3187.25</v>
      </c>
      <c r="E2293" s="147" t="s">
        <v>675</v>
      </c>
      <c r="F2293" s="147" t="str">
        <f aca="false">IFERROR(VLOOKUP(H2293,$AD$1:$AE$301,2,0),"")</f>
        <v/>
      </c>
      <c r="G2293" s="147" t="str">
        <f aca="false">IFERROR(VLOOKUP(F2293,$AE$2:$AF$290,2, 0),"")</f>
        <v/>
      </c>
      <c r="H2293" s="212" t="s">
        <v>393</v>
      </c>
      <c r="I2293" s="246" t="n">
        <f aca="false">SUM(K2293:R2293)</f>
        <v>0</v>
      </c>
      <c r="J2293" s="182" t="n">
        <v>46012</v>
      </c>
      <c r="S2293" s="192" t="n">
        <f aca="false">(K2293+O2293+Q2293)*24 /1130+(L2293+M2293+P2293+R2293)*12/1130+(N2293*30)/1130</f>
        <v>0</v>
      </c>
    </row>
    <row r="2294" customFormat="false" ht="15" hidden="true" customHeight="true" outlineLevel="0" collapsed="false">
      <c r="B2294" s="233" t="n">
        <f aca="false">B2293+D2294-C2294</f>
        <v>0</v>
      </c>
      <c r="C2294" s="127" t="n">
        <v>580</v>
      </c>
      <c r="E2294" s="147" t="s">
        <v>668</v>
      </c>
      <c r="F2294" s="147" t="str">
        <f aca="false">IFERROR(VLOOKUP(H2294,$AD$1:$AE$301,2,0),"")</f>
        <v/>
      </c>
      <c r="G2294" s="147" t="str">
        <f aca="false">IFERROR(VLOOKUP(F2294,$AE$2:$AF$290,2, 0),"")</f>
        <v/>
      </c>
      <c r="H2294" s="212" t="s">
        <v>393</v>
      </c>
      <c r="I2294" s="246" t="n">
        <f aca="false">SUM(K2294:R2294)</f>
        <v>0</v>
      </c>
      <c r="J2294" s="182" t="n">
        <v>46012</v>
      </c>
      <c r="S2294" s="192" t="n">
        <f aca="false">(K2294+O2294+Q2294)*24 /1130+(L2294+M2294+P2294+R2294)*12/1130+(N2294*30)/1130</f>
        <v>0</v>
      </c>
    </row>
    <row r="2295" customFormat="false" ht="15" hidden="true" customHeight="true" outlineLevel="0" collapsed="false">
      <c r="A2295" s="128" t="n">
        <f aca="false">D2295+281.75-601.75-5*5</f>
        <v>0</v>
      </c>
      <c r="B2295" s="233" t="n">
        <f aca="false">B2294+D2295-C2295</f>
        <v>345</v>
      </c>
      <c r="D2295" s="146" t="n">
        <f aca="false">345</f>
        <v>345</v>
      </c>
      <c r="E2295" s="147" t="n">
        <v>53001796</v>
      </c>
      <c r="F2295" s="147" t="n">
        <f aca="false">IFERROR(VLOOKUP(H2295,$AD$1:$AE$301,2,0),"")</f>
        <v>979</v>
      </c>
      <c r="G2295" s="147" t="str">
        <f aca="false">IFERROR(VLOOKUP(F2295,$AE$2:$AF$290,2, 0),"")</f>
        <v>تبوك</v>
      </c>
      <c r="H2295" s="212" t="s">
        <v>136</v>
      </c>
      <c r="I2295" s="246" t="n">
        <f aca="false">SUM(K2295:R2295)</f>
        <v>1</v>
      </c>
      <c r="J2295" s="182" t="n">
        <v>46013</v>
      </c>
      <c r="M2295" s="150" t="n">
        <v>1</v>
      </c>
      <c r="S2295" s="192" t="n">
        <f aca="false">(K2295+O2295+Q2295)*24 /1130+(L2295+M2295+P2295+R2295)*12/1130+(N2295*30)/1130</f>
        <v>0.0106194690265487</v>
      </c>
    </row>
    <row r="2296" customFormat="false" ht="15" hidden="true" customHeight="true" outlineLevel="0" collapsed="false">
      <c r="A2296" s="128" t="n">
        <f aca="false">D2296-5*6-500-250-240</f>
        <v>3.5</v>
      </c>
      <c r="B2296" s="233" t="n">
        <f aca="false">B2295+D2296-C2296</f>
        <v>1368.5</v>
      </c>
      <c r="D2296" s="146" t="n">
        <f aca="false">281.75*3+178.25</f>
        <v>1023.5</v>
      </c>
      <c r="E2296" s="147" t="n">
        <v>53001797</v>
      </c>
      <c r="F2296" s="147" t="n">
        <f aca="false">IFERROR(VLOOKUP(H2296,$AD$1:$AE$301,2,0),"")</f>
        <v>1008260</v>
      </c>
      <c r="G2296" s="147" t="str">
        <f aca="false">IFERROR(VLOOKUP(F2296,$AE$2:$AF$290,2, 0),"")</f>
        <v>تبوك</v>
      </c>
      <c r="H2296" s="212" t="s">
        <v>184</v>
      </c>
      <c r="I2296" s="246" t="n">
        <f aca="false">SUM(K2296:R2296)</f>
        <v>4</v>
      </c>
      <c r="J2296" s="182" t="n">
        <v>46013</v>
      </c>
      <c r="K2296" s="148" t="n">
        <f aca="false">1+2</f>
        <v>3</v>
      </c>
      <c r="L2296" s="149" t="n">
        <v>1</v>
      </c>
      <c r="S2296" s="192" t="n">
        <f aca="false">(K2296+O2296+Q2296)*24 /1130+(L2296+M2296+P2296+R2296)*12/1130+(N2296*30)/1130</f>
        <v>0.0743362831858407</v>
      </c>
    </row>
    <row r="2297" customFormat="false" ht="15" hidden="true" customHeight="true" outlineLevel="0" collapsed="false">
      <c r="A2297" s="128" t="n">
        <f aca="false">D2297+281.75-200+3.75-240</f>
        <v>0.75</v>
      </c>
      <c r="B2297" s="233" t="n">
        <f aca="false">B2296+D2297-C2297</f>
        <v>1523.75</v>
      </c>
      <c r="D2297" s="146" t="n">
        <f aca="false">155.25</f>
        <v>155.25</v>
      </c>
      <c r="E2297" s="147" t="n">
        <v>53001798</v>
      </c>
      <c r="F2297" s="147" t="n">
        <f aca="false">IFERROR(VLOOKUP(H2297,$AD$1:$AE$301,2,0),"")</f>
        <v>826</v>
      </c>
      <c r="G2297" s="147" t="str">
        <f aca="false">IFERROR(VLOOKUP(F2297,$AE$2:$AF$290,2, 0),"")</f>
        <v>تبوك</v>
      </c>
      <c r="H2297" s="212" t="s">
        <v>196</v>
      </c>
      <c r="I2297" s="246" t="n">
        <f aca="false">SUM(K2297:R2297)</f>
        <v>1</v>
      </c>
      <c r="J2297" s="182" t="n">
        <v>46013</v>
      </c>
      <c r="R2297" s="155" t="n">
        <v>1</v>
      </c>
      <c r="S2297" s="192" t="n">
        <f aca="false">(K2297+O2297+Q2297)*24 /1130+(L2297+M2297+P2297+R2297)*12/1130+(N2297*30)/1130</f>
        <v>0.0106194690265487</v>
      </c>
    </row>
    <row r="2298" customFormat="false" ht="15" hidden="true" customHeight="true" outlineLevel="0" collapsed="false">
      <c r="A2298" s="128" t="n">
        <f aca="false">D2298-1420</f>
        <v>0.25</v>
      </c>
      <c r="B2298" s="233" t="n">
        <f aca="false">B2297+D2298-C2298</f>
        <v>2944</v>
      </c>
      <c r="D2298" s="146" t="n">
        <f aca="false">155.25+281.75*3+241.5+178.25</f>
        <v>1420.25</v>
      </c>
      <c r="E2298" s="147" t="n">
        <v>53001799</v>
      </c>
      <c r="F2298" s="147" t="n">
        <f aca="false">IFERROR(VLOOKUP(H2298,$AD$1:$AE$301,2,0),"")</f>
        <v>827</v>
      </c>
      <c r="G2298" s="147" t="str">
        <f aca="false">IFERROR(VLOOKUP(F2298,$AE$2:$AF$290,2, 0),"")</f>
        <v>تبوك</v>
      </c>
      <c r="H2298" s="212" t="s">
        <v>182</v>
      </c>
      <c r="I2298" s="246" t="n">
        <f aca="false">SUM(K2298:R2298)</f>
        <v>6</v>
      </c>
      <c r="J2298" s="182" t="n">
        <v>46013</v>
      </c>
      <c r="K2298" s="148" t="n">
        <f aca="false">2+1</f>
        <v>3</v>
      </c>
      <c r="L2298" s="149" t="n">
        <v>1</v>
      </c>
      <c r="O2298" s="152" t="n">
        <v>1</v>
      </c>
      <c r="R2298" s="155" t="n">
        <v>1</v>
      </c>
      <c r="S2298" s="192" t="n">
        <f aca="false">(K2298+O2298+Q2298)*24 /1130+(L2298+M2298+P2298+R2298)*12/1130+(N2298*30)/1130</f>
        <v>0.106194690265487</v>
      </c>
    </row>
    <row r="2299" customFormat="false" ht="15" hidden="true" customHeight="true" outlineLevel="0" collapsed="false">
      <c r="B2299" s="233" t="n">
        <f aca="false">B2298+D2299-C2299</f>
        <v>611.5</v>
      </c>
      <c r="C2299" s="127" t="n">
        <f aca="false">601.75+1730.75</f>
        <v>2332.5</v>
      </c>
      <c r="E2299" s="147" t="s">
        <v>675</v>
      </c>
      <c r="F2299" s="147" t="str">
        <f aca="false">IFERROR(VLOOKUP(H2299,$AD$1:$AE$301,2,0),"")</f>
        <v/>
      </c>
      <c r="G2299" s="147" t="str">
        <f aca="false">IFERROR(VLOOKUP(F2299,$AE$2:$AF$290,2, 0),"")</f>
        <v/>
      </c>
      <c r="H2299" s="212" t="s">
        <v>393</v>
      </c>
      <c r="I2299" s="246" t="n">
        <f aca="false">SUM(K2299:R2299)</f>
        <v>0</v>
      </c>
      <c r="J2299" s="182" t="n">
        <v>46013</v>
      </c>
      <c r="S2299" s="192" t="n">
        <f aca="false">(K2299+O2299+Q2299)*24 /1130+(L2299+M2299+P2299+R2299)*12/1130+(N2299*30)/1130</f>
        <v>0</v>
      </c>
    </row>
    <row r="2300" customFormat="false" ht="15" hidden="true" customHeight="true" outlineLevel="0" collapsed="false">
      <c r="B2300" s="233" t="n">
        <f aca="false">B2299+D2300-C2300</f>
        <v>0.5</v>
      </c>
      <c r="C2300" s="127" t="n">
        <v>611</v>
      </c>
      <c r="E2300" s="147" t="s">
        <v>668</v>
      </c>
      <c r="F2300" s="147" t="str">
        <f aca="false">IFERROR(VLOOKUP(H2300,$AD$1:$AE$301,2,0),"")</f>
        <v/>
      </c>
      <c r="G2300" s="147" t="str">
        <f aca="false">IFERROR(VLOOKUP(F2300,$AE$2:$AF$290,2, 0),"")</f>
        <v/>
      </c>
      <c r="H2300" s="212" t="s">
        <v>393</v>
      </c>
      <c r="I2300" s="246" t="n">
        <f aca="false">SUM(K2300:R2300)</f>
        <v>0</v>
      </c>
      <c r="J2300" s="182" t="n">
        <v>46013</v>
      </c>
      <c r="S2300" s="192" t="n">
        <f aca="false">(K2300+O2300+Q2300)*24 /1130+(L2300+M2300+P2300+R2300)*12/1130+(N2300*30)/1130</f>
        <v>0</v>
      </c>
    </row>
    <row r="2301" customFormat="false" ht="15" hidden="true" customHeight="true" outlineLevel="0" collapsed="false">
      <c r="A2301" s="128" t="n">
        <f aca="false">D2301-1000-817</f>
        <v>0</v>
      </c>
      <c r="B2301" s="233" t="n">
        <f aca="false">B2300+D2301-C2301</f>
        <v>1817.5</v>
      </c>
      <c r="D2301" s="146" t="n">
        <f aca="false">345*3+253*2+138*2</f>
        <v>1817</v>
      </c>
      <c r="E2301" s="147" t="n">
        <v>53001800</v>
      </c>
      <c r="F2301" s="147" t="n">
        <f aca="false">IFERROR(VLOOKUP(H2301,$AD$1:$AE$301,2,0),"")</f>
        <v>1048</v>
      </c>
      <c r="G2301" s="147" t="str">
        <f aca="false">IFERROR(VLOOKUP(F2301,$AE$2:$AF$290,2, 0),"")</f>
        <v>تبوك</v>
      </c>
      <c r="H2301" s="212" t="s">
        <v>279</v>
      </c>
      <c r="I2301" s="246" t="n">
        <f aca="false">SUM(K2301:R2301)</f>
        <v>7</v>
      </c>
      <c r="J2301" s="182" t="n">
        <v>46014</v>
      </c>
      <c r="M2301" s="150" t="n">
        <f aca="false">3+2</f>
        <v>5</v>
      </c>
      <c r="Q2301" s="154" t="n">
        <v>2</v>
      </c>
      <c r="S2301" s="192" t="n">
        <f aca="false">(K2301+O2301+Q2301)*24 /1130+(L2301+M2301+P2301+R2301)*12/1130+(N2301*30)/1130</f>
        <v>0.0955752212389381</v>
      </c>
    </row>
    <row r="2302" customFormat="false" ht="15" hidden="true" customHeight="true" outlineLevel="0" collapsed="false">
      <c r="B2302" s="233" t="n">
        <f aca="false">B2301+D2302-C2302</f>
        <v>1972.75</v>
      </c>
      <c r="D2302" s="146" t="n">
        <v>155.25</v>
      </c>
      <c r="E2302" s="147" t="n">
        <v>53001801</v>
      </c>
      <c r="F2302" s="147" t="n">
        <f aca="false">IFERROR(VLOOKUP(H2302,$AD$1:$AE$301,2,0),"")</f>
        <v>652</v>
      </c>
      <c r="G2302" s="147" t="str">
        <f aca="false">IFERROR(VLOOKUP(F2302,$AE$2:$AF$290,2, 0),"")</f>
        <v>تبوك</v>
      </c>
      <c r="H2302" s="212" t="s">
        <v>263</v>
      </c>
      <c r="I2302" s="246" t="n">
        <f aca="false">SUM(K2302:R2302)</f>
        <v>1</v>
      </c>
      <c r="J2302" s="182" t="n">
        <v>46014</v>
      </c>
      <c r="R2302" s="155" t="n">
        <v>1</v>
      </c>
      <c r="S2302" s="192" t="n">
        <f aca="false">(K2302+O2302+Q2302)*24 /1130+(L2302+M2302+P2302+R2302)*12/1130+(N2302*30)/1130</f>
        <v>0.0106194690265487</v>
      </c>
    </row>
    <row r="2303" customFormat="false" ht="15" hidden="true" customHeight="true" outlineLevel="0" collapsed="false">
      <c r="A2303" s="128" t="n">
        <f aca="false">D2303+2.25-300-390</f>
        <v>2.25</v>
      </c>
      <c r="B2303" s="233" t="n">
        <f aca="false">B2302+D2303-C2303</f>
        <v>2662.75</v>
      </c>
      <c r="D2303" s="146" t="n">
        <f aca="false">138*5</f>
        <v>690</v>
      </c>
      <c r="E2303" s="147" t="n">
        <v>53001802</v>
      </c>
      <c r="F2303" s="147" t="n">
        <f aca="false">IFERROR(VLOOKUP(H2303,$AD$1:$AE$301,2,0),"")</f>
        <v>1006470</v>
      </c>
      <c r="G2303" s="147" t="str">
        <f aca="false">IFERROR(VLOOKUP(F2303,$AE$2:$AF$290,2, 0),"")</f>
        <v>تبوك</v>
      </c>
      <c r="H2303" s="212" t="s">
        <v>276</v>
      </c>
      <c r="I2303" s="246" t="n">
        <f aca="false">SUM(K2303:R2303)</f>
        <v>5</v>
      </c>
      <c r="J2303" s="182" t="n">
        <v>46014</v>
      </c>
      <c r="Q2303" s="154" t="n">
        <v>5</v>
      </c>
      <c r="S2303" s="192" t="n">
        <f aca="false">(K2303+O2303+Q2303)*24 /1130+(L2303+M2303+P2303+R2303)*12/1130+(N2303*30)/1130</f>
        <v>0.106194690265487</v>
      </c>
    </row>
    <row r="2304" customFormat="false" ht="15" hidden="true" customHeight="true" outlineLevel="0" collapsed="false">
      <c r="A2304" s="128" t="n">
        <f aca="false">D2304-379.5</f>
        <v>0</v>
      </c>
      <c r="B2304" s="233" t="n">
        <f aca="false">B2303+D2304-C2304</f>
        <v>3042.25</v>
      </c>
      <c r="D2304" s="146" t="n">
        <f aca="false">138+241.5</f>
        <v>379.5</v>
      </c>
      <c r="E2304" s="147" t="n">
        <v>53001803</v>
      </c>
      <c r="F2304" s="147" t="n">
        <f aca="false">IFERROR(VLOOKUP(H2304,$AD$1:$AE$301,2,0),"")</f>
        <v>1071</v>
      </c>
      <c r="G2304" s="147" t="str">
        <f aca="false">IFERROR(VLOOKUP(F2304,$AE$2:$AF$290,2, 0),"")</f>
        <v>تبوك</v>
      </c>
      <c r="H2304" s="212" t="s">
        <v>135</v>
      </c>
      <c r="I2304" s="246" t="n">
        <f aca="false">SUM(K2304:R2304)</f>
        <v>2</v>
      </c>
      <c r="J2304" s="182" t="n">
        <v>46014</v>
      </c>
      <c r="Q2304" s="154" t="n">
        <f aca="false">1+1</f>
        <v>2</v>
      </c>
      <c r="S2304" s="192" t="n">
        <f aca="false">(K2304+O2304+Q2304)*24 /1130+(L2304+M2304+P2304+R2304)*12/1130+(N2304*30)/1130</f>
        <v>0.0424778761061947</v>
      </c>
    </row>
    <row r="2305" customFormat="false" ht="15" hidden="true" customHeight="true" outlineLevel="0" collapsed="false">
      <c r="B2305" s="233" t="n">
        <f aca="false">B2304+D2305-C2305</f>
        <v>2561.75</v>
      </c>
      <c r="C2305" s="127" t="n">
        <f aca="false">379.5+101</f>
        <v>480.5</v>
      </c>
      <c r="E2305" s="147" t="s">
        <v>675</v>
      </c>
      <c r="F2305" s="147" t="str">
        <f aca="false">IFERROR(VLOOKUP(H2305,$AD$1:$AE$301,2,0),"")</f>
        <v/>
      </c>
      <c r="G2305" s="147" t="str">
        <f aca="false">IFERROR(VLOOKUP(F2305,$AE$2:$AF$290,2, 0),"")</f>
        <v/>
      </c>
      <c r="H2305" s="212" t="s">
        <v>393</v>
      </c>
      <c r="I2305" s="246" t="n">
        <f aca="false">SUM(K2305:R2305)</f>
        <v>0</v>
      </c>
      <c r="J2305" s="182" t="n">
        <v>46014</v>
      </c>
      <c r="S2305" s="192" t="n">
        <f aca="false">(K2305+O2305+Q2305)*24 /1130+(L2305+M2305+P2305+R2305)*12/1130+(N2305*30)/1130</f>
        <v>0</v>
      </c>
    </row>
    <row r="2306" customFormat="false" ht="15" hidden="true" customHeight="true" outlineLevel="0" collapsed="false">
      <c r="B2306" s="233" t="n">
        <f aca="false">B2305+D2306-C2306</f>
        <v>1350.75</v>
      </c>
      <c r="C2306" s="127" t="n">
        <f aca="false">950+261</f>
        <v>1211</v>
      </c>
      <c r="E2306" s="147" t="s">
        <v>667</v>
      </c>
      <c r="F2306" s="147" t="str">
        <f aca="false">IFERROR(VLOOKUP(H2306,$AD$1:$AE$301,2,0),"")</f>
        <v/>
      </c>
      <c r="G2306" s="147" t="str">
        <f aca="false">IFERROR(VLOOKUP(F2306,$AE$2:$AF$290,2, 0),"")</f>
        <v/>
      </c>
      <c r="H2306" s="212" t="s">
        <v>393</v>
      </c>
      <c r="I2306" s="246" t="n">
        <f aca="false">SUM(K2306:R2306)</f>
        <v>0</v>
      </c>
      <c r="J2306" s="182" t="n">
        <v>46014</v>
      </c>
      <c r="S2306" s="192" t="n">
        <f aca="false">(K2306+O2306+Q2306)*24 /1130+(L2306+M2306+P2306+R2306)*12/1130+(N2306*30)/1130</f>
        <v>0</v>
      </c>
    </row>
    <row r="2307" customFormat="false" ht="15" hidden="true" customHeight="true" outlineLevel="0" collapsed="false">
      <c r="B2307" s="233" t="n">
        <f aca="false">B2306+D2307-C2307</f>
        <v>0.75</v>
      </c>
      <c r="C2307" s="127" t="n">
        <f aca="false">1350</f>
        <v>1350</v>
      </c>
      <c r="E2307" s="147" t="s">
        <v>668</v>
      </c>
      <c r="F2307" s="147" t="str">
        <f aca="false">IFERROR(VLOOKUP(H2307,$AD$1:$AE$301,2,0),"")</f>
        <v/>
      </c>
      <c r="G2307" s="147" t="str">
        <f aca="false">IFERROR(VLOOKUP(F2307,$AE$2:$AF$290,2, 0),"")</f>
        <v/>
      </c>
      <c r="H2307" s="212" t="s">
        <v>393</v>
      </c>
      <c r="I2307" s="246" t="n">
        <f aca="false">SUM(K2307:R2307)</f>
        <v>0</v>
      </c>
      <c r="J2307" s="182" t="n">
        <v>46014</v>
      </c>
      <c r="S2307" s="192" t="n">
        <f aca="false">(K2307+O2307+Q2307)*24 /1130+(L2307+M2307+P2307+R2307)*12/1130+(N2307*30)/1130</f>
        <v>0</v>
      </c>
    </row>
    <row r="2308" customFormat="false" ht="15" hidden="true" customHeight="true" outlineLevel="0" collapsed="false">
      <c r="A2308" s="128" t="n">
        <f aca="false">D2308-400-980</f>
        <v>0</v>
      </c>
      <c r="B2308" s="233" t="n">
        <f aca="false">B2307+D2308-C2308</f>
        <v>1380.75</v>
      </c>
      <c r="D2308" s="146" t="n">
        <f aca="false">4*345</f>
        <v>1380</v>
      </c>
      <c r="E2308" s="147" t="n">
        <v>53001804</v>
      </c>
      <c r="F2308" s="147" t="n">
        <f aca="false">IFERROR(VLOOKUP(H2308,$AD$1:$AE$301,2,0),"")</f>
        <v>855</v>
      </c>
      <c r="G2308" s="147" t="str">
        <f aca="false">IFERROR(VLOOKUP(F2308,$AE$2:$AF$290,2, 0),"")</f>
        <v>تبوك</v>
      </c>
      <c r="H2308" s="212" t="s">
        <v>141</v>
      </c>
      <c r="I2308" s="246" t="n">
        <f aca="false">SUM(K2308:R2308)</f>
        <v>4</v>
      </c>
      <c r="J2308" s="182" t="n">
        <v>46015</v>
      </c>
      <c r="M2308" s="150" t="n">
        <v>4</v>
      </c>
      <c r="S2308" s="192" t="n">
        <f aca="false">(K2308+O2308+Q2308)*24 /1130+(L2308+M2308+P2308+R2308)*12/1130+(N2308*30)/1130</f>
        <v>0.0424778761061947</v>
      </c>
    </row>
    <row r="2309" customFormat="false" ht="15" hidden="true" customHeight="true" outlineLevel="0" collapsed="false">
      <c r="A2309" s="128" t="n">
        <f aca="false">D2309+281.75-300-7*5-165-10</f>
        <v>1.75</v>
      </c>
      <c r="B2309" s="233" t="n">
        <f aca="false">B2308+D2309-C2309</f>
        <v>1610.75</v>
      </c>
      <c r="D2309" s="146" t="n">
        <v>230</v>
      </c>
      <c r="E2309" s="147" t="n">
        <v>53001805</v>
      </c>
      <c r="F2309" s="147" t="n">
        <f aca="false">IFERROR(VLOOKUP(H2309,$AD$1:$AE$301,2,0),"")</f>
        <v>1008025</v>
      </c>
      <c r="G2309" s="147" t="str">
        <f aca="false">IFERROR(VLOOKUP(F2309,$AE$2:$AF$290,2, 0),"")</f>
        <v>ضباء</v>
      </c>
      <c r="H2309" s="212" t="s">
        <v>97</v>
      </c>
      <c r="I2309" s="246" t="n">
        <f aca="false">SUM(K2309:R2309)</f>
        <v>1</v>
      </c>
      <c r="J2309" s="182" t="n">
        <v>46015</v>
      </c>
      <c r="M2309" s="150" t="n">
        <v>1</v>
      </c>
      <c r="S2309" s="192" t="n">
        <f aca="false">(K2309+O2309+Q2309)*24 /1130+(L2309+M2309+P2309+R2309)*12/1130+(N2309*30)/1130</f>
        <v>0.0106194690265487</v>
      </c>
    </row>
    <row r="2310" customFormat="false" ht="15" hidden="true" customHeight="true" outlineLevel="0" collapsed="false">
      <c r="B2310" s="233" t="n">
        <f aca="false">B2309+D2310-C2310</f>
        <v>1748.75</v>
      </c>
      <c r="D2310" s="146" t="n">
        <v>138</v>
      </c>
      <c r="E2310" s="147" t="n">
        <v>53001806</v>
      </c>
      <c r="F2310" s="147" t="n">
        <f aca="false">IFERROR(VLOOKUP(H2310,$AD$1:$AE$301,2,0),"")</f>
        <v>1007988</v>
      </c>
      <c r="G2310" s="147" t="str">
        <f aca="false">IFERROR(VLOOKUP(F2310,$AE$2:$AF$290,2, 0),"")</f>
        <v>ضباء</v>
      </c>
      <c r="H2310" s="212" t="s">
        <v>89</v>
      </c>
      <c r="I2310" s="246" t="n">
        <f aca="false">SUM(K2310:R2310)</f>
        <v>1</v>
      </c>
      <c r="J2310" s="182" t="n">
        <v>46015</v>
      </c>
      <c r="Q2310" s="154" t="n">
        <v>1</v>
      </c>
      <c r="S2310" s="192" t="n">
        <f aca="false">(K2310+O2310+Q2310)*24 /1130+(L2310+M2310+P2310+R2310)*12/1130+(N2310*30)/1130</f>
        <v>0.0212389380530973</v>
      </c>
    </row>
    <row r="2311" customFormat="false" ht="15" hidden="true" customHeight="true" outlineLevel="0" collapsed="false">
      <c r="B2311" s="233" t="n">
        <f aca="false">B2310+D2311-C2311</f>
        <v>2594</v>
      </c>
      <c r="D2311" s="146" t="n">
        <f aca="false">281.75*3</f>
        <v>845.25</v>
      </c>
      <c r="E2311" s="147" t="n">
        <v>53001807</v>
      </c>
      <c r="F2311" s="147" t="n">
        <f aca="false">IFERROR(VLOOKUP(H2311,$AD$1:$AE$301,2,0),"")</f>
        <v>1008044</v>
      </c>
      <c r="G2311" s="147" t="str">
        <f aca="false">IFERROR(VLOOKUP(F2311,$AE$2:$AF$290,2, 0),"")</f>
        <v>الوجه</v>
      </c>
      <c r="H2311" s="212" t="s">
        <v>106</v>
      </c>
      <c r="I2311" s="246" t="n">
        <f aca="false">SUM(K2311:R2311)</f>
        <v>3</v>
      </c>
      <c r="J2311" s="182" t="n">
        <v>46015</v>
      </c>
      <c r="K2311" s="148" t="n">
        <v>3</v>
      </c>
      <c r="S2311" s="192" t="n">
        <f aca="false">(K2311+O2311+Q2311)*24 /1130+(L2311+M2311+P2311+R2311)*12/1130+(N2311*30)/1130</f>
        <v>0.063716814159292</v>
      </c>
    </row>
    <row r="2312" customFormat="false" ht="15" hidden="true" customHeight="true" outlineLevel="0" collapsed="false">
      <c r="A2312" s="128" t="n">
        <f aca="false">D2312-100-745</f>
        <v>0.25</v>
      </c>
      <c r="B2312" s="233" t="n">
        <f aca="false">B2311+D2312-C2312</f>
        <v>3439.25</v>
      </c>
      <c r="D2312" s="146" t="n">
        <f aca="false">281.75*3</f>
        <v>845.25</v>
      </c>
      <c r="E2312" s="147" t="n">
        <v>53001808</v>
      </c>
      <c r="F2312" s="147" t="n">
        <f aca="false">IFERROR(VLOOKUP(H2312,$AD$1:$AE$301,2,0),"")</f>
        <v>1008054</v>
      </c>
      <c r="G2312" s="147" t="str">
        <f aca="false">IFERROR(VLOOKUP(F2312,$AE$2:$AF$290,2, 0),"")</f>
        <v>الوجه</v>
      </c>
      <c r="H2312" s="212" t="s">
        <v>112</v>
      </c>
      <c r="I2312" s="246" t="n">
        <f aca="false">SUM(K2312:R2312)</f>
        <v>3</v>
      </c>
      <c r="J2312" s="182" t="n">
        <v>46015</v>
      </c>
      <c r="K2312" s="148" t="n">
        <v>3</v>
      </c>
      <c r="S2312" s="192" t="n">
        <f aca="false">(K2312+O2312+Q2312)*24 /1130+(L2312+M2312+P2312+R2312)*12/1130+(N2312*30)/1130</f>
        <v>0.063716814159292</v>
      </c>
    </row>
    <row r="2313" customFormat="false" ht="15" hidden="true" customHeight="true" outlineLevel="0" collapsed="false">
      <c r="A2313" s="128" t="n">
        <f aca="false">D2313+563.5-50-500-191.75</f>
        <v>0</v>
      </c>
      <c r="B2313" s="233" t="n">
        <f aca="false">B2312+D2313-C2313</f>
        <v>3617.5</v>
      </c>
      <c r="D2313" s="146" t="n">
        <v>178.25</v>
      </c>
      <c r="E2313" s="147" t="n">
        <v>53001809</v>
      </c>
      <c r="F2313" s="147" t="n">
        <f aca="false">IFERROR(VLOOKUP(H2313,$AD$1:$AE$301,2,0),"")</f>
        <v>1008043</v>
      </c>
      <c r="G2313" s="147" t="str">
        <f aca="false">IFERROR(VLOOKUP(F2313,$AE$2:$AF$290,2, 0),"")</f>
        <v>الوجه</v>
      </c>
      <c r="H2313" s="212" t="s">
        <v>104</v>
      </c>
      <c r="I2313" s="246" t="n">
        <f aca="false">SUM(K2313:R2313)</f>
        <v>1</v>
      </c>
      <c r="J2313" s="182" t="n">
        <v>46015</v>
      </c>
      <c r="L2313" s="149" t="n">
        <v>1</v>
      </c>
      <c r="S2313" s="192" t="n">
        <f aca="false">(K2313+O2313+Q2313)*24 /1130+(L2313+M2313+P2313+R2313)*12/1130+(N2313*30)/1130</f>
        <v>0.0106194690265487</v>
      </c>
    </row>
    <row r="2314" customFormat="false" ht="15" hidden="true" customHeight="true" outlineLevel="0" collapsed="false">
      <c r="A2314" s="128" t="n">
        <f aca="false">D2314-822.25</f>
        <v>0</v>
      </c>
      <c r="B2314" s="233" t="n">
        <f aca="false">B2313+D2314-C2314</f>
        <v>4439.75</v>
      </c>
      <c r="D2314" s="146" t="n">
        <f aca="false">822+0.25</f>
        <v>822.25</v>
      </c>
      <c r="E2314" s="147" t="n">
        <v>53001810</v>
      </c>
      <c r="F2314" s="147" t="n">
        <f aca="false">IFERROR(VLOOKUP(H2314,$AD$1:$AE$301,2,0),"")</f>
        <v>1033</v>
      </c>
      <c r="G2314" s="147" t="str">
        <f aca="false">IFERROR(VLOOKUP(F2314,$AE$2:$AF$290,2, 0),"")</f>
        <v>الوجه</v>
      </c>
      <c r="H2314" s="212" t="s">
        <v>117</v>
      </c>
      <c r="I2314" s="246" t="n">
        <f aca="false">SUM(K2314:R2314)</f>
        <v>3</v>
      </c>
      <c r="J2314" s="182" t="n">
        <v>46015</v>
      </c>
      <c r="N2314" s="151" t="n">
        <v>3</v>
      </c>
      <c r="S2314" s="192" t="n">
        <f aca="false">(K2314+O2314+Q2314)*24 /1130+(L2314+M2314+P2314+R2314)*12/1130+(N2314*30)/1130</f>
        <v>0.079646017699115</v>
      </c>
    </row>
    <row r="2315" customFormat="false" ht="15" hidden="true" customHeight="true" outlineLevel="0" collapsed="false">
      <c r="A2315" s="128" t="n">
        <f aca="false">558.25+D2315-84*5-14*2-500-500+200</f>
        <v>0.25</v>
      </c>
      <c r="B2315" s="233" t="n">
        <f aca="false">B2314+D2315-C2315</f>
        <v>5129.75</v>
      </c>
      <c r="D2315" s="146" t="n">
        <f aca="false">230*3</f>
        <v>690</v>
      </c>
      <c r="E2315" s="147" t="n">
        <v>53001811</v>
      </c>
      <c r="F2315" s="147" t="n">
        <f aca="false">IFERROR(VLOOKUP(H2315,$AD$1:$AE$301,2,0),"")</f>
        <v>1008046</v>
      </c>
      <c r="G2315" s="147" t="str">
        <f aca="false">IFERROR(VLOOKUP(F2315,$AE$2:$AF$290,2, 0),"")</f>
        <v>الوجه</v>
      </c>
      <c r="H2315" s="212" t="s">
        <v>108</v>
      </c>
      <c r="I2315" s="246" t="n">
        <f aca="false">SUM(K2315:R2315)</f>
        <v>3</v>
      </c>
      <c r="J2315" s="182" t="n">
        <v>46015</v>
      </c>
      <c r="M2315" s="150" t="n">
        <f aca="false">3</f>
        <v>3</v>
      </c>
      <c r="S2315" s="192" t="n">
        <f aca="false">(K2315+O2315+Q2315)*24 /1130+(L2315+M2315+P2315+R2315)*12/1130+(N2315*30)/1130</f>
        <v>0.031858407079646</v>
      </c>
    </row>
    <row r="2316" customFormat="false" ht="15" hidden="true" customHeight="true" outlineLevel="0" collapsed="false">
      <c r="B2316" s="233" t="n">
        <f aca="false">B2315+D2316-C2316</f>
        <v>3980.5</v>
      </c>
      <c r="C2316" s="127" t="n">
        <f aca="false">300+27+822.25</f>
        <v>1149.25</v>
      </c>
      <c r="E2316" s="147" t="s">
        <v>675</v>
      </c>
      <c r="F2316" s="147" t="str">
        <f aca="false">IFERROR(VLOOKUP(H2316,$AD$1:$AE$301,2,0),"")</f>
        <v/>
      </c>
      <c r="G2316" s="147" t="str">
        <f aca="false">IFERROR(VLOOKUP(F2316,$AE$2:$AF$290,2, 0),"")</f>
        <v/>
      </c>
      <c r="H2316" s="212" t="s">
        <v>393</v>
      </c>
      <c r="I2316" s="246" t="n">
        <f aca="false">SUM(K2316:R2316)</f>
        <v>0</v>
      </c>
      <c r="J2316" s="182" t="n">
        <v>46015</v>
      </c>
      <c r="S2316" s="192" t="n">
        <f aca="false">(K2316+O2316+Q2316)*24 /1130+(L2316+M2316+P2316+R2316)*12/1130+(N2316*30)/1130</f>
        <v>0</v>
      </c>
    </row>
    <row r="2317" customFormat="false" ht="15" hidden="true" customHeight="true" outlineLevel="0" collapsed="false">
      <c r="B2317" s="233" t="n">
        <f aca="false">B2316+D2317-C2317</f>
        <v>3825.5</v>
      </c>
      <c r="C2317" s="127" t="n">
        <v>155</v>
      </c>
      <c r="E2317" s="147" t="s">
        <v>667</v>
      </c>
      <c r="F2317" s="147" t="str">
        <f aca="false">IFERROR(VLOOKUP(H2317,$AD$1:$AE$301,2,0),"")</f>
        <v/>
      </c>
      <c r="G2317" s="147" t="str">
        <f aca="false">IFERROR(VLOOKUP(F2317,$AE$2:$AF$290,2, 0),"")</f>
        <v/>
      </c>
      <c r="H2317" s="212" t="s">
        <v>393</v>
      </c>
      <c r="I2317" s="246" t="n">
        <f aca="false">SUM(K2317:R2317)</f>
        <v>0</v>
      </c>
      <c r="J2317" s="182" t="n">
        <v>46015</v>
      </c>
      <c r="S2317" s="192" t="n">
        <f aca="false">(K2317+O2317+Q2317)*24 /1130+(L2317+M2317+P2317+R2317)*12/1130+(N2317*30)/1130</f>
        <v>0</v>
      </c>
    </row>
    <row r="2318" customFormat="false" ht="15" hidden="true" customHeight="true" outlineLevel="0" collapsed="false">
      <c r="B2318" s="233" t="n">
        <f aca="false">B2317+D2318-C2318</f>
        <v>0.5</v>
      </c>
      <c r="C2318" s="127" t="n">
        <v>3825</v>
      </c>
      <c r="E2318" s="147" t="s">
        <v>668</v>
      </c>
      <c r="F2318" s="147" t="str">
        <f aca="false">IFERROR(VLOOKUP(H2318,$AD$1:$AE$301,2,0),"")</f>
        <v/>
      </c>
      <c r="G2318" s="147" t="str">
        <f aca="false">IFERROR(VLOOKUP(F2318,$AE$2:$AF$290,2, 0),"")</f>
        <v/>
      </c>
      <c r="H2318" s="212" t="s">
        <v>393</v>
      </c>
      <c r="I2318" s="246" t="n">
        <f aca="false">SUM(K2318:R2318)</f>
        <v>0</v>
      </c>
      <c r="J2318" s="182" t="n">
        <v>46015</v>
      </c>
      <c r="S2318" s="192" t="n">
        <f aca="false">(K2318+O2318+Q2318)*24 /1130+(L2318+M2318+P2318+R2318)*12/1130+(N2318*30)/1130</f>
        <v>0</v>
      </c>
    </row>
    <row r="2319" customFormat="false" ht="15" hidden="true" customHeight="true" outlineLevel="0" collapsed="false">
      <c r="A2319" s="128" t="n">
        <f aca="false">D2319-281.75-15-550</f>
        <v>-1.5</v>
      </c>
      <c r="B2319" s="233" t="n">
        <f aca="false">B2318+D2319-C2319</f>
        <v>845.75</v>
      </c>
      <c r="D2319" s="146" t="n">
        <f aca="false">281.75*3</f>
        <v>845.25</v>
      </c>
      <c r="E2319" s="147" t="n">
        <v>53001812</v>
      </c>
      <c r="F2319" s="147" t="n">
        <f aca="false">IFERROR(VLOOKUP(H2319,$AD$1:$AE$301,2,0),"")</f>
        <v>555</v>
      </c>
      <c r="G2319" s="147" t="str">
        <f aca="false">IFERROR(VLOOKUP(F2319,$AE$2:$AF$290,2, 0),"")</f>
        <v>تبوك</v>
      </c>
      <c r="H2319" s="212" t="s">
        <v>260</v>
      </c>
      <c r="I2319" s="246" t="n">
        <f aca="false">SUM(K2319:R2319)</f>
        <v>3</v>
      </c>
      <c r="J2319" s="182" t="n">
        <v>46016</v>
      </c>
      <c r="K2319" s="148" t="n">
        <f aca="false">1+2</f>
        <v>3</v>
      </c>
      <c r="S2319" s="192" t="n">
        <f aca="false">(K2319+O2319+Q2319)*24 /1130+(L2319+M2319+P2319+R2319)*12/1130+(N2319*30)/1130</f>
        <v>0.063716814159292</v>
      </c>
    </row>
    <row r="2320" customFormat="false" ht="15" hidden="true" customHeight="true" outlineLevel="0" collapsed="false">
      <c r="A2320" s="128" t="n">
        <f aca="false">D2320-250-35-150-5-25-200-165-314</f>
        <v>0.25</v>
      </c>
      <c r="B2320" s="233" t="n">
        <f aca="false">B2319+D2320-C2320</f>
        <v>1990</v>
      </c>
      <c r="D2320" s="146" t="n">
        <f aca="false">281.75*3+299</f>
        <v>1144.25</v>
      </c>
      <c r="E2320" s="147" t="n">
        <v>53001813</v>
      </c>
      <c r="F2320" s="147" t="n">
        <f aca="false">IFERROR(VLOOKUP(H2320,$AD$1:$AE$301,2,0),"")</f>
        <v>1002852</v>
      </c>
      <c r="G2320" s="147" t="str">
        <f aca="false">IFERROR(VLOOKUP(F2320,$AE$2:$AF$290,2, 0),"")</f>
        <v>تبوك</v>
      </c>
      <c r="H2320" s="212" t="s">
        <v>159</v>
      </c>
      <c r="I2320" s="246" t="n">
        <f aca="false">SUM(K2320:R2320)</f>
        <v>4</v>
      </c>
      <c r="J2320" s="182" t="n">
        <v>46016</v>
      </c>
      <c r="K2320" s="148" t="n">
        <f aca="false">3</f>
        <v>3</v>
      </c>
      <c r="R2320" s="155" t="n">
        <v>1</v>
      </c>
      <c r="S2320" s="192" t="n">
        <f aca="false">(K2320+O2320+Q2320)*24 /1130+(L2320+M2320+P2320+R2320)*12/1130+(N2320*30)/1130</f>
        <v>0.0743362831858407</v>
      </c>
    </row>
    <row r="2321" customFormat="false" ht="15" hidden="true" customHeight="true" outlineLevel="0" collapsed="false">
      <c r="A2321" s="128" t="n">
        <f aca="false">D2321-330-300-225+9.75</f>
        <v>0</v>
      </c>
      <c r="B2321" s="233" t="n">
        <f aca="false">B2320+D2321-C2321</f>
        <v>2835.25</v>
      </c>
      <c r="D2321" s="146" t="n">
        <f aca="false">281.75*3</f>
        <v>845.25</v>
      </c>
      <c r="E2321" s="147" t="n">
        <v>53001814</v>
      </c>
      <c r="F2321" s="147" t="n">
        <f aca="false">IFERROR(VLOOKUP(H2321,$AD$1:$AE$301,2,0),"")</f>
        <v>1008275</v>
      </c>
      <c r="G2321" s="147" t="str">
        <f aca="false">IFERROR(VLOOKUP(F2321,$AE$2:$AF$290,2, 0),"")</f>
        <v>تبوك</v>
      </c>
      <c r="H2321" s="212" t="s">
        <v>179</v>
      </c>
      <c r="I2321" s="246" t="n">
        <f aca="false">SUM(K2321:R2321)</f>
        <v>3</v>
      </c>
      <c r="J2321" s="182" t="n">
        <v>46016</v>
      </c>
      <c r="K2321" s="148" t="n">
        <f aca="false">2+1</f>
        <v>3</v>
      </c>
      <c r="S2321" s="192" t="n">
        <f aca="false">(K2321+O2321+Q2321)*24 /1130+(L2321+M2321+P2321+R2321)*12/1130+(N2321*30)/1130</f>
        <v>0.063716814159292</v>
      </c>
    </row>
    <row r="2322" customFormat="false" ht="15" hidden="true" customHeight="true" outlineLevel="0" collapsed="false">
      <c r="A2322" s="128" t="n">
        <f aca="false">D2322-274-545</f>
        <v>3.25</v>
      </c>
      <c r="B2322" s="233" t="n">
        <f aca="false">B2321+D2322-C2322</f>
        <v>3657.5</v>
      </c>
      <c r="D2322" s="146" t="n">
        <f aca="false">822.25</f>
        <v>822.25</v>
      </c>
      <c r="E2322" s="147" t="n">
        <v>53001815</v>
      </c>
      <c r="F2322" s="147" t="n">
        <f aca="false">IFERROR(VLOOKUP(H2322,$AD$1:$AE$301,2,0),"")</f>
        <v>1008276</v>
      </c>
      <c r="G2322" s="147" t="str">
        <f aca="false">IFERROR(VLOOKUP(F2322,$AE$2:$AF$290,2, 0),"")</f>
        <v>تبوك</v>
      </c>
      <c r="H2322" s="212" t="s">
        <v>145</v>
      </c>
      <c r="I2322" s="246" t="n">
        <f aca="false">SUM(K2322:R2322)</f>
        <v>3</v>
      </c>
      <c r="J2322" s="182" t="n">
        <v>46016</v>
      </c>
      <c r="N2322" s="151" t="n">
        <f aca="false">2+1</f>
        <v>3</v>
      </c>
      <c r="S2322" s="192" t="n">
        <f aca="false">(K2322+O2322+Q2322)*24 /1130+(L2322+M2322+P2322+R2322)*12/1130+(N2322*30)/1130</f>
        <v>0.079646017699115</v>
      </c>
    </row>
    <row r="2323" customFormat="false" ht="15" hidden="true" customHeight="true" outlineLevel="0" collapsed="false">
      <c r="A2323" s="128" t="n">
        <f aca="false">D2323+713-989</f>
        <v>0</v>
      </c>
      <c r="B2323" s="233" t="n">
        <f aca="false">B2322+D2323-C2323</f>
        <v>3933.5</v>
      </c>
      <c r="D2323" s="146" t="n">
        <f aca="false">138*2</f>
        <v>276</v>
      </c>
      <c r="E2323" s="147" t="n">
        <v>53001816</v>
      </c>
      <c r="F2323" s="147" t="n">
        <f aca="false">IFERROR(VLOOKUP(H2323,$AD$1:$AE$301,2,0),"")</f>
        <v>984</v>
      </c>
      <c r="G2323" s="147" t="str">
        <f aca="false">IFERROR(VLOOKUP(F2323,$AE$2:$AF$290,2, 0),"")</f>
        <v>تبوك</v>
      </c>
      <c r="H2323" s="212" t="s">
        <v>131</v>
      </c>
      <c r="I2323" s="246" t="n">
        <f aca="false">SUM(K2323:R2323)</f>
        <v>2</v>
      </c>
      <c r="J2323" s="182" t="n">
        <v>46016</v>
      </c>
      <c r="Q2323" s="154" t="n">
        <v>2</v>
      </c>
      <c r="S2323" s="192" t="n">
        <f aca="false">(K2323+O2323+Q2323)*24 /1130+(L2323+M2323+P2323+R2323)*12/1130+(N2323*30)/1130</f>
        <v>0.0424778761061947</v>
      </c>
    </row>
    <row r="2324" customFormat="false" ht="15" hidden="true" customHeight="true" outlineLevel="0" collapsed="false">
      <c r="A2324" s="128" t="n">
        <f aca="false">D2324-2427+190</f>
        <v>-0.25</v>
      </c>
      <c r="B2324" s="233" t="n">
        <f aca="false">B2323+D2324-C2324</f>
        <v>6170.25</v>
      </c>
      <c r="D2324" s="146" t="n">
        <f aca="false">253*3+155.25+264.5*5</f>
        <v>2236.75</v>
      </c>
      <c r="E2324" s="147" t="n">
        <v>53001817</v>
      </c>
      <c r="F2324" s="147" t="n">
        <f aca="false">IFERROR(VLOOKUP(H2324,$AD$1:$AE$301,2,0),"")</f>
        <v>855</v>
      </c>
      <c r="G2324" s="147" t="str">
        <f aca="false">IFERROR(VLOOKUP(F2324,$AE$2:$AF$290,2, 0),"")</f>
        <v>تبوك</v>
      </c>
      <c r="H2324" s="212" t="s">
        <v>141</v>
      </c>
      <c r="I2324" s="246" t="n">
        <f aca="false">SUM(K2324:R2324)</f>
        <v>9</v>
      </c>
      <c r="J2324" s="182" t="n">
        <v>46016</v>
      </c>
      <c r="M2324" s="150" t="n">
        <v>3</v>
      </c>
      <c r="R2324" s="155" t="n">
        <f aca="false">1+5</f>
        <v>6</v>
      </c>
      <c r="S2324" s="192" t="n">
        <f aca="false">(K2324+O2324+Q2324)*24 /1130+(L2324+M2324+P2324+R2324)*12/1130+(N2324*30)/1130</f>
        <v>0.0955752212389381</v>
      </c>
    </row>
    <row r="2325" customFormat="false" ht="15" hidden="true" customHeight="true" outlineLevel="0" collapsed="false">
      <c r="B2325" s="233" t="n">
        <f aca="false">B2324+D2325-C2325</f>
        <v>8706</v>
      </c>
      <c r="D2325" s="146" t="n">
        <f aca="false">281.75*9</f>
        <v>2535.75</v>
      </c>
      <c r="E2325" s="147" t="n">
        <v>53001818</v>
      </c>
      <c r="F2325" s="147" t="n">
        <f aca="false">IFERROR(VLOOKUP(H2325,$AD$1:$AE$301,2,0),"")</f>
        <v>979</v>
      </c>
      <c r="G2325" s="147" t="str">
        <f aca="false">IFERROR(VLOOKUP(F2325,$AE$2:$AF$290,2, 0),"")</f>
        <v>تبوك</v>
      </c>
      <c r="H2325" s="212" t="s">
        <v>136</v>
      </c>
      <c r="I2325" s="246" t="n">
        <f aca="false">SUM(K2325:R2325)</f>
        <v>9</v>
      </c>
      <c r="J2325" s="182" t="n">
        <v>46016</v>
      </c>
      <c r="K2325" s="148" t="n">
        <v>9</v>
      </c>
      <c r="S2325" s="192" t="n">
        <f aca="false">(K2325+O2325+Q2325)*24 /1130+(L2325+M2325+P2325+R2325)*12/1130+(N2325*30)/1130</f>
        <v>0.191150442477876</v>
      </c>
    </row>
    <row r="2326" customFormat="false" ht="15" hidden="true" customHeight="true" outlineLevel="0" collapsed="false">
      <c r="B2326" s="233" t="n">
        <f aca="false">B2325+D2326-C2326</f>
        <v>6992.25</v>
      </c>
      <c r="C2326" s="127" t="n">
        <f aca="false">52+500+330+281.75+550</f>
        <v>1713.75</v>
      </c>
      <c r="E2326" s="147" t="s">
        <v>666</v>
      </c>
      <c r="F2326" s="147" t="str">
        <f aca="false">IFERROR(VLOOKUP(H2326,$AD$1:$AE$301,2,0),"")</f>
        <v/>
      </c>
      <c r="G2326" s="147" t="str">
        <f aca="false">IFERROR(VLOOKUP(F2326,$AE$2:$AF$290,2, 0),"")</f>
        <v/>
      </c>
      <c r="H2326" s="212" t="s">
        <v>393</v>
      </c>
      <c r="I2326" s="246" t="n">
        <f aca="false">SUM(K2326:R2326)</f>
        <v>0</v>
      </c>
      <c r="J2326" s="182" t="n">
        <v>46016</v>
      </c>
      <c r="S2326" s="192" t="n">
        <f aca="false">(K2326+O2326+Q2326)*24 /1130+(L2326+M2326+P2326+R2326)*12/1130+(N2326*30)/1130</f>
        <v>0</v>
      </c>
    </row>
    <row r="2327" customFormat="false" ht="15" hidden="true" customHeight="true" outlineLevel="0" collapsed="false">
      <c r="B2327" s="233" t="n">
        <f aca="false">B2326+D2327-C2327</f>
        <v>4565.25</v>
      </c>
      <c r="C2327" s="127" t="n">
        <f aca="false">200+96+96+215+160+213+210+190+40+108+285+105+189+225+95</f>
        <v>2427</v>
      </c>
      <c r="E2327" s="147" t="s">
        <v>666</v>
      </c>
      <c r="F2327" s="147" t="str">
        <f aca="false">IFERROR(VLOOKUP(H2327,$AD$1:$AE$301,2,0),"")</f>
        <v/>
      </c>
      <c r="G2327" s="147" t="str">
        <f aca="false">IFERROR(VLOOKUP(F2327,$AE$2:$AF$290,2, 0),"")</f>
        <v/>
      </c>
      <c r="H2327" s="212" t="s">
        <v>393</v>
      </c>
      <c r="I2327" s="246" t="n">
        <f aca="false">SUM(K2327:R2327)</f>
        <v>0</v>
      </c>
      <c r="J2327" s="182" t="n">
        <v>46017</v>
      </c>
      <c r="S2327" s="192" t="n">
        <f aca="false">(K2327+O2327+Q2327)*24 /1130+(L2327+M2327+P2327+R2327)*12/1130+(N2327*30)/1130</f>
        <v>0</v>
      </c>
    </row>
    <row r="2328" customFormat="false" ht="15" hidden="true" customHeight="true" outlineLevel="0" collapsed="false">
      <c r="B2328" s="233" t="n">
        <f aca="false">B2327+D2328-C2328</f>
        <v>3276.25</v>
      </c>
      <c r="C2328" s="127" t="n">
        <f aca="false">989+300</f>
        <v>1289</v>
      </c>
      <c r="E2328" s="147" t="s">
        <v>667</v>
      </c>
      <c r="F2328" s="147" t="str">
        <f aca="false">IFERROR(VLOOKUP(H2328,$AD$1:$AE$301,2,0),"")</f>
        <v/>
      </c>
      <c r="G2328" s="147" t="str">
        <f aca="false">IFERROR(VLOOKUP(F2328,$AE$2:$AF$290,2, 0),"")</f>
        <v/>
      </c>
      <c r="H2328" s="212" t="s">
        <v>393</v>
      </c>
      <c r="I2328" s="246" t="n">
        <f aca="false">SUM(K2328:R2328)</f>
        <v>0</v>
      </c>
      <c r="J2328" s="182" t="n">
        <v>46018</v>
      </c>
      <c r="S2328" s="192" t="n">
        <f aca="false">(K2328+O2328+Q2328)*24 /1130+(L2328+M2328+P2328+R2328)*12/1130+(N2328*30)/1130</f>
        <v>0</v>
      </c>
    </row>
    <row r="2329" customFormat="false" ht="15" hidden="true" customHeight="true" outlineLevel="0" collapsed="false">
      <c r="B2329" s="233" t="n">
        <f aca="false">B2328+D2329-C2329</f>
        <v>0.25</v>
      </c>
      <c r="C2329" s="127" t="n">
        <v>3276</v>
      </c>
      <c r="E2329" s="147" t="s">
        <v>668</v>
      </c>
      <c r="F2329" s="147" t="str">
        <f aca="false">IFERROR(VLOOKUP(H2329,$AD$1:$AE$301,2,0),"")</f>
        <v/>
      </c>
      <c r="G2329" s="147" t="str">
        <f aca="false">IFERROR(VLOOKUP(F2329,$AE$2:$AF$290,2, 0),"")</f>
        <v/>
      </c>
      <c r="H2329" s="212" t="s">
        <v>393</v>
      </c>
      <c r="I2329" s="246" t="n">
        <f aca="false">SUM(K2329:R2329)</f>
        <v>0</v>
      </c>
      <c r="J2329" s="182" t="n">
        <v>46019</v>
      </c>
      <c r="S2329" s="192" t="n">
        <f aca="false">(K2329+O2329+Q2329)*24 /1130+(L2329+M2329+P2329+R2329)*12/1130+(N2329*30)/1130</f>
        <v>0</v>
      </c>
    </row>
    <row r="2330" customFormat="false" ht="15" hidden="true" customHeight="true" outlineLevel="0" collapsed="false">
      <c r="A2330" s="128" t="n">
        <f aca="false">D2330-200-300-390-335-907-295</f>
        <v>-0.5</v>
      </c>
      <c r="B2330" s="233" t="n">
        <f aca="false">B2329+D2330-C2330</f>
        <v>2426.75</v>
      </c>
      <c r="D2330" s="146" t="n">
        <f aca="false">281.75*6+253*2+230</f>
        <v>2426.5</v>
      </c>
      <c r="E2330" s="147" t="n">
        <v>53001819</v>
      </c>
      <c r="F2330" s="147" t="n">
        <f aca="false">IFERROR(VLOOKUP(H2330,$AD$1:$AE$301,2,0),"")</f>
        <v>1071</v>
      </c>
      <c r="G2330" s="147" t="str">
        <f aca="false">IFERROR(VLOOKUP(F2330,$AE$2:$AF$290,2, 0),"")</f>
        <v>تبوك</v>
      </c>
      <c r="H2330" s="212" t="s">
        <v>135</v>
      </c>
      <c r="I2330" s="246" t="n">
        <f aca="false">SUM(K2330:R2330)</f>
        <v>9</v>
      </c>
      <c r="J2330" s="182" t="n">
        <v>46019</v>
      </c>
      <c r="K2330" s="148" t="n">
        <f aca="false">3+3</f>
        <v>6</v>
      </c>
      <c r="M2330" s="150" t="n">
        <f aca="false">2+1</f>
        <v>3</v>
      </c>
      <c r="S2330" s="192" t="n">
        <f aca="false">(K2330+O2330+Q2330)*24 /1130+(L2330+M2330+P2330+R2330)*12/1130+(N2330*30)/1130</f>
        <v>0.15929203539823</v>
      </c>
    </row>
    <row r="2331" customFormat="false" ht="15" hidden="true" customHeight="true" outlineLevel="0" collapsed="false">
      <c r="B2331" s="233" t="n">
        <f aca="false">B2330+D2331-C2331</f>
        <v>3668.75</v>
      </c>
      <c r="D2331" s="146" t="n">
        <f aca="false">281.75*3+241.5+155.25</f>
        <v>1242</v>
      </c>
      <c r="E2331" s="147" t="n">
        <v>53001820</v>
      </c>
      <c r="F2331" s="147" t="n">
        <f aca="false">IFERROR(VLOOKUP(H2331,$AD$1:$AE$301,2,0),"")</f>
        <v>575</v>
      </c>
      <c r="G2331" s="147" t="str">
        <f aca="false">IFERROR(VLOOKUP(F2331,$AE$2:$AF$290,2, 0),"")</f>
        <v>تبوك</v>
      </c>
      <c r="H2331" s="212" t="s">
        <v>132</v>
      </c>
      <c r="I2331" s="246" t="n">
        <f aca="false">SUM(K2331:R2331)</f>
        <v>5</v>
      </c>
      <c r="J2331" s="182" t="n">
        <v>46019</v>
      </c>
      <c r="K2331" s="148" t="n">
        <f aca="false">1+2</f>
        <v>3</v>
      </c>
      <c r="O2331" s="152" t="n">
        <v>1</v>
      </c>
      <c r="R2331" s="155" t="n">
        <v>1</v>
      </c>
      <c r="S2331" s="192" t="n">
        <f aca="false">(K2331+O2331+Q2331)*24 /1130+(L2331+M2331+P2331+R2331)*12/1130+(N2331*30)/1130</f>
        <v>0.0955752212389381</v>
      </c>
    </row>
    <row r="2332" customFormat="false" ht="15" hidden="true" customHeight="true" outlineLevel="0" collapsed="false">
      <c r="A2332" s="128" t="n">
        <f aca="false">D2332-160-150-125+563.5-12*5-15*2-10-250-250</f>
        <v>0</v>
      </c>
      <c r="B2332" s="233" t="n">
        <f aca="false">B2331+D2332-C2332</f>
        <v>4140.25</v>
      </c>
      <c r="D2332" s="146" t="n">
        <f aca="false">178.25+138+155.25</f>
        <v>471.5</v>
      </c>
      <c r="E2332" s="147" t="n">
        <v>53001821</v>
      </c>
      <c r="F2332" s="147" t="n">
        <f aca="false">IFERROR(VLOOKUP(H2332,$AD$1:$AE$301,2,0),"")</f>
        <v>1008264</v>
      </c>
      <c r="G2332" s="147" t="str">
        <f aca="false">IFERROR(VLOOKUP(F2332,$AE$2:$AF$290,2, 0),"")</f>
        <v>تبوك</v>
      </c>
      <c r="H2332" s="212" t="s">
        <v>160</v>
      </c>
      <c r="I2332" s="246" t="n">
        <f aca="false">SUM(K2332:R2332)</f>
        <v>3</v>
      </c>
      <c r="J2332" s="182" t="n">
        <v>46019</v>
      </c>
      <c r="L2332" s="149" t="n">
        <v>1</v>
      </c>
      <c r="Q2332" s="154" t="n">
        <v>1</v>
      </c>
      <c r="R2332" s="155" t="n">
        <v>1</v>
      </c>
      <c r="S2332" s="192" t="n">
        <f aca="false">(K2332+O2332+Q2332)*24 /1130+(L2332+M2332+P2332+R2332)*12/1130+(N2332*30)/1130</f>
        <v>0.0424778761061947</v>
      </c>
    </row>
    <row r="2333" customFormat="false" ht="15" hidden="true" customHeight="true" outlineLevel="0" collapsed="false">
      <c r="A2333" s="128" t="n">
        <f aca="false">D2333-845</f>
        <v>0.25</v>
      </c>
      <c r="B2333" s="233" t="n">
        <f aca="false">B2332+D2333-C2333</f>
        <v>4985.5</v>
      </c>
      <c r="D2333" s="146" t="n">
        <f aca="false">281.75*3</f>
        <v>845.25</v>
      </c>
      <c r="E2333" s="147" t="n">
        <v>53001822</v>
      </c>
      <c r="F2333" s="147" t="n">
        <f aca="false">IFERROR(VLOOKUP(H2333,$AD$1:$AE$301,2,0),"")</f>
        <v>1002915</v>
      </c>
      <c r="G2333" s="147" t="str">
        <f aca="false">IFERROR(VLOOKUP(F2333,$AE$2:$AF$290,2, 0),"")</f>
        <v>تبوك</v>
      </c>
      <c r="H2333" s="212" t="s">
        <v>258</v>
      </c>
      <c r="I2333" s="246" t="n">
        <f aca="false">SUM(K2333:R2333)</f>
        <v>3</v>
      </c>
      <c r="J2333" s="182" t="n">
        <v>46019</v>
      </c>
      <c r="K2333" s="148" t="n">
        <v>3</v>
      </c>
      <c r="S2333" s="192" t="n">
        <f aca="false">(K2333+O2333+Q2333)*24 /1130+(L2333+M2333+P2333+R2333)*12/1130+(N2333*30)/1130</f>
        <v>0.063716814159292</v>
      </c>
    </row>
    <row r="2334" customFormat="false" ht="15" hidden="true" customHeight="true" outlineLevel="0" collapsed="false">
      <c r="A2334" s="128" t="n">
        <f aca="false">D2334-253</f>
        <v>0</v>
      </c>
      <c r="B2334" s="233" t="n">
        <f aca="false">B2333+D2334-C2334</f>
        <v>5238.5</v>
      </c>
      <c r="D2334" s="146" t="n">
        <v>253</v>
      </c>
      <c r="E2334" s="147" t="n">
        <v>53001823</v>
      </c>
      <c r="F2334" s="147" t="n">
        <f aca="false">IFERROR(VLOOKUP(H2334,$AD$1:$AE$301,2,0),"")</f>
        <v>653</v>
      </c>
      <c r="G2334" s="147" t="str">
        <f aca="false">IFERROR(VLOOKUP(F2334,$AE$2:$AF$290,2, 0),"")</f>
        <v>تبوك</v>
      </c>
      <c r="H2334" s="212" t="s">
        <v>264</v>
      </c>
      <c r="I2334" s="246" t="n">
        <f aca="false">SUM(K2334:R2334)</f>
        <v>1</v>
      </c>
      <c r="J2334" s="182" t="n">
        <v>46019</v>
      </c>
      <c r="M2334" s="150" t="n">
        <v>1</v>
      </c>
      <c r="S2334" s="192" t="n">
        <f aca="false">(K2334+O2334+Q2334)*24 /1130+(L2334+M2334+P2334+R2334)*12/1130+(N2334*30)/1130</f>
        <v>0.0106194690265487</v>
      </c>
    </row>
    <row r="2335" customFormat="false" ht="15" hidden="true" customHeight="true" outlineLevel="0" collapsed="false">
      <c r="B2335" s="233" t="n">
        <f aca="false">B2334+D2335-C2335</f>
        <v>4120.5</v>
      </c>
      <c r="C2335" s="127" t="n">
        <f aca="false">160+150+125+60+200+300+123</f>
        <v>1118</v>
      </c>
      <c r="E2335" s="147" t="s">
        <v>666</v>
      </c>
      <c r="F2335" s="147" t="str">
        <f aca="false">IFERROR(VLOOKUP(H2335,$AD$1:$AE$301,2,0),"")</f>
        <v/>
      </c>
      <c r="G2335" s="147" t="str">
        <f aca="false">IFERROR(VLOOKUP(F2335,$AE$2:$AF$290,2, 0),"")</f>
        <v/>
      </c>
      <c r="H2335" s="212" t="s">
        <v>393</v>
      </c>
      <c r="I2335" s="246" t="n">
        <f aca="false">SUM(K2335:R2335)</f>
        <v>0</v>
      </c>
      <c r="J2335" s="182" t="n">
        <v>46019</v>
      </c>
      <c r="S2335" s="192" t="n">
        <f aca="false">(K2335+O2335+Q2335)*24 /1130+(L2335+M2335+P2335+R2335)*12/1130+(N2335*30)/1130</f>
        <v>0</v>
      </c>
    </row>
    <row r="2336" customFormat="false" ht="15" hidden="true" customHeight="true" outlineLevel="0" collapsed="false">
      <c r="B2336" s="233" t="n">
        <f aca="false">B2335+D2336-C2336</f>
        <v>0</v>
      </c>
      <c r="C2336" s="127" t="n">
        <v>4120</v>
      </c>
      <c r="D2336" s="146" t="n">
        <v>-0.5</v>
      </c>
      <c r="E2336" s="147" t="s">
        <v>668</v>
      </c>
      <c r="F2336" s="147" t="str">
        <f aca="false">IFERROR(VLOOKUP(H2336,$AD$1:$AE$301,2,0),"")</f>
        <v/>
      </c>
      <c r="G2336" s="147" t="str">
        <f aca="false">IFERROR(VLOOKUP(F2336,$AE$2:$AF$290,2, 0),"")</f>
        <v/>
      </c>
      <c r="H2336" s="212" t="s">
        <v>393</v>
      </c>
      <c r="I2336" s="246" t="n">
        <f aca="false">SUM(K2336:R2336)</f>
        <v>0</v>
      </c>
      <c r="J2336" s="182" t="n">
        <v>46019</v>
      </c>
      <c r="S2336" s="192" t="n">
        <f aca="false">(K2336+O2336+Q2336)*24 /1130+(L2336+M2336+P2336+R2336)*12/1130+(N2336*30)/1130</f>
        <v>0</v>
      </c>
    </row>
    <row r="2337" customFormat="false" ht="15" hidden="true" customHeight="true" outlineLevel="0" collapsed="false">
      <c r="A2337" s="128" t="n">
        <f aca="false">817+D2337-1200-30*5-1260</f>
        <v>1</v>
      </c>
      <c r="B2337" s="233" t="n">
        <f aca="false">B2336+D2337-C2337</f>
        <v>1794</v>
      </c>
      <c r="D2337" s="146" t="n">
        <f aca="false">253*3+253*3+138*2</f>
        <v>1794</v>
      </c>
      <c r="E2337" s="147" t="n">
        <v>53001824</v>
      </c>
      <c r="F2337" s="147" t="n">
        <f aca="false">IFERROR(VLOOKUP(H2337,$AD$1:$AE$301,2,0),"")</f>
        <v>1048</v>
      </c>
      <c r="G2337" s="147" t="str">
        <f aca="false">IFERROR(VLOOKUP(F2337,$AE$2:$AF$290,2, 0),"")</f>
        <v>تبوك</v>
      </c>
      <c r="H2337" s="212" t="s">
        <v>279</v>
      </c>
      <c r="I2337" s="246" t="n">
        <f aca="false">SUM(K2337:R2337)</f>
        <v>8</v>
      </c>
      <c r="J2337" s="182" t="n">
        <v>46020</v>
      </c>
      <c r="M2337" s="150" t="n">
        <f aca="false">3+3</f>
        <v>6</v>
      </c>
      <c r="Q2337" s="154" t="n">
        <v>2</v>
      </c>
      <c r="S2337" s="192" t="n">
        <f aca="false">(K2337+O2337+Q2337)*24 /1130+(L2337+M2337+P2337+R2337)*12/1130+(N2337*30)/1130</f>
        <v>0.106194690265487</v>
      </c>
    </row>
    <row r="2338" customFormat="false" ht="15" hidden="true" customHeight="true" outlineLevel="0" collapsed="false">
      <c r="B2338" s="233" t="n">
        <f aca="false">B2337+D2338-C2338</f>
        <v>2806</v>
      </c>
      <c r="D2338" s="146" t="n">
        <f aca="false">253*4</f>
        <v>1012</v>
      </c>
      <c r="E2338" s="147" t="n">
        <v>53001825</v>
      </c>
      <c r="F2338" s="147" t="n">
        <f aca="false">IFERROR(VLOOKUP(H2338,$AD$1:$AE$301,2,0),"")</f>
        <v>1002915</v>
      </c>
      <c r="G2338" s="147" t="str">
        <f aca="false">IFERROR(VLOOKUP(F2338,$AE$2:$AF$290,2, 0),"")</f>
        <v>تبوك</v>
      </c>
      <c r="H2338" s="212" t="s">
        <v>258</v>
      </c>
      <c r="I2338" s="246" t="n">
        <f aca="false">SUM(K2338:R2338)</f>
        <v>4</v>
      </c>
      <c r="J2338" s="182" t="n">
        <v>46020</v>
      </c>
      <c r="M2338" s="150" t="n">
        <f aca="false">4</f>
        <v>4</v>
      </c>
      <c r="S2338" s="192" t="n">
        <f aca="false">(K2338+O2338+Q2338)*24 /1130+(L2338+M2338+P2338+R2338)*12/1130+(N2338*30)/1130</f>
        <v>0.0424778761061947</v>
      </c>
    </row>
    <row r="2339" customFormat="false" ht="15" hidden="true" customHeight="true" outlineLevel="0" collapsed="false">
      <c r="B2339" s="233" t="n">
        <f aca="false">B2338+D2339-C2339</f>
        <v>3036</v>
      </c>
      <c r="D2339" s="146" t="n">
        <v>230</v>
      </c>
      <c r="E2339" s="147" t="n">
        <v>53001826</v>
      </c>
      <c r="F2339" s="147" t="n">
        <f aca="false">IFERROR(VLOOKUP(H2339,$AD$1:$AE$301,2,0),"")</f>
        <v>1002915</v>
      </c>
      <c r="G2339" s="147" t="str">
        <f aca="false">IFERROR(VLOOKUP(F2339,$AE$2:$AF$290,2, 0),"")</f>
        <v>تبوك</v>
      </c>
      <c r="H2339" s="212" t="s">
        <v>258</v>
      </c>
      <c r="I2339" s="246" t="n">
        <f aca="false">SUM(K2339:R2339)</f>
        <v>1</v>
      </c>
      <c r="J2339" s="182" t="n">
        <v>46020</v>
      </c>
      <c r="M2339" s="150" t="n">
        <f aca="false">1</f>
        <v>1</v>
      </c>
      <c r="S2339" s="192" t="n">
        <f aca="false">(K2339+O2339+Q2339)*24 /1130+(L2339+M2339+P2339+R2339)*12/1130+(N2339*30)/1130</f>
        <v>0.0106194690265487</v>
      </c>
    </row>
    <row r="2340" customFormat="false" ht="15" hidden="true" customHeight="true" outlineLevel="0" collapsed="false">
      <c r="B2340" s="233" t="n">
        <f aca="false">B2339+D2340-C2340</f>
        <v>4979.5</v>
      </c>
      <c r="D2340" s="146" t="n">
        <f aca="false">281.75*6+253</f>
        <v>1943.5</v>
      </c>
      <c r="E2340" s="147" t="n">
        <v>53001827</v>
      </c>
      <c r="F2340" s="147" t="n">
        <f aca="false">IFERROR(VLOOKUP(H2340,$AD$1:$AE$301,2,0),"")</f>
        <v>1076</v>
      </c>
      <c r="G2340" s="147" t="str">
        <f aca="false">IFERROR(VLOOKUP(F2340,$AE$2:$AF$290,2, 0),"")</f>
        <v>تبوك</v>
      </c>
      <c r="H2340" s="212" t="s">
        <v>244</v>
      </c>
      <c r="I2340" s="246" t="n">
        <f aca="false">SUM(K2340:R2340)</f>
        <v>7</v>
      </c>
      <c r="J2340" s="182" t="n">
        <v>46020</v>
      </c>
      <c r="K2340" s="148" t="n">
        <f aca="false">5+1</f>
        <v>6</v>
      </c>
      <c r="M2340" s="150" t="n">
        <v>1</v>
      </c>
      <c r="S2340" s="192" t="n">
        <f aca="false">(K2340+O2340+Q2340)*24 /1130+(L2340+M2340+P2340+R2340)*12/1130+(N2340*30)/1130</f>
        <v>0.138053097345133</v>
      </c>
    </row>
    <row r="2341" customFormat="false" ht="15" hidden="true" customHeight="true" outlineLevel="0" collapsed="false">
      <c r="A2341" s="128" t="n">
        <f aca="false">D2341+281.75-135-223+120.5-13*5-8*2-319</f>
        <v>0.75</v>
      </c>
      <c r="B2341" s="233" t="n">
        <f aca="false">B2340+D2341-C2341</f>
        <v>5336</v>
      </c>
      <c r="D2341" s="146" t="n">
        <f aca="false">178.25*2</f>
        <v>356.5</v>
      </c>
      <c r="E2341" s="147" t="n">
        <v>53001828</v>
      </c>
      <c r="F2341" s="147" t="n">
        <f aca="false">IFERROR(VLOOKUP(H2341,$AD$1:$AE$301,2,0),"")</f>
        <v>750</v>
      </c>
      <c r="G2341" s="147" t="str">
        <f aca="false">IFERROR(VLOOKUP(F2341,$AE$2:$AF$290,2, 0),"")</f>
        <v>تبوك</v>
      </c>
      <c r="H2341" s="212" t="s">
        <v>225</v>
      </c>
      <c r="I2341" s="246" t="n">
        <f aca="false">SUM(K2341:R2341)</f>
        <v>2</v>
      </c>
      <c r="J2341" s="182" t="n">
        <v>46020</v>
      </c>
      <c r="L2341" s="149" t="n">
        <f aca="false">2</f>
        <v>2</v>
      </c>
      <c r="S2341" s="192" t="n">
        <f aca="false">(K2341+O2341+Q2341)*24 /1130+(L2341+M2341+P2341+R2341)*12/1130+(N2341*30)/1130</f>
        <v>0.0212389380530973</v>
      </c>
    </row>
    <row r="2342" customFormat="false" ht="15" hidden="true" customHeight="true" outlineLevel="0" collapsed="false">
      <c r="B2342" s="233" t="n">
        <f aca="false">B2341+D2342-C2342</f>
        <v>4756</v>
      </c>
      <c r="C2342" s="127" t="n">
        <f aca="false">445+135</f>
        <v>580</v>
      </c>
      <c r="E2342" s="147" t="s">
        <v>666</v>
      </c>
      <c r="F2342" s="147" t="str">
        <f aca="false">IFERROR(VLOOKUP(H2342,$AD$1:$AE$301,2,0),"")</f>
        <v/>
      </c>
      <c r="G2342" s="147" t="str">
        <f aca="false">IFERROR(VLOOKUP(F2342,$AE$2:$AF$290,2, 0),"")</f>
        <v/>
      </c>
      <c r="H2342" s="212" t="s">
        <v>393</v>
      </c>
      <c r="I2342" s="246" t="n">
        <f aca="false">SUM(K2342:R2342)</f>
        <v>0</v>
      </c>
      <c r="J2342" s="182" t="n">
        <v>46020</v>
      </c>
      <c r="S2342" s="192" t="n">
        <f aca="false">(K2342+O2342+Q2342)*24 /1130+(L2342+M2342+P2342+R2342)*12/1130+(N2342*30)/1130</f>
        <v>0</v>
      </c>
    </row>
    <row r="2343" customFormat="false" ht="15" hidden="true" customHeight="true" outlineLevel="0" collapsed="false">
      <c r="B2343" s="233" t="n">
        <f aca="false">B2342+D2343-C2343</f>
        <v>0</v>
      </c>
      <c r="C2343" s="127" t="n">
        <f aca="false">3156+1600</f>
        <v>4756</v>
      </c>
      <c r="E2343" s="147" t="s">
        <v>668</v>
      </c>
      <c r="F2343" s="147" t="str">
        <f aca="false">IFERROR(VLOOKUP(H2343,$AD$1:$AE$301,2,0),"")</f>
        <v/>
      </c>
      <c r="G2343" s="147" t="str">
        <f aca="false">IFERROR(VLOOKUP(F2343,$AE$2:$AF$290,2, 0),"")</f>
        <v/>
      </c>
      <c r="H2343" s="212" t="s">
        <v>393</v>
      </c>
      <c r="I2343" s="246" t="n">
        <f aca="false">SUM(K2343:R2343)</f>
        <v>0</v>
      </c>
      <c r="J2343" s="182" t="n">
        <v>46020</v>
      </c>
      <c r="S2343" s="192" t="n">
        <f aca="false">(K2343+O2343+Q2343)*24 /1130+(L2343+M2343+P2343+R2343)*12/1130+(N2343*30)/1130</f>
        <v>0</v>
      </c>
    </row>
    <row r="2344" customFormat="false" ht="15" hidden="true" customHeight="true" outlineLevel="0" collapsed="false">
      <c r="A2344" s="128" t="n">
        <f aca="false">D2344-5060</f>
        <v>0</v>
      </c>
      <c r="B2344" s="233" t="n">
        <f aca="false">B2343+D2344-C2344</f>
        <v>5060</v>
      </c>
      <c r="D2344" s="146" t="n">
        <f aca="false">253*20</f>
        <v>5060</v>
      </c>
      <c r="E2344" s="147" t="n">
        <v>53001829</v>
      </c>
      <c r="F2344" s="147" t="n">
        <f aca="false">IFERROR(VLOOKUP(H2344,$AD$1:$AE$301,2,0),"")</f>
        <v>1063</v>
      </c>
      <c r="G2344" s="147" t="str">
        <f aca="false">IFERROR(VLOOKUP(F2344,$AE$2:$AF$290,2, 0),"")</f>
        <v>تبوك</v>
      </c>
      <c r="H2344" s="212" t="s">
        <v>158</v>
      </c>
      <c r="I2344" s="246" t="n">
        <f aca="false">SUM(K2344:R2344)</f>
        <v>20</v>
      </c>
      <c r="J2344" s="182" t="n">
        <v>46021</v>
      </c>
      <c r="M2344" s="150" t="n">
        <v>20</v>
      </c>
      <c r="S2344" s="192" t="n">
        <f aca="false">(K2344+O2344+Q2344)*24 /1130+(L2344+M2344+P2344+R2344)*12/1130+(N2344*30)/1130</f>
        <v>0.212389380530973</v>
      </c>
    </row>
    <row r="2345" customFormat="false" ht="15" hidden="true" customHeight="true" outlineLevel="0" collapsed="false">
      <c r="A2345" s="128" t="n">
        <f aca="false">D2345-1633-80-750</f>
        <v>3.75</v>
      </c>
      <c r="B2345" s="233" t="n">
        <f aca="false">B2344+D2345-C2345</f>
        <v>7526.75</v>
      </c>
      <c r="D2345" s="146" t="n">
        <f aca="false">230+253+281.75*3+264.5*2+155.25*2+299</f>
        <v>2466.75</v>
      </c>
      <c r="E2345" s="147" t="n">
        <v>53001830</v>
      </c>
      <c r="F2345" s="147" t="n">
        <f aca="false">IFERROR(VLOOKUP(H2345,$AD$1:$AE$301,2,0),"")</f>
        <v>954</v>
      </c>
      <c r="G2345" s="147" t="str">
        <f aca="false">IFERROR(VLOOKUP(F2345,$AE$2:$AF$290,2, 0),"")</f>
        <v>تبوك</v>
      </c>
      <c r="H2345" s="212" t="s">
        <v>199</v>
      </c>
      <c r="I2345" s="246" t="n">
        <f aca="false">SUM(K2345:R2345)</f>
        <v>10</v>
      </c>
      <c r="J2345" s="182" t="n">
        <v>46021</v>
      </c>
      <c r="K2345" s="148" t="n">
        <f aca="false">2+1</f>
        <v>3</v>
      </c>
      <c r="M2345" s="150" t="n">
        <f aca="false">1+1</f>
        <v>2</v>
      </c>
      <c r="R2345" s="155" t="n">
        <f aca="false">1+2+2</f>
        <v>5</v>
      </c>
      <c r="S2345" s="192" t="n">
        <f aca="false">(K2345+O2345+Q2345)*24 /1130+(L2345+M2345+P2345+R2345)*12/1130+(N2345*30)/1130</f>
        <v>0.138053097345133</v>
      </c>
    </row>
    <row r="2346" customFormat="false" ht="15" hidden="true" customHeight="true" outlineLevel="0" collapsed="false">
      <c r="A2346" s="128" t="n">
        <f aca="false">D2346-745-20*5</f>
        <v>0.25</v>
      </c>
      <c r="B2346" s="233" t="n">
        <f aca="false">B2345+D2346-C2346</f>
        <v>8372</v>
      </c>
      <c r="D2346" s="146" t="n">
        <f aca="false">281.75*3</f>
        <v>845.25</v>
      </c>
      <c r="E2346" s="147" t="n">
        <v>53001831</v>
      </c>
      <c r="F2346" s="147" t="n">
        <f aca="false">IFERROR(VLOOKUP(H2346,$AD$1:$AE$301,2,0),"")</f>
        <v>1008030</v>
      </c>
      <c r="G2346" s="147" t="str">
        <f aca="false">IFERROR(VLOOKUP(F2346,$AE$2:$AF$290,2, 0),"")</f>
        <v>البير</v>
      </c>
      <c r="H2346" s="212" t="s">
        <v>298</v>
      </c>
      <c r="I2346" s="246" t="n">
        <f aca="false">SUM(K2346:R2346)</f>
        <v>3</v>
      </c>
      <c r="J2346" s="182" t="n">
        <v>46021</v>
      </c>
      <c r="K2346" s="148" t="n">
        <v>3</v>
      </c>
      <c r="S2346" s="192" t="n">
        <f aca="false">(K2346+O2346+Q2346)*24 /1130+(L2346+M2346+P2346+R2346)*12/1130+(N2346*30)/1130</f>
        <v>0.063716814159292</v>
      </c>
    </row>
    <row r="2347" customFormat="false" ht="15" hidden="true" customHeight="true" outlineLevel="0" collapsed="false">
      <c r="A2347" s="128" t="n">
        <f aca="false">D2347+563.5-759</f>
        <v>0</v>
      </c>
      <c r="B2347" s="233" t="n">
        <f aca="false">B2346+D2347-C2347</f>
        <v>8567.5</v>
      </c>
      <c r="D2347" s="146" t="n">
        <f aca="false">195.5</f>
        <v>195.5</v>
      </c>
      <c r="E2347" s="147" t="n">
        <v>53001832</v>
      </c>
      <c r="F2347" s="147" t="n">
        <f aca="false">IFERROR(VLOOKUP(H2347,$AD$1:$AE$301,2,0),"")</f>
        <v>1007996</v>
      </c>
      <c r="G2347" s="147" t="str">
        <f aca="false">IFERROR(VLOOKUP(F2347,$AE$2:$AF$290,2, 0),"")</f>
        <v>البير</v>
      </c>
      <c r="H2347" s="212" t="s">
        <v>295</v>
      </c>
      <c r="I2347" s="246" t="n">
        <f aca="false">SUM(K2347:R2347)</f>
        <v>1</v>
      </c>
      <c r="J2347" s="182" t="n">
        <v>46021</v>
      </c>
      <c r="Q2347" s="154" t="n">
        <v>1</v>
      </c>
      <c r="S2347" s="192" t="n">
        <f aca="false">(K2347+O2347+Q2347)*24 /1130+(L2347+M2347+P2347+R2347)*12/1130+(N2347*30)/1130</f>
        <v>0.0212389380530973</v>
      </c>
    </row>
    <row r="2348" customFormat="false" ht="15" hidden="true" customHeight="true" outlineLevel="0" collapsed="false">
      <c r="A2348" s="128" t="n">
        <f aca="false">D2348-2035</f>
        <v>0.5</v>
      </c>
      <c r="B2348" s="233" t="n">
        <f aca="false">B2347+D2348-C2348</f>
        <v>10603</v>
      </c>
      <c r="D2348" s="146" t="n">
        <f aca="false">281.75*6+345</f>
        <v>2035.5</v>
      </c>
      <c r="E2348" s="428" t="n">
        <v>53001833</v>
      </c>
      <c r="F2348" s="428" t="n">
        <f aca="false">IFERROR(VLOOKUP(H2348,$AD$1:$AE$301,2,0),"")</f>
        <v>1007970</v>
      </c>
      <c r="G2348" s="147" t="str">
        <f aca="false">IFERROR(VLOOKUP(F2348,$AE$2:$AF$290,2, 0),"")</f>
        <v>حقل</v>
      </c>
      <c r="H2348" s="212" t="s">
        <v>310</v>
      </c>
      <c r="I2348" s="246" t="n">
        <f aca="false">SUM(K2348:R2348)</f>
        <v>7</v>
      </c>
      <c r="J2348" s="182" t="n">
        <v>46021</v>
      </c>
      <c r="K2348" s="148" t="n">
        <v>6</v>
      </c>
      <c r="M2348" s="429"/>
      <c r="N2348" s="430" t="n">
        <v>1</v>
      </c>
      <c r="O2348" s="431"/>
      <c r="P2348" s="432"/>
      <c r="Q2348" s="433"/>
      <c r="R2348" s="434"/>
      <c r="S2348" s="435" t="n">
        <f aca="false">(K2348+O2348+Q2348)*24 /1130+(L2348+M2348+P2348+R2348)*12/1130+(N2348*30)/1130</f>
        <v>0.153982300884956</v>
      </c>
      <c r="Z2348" s="436"/>
      <c r="AA2348" s="436"/>
      <c r="AB2348" s="436"/>
      <c r="AC2348" s="436"/>
      <c r="AE2348" s="346"/>
      <c r="AF2348" s="206"/>
      <c r="AG2348" s="206"/>
      <c r="AH2348" s="206"/>
      <c r="AI2348" s="437"/>
    </row>
    <row r="2349" customFormat="false" ht="15" hidden="true" customHeight="true" outlineLevel="0" collapsed="false">
      <c r="A2349" s="128" t="n">
        <f aca="false">D2349+237-250-125</f>
        <v>0</v>
      </c>
      <c r="B2349" s="233" t="n">
        <f aca="false">B2348+D2349-C2349</f>
        <v>10741</v>
      </c>
      <c r="D2349" s="146" t="n">
        <f aca="false">138</f>
        <v>138</v>
      </c>
      <c r="E2349" s="147" t="n">
        <v>53001834</v>
      </c>
      <c r="F2349" s="147" t="n">
        <f aca="false">IFERROR(VLOOKUP(H2349,$AD$1:$AE$301,2,0),"")</f>
        <v>1007969</v>
      </c>
      <c r="G2349" s="147" t="str">
        <f aca="false">IFERROR(VLOOKUP(F2349,$AE$2:$AF$290,2, 0),"")</f>
        <v>حقل</v>
      </c>
      <c r="H2349" s="212" t="s">
        <v>309</v>
      </c>
      <c r="I2349" s="246" t="n">
        <f aca="false">SUM(K2349:R2349)</f>
        <v>1</v>
      </c>
      <c r="J2349" s="182" t="n">
        <v>46021</v>
      </c>
      <c r="Q2349" s="154" t="n">
        <v>1</v>
      </c>
      <c r="S2349" s="192" t="n">
        <f aca="false">(K2349+O2349+Q2349)*24 /1130+(L2349+M2349+P2349+R2349)*12/1130+(N2349*30)/1130</f>
        <v>0.0212389380530973</v>
      </c>
    </row>
    <row r="2350" customFormat="false" ht="15" hidden="true" customHeight="true" outlineLevel="0" collapsed="false">
      <c r="A2350" s="128" t="n">
        <f aca="false">D2350-600-30-281.75+67</f>
        <v>0.5</v>
      </c>
      <c r="B2350" s="233" t="n">
        <f aca="false">B2349+D2350-C2350</f>
        <v>11586.25</v>
      </c>
      <c r="D2350" s="146" t="n">
        <f aca="false">281.75*3</f>
        <v>845.25</v>
      </c>
      <c r="E2350" s="147" t="n">
        <v>53001835</v>
      </c>
      <c r="F2350" s="147" t="n">
        <f aca="false">IFERROR(VLOOKUP(H2350,$AD$1:$AE$301,2,0),"")</f>
        <v>1008003</v>
      </c>
      <c r="G2350" s="147" t="str">
        <f aca="false">IFERROR(VLOOKUP(F2350,$AE$2:$AF$290,2, 0),"")</f>
        <v>حقل</v>
      </c>
      <c r="H2350" s="212" t="s">
        <v>315</v>
      </c>
      <c r="I2350" s="246" t="n">
        <f aca="false">SUM(K2350:R2350)</f>
        <v>3</v>
      </c>
      <c r="J2350" s="182" t="n">
        <v>46021</v>
      </c>
      <c r="K2350" s="148" t="n">
        <v>3</v>
      </c>
      <c r="S2350" s="192" t="n">
        <f aca="false">(K2350+O2350+Q2350)*24 /1130+(L2350+M2350+P2350+R2350)*12/1130+(N2350*30)/1130</f>
        <v>0.063716814159292</v>
      </c>
    </row>
    <row r="2351" customFormat="false" ht="15" hidden="true" customHeight="true" outlineLevel="0" collapsed="false">
      <c r="A2351" s="128" t="n">
        <f aca="false">D2351-845</f>
        <v>0.25</v>
      </c>
      <c r="B2351" s="233" t="n">
        <f aca="false">B2350+D2351-C2351</f>
        <v>12431.5</v>
      </c>
      <c r="D2351" s="146" t="n">
        <f aca="false">281.75*3</f>
        <v>845.25</v>
      </c>
      <c r="E2351" s="147" t="n">
        <v>53001836</v>
      </c>
      <c r="F2351" s="147" t="n">
        <f aca="false">IFERROR(VLOOKUP(H2351,$AD$1:$AE$301,2,0),"")</f>
        <v>1008024</v>
      </c>
      <c r="G2351" s="147" t="str">
        <f aca="false">IFERROR(VLOOKUP(F2351,$AE$2:$AF$290,2, 0),"")</f>
        <v>ضباء</v>
      </c>
      <c r="H2351" s="212" t="s">
        <v>96</v>
      </c>
      <c r="I2351" s="246" t="n">
        <f aca="false">SUM(K2351:R2351)</f>
        <v>3</v>
      </c>
      <c r="J2351" s="182" t="n">
        <v>46021</v>
      </c>
      <c r="K2351" s="148" t="n">
        <v>3</v>
      </c>
      <c r="S2351" s="192" t="n">
        <f aca="false">(K2351+O2351+Q2351)*24 /1130+(L2351+M2351+P2351+R2351)*12/1130+(N2351*30)/1130</f>
        <v>0.063716814159292</v>
      </c>
    </row>
    <row r="2352" customFormat="false" ht="15" hidden="true" customHeight="true" outlineLevel="0" collapsed="false">
      <c r="B2352" s="233" t="n">
        <f aca="false">B2351+D2352-C2352</f>
        <v>12673</v>
      </c>
      <c r="D2352" s="146" t="n">
        <f aca="false">241.5</f>
        <v>241.5</v>
      </c>
      <c r="E2352" s="147" t="n">
        <v>53001837</v>
      </c>
      <c r="F2352" s="147" t="n">
        <f aca="false">IFERROR(VLOOKUP(H2352,$AD$1:$AE$301,2,0),"")</f>
        <v>1007988</v>
      </c>
      <c r="G2352" s="147" t="str">
        <f aca="false">IFERROR(VLOOKUP(F2352,$AE$2:$AF$290,2, 0),"")</f>
        <v>ضباء</v>
      </c>
      <c r="H2352" s="212" t="s">
        <v>89</v>
      </c>
      <c r="I2352" s="246" t="n">
        <f aca="false">SUM(K2352:R2352)</f>
        <v>1</v>
      </c>
      <c r="J2352" s="182" t="n">
        <v>46021</v>
      </c>
      <c r="O2352" s="152" t="n">
        <v>1</v>
      </c>
      <c r="S2352" s="192" t="n">
        <f aca="false">(K2352+O2352+Q2352)*24 /1130+(L2352+M2352+P2352+R2352)*12/1130+(N2352*30)/1130</f>
        <v>0.0212389380530973</v>
      </c>
    </row>
    <row r="2353" customFormat="false" ht="15" hidden="true" customHeight="true" outlineLevel="0" collapsed="false">
      <c r="A2353" s="128" t="n">
        <f aca="false">D2353-250-233</f>
        <v>0</v>
      </c>
      <c r="B2353" s="233" t="n">
        <f aca="false">B2352+D2353-C2353</f>
        <v>13156</v>
      </c>
      <c r="D2353" s="146" t="n">
        <f aca="false">241.5*2</f>
        <v>483</v>
      </c>
      <c r="E2353" s="147" t="n">
        <v>53001838</v>
      </c>
      <c r="F2353" s="147" t="n">
        <f aca="false">IFERROR(VLOOKUP(H2353,$AD$1:$AE$301,2,0),"")</f>
        <v>1008050</v>
      </c>
      <c r="G2353" s="147" t="str">
        <f aca="false">IFERROR(VLOOKUP(F2353,$AE$2:$AF$290,2, 0),"")</f>
        <v>ضباء</v>
      </c>
      <c r="H2353" s="212" t="s">
        <v>92</v>
      </c>
      <c r="I2353" s="246" t="n">
        <f aca="false">SUM(K2353:R2353)</f>
        <v>2</v>
      </c>
      <c r="J2353" s="182" t="n">
        <v>46021</v>
      </c>
      <c r="O2353" s="152" t="n">
        <f aca="false">2</f>
        <v>2</v>
      </c>
      <c r="S2353" s="192" t="n">
        <f aca="false">(K2353+O2353+Q2353)*24 /1130+(L2353+M2353+P2353+R2353)*12/1130+(N2353*30)/1130</f>
        <v>0.0424778761061947</v>
      </c>
    </row>
    <row r="2354" customFormat="false" ht="15" hidden="true" customHeight="true" outlineLevel="0" collapsed="false">
      <c r="B2354" s="233" t="n">
        <f aca="false">B2353+D2354-C2354</f>
        <v>14001.25</v>
      </c>
      <c r="D2354" s="146" t="n">
        <f aca="false">281.75*3</f>
        <v>845.25</v>
      </c>
      <c r="E2354" s="147" t="n">
        <v>53001839</v>
      </c>
      <c r="F2354" s="147" t="n">
        <f aca="false">IFERROR(VLOOKUP(H2354,$AD$1:$AE$301,2,0),"")</f>
        <v>1008050</v>
      </c>
      <c r="G2354" s="147" t="str">
        <f aca="false">IFERROR(VLOOKUP(F2354,$AE$2:$AF$290,2, 0),"")</f>
        <v>ضباء</v>
      </c>
      <c r="H2354" s="212" t="s">
        <v>92</v>
      </c>
      <c r="I2354" s="246" t="n">
        <f aca="false">SUM(K2354:R2354)</f>
        <v>3</v>
      </c>
      <c r="J2354" s="182" t="n">
        <v>46021</v>
      </c>
      <c r="K2354" s="148" t="n">
        <f aca="false">1+2</f>
        <v>3</v>
      </c>
      <c r="S2354" s="192" t="n">
        <f aca="false">(K2354+O2354+Q2354)*24 /1130+(L2354+M2354+P2354+R2354)*12/1130+(N2354*30)/1130</f>
        <v>0.063716814159292</v>
      </c>
    </row>
    <row r="2355" customFormat="false" ht="15" hidden="true" customHeight="true" outlineLevel="0" collapsed="false">
      <c r="A2355" s="128" t="n">
        <f aca="false">D2355-820-825</f>
        <v>-0.5</v>
      </c>
      <c r="B2355" s="233" t="n">
        <f aca="false">B2354+D2355-C2355</f>
        <v>15645.75</v>
      </c>
      <c r="D2355" s="146" t="n">
        <f aca="false">822+0.25+822.25</f>
        <v>1644.5</v>
      </c>
      <c r="E2355" s="147" t="n">
        <v>53001840</v>
      </c>
      <c r="F2355" s="147" t="n">
        <f aca="false">IFERROR(VLOOKUP(H2355,$AD$1:$AE$301,2,0),"")</f>
        <v>1033</v>
      </c>
      <c r="G2355" s="147" t="str">
        <f aca="false">IFERROR(VLOOKUP(F2355,$AE$2:$AF$290,2, 0),"")</f>
        <v>الوجه</v>
      </c>
      <c r="H2355" s="212" t="s">
        <v>117</v>
      </c>
      <c r="I2355" s="246" t="n">
        <f aca="false">SUM(K2355:R2355)</f>
        <v>6</v>
      </c>
      <c r="J2355" s="182" t="n">
        <v>46021</v>
      </c>
      <c r="N2355" s="151" t="n">
        <v>6</v>
      </c>
      <c r="S2355" s="192" t="n">
        <f aca="false">(K2355+O2355+Q2355)*24 /1130+(L2355+M2355+P2355+R2355)*12/1130+(N2355*30)/1130</f>
        <v>0.15929203539823</v>
      </c>
    </row>
    <row r="2356" customFormat="false" ht="15" hidden="true" customHeight="true" outlineLevel="0" collapsed="false">
      <c r="A2356" s="128" t="n">
        <f aca="false">D2356-3381</f>
        <v>0</v>
      </c>
      <c r="B2356" s="233" t="n">
        <f aca="false">B2355+D2356-C2356</f>
        <v>19026.75</v>
      </c>
      <c r="D2356" s="146" t="n">
        <f aca="false">281.75*12</f>
        <v>3381</v>
      </c>
      <c r="E2356" s="147" t="n">
        <v>53001841</v>
      </c>
      <c r="F2356" s="147" t="n">
        <f aca="false">IFERROR(VLOOKUP(H2356,$AD$1:$AE$301,2,0),"")</f>
        <v>1008048</v>
      </c>
      <c r="G2356" s="147" t="str">
        <f aca="false">IFERROR(VLOOKUP(F2356,$AE$2:$AF$290,2, 0),"")</f>
        <v>الوجه</v>
      </c>
      <c r="H2356" s="212" t="s">
        <v>110</v>
      </c>
      <c r="I2356" s="246" t="n">
        <f aca="false">SUM(K2356:R2356)</f>
        <v>12</v>
      </c>
      <c r="J2356" s="182" t="n">
        <v>46021</v>
      </c>
      <c r="K2356" s="148" t="n">
        <f aca="false">12</f>
        <v>12</v>
      </c>
      <c r="S2356" s="192" t="n">
        <f aca="false">(K2356+O2356+Q2356)*24 /1130+(L2356+M2356+P2356+R2356)*12/1130+(N2356*30)/1130</f>
        <v>0.254867256637168</v>
      </c>
    </row>
    <row r="2357" customFormat="false" ht="15" hidden="true" customHeight="true" outlineLevel="0" collapsed="false">
      <c r="A2357" s="128" t="n">
        <f aca="false">D2357-845</f>
        <v>0.25</v>
      </c>
      <c r="B2357" s="233" t="n">
        <f aca="false">B2356+D2357-C2357</f>
        <v>19872</v>
      </c>
      <c r="D2357" s="146" t="n">
        <f aca="false">281.75*3</f>
        <v>845.25</v>
      </c>
      <c r="E2357" s="147" t="n">
        <v>53001842</v>
      </c>
      <c r="F2357" s="147" t="n">
        <f aca="false">IFERROR(VLOOKUP(H2357,$AD$1:$AE$301,2,0),"")</f>
        <v>1008045</v>
      </c>
      <c r="G2357" s="147" t="str">
        <f aca="false">IFERROR(VLOOKUP(F2357,$AE$2:$AF$290,2, 0),"")</f>
        <v>الوجه</v>
      </c>
      <c r="H2357" s="212" t="s">
        <v>107</v>
      </c>
      <c r="I2357" s="246" t="n">
        <f aca="false">SUM(K2357:R2357)</f>
        <v>3</v>
      </c>
      <c r="J2357" s="182" t="n">
        <v>46021</v>
      </c>
      <c r="K2357" s="148" t="n">
        <v>3</v>
      </c>
      <c r="S2357" s="192" t="n">
        <f aca="false">(K2357+O2357+Q2357)*24 /1130+(L2357+M2357+P2357+R2357)*12/1130+(N2357*30)/1130</f>
        <v>0.063716814159292</v>
      </c>
    </row>
    <row r="2358" customFormat="false" ht="15" hidden="true" customHeight="true" outlineLevel="0" collapsed="false">
      <c r="A2358" s="128" t="n">
        <f aca="false">D2358-200-1335</f>
        <v>0.25</v>
      </c>
      <c r="B2358" s="233" t="n">
        <f aca="false">B2357+D2358-C2358</f>
        <v>21407.25</v>
      </c>
      <c r="D2358" s="146" t="n">
        <f aca="false">230*3+281.75*3</f>
        <v>1535.25</v>
      </c>
      <c r="E2358" s="147" t="n">
        <v>53001843</v>
      </c>
      <c r="F2358" s="147" t="n">
        <f aca="false">IFERROR(VLOOKUP(H2358,$AD$1:$AE$301,2,0),"")</f>
        <v>1008046</v>
      </c>
      <c r="G2358" s="147" t="str">
        <f aca="false">IFERROR(VLOOKUP(F2358,$AE$2:$AF$290,2, 0),"")</f>
        <v>الوجه</v>
      </c>
      <c r="H2358" s="212" t="s">
        <v>108</v>
      </c>
      <c r="I2358" s="246" t="n">
        <f aca="false">SUM(K2358:R2358)</f>
        <v>6</v>
      </c>
      <c r="J2358" s="182" t="n">
        <v>46021</v>
      </c>
      <c r="K2358" s="148" t="n">
        <f aca="false">3</f>
        <v>3</v>
      </c>
      <c r="M2358" s="150" t="n">
        <f aca="false">3</f>
        <v>3</v>
      </c>
      <c r="S2358" s="192" t="n">
        <f aca="false">(K2358+O2358+Q2358)*24 /1130+(L2358+M2358+P2358+R2358)*12/1130+(N2358*30)/1130</f>
        <v>0.0955752212389381</v>
      </c>
    </row>
    <row r="2359" customFormat="false" ht="15" hidden="true" customHeight="true" outlineLevel="0" collapsed="false">
      <c r="A2359" s="128" t="n">
        <f aca="false">D2359+17-1707.5</f>
        <v>0</v>
      </c>
      <c r="B2359" s="233" t="n">
        <f aca="false">B2358+D2359-C2359</f>
        <v>23097.75</v>
      </c>
      <c r="D2359" s="146" t="n">
        <f aca="false">281.75*6</f>
        <v>1690.5</v>
      </c>
      <c r="E2359" s="147" t="n">
        <v>53001844</v>
      </c>
      <c r="F2359" s="147" t="n">
        <f aca="false">IFERROR(VLOOKUP(H2359,$AD$1:$AE$301,2,0),"")</f>
        <v>1002</v>
      </c>
      <c r="G2359" s="147" t="str">
        <f aca="false">IFERROR(VLOOKUP(F2359,$AE$2:$AF$290,2, 0),"")</f>
        <v>الوجه</v>
      </c>
      <c r="H2359" s="212" t="s">
        <v>116</v>
      </c>
      <c r="I2359" s="246" t="n">
        <f aca="false">SUM(K2359:R2359)</f>
        <v>6</v>
      </c>
      <c r="J2359" s="182" t="n">
        <v>46021</v>
      </c>
      <c r="K2359" s="148" t="n">
        <f aca="false">3+3</f>
        <v>6</v>
      </c>
      <c r="S2359" s="192" t="n">
        <f aca="false">(K2359+O2359+Q2359)*24 /1130+(L2359+M2359+P2359+R2359)*12/1130+(N2359*30)/1130</f>
        <v>0.127433628318584</v>
      </c>
    </row>
    <row r="2360" customFormat="false" ht="15" hidden="true" customHeight="true" outlineLevel="0" collapsed="false">
      <c r="A2360" s="128" t="n">
        <f aca="false">D2360+281.75-415</f>
        <v>4.75</v>
      </c>
      <c r="B2360" s="233" t="n">
        <f aca="false">B2359+D2360-C2360</f>
        <v>23235.75</v>
      </c>
      <c r="D2360" s="146" t="n">
        <f aca="false">138</f>
        <v>138</v>
      </c>
      <c r="E2360" s="147" t="n">
        <v>53001845</v>
      </c>
      <c r="F2360" s="147" t="n">
        <f aca="false">IFERROR(VLOOKUP(H2360,$AD$1:$AE$301,2,0),"")</f>
        <v>656</v>
      </c>
      <c r="G2360" s="147" t="str">
        <f aca="false">IFERROR(VLOOKUP(F2360,$AE$2:$AF$290,2, 0),"")</f>
        <v>الوجه</v>
      </c>
      <c r="H2360" s="212" t="s">
        <v>115</v>
      </c>
      <c r="I2360" s="246" t="n">
        <f aca="false">SUM(K2360:R2360)</f>
        <v>1</v>
      </c>
      <c r="J2360" s="182" t="n">
        <v>46021</v>
      </c>
      <c r="Q2360" s="154" t="n">
        <v>1</v>
      </c>
      <c r="S2360" s="192" t="n">
        <f aca="false">(K2360+O2360+Q2360)*24 /1130+(L2360+M2360+P2360+R2360)*12/1130+(N2360*30)/1130</f>
        <v>0.0212389380530973</v>
      </c>
    </row>
    <row r="2361" customFormat="false" ht="15" hidden="true" customHeight="true" outlineLevel="0" collapsed="false">
      <c r="A2361" s="128" t="n">
        <f aca="false">D2361-690</f>
        <v>0</v>
      </c>
      <c r="B2361" s="233" t="n">
        <f aca="false">B2360+D2361-C2361</f>
        <v>23925.75</v>
      </c>
      <c r="D2361" s="146" t="n">
        <f aca="false">345*2</f>
        <v>690</v>
      </c>
      <c r="E2361" s="147" t="n">
        <v>53001846</v>
      </c>
      <c r="F2361" s="147" t="n">
        <f aca="false">IFERROR(VLOOKUP(H2361,$AD$1:$AE$301,2,0),"")</f>
        <v>1008047</v>
      </c>
      <c r="G2361" s="147" t="str">
        <f aca="false">IFERROR(VLOOKUP(F2361,$AE$2:$AF$290,2, 0),"")</f>
        <v>الوجه</v>
      </c>
      <c r="H2361" s="212" t="s">
        <v>422</v>
      </c>
      <c r="I2361" s="246" t="n">
        <f aca="false">SUM(K2361:R2361)</f>
        <v>2</v>
      </c>
      <c r="J2361" s="182" t="n">
        <v>46021</v>
      </c>
      <c r="M2361" s="150" t="n">
        <v>2</v>
      </c>
      <c r="S2361" s="192" t="n">
        <f aca="false">(K2361+O2361+Q2361)*24 /1130+(L2361+M2361+P2361+R2361)*12/1130+(N2361*30)/1130</f>
        <v>0.0212389380530973</v>
      </c>
    </row>
    <row r="2362" customFormat="false" ht="15" hidden="true" customHeight="true" outlineLevel="0" collapsed="false">
      <c r="A2362" s="128" t="n">
        <f aca="false">D2362-563.5-370-67</f>
        <v>0</v>
      </c>
      <c r="B2362" s="233" t="n">
        <f aca="false">B2361+D2362-C2362</f>
        <v>24926.25</v>
      </c>
      <c r="D2362" s="146" t="n">
        <f aca="false">281.75*3+155.25</f>
        <v>1000.5</v>
      </c>
      <c r="E2362" s="147" t="n">
        <v>53001847</v>
      </c>
      <c r="F2362" s="147" t="n">
        <f aca="false">IFERROR(VLOOKUP(H2362,$AD$1:$AE$301,2,0),"")</f>
        <v>1008056</v>
      </c>
      <c r="G2362" s="147" t="str">
        <f aca="false">IFERROR(VLOOKUP(F2362,$AE$2:$AF$290,2, 0),"")</f>
        <v>تبوك</v>
      </c>
      <c r="H2362" s="212" t="s">
        <v>241</v>
      </c>
      <c r="I2362" s="246" t="n">
        <f aca="false">SUM(K2362:R2362)</f>
        <v>4</v>
      </c>
      <c r="J2362" s="182" t="n">
        <v>46022</v>
      </c>
      <c r="K2362" s="148" t="n">
        <f aca="false">2+1</f>
        <v>3</v>
      </c>
      <c r="R2362" s="155" t="n">
        <v>1</v>
      </c>
      <c r="S2362" s="192" t="n">
        <f aca="false">(K2362+O2362+Q2362)*24 /1130+(L2362+M2362+P2362+R2362)*12/1130+(N2362*30)/1130</f>
        <v>0.0743362831858407</v>
      </c>
    </row>
    <row r="2363" customFormat="false" ht="15" hidden="true" customHeight="true" outlineLevel="0" collapsed="false">
      <c r="B2363" s="233" t="n">
        <f aca="false">B2362+D2363-C2363</f>
        <v>15485.25</v>
      </c>
      <c r="C2363" s="127" t="n">
        <f aca="false">5060+3381+1000</f>
        <v>9441</v>
      </c>
      <c r="E2363" s="147" t="s">
        <v>667</v>
      </c>
      <c r="F2363" s="147" t="str">
        <f aca="false">IFERROR(VLOOKUP(H2363,$AD$1:$AE$301,2,0),"")</f>
        <v/>
      </c>
      <c r="G2363" s="147" t="str">
        <f aca="false">IFERROR(VLOOKUP(F2363,$AE$2:$AF$290,2, 0),"")</f>
        <v/>
      </c>
      <c r="H2363" s="212" t="s">
        <v>393</v>
      </c>
      <c r="I2363" s="246" t="n">
        <f aca="false">SUM(K2363:R2363)</f>
        <v>0</v>
      </c>
      <c r="J2363" s="182" t="n">
        <v>46022</v>
      </c>
      <c r="S2363" s="192" t="n">
        <f aca="false">(K2363+O2363+Q2363)*24 /1130+(L2363+M2363+P2363+R2363)*12/1130+(N2363*30)/1130</f>
        <v>0</v>
      </c>
    </row>
    <row r="2364" customFormat="false" ht="15" hidden="true" customHeight="true" outlineLevel="0" collapsed="false">
      <c r="B2364" s="233" t="n">
        <f aca="false">B2363+D2364-C2364</f>
        <v>10383.75</v>
      </c>
      <c r="C2364" s="127" t="n">
        <f aca="false">165+200+300+30+2000+610+241.5+165+845+545</f>
        <v>5101.5</v>
      </c>
      <c r="E2364" s="147" t="s">
        <v>666</v>
      </c>
      <c r="F2364" s="147" t="str">
        <f aca="false">IFERROR(VLOOKUP(H2364,$AD$1:$AE$301,2,0),"")</f>
        <v/>
      </c>
      <c r="G2364" s="147" t="str">
        <f aca="false">IFERROR(VLOOKUP(F2364,$AE$2:$AF$290,2, 0),"")</f>
        <v/>
      </c>
      <c r="H2364" s="212" t="s">
        <v>393</v>
      </c>
      <c r="I2364" s="246" t="n">
        <f aca="false">SUM(K2364:R2364)</f>
        <v>0</v>
      </c>
      <c r="J2364" s="182" t="n">
        <v>46022</v>
      </c>
      <c r="S2364" s="192" t="n">
        <f aca="false">(K2364+O2364+Q2364)*24 /1130+(L2364+M2364+P2364+R2364)*12/1130+(N2364*30)/1130</f>
        <v>0</v>
      </c>
    </row>
    <row r="2365" customFormat="false" ht="15" hidden="true" customHeight="true" outlineLevel="0" collapsed="false">
      <c r="A2365" s="128" t="n">
        <f aca="false">D2365-281.75-5*12-756.5</f>
        <v>0</v>
      </c>
      <c r="B2365" s="233" t="n">
        <f aca="false">B2364+D2365-C2365</f>
        <v>11482</v>
      </c>
      <c r="D2365" s="146" t="n">
        <f aca="false">281.75*3+253</f>
        <v>1098.25</v>
      </c>
      <c r="E2365" s="147" t="n">
        <v>53001848</v>
      </c>
      <c r="F2365" s="147" t="n">
        <f aca="false">IFERROR(VLOOKUP(H2365,$AD$1:$AE$301,2,0),"")</f>
        <v>943</v>
      </c>
      <c r="G2365" s="147" t="str">
        <f aca="false">IFERROR(VLOOKUP(F2365,$AE$2:$AF$290,2, 0),"")</f>
        <v>تبوك</v>
      </c>
      <c r="H2365" s="212" t="s">
        <v>259</v>
      </c>
      <c r="I2365" s="246" t="n">
        <f aca="false">SUM(K2365:R2365)</f>
        <v>4</v>
      </c>
      <c r="J2365" s="182" t="n">
        <v>46022</v>
      </c>
      <c r="K2365" s="148" t="n">
        <f aca="false">2+1</f>
        <v>3</v>
      </c>
      <c r="M2365" s="150" t="n">
        <v>1</v>
      </c>
      <c r="S2365" s="192" t="n">
        <f aca="false">(K2365+O2365+Q2365)*24 /1130+(L2365+M2365+P2365+R2365)*12/1130+(N2365*30)/1130</f>
        <v>0.0743362831858407</v>
      </c>
    </row>
    <row r="2366" customFormat="false" ht="15" hidden="true" customHeight="true" outlineLevel="0" collapsed="false">
      <c r="B2366" s="233" t="n">
        <f aca="false">B2365+D2366-C2366</f>
        <v>9774.5</v>
      </c>
      <c r="C2366" s="127" t="n">
        <f aca="false">1707.5</f>
        <v>1707.5</v>
      </c>
      <c r="E2366" s="147" t="s">
        <v>667</v>
      </c>
      <c r="F2366" s="147" t="str">
        <f aca="false">IFERROR(VLOOKUP(H2366,$AD$1:$AE$301,2,0),"")</f>
        <v/>
      </c>
      <c r="G2366" s="147" t="str">
        <f aca="false">IFERROR(VLOOKUP(F2366,$AE$2:$AF$290,2, 0),"")</f>
        <v/>
      </c>
      <c r="H2366" s="212" t="s">
        <v>393</v>
      </c>
      <c r="I2366" s="246" t="n">
        <f aca="false">SUM(K2366:R2366)</f>
        <v>0</v>
      </c>
      <c r="J2366" s="182" t="n">
        <v>46022</v>
      </c>
      <c r="S2366" s="192" t="n">
        <f aca="false">(K2366+O2366+Q2366)*24 /1130+(L2366+M2366+P2366+R2366)*12/1130+(N2366*30)/1130</f>
        <v>0</v>
      </c>
    </row>
    <row r="2367" customFormat="false" ht="15" hidden="true" customHeight="true" outlineLevel="0" collapsed="false">
      <c r="B2367" s="233" t="n">
        <f aca="false">B2366+D2367-C2367</f>
        <v>8518</v>
      </c>
      <c r="C2367" s="127" t="n">
        <f aca="false">500+756.5</f>
        <v>1256.5</v>
      </c>
      <c r="E2367" s="147" t="s">
        <v>666</v>
      </c>
      <c r="F2367" s="147" t="str">
        <f aca="false">IFERROR(VLOOKUP(H2367,$AD$1:$AE$301,2,0),"")</f>
        <v/>
      </c>
      <c r="G2367" s="147" t="str">
        <f aca="false">IFERROR(VLOOKUP(F2367,$AE$2:$AF$290,2, 0),"")</f>
        <v/>
      </c>
      <c r="H2367" s="212" t="s">
        <v>393</v>
      </c>
      <c r="I2367" s="246" t="n">
        <f aca="false">SUM(K2367:R2367)</f>
        <v>0</v>
      </c>
      <c r="J2367" s="182" t="n">
        <v>46022</v>
      </c>
      <c r="S2367" s="192" t="n">
        <f aca="false">(K2367+O2367+Q2367)*24 /1130+(L2367+M2367+P2367+R2367)*12/1130+(N2367*30)/1130</f>
        <v>0</v>
      </c>
    </row>
    <row r="2368" customFormat="false" ht="15" hidden="true" customHeight="true" outlineLevel="0" collapsed="false">
      <c r="B2368" s="233" t="n">
        <f aca="false">B2367+D2368-C2368</f>
        <v>3288</v>
      </c>
      <c r="C2368" s="127" t="n">
        <f aca="false">5230</f>
        <v>5230</v>
      </c>
      <c r="E2368" s="147" t="s">
        <v>668</v>
      </c>
      <c r="F2368" s="147" t="str">
        <f aca="false">IFERROR(VLOOKUP(H2368,$AD$1:$AE$301,2,0),"")</f>
        <v/>
      </c>
      <c r="G2368" s="147" t="str">
        <f aca="false">IFERROR(VLOOKUP(F2368,$AE$2:$AF$290,2, 0),"")</f>
        <v/>
      </c>
      <c r="H2368" s="212" t="s">
        <v>393</v>
      </c>
      <c r="I2368" s="246" t="n">
        <f aca="false">SUM(K2368:R2368)</f>
        <v>0</v>
      </c>
      <c r="J2368" s="182" t="n">
        <v>46022</v>
      </c>
      <c r="S2368" s="192" t="n">
        <f aca="false">(K2368+O2368+Q2368)*24 /1130+(L2368+M2368+P2368+R2368)*12/1130+(N2368*30)/1130</f>
        <v>0</v>
      </c>
    </row>
    <row r="2369" customFormat="false" ht="15" hidden="true" customHeight="true" outlineLevel="0" collapsed="false">
      <c r="B2369" s="233" t="n">
        <f aca="false">B2368+D2369-C2369</f>
        <v>1968</v>
      </c>
      <c r="C2369" s="127" t="n">
        <f aca="false">500+820</f>
        <v>1320</v>
      </c>
      <c r="E2369" s="147" t="s">
        <v>667</v>
      </c>
      <c r="F2369" s="147" t="str">
        <f aca="false">IFERROR(VLOOKUP(H2369,$AD$1:$AE$301,2,0),"")</f>
        <v/>
      </c>
      <c r="G2369" s="147" t="str">
        <f aca="false">IFERROR(VLOOKUP(F2369,$AE$2:$AF$290,2, 0),"")</f>
        <v/>
      </c>
      <c r="H2369" s="212" t="s">
        <v>393</v>
      </c>
      <c r="I2369" s="246" t="n">
        <f aca="false">SUM(K2369:R2369)</f>
        <v>0</v>
      </c>
      <c r="J2369" s="182" t="n">
        <v>46022</v>
      </c>
      <c r="S2369" s="192" t="n">
        <f aca="false">(K2369+O2369+Q2369)*24 /1130+(L2369+M2369+P2369+R2369)*12/1130+(N2369*30)/1130</f>
        <v>0</v>
      </c>
    </row>
    <row r="2370" customFormat="false" ht="15" hidden="true" customHeight="true" outlineLevel="0" collapsed="false">
      <c r="B2370" s="233" t="n">
        <f aca="false">B2369+D2370-C2370</f>
        <v>0</v>
      </c>
      <c r="C2370" s="127" t="n">
        <f aca="false">1633+335</f>
        <v>1968</v>
      </c>
      <c r="E2370" s="147" t="s">
        <v>675</v>
      </c>
      <c r="F2370" s="147" t="str">
        <f aca="false">IFERROR(VLOOKUP(#REF!,$AD$1:$AE$301,2,0),"")</f>
        <v/>
      </c>
      <c r="G2370" s="147" t="str">
        <f aca="false">IFERROR(VLOOKUP(F2370,$AE$2:$AF$290,2, 0),"")</f>
        <v/>
      </c>
      <c r="H2370" s="212" t="s">
        <v>393</v>
      </c>
      <c r="I2370" s="246" t="n">
        <f aca="false">SUM(K2370:R2370)</f>
        <v>0</v>
      </c>
      <c r="J2370" s="182" t="n">
        <v>46022</v>
      </c>
      <c r="S2370" s="192" t="n">
        <f aca="false">(K2370+O2370+Q2370)*24 /1130+(L2370+M2370+P2370+R2370)*12/1130+(N2370*30)/1130</f>
        <v>0</v>
      </c>
    </row>
    <row r="2371" customFormat="false" ht="15" hidden="true" customHeight="true" outlineLevel="0" collapsed="false">
      <c r="A2371" s="128" t="n">
        <f aca="false">D2371+506-550-250-650</f>
        <v>-1</v>
      </c>
      <c r="B2371" s="233" t="n">
        <f aca="false">B2370+D2371-C2371</f>
        <v>943</v>
      </c>
      <c r="D2371" s="146" t="n">
        <f aca="false">241.5*2+230*2</f>
        <v>943</v>
      </c>
      <c r="E2371" s="147" t="n">
        <v>53001849</v>
      </c>
      <c r="F2371" s="147" t="n">
        <f aca="false">IFERROR(VLOOKUP(H2371,$AD$1:$AE$301,2,0),"")</f>
        <v>1008030</v>
      </c>
      <c r="G2371" s="147" t="str">
        <f aca="false">IFERROR(VLOOKUP(F2371,$AE$2:$AF$290,2, 0),"")</f>
        <v>البير</v>
      </c>
      <c r="H2371" s="212" t="s">
        <v>298</v>
      </c>
      <c r="I2371" s="246" t="n">
        <f aca="false">SUM(K2371:R2371)</f>
        <v>4</v>
      </c>
      <c r="J2371" s="182" t="n">
        <v>46026</v>
      </c>
      <c r="M2371" s="150" t="n">
        <f aca="false">2</f>
        <v>2</v>
      </c>
      <c r="Q2371" s="154" t="n">
        <f aca="false">1+1</f>
        <v>2</v>
      </c>
      <c r="S2371" s="192" t="n">
        <f aca="false">(K2371+O2371+Q2371)*24 /1130+(L2371+M2371+P2371+R2371)*12/1130+(N2371*30)/1130</f>
        <v>0.063716814159292</v>
      </c>
    </row>
    <row r="2372" customFormat="false" ht="15" hidden="true" customHeight="true" outlineLevel="0" collapsed="false">
      <c r="A2372" s="128" t="n">
        <f aca="false">D2372+281+759-1200-5*8-2*2-233</f>
        <v>0</v>
      </c>
      <c r="B2372" s="233" t="n">
        <f aca="false">B2371+D2372-C2372</f>
        <v>1380</v>
      </c>
      <c r="D2372" s="146" t="n">
        <f aca="false">195.5+241.5</f>
        <v>437</v>
      </c>
      <c r="E2372" s="147" t="n">
        <v>53001850</v>
      </c>
      <c r="F2372" s="147" t="n">
        <f aca="false">IFERROR(VLOOKUP(H2372,$AD$1:$AE$301,2,0),"")</f>
        <v>1007996</v>
      </c>
      <c r="G2372" s="147" t="str">
        <f aca="false">IFERROR(VLOOKUP(F2372,$AE$2:$AF$290,2, 0),"")</f>
        <v>البير</v>
      </c>
      <c r="H2372" s="212" t="s">
        <v>295</v>
      </c>
      <c r="I2372" s="246" t="n">
        <f aca="false">SUM(K2372:R2372)</f>
        <v>2</v>
      </c>
      <c r="J2372" s="182" t="n">
        <v>46026</v>
      </c>
      <c r="Q2372" s="154" t="n">
        <f aca="false">1+1</f>
        <v>2</v>
      </c>
      <c r="S2372" s="192" t="n">
        <f aca="false">(K2372+O2372+Q2372)*24 /1130+(L2372+M2372+P2372+R2372)*12/1130+(N2372*30)/1130</f>
        <v>0.0424778761061947</v>
      </c>
    </row>
    <row r="2373" customFormat="false" ht="15" hidden="true" customHeight="true" outlineLevel="0" collapsed="false">
      <c r="B2373" s="233" t="n">
        <f aca="false">B2372+D2373-C2373</f>
        <v>1535.25</v>
      </c>
      <c r="D2373" s="146" t="n">
        <f aca="false">155.25</f>
        <v>155.25</v>
      </c>
      <c r="E2373" s="147" t="n">
        <v>53001851</v>
      </c>
      <c r="F2373" s="147" t="n">
        <f aca="false">IFERROR(VLOOKUP(H2373,$AD$1:$AE$301,2,0),"")</f>
        <v>979</v>
      </c>
      <c r="G2373" s="147" t="str">
        <f aca="false">IFERROR(VLOOKUP(F2373,$AE$2:$AF$290,2, 0),"")</f>
        <v>تبوك</v>
      </c>
      <c r="H2373" s="212" t="s">
        <v>136</v>
      </c>
      <c r="I2373" s="246" t="n">
        <f aca="false">SUM(K2373:R2373)</f>
        <v>1</v>
      </c>
      <c r="J2373" s="182" t="n">
        <v>46026</v>
      </c>
      <c r="R2373" s="155" t="n">
        <v>1</v>
      </c>
      <c r="S2373" s="192" t="n">
        <f aca="false">(K2373+O2373+Q2373)*24 /1130+(L2373+M2373+P2373+R2373)*12/1130+(N2373*30)/1130</f>
        <v>0.0106194690265487</v>
      </c>
    </row>
    <row r="2374" customFormat="false" ht="15" hidden="true" customHeight="true" outlineLevel="0" collapsed="false">
      <c r="B2374" s="233" t="n">
        <f aca="false">B2373+D2374-C2374</f>
        <v>0.75</v>
      </c>
      <c r="C2374" s="127" t="n">
        <f aca="false">1335+199.5</f>
        <v>1534.5</v>
      </c>
      <c r="E2374" s="147" t="s">
        <v>667</v>
      </c>
      <c r="F2374" s="147" t="str">
        <f aca="false">IFERROR(VLOOKUP(H2374,$AD$1:$AE$301,2,0),"")</f>
        <v/>
      </c>
      <c r="G2374" s="147" t="str">
        <f aca="false">IFERROR(VLOOKUP(F2374,$AE$2:$AF$290,2, 0),"")</f>
        <v/>
      </c>
      <c r="H2374" s="212" t="s">
        <v>393</v>
      </c>
      <c r="I2374" s="246" t="n">
        <f aca="false">SUM(K2374:R2374)</f>
        <v>0</v>
      </c>
      <c r="J2374" s="182" t="n">
        <v>46026</v>
      </c>
      <c r="S2374" s="192" t="n">
        <f aca="false">(K2374+O2374+Q2374)*24 /1130+(L2374+M2374+P2374+R2374)*12/1130+(N2374*30)/1130</f>
        <v>0</v>
      </c>
    </row>
    <row r="2375" customFormat="false" ht="15" hidden="true" customHeight="true" outlineLevel="0" collapsed="false">
      <c r="B2375" s="233" t="n">
        <f aca="false">B2374+D2375-C2375</f>
        <v>1967.25</v>
      </c>
      <c r="D2375" s="146" t="n">
        <f aca="false">6*327.75</f>
        <v>1966.5</v>
      </c>
      <c r="E2375" s="147" t="n">
        <v>53001852</v>
      </c>
      <c r="F2375" s="147" t="n">
        <f aca="false">IFERROR(VLOOKUP(H2375,$AD$1:$AE$301,2,0),"")</f>
        <v>1007965</v>
      </c>
      <c r="G2375" s="147" t="str">
        <f aca="false">IFERROR(VLOOKUP(F2375,$AE$2:$AF$290,2, 0),"")</f>
        <v>البير</v>
      </c>
      <c r="H2375" s="212" t="s">
        <v>290</v>
      </c>
      <c r="I2375" s="246" t="n">
        <f aca="false">SUM(K2375:R2375)</f>
        <v>7</v>
      </c>
      <c r="J2375" s="182" t="n">
        <v>46027</v>
      </c>
      <c r="K2375" s="148" t="n">
        <f aca="false">5+2</f>
        <v>7</v>
      </c>
      <c r="S2375" s="192" t="n">
        <f aca="false">(K2375+O2375+Q2375)*24 /1130+(L2375+M2375+P2375+R2375)*12/1130+(N2375*30)/1130</f>
        <v>0.148672566371681</v>
      </c>
    </row>
    <row r="2376" customFormat="false" ht="15" hidden="true" customHeight="true" outlineLevel="0" collapsed="false">
      <c r="B2376" s="233" t="n">
        <f aca="false">B2375+D2376-C2376</f>
        <v>0</v>
      </c>
      <c r="C2376" s="127" t="n">
        <f aca="false">517.5+377+281.75+104+319+310.5+58</f>
        <v>1967.75</v>
      </c>
      <c r="D2376" s="146" t="n">
        <v>0.5</v>
      </c>
      <c r="E2376" s="147" t="s">
        <v>675</v>
      </c>
      <c r="F2376" s="147" t="str">
        <f aca="false">IFERROR(VLOOKUP(H2376,$AD$1:$AE$301,2,0),"")</f>
        <v/>
      </c>
      <c r="G2376" s="147" t="str">
        <f aca="false">IFERROR(VLOOKUP(F2376,$AE$2:$AF$290,2, 0),"")</f>
        <v/>
      </c>
      <c r="H2376" s="212" t="s">
        <v>393</v>
      </c>
      <c r="I2376" s="246" t="n">
        <f aca="false">SUM(K2376:R2376)</f>
        <v>0</v>
      </c>
      <c r="J2376" s="182" t="n">
        <v>46028</v>
      </c>
      <c r="S2376" s="192" t="n">
        <f aca="false">(K2376+O2376+Q2376)*24 /1130+(L2376+M2376+P2376+R2376)*12/1130+(N2376*30)/1130</f>
        <v>0</v>
      </c>
    </row>
    <row r="2377" customFormat="false" ht="15" hidden="true" customHeight="true" outlineLevel="0" collapsed="false">
      <c r="B2377" s="233" t="n">
        <f aca="false">B2376+D2377-C2377</f>
        <v>155.25</v>
      </c>
      <c r="D2377" s="146" t="n">
        <v>155.25</v>
      </c>
      <c r="E2377" s="147" t="n">
        <v>53001853</v>
      </c>
      <c r="F2377" s="147" t="n">
        <f aca="false">IFERROR(VLOOKUP(H2377,$AD$1:$AE$301,2,0),"")</f>
        <v>1008022</v>
      </c>
      <c r="G2377" s="147" t="str">
        <f aca="false">IFERROR(VLOOKUP(F2377,$AE$2:$AF$290,2, 0),"")</f>
        <v>ضباء</v>
      </c>
      <c r="H2377" s="212" t="s">
        <v>94</v>
      </c>
      <c r="I2377" s="246" t="n">
        <f aca="false">SUM(K2377:R2377)</f>
        <v>1</v>
      </c>
      <c r="J2377" s="182" t="n">
        <v>46028</v>
      </c>
      <c r="R2377" s="155" t="n">
        <v>1</v>
      </c>
      <c r="S2377" s="192" t="n">
        <f aca="false">(K2377+O2377+Q2377)*24 /1130+(L2377+M2377+P2377+R2377)*12/1130+(N2377*30)/1130</f>
        <v>0.0106194690265487</v>
      </c>
    </row>
    <row r="2378" customFormat="false" ht="15" hidden="true" customHeight="true" outlineLevel="0" collapsed="false">
      <c r="B2378" s="233" t="n">
        <f aca="false">B2377+D2378-C2378</f>
        <v>396.75</v>
      </c>
      <c r="D2378" s="146" t="n">
        <v>241.5</v>
      </c>
      <c r="E2378" s="147" t="n">
        <v>53001854</v>
      </c>
      <c r="F2378" s="147" t="n">
        <f aca="false">IFERROR(VLOOKUP(H2378,$AD$1:$AE$301,2,0),"")</f>
        <v>1007988</v>
      </c>
      <c r="G2378" s="147" t="str">
        <f aca="false">IFERROR(VLOOKUP(F2378,$AE$2:$AF$290,2, 0),"")</f>
        <v>ضباء</v>
      </c>
      <c r="H2378" s="212" t="s">
        <v>89</v>
      </c>
      <c r="I2378" s="246" t="n">
        <f aca="false">SUM(K2378:R2378)</f>
        <v>1</v>
      </c>
      <c r="J2378" s="182" t="n">
        <v>46028</v>
      </c>
      <c r="O2378" s="152" t="n">
        <v>1</v>
      </c>
      <c r="S2378" s="192" t="n">
        <f aca="false">(K2378+O2378+Q2378)*24 /1130+(L2378+M2378+P2378+R2378)*12/1130+(N2378*30)/1130</f>
        <v>0.0212389380530973</v>
      </c>
    </row>
    <row r="2379" customFormat="false" ht="15" hidden="true" customHeight="true" outlineLevel="0" collapsed="false">
      <c r="B2379" s="233" t="n">
        <f aca="false">B2378+D2379-C2379</f>
        <v>2363.25</v>
      </c>
      <c r="D2379" s="146" t="n">
        <f aca="false">293.25*2+345*4</f>
        <v>1966.5</v>
      </c>
      <c r="E2379" s="147" t="n">
        <v>53001855</v>
      </c>
      <c r="F2379" s="147" t="n">
        <f aca="false">IFERROR(VLOOKUP(H2379,$AD$1:$AE$301,2,0),"")</f>
        <v>1007988</v>
      </c>
      <c r="G2379" s="147" t="str">
        <f aca="false">IFERROR(VLOOKUP(F2379,$AE$2:$AF$290,2, 0),"")</f>
        <v>ضباء</v>
      </c>
      <c r="H2379" s="212" t="s">
        <v>89</v>
      </c>
      <c r="I2379" s="246" t="n">
        <f aca="false">SUM(K2379:R2379)</f>
        <v>7</v>
      </c>
      <c r="J2379" s="182" t="n">
        <v>46028</v>
      </c>
      <c r="M2379" s="150" t="n">
        <f aca="false">4+2+1</f>
        <v>7</v>
      </c>
      <c r="S2379" s="192" t="n">
        <f aca="false">(K2379+O2379+Q2379)*24 /1130+(L2379+M2379+P2379+R2379)*12/1130+(N2379*30)/1130</f>
        <v>0.0743362831858407</v>
      </c>
    </row>
    <row r="2380" customFormat="false" ht="15" hidden="true" customHeight="true" outlineLevel="0" collapsed="false">
      <c r="B2380" s="233" t="n">
        <f aca="false">B2379+D2380-C2380</f>
        <v>2823.25</v>
      </c>
      <c r="D2380" s="146" t="n">
        <f aca="false">2*230</f>
        <v>460</v>
      </c>
      <c r="E2380" s="147" t="n">
        <v>53001856</v>
      </c>
      <c r="F2380" s="147" t="n">
        <f aca="false">IFERROR(VLOOKUP(H2380,$AD$1:$AE$301,2,0),"")</f>
        <v>1008025</v>
      </c>
      <c r="G2380" s="147" t="str">
        <f aca="false">IFERROR(VLOOKUP(F2380,$AE$2:$AF$290,2, 0),"")</f>
        <v>ضباء</v>
      </c>
      <c r="H2380" s="212" t="s">
        <v>97</v>
      </c>
      <c r="I2380" s="246" t="n">
        <f aca="false">SUM(K2380:R2380)</f>
        <v>2</v>
      </c>
      <c r="J2380" s="182" t="n">
        <v>46028</v>
      </c>
      <c r="M2380" s="150" t="n">
        <v>2</v>
      </c>
      <c r="S2380" s="192" t="n">
        <f aca="false">(K2380+O2380+Q2380)*24 /1130+(L2380+M2380+P2380+R2380)*12/1130+(N2380*30)/1130</f>
        <v>0.0212389380530973</v>
      </c>
    </row>
    <row r="2381" customFormat="false" ht="15" hidden="true" customHeight="true" outlineLevel="0" collapsed="false">
      <c r="B2381" s="233" t="n">
        <f aca="false">B2380+D2381-C2381</f>
        <v>3064.75</v>
      </c>
      <c r="D2381" s="146" t="n">
        <v>241.5</v>
      </c>
      <c r="E2381" s="147" t="n">
        <v>53001857</v>
      </c>
      <c r="F2381" s="147" t="n">
        <f aca="false">IFERROR(VLOOKUP(H2381,$AD$1:$AE$301,2,0),"")</f>
        <v>1008050</v>
      </c>
      <c r="G2381" s="147" t="str">
        <f aca="false">IFERROR(VLOOKUP(F2381,$AE$2:$AF$290,2, 0),"")</f>
        <v>ضباء</v>
      </c>
      <c r="H2381" s="212" t="s">
        <v>92</v>
      </c>
      <c r="I2381" s="246" t="n">
        <f aca="false">SUM(K2381:R2381)</f>
        <v>1</v>
      </c>
      <c r="J2381" s="182" t="n">
        <v>46028</v>
      </c>
      <c r="O2381" s="152" t="n">
        <v>1</v>
      </c>
      <c r="S2381" s="192" t="n">
        <f aca="false">(K2381+O2381+Q2381)*24 /1130+(L2381+M2381+P2381+R2381)*12/1130+(N2381*30)/1130</f>
        <v>0.0212389380530973</v>
      </c>
    </row>
    <row r="2382" customFormat="false" ht="15" hidden="true" customHeight="true" outlineLevel="0" collapsed="false">
      <c r="B2382" s="233" t="n">
        <f aca="false">B2381+D2382-C2382</f>
        <v>5031.25</v>
      </c>
      <c r="D2382" s="146" t="n">
        <f aca="false">327.75*6</f>
        <v>1966.5</v>
      </c>
      <c r="E2382" s="147" t="n">
        <v>53001858</v>
      </c>
      <c r="F2382" s="147" t="n">
        <f aca="false">IFERROR(VLOOKUP(H2382,$AD$1:$AE$301,2,0),"")</f>
        <v>1008054</v>
      </c>
      <c r="G2382" s="147" t="str">
        <f aca="false">IFERROR(VLOOKUP(F2382,$AE$2:$AF$290,2, 0),"")</f>
        <v>الوجه</v>
      </c>
      <c r="H2382" s="212" t="s">
        <v>112</v>
      </c>
      <c r="I2382" s="246" t="n">
        <f aca="false">SUM(K2382:R2382)</f>
        <v>7</v>
      </c>
      <c r="J2382" s="182" t="n">
        <v>46028</v>
      </c>
      <c r="K2382" s="148" t="n">
        <f aca="false">6+1</f>
        <v>7</v>
      </c>
      <c r="S2382" s="192" t="n">
        <f aca="false">(K2382+O2382+Q2382)*24 /1130+(L2382+M2382+P2382+R2382)*12/1130+(N2382*30)/1130</f>
        <v>0.148672566371681</v>
      </c>
    </row>
    <row r="2383" customFormat="false" ht="15" hidden="true" customHeight="true" outlineLevel="0" collapsed="false">
      <c r="B2383" s="233" t="n">
        <f aca="false">B2382+D2383-C2383</f>
        <v>7135.75</v>
      </c>
      <c r="D2383" s="146" t="n">
        <f aca="false">327.75*6+138</f>
        <v>2104.5</v>
      </c>
      <c r="E2383" s="147" t="n">
        <v>53001859</v>
      </c>
      <c r="F2383" s="147" t="n">
        <f aca="false">IFERROR(VLOOKUP(H2383,$AD$1:$AE$301,2,0),"")</f>
        <v>1002</v>
      </c>
      <c r="G2383" s="147" t="str">
        <f aca="false">IFERROR(VLOOKUP(F2383,$AE$2:$AF$290,2, 0),"")</f>
        <v>الوجه</v>
      </c>
      <c r="H2383" s="212" t="s">
        <v>116</v>
      </c>
      <c r="I2383" s="246" t="n">
        <f aca="false">SUM(K2383:R2383)</f>
        <v>8</v>
      </c>
      <c r="J2383" s="182" t="n">
        <v>46028</v>
      </c>
      <c r="K2383" s="148" t="n">
        <f aca="false">3+4</f>
        <v>7</v>
      </c>
      <c r="Q2383" s="154" t="n">
        <v>1</v>
      </c>
      <c r="S2383" s="192" t="n">
        <f aca="false">(K2383+O2383+Q2383)*24 /1130+(L2383+M2383+P2383+R2383)*12/1130+(N2383*30)/1130</f>
        <v>0.169911504424779</v>
      </c>
    </row>
    <row r="2384" customFormat="false" ht="15" hidden="true" customHeight="true" outlineLevel="0" collapsed="false">
      <c r="A2384" s="128" t="n">
        <f aca="false">D2384+825-2000-1038</f>
        <v>0.75</v>
      </c>
      <c r="B2384" s="233" t="n">
        <f aca="false">B2383+D2384-C2384</f>
        <v>9349.5</v>
      </c>
      <c r="D2384" s="146" t="n">
        <f aca="false">2213.75</f>
        <v>2213.75</v>
      </c>
      <c r="E2384" s="147" t="n">
        <v>53001860</v>
      </c>
      <c r="F2384" s="147" t="n">
        <f aca="false">IFERROR(VLOOKUP(H2384,$AD$1:$AE$301,2,0),"")</f>
        <v>1033</v>
      </c>
      <c r="G2384" s="147" t="str">
        <f aca="false">IFERROR(VLOOKUP(F2384,$AE$2:$AF$290,2, 0),"")</f>
        <v>الوجه</v>
      </c>
      <c r="H2384" s="212" t="s">
        <v>117</v>
      </c>
      <c r="I2384" s="246" t="n">
        <f aca="false">SUM(K2384:R2384)</f>
        <v>8</v>
      </c>
      <c r="J2384" s="182" t="n">
        <v>46028</v>
      </c>
      <c r="N2384" s="151" t="n">
        <v>8</v>
      </c>
      <c r="S2384" s="192" t="n">
        <f aca="false">(K2384+O2384+Q2384)*24 /1130+(L2384+M2384+P2384+R2384)*12/1130+(N2384*30)/1130</f>
        <v>0.212389380530973</v>
      </c>
    </row>
    <row r="2385" customFormat="false" ht="15" hidden="true" customHeight="true" outlineLevel="0" collapsed="false">
      <c r="A2385" s="128" t="n">
        <f aca="false">D2385+293.25-1000-1259.75</f>
        <v>0</v>
      </c>
      <c r="B2385" s="233" t="n">
        <f aca="false">B2384+D2385-C2385</f>
        <v>11316</v>
      </c>
      <c r="D2385" s="146" t="n">
        <f aca="false">327.75*6</f>
        <v>1966.5</v>
      </c>
      <c r="E2385" s="147" t="n">
        <v>53001861</v>
      </c>
      <c r="F2385" s="147" t="n">
        <f aca="false">IFERROR(VLOOKUP(H2385,$AD$1:$AE$301,2,0),"")</f>
        <v>1008045</v>
      </c>
      <c r="G2385" s="147" t="str">
        <f aca="false">IFERROR(VLOOKUP(F2385,$AE$2:$AF$290,2, 0),"")</f>
        <v>الوجه</v>
      </c>
      <c r="H2385" s="212" t="s">
        <v>107</v>
      </c>
      <c r="I2385" s="246" t="n">
        <f aca="false">SUM(K2385:R2385)</f>
        <v>7</v>
      </c>
      <c r="J2385" s="182" t="n">
        <v>46028</v>
      </c>
      <c r="K2385" s="148" t="n">
        <f aca="false">7</f>
        <v>7</v>
      </c>
      <c r="S2385" s="192" t="n">
        <f aca="false">(K2385+O2385+Q2385)*24 /1130+(L2385+M2385+P2385+R2385)*12/1130+(N2385*30)/1130</f>
        <v>0.148672566371681</v>
      </c>
    </row>
    <row r="2386" customFormat="false" ht="15" hidden="true" customHeight="true" outlineLevel="0" collapsed="false">
      <c r="A2386" s="128" t="n">
        <f aca="false">D2386+293.25+293.25*2+690-1705</f>
        <v>2.75</v>
      </c>
      <c r="B2386" s="233" t="n">
        <f aca="false">B2385+D2386-C2386</f>
        <v>11454</v>
      </c>
      <c r="D2386" s="146" t="n">
        <f aca="false">138</f>
        <v>138</v>
      </c>
      <c r="E2386" s="147" t="n">
        <v>53001862</v>
      </c>
      <c r="F2386" s="147" t="n">
        <f aca="false">IFERROR(VLOOKUP(H2386,$AD$1:$AE$301,2,0),"")</f>
        <v>1008047</v>
      </c>
      <c r="G2386" s="147" t="str">
        <f aca="false">IFERROR(VLOOKUP(F2386,$AE$2:$AF$290,2, 0),"")</f>
        <v>الوجه</v>
      </c>
      <c r="H2386" s="212" t="s">
        <v>422</v>
      </c>
      <c r="I2386" s="246" t="n">
        <f aca="false">SUM(K2386:R2386)</f>
        <v>1</v>
      </c>
      <c r="J2386" s="182" t="n">
        <v>46028</v>
      </c>
      <c r="Q2386" s="154" t="n">
        <v>1</v>
      </c>
      <c r="S2386" s="192" t="n">
        <f aca="false">(K2386+O2386+Q2386)*24 /1130+(L2386+M2386+P2386+R2386)*12/1130+(N2386*30)/1130</f>
        <v>0.0212389380530973</v>
      </c>
    </row>
    <row r="2387" customFormat="false" ht="15" hidden="true" customHeight="true" outlineLevel="0" collapsed="false">
      <c r="B2387" s="233" t="n">
        <f aca="false">B2386+D2387-C2387</f>
        <v>9286</v>
      </c>
      <c r="C2387" s="127" t="n">
        <f aca="false">745+1200+223</f>
        <v>2168</v>
      </c>
      <c r="E2387" s="147" t="s">
        <v>675</v>
      </c>
      <c r="F2387" s="147" t="str">
        <f aca="false">IFERROR(VLOOKUP(H2387,$AD$1:$AE$301,2,0),"")</f>
        <v/>
      </c>
      <c r="G2387" s="147" t="str">
        <f aca="false">IFERROR(VLOOKUP(F2387,$AE$2:$AF$290,2, 0),"")</f>
        <v/>
      </c>
      <c r="H2387" s="212" t="s">
        <v>393</v>
      </c>
      <c r="I2387" s="246" t="n">
        <f aca="false">SUM(K2387:R2387)</f>
        <v>0</v>
      </c>
      <c r="J2387" s="182" t="n">
        <v>46028</v>
      </c>
      <c r="S2387" s="192" t="n">
        <f aca="false">(K2387+O2387+Q2387)*24 /1130+(L2387+M2387+P2387+R2387)*12/1130+(N2387*30)/1130</f>
        <v>0</v>
      </c>
    </row>
    <row r="2388" customFormat="false" ht="15" hidden="true" customHeight="true" outlineLevel="0" collapsed="false">
      <c r="B2388" s="233" t="n">
        <f aca="false">B2387+D2388-C2388</f>
        <v>3673</v>
      </c>
      <c r="C2388" s="127" t="n">
        <f aca="false">497+1035+55+281+745+2000+1000</f>
        <v>5613</v>
      </c>
      <c r="E2388" s="147" t="s">
        <v>675</v>
      </c>
      <c r="F2388" s="147" t="str">
        <f aca="false">IFERROR(VLOOKUP(H2388,$AD$1:$AE$301,2,0),"")</f>
        <v/>
      </c>
      <c r="G2388" s="147" t="str">
        <f aca="false">IFERROR(VLOOKUP(F2388,$AE$2:$AF$290,2, 0),"")</f>
        <v/>
      </c>
      <c r="H2388" s="212" t="s">
        <v>393</v>
      </c>
      <c r="I2388" s="246" t="n">
        <f aca="false">SUM(K2388:R2388)</f>
        <v>0</v>
      </c>
      <c r="J2388" s="182" t="n">
        <v>46028</v>
      </c>
      <c r="S2388" s="192" t="n">
        <f aca="false">(K2388+O2388+Q2388)*24 /1130+(L2388+M2388+P2388+R2388)*12/1130+(N2388*30)/1130</f>
        <v>0</v>
      </c>
    </row>
    <row r="2389" customFormat="false" ht="15" hidden="true" customHeight="true" outlineLevel="0" collapsed="false">
      <c r="B2389" s="233" t="n">
        <f aca="false">B2388+D2389-C2389</f>
        <v>0</v>
      </c>
      <c r="C2389" s="386" t="n">
        <v>3673</v>
      </c>
      <c r="E2389" s="147" t="s">
        <v>668</v>
      </c>
      <c r="F2389" s="147" t="str">
        <f aca="false">IFERROR(VLOOKUP(H2389,$AD$1:$AE$301,2,0),"")</f>
        <v/>
      </c>
      <c r="G2389" s="147" t="str">
        <f aca="false">IFERROR(VLOOKUP(F2389,$AE$2:$AF$290,2, 0),"")</f>
        <v/>
      </c>
      <c r="H2389" s="212" t="s">
        <v>393</v>
      </c>
      <c r="I2389" s="246" t="n">
        <f aca="false">SUM(K2389:R2389)</f>
        <v>0</v>
      </c>
      <c r="J2389" s="182" t="n">
        <v>46029</v>
      </c>
      <c r="S2389" s="192" t="n">
        <f aca="false">(K2389+O2389+Q2389)*24 /1130+(L2389+M2389+P2389+R2389)*12/1130+(N2389*30)/1130</f>
        <v>0</v>
      </c>
    </row>
    <row r="2390" customFormat="false" ht="15" hidden="true" customHeight="true" outlineLevel="0" collapsed="false">
      <c r="A2390" s="128" t="n">
        <f aca="false">D2390-250</f>
        <v>3</v>
      </c>
      <c r="B2390" s="233" t="n">
        <f aca="false">B2389+D2390-C2390</f>
        <v>253</v>
      </c>
      <c r="D2390" s="146" t="n">
        <f aca="false">253</f>
        <v>253</v>
      </c>
      <c r="E2390" s="147" t="n">
        <v>53001866</v>
      </c>
      <c r="F2390" s="147" t="n">
        <f aca="false">IFERROR(VLOOKUP(H2390,$AD$1:$AE$301,2,0),"")</f>
        <v>1004</v>
      </c>
      <c r="G2390" s="147" t="str">
        <f aca="false">IFERROR(VLOOKUP(F2390,$AE$2:$AF$290,2, 0),"")</f>
        <v>تبوك</v>
      </c>
      <c r="H2390" s="212" t="s">
        <v>181</v>
      </c>
      <c r="I2390" s="246" t="n">
        <f aca="false">SUM(K2390:R2390)</f>
        <v>1</v>
      </c>
      <c r="J2390" s="182" t="n">
        <v>46029</v>
      </c>
      <c r="M2390" s="150" t="n">
        <v>1</v>
      </c>
      <c r="S2390" s="192" t="n">
        <f aca="false">(K2390+O2390+Q2390)*24 /1130+(L2390+M2390+P2390+R2390)*12/1130+(N2390*30)/1130</f>
        <v>0.0106194690265487</v>
      </c>
    </row>
    <row r="2391" customFormat="false" ht="15" hidden="true" customHeight="true" outlineLevel="0" collapsed="false">
      <c r="A2391" s="128" t="n">
        <f aca="false">D2391-879.75+561.86-160-220-290-105-155-114-135-5-76-181</f>
        <v>0.610000000000127</v>
      </c>
      <c r="B2391" s="233" t="n">
        <f aca="false">B2390+D2391-C2391</f>
        <v>2012.5</v>
      </c>
      <c r="D2391" s="146" t="n">
        <f aca="false">293.25*6</f>
        <v>1759.5</v>
      </c>
      <c r="E2391" s="147" t="n">
        <v>53001867</v>
      </c>
      <c r="F2391" s="147" t="n">
        <f aca="false">IFERROR(VLOOKUP(H2391,$AD$1:$AE$301,2,0),"")</f>
        <v>1002883</v>
      </c>
      <c r="G2391" s="147" t="str">
        <f aca="false">IFERROR(VLOOKUP(F2391,$AE$2:$AF$290,2, 0),"")</f>
        <v>تبوك</v>
      </c>
      <c r="H2391" s="212" t="s">
        <v>198</v>
      </c>
      <c r="I2391" s="246" t="n">
        <f aca="false">SUM(K2391:R2391)</f>
        <v>7</v>
      </c>
      <c r="J2391" s="182" t="n">
        <v>46029</v>
      </c>
      <c r="M2391" s="150" t="n">
        <v>7</v>
      </c>
      <c r="S2391" s="192" t="n">
        <f aca="false">(K2391+O2391+Q2391)*24 /1130+(L2391+M2391+P2391+R2391)*12/1130+(N2391*30)/1130</f>
        <v>0.0743362831858407</v>
      </c>
    </row>
    <row r="2392" customFormat="false" ht="15" hidden="true" customHeight="true" outlineLevel="0" collapsed="false">
      <c r="B2392" s="233" t="n">
        <f aca="false">B2391+D2392-C2392</f>
        <v>0</v>
      </c>
      <c r="C2392" s="127" t="n">
        <f aca="false">2012</f>
        <v>2012</v>
      </c>
      <c r="D2392" s="146" t="n">
        <v>-0.5</v>
      </c>
      <c r="E2392" s="147" t="s">
        <v>668</v>
      </c>
      <c r="F2392" s="147" t="str">
        <f aca="false">IFERROR(VLOOKUP(H2392,$AD$1:$AE$301,2,0),"")</f>
        <v/>
      </c>
      <c r="G2392" s="147" t="str">
        <f aca="false">IFERROR(VLOOKUP(F2392,$AE$2:$AF$290,2, 0),"")</f>
        <v/>
      </c>
      <c r="H2392" s="212" t="s">
        <v>393</v>
      </c>
      <c r="I2392" s="246" t="n">
        <f aca="false">SUM(K2392:R2392)</f>
        <v>0</v>
      </c>
      <c r="J2392" s="182" t="n">
        <v>46029</v>
      </c>
      <c r="S2392" s="192" t="n">
        <f aca="false">(K2392+O2392+Q2392)*24 /1130+(L2392+M2392+P2392+R2392)*12/1130+(N2392*30)/1130</f>
        <v>0</v>
      </c>
    </row>
    <row r="2393" customFormat="false" ht="15" hidden="true" customHeight="true" outlineLevel="0" collapsed="false">
      <c r="A2393" s="128" t="n">
        <f aca="false">D2393-155</f>
        <v>0.25</v>
      </c>
      <c r="B2393" s="233" t="n">
        <f aca="false">B2392+D2393-C2393</f>
        <v>155.25</v>
      </c>
      <c r="D2393" s="146" t="n">
        <f aca="false">155.25</f>
        <v>155.25</v>
      </c>
      <c r="E2393" s="147" t="n">
        <v>53001863</v>
      </c>
      <c r="F2393" s="147" t="n">
        <f aca="false">IFERROR(VLOOKUP(H2393,$AD$1:$AE$301,2,0),"")</f>
        <v>1008269</v>
      </c>
      <c r="G2393" s="147" t="str">
        <f aca="false">IFERROR(VLOOKUP(F2393,$AE$2:$AF$290,2, 0),"")</f>
        <v>تبوك</v>
      </c>
      <c r="H2393" s="212" t="s">
        <v>166</v>
      </c>
      <c r="I2393" s="246" t="n">
        <f aca="false">SUM(K2393:R2393)</f>
        <v>1</v>
      </c>
      <c r="J2393" s="182" t="n">
        <v>46030</v>
      </c>
      <c r="R2393" s="155" t="n">
        <v>1</v>
      </c>
      <c r="S2393" s="192" t="n">
        <f aca="false">(K2393+O2393+Q2393)*24 /1130+(L2393+M2393+P2393+R2393)*12/1130+(N2393*30)/1130</f>
        <v>0.0106194690265487</v>
      </c>
    </row>
    <row r="2394" customFormat="false" ht="15" hidden="true" customHeight="true" outlineLevel="0" collapsed="false">
      <c r="A2394" s="128" t="n">
        <f aca="false">D2394-195</f>
        <v>0.5</v>
      </c>
      <c r="B2394" s="233" t="n">
        <f aca="false">B2393+D2394-C2394</f>
        <v>350.75</v>
      </c>
      <c r="D2394" s="146" t="n">
        <v>195.5</v>
      </c>
      <c r="E2394" s="147" t="n">
        <v>53001864</v>
      </c>
      <c r="F2394" s="147" t="n">
        <f aca="false">IFERROR(VLOOKUP(H2394,$AD$1:$AE$301,2,0),"")</f>
        <v>1002906</v>
      </c>
      <c r="G2394" s="147" t="str">
        <f aca="false">IFERROR(VLOOKUP(F2394,$AE$2:$AF$290,2, 0),"")</f>
        <v>تبوك</v>
      </c>
      <c r="H2394" s="212" t="s">
        <v>138</v>
      </c>
      <c r="I2394" s="246" t="n">
        <f aca="false">SUM(K2394:R2394)</f>
        <v>1</v>
      </c>
      <c r="J2394" s="182" t="n">
        <v>46030</v>
      </c>
      <c r="R2394" s="155" t="n">
        <v>1</v>
      </c>
      <c r="S2394" s="192" t="n">
        <f aca="false">(K2394+O2394+Q2394)*24 /1130+(L2394+M2394+P2394+R2394)*12/1130+(N2394*30)/1130</f>
        <v>0.0106194690265487</v>
      </c>
    </row>
    <row r="2395" customFormat="false" ht="15" hidden="true" customHeight="true" outlineLevel="0" collapsed="false">
      <c r="A2395" s="128" t="n">
        <f aca="false">D2395-1404.5+293.25+345*2+138-1560-123</f>
        <v>0.25</v>
      </c>
      <c r="B2395" s="233" t="n">
        <f aca="false">B2394+D2395-C2395</f>
        <v>2317.25</v>
      </c>
      <c r="D2395" s="146" t="n">
        <f aca="false">327.75*6</f>
        <v>1966.5</v>
      </c>
      <c r="E2395" s="147" t="n">
        <v>53001865</v>
      </c>
      <c r="F2395" s="147" t="n">
        <f aca="false">IFERROR(VLOOKUP(H2395,$AD$1:$AE$301,2,0),"")</f>
        <v>1008261</v>
      </c>
      <c r="G2395" s="147" t="str">
        <f aca="false">IFERROR(VLOOKUP(F2395,$AE$2:$AF$290,2, 0),"")</f>
        <v>تبوك</v>
      </c>
      <c r="H2395" s="212" t="s">
        <v>440</v>
      </c>
      <c r="I2395" s="246" t="n">
        <f aca="false">SUM(K2395:R2395)</f>
        <v>7</v>
      </c>
      <c r="J2395" s="182" t="n">
        <v>46030</v>
      </c>
      <c r="K2395" s="148" t="n">
        <v>7</v>
      </c>
      <c r="S2395" s="192" t="n">
        <f aca="false">(K2395+O2395+Q2395)*24 /1130+(L2395+M2395+P2395+R2395)*12/1130+(N2395*30)/1130</f>
        <v>0.148672566371681</v>
      </c>
    </row>
    <row r="2396" customFormat="false" ht="15" hidden="true" customHeight="true" outlineLevel="0" collapsed="false">
      <c r="A2396" s="128" t="n">
        <f aca="false">D2396-1404.5+70-500-50-80</f>
        <v>2</v>
      </c>
      <c r="B2396" s="233" t="n">
        <f aca="false">B2395+D2396-C2396</f>
        <v>4283.75</v>
      </c>
      <c r="D2396" s="146" t="n">
        <f aca="false">327.75*6</f>
        <v>1966.5</v>
      </c>
      <c r="E2396" s="147" t="n">
        <v>53001866</v>
      </c>
      <c r="F2396" s="147" t="n">
        <f aca="false">IFERROR(VLOOKUP(H2396,$AD$1:$AE$301,2,0),"")</f>
        <v>1002949</v>
      </c>
      <c r="G2396" s="147" t="str">
        <f aca="false">IFERROR(VLOOKUP(F2396,$AE$2:$AF$290,2, 0),"")</f>
        <v>تبوك</v>
      </c>
      <c r="H2396" s="212" t="s">
        <v>169</v>
      </c>
      <c r="I2396" s="246" t="n">
        <f aca="false">SUM(K2396:R2396)</f>
        <v>7</v>
      </c>
      <c r="J2396" s="182" t="n">
        <v>46030</v>
      </c>
      <c r="K2396" s="148" t="n">
        <v>7</v>
      </c>
      <c r="S2396" s="192" t="n">
        <f aca="false">(K2396+O2396+Q2396)*24 /1130+(L2396+M2396+P2396+R2396)*12/1130+(N2396*30)/1130</f>
        <v>0.148672566371681</v>
      </c>
    </row>
    <row r="2397" customFormat="false" ht="15" hidden="true" customHeight="true" outlineLevel="0" collapsed="false">
      <c r="B2397" s="233" t="n">
        <f aca="false">B2396+D2397-C2397</f>
        <v>417.75</v>
      </c>
      <c r="C2397" s="127" t="n">
        <f aca="false">1463+1560+843</f>
        <v>3866</v>
      </c>
      <c r="E2397" s="147" t="s">
        <v>675</v>
      </c>
      <c r="F2397" s="147" t="str">
        <f aca="false">IFERROR(VLOOKUP(H2397,$AD$1:$AE$301,2,0),"")</f>
        <v/>
      </c>
      <c r="G2397" s="147" t="str">
        <f aca="false">IFERROR(VLOOKUP(F2397,$AE$2:$AF$290,2, 0),"")</f>
        <v/>
      </c>
      <c r="H2397" s="212" t="s">
        <v>393</v>
      </c>
      <c r="I2397" s="246" t="n">
        <f aca="false">SUM(K2397:R2397)</f>
        <v>0</v>
      </c>
      <c r="J2397" s="182" t="n">
        <v>46030</v>
      </c>
      <c r="S2397" s="192" t="n">
        <f aca="false">(K2397+O2397+Q2397)*24 /1130+(L2397+M2397+P2397+R2397)*12/1130+(N2397*30)/1130</f>
        <v>0</v>
      </c>
    </row>
    <row r="2398" customFormat="false" ht="15" hidden="true" customHeight="true" outlineLevel="0" collapsed="false">
      <c r="B2398" s="233" t="n">
        <f aca="false">B2397+D2398-C2398</f>
        <v>0.75</v>
      </c>
      <c r="C2398" s="127" t="n">
        <f aca="false">123+259+35</f>
        <v>417</v>
      </c>
      <c r="E2398" s="147" t="s">
        <v>675</v>
      </c>
      <c r="F2398" s="147" t="str">
        <f aca="false">IFERROR(VLOOKUP(H2398,$AD$1:$AE$301,2,0),"")</f>
        <v/>
      </c>
      <c r="G2398" s="147" t="str">
        <f aca="false">IFERROR(VLOOKUP(F2398,$AE$2:$AF$290,2, 0),"")</f>
        <v/>
      </c>
      <c r="H2398" s="212" t="s">
        <v>393</v>
      </c>
      <c r="I2398" s="246" t="n">
        <f aca="false">SUM(K2398:R2398)</f>
        <v>0</v>
      </c>
      <c r="J2398" s="182" t="n">
        <v>46029</v>
      </c>
      <c r="S2398" s="192" t="n">
        <f aca="false">(K2398+O2398+Q2398)*24 /1130+(L2398+M2398+P2398+R2398)*12/1130+(N2398*30)/1130</f>
        <v>0</v>
      </c>
    </row>
    <row r="2399" customFormat="false" ht="15" hidden="true" customHeight="true" outlineLevel="0" collapsed="false">
      <c r="B2399" s="233" t="n">
        <f aca="false">B2398+D2399-C2399</f>
        <v>138.75</v>
      </c>
      <c r="D2399" s="146" t="n">
        <v>138</v>
      </c>
      <c r="E2399" s="147" t="n">
        <v>53001870</v>
      </c>
      <c r="F2399" s="147" t="n">
        <f aca="false">IFERROR(VLOOKUP(H2399,$AD$1:$AE$301,2,0),"")</f>
        <v>721</v>
      </c>
      <c r="G2399" s="147" t="str">
        <f aca="false">IFERROR(VLOOKUP(F2399,$AE$2:$AF$290,2, 0),"")</f>
        <v>تبوك</v>
      </c>
      <c r="H2399" s="212" t="s">
        <v>183</v>
      </c>
      <c r="I2399" s="246" t="n">
        <f aca="false">SUM(K2399:R2399)</f>
        <v>1</v>
      </c>
      <c r="J2399" s="182" t="n">
        <v>46033</v>
      </c>
      <c r="Q2399" s="154" t="n">
        <v>1</v>
      </c>
      <c r="S2399" s="192" t="n">
        <f aca="false">(K2399+O2399+Q2399)*24 /1130+(L2399+M2399+P2399+R2399)*12/1130+(N2399*30)/1130</f>
        <v>0.0212389380530973</v>
      </c>
    </row>
    <row r="2400" customFormat="false" ht="15" hidden="true" customHeight="true" outlineLevel="0" collapsed="false">
      <c r="B2400" s="233" t="n">
        <f aca="false">B2399+D2400-C2400</f>
        <v>2105.25</v>
      </c>
      <c r="D2400" s="146" t="n">
        <f aca="false">327.75*6</f>
        <v>1966.5</v>
      </c>
      <c r="E2400" s="147" t="n">
        <v>53001871</v>
      </c>
      <c r="F2400" s="147" t="n">
        <f aca="false">IFERROR(VLOOKUP(H2400,$AD$1:$AE$301,2,0),"")</f>
        <v>1008261</v>
      </c>
      <c r="G2400" s="147" t="str">
        <f aca="false">IFERROR(VLOOKUP(F2400,$AE$2:$AF$290,2, 0),"")</f>
        <v>تبوك</v>
      </c>
      <c r="H2400" s="212" t="s">
        <v>440</v>
      </c>
      <c r="I2400" s="246" t="n">
        <f aca="false">SUM(K2400:R2400)</f>
        <v>7</v>
      </c>
      <c r="J2400" s="182" t="n">
        <v>46033</v>
      </c>
      <c r="K2400" s="148" t="n">
        <f aca="false">7</f>
        <v>7</v>
      </c>
      <c r="S2400" s="192" t="n">
        <f aca="false">(K2400+O2400+Q2400)*24 /1130+(L2400+M2400+P2400+R2400)*12/1130+(N2400*30)/1130</f>
        <v>0.148672566371681</v>
      </c>
    </row>
    <row r="2401" customFormat="false" ht="15" hidden="true" customHeight="true" outlineLevel="0" collapsed="false">
      <c r="B2401" s="233" t="n">
        <f aca="false">B2400+D2401-C2401</f>
        <v>2381.25</v>
      </c>
      <c r="D2401" s="146" t="n">
        <f aca="false">138*2</f>
        <v>276</v>
      </c>
      <c r="E2401" s="147" t="n">
        <v>53001872</v>
      </c>
      <c r="F2401" s="147" t="n">
        <f aca="false">IFERROR(VLOOKUP(H2401,$AD$1:$AE$301,2,0),"")</f>
        <v>1008272</v>
      </c>
      <c r="G2401" s="147" t="str">
        <f aca="false">IFERROR(VLOOKUP(F2401,$AE$2:$AF$290,2, 0),"")</f>
        <v>تبوك</v>
      </c>
      <c r="H2401" s="212" t="s">
        <v>143</v>
      </c>
      <c r="I2401" s="246" t="n">
        <f aca="false">SUM(K2401:R2401)</f>
        <v>2</v>
      </c>
      <c r="J2401" s="182" t="n">
        <v>46033</v>
      </c>
      <c r="Q2401" s="154" t="n">
        <v>2</v>
      </c>
      <c r="S2401" s="192" t="n">
        <f aca="false">(K2401+O2401+Q2401)*24 /1130+(L2401+M2401+P2401+R2401)*12/1130+(N2401*30)/1130</f>
        <v>0.0424778761061947</v>
      </c>
    </row>
    <row r="2402" customFormat="false" ht="15" hidden="true" customHeight="true" outlineLevel="0" collapsed="false">
      <c r="B2402" s="233" t="n">
        <f aca="false">B2401+D2402-C2402</f>
        <v>1121.25</v>
      </c>
      <c r="C2402" s="127" t="n">
        <f aca="false">160+220+290+105+155+114+135+5+76</f>
        <v>1260</v>
      </c>
      <c r="E2402" s="147" t="s">
        <v>675</v>
      </c>
      <c r="F2402" s="147" t="str">
        <f aca="false">IFERROR(VLOOKUP(H2402,$AD$1:$AE$301,2,0),"")</f>
        <v/>
      </c>
      <c r="G2402" s="147" t="str">
        <f aca="false">IFERROR(VLOOKUP(F2402,$AE$2:$AF$290,2, 0),"")</f>
        <v/>
      </c>
      <c r="H2402" s="212" t="s">
        <v>393</v>
      </c>
      <c r="I2402" s="246" t="n">
        <f aca="false">SUM(K2402:R2402)</f>
        <v>0</v>
      </c>
      <c r="J2402" s="182" t="n">
        <v>46033</v>
      </c>
      <c r="S2402" s="192" t="n">
        <f aca="false">(K2402+O2402+Q2402)*24 /1130+(L2402+M2402+P2402+R2402)*12/1130+(N2402*30)/1130</f>
        <v>0</v>
      </c>
    </row>
    <row r="2403" customFormat="false" ht="15" hidden="true" customHeight="true" outlineLevel="0" collapsed="false">
      <c r="B2403" s="233" t="n">
        <f aca="false">B2402+D2403-C2403</f>
        <v>0</v>
      </c>
      <c r="C2403" s="127" t="n">
        <f aca="false">138+76+400+100+407</f>
        <v>1121</v>
      </c>
      <c r="D2403" s="146" t="n">
        <v>-0.25</v>
      </c>
      <c r="E2403" s="147" t="s">
        <v>675</v>
      </c>
      <c r="H2403" s="212" t="s">
        <v>393</v>
      </c>
      <c r="I2403" s="246" t="n">
        <f aca="false">SUM(K2403:R2403)</f>
        <v>0</v>
      </c>
      <c r="J2403" s="182" t="n">
        <v>46034</v>
      </c>
      <c r="S2403" s="192" t="n">
        <f aca="false">(K2403+O2403+Q2403)*24 /1130+(L2403+M2403+P2403+R2403)*12/1130+(N2403*30)/1130</f>
        <v>0</v>
      </c>
    </row>
    <row r="2404" customFormat="false" ht="15" hidden="true" customHeight="true" outlineLevel="0" collapsed="false">
      <c r="B2404" s="233" t="n">
        <f aca="false">B2403+D2404-C2404</f>
        <v>4209</v>
      </c>
      <c r="D2404" s="146" t="n">
        <f aca="false">1966.5+264.5*5+230*4</f>
        <v>4209</v>
      </c>
      <c r="E2404" s="147" t="n">
        <v>53001874</v>
      </c>
      <c r="F2404" s="147" t="n">
        <f aca="false">IFERROR(VLOOKUP(H2404,$AD$1:$AE$301,2,0),"")</f>
        <v>1002875</v>
      </c>
      <c r="G2404" s="147" t="str">
        <f aca="false">IFERROR(VLOOKUP(F2404,$AE$2:$AF$290,2, 0),"")</f>
        <v>تبوك</v>
      </c>
      <c r="H2404" s="212" t="s">
        <v>161</v>
      </c>
      <c r="I2404" s="246" t="n">
        <f aca="false">SUM(K2404:R2404)</f>
        <v>16</v>
      </c>
      <c r="J2404" s="182" t="n">
        <v>46034</v>
      </c>
      <c r="K2404" s="148" t="n">
        <v>7</v>
      </c>
      <c r="M2404" s="150" t="n">
        <v>4</v>
      </c>
      <c r="R2404" s="155" t="n">
        <v>5</v>
      </c>
      <c r="S2404" s="192" t="n">
        <f aca="false">(K2404+O2404+Q2404)*24 /1130+(L2404+M2404+P2404+R2404)*12/1130+(N2404*30)/1130</f>
        <v>0.244247787610619</v>
      </c>
    </row>
    <row r="2405" customFormat="false" ht="15" hidden="true" customHeight="true" outlineLevel="0" collapsed="false">
      <c r="B2405" s="233" t="n">
        <f aca="false">B2404+D2405-C2405</f>
        <v>4726.5</v>
      </c>
      <c r="D2405" s="146" t="n">
        <f aca="false">51.75*10</f>
        <v>517.5</v>
      </c>
      <c r="E2405" s="147" t="n">
        <v>53001873</v>
      </c>
      <c r="F2405" s="147" t="n">
        <f aca="false">IFERROR(VLOOKUP(H2405,$AD$1:$AE$301,2,0),"")</f>
        <v>945</v>
      </c>
      <c r="G2405" s="147" t="str">
        <f aca="false">IFERROR(VLOOKUP(F2405,$AE$2:$AF$290,2, 0),"")</f>
        <v>تبوك</v>
      </c>
      <c r="H2405" s="212" t="s">
        <v>137</v>
      </c>
      <c r="I2405" s="246" t="n">
        <f aca="false">SUM(K2405:R2405)</f>
        <v>10</v>
      </c>
      <c r="J2405" s="182" t="n">
        <v>46034</v>
      </c>
      <c r="R2405" s="155" t="n">
        <v>10</v>
      </c>
      <c r="S2405" s="192" t="n">
        <f aca="false">(K2405+O2405+Q2405)*24 /1130+(L2405+M2405+P2405+R2405)*12/1130+(N2405*30)/1130</f>
        <v>0.106194690265487</v>
      </c>
    </row>
    <row r="2406" customFormat="false" ht="15" hidden="true" customHeight="true" outlineLevel="0" collapsed="false">
      <c r="B2406" s="233" t="n">
        <f aca="false">B2405+D2406-C2406</f>
        <v>5071.5</v>
      </c>
      <c r="D2406" s="146" t="n">
        <v>345</v>
      </c>
      <c r="E2406" s="147" t="n">
        <v>53001875</v>
      </c>
      <c r="F2406" s="147" t="n">
        <f aca="false">IFERROR(VLOOKUP(H2406,$AD$1:$AE$301,2,0),"")</f>
        <v>1008275</v>
      </c>
      <c r="G2406" s="147" t="str">
        <f aca="false">IFERROR(VLOOKUP(F2406,$AE$2:$AF$290,2, 0),"")</f>
        <v>تبوك</v>
      </c>
      <c r="H2406" s="212" t="s">
        <v>179</v>
      </c>
      <c r="I2406" s="246" t="n">
        <f aca="false">SUM(K2406:R2406)</f>
        <v>1</v>
      </c>
      <c r="J2406" s="182" t="n">
        <v>46034</v>
      </c>
      <c r="M2406" s="150" t="n">
        <v>1</v>
      </c>
      <c r="S2406" s="192" t="n">
        <f aca="false">(K2406+O2406+Q2406)*24 /1130+(L2406+M2406+P2406+R2406)*12/1130+(N2406*30)/1130</f>
        <v>0.0106194690265487</v>
      </c>
    </row>
    <row r="2407" customFormat="false" ht="15" hidden="true" customHeight="true" outlineLevel="0" collapsed="false">
      <c r="B2407" s="233" t="n">
        <f aca="false">B2406+D2407-C2407</f>
        <v>0</v>
      </c>
      <c r="C2407" s="127" t="n">
        <f aca="false">4209+862</f>
        <v>5071</v>
      </c>
      <c r="D2407" s="146" t="n">
        <v>-0.5</v>
      </c>
      <c r="E2407" s="147" t="s">
        <v>675</v>
      </c>
      <c r="F2407" s="147" t="str">
        <f aca="false">IFERROR(VLOOKUP(H2407,$AD$1:$AE$301,2,0),"")</f>
        <v/>
      </c>
      <c r="G2407" s="147" t="str">
        <f aca="false">IFERROR(VLOOKUP(F2407,$AE$2:$AF$290,2, 0),"")</f>
        <v/>
      </c>
      <c r="H2407" s="212" t="s">
        <v>393</v>
      </c>
      <c r="I2407" s="246" t="n">
        <f aca="false">SUM(K2407:R2407)</f>
        <v>0</v>
      </c>
      <c r="J2407" s="182" t="n">
        <v>46034</v>
      </c>
      <c r="S2407" s="192" t="n">
        <f aca="false">(K2407+O2407+Q2407)*24 /1130+(L2407+M2407+P2407+R2407)*12/1130+(N2407*30)/1130</f>
        <v>0</v>
      </c>
    </row>
    <row r="2408" customFormat="false" ht="15" hidden="true" customHeight="true" outlineLevel="0" collapsed="false">
      <c r="B2408" s="233" t="n">
        <f aca="false">B2407+D2408-C2408</f>
        <v>724.5</v>
      </c>
      <c r="D2408" s="146" t="n">
        <f aca="false">241.5*3</f>
        <v>724.5</v>
      </c>
      <c r="E2408" s="147" t="n">
        <v>53001876</v>
      </c>
      <c r="F2408" s="147" t="n">
        <f aca="false">IFERROR(VLOOKUP(H2408,$AD$1:$AE$301,2,0),"")</f>
        <v>1008050</v>
      </c>
      <c r="G2408" s="147" t="str">
        <f aca="false">IFERROR(VLOOKUP(F2408,$AE$2:$AF$290,2, 0),"")</f>
        <v>ضباء</v>
      </c>
      <c r="H2408" s="212" t="s">
        <v>92</v>
      </c>
      <c r="I2408" s="246" t="n">
        <f aca="false">SUM(K2408:R2408)</f>
        <v>3</v>
      </c>
      <c r="J2408" s="182" t="n">
        <v>46035</v>
      </c>
      <c r="O2408" s="152" t="n">
        <v>3</v>
      </c>
      <c r="S2408" s="192" t="n">
        <f aca="false">(K2408+O2408+Q2408)*24 /1130+(L2408+M2408+P2408+R2408)*12/1130+(N2408*30)/1130</f>
        <v>0.063716814159292</v>
      </c>
    </row>
    <row r="2409" customFormat="false" ht="15" hidden="true" customHeight="true" outlineLevel="0" collapsed="false">
      <c r="B2409" s="233" t="n">
        <f aca="false">B2408+D2409-C2409</f>
        <v>2938.25</v>
      </c>
      <c r="D2409" s="146" t="n">
        <f aca="false">2213.75</f>
        <v>2213.75</v>
      </c>
      <c r="E2409" s="147" t="n">
        <v>53001877</v>
      </c>
      <c r="F2409" s="147" t="n">
        <f aca="false">IFERROR(VLOOKUP(H2409,$AD$1:$AE$301,2,0),"")</f>
        <v>1033</v>
      </c>
      <c r="G2409" s="147" t="str">
        <f aca="false">IFERROR(VLOOKUP(F2409,$AE$2:$AF$290,2, 0),"")</f>
        <v>الوجه</v>
      </c>
      <c r="H2409" s="212" t="s">
        <v>117</v>
      </c>
      <c r="I2409" s="246" t="n">
        <f aca="false">SUM(K2409:R2409)</f>
        <v>8</v>
      </c>
      <c r="J2409" s="182" t="n">
        <v>46035</v>
      </c>
      <c r="N2409" s="151" t="n">
        <v>8</v>
      </c>
      <c r="S2409" s="192" t="n">
        <f aca="false">(K2409+O2409+Q2409)*24 /1130+(L2409+M2409+P2409+R2409)*12/1130+(N2409*30)/1130</f>
        <v>0.212389380530973</v>
      </c>
    </row>
    <row r="2410" customFormat="false" ht="15" hidden="true" customHeight="true" outlineLevel="0" collapsed="false">
      <c r="B2410" s="233" t="n">
        <f aca="false">B2409+D2410-C2410</f>
        <v>5364.75</v>
      </c>
      <c r="D2410" s="146" t="n">
        <f aca="false">327.75*6+230*2</f>
        <v>2426.5</v>
      </c>
      <c r="E2410" s="147" t="n">
        <v>53001878</v>
      </c>
      <c r="F2410" s="147" t="n">
        <f aca="false">IFERROR(VLOOKUP(H2410,$AD$1:$AE$301,2,0),"")</f>
        <v>1008046</v>
      </c>
      <c r="G2410" s="147" t="str">
        <f aca="false">IFERROR(VLOOKUP(F2410,$AE$2:$AF$290,2, 0),"")</f>
        <v>الوجه</v>
      </c>
      <c r="H2410" s="212" t="s">
        <v>108</v>
      </c>
      <c r="I2410" s="246" t="n">
        <f aca="false">SUM(K2410:R2410)</f>
        <v>9</v>
      </c>
      <c r="J2410" s="182" t="n">
        <v>46035</v>
      </c>
      <c r="K2410" s="148" t="n">
        <v>7</v>
      </c>
      <c r="M2410" s="150" t="n">
        <v>2</v>
      </c>
      <c r="S2410" s="192" t="n">
        <f aca="false">(K2410+O2410+Q2410)*24 /1130+(L2410+M2410+P2410+R2410)*12/1130+(N2410*30)/1130</f>
        <v>0.169911504424779</v>
      </c>
    </row>
    <row r="2411" customFormat="false" ht="15" hidden="true" customHeight="true" outlineLevel="0" collapsed="false">
      <c r="B2411" s="233" t="n">
        <f aca="false">B2410+D2411-C2411</f>
        <v>5502.75</v>
      </c>
      <c r="D2411" s="146" t="n">
        <v>138</v>
      </c>
      <c r="E2411" s="147" t="n">
        <v>53001879</v>
      </c>
      <c r="F2411" s="147" t="n">
        <f aca="false">IFERROR(VLOOKUP(H2411,$AD$1:$AE$301,2,0),"")</f>
        <v>656</v>
      </c>
      <c r="G2411" s="147" t="str">
        <f aca="false">IFERROR(VLOOKUP(F2411,$AE$2:$AF$290,2, 0),"")</f>
        <v>الوجه</v>
      </c>
      <c r="H2411" s="212" t="s">
        <v>115</v>
      </c>
      <c r="I2411" s="246" t="n">
        <f aca="false">SUM(K2411:R2411)</f>
        <v>1</v>
      </c>
      <c r="J2411" s="182" t="n">
        <v>46035</v>
      </c>
      <c r="Q2411" s="154" t="n">
        <v>1</v>
      </c>
      <c r="S2411" s="192" t="n">
        <f aca="false">(K2411+O2411+Q2411)*24 /1130+(L2411+M2411+P2411+R2411)*12/1130+(N2411*30)/1130</f>
        <v>0.0212389380530973</v>
      </c>
    </row>
    <row r="2412" customFormat="false" ht="15" hidden="true" customHeight="true" outlineLevel="0" collapsed="false">
      <c r="B2412" s="233" t="n">
        <f aca="false">B2411+D2412-C2412</f>
        <v>6572.25</v>
      </c>
      <c r="D2412" s="146" t="n">
        <f aca="false">178.25*6</f>
        <v>1069.5</v>
      </c>
      <c r="E2412" s="147" t="n">
        <v>53001880</v>
      </c>
      <c r="F2412" s="147" t="n">
        <f aca="false">IFERROR(VLOOKUP(H2412,$AD$1:$AE$301,2,0),"")</f>
        <v>1008267</v>
      </c>
      <c r="G2412" s="147" t="str">
        <f aca="false">IFERROR(VLOOKUP(F2412,$AE$2:$AF$290,2, 0),"")</f>
        <v>الوجه</v>
      </c>
      <c r="H2412" s="212" t="s">
        <v>114</v>
      </c>
      <c r="I2412" s="246" t="n">
        <f aca="false">SUM(K2412:R2412)</f>
        <v>7</v>
      </c>
      <c r="J2412" s="182" t="n">
        <v>46035</v>
      </c>
      <c r="L2412" s="149" t="n">
        <v>7</v>
      </c>
      <c r="S2412" s="192" t="n">
        <f aca="false">(K2412+O2412+Q2412)*24 /1130+(L2412+M2412+P2412+R2412)*12/1130+(N2412*30)/1130</f>
        <v>0.0743362831858407</v>
      </c>
    </row>
    <row r="2413" customFormat="false" ht="15" hidden="true" customHeight="true" outlineLevel="0" collapsed="false">
      <c r="B2413" s="233" t="n">
        <f aca="false">B2412+D2413-C2413</f>
        <v>8538.75</v>
      </c>
      <c r="D2413" s="146" t="n">
        <f aca="false">327.75*6</f>
        <v>1966.5</v>
      </c>
      <c r="E2413" s="147" t="n">
        <v>53001881</v>
      </c>
      <c r="F2413" s="147" t="n">
        <f aca="false">IFERROR(VLOOKUP(H2413,$AD$1:$AE$301,2,0),"")</f>
        <v>1008044</v>
      </c>
      <c r="G2413" s="147" t="str">
        <f aca="false">IFERROR(VLOOKUP(F2413,$AE$2:$AF$290,2, 0),"")</f>
        <v>الوجه</v>
      </c>
      <c r="H2413" s="212" t="s">
        <v>106</v>
      </c>
      <c r="I2413" s="246" t="n">
        <f aca="false">SUM(K2413:R2413)</f>
        <v>7</v>
      </c>
      <c r="J2413" s="182" t="n">
        <v>46035</v>
      </c>
      <c r="K2413" s="148" t="n">
        <f aca="false">5+2</f>
        <v>7</v>
      </c>
      <c r="S2413" s="192" t="n">
        <f aca="false">(K2413+O2413+Q2413)*24 /1130+(L2413+M2413+P2413+R2413)*12/1130+(N2413*30)/1130</f>
        <v>0.148672566371681</v>
      </c>
    </row>
    <row r="2414" customFormat="false" ht="15" hidden="true" customHeight="true" outlineLevel="0" collapsed="false">
      <c r="B2414" s="233" t="n">
        <f aca="false">B2413+D2414-C2414</f>
        <v>8038.75</v>
      </c>
      <c r="C2414" s="127" t="n">
        <v>500</v>
      </c>
      <c r="E2414" s="147" t="s">
        <v>667</v>
      </c>
      <c r="F2414" s="147" t="str">
        <f aca="false">IFERROR(VLOOKUP(H2414,$AD$1:$AE$301,2,0),"")</f>
        <v/>
      </c>
      <c r="G2414" s="147" t="str">
        <f aca="false">IFERROR(VLOOKUP(F2414,$AE$2:$AF$290,2, 0),"")</f>
        <v/>
      </c>
      <c r="H2414" s="212" t="s">
        <v>393</v>
      </c>
      <c r="I2414" s="246" t="n">
        <f aca="false">SUM(K2414:R2414)</f>
        <v>0</v>
      </c>
      <c r="J2414" s="182" t="n">
        <v>46035</v>
      </c>
      <c r="S2414" s="192" t="n">
        <f aca="false">(K2414+O2414+Q2414)*24 /1130+(L2414+M2414+P2414+R2414)*12/1130+(N2414*30)/1130</f>
        <v>0</v>
      </c>
    </row>
    <row r="2415" customFormat="false" ht="15" hidden="true" customHeight="true" outlineLevel="0" collapsed="false">
      <c r="B2415" s="233" t="n">
        <f aca="false">B2414+D2415-C2415</f>
        <v>3424</v>
      </c>
      <c r="C2415" s="127" t="n">
        <f aca="false">100+225+50+453+385+1104+1038+1259.75</f>
        <v>4614.75</v>
      </c>
      <c r="E2415" s="147" t="s">
        <v>675</v>
      </c>
      <c r="F2415" s="147" t="str">
        <f aca="false">IFERROR(VLOOKUP(H2415,$AD$1:$AE$301,2,0),"")</f>
        <v/>
      </c>
      <c r="G2415" s="147" t="str">
        <f aca="false">IFERROR(VLOOKUP(F2415,$AE$2:$AF$290,2, 0),"")</f>
        <v/>
      </c>
      <c r="H2415" s="212" t="s">
        <v>393</v>
      </c>
      <c r="I2415" s="246" t="n">
        <f aca="false">SUM(K2415:R2415)</f>
        <v>0</v>
      </c>
      <c r="J2415" s="182" t="n">
        <v>46035</v>
      </c>
      <c r="S2415" s="192" t="n">
        <f aca="false">(K2415+O2415+Q2415)*24 /1130+(L2415+M2415+P2415+R2415)*12/1130+(N2415*30)/1130</f>
        <v>0</v>
      </c>
    </row>
    <row r="2416" customFormat="false" ht="15" hidden="true" customHeight="true" outlineLevel="0" collapsed="false">
      <c r="B2416" s="233" t="n">
        <f aca="false">B2415+D2416-C2416</f>
        <v>0</v>
      </c>
      <c r="C2416" s="127" t="n">
        <v>3424</v>
      </c>
      <c r="E2416" s="147" t="s">
        <v>668</v>
      </c>
      <c r="F2416" s="147" t="str">
        <f aca="false">IFERROR(VLOOKUP(H2416,$AD$1:$AE$301,2,0),"")</f>
        <v/>
      </c>
      <c r="G2416" s="147" t="str">
        <f aca="false">IFERROR(VLOOKUP(F2416,$AE$2:$AF$290,2, 0),"")</f>
        <v/>
      </c>
      <c r="H2416" s="212" t="s">
        <v>393</v>
      </c>
      <c r="I2416" s="246" t="n">
        <f aca="false">SUM(K2416:R2416)</f>
        <v>0</v>
      </c>
      <c r="J2416" s="182" t="n">
        <v>46035</v>
      </c>
      <c r="S2416" s="192" t="n">
        <f aca="false">(K2416+O2416+Q2416)*24 /1130+(L2416+M2416+P2416+R2416)*12/1130+(N2416*30)/1130</f>
        <v>0</v>
      </c>
    </row>
    <row r="2417" customFormat="false" ht="15" hidden="true" customHeight="true" outlineLevel="0" collapsed="false">
      <c r="B2417" s="233" t="n">
        <f aca="false">B2416+D2417-C2417</f>
        <v>2213.75</v>
      </c>
      <c r="D2417" s="146" t="n">
        <f aca="false">2213.75</f>
        <v>2213.75</v>
      </c>
      <c r="E2417" s="147" t="n">
        <v>53001882</v>
      </c>
      <c r="F2417" s="147" t="n">
        <f aca="false">IFERROR(VLOOKUP(H2417,$AD$1:$AE$301,2,0),"")</f>
        <v>1071</v>
      </c>
      <c r="G2417" s="147" t="str">
        <f aca="false">IFERROR(VLOOKUP(F2417,$AE$2:$AF$290,2, 0),"")</f>
        <v>تبوك</v>
      </c>
      <c r="H2417" s="212" t="s">
        <v>135</v>
      </c>
      <c r="I2417" s="246" t="n">
        <f aca="false">SUM(K2417:R2417)</f>
        <v>8</v>
      </c>
      <c r="J2417" s="182" t="n">
        <v>46036</v>
      </c>
      <c r="N2417" s="151" t="n">
        <v>8</v>
      </c>
      <c r="S2417" s="192" t="n">
        <f aca="false">(K2417+O2417+Q2417)*24 /1130+(L2417+M2417+P2417+R2417)*12/1130+(N2417*30)/1130</f>
        <v>0.212389380530973</v>
      </c>
    </row>
    <row r="2418" customFormat="false" ht="15" hidden="true" customHeight="true" outlineLevel="0" collapsed="false">
      <c r="B2418" s="233" t="n">
        <f aca="false">B2417+D2418-C2418</f>
        <v>2455.25</v>
      </c>
      <c r="D2418" s="146" t="n">
        <v>241.5</v>
      </c>
      <c r="E2418" s="147" t="n">
        <v>53001883</v>
      </c>
      <c r="F2418" s="147" t="n">
        <f aca="false">IFERROR(VLOOKUP(H2418,$AD$1:$AE$301,2,0),"")</f>
        <v>575</v>
      </c>
      <c r="G2418" s="147" t="str">
        <f aca="false">IFERROR(VLOOKUP(F2418,$AE$2:$AF$290,2, 0),"")</f>
        <v>تبوك</v>
      </c>
      <c r="H2418" s="212" t="s">
        <v>132</v>
      </c>
      <c r="I2418" s="246" t="n">
        <f aca="false">SUM(K2418:R2418)</f>
        <v>1</v>
      </c>
      <c r="J2418" s="182" t="n">
        <v>46036</v>
      </c>
      <c r="O2418" s="152" t="n">
        <v>1</v>
      </c>
      <c r="S2418" s="192" t="n">
        <f aca="false">(K2418+O2418+Q2418)*24 /1130+(L2418+M2418+P2418+R2418)*12/1130+(N2418*30)/1130</f>
        <v>0.0212389380530973</v>
      </c>
    </row>
    <row r="2419" customFormat="false" ht="15" hidden="true" customHeight="true" outlineLevel="0" collapsed="false">
      <c r="B2419" s="233" t="n">
        <f aca="false">B2418+D2419-C2419</f>
        <v>0.5</v>
      </c>
      <c r="C2419" s="127" t="n">
        <f aca="false">1500+713.75+241</f>
        <v>2454.75</v>
      </c>
      <c r="E2419" s="147" t="s">
        <v>675</v>
      </c>
      <c r="F2419" s="147" t="str">
        <f aca="false">IFERROR(VLOOKUP(H2419,$AD$1:$AE$301,2,0),"")</f>
        <v/>
      </c>
      <c r="G2419" s="147" t="str">
        <f aca="false">IFERROR(VLOOKUP(F2419,$AE$2:$AF$290,2, 0),"")</f>
        <v/>
      </c>
      <c r="H2419" s="212" t="s">
        <v>393</v>
      </c>
      <c r="I2419" s="246" t="n">
        <f aca="false">SUM(K2419:R2419)</f>
        <v>0</v>
      </c>
      <c r="J2419" s="182" t="n">
        <v>46036</v>
      </c>
      <c r="S2419" s="192" t="n">
        <f aca="false">(K2419+O2419+Q2419)*24 /1130+(L2419+M2419+P2419+R2419)*12/1130+(N2419*30)/1130</f>
        <v>0</v>
      </c>
    </row>
    <row r="2420" customFormat="false" ht="15" hidden="true" customHeight="true" outlineLevel="0" collapsed="false">
      <c r="B2420" s="233" t="n">
        <f aca="false">B2419+D2420-C2420</f>
        <v>3082.5</v>
      </c>
      <c r="D2420" s="146" t="n">
        <f aca="false">293.25*6+264.5*5</f>
        <v>3082</v>
      </c>
      <c r="E2420" s="147" t="n">
        <v>53001884</v>
      </c>
      <c r="F2420" s="147" t="n">
        <f aca="false">IFERROR(VLOOKUP(H2420,$AD$1:$AE$301,2,0),"")</f>
        <v>855</v>
      </c>
      <c r="G2420" s="147" t="str">
        <f aca="false">IFERROR(VLOOKUP(F2420,$AE$2:$AF$290,2, 0),"")</f>
        <v>تبوك</v>
      </c>
      <c r="H2420" s="212" t="s">
        <v>141</v>
      </c>
      <c r="I2420" s="246" t="n">
        <f aca="false">SUM(K2420:R2420)</f>
        <v>12</v>
      </c>
      <c r="J2420" s="182" t="n">
        <v>46037</v>
      </c>
      <c r="M2420" s="150" t="n">
        <v>7</v>
      </c>
      <c r="R2420" s="155" t="n">
        <v>5</v>
      </c>
      <c r="S2420" s="192" t="n">
        <f aca="false">(K2420+O2420+Q2420)*24 /1130+(L2420+M2420+P2420+R2420)*12/1130+(N2420*30)/1130</f>
        <v>0.127433628318584</v>
      </c>
    </row>
    <row r="2421" customFormat="false" ht="15" hidden="true" customHeight="true" outlineLevel="0" collapsed="false">
      <c r="B2421" s="233" t="n">
        <f aca="false">B2420+D2421-C2421</f>
        <v>3479.25</v>
      </c>
      <c r="D2421" s="146" t="n">
        <f aca="false">155.25+241.5</f>
        <v>396.75</v>
      </c>
      <c r="E2421" s="147" t="n">
        <v>53001885</v>
      </c>
      <c r="F2421" s="147" t="n">
        <f aca="false">IFERROR(VLOOKUP(H2421,$AD$1:$AE$301,2,0),"")</f>
        <v>1008264</v>
      </c>
      <c r="G2421" s="147" t="str">
        <f aca="false">IFERROR(VLOOKUP(F2421,$AE$2:$AF$290,2, 0),"")</f>
        <v>تبوك</v>
      </c>
      <c r="H2421" s="212" t="s">
        <v>160</v>
      </c>
      <c r="I2421" s="246" t="n">
        <f aca="false">SUM(K2421:R2421)</f>
        <v>2</v>
      </c>
      <c r="J2421" s="182" t="n">
        <v>46037</v>
      </c>
      <c r="O2421" s="152" t="n">
        <v>1</v>
      </c>
      <c r="R2421" s="155" t="n">
        <v>1</v>
      </c>
      <c r="S2421" s="192" t="n">
        <f aca="false">(K2421+O2421+Q2421)*24 /1130+(L2421+M2421+P2421+R2421)*12/1130+(N2421*30)/1130</f>
        <v>0.031858407079646</v>
      </c>
    </row>
    <row r="2422" customFormat="false" ht="15" hidden="true" customHeight="true" outlineLevel="0" collapsed="false">
      <c r="B2422" s="233" t="n">
        <f aca="false">B2421+D2422-C2422</f>
        <v>3634.5</v>
      </c>
      <c r="D2422" s="146" t="n">
        <v>155.25</v>
      </c>
      <c r="E2422" s="147" t="n">
        <v>53001886</v>
      </c>
      <c r="F2422" s="147" t="n">
        <f aca="false">IFERROR(VLOOKUP(H2422,$AD$1:$AE$301,2,0),"")</f>
        <v>1002899</v>
      </c>
      <c r="G2422" s="147" t="str">
        <f aca="false">IFERROR(VLOOKUP(F2422,$AE$2:$AF$290,2, 0),"")</f>
        <v>تبوك</v>
      </c>
      <c r="H2422" s="212" t="s">
        <v>156</v>
      </c>
      <c r="I2422" s="246" t="n">
        <f aca="false">SUM(K2422:R2422)</f>
        <v>1</v>
      </c>
      <c r="J2422" s="182" t="n">
        <v>46037</v>
      </c>
      <c r="R2422" s="155" t="n">
        <v>1</v>
      </c>
      <c r="S2422" s="192" t="n">
        <f aca="false">(K2422+O2422+Q2422)*24 /1130+(L2422+M2422+P2422+R2422)*12/1130+(N2422*30)/1130</f>
        <v>0.0106194690265487</v>
      </c>
    </row>
    <row r="2423" customFormat="false" ht="15" hidden="true" customHeight="true" outlineLevel="0" collapsed="false">
      <c r="B2423" s="233" t="n">
        <f aca="false">B2422+D2423-C2423</f>
        <v>5601</v>
      </c>
      <c r="D2423" s="146" t="n">
        <f aca="false">327.75*6</f>
        <v>1966.5</v>
      </c>
      <c r="E2423" s="147" t="n">
        <v>53001887</v>
      </c>
      <c r="F2423" s="147" t="n">
        <f aca="false">IFERROR(VLOOKUP(H2423,$AD$1:$AE$301,2,0),"")</f>
        <v>1002912</v>
      </c>
      <c r="G2423" s="147" t="str">
        <f aca="false">IFERROR(VLOOKUP(F2423,$AE$2:$AF$290,2, 0),"")</f>
        <v>تبوك</v>
      </c>
      <c r="H2423" s="212" t="s">
        <v>152</v>
      </c>
      <c r="I2423" s="246" t="n">
        <f aca="false">SUM(K2423:R2423)</f>
        <v>7</v>
      </c>
      <c r="J2423" s="182" t="n">
        <v>46037</v>
      </c>
      <c r="K2423" s="148" t="n">
        <v>7</v>
      </c>
      <c r="S2423" s="192" t="n">
        <f aca="false">(K2423+O2423+Q2423)*24 /1130+(L2423+M2423+P2423+R2423)*12/1130+(N2423*30)/1130</f>
        <v>0.148672566371681</v>
      </c>
    </row>
    <row r="2424" customFormat="false" ht="15" hidden="true" customHeight="true" outlineLevel="0" collapsed="false">
      <c r="B2424" s="233" t="n">
        <f aca="false">B2423+D2424-C2424</f>
        <v>7567.5</v>
      </c>
      <c r="D2424" s="146" t="n">
        <f aca="false">327.75*6</f>
        <v>1966.5</v>
      </c>
      <c r="E2424" s="147" t="n">
        <v>53001888</v>
      </c>
      <c r="F2424" s="147" t="n">
        <f aca="false">IFERROR(VLOOKUP(H2424,$AD$1:$AE$301,2,0),"")</f>
        <v>1002949</v>
      </c>
      <c r="G2424" s="147" t="str">
        <f aca="false">IFERROR(VLOOKUP(F2424,$AE$2:$AF$290,2, 0),"")</f>
        <v>تبوك</v>
      </c>
      <c r="H2424" s="212" t="s">
        <v>155</v>
      </c>
      <c r="I2424" s="246" t="n">
        <f aca="false">SUM(K2424:R2424)</f>
        <v>7</v>
      </c>
      <c r="J2424" s="182" t="n">
        <v>46037</v>
      </c>
      <c r="K2424" s="148" t="n">
        <v>7</v>
      </c>
      <c r="S2424" s="192" t="n">
        <f aca="false">(K2424+O2424+Q2424)*24 /1130+(L2424+M2424+P2424+R2424)*12/1130+(N2424*30)/1130</f>
        <v>0.148672566371681</v>
      </c>
    </row>
    <row r="2425" customFormat="false" ht="15" hidden="true" customHeight="true" outlineLevel="0" collapsed="false">
      <c r="B2425" s="233" t="n">
        <f aca="false">B2424+D2425-C2425</f>
        <v>7705.5</v>
      </c>
      <c r="D2425" s="146" t="n">
        <v>138</v>
      </c>
      <c r="E2425" s="147" t="n">
        <v>53001889</v>
      </c>
      <c r="F2425" s="147" t="n">
        <f aca="false">IFERROR(VLOOKUP(H2425,$AD$1:$AE$301,2,0),"")</f>
        <v>1002901</v>
      </c>
      <c r="G2425" s="147" t="str">
        <f aca="false">IFERROR(VLOOKUP(F2425,$AE$2:$AF$290,2, 0),"")</f>
        <v>تبوك</v>
      </c>
      <c r="H2425" s="212" t="s">
        <v>153</v>
      </c>
      <c r="I2425" s="246" t="n">
        <f aca="false">SUM(K2425:R2425)</f>
        <v>1</v>
      </c>
      <c r="J2425" s="182" t="n">
        <v>46037</v>
      </c>
      <c r="Q2425" s="154" t="n">
        <v>1</v>
      </c>
      <c r="S2425" s="192" t="n">
        <f aca="false">(K2425+O2425+Q2425)*24 /1130+(L2425+M2425+P2425+R2425)*12/1130+(N2425*30)/1130</f>
        <v>0.0212389380530973</v>
      </c>
    </row>
    <row r="2426" customFormat="false" ht="15" hidden="true" customHeight="true" outlineLevel="0" collapsed="false">
      <c r="B2426" s="233" t="n">
        <f aca="false">B2425+D2426-C2426</f>
        <v>5213.75</v>
      </c>
      <c r="C2426" s="127" t="n">
        <f aca="false">250+42.75+552+1417+230</f>
        <v>2491.75</v>
      </c>
      <c r="E2426" s="147" t="s">
        <v>675</v>
      </c>
      <c r="F2426" s="147" t="str">
        <f aca="false">IFERROR(VLOOKUP(H2426,$AD$1:$AE$301,2,0),"")</f>
        <v/>
      </c>
      <c r="G2426" s="147" t="str">
        <f aca="false">IFERROR(VLOOKUP(F2426,$AE$2:$AF$290,2, 0),"")</f>
        <v/>
      </c>
      <c r="H2426" s="212" t="s">
        <v>393</v>
      </c>
      <c r="I2426" s="246" t="n">
        <f aca="false">SUM(K2426:R2426)</f>
        <v>0</v>
      </c>
      <c r="J2426" s="182" t="n">
        <v>46037</v>
      </c>
      <c r="S2426" s="192" t="n">
        <f aca="false">(K2426+O2426+Q2426)*24 /1130+(L2426+M2426+P2426+R2426)*12/1130+(N2426*30)/1130</f>
        <v>0</v>
      </c>
    </row>
    <row r="2427" customFormat="false" ht="15" hidden="true" customHeight="true" outlineLevel="0" collapsed="false">
      <c r="B2427" s="233" t="n">
        <f aca="false">B2426+D2427-C2427</f>
        <v>2117.75</v>
      </c>
      <c r="C2427" s="127" t="n">
        <f aca="false">135+135+20+1070+235+100+80+210+251+295+210+150+40+165</f>
        <v>3096</v>
      </c>
      <c r="E2427" s="147" t="s">
        <v>675</v>
      </c>
      <c r="F2427" s="147" t="str">
        <f aca="false">IFERROR(VLOOKUP(H2427,$AD$1:$AE$301,2,0),"")</f>
        <v/>
      </c>
      <c r="G2427" s="147" t="str">
        <f aca="false">IFERROR(VLOOKUP(F2427,$AE$2:$AF$290,2, 0),"")</f>
        <v/>
      </c>
      <c r="H2427" s="212" t="s">
        <v>393</v>
      </c>
      <c r="I2427" s="246" t="n">
        <f aca="false">SUM(K2427:R2427)</f>
        <v>0</v>
      </c>
      <c r="J2427" s="182" t="n">
        <v>46037</v>
      </c>
      <c r="S2427" s="192" t="n">
        <f aca="false">(K2427+O2427+Q2427)*24 /1130+(L2427+M2427+P2427+R2427)*12/1130+(N2427*30)/1130</f>
        <v>0</v>
      </c>
    </row>
    <row r="2428" customFormat="false" ht="15" hidden="true" customHeight="true" outlineLevel="0" collapsed="false">
      <c r="B2428" s="233" t="n">
        <f aca="false">B2427+D2428-C2428</f>
        <v>1536.75</v>
      </c>
      <c r="C2428" s="127" t="n">
        <f aca="false">281+300</f>
        <v>581</v>
      </c>
      <c r="E2428" s="147" t="s">
        <v>675</v>
      </c>
      <c r="F2428" s="147" t="str">
        <f aca="false">IFERROR(VLOOKUP(H2428,$AD$1:$AE$301,2,0),"")</f>
        <v/>
      </c>
      <c r="G2428" s="147" t="str">
        <f aca="false">IFERROR(VLOOKUP(F2428,$AE$2:$AF$290,2, 0),"")</f>
        <v/>
      </c>
      <c r="H2428" s="212" t="s">
        <v>393</v>
      </c>
      <c r="I2428" s="246" t="n">
        <f aca="false">SUM(K2428:R2428)</f>
        <v>0</v>
      </c>
      <c r="J2428" s="182" t="n">
        <v>46040</v>
      </c>
      <c r="S2428" s="192" t="n">
        <f aca="false">(K2428+O2428+Q2428)*24 /1130+(L2428+M2428+P2428+R2428)*12/1130+(N2428*30)/1130</f>
        <v>0</v>
      </c>
    </row>
    <row r="2429" customFormat="false" ht="15" hidden="true" customHeight="true" outlineLevel="0" collapsed="false">
      <c r="A2429" s="128" t="n">
        <f aca="false">D2429-230</f>
        <v>0</v>
      </c>
      <c r="B2429" s="233" t="n">
        <f aca="false">B2428+D2429-C2429</f>
        <v>1766.75</v>
      </c>
      <c r="D2429" s="146" t="n">
        <v>230</v>
      </c>
      <c r="E2429" s="147" t="n">
        <v>53001890</v>
      </c>
      <c r="F2429" s="147" t="n">
        <f aca="false">IFERROR(VLOOKUP(H2429,$AD$1:$AE$301,2,0),"")</f>
        <v>979</v>
      </c>
      <c r="G2429" s="147" t="str">
        <f aca="false">IFERROR(VLOOKUP(F2429,$AE$2:$AF$290,2, 0),"")</f>
        <v>تبوك</v>
      </c>
      <c r="H2429" s="212" t="s">
        <v>136</v>
      </c>
      <c r="I2429" s="246" t="n">
        <f aca="false">SUM(K2429:R2429)</f>
        <v>1</v>
      </c>
      <c r="J2429" s="182" t="n">
        <v>46040</v>
      </c>
      <c r="M2429" s="150" t="n">
        <v>1</v>
      </c>
      <c r="S2429" s="192" t="n">
        <f aca="false">(K2429+O2429+Q2429)*24 /1130+(L2429+M2429+P2429+R2429)*12/1130+(N2429*30)/1130</f>
        <v>0.0106194690265487</v>
      </c>
    </row>
    <row r="2430" customFormat="false" ht="15" hidden="true" customHeight="true" outlineLevel="0" collapsed="false">
      <c r="A2430" s="128" t="n">
        <f aca="false">D2430-276</f>
        <v>0</v>
      </c>
      <c r="B2430" s="233" t="n">
        <f aca="false">B2429+D2430-C2430</f>
        <v>2042.75</v>
      </c>
      <c r="D2430" s="146" t="n">
        <f aca="false">138*2</f>
        <v>276</v>
      </c>
      <c r="E2430" s="147" t="n">
        <v>53001891</v>
      </c>
      <c r="F2430" s="147" t="n">
        <f aca="false">IFERROR(VLOOKUP(H2430,$AD$1:$AE$301,2,0),"")</f>
        <v>1002891</v>
      </c>
      <c r="G2430" s="147" t="str">
        <f aca="false">IFERROR(VLOOKUP(F2430,$AE$2:$AF$290,2, 0),"")</f>
        <v>تبوك</v>
      </c>
      <c r="H2430" s="212" t="s">
        <v>201</v>
      </c>
      <c r="I2430" s="246" t="n">
        <f aca="false">SUM(K2430:R2430)</f>
        <v>2</v>
      </c>
      <c r="J2430" s="182" t="n">
        <v>46040</v>
      </c>
      <c r="Q2430" s="154" t="n">
        <v>2</v>
      </c>
      <c r="S2430" s="192" t="n">
        <f aca="false">(K2430+O2430+Q2430)*24 /1130+(L2430+M2430+P2430+R2430)*12/1130+(N2430*30)/1130</f>
        <v>0.0424778761061947</v>
      </c>
    </row>
    <row r="2431" customFormat="false" ht="15" hidden="true" customHeight="true" outlineLevel="0" collapsed="false">
      <c r="B2431" s="233" t="n">
        <f aca="false">B2430+D2431-C2431</f>
        <v>3112.25</v>
      </c>
      <c r="D2431" s="146" t="n">
        <f aca="false">178.25*6</f>
        <v>1069.5</v>
      </c>
      <c r="E2431" s="147" t="n">
        <v>53001892</v>
      </c>
      <c r="F2431" s="147" t="n">
        <f aca="false">IFERROR(VLOOKUP(H2431,$AD$1:$AE$301,2,0),"")</f>
        <v>855</v>
      </c>
      <c r="G2431" s="147" t="str">
        <f aca="false">IFERROR(VLOOKUP(F2431,$AE$2:$AF$290,2, 0),"")</f>
        <v>تبوك</v>
      </c>
      <c r="H2431" s="212" t="s">
        <v>141</v>
      </c>
      <c r="I2431" s="246" t="n">
        <f aca="false">SUM(K2431:R2431)</f>
        <v>7</v>
      </c>
      <c r="J2431" s="182" t="n">
        <v>46040</v>
      </c>
      <c r="L2431" s="149" t="n">
        <v>7</v>
      </c>
      <c r="S2431" s="192" t="n">
        <f aca="false">(K2431+O2431+Q2431)*24 /1130+(L2431+M2431+P2431+R2431)*12/1130+(N2431*30)/1130</f>
        <v>0.0743362831858407</v>
      </c>
    </row>
    <row r="2432" customFormat="false" ht="15" hidden="true" customHeight="true" outlineLevel="0" collapsed="false">
      <c r="B2432" s="233" t="n">
        <f aca="false">B2431+D2432-C2432</f>
        <v>0.25</v>
      </c>
      <c r="C2432" s="127" t="n">
        <v>3112</v>
      </c>
      <c r="E2432" s="147" t="s">
        <v>668</v>
      </c>
      <c r="F2432" s="147" t="str">
        <f aca="false">IFERROR(VLOOKUP(H2432,$AD$1:$AE$301,2,0),"")</f>
        <v/>
      </c>
      <c r="G2432" s="147" t="str">
        <f aca="false">IFERROR(VLOOKUP(F2432,$AE$2:$AF$290,2, 0),"")</f>
        <v/>
      </c>
      <c r="H2432" s="212" t="s">
        <v>393</v>
      </c>
      <c r="I2432" s="246" t="n">
        <f aca="false">SUM(K2432:R2432)</f>
        <v>0</v>
      </c>
      <c r="J2432" s="182" t="n">
        <v>46041</v>
      </c>
      <c r="S2432" s="192" t="n">
        <f aca="false">(K2432+O2432+Q2432)*24 /1130+(L2432+M2432+P2432+R2432)*12/1130+(N2432*30)/1130</f>
        <v>0</v>
      </c>
    </row>
    <row r="2433" customFormat="false" ht="15" hidden="true" customHeight="true" outlineLevel="0" collapsed="false">
      <c r="B2433" s="233" t="n">
        <f aca="false">B2432+D2433-C2433</f>
        <v>483.25</v>
      </c>
      <c r="D2433" s="146" t="n">
        <f aca="false">241.5*2</f>
        <v>483</v>
      </c>
      <c r="E2433" s="147" t="n">
        <v>53001893</v>
      </c>
      <c r="F2433" s="147" t="n">
        <f aca="false">IFERROR(VLOOKUP(H2433,$AD$1:$AE$301,2,0),"")</f>
        <v>1002879</v>
      </c>
      <c r="G2433" s="147" t="str">
        <f aca="false">IFERROR(VLOOKUP(F2433,$AE$2:$AF$290,2, 0),"")</f>
        <v>تبوك</v>
      </c>
      <c r="H2433" s="212" t="s">
        <v>537</v>
      </c>
      <c r="I2433" s="246" t="n">
        <f aca="false">SUM(K2433:R2433)</f>
        <v>2</v>
      </c>
      <c r="J2433" s="182" t="n">
        <v>46041</v>
      </c>
      <c r="O2433" s="152" t="n">
        <v>2</v>
      </c>
      <c r="S2433" s="192" t="n">
        <f aca="false">(K2433+O2433+Q2433)*24 /1130+(L2433+M2433+P2433+R2433)*12/1130+(N2433*30)/1130</f>
        <v>0.0424778761061947</v>
      </c>
    </row>
    <row r="2434" customFormat="false" ht="15" hidden="true" customHeight="true" outlineLevel="0" collapsed="false">
      <c r="B2434" s="233" t="n">
        <f aca="false">B2433+D2434-C2434</f>
        <v>2449.75</v>
      </c>
      <c r="D2434" s="146" t="n">
        <f aca="false">6*327.75</f>
        <v>1966.5</v>
      </c>
      <c r="E2434" s="147" t="n">
        <v>53001894</v>
      </c>
      <c r="F2434" s="147" t="n">
        <f aca="false">IFERROR(VLOOKUP(H2434,$AD$1:$AE$301,2,0),"")</f>
        <v>855</v>
      </c>
      <c r="G2434" s="147" t="str">
        <f aca="false">IFERROR(VLOOKUP(F2434,$AE$2:$AF$290,2, 0),"")</f>
        <v>تبوك</v>
      </c>
      <c r="H2434" s="212" t="s">
        <v>141</v>
      </c>
      <c r="I2434" s="246" t="n">
        <f aca="false">SUM(K2434:R2434)</f>
        <v>7</v>
      </c>
      <c r="J2434" s="182" t="n">
        <v>46041</v>
      </c>
      <c r="K2434" s="148" t="n">
        <v>7</v>
      </c>
      <c r="S2434" s="192" t="n">
        <f aca="false">(K2434+O2434+Q2434)*24 /1130+(L2434+M2434+P2434+R2434)*12/1130+(N2434*30)/1130</f>
        <v>0.148672566371681</v>
      </c>
    </row>
    <row r="2435" customFormat="false" ht="15" hidden="true" customHeight="true" outlineLevel="0" collapsed="false">
      <c r="B2435" s="233" t="n">
        <f aca="false">B2434+D2435-C2435</f>
        <v>1000.75</v>
      </c>
      <c r="C2435" s="127" t="n">
        <f aca="false">155+43+10+50+1191</f>
        <v>1449</v>
      </c>
      <c r="E2435" s="147" t="s">
        <v>675</v>
      </c>
      <c r="F2435" s="147" t="str">
        <f aca="false">IFERROR(VLOOKUP(H2435,$AD$1:$AE$301,2,0),"")</f>
        <v/>
      </c>
      <c r="G2435" s="147" t="str">
        <f aca="false">IFERROR(VLOOKUP(F2435,$AE$2:$AF$290,2, 0),"")</f>
        <v/>
      </c>
      <c r="H2435" s="212" t="s">
        <v>393</v>
      </c>
      <c r="I2435" s="246" t="n">
        <f aca="false">SUM(K2435:R2435)</f>
        <v>0</v>
      </c>
      <c r="J2435" s="182" t="n">
        <v>46040</v>
      </c>
      <c r="S2435" s="192" t="n">
        <f aca="false">(K2435+O2435+Q2435)*24 /1130+(L2435+M2435+P2435+R2435)*12/1130+(N2435*30)/1130</f>
        <v>0</v>
      </c>
    </row>
    <row r="2436" customFormat="false" ht="15" hidden="true" customHeight="true" outlineLevel="0" collapsed="false">
      <c r="B2436" s="233" t="n">
        <f aca="false">B2435+D2436-C2436</f>
        <v>0.75</v>
      </c>
      <c r="C2436" s="127" t="n">
        <v>1000</v>
      </c>
      <c r="E2436" s="147" t="s">
        <v>667</v>
      </c>
      <c r="F2436" s="147" t="str">
        <f aca="false">IFERROR(VLOOKUP(H2436,$AD$1:$AE$301,2,0),"")</f>
        <v/>
      </c>
      <c r="G2436" s="147" t="str">
        <f aca="false">IFERROR(VLOOKUP(F2436,$AE$2:$AF$290,2, 0),"")</f>
        <v/>
      </c>
      <c r="H2436" s="212" t="s">
        <v>393</v>
      </c>
      <c r="I2436" s="246" t="n">
        <f aca="false">SUM(K2436:R2436)</f>
        <v>0</v>
      </c>
      <c r="J2436" s="182" t="n">
        <v>46040</v>
      </c>
      <c r="S2436" s="192" t="n">
        <f aca="false">(K2436+O2436+Q2436)*24 /1130+(L2436+M2436+P2436+R2436)*12/1130+(N2436*30)/1130</f>
        <v>0</v>
      </c>
    </row>
    <row r="2437" customFormat="false" ht="15" hidden="true" customHeight="true" outlineLevel="0" collapsed="false">
      <c r="B2437" s="233" t="n">
        <f aca="false">B2436+D2437-C2437</f>
        <v>483.75</v>
      </c>
      <c r="D2437" s="146" t="n">
        <f aca="false">241.5*2</f>
        <v>483</v>
      </c>
      <c r="E2437" s="147" t="n">
        <v>53001895</v>
      </c>
      <c r="F2437" s="147" t="n">
        <f aca="false">IFERROR(VLOOKUP(H2437,$AD$1:$AE$301,2,0),"")</f>
        <v>1008276</v>
      </c>
      <c r="G2437" s="147" t="str">
        <f aca="false">IFERROR(VLOOKUP(F2437,$AE$2:$AF$290,2, 0),"")</f>
        <v>تبوك</v>
      </c>
      <c r="H2437" s="212" t="s">
        <v>145</v>
      </c>
      <c r="I2437" s="246" t="n">
        <f aca="false">SUM(K2437:R2437)</f>
        <v>2</v>
      </c>
      <c r="J2437" s="182" t="n">
        <v>46042</v>
      </c>
      <c r="O2437" s="152" t="n">
        <v>1</v>
      </c>
      <c r="Q2437" s="154" t="n">
        <v>1</v>
      </c>
      <c r="S2437" s="192" t="n">
        <f aca="false">(K2437+O2437+Q2437)*24 /1130+(L2437+M2437+P2437+R2437)*12/1130+(N2437*30)/1130</f>
        <v>0.0424778761061947</v>
      </c>
    </row>
    <row r="2438" customFormat="false" ht="15" hidden="true" customHeight="true" outlineLevel="0" collapsed="false">
      <c r="B2438" s="233" t="n">
        <f aca="false">B2437+D2438-C2438</f>
        <v>2243.25</v>
      </c>
      <c r="D2438" s="146" t="n">
        <f aca="false">293.25*6</f>
        <v>1759.5</v>
      </c>
      <c r="E2438" s="147" t="n">
        <v>53001896</v>
      </c>
      <c r="F2438" s="147" t="n">
        <f aca="false">IFERROR(VLOOKUP(H2438,$AD$1:$AE$301,2,0),"")</f>
        <v>1002938</v>
      </c>
      <c r="G2438" s="147" t="str">
        <f aca="false">IFERROR(VLOOKUP(F2438,$AE$2:$AF$290,2, 0),"")</f>
        <v>تبوك</v>
      </c>
      <c r="H2438" s="212" t="s">
        <v>175</v>
      </c>
      <c r="I2438" s="246" t="n">
        <f aca="false">SUM(K2438:R2438)</f>
        <v>7</v>
      </c>
      <c r="J2438" s="182" t="n">
        <v>46042</v>
      </c>
      <c r="M2438" s="150" t="n">
        <v>7</v>
      </c>
      <c r="S2438" s="192" t="n">
        <f aca="false">(K2438+O2438+Q2438)*24 /1130+(L2438+M2438+P2438+R2438)*12/1130+(N2438*30)/1130</f>
        <v>0.0743362831858407</v>
      </c>
    </row>
    <row r="2439" customFormat="false" ht="15" hidden="true" customHeight="true" outlineLevel="0" collapsed="false">
      <c r="B2439" s="233" t="n">
        <f aca="false">B2438+D2439-C2439</f>
        <v>2398.5</v>
      </c>
      <c r="D2439" s="146" t="n">
        <v>155.25</v>
      </c>
      <c r="E2439" s="147" t="n">
        <v>53001897</v>
      </c>
      <c r="F2439" s="147" t="n">
        <f aca="false">IFERROR(VLOOKUP(H2439,$AD$1:$AE$301,2,0),"")</f>
        <v>826</v>
      </c>
      <c r="G2439" s="147" t="str">
        <f aca="false">IFERROR(VLOOKUP(F2439,$AE$2:$AF$290,2, 0),"")</f>
        <v>تبوك</v>
      </c>
      <c r="H2439" s="212" t="s">
        <v>196</v>
      </c>
      <c r="I2439" s="246" t="n">
        <f aca="false">SUM(K2439:R2439)</f>
        <v>1</v>
      </c>
      <c r="J2439" s="182" t="n">
        <v>46042</v>
      </c>
      <c r="R2439" s="155" t="n">
        <v>1</v>
      </c>
      <c r="S2439" s="192" t="n">
        <f aca="false">(K2439+O2439+Q2439)*24 /1130+(L2439+M2439+P2439+R2439)*12/1130+(N2439*30)/1130</f>
        <v>0.0106194690265487</v>
      </c>
    </row>
    <row r="2440" customFormat="false" ht="15" hidden="true" customHeight="true" outlineLevel="0" collapsed="false">
      <c r="B2440" s="233" t="n">
        <f aca="false">B2439+D2440-C2440</f>
        <v>4503</v>
      </c>
      <c r="D2440" s="146" t="n">
        <f aca="false">6*327.75+138</f>
        <v>2104.5</v>
      </c>
      <c r="E2440" s="147" t="n">
        <v>53001898</v>
      </c>
      <c r="F2440" s="147" t="n">
        <f aca="false">IFERROR(VLOOKUP(H2440,$AD$1:$AE$301,2,0),"")</f>
        <v>1002882</v>
      </c>
      <c r="G2440" s="147" t="str">
        <f aca="false">IFERROR(VLOOKUP(F2440,$AE$2:$AF$290,2, 0),"")</f>
        <v>تبوك</v>
      </c>
      <c r="H2440" s="212" t="s">
        <v>534</v>
      </c>
      <c r="I2440" s="246" t="n">
        <f aca="false">SUM(K2440:R2440)</f>
        <v>8</v>
      </c>
      <c r="J2440" s="182" t="n">
        <v>46042</v>
      </c>
      <c r="K2440" s="148" t="n">
        <v>7</v>
      </c>
      <c r="Q2440" s="154" t="n">
        <v>1</v>
      </c>
      <c r="S2440" s="192" t="n">
        <f aca="false">(K2440+O2440+Q2440)*24 /1130+(L2440+M2440+P2440+R2440)*12/1130+(N2440*30)/1130</f>
        <v>0.169911504424779</v>
      </c>
    </row>
    <row r="2441" customFormat="false" ht="15" hidden="true" customHeight="true" outlineLevel="0" collapsed="false">
      <c r="B2441" s="233" t="n">
        <f aca="false">B2440+D2441-C2441</f>
        <v>2643</v>
      </c>
      <c r="C2441" s="127" t="n">
        <f aca="false">550+715+100+239+240+16</f>
        <v>1860</v>
      </c>
      <c r="E2441" s="147" t="s">
        <v>675</v>
      </c>
      <c r="F2441" s="147" t="str">
        <f aca="false">IFERROR(VLOOKUP(H2441,$AD$1:$AE$301,2,0),"")</f>
        <v/>
      </c>
      <c r="G2441" s="147" t="str">
        <f aca="false">IFERROR(VLOOKUP(F2441,$AE$2:$AF$290,2, 0),"")</f>
        <v/>
      </c>
      <c r="H2441" s="212" t="s">
        <v>393</v>
      </c>
      <c r="I2441" s="246" t="n">
        <f aca="false">SUM(K2441:R2441)</f>
        <v>0</v>
      </c>
      <c r="J2441" s="182" t="n">
        <v>46044</v>
      </c>
      <c r="S2441" s="192" t="n">
        <f aca="false">(K2441+O2441+Q2441)*24 /1130+(L2441+M2441+P2441+R2441)*12/1130+(N2441*30)/1130</f>
        <v>0</v>
      </c>
    </row>
    <row r="2442" customFormat="false" ht="15" hidden="true" customHeight="true" outlineLevel="0" collapsed="false">
      <c r="B2442" s="233" t="n">
        <f aca="false">B2441+D2442-C2442</f>
        <v>0</v>
      </c>
      <c r="C2442" s="127" t="n">
        <v>2643</v>
      </c>
      <c r="E2442" s="147" t="s">
        <v>668</v>
      </c>
      <c r="F2442" s="147" t="str">
        <f aca="false">IFERROR(VLOOKUP(H2442,$AD$1:$AE$301,2,0),"")</f>
        <v/>
      </c>
      <c r="G2442" s="147" t="str">
        <f aca="false">IFERROR(VLOOKUP(F2442,$AE$2:$AF$290,2, 0),"")</f>
        <v/>
      </c>
      <c r="H2442" s="212" t="s">
        <v>393</v>
      </c>
      <c r="I2442" s="246" t="n">
        <f aca="false">SUM(K2442:R2442)</f>
        <v>0</v>
      </c>
      <c r="J2442" s="182" t="n">
        <v>46042</v>
      </c>
      <c r="S2442" s="192" t="n">
        <f aca="false">(K2442+O2442+Q2442)*24 /1130+(L2442+M2442+P2442+R2442)*12/1130+(N2442*30)/1130</f>
        <v>0</v>
      </c>
    </row>
    <row r="2443" customFormat="false" ht="15" hidden="true" customHeight="true" outlineLevel="0" collapsed="false">
      <c r="B2443" s="233" t="n">
        <f aca="false">B2442+D2443-C2443</f>
        <v>155.25</v>
      </c>
      <c r="D2443" s="146" t="n">
        <v>155.25</v>
      </c>
      <c r="E2443" s="147" t="n">
        <v>53001899</v>
      </c>
      <c r="F2443" s="147" t="n">
        <f aca="false">IFERROR(VLOOKUP(H2443,$AD$1:$AE$301,2,0),"")</f>
        <v>1045</v>
      </c>
      <c r="G2443" s="147" t="str">
        <f aca="false">IFERROR(VLOOKUP(F2443,$AE$2:$AF$290,2, 0),"")</f>
        <v>تبوك</v>
      </c>
      <c r="H2443" s="212" t="s">
        <v>142</v>
      </c>
      <c r="I2443" s="246" t="n">
        <f aca="false">SUM(K2443:R2443)</f>
        <v>1</v>
      </c>
      <c r="J2443" s="182" t="n">
        <v>46043</v>
      </c>
      <c r="R2443" s="155" t="n">
        <v>1</v>
      </c>
      <c r="S2443" s="192" t="n">
        <f aca="false">(K2443+O2443+Q2443)*24 /1130+(L2443+M2443+P2443+R2443)*12/1130+(N2443*30)/1130</f>
        <v>0.0106194690265487</v>
      </c>
    </row>
    <row r="2444" customFormat="false" ht="15" hidden="true" customHeight="true" outlineLevel="0" collapsed="false">
      <c r="B2444" s="233" t="n">
        <f aca="false">B2443+D2444-C2444</f>
        <v>2121.75</v>
      </c>
      <c r="C2444" s="438"/>
      <c r="D2444" s="146" t="n">
        <f aca="false">6*327.75</f>
        <v>1966.5</v>
      </c>
      <c r="E2444" s="147" t="n">
        <v>53001900</v>
      </c>
      <c r="F2444" s="147" t="n">
        <f aca="false">IFERROR(VLOOKUP(H2444,$AD$1:$AE$301,2,0),"")</f>
        <v>1002898</v>
      </c>
      <c r="G2444" s="147" t="str">
        <f aca="false">IFERROR(VLOOKUP(F2444,$AE$2:$AF$290,2, 0),"")</f>
        <v>تبوك</v>
      </c>
      <c r="H2444" s="212" t="s">
        <v>195</v>
      </c>
      <c r="I2444" s="246" t="n">
        <f aca="false">SUM(K2444:R2444)</f>
        <v>7</v>
      </c>
      <c r="J2444" s="182" t="n">
        <v>46043</v>
      </c>
      <c r="K2444" s="148" t="n">
        <v>7</v>
      </c>
      <c r="S2444" s="192" t="n">
        <f aca="false">(K2444+O2444+Q2444)*24 /1130+(L2444+M2444+P2444+R2444)*12/1130+(N2444*30)/1130</f>
        <v>0.148672566371681</v>
      </c>
    </row>
    <row r="2445" customFormat="false" ht="15" hidden="true" customHeight="true" outlineLevel="0" collapsed="false">
      <c r="B2445" s="233" t="n">
        <f aca="false">B2444+D2445-C2445</f>
        <v>4283.75</v>
      </c>
      <c r="D2445" s="146" t="n">
        <v>2162</v>
      </c>
      <c r="E2445" s="147" t="n">
        <v>53001901</v>
      </c>
      <c r="F2445" s="147" t="n">
        <f aca="false">IFERROR(VLOOKUP(H2445,$AD$1:$AE$301,2,0),"")</f>
        <v>855</v>
      </c>
      <c r="G2445" s="147" t="str">
        <f aca="false">IFERROR(VLOOKUP(F2445,$AE$2:$AF$290,2, 0),"")</f>
        <v>تبوك</v>
      </c>
      <c r="H2445" s="212" t="s">
        <v>141</v>
      </c>
      <c r="I2445" s="246" t="n">
        <f aca="false">SUM(K2445:R2445)</f>
        <v>9</v>
      </c>
      <c r="J2445" s="182" t="n">
        <v>46043</v>
      </c>
      <c r="M2445" s="150" t="n">
        <v>8</v>
      </c>
      <c r="Q2445" s="154" t="n">
        <v>1</v>
      </c>
      <c r="S2445" s="192" t="n">
        <f aca="false">(K2445+O2445+Q2445)*24 /1130+(L2445+M2445+P2445+R2445)*12/1130+(N2445*30)/1130</f>
        <v>0.106194690265487</v>
      </c>
    </row>
    <row r="2446" customFormat="false" ht="15" hidden="true" customHeight="true" outlineLevel="0" collapsed="false">
      <c r="B2446" s="233" t="n">
        <f aca="false">B2445+D2446-C2446</f>
        <v>1264.75</v>
      </c>
      <c r="C2446" s="127" t="n">
        <f aca="false">700+150+7+2162</f>
        <v>3019</v>
      </c>
      <c r="E2446" s="147" t="s">
        <v>675</v>
      </c>
      <c r="F2446" s="147" t="str">
        <f aca="false">IFERROR(VLOOKUP(H2446,$AD$1:$AE$301,2,0),"")</f>
        <v/>
      </c>
      <c r="G2446" s="147" t="str">
        <f aca="false">IFERROR(VLOOKUP(F2446,$AE$2:$AF$290,2, 0),"")</f>
        <v/>
      </c>
      <c r="H2446" s="212" t="s">
        <v>393</v>
      </c>
      <c r="I2446" s="246" t="n">
        <f aca="false">SUM(K2446:R2446)</f>
        <v>0</v>
      </c>
      <c r="J2446" s="182" t="n">
        <v>46043</v>
      </c>
      <c r="S2446" s="192" t="n">
        <f aca="false">(K2446+O2446+Q2446)*24 /1130+(L2446+M2446+P2446+R2446)*12/1130+(N2446*30)/1130</f>
        <v>0</v>
      </c>
    </row>
    <row r="2447" customFormat="false" ht="15" hidden="true" customHeight="true" outlineLevel="0" collapsed="false">
      <c r="B2447" s="233" t="n">
        <f aca="false">B2446+D2447-C2447</f>
        <v>0.75</v>
      </c>
      <c r="C2447" s="127" t="n">
        <v>1264</v>
      </c>
      <c r="E2447" s="147" t="s">
        <v>668</v>
      </c>
      <c r="F2447" s="147" t="str">
        <f aca="false">IFERROR(VLOOKUP(H2447,$AD$1:$AE$301,2,0),"")</f>
        <v/>
      </c>
      <c r="G2447" s="147" t="str">
        <f aca="false">IFERROR(VLOOKUP(F2447,$AE$2:$AF$290,2, 0),"")</f>
        <v/>
      </c>
      <c r="H2447" s="212" t="s">
        <v>393</v>
      </c>
      <c r="I2447" s="246" t="n">
        <f aca="false">SUM(K2447:R2447)</f>
        <v>0</v>
      </c>
      <c r="J2447" s="182" t="n">
        <v>46043</v>
      </c>
      <c r="S2447" s="192" t="n">
        <f aca="false">(K2447+O2447+Q2447)*24 /1130+(L2447+M2447+P2447+R2447)*12/1130+(N2447*30)/1130</f>
        <v>0</v>
      </c>
    </row>
    <row r="2448" customFormat="false" ht="15" hidden="true" customHeight="true" outlineLevel="0" collapsed="false">
      <c r="B2448" s="233" t="n">
        <f aca="false">B2447+D2448-C2448</f>
        <v>1173.75</v>
      </c>
      <c r="D2448" s="146" t="n">
        <f aca="false">230*3+241.5*2</f>
        <v>1173</v>
      </c>
      <c r="E2448" s="147" t="n">
        <v>53001902</v>
      </c>
      <c r="F2448" s="147" t="n">
        <f aca="false">IFERROR(VLOOKUP(H2448,$AD$1:$AE$301,2,0),"")</f>
        <v>1071</v>
      </c>
      <c r="G2448" s="147" t="str">
        <f aca="false">IFERROR(VLOOKUP(F2448,$AE$2:$AF$290,2, 0),"")</f>
        <v>تبوك</v>
      </c>
      <c r="H2448" s="212" t="s">
        <v>135</v>
      </c>
      <c r="I2448" s="246" t="n">
        <f aca="false">SUM(K2448:R2448)</f>
        <v>5</v>
      </c>
      <c r="J2448" s="182" t="n">
        <v>46044</v>
      </c>
      <c r="M2448" s="150" t="n">
        <v>3</v>
      </c>
      <c r="O2448" s="152" t="n">
        <v>2</v>
      </c>
      <c r="S2448" s="192" t="n">
        <f aca="false">(K2448+O2448+Q2448)*24 /1130+(L2448+M2448+P2448+R2448)*12/1130+(N2448*30)/1130</f>
        <v>0.0743362831858407</v>
      </c>
    </row>
    <row r="2449" customFormat="false" ht="15" hidden="true" customHeight="true" outlineLevel="0" collapsed="false">
      <c r="B2449" s="233" t="n">
        <f aca="false">B2448+D2449-C2449</f>
        <v>3140.25</v>
      </c>
      <c r="D2449" s="146" t="n">
        <f aca="false">6*327.75</f>
        <v>1966.5</v>
      </c>
      <c r="E2449" s="147" t="n">
        <v>53001903</v>
      </c>
      <c r="F2449" s="147" t="n">
        <f aca="false">IFERROR(VLOOKUP(H2449,$AD$1:$AE$301,2,0),"")</f>
        <v>1002906</v>
      </c>
      <c r="G2449" s="147" t="str">
        <f aca="false">IFERROR(VLOOKUP(F2449,$AE$2:$AF$290,2, 0),"")</f>
        <v>تبوك</v>
      </c>
      <c r="H2449" s="212" t="s">
        <v>138</v>
      </c>
      <c r="I2449" s="246" t="n">
        <f aca="false">SUM(K2449:R2449)</f>
        <v>7</v>
      </c>
      <c r="J2449" s="182" t="n">
        <v>46044</v>
      </c>
      <c r="K2449" s="148" t="n">
        <v>7</v>
      </c>
      <c r="S2449" s="192" t="n">
        <f aca="false">(K2449+O2449+Q2449)*24 /1130+(L2449+M2449+P2449+R2449)*12/1130+(N2449*30)/1130</f>
        <v>0.148672566371681</v>
      </c>
    </row>
    <row r="2450" customFormat="false" ht="15" hidden="true" customHeight="true" outlineLevel="0" collapsed="false">
      <c r="B2450" s="233" t="n">
        <f aca="false">B2449+D2450-C2450</f>
        <v>3600.25</v>
      </c>
      <c r="D2450" s="146" t="n">
        <f aca="false">230*2</f>
        <v>460</v>
      </c>
      <c r="E2450" s="147" t="n">
        <v>53001904</v>
      </c>
      <c r="F2450" s="147" t="n">
        <f aca="false">IFERROR(VLOOKUP(H2450,$AD$1:$AE$301,2,0),"")</f>
        <v>1002883</v>
      </c>
      <c r="G2450" s="147" t="str">
        <f aca="false">IFERROR(VLOOKUP(F2450,$AE$2:$AF$290,2, 0),"")</f>
        <v>تبوك</v>
      </c>
      <c r="H2450" s="212" t="s">
        <v>198</v>
      </c>
      <c r="I2450" s="246" t="n">
        <f aca="false">SUM(K2450:R2450)</f>
        <v>2</v>
      </c>
      <c r="J2450" s="182" t="n">
        <v>46044</v>
      </c>
      <c r="M2450" s="150" t="n">
        <v>2</v>
      </c>
      <c r="S2450" s="192" t="n">
        <f aca="false">(K2450+O2450+Q2450)*24 /1130+(L2450+M2450+P2450+R2450)*12/1130+(N2450*30)/1130</f>
        <v>0.0212389380530973</v>
      </c>
    </row>
    <row r="2451" customFormat="false" ht="15" hidden="true" customHeight="true" outlineLevel="0" collapsed="false">
      <c r="B2451" s="233" t="n">
        <f aca="false">B2450+D2451-C2451</f>
        <v>5428.75</v>
      </c>
      <c r="D2451" s="146" t="n">
        <f aca="false">276*2+293.25+345*2+293.25</f>
        <v>1828.5</v>
      </c>
      <c r="E2451" s="147" t="n">
        <v>53001905</v>
      </c>
      <c r="F2451" s="147" t="n">
        <f aca="false">IFERROR(VLOOKUP(H2451,$AD$1:$AE$301,2,0),"")</f>
        <v>855</v>
      </c>
      <c r="G2451" s="147" t="str">
        <f aca="false">IFERROR(VLOOKUP(F2451,$AE$2:$AF$290,2, 0),"")</f>
        <v>تبوك</v>
      </c>
      <c r="H2451" s="212" t="s">
        <v>141</v>
      </c>
      <c r="I2451" s="246" t="n">
        <f aca="false">SUM(K2451:R2451)</f>
        <v>7</v>
      </c>
      <c r="J2451" s="182" t="n">
        <v>46044</v>
      </c>
      <c r="M2451" s="150" t="n">
        <v>7</v>
      </c>
      <c r="S2451" s="192" t="n">
        <f aca="false">(K2451+O2451+Q2451)*24 /1130+(L2451+M2451+P2451+R2451)*12/1130+(N2451*30)/1130</f>
        <v>0.0743362831858407</v>
      </c>
    </row>
    <row r="2452" customFormat="false" ht="15" hidden="true" customHeight="true" outlineLevel="0" collapsed="false">
      <c r="B2452" s="233" t="n">
        <f aca="false">B2451+D2452-C2452</f>
        <v>4833.75</v>
      </c>
      <c r="C2452" s="127" t="n">
        <f aca="false">150+445</f>
        <v>595</v>
      </c>
      <c r="E2452" s="147" t="s">
        <v>675</v>
      </c>
      <c r="F2452" s="147" t="str">
        <f aca="false">IFERROR(VLOOKUP(H2452,$AD$1:$AE$301,2,0),"")</f>
        <v/>
      </c>
      <c r="G2452" s="147" t="str">
        <f aca="false">IFERROR(VLOOKUP(F2452,$AE$2:$AF$290,2, 0),"")</f>
        <v/>
      </c>
      <c r="H2452" s="212" t="s">
        <v>393</v>
      </c>
      <c r="I2452" s="246" t="n">
        <f aca="false">SUM(K2452:R2452)</f>
        <v>0</v>
      </c>
      <c r="J2452" s="182" t="n">
        <v>46044</v>
      </c>
      <c r="S2452" s="192" t="n">
        <f aca="false">(K2452+O2452+Q2452)*24 /1130+(L2452+M2452+P2452+R2452)*12/1130+(N2452*30)/1130</f>
        <v>0</v>
      </c>
    </row>
    <row r="2453" customFormat="false" ht="15" hidden="true" customHeight="true" outlineLevel="0" collapsed="false">
      <c r="B2453" s="233" t="n">
        <f aca="false">B2452+D2453-C2453</f>
        <v>2675.75</v>
      </c>
      <c r="C2453" s="127" t="n">
        <f aca="false">40+5+28+80+80+1400+155+205+85+80</f>
        <v>2158</v>
      </c>
      <c r="E2453" s="147" t="s">
        <v>675</v>
      </c>
      <c r="F2453" s="147" t="str">
        <f aca="false">IFERROR(VLOOKUP(H2453,$AD$1:$AE$301,2,0),"")</f>
        <v/>
      </c>
      <c r="G2453" s="147" t="str">
        <f aca="false">IFERROR(VLOOKUP(F2453,$AE$2:$AF$290,2, 0),"")</f>
        <v/>
      </c>
      <c r="H2453" s="212" t="s">
        <v>393</v>
      </c>
      <c r="I2453" s="246" t="n">
        <f aca="false">SUM(K2453:R2453)</f>
        <v>0</v>
      </c>
      <c r="J2453" s="182" t="n">
        <v>46044</v>
      </c>
      <c r="S2453" s="192" t="n">
        <f aca="false">(K2453+O2453+Q2453)*24 /1130+(L2453+M2453+P2453+R2453)*12/1130+(N2453*30)/1130</f>
        <v>0</v>
      </c>
    </row>
    <row r="2454" customFormat="false" ht="15" hidden="true" customHeight="true" outlineLevel="0" collapsed="false">
      <c r="B2454" s="233" t="n">
        <f aca="false">B2453+D2454-C2454</f>
        <v>513.75</v>
      </c>
      <c r="C2454" s="127" t="n">
        <v>2162</v>
      </c>
      <c r="E2454" s="147" t="s">
        <v>667</v>
      </c>
      <c r="F2454" s="147" t="str">
        <f aca="false">IFERROR(VLOOKUP(H2454,$AD$1:$AE$301,2,0),"")</f>
        <v/>
      </c>
      <c r="G2454" s="147" t="str">
        <f aca="false">IFERROR(VLOOKUP(F2454,$AE$2:$AF$290,2, 0),"")</f>
        <v/>
      </c>
      <c r="H2454" s="212" t="s">
        <v>393</v>
      </c>
      <c r="I2454" s="246" t="n">
        <f aca="false">SUM(K2454:R2454)</f>
        <v>0</v>
      </c>
      <c r="J2454" s="182" t="n">
        <v>46044</v>
      </c>
      <c r="S2454" s="192" t="n">
        <f aca="false">(K2454+O2454+Q2454)*24 /1130+(L2454+M2454+P2454+R2454)*12/1130+(N2454*30)/1130</f>
        <v>0</v>
      </c>
    </row>
    <row r="2455" customFormat="false" ht="15" hidden="true" customHeight="true" outlineLevel="0" collapsed="false">
      <c r="B2455" s="233" t="n">
        <f aca="false">B2454+D2455-C2455</f>
        <v>4343.25</v>
      </c>
      <c r="D2455" s="146" t="n">
        <f aca="false">345*6+293.25*6</f>
        <v>3829.5</v>
      </c>
      <c r="E2455" s="147" t="n">
        <v>53001906</v>
      </c>
      <c r="F2455" s="147" t="n">
        <f aca="false">IFERROR(VLOOKUP(H2455,$AD$1:$AE$301,2,0),"")</f>
        <v>1063</v>
      </c>
      <c r="G2455" s="147" t="str">
        <f aca="false">IFERROR(VLOOKUP(F2455,$AE$2:$AF$290,2, 0),"")</f>
        <v>تبوك</v>
      </c>
      <c r="H2455" s="212" t="s">
        <v>158</v>
      </c>
      <c r="I2455" s="246" t="n">
        <f aca="false">SUM(K2455:R2455)</f>
        <v>14</v>
      </c>
      <c r="J2455" s="182" t="n">
        <v>46047</v>
      </c>
      <c r="M2455" s="150" t="n">
        <f aca="false">6+6+2</f>
        <v>14</v>
      </c>
      <c r="S2455" s="192" t="n">
        <f aca="false">(K2455+O2455+Q2455)*24 /1130+(L2455+M2455+P2455+R2455)*12/1130+(N2455*30)/1130</f>
        <v>0.148672566371681</v>
      </c>
    </row>
    <row r="2456" customFormat="false" ht="15" hidden="true" customHeight="true" outlineLevel="0" collapsed="false">
      <c r="B2456" s="233" t="n">
        <f aca="false">B2455+D2456-C2456</f>
        <v>5412.75</v>
      </c>
      <c r="D2456" s="146" t="n">
        <f aca="false">178.25*6</f>
        <v>1069.5</v>
      </c>
      <c r="E2456" s="147" t="n">
        <v>53001907</v>
      </c>
      <c r="F2456" s="147" t="n">
        <f aca="false">IFERROR(VLOOKUP(H2456,$AD$1:$AE$301,2,0),"")</f>
        <v>827</v>
      </c>
      <c r="G2456" s="147" t="str">
        <f aca="false">IFERROR(VLOOKUP(F2456,$AE$2:$AF$290,2, 0),"")</f>
        <v>تبوك</v>
      </c>
      <c r="H2456" s="212" t="s">
        <v>182</v>
      </c>
      <c r="I2456" s="246" t="n">
        <f aca="false">SUM(K2456:R2456)</f>
        <v>7</v>
      </c>
      <c r="J2456" s="182" t="n">
        <v>46047</v>
      </c>
      <c r="L2456" s="149" t="n">
        <v>7</v>
      </c>
      <c r="S2456" s="192" t="n">
        <f aca="false">(K2456+O2456+Q2456)*24 /1130+(L2456+M2456+P2456+R2456)*12/1130+(N2456*30)/1130</f>
        <v>0.0743362831858407</v>
      </c>
    </row>
    <row r="2457" customFormat="false" ht="15" hidden="true" customHeight="true" outlineLevel="0" collapsed="false">
      <c r="B2457" s="233" t="n">
        <f aca="false">B2456+D2457-C2457</f>
        <v>7258.5</v>
      </c>
      <c r="D2457" s="146" t="n">
        <f aca="false">293.25*3+276+345*2</f>
        <v>1845.75</v>
      </c>
      <c r="E2457" s="147" t="n">
        <v>53001908</v>
      </c>
      <c r="F2457" s="147" t="n">
        <f aca="false">IFERROR(VLOOKUP(H2457,$AD$1:$AE$301,2,0),"")</f>
        <v>827</v>
      </c>
      <c r="G2457" s="147" t="str">
        <f aca="false">IFERROR(VLOOKUP(F2457,$AE$2:$AF$290,2, 0),"")</f>
        <v>تبوك</v>
      </c>
      <c r="H2457" s="212" t="s">
        <v>182</v>
      </c>
      <c r="I2457" s="246" t="n">
        <f aca="false">SUM(K2457:R2457)</f>
        <v>7</v>
      </c>
      <c r="J2457" s="182" t="n">
        <v>46047</v>
      </c>
      <c r="M2457" s="150" t="n">
        <v>7</v>
      </c>
      <c r="S2457" s="192" t="n">
        <f aca="false">(K2457+O2457+Q2457)*24 /1130+(L2457+M2457+P2457+R2457)*12/1130+(N2457*30)/1130</f>
        <v>0.0743362831858407</v>
      </c>
    </row>
    <row r="2458" customFormat="false" ht="15" hidden="true" customHeight="true" outlineLevel="0" collapsed="false">
      <c r="B2458" s="233" t="n">
        <f aca="false">B2457+D2458-C2458</f>
        <v>5378.5</v>
      </c>
      <c r="C2458" s="127" t="n">
        <v>1880</v>
      </c>
      <c r="E2458" s="147" t="s">
        <v>667</v>
      </c>
      <c r="F2458" s="147" t="str">
        <f aca="false">IFERROR(VLOOKUP(H2458,$AD$1:$AE$301,2,0),"")</f>
        <v/>
      </c>
      <c r="G2458" s="147" t="str">
        <f aca="false">IFERROR(VLOOKUP(F2458,$AE$2:$AF$290,2, 0),"")</f>
        <v/>
      </c>
      <c r="H2458" s="212" t="s">
        <v>393</v>
      </c>
      <c r="I2458" s="246" t="n">
        <f aca="false">SUM(K2458:R2458)</f>
        <v>0</v>
      </c>
      <c r="J2458" s="182" t="n">
        <v>46048</v>
      </c>
      <c r="S2458" s="192" t="n">
        <f aca="false">(K2458+O2458+Q2458)*24 /1130+(L2458+M2458+P2458+R2458)*12/1130+(N2458*30)/1130</f>
        <v>0</v>
      </c>
    </row>
    <row r="2459" customFormat="false" ht="15" hidden="true" customHeight="true" outlineLevel="0" collapsed="false">
      <c r="B2459" s="233" t="n">
        <f aca="false">B2458+D2459-C2459</f>
        <v>4078.5</v>
      </c>
      <c r="C2459" s="127" t="n">
        <f aca="false">100+780+420</f>
        <v>1300</v>
      </c>
      <c r="E2459" s="147" t="s">
        <v>675</v>
      </c>
      <c r="F2459" s="147" t="str">
        <f aca="false">IFERROR(VLOOKUP(H2459,$AD$1:$AE$301,2,0),"")</f>
        <v/>
      </c>
      <c r="G2459" s="147" t="str">
        <f aca="false">IFERROR(VLOOKUP(F2459,$AE$2:$AF$290,2, 0),"")</f>
        <v/>
      </c>
      <c r="H2459" s="212" t="s">
        <v>393</v>
      </c>
      <c r="I2459" s="246" t="n">
        <f aca="false">SUM(K2459:R2459)</f>
        <v>0</v>
      </c>
      <c r="J2459" s="182" t="n">
        <v>46049</v>
      </c>
      <c r="S2459" s="192" t="n">
        <f aca="false">(K2459+O2459+Q2459)*24 /1130+(L2459+M2459+P2459+R2459)*12/1130+(N2459*30)/1130</f>
        <v>0</v>
      </c>
    </row>
    <row r="2460" customFormat="false" ht="15" hidden="true" customHeight="true" outlineLevel="0" collapsed="false">
      <c r="B2460" s="233" t="n">
        <f aca="false">B2459+D2460-C2460</f>
        <v>2578.5</v>
      </c>
      <c r="C2460" s="127" t="n">
        <v>1500</v>
      </c>
      <c r="E2460" s="147" t="s">
        <v>675</v>
      </c>
      <c r="F2460" s="147" t="str">
        <f aca="false">IFERROR(VLOOKUP(H2460,$AD$1:$AE$301,2,0),"")</f>
        <v/>
      </c>
      <c r="G2460" s="147" t="str">
        <f aca="false">IFERROR(VLOOKUP(F2460,$AE$2:$AF$290,2, 0),"")</f>
        <v/>
      </c>
      <c r="H2460" s="212" t="s">
        <v>393</v>
      </c>
      <c r="I2460" s="246" t="n">
        <f aca="false">SUM(K2460:R2460)</f>
        <v>0</v>
      </c>
      <c r="J2460" s="182" t="n">
        <v>46049</v>
      </c>
      <c r="S2460" s="192" t="n">
        <f aca="false">(K2460+O2460+Q2460)*24 /1130+(L2460+M2460+P2460+R2460)*12/1130+(N2460*30)/1130</f>
        <v>0</v>
      </c>
    </row>
    <row r="2461" customFormat="false" ht="15" hidden="true" customHeight="true" outlineLevel="0" collapsed="false">
      <c r="B2461" s="233" t="n">
        <f aca="false">B2460+D2461-C2461</f>
        <v>0</v>
      </c>
      <c r="C2461" s="127" t="n">
        <v>2578</v>
      </c>
      <c r="D2461" s="146" t="n">
        <v>-0.5</v>
      </c>
      <c r="E2461" s="147" t="s">
        <v>668</v>
      </c>
      <c r="F2461" s="147" t="str">
        <f aca="false">IFERROR(VLOOKUP(H2461,$AD$1:$AE$301,2,0),"")</f>
        <v/>
      </c>
      <c r="G2461" s="147" t="str">
        <f aca="false">IFERROR(VLOOKUP(F2461,$AE$2:$AF$290,2, 0),"")</f>
        <v/>
      </c>
      <c r="H2461" s="212" t="s">
        <v>393</v>
      </c>
      <c r="I2461" s="246" t="n">
        <f aca="false">SUM(K2461:R2461)</f>
        <v>0</v>
      </c>
      <c r="J2461" s="182" t="n">
        <v>46049</v>
      </c>
      <c r="S2461" s="192" t="n">
        <f aca="false">(K2461+O2461+Q2461)*24 /1130+(L2461+M2461+P2461+R2461)*12/1130+(N2461*30)/1130</f>
        <v>0</v>
      </c>
    </row>
    <row r="2462" customFormat="false" ht="15" hidden="true" customHeight="true" outlineLevel="0" collapsed="false">
      <c r="B2462" s="233" t="n">
        <f aca="false">B2461+D2462-C2462</f>
        <v>1966.5</v>
      </c>
      <c r="D2462" s="146" t="n">
        <f aca="false">6*327.75</f>
        <v>1966.5</v>
      </c>
      <c r="E2462" s="147" t="n">
        <v>53001909</v>
      </c>
      <c r="F2462" s="147" t="n">
        <f aca="false">IFERROR(VLOOKUP(H2462,$AD$1:$AE$301,2,0),"")</f>
        <v>1002915</v>
      </c>
      <c r="G2462" s="147" t="str">
        <f aca="false">IFERROR(VLOOKUP(F2462,$AE$2:$AF$290,2, 0),"")</f>
        <v>تبوك</v>
      </c>
      <c r="H2462" s="212" t="s">
        <v>258</v>
      </c>
      <c r="I2462" s="246" t="n">
        <f aca="false">SUM(K2462:R2462)</f>
        <v>7</v>
      </c>
      <c r="J2462" s="182" t="n">
        <v>46049</v>
      </c>
      <c r="K2462" s="148" t="n">
        <v>7</v>
      </c>
      <c r="S2462" s="192" t="n">
        <f aca="false">(K2462+O2462+Q2462)*24 /1130+(L2462+M2462+P2462+R2462)*12/1130+(N2462*30)/1130</f>
        <v>0.148672566371681</v>
      </c>
    </row>
    <row r="2463" customFormat="false" ht="15" hidden="true" customHeight="true" outlineLevel="0" collapsed="false">
      <c r="B2463" s="233" t="n">
        <f aca="false">B2462+D2463-C2463</f>
        <v>3622.5</v>
      </c>
      <c r="D2463" s="146" t="n">
        <f aca="false">276*6</f>
        <v>1656</v>
      </c>
      <c r="E2463" s="147" t="n">
        <v>53001910</v>
      </c>
      <c r="F2463" s="147" t="n">
        <f aca="false">IFERROR(VLOOKUP(H2463,$AD$1:$AE$301,2,0),"")</f>
        <v>1002934</v>
      </c>
      <c r="G2463" s="147" t="str">
        <f aca="false">IFERROR(VLOOKUP(F2463,$AE$2:$AF$290,2, 0),"")</f>
        <v>تبوك</v>
      </c>
      <c r="H2463" s="212" t="s">
        <v>243</v>
      </c>
      <c r="I2463" s="246" t="n">
        <f aca="false">SUM(K2463:R2463)</f>
        <v>7</v>
      </c>
      <c r="J2463" s="182" t="n">
        <v>46049</v>
      </c>
      <c r="M2463" s="150" t="n">
        <v>7</v>
      </c>
      <c r="S2463" s="192" t="n">
        <f aca="false">(K2463+O2463+Q2463)*24 /1130+(L2463+M2463+P2463+R2463)*12/1130+(N2463*30)/1130</f>
        <v>0.0743362831858407</v>
      </c>
    </row>
    <row r="2464" customFormat="false" ht="15" hidden="true" customHeight="true" outlineLevel="0" collapsed="false">
      <c r="B2464" s="233" t="n">
        <f aca="false">B2463+D2464-C2464</f>
        <v>5589</v>
      </c>
      <c r="D2464" s="146" t="n">
        <f aca="false">6*327.75</f>
        <v>1966.5</v>
      </c>
      <c r="E2464" s="147" t="n">
        <v>53001911</v>
      </c>
      <c r="F2464" s="147" t="n">
        <f aca="false">IFERROR(VLOOKUP(H2464,$AD$1:$AE$301,2,0),"")</f>
        <v>1002930</v>
      </c>
      <c r="G2464" s="147" t="str">
        <f aca="false">IFERROR(VLOOKUP(F2464,$AE$2:$AF$290,2, 0),"")</f>
        <v>تبوك</v>
      </c>
      <c r="H2464" s="212" t="s">
        <v>171</v>
      </c>
      <c r="I2464" s="246" t="n">
        <f aca="false">SUM(K2464:R2464)</f>
        <v>7</v>
      </c>
      <c r="J2464" s="182" t="n">
        <v>46049</v>
      </c>
      <c r="K2464" s="148" t="n">
        <v>7</v>
      </c>
      <c r="S2464" s="192" t="n">
        <f aca="false">(K2464+O2464+Q2464)*24 /1130+(L2464+M2464+P2464+R2464)*12/1130+(N2464*30)/1130</f>
        <v>0.148672566371681</v>
      </c>
    </row>
    <row r="2465" customFormat="false" ht="15" hidden="true" customHeight="true" outlineLevel="0" collapsed="false">
      <c r="B2465" s="233" t="n">
        <f aca="false">B2464+D2465-C2465</f>
        <v>6072</v>
      </c>
      <c r="D2465" s="146" t="n">
        <f aca="false">241.5*2</f>
        <v>483</v>
      </c>
      <c r="E2465" s="147" t="n">
        <v>53001912</v>
      </c>
      <c r="F2465" s="147" t="n">
        <f aca="false">IFERROR(VLOOKUP(H2465,$AD$1:$AE$301,2,0),"")</f>
        <v>1002898</v>
      </c>
      <c r="G2465" s="147" t="str">
        <f aca="false">IFERROR(VLOOKUP(F2465,$AE$2:$AF$290,2, 0),"")</f>
        <v>تبوك</v>
      </c>
      <c r="H2465" s="212" t="s">
        <v>195</v>
      </c>
      <c r="I2465" s="246" t="n">
        <f aca="false">SUM(K2465:R2465)</f>
        <v>2</v>
      </c>
      <c r="J2465" s="182" t="n">
        <v>46049</v>
      </c>
      <c r="O2465" s="152" t="n">
        <v>2</v>
      </c>
      <c r="S2465" s="192" t="n">
        <f aca="false">(K2465+O2465+Q2465)*24 /1130+(L2465+M2465+P2465+R2465)*12/1130+(N2465*30)/1130</f>
        <v>0.0424778761061947</v>
      </c>
    </row>
    <row r="2466" customFormat="false" ht="15" hidden="true" customHeight="true" outlineLevel="0" collapsed="false">
      <c r="B2466" s="233" t="n">
        <f aca="false">B2465+D2466-C2466</f>
        <v>4416</v>
      </c>
      <c r="C2466" s="127" t="n">
        <v>1656</v>
      </c>
      <c r="E2466" s="147" t="s">
        <v>667</v>
      </c>
      <c r="F2466" s="147" t="str">
        <f aca="false">IFERROR(VLOOKUP(H2466,$AD$1:$AE$301,2,0),"")</f>
        <v/>
      </c>
      <c r="G2466" s="147" t="str">
        <f aca="false">IFERROR(VLOOKUP(F2466,$AE$2:$AF$290,2, 0),"")</f>
        <v/>
      </c>
      <c r="H2466" s="212" t="s">
        <v>393</v>
      </c>
      <c r="I2466" s="246" t="n">
        <f aca="false">SUM(K2466:R2466)</f>
        <v>0</v>
      </c>
      <c r="J2466" s="182" t="n">
        <v>46044</v>
      </c>
      <c r="S2466" s="192" t="n">
        <f aca="false">(K2466+O2466+Q2466)*24 /1130+(L2466+M2466+P2466+R2466)*12/1130+(N2466*30)/1130</f>
        <v>0</v>
      </c>
    </row>
    <row r="2467" customFormat="false" ht="15" hidden="true" customHeight="true" outlineLevel="0" collapsed="false">
      <c r="B2467" s="233" t="n">
        <f aca="false">B2466+D2467-C2467</f>
        <v>0.5</v>
      </c>
      <c r="C2467" s="127" t="n">
        <f aca="false">842.5+40+1852+981+700</f>
        <v>4415.5</v>
      </c>
      <c r="E2467" s="147" t="s">
        <v>675</v>
      </c>
      <c r="F2467" s="147" t="str">
        <f aca="false">IFERROR(VLOOKUP(H2467,$AD$1:$AE$301,2,0),"")</f>
        <v/>
      </c>
      <c r="G2467" s="147" t="str">
        <f aca="false">IFERROR(VLOOKUP(F2467,$AE$2:$AF$290,2, 0),"")</f>
        <v/>
      </c>
      <c r="H2467" s="212" t="s">
        <v>393</v>
      </c>
      <c r="I2467" s="246" t="n">
        <f aca="false">SUM(K2467:R2467)</f>
        <v>0</v>
      </c>
      <c r="J2467" s="182" t="n">
        <v>46044</v>
      </c>
      <c r="S2467" s="192" t="n">
        <f aca="false">(K2467+O2467+Q2467)*24 /1130+(L2467+M2467+P2467+R2467)*12/1130+(N2467*30)/1130</f>
        <v>0</v>
      </c>
    </row>
    <row r="2468" customFormat="false" ht="15" hidden="true" customHeight="true" outlineLevel="0" collapsed="false">
      <c r="B2468" s="233" t="n">
        <f aca="false">B2467+D2468-C2468</f>
        <v>794</v>
      </c>
      <c r="D2468" s="146" t="n">
        <f aca="false">264.5+299+230</f>
        <v>793.5</v>
      </c>
      <c r="E2468" s="147" t="n">
        <v>53001913</v>
      </c>
      <c r="F2468" s="147" t="n">
        <f aca="false">IFERROR(VLOOKUP(H2468,$AD$1:$AE$301,2,0),"")</f>
        <v>553</v>
      </c>
      <c r="G2468" s="147" t="str">
        <f aca="false">IFERROR(VLOOKUP(F2468,$AE$2:$AF$290,2, 0),"")</f>
        <v>تبوك</v>
      </c>
      <c r="H2468" s="212" t="s">
        <v>150</v>
      </c>
      <c r="I2468" s="246" t="n">
        <f aca="false">SUM(K2468:R2468)</f>
        <v>3</v>
      </c>
      <c r="J2468" s="182" t="n">
        <v>46050</v>
      </c>
      <c r="M2468" s="150" t="n">
        <v>1</v>
      </c>
      <c r="R2468" s="155" t="n">
        <f aca="false">1+1</f>
        <v>2</v>
      </c>
      <c r="S2468" s="192" t="n">
        <f aca="false">(K2468+O2468+Q2468)*24 /1130+(L2468+M2468+P2468+R2468)*12/1130+(N2468*30)/1130</f>
        <v>0.031858407079646</v>
      </c>
    </row>
    <row r="2469" customFormat="false" ht="15" hidden="true" customHeight="true" outlineLevel="0" collapsed="false">
      <c r="B2469" s="233" t="n">
        <f aca="false">B2468+D2469-C2469</f>
        <v>4313</v>
      </c>
      <c r="D2469" s="146" t="n">
        <f aca="false">293.25*12</f>
        <v>3519</v>
      </c>
      <c r="E2469" s="147" t="n">
        <v>53001914</v>
      </c>
      <c r="F2469" s="147" t="n">
        <f aca="false">IFERROR(VLOOKUP(H2469,$AD$1:$AE$301,2,0),"")</f>
        <v>1063</v>
      </c>
      <c r="G2469" s="147" t="str">
        <f aca="false">IFERROR(VLOOKUP(F2469,$AE$2:$AF$290,2, 0),"")</f>
        <v>تبوك</v>
      </c>
      <c r="H2469" s="212" t="s">
        <v>158</v>
      </c>
      <c r="I2469" s="246" t="n">
        <f aca="false">SUM(K2469:R2469)</f>
        <v>14</v>
      </c>
      <c r="J2469" s="182" t="n">
        <v>46050</v>
      </c>
      <c r="M2469" s="150" t="n">
        <f aca="false">14</f>
        <v>14</v>
      </c>
      <c r="S2469" s="192" t="n">
        <f aca="false">(K2469+O2469+Q2469)*24 /1130+(L2469+M2469+P2469+R2469)*12/1130+(N2469*30)/1130</f>
        <v>0.148672566371681</v>
      </c>
    </row>
    <row r="2470" customFormat="false" ht="15" hidden="true" customHeight="true" outlineLevel="0" collapsed="false">
      <c r="B2470" s="233" t="n">
        <f aca="false">B2469+D2470-C2470</f>
        <v>4468.25</v>
      </c>
      <c r="D2470" s="146" t="n">
        <v>155.25</v>
      </c>
      <c r="E2470" s="147" t="n">
        <v>53001915</v>
      </c>
      <c r="F2470" s="147" t="n">
        <f aca="false">IFERROR(VLOOKUP(H2470,$AD$1:$AE$301,2,0),"")</f>
        <v>1007989</v>
      </c>
      <c r="G2470" s="147" t="str">
        <f aca="false">IFERROR(VLOOKUP(F2470,$AE$2:$AF$290,2, 0),"")</f>
        <v>ضباء</v>
      </c>
      <c r="H2470" s="212" t="s">
        <v>90</v>
      </c>
      <c r="I2470" s="246" t="n">
        <f aca="false">SUM(K2470:R2470)</f>
        <v>1</v>
      </c>
      <c r="J2470" s="182" t="n">
        <v>46050</v>
      </c>
      <c r="R2470" s="155" t="n">
        <v>1</v>
      </c>
      <c r="S2470" s="192" t="n">
        <f aca="false">(K2470+O2470+Q2470)*24 /1130+(L2470+M2470+P2470+R2470)*12/1130+(N2470*30)/1130</f>
        <v>0.0106194690265487</v>
      </c>
    </row>
    <row r="2471" customFormat="false" ht="15" hidden="true" customHeight="true" outlineLevel="0" collapsed="false">
      <c r="B2471" s="233" t="n">
        <f aca="false">B2470+D2471-C2471</f>
        <v>6434.75</v>
      </c>
      <c r="D2471" s="146" t="n">
        <f aca="false">6*327.75</f>
        <v>1966.5</v>
      </c>
      <c r="E2471" s="147" t="n">
        <v>53001916</v>
      </c>
      <c r="F2471" s="147" t="n">
        <f aca="false">IFERROR(VLOOKUP(H2471,$AD$1:$AE$301,2,0),"")</f>
        <v>1008051</v>
      </c>
      <c r="G2471" s="147" t="str">
        <f aca="false">IFERROR(VLOOKUP(F2471,$AE$2:$AF$290,2, 0),"")</f>
        <v>الوجه</v>
      </c>
      <c r="H2471" s="212" t="s">
        <v>113</v>
      </c>
      <c r="I2471" s="246" t="n">
        <f aca="false">SUM(K2471:R2471)</f>
        <v>7</v>
      </c>
      <c r="J2471" s="182" t="n">
        <v>46050</v>
      </c>
      <c r="K2471" s="148" t="n">
        <v>7</v>
      </c>
      <c r="S2471" s="192" t="n">
        <f aca="false">(K2471+O2471+Q2471)*24 /1130+(L2471+M2471+P2471+R2471)*12/1130+(N2471*30)/1130</f>
        <v>0.148672566371681</v>
      </c>
    </row>
    <row r="2472" customFormat="false" ht="15" hidden="true" customHeight="true" outlineLevel="0" collapsed="false">
      <c r="B2472" s="233" t="n">
        <f aca="false">B2471+D2472-C2472</f>
        <v>8194.25</v>
      </c>
      <c r="D2472" s="146" t="n">
        <f aca="false">293.25*6</f>
        <v>1759.5</v>
      </c>
      <c r="E2472" s="147" t="n">
        <v>53001917</v>
      </c>
      <c r="F2472" s="147" t="n">
        <f aca="false">IFERROR(VLOOKUP(H2472,$AD$1:$AE$301,2,0),"")</f>
        <v>1008043</v>
      </c>
      <c r="G2472" s="147" t="str">
        <f aca="false">IFERROR(VLOOKUP(F2472,$AE$2:$AF$290,2, 0),"")</f>
        <v>الوجه</v>
      </c>
      <c r="H2472" s="212" t="s">
        <v>104</v>
      </c>
      <c r="I2472" s="246" t="n">
        <f aca="false">SUM(K2472:R2472)</f>
        <v>7</v>
      </c>
      <c r="J2472" s="182" t="n">
        <v>46050</v>
      </c>
      <c r="M2472" s="150" t="n">
        <v>7</v>
      </c>
      <c r="S2472" s="192" t="n">
        <f aca="false">(K2472+O2472+Q2472)*24 /1130+(L2472+M2472+P2472+R2472)*12/1130+(N2472*30)/1130</f>
        <v>0.0743362831858407</v>
      </c>
    </row>
    <row r="2473" customFormat="false" ht="15" hidden="true" customHeight="true" outlineLevel="0" collapsed="false">
      <c r="B2473" s="233" t="n">
        <f aca="false">B2472+D2473-C2473</f>
        <v>10408</v>
      </c>
      <c r="D2473" s="146" t="n">
        <f aca="false">316.25*7</f>
        <v>2213.75</v>
      </c>
      <c r="E2473" s="147" t="n">
        <v>53001918</v>
      </c>
      <c r="F2473" s="147" t="n">
        <f aca="false">IFERROR(VLOOKUP(H2473,$AD$1:$AE$301,2,0),"")</f>
        <v>1033</v>
      </c>
      <c r="G2473" s="147" t="str">
        <f aca="false">IFERROR(VLOOKUP(F2473,$AE$2:$AF$290,2, 0),"")</f>
        <v>الوجه</v>
      </c>
      <c r="H2473" s="212" t="s">
        <v>117</v>
      </c>
      <c r="I2473" s="246" t="n">
        <f aca="false">SUM(K2473:R2473)</f>
        <v>8</v>
      </c>
      <c r="J2473" s="182" t="n">
        <v>46050</v>
      </c>
      <c r="N2473" s="151" t="n">
        <v>8</v>
      </c>
      <c r="S2473" s="192" t="n">
        <f aca="false">(K2473+O2473+Q2473)*24 /1130+(L2473+M2473+P2473+R2473)*12/1130+(N2473*30)/1130</f>
        <v>0.212389380530973</v>
      </c>
    </row>
    <row r="2474" customFormat="false" ht="15" hidden="true" customHeight="true" outlineLevel="0" collapsed="false">
      <c r="B2474" s="233" t="n">
        <f aca="false">B2473+D2474-C2474</f>
        <v>12639</v>
      </c>
      <c r="D2474" s="146" t="n">
        <f aca="false">6*327.75+264.5</f>
        <v>2231</v>
      </c>
      <c r="E2474" s="147" t="n">
        <v>53001919</v>
      </c>
      <c r="F2474" s="147" t="n">
        <f aca="false">IFERROR(VLOOKUP(H2474,$AD$1:$AE$301,2,0),"")</f>
        <v>1008046</v>
      </c>
      <c r="G2474" s="147" t="str">
        <f aca="false">IFERROR(VLOOKUP(F2474,$AE$2:$AF$290,2, 0),"")</f>
        <v>الوجه</v>
      </c>
      <c r="H2474" s="212" t="s">
        <v>108</v>
      </c>
      <c r="I2474" s="246" t="n">
        <f aca="false">SUM(K2474:R2474)</f>
        <v>8</v>
      </c>
      <c r="J2474" s="182" t="n">
        <v>46050</v>
      </c>
      <c r="K2474" s="148" t="n">
        <v>7</v>
      </c>
      <c r="R2474" s="155" t="n">
        <v>1</v>
      </c>
      <c r="S2474" s="192" t="n">
        <f aca="false">(K2474+O2474+Q2474)*24 /1130+(L2474+M2474+P2474+R2474)*12/1130+(N2474*30)/1130</f>
        <v>0.15929203539823</v>
      </c>
    </row>
    <row r="2475" customFormat="false" ht="15" hidden="true" customHeight="true" outlineLevel="0" collapsed="false">
      <c r="B2475" s="233" t="n">
        <f aca="false">B2474+D2475-C2475</f>
        <v>13099</v>
      </c>
      <c r="D2475" s="146" t="n">
        <f aca="false">230*2</f>
        <v>460</v>
      </c>
      <c r="E2475" s="147" t="n">
        <v>53001920</v>
      </c>
      <c r="F2475" s="147" t="n">
        <f aca="false">IFERROR(VLOOKUP(H2475,$AD$1:$AE$301,2,0),"")</f>
        <v>1008046</v>
      </c>
      <c r="G2475" s="147" t="str">
        <f aca="false">IFERROR(VLOOKUP(F2475,$AE$2:$AF$290,2, 0),"")</f>
        <v>الوجه</v>
      </c>
      <c r="H2475" s="212" t="s">
        <v>108</v>
      </c>
      <c r="I2475" s="246" t="n">
        <f aca="false">SUM(K2475:R2475)</f>
        <v>2</v>
      </c>
      <c r="J2475" s="182" t="n">
        <v>46050</v>
      </c>
      <c r="M2475" s="150" t="n">
        <v>2</v>
      </c>
      <c r="S2475" s="192" t="n">
        <f aca="false">(K2475+O2475+Q2475)*24 /1130+(L2475+M2475+P2475+R2475)*12/1130+(N2475*30)/1130</f>
        <v>0.0212389380530973</v>
      </c>
    </row>
    <row r="2476" customFormat="false" ht="15" hidden="true" customHeight="true" outlineLevel="0" collapsed="false">
      <c r="B2476" s="233" t="n">
        <f aca="false">B2475+D2476-C2476</f>
        <v>13409.5</v>
      </c>
      <c r="D2476" s="146" t="n">
        <f aca="false">155.25*2</f>
        <v>310.5</v>
      </c>
      <c r="E2476" s="147" t="n">
        <v>53001921</v>
      </c>
      <c r="F2476" s="147" t="n">
        <f aca="false">IFERROR(VLOOKUP(H2476,$AD$1:$AE$301,2,0),"")</f>
        <v>1008047</v>
      </c>
      <c r="G2476" s="147" t="str">
        <f aca="false">IFERROR(VLOOKUP(F2476,$AE$2:$AF$290,2, 0),"")</f>
        <v>الوجه</v>
      </c>
      <c r="H2476" s="212" t="s">
        <v>422</v>
      </c>
      <c r="I2476" s="246" t="n">
        <f aca="false">SUM(K2476:R2476)</f>
        <v>2</v>
      </c>
      <c r="J2476" s="182" t="n">
        <v>46050</v>
      </c>
      <c r="R2476" s="155" t="n">
        <v>2</v>
      </c>
      <c r="S2476" s="192" t="n">
        <f aca="false">(K2476+O2476+Q2476)*24 /1130+(L2476+M2476+P2476+R2476)*12/1130+(N2476*30)/1130</f>
        <v>0.0212389380530973</v>
      </c>
    </row>
    <row r="2477" customFormat="false" ht="15" hidden="true" customHeight="true" outlineLevel="0" collapsed="false">
      <c r="B2477" s="233" t="n">
        <f aca="false">B2476+D2477-C2477</f>
        <v>15376</v>
      </c>
      <c r="D2477" s="146" t="n">
        <f aca="false">6*327.75</f>
        <v>1966.5</v>
      </c>
      <c r="E2477" s="147" t="n">
        <v>53001922</v>
      </c>
      <c r="F2477" s="147" t="n">
        <f aca="false">IFERROR(VLOOKUP(H2477,$AD$1:$AE$301,2,0),"")</f>
        <v>1008047</v>
      </c>
      <c r="G2477" s="147" t="str">
        <f aca="false">IFERROR(VLOOKUP(F2477,$AE$2:$AF$290,2, 0),"")</f>
        <v>الوجه</v>
      </c>
      <c r="H2477" s="212" t="s">
        <v>422</v>
      </c>
      <c r="I2477" s="246" t="n">
        <f aca="false">SUM(K2477:R2477)</f>
        <v>7</v>
      </c>
      <c r="J2477" s="182" t="n">
        <v>46050</v>
      </c>
      <c r="K2477" s="148" t="n">
        <v>7</v>
      </c>
      <c r="S2477" s="192" t="n">
        <f aca="false">(K2477+O2477+Q2477)*24 /1130+(L2477+M2477+P2477+R2477)*12/1130+(N2477*30)/1130</f>
        <v>0.148672566371681</v>
      </c>
    </row>
    <row r="2478" customFormat="false" ht="15" hidden="true" customHeight="true" outlineLevel="0" collapsed="false">
      <c r="B2478" s="233" t="n">
        <f aca="false">B2477+D2478-C2478</f>
        <v>15531.25</v>
      </c>
      <c r="D2478" s="146" t="n">
        <v>155.25</v>
      </c>
      <c r="E2478" s="147" t="n">
        <v>53001923</v>
      </c>
      <c r="F2478" s="147" t="n">
        <f aca="false">IFERROR(VLOOKUP(H2478,$AD$1:$AE$301,2,0),"")</f>
        <v>1008049</v>
      </c>
      <c r="G2478" s="147" t="str">
        <f aca="false">IFERROR(VLOOKUP(F2478,$AE$2:$AF$290,2, 0),"")</f>
        <v>الوجه</v>
      </c>
      <c r="H2478" s="212" t="s">
        <v>111</v>
      </c>
      <c r="I2478" s="246" t="n">
        <f aca="false">SUM(K2478:R2478)</f>
        <v>1</v>
      </c>
      <c r="J2478" s="182" t="n">
        <v>46050</v>
      </c>
      <c r="R2478" s="155" t="n">
        <v>1</v>
      </c>
      <c r="S2478" s="192" t="n">
        <f aca="false">(K2478+O2478+Q2478)*24 /1130+(L2478+M2478+P2478+R2478)*12/1130+(N2478*30)/1130</f>
        <v>0.0106194690265487</v>
      </c>
    </row>
    <row r="2479" customFormat="false" ht="15" hidden="true" customHeight="true" outlineLevel="0" collapsed="false">
      <c r="B2479" s="233" t="n">
        <f aca="false">B2478+D2479-C2479</f>
        <v>16600.75</v>
      </c>
      <c r="D2479" s="146" t="n">
        <f aca="false">178.25*6</f>
        <v>1069.5</v>
      </c>
      <c r="E2479" s="147" t="n">
        <v>53001924</v>
      </c>
      <c r="F2479" s="147" t="n">
        <f aca="false">IFERROR(VLOOKUP(H2479,$AD$1:$AE$301,2,0),"")</f>
        <v>1008024</v>
      </c>
      <c r="G2479" s="147" t="str">
        <f aca="false">IFERROR(VLOOKUP(F2479,$AE$2:$AF$290,2, 0),"")</f>
        <v>ضباء</v>
      </c>
      <c r="H2479" s="212" t="s">
        <v>96</v>
      </c>
      <c r="I2479" s="246" t="n">
        <f aca="false">SUM(K2479:R2479)</f>
        <v>7</v>
      </c>
      <c r="J2479" s="182" t="n">
        <v>46050</v>
      </c>
      <c r="L2479" s="149" t="n">
        <v>7</v>
      </c>
      <c r="S2479" s="192" t="n">
        <f aca="false">(K2479+O2479+Q2479)*24 /1130+(L2479+M2479+P2479+R2479)*12/1130+(N2479*30)/1130</f>
        <v>0.0743362831858407</v>
      </c>
    </row>
    <row r="2480" customFormat="false" ht="15" hidden="true" customHeight="true" outlineLevel="0" collapsed="false">
      <c r="B2480" s="233" t="n">
        <f aca="false">B2479+D2480-C2480</f>
        <v>18515.5</v>
      </c>
      <c r="D2480" s="146" t="n">
        <f aca="false">345*3+293.25*3</f>
        <v>1914.75</v>
      </c>
      <c r="E2480" s="147" t="n">
        <v>53001925</v>
      </c>
      <c r="F2480" s="147" t="n">
        <f aca="false">IFERROR(VLOOKUP(H2480,$AD$1:$AE$301,2,0),"")</f>
        <v>1008023</v>
      </c>
      <c r="G2480" s="147" t="str">
        <f aca="false">IFERROR(VLOOKUP(F2480,$AE$2:$AF$290,2, 0),"")</f>
        <v>ضباء</v>
      </c>
      <c r="H2480" s="212" t="s">
        <v>95</v>
      </c>
      <c r="I2480" s="246" t="n">
        <f aca="false">SUM(K2480:R2480)</f>
        <v>7</v>
      </c>
      <c r="J2480" s="182" t="n">
        <v>46050</v>
      </c>
      <c r="M2480" s="150" t="n">
        <v>7</v>
      </c>
      <c r="S2480" s="192" t="n">
        <f aca="false">(K2480+O2480+Q2480)*24 /1130+(L2480+M2480+P2480+R2480)*12/1130+(N2480*30)/1130</f>
        <v>0.0743362831858407</v>
      </c>
    </row>
    <row r="2481" customFormat="false" ht="15" hidden="true" customHeight="true" outlineLevel="0" collapsed="false">
      <c r="B2481" s="233" t="n">
        <f aca="false">B2480+D2481-C2481</f>
        <v>2177.5</v>
      </c>
      <c r="C2481" s="127" t="n">
        <f aca="false">300+100+30.5+250+5+70+170+343+1069.5+14000</f>
        <v>16338</v>
      </c>
      <c r="E2481" s="147" t="s">
        <v>675</v>
      </c>
      <c r="F2481" s="147" t="str">
        <f aca="false">IFERROR(VLOOKUP(H2481,$AD$1:$AE$301,2,0),"")</f>
        <v/>
      </c>
      <c r="G2481" s="147" t="str">
        <f aca="false">IFERROR(VLOOKUP(F2481,$AE$2:$AF$290,2, 0),"")</f>
        <v/>
      </c>
      <c r="H2481" s="212" t="s">
        <v>393</v>
      </c>
      <c r="I2481" s="246" t="n">
        <f aca="false">SUM(K2481:R2481)</f>
        <v>0</v>
      </c>
      <c r="J2481" s="182" t="n">
        <v>46051</v>
      </c>
      <c r="S2481" s="192" t="n">
        <f aca="false">(K2481+O2481+Q2481)*24 /1130+(L2481+M2481+P2481+R2481)*12/1130+(N2481*30)/1130</f>
        <v>0</v>
      </c>
    </row>
    <row r="2482" customFormat="false" ht="15" hidden="true" customHeight="true" outlineLevel="0" collapsed="false">
      <c r="B2482" s="233" t="n">
        <f aca="false">B2481+D2482-C2482</f>
        <v>2442</v>
      </c>
      <c r="D2482" s="146" t="n">
        <v>264.5</v>
      </c>
      <c r="E2482" s="147" t="n">
        <v>53001926</v>
      </c>
      <c r="F2482" s="147" t="n">
        <f aca="false">IFERROR(VLOOKUP(H2482,$AD$1:$AE$301,2,0),"")</f>
        <v>1008261</v>
      </c>
      <c r="G2482" s="147" t="str">
        <f aca="false">IFERROR(VLOOKUP(F2482,$AE$2:$AF$290,2, 0),"")</f>
        <v>تبوك</v>
      </c>
      <c r="H2482" s="212" t="s">
        <v>440</v>
      </c>
      <c r="I2482" s="246" t="n">
        <f aca="false">SUM(K2482:R2482)</f>
        <v>1</v>
      </c>
      <c r="J2482" s="182" t="n">
        <v>46051</v>
      </c>
      <c r="R2482" s="155" t="n">
        <v>1</v>
      </c>
      <c r="S2482" s="192" t="n">
        <f aca="false">(K2482+O2482+Q2482)*24 /1130+(L2482+M2482+P2482+R2482)*12/1130+(N2482*30)/1130</f>
        <v>0.0106194690265487</v>
      </c>
    </row>
    <row r="2483" customFormat="false" ht="15" hidden="true" customHeight="true" outlineLevel="0" collapsed="false">
      <c r="B2483" s="233" t="n">
        <f aca="false">B2482+D2483-C2483</f>
        <v>4655.75</v>
      </c>
      <c r="D2483" s="146" t="n">
        <f aca="false">316.25*7</f>
        <v>2213.75</v>
      </c>
      <c r="E2483" s="147" t="n">
        <v>53001927</v>
      </c>
      <c r="F2483" s="147" t="n">
        <f aca="false">IFERROR(VLOOKUP(H2483,$AD$1:$AE$301,2,0),"")</f>
        <v>1071</v>
      </c>
      <c r="G2483" s="147" t="str">
        <f aca="false">IFERROR(VLOOKUP(F2483,$AE$2:$AF$290,2, 0),"")</f>
        <v>تبوك</v>
      </c>
      <c r="H2483" s="212" t="s">
        <v>135</v>
      </c>
      <c r="I2483" s="246" t="n">
        <f aca="false">SUM(K2483:R2483)</f>
        <v>8</v>
      </c>
      <c r="J2483" s="182" t="n">
        <v>46051</v>
      </c>
      <c r="N2483" s="151" t="n">
        <v>8</v>
      </c>
      <c r="S2483" s="192" t="n">
        <f aca="false">(K2483+O2483+Q2483)*24 /1130+(L2483+M2483+P2483+R2483)*12/1130+(N2483*30)/1130</f>
        <v>0.212389380530973</v>
      </c>
    </row>
    <row r="2484" customFormat="false" ht="15" hidden="true" customHeight="true" outlineLevel="0" collapsed="false">
      <c r="B2484" s="233" t="n">
        <f aca="false">B2483+D2484-C2484</f>
        <v>6725.75</v>
      </c>
      <c r="D2484" s="146" t="n">
        <f aca="false">345*6</f>
        <v>2070</v>
      </c>
      <c r="E2484" s="147" t="n">
        <v>53001928</v>
      </c>
      <c r="F2484" s="147" t="n">
        <f aca="false">IFERROR(VLOOKUP(H2484,$AD$1:$AE$301,2,0),"")</f>
        <v>855</v>
      </c>
      <c r="G2484" s="147" t="str">
        <f aca="false">IFERROR(VLOOKUP(F2484,$AE$2:$AF$290,2, 0),"")</f>
        <v>تبوك</v>
      </c>
      <c r="H2484" s="212" t="s">
        <v>141</v>
      </c>
      <c r="I2484" s="246" t="n">
        <f aca="false">SUM(K2484:R2484)</f>
        <v>7</v>
      </c>
      <c r="J2484" s="182" t="n">
        <v>46051</v>
      </c>
      <c r="M2484" s="150" t="n">
        <v>7</v>
      </c>
      <c r="S2484" s="192" t="n">
        <f aca="false">(K2484+O2484+Q2484)*24 /1130+(L2484+M2484+P2484+R2484)*12/1130+(N2484*30)/1130</f>
        <v>0.0743362831858407</v>
      </c>
    </row>
    <row r="2485" customFormat="false" ht="15" hidden="true" customHeight="true" outlineLevel="0" collapsed="false">
      <c r="B2485" s="233" t="n">
        <f aca="false">B2484+D2485-C2485</f>
        <v>6967.25</v>
      </c>
      <c r="D2485" s="146" t="n">
        <v>241.5</v>
      </c>
      <c r="E2485" s="147" t="n">
        <v>53001929</v>
      </c>
      <c r="F2485" s="147" t="n">
        <f aca="false">IFERROR(VLOOKUP(H2485,$AD$1:$AE$301,2,0),"")</f>
        <v>1002892</v>
      </c>
      <c r="G2485" s="147" t="str">
        <f aca="false">IFERROR(VLOOKUP(F2485,$AE$2:$AF$290,2, 0),"")</f>
        <v>تبوك</v>
      </c>
      <c r="H2485" s="212" t="s">
        <v>269</v>
      </c>
      <c r="I2485" s="246" t="n">
        <f aca="false">SUM(K2485:R2485)</f>
        <v>1</v>
      </c>
      <c r="J2485" s="182" t="n">
        <v>46051</v>
      </c>
      <c r="O2485" s="152" t="n">
        <v>1</v>
      </c>
      <c r="S2485" s="192" t="n">
        <f aca="false">(K2485+O2485+Q2485)*24 /1130+(L2485+M2485+P2485+R2485)*12/1130+(N2485*30)/1130</f>
        <v>0.0212389380530973</v>
      </c>
    </row>
    <row r="2486" customFormat="false" ht="15" hidden="true" customHeight="true" outlineLevel="0" collapsed="false">
      <c r="A2486" s="128" t="n">
        <f aca="false">D2486+281*2+178.25-500</f>
        <v>533.5</v>
      </c>
      <c r="B2486" s="233" t="n">
        <f aca="false">B2485+D2486-C2486</f>
        <v>7260.5</v>
      </c>
      <c r="D2486" s="146" t="n">
        <f aca="false">138+155.25</f>
        <v>293.25</v>
      </c>
      <c r="E2486" s="147" t="n">
        <v>53001930</v>
      </c>
      <c r="F2486" s="147" t="n">
        <f aca="false">IFERROR(VLOOKUP(H2486,$AD$1:$AE$301,2,0),"")</f>
        <v>1008266</v>
      </c>
      <c r="G2486" s="147" t="str">
        <f aca="false">IFERROR(VLOOKUP(F2486,$AE$2:$AF$290,2, 0),"")</f>
        <v>تبوك</v>
      </c>
      <c r="H2486" s="212" t="s">
        <v>178</v>
      </c>
      <c r="I2486" s="246" t="n">
        <f aca="false">SUM(K2486:R2486)</f>
        <v>2</v>
      </c>
      <c r="J2486" s="182" t="n">
        <v>46051</v>
      </c>
      <c r="Q2486" s="154" t="n">
        <v>1</v>
      </c>
      <c r="R2486" s="155" t="n">
        <v>1</v>
      </c>
      <c r="S2486" s="192" t="n">
        <f aca="false">(K2486+O2486+Q2486)*24 /1130+(L2486+M2486+P2486+R2486)*12/1130+(N2486*30)/1130</f>
        <v>0.031858407079646</v>
      </c>
    </row>
    <row r="2487" customFormat="false" ht="15" hidden="true" customHeight="true" outlineLevel="0" collapsed="false">
      <c r="A2487" s="128" t="n">
        <f aca="false">D2487+281-787</f>
        <v>0</v>
      </c>
      <c r="B2487" s="233" t="n">
        <f aca="false">B2486+D2487-C2487</f>
        <v>7766.5</v>
      </c>
      <c r="D2487" s="146" t="n">
        <f aca="false">138*2+230</f>
        <v>506</v>
      </c>
      <c r="E2487" s="147" t="n">
        <v>53001931</v>
      </c>
      <c r="F2487" s="147" t="n">
        <f aca="false">IFERROR(VLOOKUP(H2487,$AD$1:$AE$301,2,0),"")</f>
        <v>1002936</v>
      </c>
      <c r="G2487" s="147" t="str">
        <f aca="false">IFERROR(VLOOKUP(F2487,$AE$2:$AF$290,2, 0),"")</f>
        <v>تبوك</v>
      </c>
      <c r="H2487" s="212" t="s">
        <v>185</v>
      </c>
      <c r="I2487" s="246" t="n">
        <f aca="false">SUM(K2487:R2487)</f>
        <v>3</v>
      </c>
      <c r="J2487" s="182" t="n">
        <v>46051</v>
      </c>
      <c r="M2487" s="150" t="n">
        <v>1</v>
      </c>
      <c r="Q2487" s="154" t="n">
        <v>2</v>
      </c>
      <c r="S2487" s="192" t="n">
        <f aca="false">(K2487+O2487+Q2487)*24 /1130+(L2487+M2487+P2487+R2487)*12/1130+(N2487*30)/1130</f>
        <v>0.0530973451327434</v>
      </c>
    </row>
    <row r="2488" customFormat="false" ht="15" hidden="true" customHeight="true" outlineLevel="0" collapsed="false">
      <c r="B2488" s="233" t="n">
        <f aca="false">B2487+D2488-C2488</f>
        <v>9733</v>
      </c>
      <c r="D2488" s="146" t="n">
        <f aca="false">6*327.75</f>
        <v>1966.5</v>
      </c>
      <c r="E2488" s="147" t="n">
        <v>53001932</v>
      </c>
      <c r="F2488" s="147" t="n">
        <f aca="false">IFERROR(VLOOKUP(H2488,$AD$1:$AE$301,2,0),"")</f>
        <v>1002896</v>
      </c>
      <c r="G2488" s="147" t="str">
        <f aca="false">IFERROR(VLOOKUP(F2488,$AE$2:$AF$290,2, 0),"")</f>
        <v>تبوك</v>
      </c>
      <c r="H2488" s="212" t="s">
        <v>523</v>
      </c>
      <c r="I2488" s="246" t="n">
        <f aca="false">SUM(K2488:R2488)</f>
        <v>7</v>
      </c>
      <c r="J2488" s="182" t="n">
        <v>46051</v>
      </c>
      <c r="K2488" s="148" t="n">
        <v>7</v>
      </c>
      <c r="S2488" s="192" t="n">
        <f aca="false">(K2488+O2488+Q2488)*24 /1130+(L2488+M2488+P2488+R2488)*12/1130+(N2488*30)/1130</f>
        <v>0.148672566371681</v>
      </c>
    </row>
    <row r="2489" customFormat="false" ht="15" hidden="true" customHeight="true" outlineLevel="0" collapsed="false">
      <c r="B2489" s="233" t="n">
        <f aca="false">B2488+D2489-C2489</f>
        <v>11998.5</v>
      </c>
      <c r="D2489" s="146" t="n">
        <f aca="false">6*327.75+299</f>
        <v>2265.5</v>
      </c>
      <c r="E2489" s="147" t="n">
        <v>53001933</v>
      </c>
      <c r="F2489" s="147" t="n">
        <f aca="false">IFERROR(VLOOKUP(H2489,$AD$1:$AE$301,2,0),"")</f>
        <v>566</v>
      </c>
      <c r="G2489" s="147" t="str">
        <f aca="false">IFERROR(VLOOKUP(F2489,$AE$2:$AF$290,2, 0),"")</f>
        <v>تبوك</v>
      </c>
      <c r="H2489" s="212" t="s">
        <v>168</v>
      </c>
      <c r="I2489" s="246" t="n">
        <f aca="false">SUM(K2489:R2489)</f>
        <v>8</v>
      </c>
      <c r="J2489" s="182" t="n">
        <v>46051</v>
      </c>
      <c r="K2489" s="148" t="n">
        <v>7</v>
      </c>
      <c r="R2489" s="155" t="n">
        <v>1</v>
      </c>
      <c r="S2489" s="192" t="n">
        <f aca="false">(K2489+O2489+Q2489)*24 /1130+(L2489+M2489+P2489+R2489)*12/1130+(N2489*30)/1130</f>
        <v>0.15929203539823</v>
      </c>
    </row>
    <row r="2490" customFormat="false" ht="15" hidden="true" customHeight="true" outlineLevel="0" collapsed="false">
      <c r="B2490" s="233" t="n">
        <f aca="false">B2489+D2490-C2490</f>
        <v>12976</v>
      </c>
      <c r="D2490" s="146" t="n">
        <f aca="false">264.5*2+155.25*2+138</f>
        <v>977.5</v>
      </c>
      <c r="E2490" s="147" t="n">
        <v>53001934</v>
      </c>
      <c r="F2490" s="147" t="n">
        <f aca="false">IFERROR(VLOOKUP(H2490,$AD$1:$AE$301,2,0),"")</f>
        <v>1002947</v>
      </c>
      <c r="G2490" s="147" t="str">
        <f aca="false">IFERROR(VLOOKUP(F2490,$AE$2:$AF$290,2, 0),"")</f>
        <v>تبوك</v>
      </c>
      <c r="H2490" s="212" t="s">
        <v>174</v>
      </c>
      <c r="I2490" s="246" t="n">
        <f aca="false">SUM(K2490:R2490)</f>
        <v>5</v>
      </c>
      <c r="J2490" s="182" t="n">
        <v>46051</v>
      </c>
      <c r="Q2490" s="154" t="n">
        <v>1</v>
      </c>
      <c r="R2490" s="155" t="n">
        <f aca="false">2+2</f>
        <v>4</v>
      </c>
      <c r="S2490" s="192" t="n">
        <f aca="false">(K2490+O2490+Q2490)*24 /1130+(L2490+M2490+P2490+R2490)*12/1130+(N2490*30)/1130</f>
        <v>0.063716814159292</v>
      </c>
    </row>
    <row r="2491" customFormat="false" ht="15" hidden="true" customHeight="true" outlineLevel="0" collapsed="false">
      <c r="A2491" s="128" t="n">
        <f aca="false">D2491-100-38</f>
        <v>0</v>
      </c>
      <c r="B2491" s="233" t="n">
        <f aca="false">B2490+D2491-C2491</f>
        <v>13114</v>
      </c>
      <c r="D2491" s="146" t="n">
        <v>138</v>
      </c>
      <c r="E2491" s="147" t="n">
        <v>53001935</v>
      </c>
      <c r="F2491" s="147" t="n">
        <f aca="false">IFERROR(VLOOKUP(H2491,$AD$1:$AE$301,2,0),"")</f>
        <v>1008269</v>
      </c>
      <c r="G2491" s="147" t="str">
        <f aca="false">IFERROR(VLOOKUP(F2491,$AE$2:$AF$290,2, 0),"")</f>
        <v>تبوك</v>
      </c>
      <c r="H2491" s="212" t="s">
        <v>166</v>
      </c>
      <c r="I2491" s="246" t="n">
        <f aca="false">SUM(K2491:R2491)</f>
        <v>1</v>
      </c>
      <c r="J2491" s="182" t="n">
        <v>46051</v>
      </c>
      <c r="Q2491" s="154" t="n">
        <v>1</v>
      </c>
      <c r="S2491" s="192" t="n">
        <f aca="false">(K2491+O2491+Q2491)*24 /1130+(L2491+M2491+P2491+R2491)*12/1130+(N2491*30)/1130</f>
        <v>0.0212389380530973</v>
      </c>
    </row>
    <row r="2492" customFormat="false" ht="15" hidden="true" customHeight="true" outlineLevel="0" collapsed="false">
      <c r="B2492" s="233" t="n">
        <f aca="false">B2491+D2492-C2492</f>
        <v>13355.5</v>
      </c>
      <c r="D2492" s="146" t="n">
        <v>241.5</v>
      </c>
      <c r="E2492" s="147" t="n">
        <v>53001936</v>
      </c>
      <c r="F2492" s="147" t="n">
        <f aca="false">IFERROR(VLOOKUP(H2492,$AD$1:$AE$301,2,0),"")</f>
        <v>575</v>
      </c>
      <c r="G2492" s="147" t="str">
        <f aca="false">IFERROR(VLOOKUP(F2492,$AE$2:$AF$290,2, 0),"")</f>
        <v>تبوك</v>
      </c>
      <c r="H2492" s="212" t="s">
        <v>132</v>
      </c>
      <c r="I2492" s="246" t="n">
        <f aca="false">SUM(K2492:R2492)</f>
        <v>1</v>
      </c>
      <c r="J2492" s="182" t="n">
        <v>46051</v>
      </c>
      <c r="O2492" s="152" t="n">
        <v>1</v>
      </c>
      <c r="S2492" s="192" t="n">
        <f aca="false">(K2492+O2492+Q2492)*24 /1130+(L2492+M2492+P2492+R2492)*12/1130+(N2492*30)/1130</f>
        <v>0.0212389380530973</v>
      </c>
    </row>
    <row r="2493" customFormat="false" ht="15" hidden="true" customHeight="true" outlineLevel="0" collapsed="false">
      <c r="B2493" s="233" t="n">
        <f aca="false">B2492+D2493-C2493</f>
        <v>15569.25</v>
      </c>
      <c r="D2493" s="146" t="n">
        <f aca="false">316.25*7</f>
        <v>2213.75</v>
      </c>
      <c r="E2493" s="147" t="n">
        <v>53001937</v>
      </c>
      <c r="F2493" s="147" t="n">
        <f aca="false">IFERROR(VLOOKUP(H2493,$AD$1:$AE$301,2,0),"")</f>
        <v>1071</v>
      </c>
      <c r="G2493" s="147" t="str">
        <f aca="false">IFERROR(VLOOKUP(F2493,$AE$2:$AF$290,2, 0),"")</f>
        <v>تبوك</v>
      </c>
      <c r="H2493" s="212" t="s">
        <v>135</v>
      </c>
      <c r="I2493" s="246" t="n">
        <f aca="false">SUM(K2493:R2493)</f>
        <v>8</v>
      </c>
      <c r="J2493" s="182" t="n">
        <v>46051</v>
      </c>
      <c r="N2493" s="151" t="n">
        <f aca="false">3+2+1+2</f>
        <v>8</v>
      </c>
      <c r="S2493" s="192" t="n">
        <f aca="false">(K2493+O2493+Q2493)*24 /1130+(L2493+M2493+P2493+R2493)*12/1130+(N2493*30)/1130</f>
        <v>0.212389380530973</v>
      </c>
    </row>
    <row r="2494" customFormat="false" ht="15" hidden="true" customHeight="true" outlineLevel="0" collapsed="false">
      <c r="B2494" s="233" t="n">
        <f aca="false">B2493+D2494-C2494</f>
        <v>16322.5</v>
      </c>
      <c r="D2494" s="146" t="n">
        <f aca="false">138+230*2+155.25</f>
        <v>753.25</v>
      </c>
      <c r="E2494" s="147" t="n">
        <v>53001938</v>
      </c>
      <c r="F2494" s="147" t="n">
        <f aca="false">IFERROR(VLOOKUP(H2494,$AD$1:$AE$301,2,0),"")</f>
        <v>855</v>
      </c>
      <c r="G2494" s="147" t="str">
        <f aca="false">IFERROR(VLOOKUP(F2494,$AE$2:$AF$290,2, 0),"")</f>
        <v>تبوك</v>
      </c>
      <c r="H2494" s="212" t="s">
        <v>141</v>
      </c>
      <c r="I2494" s="246" t="n">
        <f aca="false">SUM(K2494:R2494)</f>
        <v>4</v>
      </c>
      <c r="J2494" s="182" t="n">
        <v>46051</v>
      </c>
      <c r="M2494" s="150" t="n">
        <v>2</v>
      </c>
      <c r="Q2494" s="154" t="n">
        <v>1</v>
      </c>
      <c r="R2494" s="155" t="n">
        <v>1</v>
      </c>
      <c r="S2494" s="192" t="n">
        <f aca="false">(K2494+O2494+Q2494)*24 /1130+(L2494+M2494+P2494+R2494)*12/1130+(N2494*30)/1130</f>
        <v>0.0530973451327434</v>
      </c>
    </row>
    <row r="2495" customFormat="false" ht="15" hidden="true" customHeight="true" outlineLevel="0" collapsed="false">
      <c r="B2495" s="233" t="n">
        <f aca="false">B2494+D2495-C2495</f>
        <v>9340</v>
      </c>
      <c r="C2495" s="127" t="n">
        <f aca="false">260+500+1500+57+1000+281+5+160+977+201.5+500+1541</f>
        <v>6982.5</v>
      </c>
      <c r="E2495" s="147" t="s">
        <v>675</v>
      </c>
      <c r="F2495" s="147" t="str">
        <f aca="false">IFERROR(VLOOKUP(H2495,$AD$1:$AE$301,2,0),"")</f>
        <v/>
      </c>
      <c r="G2495" s="147" t="str">
        <f aca="false">IFERROR(VLOOKUP(F2495,$AE$2:$AF$290,2, 0),"")</f>
        <v/>
      </c>
      <c r="H2495" s="212" t="s">
        <v>393</v>
      </c>
      <c r="I2495" s="246" t="n">
        <f aca="false">SUM(K2495:R2495)</f>
        <v>0</v>
      </c>
      <c r="J2495" s="182" t="n">
        <v>46052</v>
      </c>
      <c r="S2495" s="192" t="n">
        <f aca="false">(K2495+O2495+Q2495)*24 /1130+(L2495+M2495+P2495+R2495)*12/1130+(N2495*30)/1130</f>
        <v>0</v>
      </c>
    </row>
    <row r="2496" customFormat="false" ht="15" hidden="true" customHeight="true" outlineLevel="0" collapsed="false">
      <c r="B2496" s="233" t="n">
        <f aca="false">B2495+D2496-C2496</f>
        <v>1975</v>
      </c>
      <c r="C2496" s="127" t="n">
        <f aca="false">1303+2957+1000+1070+1035</f>
        <v>7365</v>
      </c>
      <c r="E2496" s="147" t="s">
        <v>667</v>
      </c>
      <c r="F2496" s="147" t="str">
        <f aca="false">IFERROR(VLOOKUP(H2496,$AD$1:$AE$301,2,0),"")</f>
        <v/>
      </c>
      <c r="G2496" s="147" t="str">
        <f aca="false">IFERROR(VLOOKUP(F2496,$AE$2:$AF$290,2, 0),"")</f>
        <v/>
      </c>
      <c r="H2496" s="212" t="s">
        <v>393</v>
      </c>
      <c r="I2496" s="246" t="n">
        <f aca="false">SUM(K2496:R2496)</f>
        <v>2</v>
      </c>
      <c r="J2496" s="182" t="n">
        <v>46053</v>
      </c>
      <c r="K2496" s="148" t="n">
        <v>1</v>
      </c>
      <c r="M2496" s="150" t="n">
        <v>1</v>
      </c>
      <c r="S2496" s="192" t="n">
        <f aca="false">(K2496+O2496+Q2496)*24 /1130+(L2496+M2496+P2496+R2496)*12/1130+(N2496*30)/1130</f>
        <v>0.031858407079646</v>
      </c>
    </row>
    <row r="2497" customFormat="false" ht="15" hidden="true" customHeight="true" outlineLevel="0" collapsed="false">
      <c r="B2497" s="233" t="n">
        <f aca="false">B2496+D2497-C2497</f>
        <v>0</v>
      </c>
      <c r="C2497" s="127" t="n">
        <v>1975</v>
      </c>
      <c r="E2497" s="147" t="s">
        <v>675</v>
      </c>
      <c r="F2497" s="147" t="str">
        <f aca="false">IFERROR(VLOOKUP(H2497,$AD$1:$AE$301,2,0),"")</f>
        <v/>
      </c>
      <c r="G2497" s="147" t="str">
        <f aca="false">IFERROR(VLOOKUP(F2497,$AE$2:$AF$290,2, 0),"")</f>
        <v/>
      </c>
      <c r="H2497" s="212" t="s">
        <v>393</v>
      </c>
      <c r="I2497" s="246" t="n">
        <f aca="false">SUM(K2497:R2497)</f>
        <v>0</v>
      </c>
      <c r="J2497" s="182" t="n">
        <v>46053</v>
      </c>
      <c r="S2497" s="192" t="n">
        <f aca="false">(K2497+O2497+Q2497)*24 /1130+(L2497+M2497+P2497+R2497)*12/1130+(N2497*30)/1130</f>
        <v>0</v>
      </c>
    </row>
    <row r="2498" customFormat="false" ht="15" hidden="true" customHeight="true" outlineLevel="0" collapsed="false">
      <c r="B2498" s="233" t="n">
        <f aca="false">B2497+D2498-C2498</f>
        <v>230</v>
      </c>
      <c r="D2498" s="146" t="n">
        <f aca="false">230</f>
        <v>230</v>
      </c>
      <c r="E2498" s="147" t="n">
        <v>53001939</v>
      </c>
      <c r="F2498" s="147" t="n">
        <f aca="false">IFERROR(VLOOKUP(H2498,$AD$1:$AE$301,2,0),"")</f>
        <v>721</v>
      </c>
      <c r="G2498" s="147" t="str">
        <f aca="false">IFERROR(VLOOKUP(F2498,$AE$2:$AF$290,2, 0),"")</f>
        <v>تبوك</v>
      </c>
      <c r="H2498" s="212" t="s">
        <v>183</v>
      </c>
      <c r="I2498" s="246" t="n">
        <f aca="false">SUM(K2498:R2498)</f>
        <v>1</v>
      </c>
      <c r="J2498" s="182" t="n">
        <v>46055</v>
      </c>
      <c r="M2498" s="150" t="n">
        <v>1</v>
      </c>
      <c r="S2498" s="192" t="n">
        <f aca="false">(K2498+O2498+Q2498)*24 /1130+(L2498+M2498+P2498+R2498)*12/1130+(N2498*30)/1130</f>
        <v>0.0106194690265487</v>
      </c>
    </row>
    <row r="2499" customFormat="false" ht="15" hidden="true" customHeight="true" outlineLevel="0" collapsed="false">
      <c r="B2499" s="233" t="n">
        <f aca="false">B2498+D2499-C2499</f>
        <v>1552.5</v>
      </c>
      <c r="D2499" s="146" t="n">
        <f aca="false">264.5*5</f>
        <v>1322.5</v>
      </c>
      <c r="E2499" s="147" t="n">
        <v>53001940</v>
      </c>
      <c r="F2499" s="147" t="n">
        <f aca="false">IFERROR(VLOOKUP(H2499,$AD$1:$AE$301,2,0),"")</f>
        <v>1064</v>
      </c>
      <c r="G2499" s="147" t="str">
        <f aca="false">IFERROR(VLOOKUP(F2499,$AE$2:$AF$290,2, 0),"")</f>
        <v>تبوك</v>
      </c>
      <c r="H2499" s="212" t="s">
        <v>219</v>
      </c>
      <c r="I2499" s="246" t="n">
        <f aca="false">SUM(K2499:R2499)</f>
        <v>5</v>
      </c>
      <c r="J2499" s="182" t="n">
        <v>46055</v>
      </c>
      <c r="R2499" s="155" t="n">
        <v>5</v>
      </c>
      <c r="S2499" s="192" t="n">
        <f aca="false">(K2499+O2499+Q2499)*24 /1130+(L2499+M2499+P2499+R2499)*12/1130+(N2499*30)/1130</f>
        <v>0.0530973451327434</v>
      </c>
    </row>
    <row r="2500" customFormat="false" ht="15" hidden="true" customHeight="true" outlineLevel="0" collapsed="false">
      <c r="B2500" s="233" t="n">
        <f aca="false">B2499+D2500-C2500</f>
        <v>0.5</v>
      </c>
      <c r="C2500" s="127" t="n">
        <v>1552</v>
      </c>
      <c r="E2500" s="147" t="s">
        <v>675</v>
      </c>
      <c r="F2500" s="147" t="str">
        <f aca="false">IFERROR(VLOOKUP(H2500,$AD$1:$AE$301,2,0),"")</f>
        <v/>
      </c>
      <c r="G2500" s="147" t="str">
        <f aca="false">IFERROR(VLOOKUP(F2500,$AE$2:$AF$290,2, 0),"")</f>
        <v/>
      </c>
      <c r="H2500" s="212" t="s">
        <v>393</v>
      </c>
      <c r="I2500" s="246" t="n">
        <f aca="false">SUM(K2500:R2500)</f>
        <v>0</v>
      </c>
      <c r="J2500" s="182" t="n">
        <v>46056</v>
      </c>
      <c r="S2500" s="192" t="n">
        <f aca="false">(K2500+O2500+Q2500)*24 /1130+(L2500+M2500+P2500+R2500)*12/1130+(N2500*30)/1130</f>
        <v>0</v>
      </c>
    </row>
    <row r="2501" customFormat="false" ht="15" hidden="true" customHeight="true" outlineLevel="0" collapsed="false">
      <c r="B2501" s="233" t="n">
        <f aca="false">B2500+D2501-C2501</f>
        <v>3933.5</v>
      </c>
      <c r="D2501" s="146" t="n">
        <f aca="false">12*327.75</f>
        <v>3933</v>
      </c>
      <c r="E2501" s="147" t="n">
        <v>53001941</v>
      </c>
      <c r="F2501" s="147" t="n">
        <f aca="false">IFERROR(VLOOKUP(H2501,$AD$1:$AE$301,2,0),"")</f>
        <v>1008048</v>
      </c>
      <c r="G2501" s="147" t="str">
        <f aca="false">IFERROR(VLOOKUP(F2501,$AE$2:$AF$290,2, 0),"")</f>
        <v>الوجه</v>
      </c>
      <c r="H2501" s="212" t="s">
        <v>110</v>
      </c>
      <c r="I2501" s="246" t="n">
        <f aca="false">SUM(K2501:R2501)</f>
        <v>14</v>
      </c>
      <c r="J2501" s="182" t="n">
        <v>46056</v>
      </c>
      <c r="K2501" s="148" t="n">
        <v>14</v>
      </c>
      <c r="S2501" s="192" t="n">
        <f aca="false">(K2501+O2501+Q2501)*24 /1130+(L2501+M2501+P2501+R2501)*12/1130+(N2501*30)/1130</f>
        <v>0.297345132743363</v>
      </c>
    </row>
    <row r="2502" customFormat="false" ht="15" hidden="true" customHeight="true" outlineLevel="0" collapsed="false">
      <c r="B2502" s="233" t="n">
        <f aca="false">B2501+D2502-C2502</f>
        <v>4088.75</v>
      </c>
      <c r="D2502" s="146" t="n">
        <v>155.25</v>
      </c>
      <c r="E2502" s="147" t="n">
        <v>53001942</v>
      </c>
      <c r="F2502" s="147" t="n">
        <f aca="false">IFERROR(VLOOKUP(H2502,$AD$1:$AE$301,2,0),"")</f>
        <v>656</v>
      </c>
      <c r="G2502" s="147" t="str">
        <f aca="false">IFERROR(VLOOKUP(F2502,$AE$2:$AF$290,2, 0),"")</f>
        <v>الوجه</v>
      </c>
      <c r="H2502" s="212" t="s">
        <v>115</v>
      </c>
      <c r="I2502" s="246" t="n">
        <f aca="false">SUM(K2502:R2502)</f>
        <v>1</v>
      </c>
      <c r="J2502" s="182" t="n">
        <v>46056</v>
      </c>
      <c r="R2502" s="155" t="n">
        <v>1</v>
      </c>
      <c r="S2502" s="192" t="n">
        <f aca="false">(K2502+O2502+Q2502)*24 /1130+(L2502+M2502+P2502+R2502)*12/1130+(N2502*30)/1130</f>
        <v>0.0106194690265487</v>
      </c>
    </row>
    <row r="2503" customFormat="false" ht="15" hidden="true" customHeight="true" outlineLevel="0" collapsed="false">
      <c r="B2503" s="233" t="n">
        <f aca="false">B2502+D2503-C2503</f>
        <v>6584.25</v>
      </c>
      <c r="D2503" s="146" t="n">
        <f aca="false">6*327.75+264.5*2</f>
        <v>2495.5</v>
      </c>
      <c r="E2503" s="147" t="n">
        <v>53001943</v>
      </c>
      <c r="F2503" s="147" t="n">
        <f aca="false">IFERROR(VLOOKUP(H2503,$AD$1:$AE$301,2,0),"")</f>
        <v>1008047</v>
      </c>
      <c r="G2503" s="147" t="str">
        <f aca="false">IFERROR(VLOOKUP(F2503,$AE$2:$AF$290,2, 0),"")</f>
        <v>الوجه</v>
      </c>
      <c r="H2503" s="212" t="s">
        <v>422</v>
      </c>
      <c r="I2503" s="246" t="n">
        <f aca="false">SUM(K2503:R2503)</f>
        <v>9</v>
      </c>
      <c r="J2503" s="182" t="n">
        <v>46056</v>
      </c>
      <c r="K2503" s="148" t="n">
        <v>7</v>
      </c>
      <c r="R2503" s="155" t="n">
        <v>2</v>
      </c>
      <c r="S2503" s="192" t="n">
        <f aca="false">(K2503+O2503+Q2503)*24 /1130+(L2503+M2503+P2503+R2503)*12/1130+(N2503*30)/1130</f>
        <v>0.169911504424779</v>
      </c>
    </row>
    <row r="2504" customFormat="false" ht="15" hidden="true" customHeight="true" outlineLevel="0" collapsed="false">
      <c r="B2504" s="233" t="n">
        <f aca="false">B2503+D2504-C2504</f>
        <v>8550.75</v>
      </c>
      <c r="D2504" s="146" t="n">
        <f aca="false">6*327.75</f>
        <v>1966.5</v>
      </c>
      <c r="E2504" s="147" t="n">
        <v>53001944</v>
      </c>
      <c r="F2504" s="147" t="n">
        <f aca="false">IFERROR(VLOOKUP(H2504,$AD$1:$AE$301,2,0),"")</f>
        <v>1008045</v>
      </c>
      <c r="G2504" s="147" t="str">
        <f aca="false">IFERROR(VLOOKUP(F2504,$AE$2:$AF$290,2, 0),"")</f>
        <v>الوجه</v>
      </c>
      <c r="H2504" s="212" t="s">
        <v>107</v>
      </c>
      <c r="I2504" s="246" t="n">
        <f aca="false">SUM(K2504:R2504)</f>
        <v>7</v>
      </c>
      <c r="J2504" s="182" t="n">
        <v>46056</v>
      </c>
      <c r="K2504" s="148" t="n">
        <v>7</v>
      </c>
      <c r="S2504" s="192" t="n">
        <f aca="false">(K2504+O2504+Q2504)*24 /1130+(L2504+M2504+P2504+R2504)*12/1130+(N2504*30)/1130</f>
        <v>0.148672566371681</v>
      </c>
    </row>
    <row r="2505" customFormat="false" ht="15" hidden="true" customHeight="true" outlineLevel="0" collapsed="false">
      <c r="B2505" s="233" t="n">
        <f aca="false">B2504+D2505-C2505</f>
        <v>8815.25</v>
      </c>
      <c r="D2505" s="146" t="n">
        <v>264.5</v>
      </c>
      <c r="E2505" s="147" t="n">
        <v>53001945</v>
      </c>
      <c r="F2505" s="147" t="n">
        <f aca="false">IFERROR(VLOOKUP(H2505,$AD$1:$AE$301,2,0),"")</f>
        <v>1008046</v>
      </c>
      <c r="G2505" s="147" t="str">
        <f aca="false">IFERROR(VLOOKUP(F2505,$AE$2:$AF$290,2, 0),"")</f>
        <v>الوجه</v>
      </c>
      <c r="H2505" s="212" t="s">
        <v>108</v>
      </c>
      <c r="I2505" s="246" t="n">
        <f aca="false">SUM(K2505:R2505)</f>
        <v>1</v>
      </c>
      <c r="J2505" s="182" t="n">
        <v>46056</v>
      </c>
      <c r="R2505" s="155" t="n">
        <v>1</v>
      </c>
      <c r="S2505" s="192" t="n">
        <f aca="false">(K2505+O2505+Q2505)*24 /1130+(L2505+M2505+P2505+R2505)*12/1130+(N2505*30)/1130</f>
        <v>0.0106194690265487</v>
      </c>
    </row>
    <row r="2506" customFormat="false" ht="15" hidden="true" customHeight="true" outlineLevel="0" collapsed="false">
      <c r="B2506" s="233" t="n">
        <f aca="false">B2505+D2506-C2506</f>
        <v>9108.5</v>
      </c>
      <c r="D2506" s="146" t="n">
        <f aca="false">155.25+138</f>
        <v>293.25</v>
      </c>
      <c r="E2506" s="147" t="n">
        <v>53001946</v>
      </c>
      <c r="F2506" s="147" t="n">
        <f aca="false">IFERROR(VLOOKUP(H2506,$AD$1:$AE$301,2,0),"")</f>
        <v>1008043</v>
      </c>
      <c r="G2506" s="147" t="str">
        <f aca="false">IFERROR(VLOOKUP(F2506,$AE$2:$AF$290,2, 0),"")</f>
        <v>الوجه</v>
      </c>
      <c r="H2506" s="212" t="s">
        <v>104</v>
      </c>
      <c r="I2506" s="246" t="n">
        <f aca="false">SUM(K2506:R2506)</f>
        <v>2</v>
      </c>
      <c r="J2506" s="182" t="n">
        <v>46056</v>
      </c>
      <c r="Q2506" s="154" t="n">
        <v>1</v>
      </c>
      <c r="R2506" s="155" t="n">
        <v>1</v>
      </c>
      <c r="S2506" s="192" t="n">
        <f aca="false">(K2506+O2506+Q2506)*24 /1130+(L2506+M2506+P2506+R2506)*12/1130+(N2506*30)/1130</f>
        <v>0.031858407079646</v>
      </c>
    </row>
    <row r="2507" customFormat="false" ht="15" hidden="true" customHeight="true" outlineLevel="0" collapsed="false">
      <c r="B2507" s="233" t="n">
        <f aca="false">B2506+D2507-C2507</f>
        <v>8092.5</v>
      </c>
      <c r="C2507" s="127" t="n">
        <f aca="false">523+493</f>
        <v>1016</v>
      </c>
      <c r="E2507" s="147" t="s">
        <v>667</v>
      </c>
      <c r="F2507" s="147" t="str">
        <f aca="false">IFERROR(VLOOKUP(H2507,$AD$1:$AE$301,2,0),"")</f>
        <v/>
      </c>
      <c r="G2507" s="147" t="str">
        <f aca="false">IFERROR(VLOOKUP(F2507,$AE$2:$AF$290,2, 0),"")</f>
        <v/>
      </c>
      <c r="H2507" s="212" t="s">
        <v>393</v>
      </c>
      <c r="I2507" s="246" t="n">
        <f aca="false">SUM(K2507:R2507)</f>
        <v>0</v>
      </c>
      <c r="J2507" s="182" t="n">
        <v>46056</v>
      </c>
      <c r="S2507" s="192" t="n">
        <f aca="false">(K2507+O2507+Q2507)*24 /1130+(L2507+M2507+P2507+R2507)*12/1130+(N2507*30)/1130</f>
        <v>0</v>
      </c>
    </row>
    <row r="2508" customFormat="false" ht="15" hidden="true" customHeight="true" outlineLevel="0" collapsed="false">
      <c r="B2508" s="233" t="n">
        <f aca="false">B2507+D2508-C2508</f>
        <v>0.5</v>
      </c>
      <c r="C2508" s="127" t="n">
        <f aca="false">126+74+500+2000+1035+1085+400+1698+343+692+139</f>
        <v>8092</v>
      </c>
      <c r="E2508" s="147" t="s">
        <v>675</v>
      </c>
      <c r="F2508" s="147" t="str">
        <f aca="false">IFERROR(VLOOKUP(H2508,$AD$1:$AE$301,2,0),"")</f>
        <v/>
      </c>
      <c r="G2508" s="147" t="str">
        <f aca="false">IFERROR(VLOOKUP(F2508,$AE$2:$AF$290,2, 0),"")</f>
        <v/>
      </c>
      <c r="H2508" s="212" t="s">
        <v>393</v>
      </c>
      <c r="I2508" s="246" t="n">
        <f aca="false">SUM(K2508:R2508)</f>
        <v>0</v>
      </c>
      <c r="J2508" s="182" t="n">
        <v>46056</v>
      </c>
      <c r="S2508" s="192" t="n">
        <f aca="false">(K2508+O2508+Q2508)*24 /1130+(L2508+M2508+P2508+R2508)*12/1130+(N2508*30)/1130</f>
        <v>0</v>
      </c>
    </row>
    <row r="2509" customFormat="false" ht="15" hidden="true" customHeight="true" outlineLevel="0" collapsed="false">
      <c r="B2509" s="233" t="n">
        <f aca="false">B2508+D2509-C2509</f>
        <v>638.75</v>
      </c>
      <c r="D2509" s="146" t="n">
        <f aca="false">241.5*2+155.25</f>
        <v>638.25</v>
      </c>
      <c r="E2509" s="147" t="n">
        <v>53001947</v>
      </c>
      <c r="F2509" s="147" t="n">
        <f aca="false">IFERROR(VLOOKUP(H2509,$AD$1:$AE$301,2,0),"")</f>
        <v>575</v>
      </c>
      <c r="G2509" s="147" t="str">
        <f aca="false">IFERROR(VLOOKUP(F2509,$AE$2:$AF$290,2, 0),"")</f>
        <v>تبوك</v>
      </c>
      <c r="H2509" s="212" t="s">
        <v>132</v>
      </c>
      <c r="I2509" s="246" t="n">
        <f aca="false">SUM(K2509:R2509)</f>
        <v>3</v>
      </c>
      <c r="J2509" s="182" t="n">
        <v>46057</v>
      </c>
      <c r="O2509" s="152" t="n">
        <v>2</v>
      </c>
      <c r="R2509" s="155" t="n">
        <v>1</v>
      </c>
      <c r="S2509" s="192" t="n">
        <f aca="false">(K2509+O2509+Q2509)*24 /1130+(L2509+M2509+P2509+R2509)*12/1130+(N2509*30)/1130</f>
        <v>0.0530973451327434</v>
      </c>
    </row>
    <row r="2510" customFormat="false" ht="15" hidden="true" customHeight="true" outlineLevel="0" collapsed="false">
      <c r="B2510" s="233" t="n">
        <f aca="false">B2509+D2510-C2510</f>
        <v>2605.25</v>
      </c>
      <c r="D2510" s="146" t="n">
        <v>1966.5</v>
      </c>
      <c r="E2510" s="147" t="n">
        <v>53001948</v>
      </c>
      <c r="F2510" s="147" t="n">
        <f aca="false">IFERROR(VLOOKUP(H2510,$AD$1:$AE$301,2,0),"")</f>
        <v>1002912</v>
      </c>
      <c r="G2510" s="147" t="str">
        <f aca="false">IFERROR(VLOOKUP(F2510,$AE$2:$AF$290,2, 0),"")</f>
        <v>تبوك</v>
      </c>
      <c r="H2510" s="212" t="s">
        <v>152</v>
      </c>
      <c r="I2510" s="246" t="n">
        <f aca="false">SUM(K2510:R2510)</f>
        <v>7</v>
      </c>
      <c r="J2510" s="182" t="n">
        <v>46057</v>
      </c>
      <c r="K2510" s="148" t="n">
        <v>7</v>
      </c>
      <c r="S2510" s="192" t="n">
        <f aca="false">(K2510+O2510+Q2510)*24 /1130+(L2510+M2510+P2510+R2510)*12/1130+(N2510*30)/1130</f>
        <v>0.148672566371681</v>
      </c>
    </row>
    <row r="2511" customFormat="false" ht="15" hidden="true" customHeight="true" outlineLevel="0" collapsed="false">
      <c r="B2511" s="233" t="n">
        <f aca="false">B2510+D2511-C2511</f>
        <v>0</v>
      </c>
      <c r="C2511" s="127" t="n">
        <v>2605</v>
      </c>
      <c r="D2511" s="146" t="n">
        <v>-0.25</v>
      </c>
      <c r="F2511" s="147" t="str">
        <f aca="false">IFERROR(VLOOKUP(H2511,$AD$1:$AE$301,2,0),"")</f>
        <v/>
      </c>
      <c r="G2511" s="147" t="str">
        <f aca="false">IFERROR(VLOOKUP(F2511,$AE$2:$AF$290,2, 0),"")</f>
        <v/>
      </c>
      <c r="H2511" s="212" t="s">
        <v>393</v>
      </c>
      <c r="I2511" s="246" t="n">
        <f aca="false">SUM(K2511:R2511)</f>
        <v>0</v>
      </c>
      <c r="J2511" s="182" t="n">
        <v>46057</v>
      </c>
      <c r="S2511" s="192" t="n">
        <f aca="false">(K2511+O2511+Q2511)*24 /1130+(L2511+M2511+P2511+R2511)*12/1130+(N2511*30)/1130</f>
        <v>0</v>
      </c>
    </row>
    <row r="2512" customFormat="false" ht="15" hidden="true" customHeight="true" outlineLevel="0" collapsed="false">
      <c r="B2512" s="233" t="n">
        <f aca="false">B2511+D2512-C2512</f>
        <v>483</v>
      </c>
      <c r="D2512" s="146" t="n">
        <f aca="false">241.5*2</f>
        <v>483</v>
      </c>
      <c r="E2512" s="147" t="n">
        <v>53001949</v>
      </c>
      <c r="F2512" s="147" t="n">
        <f aca="false">IFERROR(VLOOKUP(H2512,$AD$1:$AE$301,2,0),"")</f>
        <v>1008050</v>
      </c>
      <c r="G2512" s="147" t="str">
        <f aca="false">IFERROR(VLOOKUP(F2512,$AE$2:$AF$290,2, 0),"")</f>
        <v>ضباء</v>
      </c>
      <c r="H2512" s="212" t="s">
        <v>92</v>
      </c>
      <c r="I2512" s="246" t="n">
        <f aca="false">SUM(K2512:R2512)</f>
        <v>2</v>
      </c>
      <c r="J2512" s="182" t="n">
        <v>46058</v>
      </c>
      <c r="O2512" s="152" t="n">
        <v>2</v>
      </c>
      <c r="S2512" s="192" t="n">
        <f aca="false">(K2512+O2512+Q2512)*24 /1130+(L2512+M2512+P2512+R2512)*12/1130+(N2512*30)/1130</f>
        <v>0.0424778761061947</v>
      </c>
    </row>
    <row r="2513" customFormat="false" ht="15" hidden="true" customHeight="true" outlineLevel="0" collapsed="false">
      <c r="B2513" s="233" t="n">
        <f aca="false">B2512+D2513-C2513</f>
        <v>1098.25</v>
      </c>
      <c r="D2513" s="146" t="n">
        <f aca="false">195.5+155.25+264.5</f>
        <v>615.25</v>
      </c>
      <c r="E2513" s="147" t="n">
        <v>53001950</v>
      </c>
      <c r="F2513" s="147" t="n">
        <f aca="false">IFERROR(VLOOKUP(H2513,$AD$1:$AE$301,2,0),"")</f>
        <v>1008261</v>
      </c>
      <c r="G2513" s="147" t="str">
        <f aca="false">IFERROR(VLOOKUP(F2513,$AE$2:$AF$290,2, 0),"")</f>
        <v>تبوك</v>
      </c>
      <c r="H2513" s="212" t="s">
        <v>440</v>
      </c>
      <c r="I2513" s="246" t="n">
        <f aca="false">SUM(K2513:R2513)</f>
        <v>3</v>
      </c>
      <c r="J2513" s="182" t="n">
        <v>46058</v>
      </c>
      <c r="R2513" s="155" t="n">
        <f aca="false">1+1+1</f>
        <v>3</v>
      </c>
      <c r="S2513" s="192" t="n">
        <f aca="false">(K2513+O2513+Q2513)*24 /1130+(L2513+M2513+P2513+R2513)*12/1130+(N2513*30)/1130</f>
        <v>0.031858407079646</v>
      </c>
    </row>
    <row r="2514" customFormat="false" ht="15" hidden="true" customHeight="true" outlineLevel="0" collapsed="false">
      <c r="B2514" s="233" t="n">
        <f aca="false">B2513+D2514-C2514</f>
        <v>2420.75</v>
      </c>
      <c r="D2514" s="146" t="n">
        <f aca="false">264.5*5</f>
        <v>1322.5</v>
      </c>
      <c r="E2514" s="147" t="n">
        <v>53001951</v>
      </c>
      <c r="F2514" s="147" t="n">
        <f aca="false">IFERROR(VLOOKUP(H2514,$AD$1:$AE$301,2,0),"")</f>
        <v>855</v>
      </c>
      <c r="G2514" s="147" t="str">
        <f aca="false">IFERROR(VLOOKUP(F2514,$AE$2:$AF$290,2, 0),"")</f>
        <v>تبوك</v>
      </c>
      <c r="H2514" s="212" t="s">
        <v>141</v>
      </c>
      <c r="I2514" s="246" t="n">
        <f aca="false">SUM(K2514:R2514)</f>
        <v>5</v>
      </c>
      <c r="J2514" s="182" t="n">
        <v>46058</v>
      </c>
      <c r="R2514" s="155" t="n">
        <v>5</v>
      </c>
      <c r="S2514" s="192" t="n">
        <f aca="false">(K2514+O2514+Q2514)*24 /1130+(L2514+M2514+P2514+R2514)*12/1130+(N2514*30)/1130</f>
        <v>0.0530973451327434</v>
      </c>
    </row>
    <row r="2515" customFormat="false" ht="15" hidden="true" customHeight="true" outlineLevel="0" collapsed="false">
      <c r="B2515" s="233" t="n">
        <f aca="false">B2514+D2515-C2515</f>
        <v>4387.25</v>
      </c>
      <c r="D2515" s="146" t="n">
        <f aca="false">6*327.75</f>
        <v>1966.5</v>
      </c>
      <c r="E2515" s="147" t="n">
        <v>53001952</v>
      </c>
      <c r="F2515" s="147" t="n">
        <f aca="false">IFERROR(VLOOKUP(H2515,$AD$1:$AE$301,2,0),"")</f>
        <v>855</v>
      </c>
      <c r="G2515" s="147" t="str">
        <f aca="false">IFERROR(VLOOKUP(F2515,$AE$2:$AF$290,2, 0),"")</f>
        <v>تبوك</v>
      </c>
      <c r="H2515" s="212" t="s">
        <v>141</v>
      </c>
      <c r="I2515" s="246" t="n">
        <f aca="false">SUM(K2515:R2515)</f>
        <v>7</v>
      </c>
      <c r="J2515" s="182" t="n">
        <v>46058</v>
      </c>
      <c r="K2515" s="148" t="n">
        <v>7</v>
      </c>
      <c r="S2515" s="192" t="n">
        <f aca="false">(K2515+O2515+Q2515)*24 /1130+(L2515+M2515+P2515+R2515)*12/1130+(N2515*30)/1130</f>
        <v>0.148672566371681</v>
      </c>
    </row>
    <row r="2516" customFormat="false" ht="15" hidden="true" customHeight="true" outlineLevel="0" collapsed="false">
      <c r="B2516" s="233" t="n">
        <f aca="false">B2515+D2516-C2516</f>
        <v>1656.25</v>
      </c>
      <c r="C2516" s="127" t="n">
        <f aca="false">154+120+100+240+290+5+10+420+260+144+55+210+110+68+177+128+240</f>
        <v>2731</v>
      </c>
      <c r="E2516" s="147" t="s">
        <v>675</v>
      </c>
      <c r="F2516" s="147" t="str">
        <f aca="false">IFERROR(VLOOKUP(H2516,$AD$1:$AE$301,2,0),"")</f>
        <v/>
      </c>
      <c r="G2516" s="147" t="str">
        <f aca="false">IFERROR(VLOOKUP(F2516,$AE$2:$AF$290,2, 0),"")</f>
        <v/>
      </c>
      <c r="H2516" s="212" t="s">
        <v>393</v>
      </c>
      <c r="I2516" s="246" t="n">
        <f aca="false">SUM(K2516:R2516)</f>
        <v>0</v>
      </c>
      <c r="J2516" s="182" t="n">
        <v>46058</v>
      </c>
      <c r="S2516" s="192" t="n">
        <f aca="false">(K2516+O2516+Q2516)*24 /1130+(L2516+M2516+P2516+R2516)*12/1130+(N2516*30)/1130</f>
        <v>0</v>
      </c>
    </row>
    <row r="2517" customFormat="false" ht="15" hidden="true" customHeight="true" outlineLevel="0" collapsed="false">
      <c r="B2517" s="233" t="n">
        <f aca="false">B2516+D2517-C2517</f>
        <v>0</v>
      </c>
      <c r="C2517" s="127" t="n">
        <f aca="false">1594+62</f>
        <v>1656</v>
      </c>
      <c r="D2517" s="146" t="n">
        <v>-0.25</v>
      </c>
      <c r="E2517" s="147" t="s">
        <v>667</v>
      </c>
      <c r="F2517" s="147" t="str">
        <f aca="false">IFERROR(VLOOKUP(H2517,$AD$1:$AE$301,2,0),"")</f>
        <v/>
      </c>
      <c r="G2517" s="147" t="str">
        <f aca="false">IFERROR(VLOOKUP(F2517,$AE$2:$AF$290,2, 0),"")</f>
        <v/>
      </c>
      <c r="H2517" s="212" t="s">
        <v>393</v>
      </c>
      <c r="I2517" s="246" t="n">
        <f aca="false">SUM(K2517:R2517)</f>
        <v>0</v>
      </c>
      <c r="J2517" s="182" t="n">
        <v>46058</v>
      </c>
      <c r="S2517" s="192" t="n">
        <f aca="false">(K2517+O2517+Q2517)*24 /1130+(L2517+M2517+P2517+R2517)*12/1130+(N2517*30)/1130</f>
        <v>0</v>
      </c>
    </row>
    <row r="2518" customFormat="false" ht="15" hidden="true" customHeight="true" outlineLevel="0" collapsed="false">
      <c r="B2518" s="233" t="n">
        <f aca="false">B2517+D2518-C2518</f>
        <v>776.25</v>
      </c>
      <c r="D2518" s="146" t="n">
        <f aca="false">241.5*2+138+155.25</f>
        <v>776.25</v>
      </c>
      <c r="E2518" s="147" t="n">
        <v>53001953</v>
      </c>
      <c r="F2518" s="147" t="n">
        <f aca="false">IFERROR(VLOOKUP(H2518,$AD$1:$AE$301,2,0),"")</f>
        <v>1007988</v>
      </c>
      <c r="G2518" s="147" t="str">
        <f aca="false">IFERROR(VLOOKUP(F2518,$AE$2:$AF$290,2, 0),"")</f>
        <v>ضباء</v>
      </c>
      <c r="H2518" s="212" t="s">
        <v>89</v>
      </c>
      <c r="I2518" s="246" t="n">
        <f aca="false">SUM(K2518:R2518)</f>
        <v>4</v>
      </c>
      <c r="J2518" s="182" t="n">
        <v>46064</v>
      </c>
      <c r="O2518" s="152" t="n">
        <f aca="false">1+1</f>
        <v>2</v>
      </c>
      <c r="Q2518" s="154" t="n">
        <v>1</v>
      </c>
      <c r="R2518" s="155" t="n">
        <v>1</v>
      </c>
      <c r="S2518" s="192" t="n">
        <f aca="false">(K2518+O2518+Q2518)*24 /1130+(L2518+M2518+P2518+R2518)*12/1130+(N2518*30)/1130</f>
        <v>0.0743362831858407</v>
      </c>
    </row>
    <row r="2519" customFormat="false" ht="15" hidden="true" customHeight="true" outlineLevel="0" collapsed="false">
      <c r="B2519" s="233" t="n">
        <f aca="false">B2518+D2519-C2519</f>
        <v>914.25</v>
      </c>
      <c r="D2519" s="146" t="n">
        <v>138</v>
      </c>
      <c r="E2519" s="147" t="n">
        <v>53001954</v>
      </c>
      <c r="F2519" s="147" t="n">
        <f aca="false">IFERROR(VLOOKUP(H2519,$AD$1:$AE$301,2,0),"")</f>
        <v>1008025</v>
      </c>
      <c r="G2519" s="147" t="str">
        <f aca="false">IFERROR(VLOOKUP(F2519,$AE$2:$AF$290,2, 0),"")</f>
        <v>ضباء</v>
      </c>
      <c r="H2519" s="212" t="s">
        <v>97</v>
      </c>
      <c r="I2519" s="246" t="n">
        <f aca="false">SUM(K2519:R2519)</f>
        <v>1</v>
      </c>
      <c r="J2519" s="182" t="n">
        <v>46064</v>
      </c>
      <c r="Q2519" s="154" t="n">
        <v>1</v>
      </c>
      <c r="S2519" s="192" t="n">
        <f aca="false">(K2519+O2519+Q2519)*24 /1130+(L2519+M2519+P2519+R2519)*12/1130+(N2519*30)/1130</f>
        <v>0.0212389380530973</v>
      </c>
    </row>
    <row r="2520" customFormat="false" ht="15" hidden="true" customHeight="true" outlineLevel="0" collapsed="false">
      <c r="B2520" s="233" t="n">
        <f aca="false">B2519+D2520-C2520</f>
        <v>3128</v>
      </c>
      <c r="D2520" s="146" t="n">
        <f aca="false">316.25*7</f>
        <v>2213.75</v>
      </c>
      <c r="E2520" s="147" t="n">
        <v>53001955</v>
      </c>
      <c r="F2520" s="147" t="n">
        <f aca="false">IFERROR(VLOOKUP(H2520,$AD$1:$AE$301,2,0),"")</f>
        <v>1033</v>
      </c>
      <c r="G2520" s="147" t="str">
        <f aca="false">IFERROR(VLOOKUP(F2520,$AE$2:$AF$290,2, 0),"")</f>
        <v>الوجه</v>
      </c>
      <c r="H2520" s="212" t="s">
        <v>117</v>
      </c>
      <c r="I2520" s="246" t="n">
        <f aca="false">SUM(K2520:R2520)</f>
        <v>8</v>
      </c>
      <c r="J2520" s="182" t="n">
        <v>46064</v>
      </c>
      <c r="N2520" s="151" t="n">
        <v>8</v>
      </c>
      <c r="S2520" s="192" t="n">
        <f aca="false">(K2520+O2520+Q2520)*24 /1130+(L2520+M2520+P2520+R2520)*12/1130+(N2520*30)/1130</f>
        <v>0.212389380530973</v>
      </c>
    </row>
    <row r="2521" customFormat="false" ht="15" hidden="true" customHeight="true" outlineLevel="0" collapsed="false">
      <c r="B2521" s="233" t="n">
        <f aca="false">B2520+D2521-C2521</f>
        <v>5198</v>
      </c>
      <c r="D2521" s="146" t="n">
        <f aca="false">345*6</f>
        <v>2070</v>
      </c>
      <c r="E2521" s="147" t="n">
        <v>53001956</v>
      </c>
      <c r="F2521" s="147" t="n">
        <f aca="false">IFERROR(VLOOKUP(H2521,$AD$1:$AE$301,2,0),"")</f>
        <v>1008048</v>
      </c>
      <c r="G2521" s="147" t="str">
        <f aca="false">IFERROR(VLOOKUP(F2521,$AE$2:$AF$290,2, 0),"")</f>
        <v>الوجه</v>
      </c>
      <c r="H2521" s="212" t="s">
        <v>110</v>
      </c>
      <c r="I2521" s="246" t="n">
        <f aca="false">SUM(K2521:R2521)</f>
        <v>7</v>
      </c>
      <c r="J2521" s="182" t="n">
        <v>46064</v>
      </c>
      <c r="M2521" s="150" t="n">
        <v>7</v>
      </c>
      <c r="S2521" s="192" t="n">
        <f aca="false">(K2521+O2521+Q2521)*24 /1130+(L2521+M2521+P2521+R2521)*12/1130+(N2521*30)/1130</f>
        <v>0.0743362831858407</v>
      </c>
    </row>
    <row r="2522" customFormat="false" ht="15" hidden="true" customHeight="true" outlineLevel="0" collapsed="false">
      <c r="B2522" s="233" t="n">
        <f aca="false">B2521+D2522-C2522</f>
        <v>5508.5</v>
      </c>
      <c r="D2522" s="146" t="n">
        <f aca="false">155.25*2</f>
        <v>310.5</v>
      </c>
      <c r="E2522" s="147" t="n">
        <v>53001957</v>
      </c>
      <c r="F2522" s="147" t="n">
        <f aca="false">IFERROR(VLOOKUP(H2522,$AD$1:$AE$301,2,0),"")</f>
        <v>656</v>
      </c>
      <c r="G2522" s="147" t="str">
        <f aca="false">IFERROR(VLOOKUP(F2522,$AE$2:$AF$290,2, 0),"")</f>
        <v>الوجه</v>
      </c>
      <c r="H2522" s="212" t="s">
        <v>115</v>
      </c>
      <c r="I2522" s="246" t="n">
        <f aca="false">SUM(K2522:R2522)</f>
        <v>2</v>
      </c>
      <c r="J2522" s="182" t="n">
        <v>46064</v>
      </c>
      <c r="R2522" s="155" t="n">
        <v>2</v>
      </c>
      <c r="S2522" s="192" t="n">
        <f aca="false">(K2522+O2522+Q2522)*24 /1130+(L2522+M2522+P2522+R2522)*12/1130+(N2522*30)/1130</f>
        <v>0.0212389380530973</v>
      </c>
    </row>
    <row r="2523" customFormat="false" ht="15" hidden="true" customHeight="true" outlineLevel="0" collapsed="false">
      <c r="B2523" s="233" t="n">
        <f aca="false">B2522+D2523-C2523</f>
        <v>7705</v>
      </c>
      <c r="D2523" s="146" t="n">
        <f aca="false">6*327.75+230</f>
        <v>2196.5</v>
      </c>
      <c r="E2523" s="147" t="n">
        <v>53001958</v>
      </c>
      <c r="F2523" s="147" t="n">
        <f aca="false">IFERROR(VLOOKUP(H2523,$AD$1:$AE$301,2,0),"")</f>
        <v>1008047</v>
      </c>
      <c r="G2523" s="147" t="str">
        <f aca="false">IFERROR(VLOOKUP(F2523,$AE$2:$AF$290,2, 0),"")</f>
        <v>الوجه</v>
      </c>
      <c r="H2523" s="212" t="s">
        <v>422</v>
      </c>
      <c r="I2523" s="246" t="n">
        <f aca="false">SUM(K2523:R2523)</f>
        <v>8</v>
      </c>
      <c r="J2523" s="182" t="n">
        <v>46064</v>
      </c>
      <c r="K2523" s="148" t="n">
        <v>7</v>
      </c>
      <c r="M2523" s="150" t="n">
        <v>1</v>
      </c>
      <c r="S2523" s="192" t="n">
        <f aca="false">(K2523+O2523+Q2523)*24 /1130+(L2523+M2523+P2523+R2523)*12/1130+(N2523*30)/1130</f>
        <v>0.15929203539823</v>
      </c>
    </row>
    <row r="2524" customFormat="false" ht="15" hidden="true" customHeight="true" outlineLevel="0" collapsed="false">
      <c r="B2524" s="233" t="n">
        <f aca="false">B2523+D2524-C2524</f>
        <v>9464.5</v>
      </c>
      <c r="D2524" s="146" t="n">
        <f aca="false">293.25*6</f>
        <v>1759.5</v>
      </c>
      <c r="E2524" s="147" t="n">
        <v>53001959</v>
      </c>
      <c r="F2524" s="147" t="n">
        <f aca="false">IFERROR(VLOOKUP(H2524,$AD$1:$AE$301,2,0),"")</f>
        <v>1002</v>
      </c>
      <c r="G2524" s="147" t="str">
        <f aca="false">IFERROR(VLOOKUP(F2524,$AE$2:$AF$290,2, 0),"")</f>
        <v>الوجه</v>
      </c>
      <c r="H2524" s="212" t="s">
        <v>116</v>
      </c>
      <c r="I2524" s="246" t="n">
        <f aca="false">SUM(K2524:R2524)</f>
        <v>7</v>
      </c>
      <c r="J2524" s="182" t="n">
        <v>46064</v>
      </c>
      <c r="M2524" s="150" t="n">
        <v>7</v>
      </c>
      <c r="S2524" s="192" t="n">
        <f aca="false">(K2524+O2524+Q2524)*24 /1130+(L2524+M2524+P2524+R2524)*12/1130+(N2524*30)/1130</f>
        <v>0.0743362831858407</v>
      </c>
    </row>
    <row r="2525" customFormat="false" ht="15" hidden="true" customHeight="true" outlineLevel="0" collapsed="false">
      <c r="B2525" s="233" t="n">
        <f aca="false">B2524+D2525-C2525</f>
        <v>7656.5</v>
      </c>
      <c r="C2525" s="127" t="n">
        <f aca="false">920+85+130+45+45+120+69+115+30+117+132</f>
        <v>1808</v>
      </c>
      <c r="E2525" s="147" t="s">
        <v>675</v>
      </c>
      <c r="F2525" s="147" t="str">
        <f aca="false">IFERROR(VLOOKUP(H2525,$AD$1:$AE$301,2,0),"")</f>
        <v/>
      </c>
      <c r="G2525" s="147" t="str">
        <f aca="false">IFERROR(VLOOKUP(F2525,$AE$2:$AF$290,2, 0),"")</f>
        <v/>
      </c>
      <c r="H2525" s="212" t="s">
        <v>393</v>
      </c>
      <c r="I2525" s="246" t="n">
        <f aca="false">SUM(K2525:R2525)</f>
        <v>0</v>
      </c>
      <c r="J2525" s="182" t="n">
        <v>46064</v>
      </c>
      <c r="S2525" s="192" t="n">
        <f aca="false">(K2525+O2525+Q2525)*24 /1130+(L2525+M2525+P2525+R2525)*12/1130+(N2525*30)/1130</f>
        <v>0</v>
      </c>
    </row>
    <row r="2526" customFormat="false" ht="15" hidden="true" customHeight="true" outlineLevel="0" collapsed="false">
      <c r="B2526" s="233" t="n">
        <f aca="false">B2525+D2526-C2526</f>
        <v>1759.75</v>
      </c>
      <c r="C2526" s="127" t="n">
        <f aca="false">1333.75+406+3158+271+411+317</f>
        <v>5896.75</v>
      </c>
      <c r="E2526" s="147" t="s">
        <v>675</v>
      </c>
      <c r="F2526" s="147" t="str">
        <f aca="false">IFERROR(VLOOKUP(H2526,$AD$1:$AE$301,2,0),"")</f>
        <v/>
      </c>
      <c r="G2526" s="147" t="str">
        <f aca="false">IFERROR(VLOOKUP(F2526,$AE$2:$AF$290,2, 0),"")</f>
        <v/>
      </c>
      <c r="H2526" s="212" t="s">
        <v>393</v>
      </c>
      <c r="I2526" s="246" t="n">
        <f aca="false">SUM(K2526:R2526)</f>
        <v>0</v>
      </c>
      <c r="J2526" s="182" t="n">
        <v>46064</v>
      </c>
      <c r="S2526" s="192" t="n">
        <f aca="false">(K2526+O2526+Q2526)*24 /1130+(L2526+M2526+P2526+R2526)*12/1130+(N2526*30)/1130</f>
        <v>0</v>
      </c>
    </row>
    <row r="2527" customFormat="false" ht="15" hidden="true" customHeight="true" outlineLevel="0" collapsed="false">
      <c r="B2527" s="233" t="n">
        <f aca="false">B2526+D2527-C2527</f>
        <v>2932.75</v>
      </c>
      <c r="D2527" s="146" t="n">
        <f aca="false">241.5*2+230*3</f>
        <v>1173</v>
      </c>
      <c r="E2527" s="147" t="n">
        <v>53001960</v>
      </c>
      <c r="F2527" s="147" t="n">
        <f aca="false">IFERROR(VLOOKUP(H2527,$AD$1:$AE$301,2,0),"")</f>
        <v>1071</v>
      </c>
      <c r="G2527" s="147" t="str">
        <f aca="false">IFERROR(VLOOKUP(F2527,$AE$2:$AF$290,2, 0),"")</f>
        <v>تبوك</v>
      </c>
      <c r="H2527" s="212" t="s">
        <v>135</v>
      </c>
      <c r="I2527" s="246" t="n">
        <f aca="false">SUM(K2527:R2527)</f>
        <v>5</v>
      </c>
      <c r="J2527" s="182" t="n">
        <v>46065</v>
      </c>
      <c r="M2527" s="150" t="n">
        <v>3</v>
      </c>
      <c r="Q2527" s="154" t="n">
        <f aca="false">1+1</f>
        <v>2</v>
      </c>
      <c r="S2527" s="192" t="n">
        <f aca="false">(K2527+O2527+Q2527)*24 /1130+(L2527+M2527+P2527+R2527)*12/1130+(N2527*30)/1130</f>
        <v>0.0743362831858407</v>
      </c>
    </row>
    <row r="2528" customFormat="false" ht="15" hidden="true" customHeight="true" outlineLevel="0" collapsed="false">
      <c r="B2528" s="233" t="n">
        <f aca="false">B2527+D2528-C2528</f>
        <v>5146.5</v>
      </c>
      <c r="D2528" s="146" t="n">
        <f aca="false">316.25*7</f>
        <v>2213.75</v>
      </c>
      <c r="E2528" s="147" t="n">
        <v>53001961</v>
      </c>
      <c r="F2528" s="147" t="n">
        <f aca="false">IFERROR(VLOOKUP(H2528,$AD$1:$AE$301,2,0),"")</f>
        <v>1002875</v>
      </c>
      <c r="G2528" s="147" t="str">
        <f aca="false">IFERROR(VLOOKUP(F2528,$AE$2:$AF$290,2, 0),"")</f>
        <v>تبوك</v>
      </c>
      <c r="H2528" s="212" t="s">
        <v>161</v>
      </c>
      <c r="I2528" s="246" t="n">
        <f aca="false">SUM(K2528:R2528)</f>
        <v>8</v>
      </c>
      <c r="J2528" s="182" t="n">
        <v>46065</v>
      </c>
      <c r="N2528" s="151" t="n">
        <v>8</v>
      </c>
      <c r="S2528" s="192" t="n">
        <f aca="false">(K2528+O2528+Q2528)*24 /1130+(L2528+M2528+P2528+R2528)*12/1130+(N2528*30)/1130</f>
        <v>0.212389380530973</v>
      </c>
    </row>
    <row r="2529" customFormat="false" ht="15" hidden="true" customHeight="true" outlineLevel="0" collapsed="false">
      <c r="B2529" s="233" t="n">
        <f aca="false">B2528+D2529-C2529</f>
        <v>0</v>
      </c>
      <c r="C2529" s="127" t="n">
        <f aca="false">4968+178</f>
        <v>5146</v>
      </c>
      <c r="D2529" s="146" t="n">
        <v>-0.5</v>
      </c>
      <c r="E2529" s="147" t="s">
        <v>667</v>
      </c>
      <c r="F2529" s="147" t="str">
        <f aca="false">IFERROR(VLOOKUP(H2529,$AD$1:$AE$301,2,0),"")</f>
        <v/>
      </c>
      <c r="G2529" s="147" t="str">
        <f aca="false">IFERROR(VLOOKUP(F2529,$AE$2:$AF$290,2, 0),"")</f>
        <v/>
      </c>
      <c r="H2529" s="212" t="s">
        <v>393</v>
      </c>
      <c r="I2529" s="246" t="n">
        <f aca="false">SUM(K2529:R2529)</f>
        <v>0</v>
      </c>
      <c r="J2529" s="182" t="n">
        <v>46068</v>
      </c>
      <c r="S2529" s="192" t="n">
        <f aca="false">(K2529+O2529+Q2529)*24 /1130+(L2529+M2529+P2529+R2529)*12/1130+(N2529*30)/1130</f>
        <v>0</v>
      </c>
    </row>
    <row r="2530" customFormat="false" ht="15" hidden="true" customHeight="true" outlineLevel="0" collapsed="false">
      <c r="B2530" s="233" t="n">
        <f aca="false">B2529+D2530-C2530</f>
        <v>3519</v>
      </c>
      <c r="D2530" s="146" t="n">
        <f aca="false">12*293.25</f>
        <v>3519</v>
      </c>
      <c r="E2530" s="147" t="n">
        <v>53001962</v>
      </c>
      <c r="F2530" s="147" t="n">
        <f aca="false">IFERROR(VLOOKUP(H2530,$AD$1:$AE$301,2,0),"")</f>
        <v>1063</v>
      </c>
      <c r="G2530" s="147" t="str">
        <f aca="false">IFERROR(VLOOKUP(F2530,$AE$2:$AF$290,2, 0),"")</f>
        <v>تبوك</v>
      </c>
      <c r="H2530" s="212" t="s">
        <v>158</v>
      </c>
      <c r="I2530" s="246" t="n">
        <f aca="false">SUM(K2530:R2530)</f>
        <v>14</v>
      </c>
      <c r="J2530" s="182" t="n">
        <v>46068</v>
      </c>
      <c r="M2530" s="150" t="n">
        <v>14</v>
      </c>
      <c r="S2530" s="192" t="n">
        <f aca="false">(K2530+O2530+Q2530)*24 /1130+(L2530+M2530+P2530+R2530)*12/1130+(N2530*30)/1130</f>
        <v>0.148672566371681</v>
      </c>
    </row>
    <row r="2531" customFormat="false" ht="15" hidden="true" customHeight="true" outlineLevel="0" collapsed="false">
      <c r="B2531" s="233" t="n">
        <f aca="false">B2530+D2531-C2531</f>
        <v>5416.5</v>
      </c>
      <c r="D2531" s="146" t="n">
        <f aca="false">6*293.25+138</f>
        <v>1897.5</v>
      </c>
      <c r="E2531" s="147" t="n">
        <v>53001963</v>
      </c>
      <c r="F2531" s="147" t="n">
        <f aca="false">IFERROR(VLOOKUP(H2531,$AD$1:$AE$301,2,0),"")</f>
        <v>984</v>
      </c>
      <c r="G2531" s="147" t="str">
        <f aca="false">IFERROR(VLOOKUP(F2531,$AE$2:$AF$290,2, 0),"")</f>
        <v>تبوك</v>
      </c>
      <c r="H2531" s="212" t="s">
        <v>131</v>
      </c>
      <c r="I2531" s="246" t="n">
        <f aca="false">SUM(K2531:R2531)</f>
        <v>8</v>
      </c>
      <c r="J2531" s="182" t="n">
        <v>46068</v>
      </c>
      <c r="M2531" s="150" t="n">
        <v>7</v>
      </c>
      <c r="Q2531" s="154" t="n">
        <v>1</v>
      </c>
      <c r="S2531" s="192" t="n">
        <f aca="false">(K2531+O2531+Q2531)*24 /1130+(L2531+M2531+P2531+R2531)*12/1130+(N2531*30)/1130</f>
        <v>0.0955752212389381</v>
      </c>
    </row>
    <row r="2532" customFormat="false" ht="15" hidden="true" customHeight="true" outlineLevel="0" collapsed="false">
      <c r="B2532" s="233" t="n">
        <f aca="false">B2531+D2532-C2532</f>
        <v>7279.5</v>
      </c>
      <c r="D2532" s="146" t="n">
        <f aca="false">276*3+345*3</f>
        <v>1863</v>
      </c>
      <c r="E2532" s="147" t="n">
        <v>53001964</v>
      </c>
      <c r="F2532" s="147" t="n">
        <f aca="false">IFERROR(VLOOKUP(H2532,$AD$1:$AE$301,2,0),"")</f>
        <v>855</v>
      </c>
      <c r="G2532" s="147" t="str">
        <f aca="false">IFERROR(VLOOKUP(F2532,$AE$2:$AF$290,2, 0),"")</f>
        <v>تبوك</v>
      </c>
      <c r="H2532" s="212" t="s">
        <v>141</v>
      </c>
      <c r="I2532" s="246" t="n">
        <f aca="false">SUM(K2532:R2532)</f>
        <v>7</v>
      </c>
      <c r="J2532" s="182" t="n">
        <v>46068</v>
      </c>
      <c r="M2532" s="150" t="n">
        <f aca="false">7</f>
        <v>7</v>
      </c>
      <c r="S2532" s="192" t="n">
        <f aca="false">(K2532+O2532+Q2532)*24 /1130+(L2532+M2532+P2532+R2532)*12/1130+(N2532*30)/1130</f>
        <v>0.0743362831858407</v>
      </c>
    </row>
    <row r="2533" customFormat="false" ht="15" hidden="true" customHeight="true" outlineLevel="0" collapsed="false">
      <c r="B2533" s="233" t="n">
        <f aca="false">B2532+D2533-C2533</f>
        <v>8349</v>
      </c>
      <c r="D2533" s="146" t="n">
        <f aca="false">178.25*6</f>
        <v>1069.5</v>
      </c>
      <c r="E2533" s="147" t="n">
        <v>53001965</v>
      </c>
      <c r="F2533" s="147" t="n">
        <f aca="false">IFERROR(VLOOKUP(H2533,$AD$1:$AE$301,2,0),"")</f>
        <v>855</v>
      </c>
      <c r="G2533" s="147" t="str">
        <f aca="false">IFERROR(VLOOKUP(F2533,$AE$2:$AF$290,2, 0),"")</f>
        <v>تبوك</v>
      </c>
      <c r="H2533" s="212" t="s">
        <v>141</v>
      </c>
      <c r="I2533" s="246" t="n">
        <f aca="false">SUM(K2533:R2533)</f>
        <v>7</v>
      </c>
      <c r="J2533" s="182" t="n">
        <v>46068</v>
      </c>
      <c r="L2533" s="149" t="n">
        <v>7</v>
      </c>
      <c r="S2533" s="192" t="n">
        <f aca="false">(K2533+O2533+Q2533)*24 /1130+(L2533+M2533+P2533+R2533)*12/1130+(N2533*30)/1130</f>
        <v>0.0743362831858407</v>
      </c>
    </row>
    <row r="2534" customFormat="false" ht="15" hidden="true" customHeight="true" outlineLevel="0" collapsed="false">
      <c r="B2534" s="233" t="n">
        <f aca="false">B2533+D2534-C2534</f>
        <v>4859</v>
      </c>
      <c r="C2534" s="127" t="n">
        <f aca="false">1600+390+1500</f>
        <v>3490</v>
      </c>
      <c r="E2534" s="147" t="s">
        <v>667</v>
      </c>
      <c r="F2534" s="147" t="str">
        <f aca="false">IFERROR(VLOOKUP(H2534,$AD$1:$AE$301,2,0),"")</f>
        <v/>
      </c>
      <c r="G2534" s="147" t="str">
        <f aca="false">IFERROR(VLOOKUP(F2534,$AE$2:$AF$290,2, 0),"")</f>
        <v/>
      </c>
      <c r="H2534" s="212" t="s">
        <v>393</v>
      </c>
      <c r="I2534" s="246" t="n">
        <f aca="false">SUM(K2534:R2534)</f>
        <v>0</v>
      </c>
      <c r="J2534" s="182" t="n">
        <v>46068</v>
      </c>
      <c r="S2534" s="192" t="n">
        <f aca="false">(K2534+O2534+Q2534)*24 /1130+(L2534+M2534+P2534+R2534)*12/1130+(N2534*30)/1130</f>
        <v>0</v>
      </c>
    </row>
    <row r="2535" customFormat="false" ht="15" hidden="true" customHeight="true" outlineLevel="0" collapsed="false">
      <c r="B2535" s="233" t="n">
        <f aca="false">B2534+D2535-C2535</f>
        <v>0.5</v>
      </c>
      <c r="C2535" s="127" t="n">
        <f aca="false">125+360+455+440+1966.5+125+753+634</f>
        <v>4858.5</v>
      </c>
      <c r="E2535" s="147" t="s">
        <v>675</v>
      </c>
      <c r="F2535" s="147" t="str">
        <f aca="false">IFERROR(VLOOKUP(H2535,$AD$1:$AE$301,2,0),"")</f>
        <v/>
      </c>
      <c r="G2535" s="147" t="str">
        <f aca="false">IFERROR(VLOOKUP(F2535,$AE$2:$AF$290,2, 0),"")</f>
        <v/>
      </c>
      <c r="H2535" s="212" t="s">
        <v>393</v>
      </c>
      <c r="I2535" s="246" t="n">
        <f aca="false">SUM(K2535:R2535)</f>
        <v>0</v>
      </c>
      <c r="J2535" s="182" t="n">
        <v>46068</v>
      </c>
      <c r="S2535" s="192" t="n">
        <f aca="false">(K2535+O2535+Q2535)*24 /1130+(L2535+M2535+P2535+R2535)*12/1130+(N2535*30)/1130</f>
        <v>0</v>
      </c>
    </row>
    <row r="2536" customFormat="false" ht="15" hidden="true" customHeight="true" outlineLevel="0" collapsed="false">
      <c r="B2536" s="233" t="n">
        <f aca="false">B2535+D2536-C2536</f>
        <v>334</v>
      </c>
      <c r="D2536" s="146" t="n">
        <f aca="false">195.5+138</f>
        <v>333.5</v>
      </c>
      <c r="E2536" s="147" t="n">
        <v>53001966</v>
      </c>
      <c r="F2536" s="147" t="n">
        <f aca="false">IFERROR(VLOOKUP(H2536,$AD$1:$AE$301,2,0),"")</f>
        <v>1002875</v>
      </c>
      <c r="G2536" s="147" t="str">
        <f aca="false">IFERROR(VLOOKUP(F2536,$AE$2:$AF$290,2, 0),"")</f>
        <v>تبوك</v>
      </c>
      <c r="H2536" s="212" t="s">
        <v>161</v>
      </c>
      <c r="I2536" s="246" t="n">
        <f aca="false">SUM(K2536:R2536)</f>
        <v>2</v>
      </c>
      <c r="J2536" s="182" t="n">
        <v>46069</v>
      </c>
      <c r="Q2536" s="154" t="n">
        <f aca="false">1</f>
        <v>1</v>
      </c>
      <c r="R2536" s="155" t="n">
        <v>1</v>
      </c>
      <c r="S2536" s="192" t="n">
        <f aca="false">(K2536+O2536+Q2536)*24 /1130+(L2536+M2536+P2536+R2536)*12/1130+(N2536*30)/1130</f>
        <v>0.031858407079646</v>
      </c>
    </row>
    <row r="2537" customFormat="false" ht="15" hidden="true" customHeight="true" outlineLevel="0" collapsed="false">
      <c r="B2537" s="233" t="n">
        <f aca="false">B2536+D2537-C2537</f>
        <v>2300.5</v>
      </c>
      <c r="D2537" s="146" t="n">
        <f aca="false">6*327.75</f>
        <v>1966.5</v>
      </c>
      <c r="E2537" s="147" t="n">
        <v>53001967</v>
      </c>
      <c r="F2537" s="147" t="n">
        <f aca="false">IFERROR(VLOOKUP(H2537,$AD$1:$AE$301,2,0),"")</f>
        <v>635</v>
      </c>
      <c r="G2537" s="147" t="str">
        <f aca="false">IFERROR(VLOOKUP(F2537,$AE$2:$AF$290,2, 0),"")</f>
        <v>تبوك</v>
      </c>
      <c r="H2537" s="212" t="s">
        <v>157</v>
      </c>
      <c r="I2537" s="246" t="n">
        <f aca="false">SUM(K2537:R2537)</f>
        <v>7</v>
      </c>
      <c r="J2537" s="182" t="n">
        <v>46069</v>
      </c>
      <c r="K2537" s="148" t="n">
        <f aca="false">7</f>
        <v>7</v>
      </c>
      <c r="S2537" s="192" t="n">
        <f aca="false">(K2537+O2537+Q2537)*24 /1130+(L2537+M2537+P2537+R2537)*12/1130+(N2537*30)/1130</f>
        <v>0.148672566371681</v>
      </c>
    </row>
    <row r="2538" customFormat="false" ht="15" hidden="true" customHeight="true" outlineLevel="0" collapsed="false">
      <c r="B2538" s="233" t="n">
        <f aca="false">B2537+D2538-C2538</f>
        <v>4060</v>
      </c>
      <c r="D2538" s="146" t="n">
        <f aca="false">293.25*6</f>
        <v>1759.5</v>
      </c>
      <c r="E2538" s="147" t="n">
        <v>53001968</v>
      </c>
      <c r="F2538" s="147" t="n">
        <f aca="false">IFERROR(VLOOKUP(H2538,$AD$1:$AE$301,2,0),"")</f>
        <v>566</v>
      </c>
      <c r="G2538" s="147" t="str">
        <f aca="false">IFERROR(VLOOKUP(F2538,$AE$2:$AF$290,2, 0),"")</f>
        <v>تبوك</v>
      </c>
      <c r="H2538" s="212" t="s">
        <v>168</v>
      </c>
      <c r="I2538" s="246" t="n">
        <f aca="false">SUM(K2538:R2538)</f>
        <v>7</v>
      </c>
      <c r="J2538" s="182" t="n">
        <v>46069</v>
      </c>
      <c r="M2538" s="150" t="n">
        <f aca="false">7</f>
        <v>7</v>
      </c>
      <c r="S2538" s="192" t="n">
        <f aca="false">(K2538+O2538+Q2538)*24 /1130+(L2538+M2538+P2538+R2538)*12/1130+(N2538*30)/1130</f>
        <v>0.0743362831858407</v>
      </c>
    </row>
    <row r="2539" customFormat="false" ht="15" hidden="true" customHeight="true" outlineLevel="0" collapsed="false">
      <c r="B2539" s="233" t="n">
        <f aca="false">B2538+D2539-C2539</f>
        <v>1542.25</v>
      </c>
      <c r="C2539" s="127" t="n">
        <f aca="false">281+843.75+537+856</f>
        <v>2517.75</v>
      </c>
      <c r="E2539" s="147" t="s">
        <v>675</v>
      </c>
      <c r="F2539" s="147" t="str">
        <f aca="false">IFERROR(VLOOKUP(H2539,$AD$1:$AE$301,2,0),"")</f>
        <v/>
      </c>
      <c r="G2539" s="147" t="str">
        <f aca="false">IFERROR(VLOOKUP(F2539,$AE$2:$AF$290,2, 0),"")</f>
        <v/>
      </c>
      <c r="H2539" s="212" t="s">
        <v>393</v>
      </c>
      <c r="I2539" s="246" t="n">
        <f aca="false">SUM(K2539:R2539)</f>
        <v>0</v>
      </c>
      <c r="J2539" s="182" t="n">
        <v>46069</v>
      </c>
      <c r="S2539" s="192" t="n">
        <f aca="false">(K2539+O2539+Q2539)*24 /1130+(L2539+M2539+P2539+R2539)*12/1130+(N2539*30)/1130</f>
        <v>0</v>
      </c>
    </row>
    <row r="2540" customFormat="false" ht="15" hidden="true" customHeight="true" outlineLevel="0" collapsed="false">
      <c r="B2540" s="233" t="n">
        <f aca="false">B2539+D2540-C2540</f>
        <v>1322.25</v>
      </c>
      <c r="C2540" s="127" t="n">
        <f aca="false">220</f>
        <v>220</v>
      </c>
      <c r="E2540" s="147" t="s">
        <v>667</v>
      </c>
      <c r="F2540" s="147" t="str">
        <f aca="false">IFERROR(VLOOKUP(H2540,$AD$1:$AE$301,2,0),"")</f>
        <v/>
      </c>
      <c r="G2540" s="147" t="str">
        <f aca="false">IFERROR(VLOOKUP(F2540,$AE$2:$AF$290,2, 0),"")</f>
        <v/>
      </c>
      <c r="H2540" s="212" t="s">
        <v>393</v>
      </c>
      <c r="I2540" s="246" t="n">
        <f aca="false">SUM(K2540:R2540)</f>
        <v>0</v>
      </c>
      <c r="J2540" s="182" t="n">
        <v>46069</v>
      </c>
      <c r="S2540" s="192" t="n">
        <f aca="false">(K2540+O2540+Q2540)*24 /1130+(L2540+M2540+P2540+R2540)*12/1130+(N2540*30)/1130</f>
        <v>0</v>
      </c>
    </row>
    <row r="2541" customFormat="false" ht="15" hidden="true" customHeight="true" outlineLevel="0" collapsed="false">
      <c r="B2541" s="233" t="n">
        <f aca="false">B2540+D2541-C2541</f>
        <v>3168</v>
      </c>
      <c r="D2541" s="146" t="n">
        <f aca="false">276+293.25*3+345*2</f>
        <v>1845.75</v>
      </c>
      <c r="E2541" s="147" t="n">
        <v>53001969</v>
      </c>
      <c r="F2541" s="147" t="n">
        <f aca="false">IFERROR(VLOOKUP(H2541,$AD$1:$AE$301,2,0),"")</f>
        <v>1008022</v>
      </c>
      <c r="G2541" s="147" t="str">
        <f aca="false">IFERROR(VLOOKUP(F2541,$AE$2:$AF$290,2, 0),"")</f>
        <v>ضباء</v>
      </c>
      <c r="H2541" s="212" t="s">
        <v>94</v>
      </c>
      <c r="I2541" s="246" t="n">
        <f aca="false">SUM(K2541:R2541)</f>
        <v>7</v>
      </c>
      <c r="J2541" s="182" t="n">
        <v>46070</v>
      </c>
      <c r="M2541" s="150" t="n">
        <f aca="false">1+3+2+1</f>
        <v>7</v>
      </c>
      <c r="S2541" s="192" t="n">
        <f aca="false">(K2541+O2541+Q2541)*24 /1130+(L2541+M2541+P2541+R2541)*12/1130+(N2541*30)/1130</f>
        <v>0.0743362831858407</v>
      </c>
    </row>
    <row r="2542" customFormat="false" ht="15" hidden="true" customHeight="true" outlineLevel="0" collapsed="false">
      <c r="B2542" s="233" t="n">
        <f aca="false">B2541+D2542-C2542</f>
        <v>3323.25</v>
      </c>
      <c r="D2542" s="146" t="n">
        <f aca="false">155.25</f>
        <v>155.25</v>
      </c>
      <c r="E2542" s="147" t="n">
        <v>53001970</v>
      </c>
      <c r="F2542" s="147" t="n">
        <f aca="false">IFERROR(VLOOKUP(H2542,$AD$1:$AE$301,2,0),"")</f>
        <v>1008024</v>
      </c>
      <c r="G2542" s="147" t="str">
        <f aca="false">IFERROR(VLOOKUP(F2542,$AE$2:$AF$290,2, 0),"")</f>
        <v>ضباء</v>
      </c>
      <c r="H2542" s="212" t="s">
        <v>96</v>
      </c>
      <c r="I2542" s="246" t="n">
        <f aca="false">SUM(K2542:R2542)</f>
        <v>1</v>
      </c>
      <c r="J2542" s="182" t="n">
        <v>46070</v>
      </c>
      <c r="R2542" s="155" t="n">
        <v>1</v>
      </c>
      <c r="S2542" s="192" t="n">
        <f aca="false">(K2542+O2542+Q2542)*24 /1130+(L2542+M2542+P2542+R2542)*12/1130+(N2542*30)/1130</f>
        <v>0.0106194690265487</v>
      </c>
    </row>
    <row r="2543" customFormat="false" ht="15" hidden="true" customHeight="true" outlineLevel="0" collapsed="false">
      <c r="B2543" s="233" t="n">
        <f aca="false">B2542+D2543-C2543</f>
        <v>5289.75</v>
      </c>
      <c r="D2543" s="146" t="n">
        <f aca="false">6*327.75</f>
        <v>1966.5</v>
      </c>
      <c r="E2543" s="147" t="n">
        <v>53001971</v>
      </c>
      <c r="F2543" s="147" t="n">
        <f aca="false">IFERROR(VLOOKUP(H2543,$AD$1:$AE$301,2,0),"")</f>
        <v>1008045</v>
      </c>
      <c r="G2543" s="147" t="str">
        <f aca="false">IFERROR(VLOOKUP(F2543,$AE$2:$AF$290,2, 0),"")</f>
        <v>الوجه</v>
      </c>
      <c r="H2543" s="212" t="s">
        <v>107</v>
      </c>
      <c r="I2543" s="246" t="n">
        <f aca="false">SUM(K2543:R2543)</f>
        <v>7</v>
      </c>
      <c r="J2543" s="182" t="n">
        <v>46070</v>
      </c>
      <c r="K2543" s="148" t="n">
        <v>7</v>
      </c>
      <c r="S2543" s="192" t="n">
        <f aca="false">(K2543+O2543+Q2543)*24 /1130+(L2543+M2543+P2543+R2543)*12/1130+(N2543*30)/1130</f>
        <v>0.148672566371681</v>
      </c>
    </row>
    <row r="2544" customFormat="false" ht="15" hidden="true" customHeight="true" outlineLevel="0" collapsed="false">
      <c r="B2544" s="233" t="n">
        <f aca="false">B2543+D2544-C2544</f>
        <v>7256.25</v>
      </c>
      <c r="D2544" s="146" t="n">
        <f aca="false">6*327.75</f>
        <v>1966.5</v>
      </c>
      <c r="E2544" s="147" t="n">
        <v>53001972</v>
      </c>
      <c r="F2544" s="147" t="n">
        <f aca="false">IFERROR(VLOOKUP(H2544,$AD$1:$AE$301,2,0),"")</f>
        <v>1008046</v>
      </c>
      <c r="G2544" s="147" t="str">
        <f aca="false">IFERROR(VLOOKUP(F2544,$AE$2:$AF$290,2, 0),"")</f>
        <v>الوجه</v>
      </c>
      <c r="H2544" s="212" t="s">
        <v>108</v>
      </c>
      <c r="I2544" s="246" t="n">
        <f aca="false">SUM(K2544:R2544)</f>
        <v>7</v>
      </c>
      <c r="J2544" s="182" t="n">
        <v>46070</v>
      </c>
      <c r="K2544" s="148" t="n">
        <v>7</v>
      </c>
      <c r="S2544" s="192" t="n">
        <f aca="false">(K2544+O2544+Q2544)*24 /1130+(L2544+M2544+P2544+R2544)*12/1130+(N2544*30)/1130</f>
        <v>0.148672566371681</v>
      </c>
    </row>
    <row r="2545" customFormat="false" ht="15" hidden="true" customHeight="true" outlineLevel="0" collapsed="false">
      <c r="B2545" s="233" t="n">
        <f aca="false">B2544+D2545-C2545</f>
        <v>9222.75</v>
      </c>
      <c r="D2545" s="146" t="n">
        <f aca="false">6*327.75</f>
        <v>1966.5</v>
      </c>
      <c r="E2545" s="147" t="n">
        <v>53001973</v>
      </c>
      <c r="F2545" s="147" t="n">
        <f aca="false">IFERROR(VLOOKUP(H2545,$AD$1:$AE$301,2,0),"")</f>
        <v>1008044</v>
      </c>
      <c r="G2545" s="147" t="str">
        <f aca="false">IFERROR(VLOOKUP(F2545,$AE$2:$AF$290,2, 0),"")</f>
        <v>الوجه</v>
      </c>
      <c r="H2545" s="212" t="s">
        <v>106</v>
      </c>
      <c r="I2545" s="246" t="n">
        <f aca="false">SUM(K2545:R2545)</f>
        <v>7</v>
      </c>
      <c r="J2545" s="182" t="n">
        <v>46070</v>
      </c>
      <c r="K2545" s="148" t="n">
        <v>7</v>
      </c>
      <c r="S2545" s="192" t="n">
        <f aca="false">(K2545+O2545+Q2545)*24 /1130+(L2545+M2545+P2545+R2545)*12/1130+(N2545*30)/1130</f>
        <v>0.148672566371681</v>
      </c>
    </row>
    <row r="2546" customFormat="false" ht="15" hidden="true" customHeight="true" outlineLevel="0" collapsed="false">
      <c r="B2546" s="233" t="n">
        <f aca="false">B2545+D2546-C2546</f>
        <v>11959.75</v>
      </c>
      <c r="D2546" s="146" t="n">
        <f aca="false">6*327.75+241.5+264.5*2</f>
        <v>2737</v>
      </c>
      <c r="E2546" s="147" t="n">
        <v>53001974</v>
      </c>
      <c r="F2546" s="147" t="n">
        <f aca="false">IFERROR(VLOOKUP(H2546,$AD$1:$AE$301,2,0),"")</f>
        <v>1002</v>
      </c>
      <c r="G2546" s="147" t="str">
        <f aca="false">IFERROR(VLOOKUP(F2546,$AE$2:$AF$290,2, 0),"")</f>
        <v>الوجه</v>
      </c>
      <c r="H2546" s="212" t="s">
        <v>116</v>
      </c>
      <c r="I2546" s="246" t="n">
        <f aca="false">SUM(K2546:R2546)</f>
        <v>10</v>
      </c>
      <c r="J2546" s="182" t="n">
        <v>46071</v>
      </c>
      <c r="K2546" s="148" t="n">
        <f aca="false">3+4</f>
        <v>7</v>
      </c>
      <c r="O2546" s="152" t="n">
        <f aca="false">1</f>
        <v>1</v>
      </c>
      <c r="R2546" s="155" t="n">
        <f aca="false">2</f>
        <v>2</v>
      </c>
      <c r="S2546" s="192" t="n">
        <f aca="false">(K2546+O2546+Q2546)*24 /1130+(L2546+M2546+P2546+R2546)*12/1130+(N2546*30)/1130</f>
        <v>0.191150442477876</v>
      </c>
    </row>
    <row r="2547" customFormat="false" ht="15" hidden="true" customHeight="true" outlineLevel="0" collapsed="false">
      <c r="B2547" s="233" t="n">
        <f aca="false">B2546+D2547-C2547</f>
        <v>6246.75</v>
      </c>
      <c r="C2547" s="127" t="n">
        <f aca="false">1017+233+830+1966.5+257+564.5+845</f>
        <v>5713</v>
      </c>
      <c r="E2547" s="147" t="s">
        <v>675</v>
      </c>
      <c r="F2547" s="147" t="str">
        <f aca="false">IFERROR(VLOOKUP(H2547,$AD$1:$AE$301,2,0),"")</f>
        <v/>
      </c>
      <c r="G2547" s="147" t="str">
        <f aca="false">IFERROR(VLOOKUP(F2547,$AE$2:$AF$290,2, 0),"")</f>
        <v/>
      </c>
      <c r="H2547" s="212" t="s">
        <v>393</v>
      </c>
      <c r="I2547" s="246" t="n">
        <f aca="false">SUM(K2547:R2547)</f>
        <v>0</v>
      </c>
      <c r="J2547" s="182" t="n">
        <v>46071</v>
      </c>
      <c r="S2547" s="192" t="n">
        <f aca="false">(K2547+O2547+Q2547)*24 /1130+(L2547+M2547+P2547+R2547)*12/1130+(N2547*30)/1130</f>
        <v>0</v>
      </c>
    </row>
    <row r="2548" customFormat="false" ht="15" hidden="true" customHeight="true" outlineLevel="0" collapsed="false">
      <c r="B2548" s="233" t="n">
        <f aca="false">B2547+D2548-C2548</f>
        <v>1502</v>
      </c>
      <c r="C2548" s="127" t="n">
        <f aca="false">1322+967+386.75+2069</f>
        <v>4744.75</v>
      </c>
      <c r="E2548" s="147" t="s">
        <v>667</v>
      </c>
      <c r="F2548" s="147" t="str">
        <f aca="false">IFERROR(VLOOKUP(H2548,$AD$1:$AE$301,2,0),"")</f>
        <v/>
      </c>
      <c r="G2548" s="147" t="str">
        <f aca="false">IFERROR(VLOOKUP(F2548,$AE$2:$AF$290,2, 0),"")</f>
        <v/>
      </c>
      <c r="H2548" s="212" t="s">
        <v>393</v>
      </c>
      <c r="I2548" s="246" t="n">
        <f aca="false">SUM(K2548:R2548)</f>
        <v>0</v>
      </c>
      <c r="J2548" s="182" t="n">
        <v>46071</v>
      </c>
      <c r="S2548" s="192" t="n">
        <f aca="false">(K2548+O2548+Q2548)*24 /1130+(L2548+M2548+P2548+R2548)*12/1130+(N2548*30)/1130</f>
        <v>0</v>
      </c>
    </row>
    <row r="2549" customFormat="false" ht="15" hidden="true" customHeight="true" outlineLevel="0" collapsed="false">
      <c r="B2549" s="233" t="n">
        <f aca="false">B2548+D2549-C2549</f>
        <v>3468.5</v>
      </c>
      <c r="D2549" s="146" t="n">
        <f aca="false">6*327.75</f>
        <v>1966.5</v>
      </c>
      <c r="E2549" s="147" t="n">
        <v>53001975</v>
      </c>
      <c r="F2549" s="147" t="n">
        <f aca="false">IFERROR(VLOOKUP(H2549,$AD$1:$AE$301,2,0),"")</f>
        <v>1002924</v>
      </c>
      <c r="G2549" s="147" t="str">
        <f aca="false">IFERROR(VLOOKUP(F2549,$AE$2:$AF$290,2, 0),"")</f>
        <v>تبوك</v>
      </c>
      <c r="H2549" s="212" t="s">
        <v>188</v>
      </c>
      <c r="I2549" s="246" t="n">
        <f aca="false">SUM(K2549:R2549)</f>
        <v>7</v>
      </c>
      <c r="J2549" s="182" t="n">
        <v>46072</v>
      </c>
      <c r="K2549" s="148" t="n">
        <v>7</v>
      </c>
      <c r="S2549" s="192" t="n">
        <f aca="false">(K2549+O2549+Q2549)*24 /1130+(L2549+M2549+P2549+R2549)*12/1130+(N2549*30)/1130</f>
        <v>0.148672566371681</v>
      </c>
    </row>
    <row r="2550" customFormat="false" ht="15" hidden="true" customHeight="true" outlineLevel="0" collapsed="false">
      <c r="B2550" s="233" t="n">
        <f aca="false">B2549+D2550-C2550</f>
        <v>3242.5</v>
      </c>
      <c r="C2550" s="127" t="n">
        <f aca="false">200+26</f>
        <v>226</v>
      </c>
      <c r="E2550" s="147" t="s">
        <v>675</v>
      </c>
      <c r="F2550" s="147" t="str">
        <f aca="false">IFERROR(VLOOKUP(H2550,$AD$1:$AE$301,2,0),"")</f>
        <v/>
      </c>
      <c r="G2550" s="147" t="str">
        <f aca="false">IFERROR(VLOOKUP(F2550,$AE$2:$AF$290,2, 0),"")</f>
        <v/>
      </c>
      <c r="H2550" s="212" t="s">
        <v>393</v>
      </c>
      <c r="I2550" s="246" t="n">
        <f aca="false">SUM(K2550:R2550)</f>
        <v>0</v>
      </c>
      <c r="J2550" s="182" t="n">
        <v>46072</v>
      </c>
      <c r="S2550" s="192" t="n">
        <f aca="false">(K2550+O2550+Q2550)*24 /1130+(L2550+M2550+P2550+R2550)*12/1130+(N2550*30)/1130</f>
        <v>0</v>
      </c>
    </row>
    <row r="2551" customFormat="false" ht="15" hidden="true" customHeight="true" outlineLevel="0" collapsed="false">
      <c r="B2551" s="233" t="n">
        <f aca="false">B2550+D2551-C2551</f>
        <v>0</v>
      </c>
      <c r="C2551" s="127" t="n">
        <f aca="false">925+1300+1017</f>
        <v>3242</v>
      </c>
      <c r="D2551" s="146" t="n">
        <v>-0.5</v>
      </c>
      <c r="E2551" s="147" t="s">
        <v>667</v>
      </c>
      <c r="F2551" s="147" t="str">
        <f aca="false">IFERROR(VLOOKUP(H2551,$AD$1:$AE$301,2,0),"")</f>
        <v/>
      </c>
      <c r="G2551" s="147" t="str">
        <f aca="false">IFERROR(VLOOKUP(F2551,$AE$2:$AF$290,2, 0),"")</f>
        <v/>
      </c>
      <c r="H2551" s="212" t="s">
        <v>393</v>
      </c>
      <c r="I2551" s="246" t="n">
        <f aca="false">SUM(K2551:R2551)</f>
        <v>0</v>
      </c>
      <c r="J2551" s="182" t="n">
        <v>46069</v>
      </c>
      <c r="S2551" s="192" t="n">
        <f aca="false">(K2551+O2551+Q2551)*24 /1130+(L2551+M2551+P2551+R2551)*12/1130+(N2551*30)/1130</f>
        <v>0</v>
      </c>
    </row>
    <row r="2552" customFormat="false" ht="15" hidden="true" customHeight="true" outlineLevel="0" collapsed="false">
      <c r="B2552" s="233" t="n">
        <f aca="false">B2551+D2552-C2552</f>
        <v>1966.5</v>
      </c>
      <c r="D2552" s="146" t="n">
        <f aca="false">6*327.75</f>
        <v>1966.5</v>
      </c>
      <c r="E2552" s="147" t="n">
        <v>53001976</v>
      </c>
      <c r="F2552" s="147" t="n">
        <f aca="false">IFERROR(VLOOKUP(H2552,$AD$1:$AE$301,2,0),"")</f>
        <v>982</v>
      </c>
      <c r="G2552" s="147" t="str">
        <f aca="false">IFERROR(VLOOKUP(F2552,$AE$2:$AF$290,2, 0),"")</f>
        <v>تبوك</v>
      </c>
      <c r="H2552" s="212" t="s">
        <v>154</v>
      </c>
      <c r="I2552" s="246" t="n">
        <f aca="false">SUM(K2552:R2552)</f>
        <v>7</v>
      </c>
      <c r="J2552" s="182" t="n">
        <v>46072</v>
      </c>
      <c r="K2552" s="148" t="n">
        <v>7</v>
      </c>
      <c r="S2552" s="192" t="n">
        <f aca="false">(K2552+O2552+Q2552)*24 /1130+(L2552+M2552+P2552+R2552)*12/1130+(N2552*30)/1130</f>
        <v>0.148672566371681</v>
      </c>
    </row>
    <row r="2553" customFormat="false" ht="15" hidden="true" customHeight="true" outlineLevel="0" collapsed="false">
      <c r="B2553" s="233" t="n">
        <f aca="false">B2552+D2553-C2553</f>
        <v>2121.75</v>
      </c>
      <c r="D2553" s="146" t="n">
        <v>155.25</v>
      </c>
      <c r="E2553" s="147" t="n">
        <v>53001977</v>
      </c>
      <c r="F2553" s="147" t="n">
        <f aca="false">IFERROR(VLOOKUP(H2553,$AD$1:$AE$301,2,0),"")</f>
        <v>1002907</v>
      </c>
      <c r="G2553" s="147" t="str">
        <f aca="false">IFERROR(VLOOKUP(F2553,$AE$2:$AF$290,2, 0),"")</f>
        <v>تبوك</v>
      </c>
      <c r="H2553" s="212" t="s">
        <v>189</v>
      </c>
      <c r="I2553" s="246" t="n">
        <f aca="false">SUM(K2553:R2553)</f>
        <v>1</v>
      </c>
      <c r="J2553" s="182" t="n">
        <v>46072</v>
      </c>
      <c r="R2553" s="155" t="n">
        <v>1</v>
      </c>
      <c r="S2553" s="192" t="n">
        <f aca="false">(K2553+O2553+Q2553)*24 /1130+(L2553+M2553+P2553+R2553)*12/1130+(N2553*30)/1130</f>
        <v>0.0106194690265487</v>
      </c>
    </row>
    <row r="2554" customFormat="false" ht="15" hidden="true" customHeight="true" outlineLevel="0" collapsed="false">
      <c r="B2554" s="233" t="n">
        <f aca="false">B2553+D2554-C2554</f>
        <v>2277</v>
      </c>
      <c r="D2554" s="146" t="n">
        <v>155.25</v>
      </c>
      <c r="E2554" s="147" t="n">
        <v>53001978</v>
      </c>
      <c r="F2554" s="147" t="n">
        <f aca="false">IFERROR(VLOOKUP(H2554,$AD$1:$AE$301,2,0),"")</f>
        <v>1008266</v>
      </c>
      <c r="G2554" s="147" t="str">
        <f aca="false">IFERROR(VLOOKUP(F2554,$AE$2:$AF$290,2, 0),"")</f>
        <v>تبوك</v>
      </c>
      <c r="H2554" s="212" t="s">
        <v>178</v>
      </c>
      <c r="I2554" s="246" t="n">
        <f aca="false">SUM(K2554:R2554)</f>
        <v>1</v>
      </c>
      <c r="J2554" s="182" t="n">
        <v>46075</v>
      </c>
      <c r="R2554" s="155" t="n">
        <v>1</v>
      </c>
      <c r="S2554" s="192" t="n">
        <f aca="false">(K2554+O2554+Q2554)*24 /1130+(L2554+M2554+P2554+R2554)*12/1130+(N2554*30)/1130</f>
        <v>0.0106194690265487</v>
      </c>
    </row>
    <row r="2555" customFormat="false" ht="15" hidden="true" customHeight="true" outlineLevel="0" collapsed="false">
      <c r="B2555" s="233" t="n">
        <f aca="false">B2554+D2555-C2555</f>
        <v>2432.25</v>
      </c>
      <c r="D2555" s="146" t="n">
        <v>155.25</v>
      </c>
      <c r="E2555" s="147" t="n">
        <v>53001979</v>
      </c>
      <c r="F2555" s="147" t="n">
        <f aca="false">IFERROR(VLOOKUP(H2555,$AD$1:$AE$301,2,0),"")</f>
        <v>1008262</v>
      </c>
      <c r="G2555" s="147" t="str">
        <f aca="false">IFERROR(VLOOKUP(F2555,$AE$2:$AF$290,2, 0),"")</f>
        <v>تبوك</v>
      </c>
      <c r="H2555" s="212" t="s">
        <v>176</v>
      </c>
      <c r="I2555" s="246" t="n">
        <f aca="false">SUM(K2555:R2555)</f>
        <v>1</v>
      </c>
      <c r="J2555" s="182" t="n">
        <v>46075</v>
      </c>
      <c r="R2555" s="155" t="n">
        <v>1</v>
      </c>
      <c r="S2555" s="192" t="n">
        <f aca="false">(K2555+O2555+Q2555)*24 /1130+(L2555+M2555+P2555+R2555)*12/1130+(N2555*30)/1130</f>
        <v>0.0106194690265487</v>
      </c>
    </row>
    <row r="2556" customFormat="false" ht="15" hidden="true" customHeight="true" outlineLevel="0" collapsed="false">
      <c r="B2556" s="233" t="n">
        <f aca="false">B2555+D2556-C2556</f>
        <v>0</v>
      </c>
      <c r="C2556" s="127" t="n">
        <f aca="false">223+20+65+133+139+35+1800+17</f>
        <v>2432</v>
      </c>
      <c r="D2556" s="146" t="n">
        <v>-0.25</v>
      </c>
      <c r="E2556" s="147" t="s">
        <v>675</v>
      </c>
      <c r="F2556" s="147" t="str">
        <f aca="false">IFERROR(VLOOKUP(H2556,$AD$1:$AE$301,2,0),"")</f>
        <v/>
      </c>
      <c r="G2556" s="147" t="str">
        <f aca="false">IFERROR(VLOOKUP(F2556,$AE$2:$AF$290,2, 0),"")</f>
        <v/>
      </c>
      <c r="H2556" s="212" t="s">
        <v>393</v>
      </c>
      <c r="I2556" s="246" t="n">
        <f aca="false">SUM(K2556:R2556)</f>
        <v>0</v>
      </c>
      <c r="J2556" s="182" t="n">
        <v>46075</v>
      </c>
      <c r="S2556" s="192" t="n">
        <f aca="false">(K2556+O2556+Q2556)*24 /1130+(L2556+M2556+P2556+R2556)*12/1130+(N2556*30)/1130</f>
        <v>0</v>
      </c>
    </row>
    <row r="2557" customFormat="false" ht="15" hidden="true" customHeight="true" outlineLevel="0" collapsed="false">
      <c r="B2557" s="233" t="n">
        <f aca="false">B2556+D2557-C2557</f>
        <v>264.5</v>
      </c>
      <c r="D2557" s="146" t="n">
        <v>264.5</v>
      </c>
      <c r="E2557" s="147" t="n">
        <v>53001980</v>
      </c>
      <c r="F2557" s="147" t="n">
        <f aca="false">IFERROR(VLOOKUP(H2557,$AD$1:$AE$301,2,0),"")</f>
        <v>1008261</v>
      </c>
      <c r="G2557" s="147" t="str">
        <f aca="false">IFERROR(VLOOKUP(F2557,$AE$2:$AF$290,2, 0),"")</f>
        <v>تبوك</v>
      </c>
      <c r="H2557" s="212" t="s">
        <v>440</v>
      </c>
      <c r="I2557" s="246" t="n">
        <f aca="false">SUM(K2557:R2557)</f>
        <v>1</v>
      </c>
      <c r="J2557" s="182" t="n">
        <v>46076</v>
      </c>
      <c r="R2557" s="155" t="n">
        <v>1</v>
      </c>
      <c r="S2557" s="192" t="n">
        <f aca="false">(K2557+O2557+Q2557)*24 /1130+(L2557+M2557+P2557+R2557)*12/1130+(N2557*30)/1130</f>
        <v>0.0106194690265487</v>
      </c>
    </row>
    <row r="2558" customFormat="false" ht="15" hidden="true" customHeight="true" outlineLevel="0" collapsed="false">
      <c r="B2558" s="233" t="n">
        <f aca="false">B2557+D2558-C2558</f>
        <v>805</v>
      </c>
      <c r="D2558" s="146" t="n">
        <f aca="false">241.5+299</f>
        <v>540.5</v>
      </c>
      <c r="E2558" s="147" t="n">
        <v>53001981</v>
      </c>
      <c r="F2558" s="147" t="n">
        <f aca="false">IFERROR(VLOOKUP(H2558,$AD$1:$AE$301,2,0),"")</f>
        <v>827</v>
      </c>
      <c r="G2558" s="147" t="str">
        <f aca="false">IFERROR(VLOOKUP(F2558,$AE$2:$AF$290,2, 0),"")</f>
        <v>تبوك</v>
      </c>
      <c r="H2558" s="212" t="s">
        <v>182</v>
      </c>
      <c r="I2558" s="246" t="n">
        <f aca="false">SUM(K2558:R2558)</f>
        <v>2</v>
      </c>
      <c r="J2558" s="182" t="n">
        <v>46076</v>
      </c>
      <c r="O2558" s="152" t="n">
        <v>1</v>
      </c>
      <c r="R2558" s="155" t="n">
        <v>1</v>
      </c>
      <c r="S2558" s="192" t="n">
        <f aca="false">(K2558+O2558+Q2558)*24 /1130+(L2558+M2558+P2558+R2558)*12/1130+(N2558*30)/1130</f>
        <v>0.031858407079646</v>
      </c>
    </row>
    <row r="2559" customFormat="false" ht="15" hidden="true" customHeight="true" outlineLevel="0" collapsed="false">
      <c r="B2559" s="233" t="n">
        <f aca="false">B2558+D2559-C2559</f>
        <v>1874.5</v>
      </c>
      <c r="D2559" s="146" t="n">
        <f aca="false">178.25*6</f>
        <v>1069.5</v>
      </c>
      <c r="E2559" s="147" t="n">
        <v>53001982</v>
      </c>
      <c r="F2559" s="147" t="n">
        <f aca="false">IFERROR(VLOOKUP(H2559,$AD$1:$AE$301,2,0),"")</f>
        <v>954</v>
      </c>
      <c r="G2559" s="147" t="str">
        <f aca="false">IFERROR(VLOOKUP(F2559,$AE$2:$AF$290,2, 0),"")</f>
        <v>تبوك</v>
      </c>
      <c r="H2559" s="212" t="s">
        <v>199</v>
      </c>
      <c r="I2559" s="246" t="n">
        <f aca="false">SUM(K2559:R2559)</f>
        <v>7</v>
      </c>
      <c r="J2559" s="182" t="n">
        <v>46077</v>
      </c>
      <c r="L2559" s="149" t="n">
        <v>7</v>
      </c>
      <c r="S2559" s="192" t="n">
        <f aca="false">(K2559+O2559+Q2559)*24 /1130+(L2559+M2559+P2559+R2559)*12/1130+(N2559*30)/1130</f>
        <v>0.0743362831858407</v>
      </c>
    </row>
    <row r="2560" customFormat="false" ht="15" hidden="true" customHeight="true" outlineLevel="0" collapsed="false">
      <c r="B2560" s="233" t="n">
        <f aca="false">B2559+D2560-C2560</f>
        <v>2012.5</v>
      </c>
      <c r="D2560" s="146" t="n">
        <f aca="false">138</f>
        <v>138</v>
      </c>
      <c r="E2560" s="147" t="n">
        <v>53001983</v>
      </c>
      <c r="F2560" s="147" t="n">
        <f aca="false">IFERROR(VLOOKUP(H2560,$AD$1:$AE$301,2,0),"")</f>
        <v>1008272</v>
      </c>
      <c r="G2560" s="147" t="str">
        <f aca="false">IFERROR(VLOOKUP(F2560,$AE$2:$AF$290,2, 0),"")</f>
        <v>تبوك</v>
      </c>
      <c r="H2560" s="212" t="s">
        <v>143</v>
      </c>
      <c r="I2560" s="246" t="n">
        <f aca="false">SUM(K2560:R2560)</f>
        <v>1</v>
      </c>
      <c r="J2560" s="182" t="n">
        <v>46077</v>
      </c>
      <c r="Q2560" s="154" t="n">
        <f aca="false">1</f>
        <v>1</v>
      </c>
      <c r="S2560" s="192" t="n">
        <f aca="false">(K2560+O2560+Q2560)*24 /1130+(L2560+M2560+P2560+R2560)*12/1130+(N2560*30)/1130</f>
        <v>0.0212389380530973</v>
      </c>
    </row>
    <row r="2561" customFormat="false" ht="15" hidden="true" customHeight="true" outlineLevel="0" collapsed="false">
      <c r="B2561" s="233" t="n">
        <f aca="false">B2560+D2561-C2561</f>
        <v>3542</v>
      </c>
      <c r="D2561" s="146" t="n">
        <f aca="false">178.25*6+264.5+195.5</f>
        <v>1529.5</v>
      </c>
      <c r="E2561" s="147" t="n">
        <v>53001984</v>
      </c>
      <c r="F2561" s="147" t="n">
        <f aca="false">IFERROR(VLOOKUP(H2561,$AD$1:$AE$301,2,0),"")</f>
        <v>855</v>
      </c>
      <c r="G2561" s="147" t="str">
        <f aca="false">IFERROR(VLOOKUP(F2561,$AE$2:$AF$290,2, 0),"")</f>
        <v>تبوك</v>
      </c>
      <c r="H2561" s="212" t="s">
        <v>141</v>
      </c>
      <c r="I2561" s="246" t="n">
        <f aca="false">SUM(K2561:R2561)</f>
        <v>9</v>
      </c>
      <c r="J2561" s="182" t="n">
        <v>46077</v>
      </c>
      <c r="L2561" s="149" t="n">
        <v>7</v>
      </c>
      <c r="R2561" s="155" t="n">
        <f aca="false">1+1</f>
        <v>2</v>
      </c>
      <c r="S2561" s="192" t="n">
        <f aca="false">(K2561+O2561+Q2561)*24 /1130+(L2561+M2561+P2561+R2561)*12/1130+(N2561*30)/1130</f>
        <v>0.0955752212389381</v>
      </c>
    </row>
    <row r="2562" customFormat="false" ht="15" hidden="true" customHeight="true" outlineLevel="0" collapsed="false">
      <c r="B2562" s="233" t="n">
        <f aca="false">B2561+D2562-C2562</f>
        <v>4071</v>
      </c>
      <c r="D2562" s="146" t="n">
        <f aca="false">264.5*2</f>
        <v>529</v>
      </c>
      <c r="E2562" s="147" t="n">
        <v>53001985</v>
      </c>
      <c r="F2562" s="147" t="n">
        <f aca="false">IFERROR(VLOOKUP(H2562,$AD$1:$AE$301,2,0),"")</f>
        <v>855</v>
      </c>
      <c r="G2562" s="147" t="str">
        <f aca="false">IFERROR(VLOOKUP(F2562,$AE$2:$AF$290,2, 0),"")</f>
        <v>تبوك</v>
      </c>
      <c r="H2562" s="212" t="s">
        <v>141</v>
      </c>
      <c r="I2562" s="246" t="n">
        <f aca="false">SUM(K2562:R2562)</f>
        <v>2</v>
      </c>
      <c r="J2562" s="182" t="n">
        <v>46078</v>
      </c>
      <c r="R2562" s="155" t="n">
        <v>2</v>
      </c>
      <c r="S2562" s="192" t="n">
        <f aca="false">(K2562+O2562+Q2562)*24 /1130+(L2562+M2562+P2562+R2562)*12/1130+(N2562*30)/1130</f>
        <v>0.0212389380530973</v>
      </c>
    </row>
    <row r="2563" customFormat="false" ht="15" hidden="true" customHeight="true" outlineLevel="0" collapsed="false">
      <c r="B2563" s="233" t="n">
        <f aca="false">B2562+D2563-C2563</f>
        <v>4864.5</v>
      </c>
      <c r="D2563" s="146" t="n">
        <f aca="false">264.5*3</f>
        <v>793.5</v>
      </c>
      <c r="E2563" s="147" t="n">
        <v>53001986</v>
      </c>
      <c r="F2563" s="147" t="n">
        <f aca="false">IFERROR(VLOOKUP(H2563,$AD$1:$AE$301,2,0),"")</f>
        <v>855</v>
      </c>
      <c r="G2563" s="147" t="str">
        <f aca="false">IFERROR(VLOOKUP(F2563,$AE$2:$AF$290,2, 0),"")</f>
        <v>تبوك</v>
      </c>
      <c r="H2563" s="212" t="s">
        <v>141</v>
      </c>
      <c r="I2563" s="246" t="n">
        <f aca="false">SUM(K2563:R2563)</f>
        <v>3</v>
      </c>
      <c r="J2563" s="182" t="n">
        <v>46078</v>
      </c>
      <c r="R2563" s="155" t="n">
        <v>3</v>
      </c>
      <c r="S2563" s="192" t="n">
        <f aca="false">(K2563+O2563+Q2563)*24 /1130+(L2563+M2563+P2563+R2563)*12/1130+(N2563*30)/1130</f>
        <v>0.031858407079646</v>
      </c>
    </row>
    <row r="2564" customFormat="false" ht="15" hidden="true" customHeight="true" outlineLevel="0" collapsed="false">
      <c r="B2564" s="233" t="n">
        <f aca="false">B2563+D2564-C2564</f>
        <v>8642.25</v>
      </c>
      <c r="D2564" s="146" t="n">
        <f aca="false">6*327.75+345+293.25*5</f>
        <v>3777.75</v>
      </c>
      <c r="E2564" s="147" t="n">
        <v>53001987</v>
      </c>
      <c r="F2564" s="147" t="n">
        <f aca="false">IFERROR(VLOOKUP(H2564,$AD$1:$AE$301,2,0),"")</f>
        <v>855</v>
      </c>
      <c r="G2564" s="147" t="str">
        <f aca="false">IFERROR(VLOOKUP(F2564,$AE$2:$AF$290,2, 0),"")</f>
        <v>تبوك</v>
      </c>
      <c r="H2564" s="212" t="s">
        <v>141</v>
      </c>
      <c r="I2564" s="246" t="n">
        <f aca="false">SUM(K2564:R2564)</f>
        <v>14</v>
      </c>
      <c r="J2564" s="182" t="n">
        <v>46078</v>
      </c>
      <c r="K2564" s="148" t="n">
        <f aca="false">4+3</f>
        <v>7</v>
      </c>
      <c r="M2564" s="150" t="n">
        <f aca="false">1+5+1</f>
        <v>7</v>
      </c>
      <c r="S2564" s="192" t="n">
        <f aca="false">(K2564+O2564+Q2564)*24 /1130+(L2564+M2564+P2564+R2564)*12/1130+(N2564*30)/1130</f>
        <v>0.223008849557522</v>
      </c>
    </row>
    <row r="2565" customFormat="false" ht="15" hidden="true" customHeight="true" outlineLevel="0" collapsed="false">
      <c r="B2565" s="233" t="n">
        <f aca="false">B2564+D2565-C2565</f>
        <v>10608.75</v>
      </c>
      <c r="D2565" s="146" t="n">
        <f aca="false">6*327.75</f>
        <v>1966.5</v>
      </c>
      <c r="E2565" s="147" t="n">
        <v>53001988</v>
      </c>
      <c r="F2565" s="147" t="n">
        <f aca="false">IFERROR(VLOOKUP(H2565,$AD$1:$AE$301,2,0),"")</f>
        <v>1002906</v>
      </c>
      <c r="G2565" s="147" t="str">
        <f aca="false">IFERROR(VLOOKUP(F2565,$AE$2:$AF$290,2, 0),"")</f>
        <v>تبوك</v>
      </c>
      <c r="H2565" s="212" t="s">
        <v>138</v>
      </c>
      <c r="I2565" s="246" t="n">
        <f aca="false">SUM(K2565:R2565)</f>
        <v>7</v>
      </c>
      <c r="J2565" s="182" t="n">
        <v>46078</v>
      </c>
      <c r="K2565" s="148" t="n">
        <f aca="false">6+1</f>
        <v>7</v>
      </c>
      <c r="S2565" s="192" t="n">
        <f aca="false">(K2565+O2565+Q2565)*24 /1130+(L2565+M2565+P2565+R2565)*12/1130+(N2565*30)/1130</f>
        <v>0.148672566371681</v>
      </c>
    </row>
    <row r="2566" customFormat="false" ht="15" hidden="true" customHeight="true" outlineLevel="0" collapsed="false">
      <c r="B2566" s="233" t="n">
        <f aca="false">B2565+D2566-C2566</f>
        <v>16646.25</v>
      </c>
      <c r="D2566" s="146" t="n">
        <f aca="false">345*4+293.25*14+138*4</f>
        <v>6037.5</v>
      </c>
      <c r="E2566" s="147" t="n">
        <v>53001989</v>
      </c>
      <c r="F2566" s="147" t="n">
        <f aca="false">IFERROR(VLOOKUP(H2566,$AD$1:$AE$301,2,0),"")</f>
        <v>1063</v>
      </c>
      <c r="G2566" s="147" t="str">
        <f aca="false">IFERROR(VLOOKUP(F2566,$AE$2:$AF$290,2, 0),"")</f>
        <v>تبوك</v>
      </c>
      <c r="H2566" s="212" t="s">
        <v>158</v>
      </c>
      <c r="I2566" s="246" t="n">
        <f aca="false">SUM(K2566:R2566)</f>
        <v>25</v>
      </c>
      <c r="J2566" s="182" t="n">
        <v>46078</v>
      </c>
      <c r="M2566" s="150" t="n">
        <f aca="false">14+4+3</f>
        <v>21</v>
      </c>
      <c r="Q2566" s="154" t="n">
        <v>4</v>
      </c>
      <c r="S2566" s="192" t="n">
        <f aca="false">(K2566+O2566+Q2566)*24 /1130+(L2566+M2566+P2566+R2566)*12/1130+(N2566*30)/1130</f>
        <v>0.307964601769912</v>
      </c>
    </row>
    <row r="2567" customFormat="false" ht="15" hidden="true" customHeight="true" outlineLevel="0" collapsed="false">
      <c r="B2567" s="233" t="n">
        <f aca="false">B2566+D2567-C2567</f>
        <v>12026.75</v>
      </c>
      <c r="C2567" s="127" t="n">
        <f aca="false">1582+3037.5</f>
        <v>4619.5</v>
      </c>
      <c r="E2567" s="147" t="s">
        <v>667</v>
      </c>
      <c r="F2567" s="147" t="str">
        <f aca="false">IFERROR(VLOOKUP(H2567,$AD$1:$AE$301,2,0),"")</f>
        <v/>
      </c>
      <c r="G2567" s="147" t="str">
        <f aca="false">IFERROR(VLOOKUP(F2567,$AE$2:$AF$290,2, 0),"")</f>
        <v/>
      </c>
      <c r="H2567" s="212" t="s">
        <v>393</v>
      </c>
      <c r="I2567" s="246" t="n">
        <f aca="false">SUM(K2567:R2567)</f>
        <v>0</v>
      </c>
      <c r="J2567" s="182" t="n">
        <v>46079</v>
      </c>
      <c r="S2567" s="192" t="n">
        <f aca="false">(K2567+O2567+Q2567)*24 /1130+(L2567+M2567+P2567+R2567)*12/1130+(N2567*30)/1130</f>
        <v>0</v>
      </c>
    </row>
    <row r="2568" customFormat="false" ht="15" hidden="true" customHeight="true" outlineLevel="0" collapsed="false">
      <c r="B2568" s="233" t="n">
        <f aca="false">B2567+D2568-C2568</f>
        <v>10600.75</v>
      </c>
      <c r="C2568" s="127" t="n">
        <f aca="false">10+40+15+561+500+300</f>
        <v>1426</v>
      </c>
      <c r="E2568" s="147" t="s">
        <v>675</v>
      </c>
      <c r="F2568" s="147" t="str">
        <f aca="false">IFERROR(VLOOKUP(H2568,$AD$1:$AE$301,2,0),"")</f>
        <v/>
      </c>
      <c r="G2568" s="147" t="str">
        <f aca="false">IFERROR(VLOOKUP(F2568,$AE$2:$AF$290,2, 0),"")</f>
        <v/>
      </c>
      <c r="H2568" s="212" t="s">
        <v>393</v>
      </c>
      <c r="I2568" s="246" t="n">
        <f aca="false">SUM(K2568:R2568)</f>
        <v>0</v>
      </c>
      <c r="J2568" s="182" t="n">
        <v>46079</v>
      </c>
      <c r="S2568" s="192" t="n">
        <f aca="false">(K2568+O2568+Q2568)*24 /1130+(L2568+M2568+P2568+R2568)*12/1130+(N2568*30)/1130</f>
        <v>0</v>
      </c>
    </row>
    <row r="2569" customFormat="false" ht="15" hidden="true" customHeight="true" outlineLevel="0" collapsed="false">
      <c r="B2569" s="233" t="n">
        <f aca="false">B2568+D2569-C2569</f>
        <v>10756</v>
      </c>
      <c r="D2569" s="146" t="n">
        <f aca="false">155.25</f>
        <v>155.25</v>
      </c>
      <c r="E2569" s="147" t="n">
        <v>53001990</v>
      </c>
      <c r="F2569" s="147" t="n">
        <f aca="false">IFERROR(VLOOKUP(H2569,$AD$1:$AE$301,2,0),"")</f>
        <v>1008264</v>
      </c>
      <c r="G2569" s="147" t="str">
        <f aca="false">IFERROR(VLOOKUP(F2569,$AE$2:$AF$290,2, 0),"")</f>
        <v>تبوك</v>
      </c>
      <c r="H2569" s="212" t="s">
        <v>160</v>
      </c>
      <c r="I2569" s="246" t="n">
        <f aca="false">SUM(K2569:R2569)</f>
        <v>1</v>
      </c>
      <c r="J2569" s="182" t="n">
        <v>46079</v>
      </c>
      <c r="R2569" s="155" t="n">
        <v>1</v>
      </c>
      <c r="S2569" s="192" t="n">
        <f aca="false">(K2569+O2569+Q2569)*24 /1130+(L2569+M2569+P2569+R2569)*12/1130+(N2569*30)/1130</f>
        <v>0.0106194690265487</v>
      </c>
    </row>
    <row r="2570" customFormat="false" ht="15" hidden="true" customHeight="true" outlineLevel="0" collapsed="false">
      <c r="B2570" s="233" t="n">
        <f aca="false">B2569+D2570-C2570</f>
        <v>12567.25</v>
      </c>
      <c r="D2570" s="146" t="n">
        <f aca="false">345+5*293.25</f>
        <v>1811.25</v>
      </c>
      <c r="E2570" s="147" t="n">
        <v>53001991</v>
      </c>
      <c r="F2570" s="147" t="n">
        <f aca="false">IFERROR(VLOOKUP(H2570,$AD$1:$AE$301,2,0),"")</f>
        <v>1045</v>
      </c>
      <c r="G2570" s="147" t="str">
        <f aca="false">IFERROR(VLOOKUP(F2570,$AE$2:$AF$290,2, 0),"")</f>
        <v>تبوك</v>
      </c>
      <c r="H2570" s="212" t="s">
        <v>142</v>
      </c>
      <c r="I2570" s="246" t="n">
        <f aca="false">SUM(K2570:R2570)</f>
        <v>7</v>
      </c>
      <c r="J2570" s="182" t="n">
        <v>46079</v>
      </c>
      <c r="M2570" s="150" t="n">
        <f aca="false">5+1+1</f>
        <v>7</v>
      </c>
      <c r="S2570" s="192" t="n">
        <f aca="false">(K2570+O2570+Q2570)*24 /1130+(L2570+M2570+P2570+R2570)*12/1130+(N2570*30)/1130</f>
        <v>0.0743362831858407</v>
      </c>
    </row>
    <row r="2571" customFormat="false" ht="15" hidden="true" customHeight="true" outlineLevel="0" collapsed="false">
      <c r="B2571" s="233" t="n">
        <f aca="false">B2570+D2571-C2571</f>
        <v>14533.75</v>
      </c>
      <c r="D2571" s="146" t="n">
        <f aca="false">6*327.75</f>
        <v>1966.5</v>
      </c>
      <c r="E2571" s="147" t="n">
        <v>53001992</v>
      </c>
      <c r="F2571" s="147" t="n">
        <f aca="false">IFERROR(VLOOKUP(H2571,$AD$1:$AE$301,2,0),"")</f>
        <v>1002891</v>
      </c>
      <c r="G2571" s="147" t="str">
        <f aca="false">IFERROR(VLOOKUP(F2571,$AE$2:$AF$290,2, 0),"")</f>
        <v>تبوك</v>
      </c>
      <c r="H2571" s="212" t="s">
        <v>201</v>
      </c>
      <c r="I2571" s="246" t="n">
        <f aca="false">SUM(K2571:R2571)</f>
        <v>7</v>
      </c>
      <c r="J2571" s="182" t="n">
        <v>46079</v>
      </c>
      <c r="K2571" s="148" t="n">
        <f aca="false">5+2</f>
        <v>7</v>
      </c>
      <c r="S2571" s="192" t="n">
        <f aca="false">(K2571+O2571+Q2571)*24 /1130+(L2571+M2571+P2571+R2571)*12/1130+(N2571*30)/1130</f>
        <v>0.148672566371681</v>
      </c>
    </row>
    <row r="2572" customFormat="false" ht="15" hidden="true" customHeight="true" outlineLevel="0" collapsed="false">
      <c r="B2572" s="233" t="n">
        <f aca="false">B2571+D2572-C2572</f>
        <v>16500.25</v>
      </c>
      <c r="D2572" s="146" t="n">
        <f aca="false">6*327.75</f>
        <v>1966.5</v>
      </c>
      <c r="E2572" s="147" t="n">
        <v>53001993</v>
      </c>
      <c r="F2572" s="147" t="n">
        <f aca="false">IFERROR(VLOOKUP(H2572,$AD$1:$AE$301,2,0),"")</f>
        <v>1002914</v>
      </c>
      <c r="G2572" s="147" t="str">
        <f aca="false">IFERROR(VLOOKUP(F2572,$AE$2:$AF$290,2, 0),"")</f>
        <v>تبوك</v>
      </c>
      <c r="H2572" s="212" t="s">
        <v>162</v>
      </c>
      <c r="I2572" s="246" t="n">
        <f aca="false">SUM(K2572:R2572)</f>
        <v>7</v>
      </c>
      <c r="J2572" s="182" t="n">
        <v>46080</v>
      </c>
      <c r="K2572" s="148" t="n">
        <f aca="false">4+1+2</f>
        <v>7</v>
      </c>
      <c r="S2572" s="192" t="n">
        <f aca="false">(K2572+O2572+Q2572)*24 /1130+(L2572+M2572+P2572+R2572)*12/1130+(N2572*30)/1130</f>
        <v>0.148672566371681</v>
      </c>
    </row>
    <row r="2573" customFormat="false" ht="15" hidden="true" customHeight="true" outlineLevel="0" collapsed="false">
      <c r="B2573" s="233" t="n">
        <f aca="false">B2572+D2573-C2573</f>
        <v>16655.5</v>
      </c>
      <c r="D2573" s="146" t="n">
        <f aca="false">155.25</f>
        <v>155.25</v>
      </c>
      <c r="E2573" s="147" t="n">
        <v>53001994</v>
      </c>
      <c r="F2573" s="147" t="n">
        <f aca="false">IFERROR(VLOOKUP(H2573,$AD$1:$AE$301,2,0),"")</f>
        <v>1008269</v>
      </c>
      <c r="G2573" s="147" t="str">
        <f aca="false">IFERROR(VLOOKUP(F2573,$AE$2:$AF$290,2, 0),"")</f>
        <v>تبوك</v>
      </c>
      <c r="H2573" s="212" t="s">
        <v>166</v>
      </c>
      <c r="I2573" s="246" t="n">
        <f aca="false">SUM(K2573:R2573)</f>
        <v>1</v>
      </c>
      <c r="J2573" s="182" t="n">
        <v>46080</v>
      </c>
      <c r="R2573" s="155" t="n">
        <v>1</v>
      </c>
      <c r="S2573" s="192" t="n">
        <f aca="false">(K2573+O2573+Q2573)*24 /1130+(L2573+M2573+P2573+R2573)*12/1130+(N2573*30)/1130</f>
        <v>0.0106194690265487</v>
      </c>
    </row>
    <row r="2574" customFormat="false" ht="15" hidden="true" customHeight="true" outlineLevel="0" collapsed="false">
      <c r="B2574" s="233" t="n">
        <f aca="false">B2573+D2574-C2574</f>
        <v>20059.5</v>
      </c>
      <c r="D2574" s="146" t="n">
        <f aca="false">6*327.75+178.25*6+230+138</f>
        <v>3404</v>
      </c>
      <c r="E2574" s="147" t="n">
        <v>53001995</v>
      </c>
      <c r="F2574" s="147" t="n">
        <f aca="false">IFERROR(VLOOKUP(H2574,$AD$1:$AE$301,2,0),"")</f>
        <v>1002947</v>
      </c>
      <c r="G2574" s="147" t="str">
        <f aca="false">IFERROR(VLOOKUP(F2574,$AE$2:$AF$290,2, 0),"")</f>
        <v>تبوك</v>
      </c>
      <c r="H2574" s="212" t="s">
        <v>174</v>
      </c>
      <c r="I2574" s="246" t="n">
        <f aca="false">SUM(K2574:R2574)</f>
        <v>16</v>
      </c>
      <c r="J2574" s="182" t="n">
        <v>46080</v>
      </c>
      <c r="K2574" s="148" t="n">
        <f aca="false">5+2</f>
        <v>7</v>
      </c>
      <c r="L2574" s="149" t="n">
        <v>7</v>
      </c>
      <c r="M2574" s="150" t="n">
        <f aca="false">1</f>
        <v>1</v>
      </c>
      <c r="Q2574" s="154" t="n">
        <f aca="false">1</f>
        <v>1</v>
      </c>
      <c r="S2574" s="192" t="n">
        <f aca="false">(K2574+O2574+Q2574)*24 /1130+(L2574+M2574+P2574+R2574)*12/1130+(N2574*30)/1130</f>
        <v>0.254867256637168</v>
      </c>
    </row>
    <row r="2575" customFormat="false" ht="15" hidden="true" customHeight="true" outlineLevel="0" collapsed="false">
      <c r="B2575" s="233" t="n">
        <f aca="false">B2574+D2575-C2575</f>
        <v>22026</v>
      </c>
      <c r="D2575" s="146" t="n">
        <f aca="false">6*327.75</f>
        <v>1966.5</v>
      </c>
      <c r="E2575" s="147" t="n">
        <v>53001996</v>
      </c>
      <c r="F2575" s="147" t="n">
        <f aca="false">IFERROR(VLOOKUP(H2575,$AD$1:$AE$301,2,0),"")</f>
        <v>1002879</v>
      </c>
      <c r="G2575" s="147" t="str">
        <f aca="false">IFERROR(VLOOKUP(F2575,$AE$2:$AF$290,2, 0),"")</f>
        <v>تبوك</v>
      </c>
      <c r="H2575" s="212" t="s">
        <v>537</v>
      </c>
      <c r="I2575" s="246" t="n">
        <f aca="false">SUM(K2575:R2575)</f>
        <v>7</v>
      </c>
      <c r="J2575" s="182" t="n">
        <v>46081</v>
      </c>
      <c r="K2575" s="148" t="n">
        <f aca="false">6+1</f>
        <v>7</v>
      </c>
      <c r="S2575" s="192" t="n">
        <f aca="false">(K2575+O2575+Q2575)*24 /1130+(L2575+M2575+P2575+R2575)*12/1130+(N2575*30)/1130</f>
        <v>0.148672566371681</v>
      </c>
    </row>
    <row r="2576" customFormat="false" ht="15" hidden="true" customHeight="true" outlineLevel="0" collapsed="false">
      <c r="B2576" s="233" t="n">
        <f aca="false">B2575+D2576-C2576</f>
        <v>23992.5</v>
      </c>
      <c r="D2576" s="146" t="n">
        <f aca="false">6*327.75</f>
        <v>1966.5</v>
      </c>
      <c r="E2576" s="147" t="n">
        <v>53001997</v>
      </c>
      <c r="F2576" s="147" t="n">
        <f aca="false">IFERROR(VLOOKUP(H2576,$AD$1:$AE$301,2,0),"")</f>
        <v>1002883</v>
      </c>
      <c r="G2576" s="147" t="str">
        <f aca="false">IFERROR(VLOOKUP(F2576,$AE$2:$AF$290,2, 0),"")</f>
        <v>تبوك</v>
      </c>
      <c r="H2576" s="212" t="s">
        <v>198</v>
      </c>
      <c r="I2576" s="246" t="n">
        <f aca="false">SUM(K2576:R2576)</f>
        <v>7</v>
      </c>
      <c r="J2576" s="182" t="n">
        <v>46081</v>
      </c>
      <c r="K2576" s="148" t="n">
        <v>7</v>
      </c>
      <c r="S2576" s="192" t="n">
        <f aca="false">(K2576+O2576+Q2576)*24 /1130+(L2576+M2576+P2576+R2576)*12/1130+(N2576*30)/1130</f>
        <v>0.148672566371681</v>
      </c>
    </row>
    <row r="2577" customFormat="false" ht="15" hidden="true" customHeight="true" outlineLevel="0" collapsed="false">
      <c r="B2577" s="233" t="n">
        <f aca="false">B2576+D2577-C2577</f>
        <v>25959</v>
      </c>
      <c r="D2577" s="146" t="n">
        <f aca="false">6*327.75</f>
        <v>1966.5</v>
      </c>
      <c r="E2577" s="147" t="n">
        <v>53001998</v>
      </c>
      <c r="F2577" s="147" t="n">
        <f aca="false">IFERROR(VLOOKUP(H2577,$AD$1:$AE$301,2,0),"")</f>
        <v>1002910</v>
      </c>
      <c r="G2577" s="147" t="str">
        <f aca="false">IFERROR(VLOOKUP(F2577,$AE$2:$AF$290,2, 0),"")</f>
        <v>تبوك</v>
      </c>
      <c r="H2577" s="212" t="s">
        <v>197</v>
      </c>
      <c r="I2577" s="246" t="n">
        <f aca="false">SUM(K2577:R2577)</f>
        <v>7</v>
      </c>
      <c r="J2577" s="182" t="n">
        <v>46081</v>
      </c>
      <c r="K2577" s="148" t="n">
        <f aca="false">2+5</f>
        <v>7</v>
      </c>
      <c r="S2577" s="192" t="n">
        <f aca="false">(K2577+O2577+Q2577)*24 /1130+(L2577+M2577+P2577+R2577)*12/1130+(N2577*30)/1130</f>
        <v>0.148672566371681</v>
      </c>
    </row>
    <row r="2578" customFormat="false" ht="15" hidden="true" customHeight="true" outlineLevel="0" collapsed="false">
      <c r="B2578" s="233" t="n">
        <f aca="false">B2577+D2578-C2578</f>
        <v>27028.5</v>
      </c>
      <c r="D2578" s="146" t="n">
        <f aca="false">178.25*6</f>
        <v>1069.5</v>
      </c>
      <c r="E2578" s="147" t="n">
        <v>53001999</v>
      </c>
      <c r="F2578" s="147" t="n">
        <f aca="false">IFERROR(VLOOKUP(H2578,$AD$1:$AE$301,2,0),"")</f>
        <v>1002949</v>
      </c>
      <c r="G2578" s="147" t="str">
        <f aca="false">IFERROR(VLOOKUP(F2578,$AE$2:$AF$290,2, 0),"")</f>
        <v>تبوك</v>
      </c>
      <c r="H2578" s="212" t="s">
        <v>169</v>
      </c>
      <c r="I2578" s="246" t="n">
        <f aca="false">SUM(K2578:R2578)</f>
        <v>7</v>
      </c>
      <c r="J2578" s="182" t="n">
        <v>46081</v>
      </c>
      <c r="L2578" s="149" t="n">
        <v>7</v>
      </c>
      <c r="S2578" s="192" t="n">
        <f aca="false">(K2578+O2578+Q2578)*24 /1130+(L2578+M2578+P2578+R2578)*12/1130+(N2578*30)/1130</f>
        <v>0.0743362831858407</v>
      </c>
    </row>
    <row r="2579" customFormat="false" ht="15" hidden="true" customHeight="true" outlineLevel="0" collapsed="false">
      <c r="B2579" s="233" t="n">
        <f aca="false">B2578+D2579-C2579</f>
        <v>27488.5</v>
      </c>
      <c r="D2579" s="146" t="n">
        <f aca="false">230*2</f>
        <v>460</v>
      </c>
      <c r="E2579" s="147" t="n">
        <v>53002000</v>
      </c>
      <c r="F2579" s="147" t="n">
        <f aca="false">IFERROR(VLOOKUP(H2579,$AD$1:$AE$301,2,0),"")</f>
        <v>1002938</v>
      </c>
      <c r="G2579" s="147" t="str">
        <f aca="false">IFERROR(VLOOKUP(F2579,$AE$2:$AF$290,2, 0),"")</f>
        <v>تبوك</v>
      </c>
      <c r="H2579" s="212" t="s">
        <v>175</v>
      </c>
      <c r="I2579" s="246" t="n">
        <f aca="false">SUM(K2579:R2579)</f>
        <v>2</v>
      </c>
      <c r="J2579" s="182" t="n">
        <v>46081</v>
      </c>
      <c r="M2579" s="150" t="n">
        <f aca="false">2</f>
        <v>2</v>
      </c>
      <c r="S2579" s="192" t="n">
        <f aca="false">(K2579+O2579+Q2579)*24 /1130+(L2579+M2579+P2579+R2579)*12/1130+(N2579*30)/1130</f>
        <v>0.0212389380530973</v>
      </c>
    </row>
    <row r="2580" customFormat="false" ht="15" hidden="true" customHeight="true" outlineLevel="0" collapsed="false">
      <c r="B2580" s="233" t="n">
        <f aca="false">B2579+D2580-C2580</f>
        <v>27799</v>
      </c>
      <c r="D2580" s="146" t="n">
        <v>310.5</v>
      </c>
      <c r="E2580" s="147" t="n">
        <v>53002001</v>
      </c>
      <c r="F2580" s="147" t="n">
        <f aca="false">IFERROR(VLOOKUP(H2580,$AD$1:$AE$301,2,0),"")</f>
        <v>1002936</v>
      </c>
      <c r="G2580" s="147" t="str">
        <f aca="false">IFERROR(VLOOKUP(F2580,$AE$2:$AF$290,2, 0),"")</f>
        <v>تبوك</v>
      </c>
      <c r="H2580" s="212" t="s">
        <v>185</v>
      </c>
      <c r="I2580" s="246" t="n">
        <f aca="false">SUM(K2580:R2580)</f>
        <v>1</v>
      </c>
      <c r="J2580" s="182" t="n">
        <v>46081</v>
      </c>
      <c r="R2580" s="155" t="n">
        <v>1</v>
      </c>
      <c r="S2580" s="192" t="n">
        <f aca="false">(K2580+O2580+Q2580)*24 /1130+(L2580+M2580+P2580+R2580)*12/1130+(N2580*30)/1130</f>
        <v>0.0106194690265487</v>
      </c>
    </row>
    <row r="2581" customFormat="false" ht="15" hidden="true" customHeight="true" outlineLevel="0" collapsed="false">
      <c r="B2581" s="233" t="n">
        <f aca="false">B2580+D2581-C2581</f>
        <v>29593</v>
      </c>
      <c r="D2581" s="146" t="n">
        <f aca="false">276+345+293.25*4</f>
        <v>1794</v>
      </c>
      <c r="E2581" s="147" t="n">
        <v>53002002</v>
      </c>
      <c r="F2581" s="147" t="n">
        <f aca="false">IFERROR(VLOOKUP(H2581,$AD$1:$AE$301,2,0),"")</f>
        <v>755</v>
      </c>
      <c r="G2581" s="147" t="str">
        <f aca="false">IFERROR(VLOOKUP(F2581,$AE$2:$AF$290,2, 0),"")</f>
        <v>تبوك</v>
      </c>
      <c r="H2581" s="212" t="s">
        <v>180</v>
      </c>
      <c r="I2581" s="246" t="n">
        <f aca="false">SUM(K2581:R2581)</f>
        <v>7</v>
      </c>
      <c r="J2581" s="182" t="n">
        <v>46081</v>
      </c>
      <c r="M2581" s="150" t="n">
        <v>7</v>
      </c>
      <c r="S2581" s="192" t="n">
        <f aca="false">(K2581+O2581+Q2581)*24 /1130+(L2581+M2581+P2581+R2581)*12/1130+(N2581*30)/1130</f>
        <v>0.0743362831858407</v>
      </c>
    </row>
    <row r="2582" customFormat="false" ht="15" hidden="true" customHeight="true" outlineLevel="0" collapsed="false">
      <c r="B2582" s="233" t="n">
        <f aca="false">B2581+D2582-C2582</f>
        <v>29892</v>
      </c>
      <c r="D2582" s="146" t="n">
        <v>299</v>
      </c>
      <c r="E2582" s="147" t="n">
        <v>53002003</v>
      </c>
      <c r="F2582" s="147" t="n">
        <f aca="false">IFERROR(VLOOKUP(H2582,$AD$1:$AE$301,2,0),"")</f>
        <v>553</v>
      </c>
      <c r="G2582" s="147" t="str">
        <f aca="false">IFERROR(VLOOKUP(F2582,$AE$2:$AF$290,2, 0),"")</f>
        <v>تبوك</v>
      </c>
      <c r="H2582" s="212" t="s">
        <v>150</v>
      </c>
      <c r="I2582" s="246" t="n">
        <f aca="false">SUM(K2582:R2582)</f>
        <v>1</v>
      </c>
      <c r="J2582" s="182" t="n">
        <v>46081</v>
      </c>
      <c r="R2582" s="155" t="n">
        <v>1</v>
      </c>
      <c r="S2582" s="192" t="n">
        <f aca="false">(K2582+O2582+Q2582)*24 /1130+(L2582+M2582+P2582+R2582)*12/1130+(N2582*30)/1130</f>
        <v>0.0106194690265487</v>
      </c>
    </row>
    <row r="2583" customFormat="false" ht="15" hidden="true" customHeight="true" outlineLevel="0" collapsed="false">
      <c r="B2583" s="233" t="n">
        <f aca="false">B2582+D2583-C2583</f>
        <v>30047.25</v>
      </c>
      <c r="D2583" s="146" t="n">
        <v>155.25</v>
      </c>
      <c r="E2583" s="147" t="n">
        <v>53002004</v>
      </c>
      <c r="F2583" s="147" t="n">
        <f aca="false">IFERROR(VLOOKUP(H2583,$AD$1:$AE$301,2,0),"")</f>
        <v>1002928</v>
      </c>
      <c r="G2583" s="147" t="str">
        <f aca="false">IFERROR(VLOOKUP(F2583,$AE$2:$AF$290,2, 0),"")</f>
        <v>تبوك</v>
      </c>
      <c r="H2583" s="212" t="s">
        <v>149</v>
      </c>
      <c r="I2583" s="246" t="n">
        <f aca="false">SUM(K2583:R2583)</f>
        <v>1</v>
      </c>
      <c r="J2583" s="182" t="n">
        <v>46081</v>
      </c>
      <c r="R2583" s="155" t="n">
        <v>1</v>
      </c>
      <c r="S2583" s="192" t="n">
        <f aca="false">(K2583+O2583+Q2583)*24 /1130+(L2583+M2583+P2583+R2583)*12/1130+(N2583*30)/1130</f>
        <v>0.0106194690265487</v>
      </c>
    </row>
    <row r="2584" customFormat="false" ht="15" hidden="true" customHeight="true" outlineLevel="0" collapsed="false">
      <c r="B2584" s="233" t="n">
        <f aca="false">B2583+D2584-C2584</f>
        <v>27344.25</v>
      </c>
      <c r="C2584" s="127" t="n">
        <f aca="false">120+145+35+140+90+160+120+190+96+101+188+180+115+65+185+100+140+137+250+146</f>
        <v>2703</v>
      </c>
      <c r="E2584" s="147" t="s">
        <v>675</v>
      </c>
      <c r="F2584" s="147" t="str">
        <f aca="false">IFERROR(VLOOKUP(H2584,$AD$1:$AE$301,2,0),"")</f>
        <v/>
      </c>
      <c r="G2584" s="147" t="str">
        <f aca="false">IFERROR(VLOOKUP(F2584,$AE$2:$AF$290,2, 0),"")</f>
        <v/>
      </c>
      <c r="H2584" s="212" t="s">
        <v>393</v>
      </c>
      <c r="I2584" s="246" t="n">
        <f aca="false">SUM(K2584:R2584)</f>
        <v>0</v>
      </c>
      <c r="J2584" s="182" t="n">
        <v>46081</v>
      </c>
      <c r="S2584" s="192" t="n">
        <f aca="false">(K2584+O2584+Q2584)*24 /1130+(L2584+M2584+P2584+R2584)*12/1130+(N2584*30)/1130</f>
        <v>0</v>
      </c>
    </row>
    <row r="2585" customFormat="false" ht="15" hidden="true" customHeight="true" outlineLevel="0" collapsed="false">
      <c r="B2585" s="233" t="n">
        <f aca="false">B2584+D2585-C2585</f>
        <v>23475.25</v>
      </c>
      <c r="C2585" s="127" t="n">
        <f aca="false">1163+950+8+330+560+20+240+598</f>
        <v>3869</v>
      </c>
      <c r="E2585" s="147" t="s">
        <v>675</v>
      </c>
      <c r="F2585" s="147" t="str">
        <f aca="false">IFERROR(VLOOKUP(H2585,$AD$1:$AE$301,2,0),"")</f>
        <v/>
      </c>
      <c r="G2585" s="147" t="str">
        <f aca="false">IFERROR(VLOOKUP(F2585,$AE$2:$AF$290,2, 0),"")</f>
        <v/>
      </c>
      <c r="H2585" s="212" t="s">
        <v>393</v>
      </c>
      <c r="I2585" s="246" t="n">
        <f aca="false">SUM(K2585:R2585)</f>
        <v>0</v>
      </c>
      <c r="J2585" s="182" t="n">
        <v>46081</v>
      </c>
      <c r="S2585" s="192" t="n">
        <f aca="false">(K2585+O2585+Q2585)*24 /1130+(L2585+M2585+P2585+R2585)*12/1130+(N2585*30)/1130</f>
        <v>0</v>
      </c>
    </row>
    <row r="2586" customFormat="false" ht="15" hidden="true" customHeight="true" outlineLevel="0" collapsed="false">
      <c r="B2586" s="233" t="n">
        <f aca="false">B2585+D2586-C2586</f>
        <v>22588.25</v>
      </c>
      <c r="C2586" s="127" t="n">
        <f aca="false">5+160+130+242+45+95+210</f>
        <v>887</v>
      </c>
      <c r="E2586" s="147" t="s">
        <v>675</v>
      </c>
      <c r="F2586" s="147" t="str">
        <f aca="false">IFERROR(VLOOKUP(H2586,$AD$1:$AE$301,2,0),"")</f>
        <v/>
      </c>
      <c r="G2586" s="147" t="str">
        <f aca="false">IFERROR(VLOOKUP(F2586,$AE$2:$AF$290,2, 0),"")</f>
        <v/>
      </c>
      <c r="H2586" s="212" t="s">
        <v>393</v>
      </c>
      <c r="I2586" s="246" t="n">
        <f aca="false">SUM(K2586:R2586)</f>
        <v>0</v>
      </c>
      <c r="J2586" s="182" t="n">
        <v>46081</v>
      </c>
      <c r="S2586" s="192" t="n">
        <f aca="false">(K2586+O2586+Q2586)*24 /1130+(L2586+M2586+P2586+R2586)*12/1130+(N2586*30)/1130</f>
        <v>0</v>
      </c>
    </row>
    <row r="2587" customFormat="false" ht="15" hidden="true" customHeight="true" outlineLevel="0" collapsed="false">
      <c r="B2587" s="233" t="n">
        <f aca="false">B2586+D2587-C2587</f>
        <v>15621.25</v>
      </c>
      <c r="C2587" s="127" t="n">
        <f aca="false">500+421+2781+200+334+880+560+60+321+242+300+268+100</f>
        <v>6967</v>
      </c>
      <c r="E2587" s="147" t="s">
        <v>675</v>
      </c>
      <c r="F2587" s="147" t="str">
        <f aca="false">IFERROR(VLOOKUP(H2587,$AD$1:$AE$301,2,0),"")</f>
        <v/>
      </c>
      <c r="G2587" s="147" t="str">
        <f aca="false">IFERROR(VLOOKUP(F2587,$AE$2:$AF$290,2, 0),"")</f>
        <v/>
      </c>
      <c r="H2587" s="212" t="s">
        <v>393</v>
      </c>
      <c r="I2587" s="246" t="n">
        <f aca="false">SUM(K2587:R2587)</f>
        <v>0</v>
      </c>
      <c r="J2587" s="182" t="n">
        <v>46081</v>
      </c>
      <c r="S2587" s="192" t="n">
        <f aca="false">(K2587+O2587+Q2587)*24 /1130+(L2587+M2587+P2587+R2587)*12/1130+(N2587*30)/1130</f>
        <v>0</v>
      </c>
    </row>
    <row r="2588" customFormat="false" ht="15" hidden="true" customHeight="true" outlineLevel="0" collapsed="false">
      <c r="B2588" s="233" t="n">
        <f aca="false">B2587+D2588-C2588</f>
        <v>13542.25</v>
      </c>
      <c r="C2588" s="127" t="n">
        <v>2079</v>
      </c>
      <c r="E2588" s="147" t="s">
        <v>667</v>
      </c>
      <c r="F2588" s="147" t="str">
        <f aca="false">IFERROR(VLOOKUP(H2588,$AD$1:$AE$301,2,0),"")</f>
        <v/>
      </c>
      <c r="G2588" s="147" t="str">
        <f aca="false">IFERROR(VLOOKUP(F2588,$AE$2:$AF$290,2, 0),"")</f>
        <v/>
      </c>
      <c r="H2588" s="212" t="s">
        <v>393</v>
      </c>
      <c r="I2588" s="246" t="n">
        <f aca="false">SUM(K2588:R2588)</f>
        <v>0</v>
      </c>
      <c r="J2588" s="182" t="n">
        <v>46081</v>
      </c>
      <c r="S2588" s="192" t="n">
        <f aca="false">(K2588+O2588+Q2588)*24 /1130+(L2588+M2588+P2588+R2588)*12/1130+(N2588*30)/1130</f>
        <v>0</v>
      </c>
    </row>
    <row r="2589" customFormat="false" ht="15" hidden="true" customHeight="true" outlineLevel="0" collapsed="false">
      <c r="B2589" s="233" t="n">
        <f aca="false">B2588+D2589-C2589</f>
        <v>12321.25</v>
      </c>
      <c r="C2589" s="127" t="n">
        <f aca="false">1000+221</f>
        <v>1221</v>
      </c>
      <c r="E2589" s="147" t="s">
        <v>675</v>
      </c>
      <c r="F2589" s="147" t="str">
        <f aca="false">IFERROR(VLOOKUP(H2589,$AD$1:$AE$301,2,0),"")</f>
        <v/>
      </c>
      <c r="G2589" s="147" t="str">
        <f aca="false">IFERROR(VLOOKUP(F2589,$AE$2:$AF$290,2, 0),"")</f>
        <v/>
      </c>
      <c r="H2589" s="212" t="s">
        <v>393</v>
      </c>
      <c r="I2589" s="246" t="n">
        <f aca="false">SUM(K2589:R2589)</f>
        <v>0</v>
      </c>
      <c r="J2589" s="182" t="n">
        <v>46081</v>
      </c>
      <c r="S2589" s="192" t="n">
        <f aca="false">(K2589+O2589+Q2589)*24 /1130+(L2589+M2589+P2589+R2589)*12/1130+(N2589*30)/1130</f>
        <v>0</v>
      </c>
    </row>
    <row r="2590" customFormat="false" ht="15" hidden="true" customHeight="true" outlineLevel="0" collapsed="false">
      <c r="B2590" s="233" t="n">
        <f aca="false">B2589+D2590-C2590</f>
        <v>4004.25</v>
      </c>
      <c r="C2590" s="127" t="n">
        <f aca="false">3000+3617+200+1500</f>
        <v>8317</v>
      </c>
      <c r="E2590" s="147" t="s">
        <v>667</v>
      </c>
      <c r="F2590" s="147" t="str">
        <f aca="false">IFERROR(VLOOKUP(H2590,$AD$1:$AE$301,2,0),"")</f>
        <v/>
      </c>
      <c r="G2590" s="147" t="str">
        <f aca="false">IFERROR(VLOOKUP(F2590,$AE$2:$AF$290,2, 0),"")</f>
        <v/>
      </c>
      <c r="H2590" s="212" t="s">
        <v>393</v>
      </c>
      <c r="I2590" s="246" t="n">
        <f aca="false">SUM(K2590:R2590)</f>
        <v>0</v>
      </c>
      <c r="J2590" s="182" t="n">
        <v>46081</v>
      </c>
      <c r="S2590" s="192" t="n">
        <f aca="false">(K2590+O2590+Q2590)*24 /1130+(L2590+M2590+P2590+R2590)*12/1130+(N2590*30)/1130</f>
        <v>0</v>
      </c>
    </row>
    <row r="2591" customFormat="false" ht="15" hidden="true" customHeight="true" outlineLevel="0" collapsed="false">
      <c r="B2591" s="233" t="n">
        <f aca="false">B2590+D2591-C2591</f>
        <v>3724.25</v>
      </c>
      <c r="C2591" s="127" t="n">
        <f aca="false">280</f>
        <v>280</v>
      </c>
      <c r="E2591" s="147" t="s">
        <v>667</v>
      </c>
      <c r="F2591" s="147" t="str">
        <f aca="false">IFERROR(VLOOKUP(H2591,$AD$1:$AE$301,2,0),"")</f>
        <v/>
      </c>
      <c r="G2591" s="147" t="str">
        <f aca="false">IFERROR(VLOOKUP(F2591,$AE$2:$AF$290,2, 0),"")</f>
        <v/>
      </c>
      <c r="H2591" s="212" t="s">
        <v>393</v>
      </c>
      <c r="I2591" s="246" t="n">
        <f aca="false">SUM(K2591:R2591)</f>
        <v>0</v>
      </c>
      <c r="J2591" s="182" t="n">
        <v>46081</v>
      </c>
      <c r="S2591" s="192" t="n">
        <f aca="false">(K2591+O2591+Q2591)*24 /1130+(L2591+M2591+P2591+R2591)*12/1130+(N2591*30)/1130</f>
        <v>0</v>
      </c>
    </row>
    <row r="2592" customFormat="false" ht="15" hidden="true" customHeight="true" outlineLevel="0" collapsed="false">
      <c r="B2592" s="233" t="n">
        <f aca="false">B2591+D2592-C2592</f>
        <v>0</v>
      </c>
      <c r="C2592" s="127" t="n">
        <v>3724</v>
      </c>
      <c r="D2592" s="146" t="n">
        <v>-0.25</v>
      </c>
      <c r="E2592" s="147" t="s">
        <v>676</v>
      </c>
      <c r="F2592" s="147" t="str">
        <f aca="false">IFERROR(VLOOKUP(H2592,$AD$1:$AE$301,2,0),"")</f>
        <v/>
      </c>
      <c r="G2592" s="147" t="str">
        <f aca="false">IFERROR(VLOOKUP(F2592,$AE$2:$AF$290,2, 0),"")</f>
        <v/>
      </c>
      <c r="H2592" s="212" t="s">
        <v>393</v>
      </c>
      <c r="I2592" s="246" t="n">
        <f aca="false">SUM(K2592:R2592)</f>
        <v>0</v>
      </c>
      <c r="J2592" s="182" t="n">
        <v>46081</v>
      </c>
      <c r="S2592" s="192" t="n">
        <f aca="false">(K2592+O2592+Q2592)*24 /1130+(L2592+M2592+P2592+R2592)*12/1130+(N2592*30)/1130</f>
        <v>0</v>
      </c>
    </row>
    <row r="2593" customFormat="false" ht="15" hidden="true" customHeight="true" outlineLevel="0" collapsed="false">
      <c r="B2593" s="233" t="n">
        <f aca="false">B2592+D2593-C2593</f>
        <v>155.25</v>
      </c>
      <c r="D2593" s="146" t="n">
        <v>155.25</v>
      </c>
      <c r="E2593" s="147" t="n">
        <v>53002005</v>
      </c>
      <c r="F2593" s="147" t="n">
        <f aca="false">IFERROR(VLOOKUP(H2593,$AD$1:$AE$301,2,0),"")</f>
        <v>1008025</v>
      </c>
      <c r="G2593" s="147" t="str">
        <f aca="false">IFERROR(VLOOKUP(F2593,$AE$2:$AF$290,2, 0),"")</f>
        <v>ضباء</v>
      </c>
      <c r="H2593" s="212" t="s">
        <v>97</v>
      </c>
      <c r="I2593" s="246" t="n">
        <f aca="false">SUM(K2593:R2593)</f>
        <v>1</v>
      </c>
      <c r="J2593" s="182" t="n">
        <v>46084</v>
      </c>
      <c r="R2593" s="155" t="n">
        <v>1</v>
      </c>
      <c r="S2593" s="192" t="n">
        <f aca="false">(K2593+O2593+Q2593)*24 /1130+(L2593+M2593+P2593+R2593)*12/1130+(N2593*30)/1130</f>
        <v>0.0106194690265487</v>
      </c>
    </row>
    <row r="2594" customFormat="false" ht="15" hidden="true" customHeight="true" outlineLevel="0" collapsed="false">
      <c r="B2594" s="233" t="n">
        <f aca="false">B2593+D2594-C2594</f>
        <v>310.5</v>
      </c>
      <c r="D2594" s="146" t="n">
        <v>155.25</v>
      </c>
      <c r="E2594" s="147" t="n">
        <v>53002006</v>
      </c>
      <c r="F2594" s="147" t="n">
        <f aca="false">IFERROR(VLOOKUP(H2594,$AD$1:$AE$301,2,0),"")</f>
        <v>1008043</v>
      </c>
      <c r="G2594" s="147" t="str">
        <f aca="false">IFERROR(VLOOKUP(F2594,$AE$2:$AF$290,2, 0),"")</f>
        <v>الوجه</v>
      </c>
      <c r="H2594" s="212" t="s">
        <v>104</v>
      </c>
      <c r="I2594" s="246" t="n">
        <f aca="false">SUM(K2594:R2594)</f>
        <v>1</v>
      </c>
      <c r="J2594" s="182" t="n">
        <v>46084</v>
      </c>
      <c r="R2594" s="155" t="n">
        <v>1</v>
      </c>
      <c r="S2594" s="192" t="n">
        <f aca="false">(K2594+O2594+Q2594)*24 /1130+(L2594+M2594+P2594+R2594)*12/1130+(N2594*30)/1130</f>
        <v>0.0106194690265487</v>
      </c>
    </row>
    <row r="2595" customFormat="false" ht="15" hidden="true" customHeight="true" outlineLevel="0" collapsed="false">
      <c r="B2595" s="233" t="n">
        <f aca="false">B2594+D2595-C2595</f>
        <v>2524.25</v>
      </c>
      <c r="D2595" s="146" t="n">
        <f aca="false">316.25*7</f>
        <v>2213.75</v>
      </c>
      <c r="E2595" s="147" t="n">
        <v>53002007</v>
      </c>
      <c r="F2595" s="147" t="n">
        <f aca="false">IFERROR(VLOOKUP(H2595,$AD$1:$AE$301,2,0),"")</f>
        <v>1033</v>
      </c>
      <c r="G2595" s="147" t="str">
        <f aca="false">IFERROR(VLOOKUP(F2595,$AE$2:$AF$290,2, 0),"")</f>
        <v>الوجه</v>
      </c>
      <c r="H2595" s="212" t="s">
        <v>117</v>
      </c>
      <c r="I2595" s="246" t="n">
        <f aca="false">SUM(K2595:R2595)</f>
        <v>8</v>
      </c>
      <c r="J2595" s="182" t="n">
        <v>46084</v>
      </c>
      <c r="N2595" s="151" t="n">
        <v>8</v>
      </c>
      <c r="S2595" s="192" t="n">
        <f aca="false">(K2595+O2595+Q2595)*24 /1130+(L2595+M2595+P2595+R2595)*12/1130+(N2595*30)/1130</f>
        <v>0.212389380530973</v>
      </c>
    </row>
    <row r="2596" customFormat="false" ht="15" hidden="true" customHeight="true" outlineLevel="0" collapsed="false">
      <c r="B2596" s="233" t="n">
        <f aca="false">B2595+D2596-C2596</f>
        <v>4490.75</v>
      </c>
      <c r="D2596" s="146" t="n">
        <f aca="false">327.75*6</f>
        <v>1966.5</v>
      </c>
      <c r="E2596" s="147" t="n">
        <v>53002008</v>
      </c>
      <c r="F2596" s="147" t="n">
        <f aca="false">IFERROR(VLOOKUP(H2596,$AD$1:$AE$301,2,0),"")</f>
        <v>1008045</v>
      </c>
      <c r="G2596" s="147" t="str">
        <f aca="false">IFERROR(VLOOKUP(F2596,$AE$2:$AF$290,2, 0),"")</f>
        <v>الوجه</v>
      </c>
      <c r="H2596" s="212" t="s">
        <v>107</v>
      </c>
      <c r="I2596" s="246" t="n">
        <f aca="false">SUM(K2596:R2596)</f>
        <v>7</v>
      </c>
      <c r="J2596" s="182" t="n">
        <v>46084</v>
      </c>
      <c r="K2596" s="148" t="n">
        <v>7</v>
      </c>
      <c r="S2596" s="192" t="n">
        <f aca="false">(K2596+O2596+Q2596)*24 /1130+(L2596+M2596+P2596+R2596)*12/1130+(N2596*30)/1130</f>
        <v>0.148672566371681</v>
      </c>
    </row>
    <row r="2597" customFormat="false" ht="15" hidden="true" customHeight="true" outlineLevel="0" collapsed="false">
      <c r="B2597" s="233" t="n">
        <f aca="false">B2596+D2597-C2597</f>
        <v>6457.25</v>
      </c>
      <c r="D2597" s="146" t="n">
        <f aca="false">327.75*6</f>
        <v>1966.5</v>
      </c>
      <c r="E2597" s="147" t="n">
        <v>53002009</v>
      </c>
      <c r="F2597" s="147" t="n">
        <f aca="false">IFERROR(VLOOKUP(H2597,$AD$1:$AE$301,2,0),"")</f>
        <v>1008047</v>
      </c>
      <c r="G2597" s="147" t="str">
        <f aca="false">IFERROR(VLOOKUP(F2597,$AE$2:$AF$290,2, 0),"")</f>
        <v>الوجه</v>
      </c>
      <c r="H2597" s="212" t="s">
        <v>422</v>
      </c>
      <c r="I2597" s="246" t="n">
        <f aca="false">SUM(K2597:R2597)</f>
        <v>7</v>
      </c>
      <c r="J2597" s="182" t="n">
        <v>46084</v>
      </c>
      <c r="K2597" s="148" t="n">
        <v>7</v>
      </c>
      <c r="S2597" s="192" t="n">
        <f aca="false">(K2597+O2597+Q2597)*24 /1130+(L2597+M2597+P2597+R2597)*12/1130+(N2597*30)/1130</f>
        <v>0.148672566371681</v>
      </c>
    </row>
    <row r="2598" customFormat="false" ht="15" hidden="true" customHeight="true" outlineLevel="0" collapsed="false">
      <c r="B2598" s="233" t="n">
        <f aca="false">B2597+D2598-C2598</f>
        <v>6940.25</v>
      </c>
      <c r="D2598" s="146" t="n">
        <f aca="false">241.5*2</f>
        <v>483</v>
      </c>
      <c r="E2598" s="147" t="n">
        <v>53002010</v>
      </c>
      <c r="F2598" s="147" t="n">
        <f aca="false">IFERROR(VLOOKUP(H2598,$AD$1:$AE$301,2,0),"")</f>
        <v>1007988</v>
      </c>
      <c r="G2598" s="147" t="str">
        <f aca="false">IFERROR(VLOOKUP(F2598,$AE$2:$AF$290,2, 0),"")</f>
        <v>ضباء</v>
      </c>
      <c r="H2598" s="212" t="s">
        <v>89</v>
      </c>
      <c r="I2598" s="246" t="n">
        <f aca="false">SUM(K2598:R2598)</f>
        <v>2</v>
      </c>
      <c r="J2598" s="182" t="n">
        <v>46084</v>
      </c>
      <c r="O2598" s="152" t="n">
        <v>2</v>
      </c>
      <c r="S2598" s="192" t="n">
        <f aca="false">(K2598+O2598+Q2598)*24 /1130+(L2598+M2598+P2598+R2598)*12/1130+(N2598*30)/1130</f>
        <v>0.0424778761061947</v>
      </c>
    </row>
    <row r="2599" customFormat="false" ht="15" hidden="true" customHeight="true" outlineLevel="0" collapsed="false">
      <c r="B2599" s="233" t="n">
        <f aca="false">B2598+D2599-C2599</f>
        <v>7095.5</v>
      </c>
      <c r="D2599" s="146" t="n">
        <v>155.25</v>
      </c>
      <c r="E2599" s="147" t="n">
        <v>53002011</v>
      </c>
      <c r="F2599" s="147" t="n">
        <f aca="false">IFERROR(VLOOKUP(H2599,$AD$1:$AE$301,2,0),"")</f>
        <v>1007985</v>
      </c>
      <c r="G2599" s="147" t="str">
        <f aca="false">IFERROR(VLOOKUP(F2599,$AE$2:$AF$290,2, 0),"")</f>
        <v>ضباء</v>
      </c>
      <c r="H2599" s="212" t="s">
        <v>86</v>
      </c>
      <c r="I2599" s="246" t="n">
        <f aca="false">SUM(K2599:R2599)</f>
        <v>1</v>
      </c>
      <c r="J2599" s="182" t="n">
        <v>46084</v>
      </c>
      <c r="R2599" s="155" t="n">
        <v>1</v>
      </c>
      <c r="S2599" s="192" t="n">
        <f aca="false">(K2599+O2599+Q2599)*24 /1130+(L2599+M2599+P2599+R2599)*12/1130+(N2599*30)/1130</f>
        <v>0.0106194690265487</v>
      </c>
    </row>
    <row r="2600" customFormat="false" ht="15" hidden="true" customHeight="true" outlineLevel="0" collapsed="false">
      <c r="B2600" s="233" t="n">
        <f aca="false">B2599+D2600-C2600</f>
        <v>7337</v>
      </c>
      <c r="D2600" s="146" t="n">
        <v>241.5</v>
      </c>
      <c r="E2600" s="147" t="n">
        <v>53002012</v>
      </c>
      <c r="F2600" s="147" t="n">
        <f aca="false">IFERROR(VLOOKUP(H2600,$AD$1:$AE$301,2,0),"")</f>
        <v>1007987</v>
      </c>
      <c r="G2600" s="147" t="str">
        <f aca="false">IFERROR(VLOOKUP(F2600,$AE$2:$AF$290,2, 0),"")</f>
        <v>ضباء</v>
      </c>
      <c r="H2600" s="212" t="s">
        <v>88</v>
      </c>
      <c r="I2600" s="246" t="n">
        <f aca="false">SUM(K2600:R2600)</f>
        <v>1</v>
      </c>
      <c r="J2600" s="182" t="n">
        <v>46084</v>
      </c>
      <c r="O2600" s="151" t="n">
        <v>1</v>
      </c>
      <c r="S2600" s="192" t="n">
        <f aca="false">(K2600+O2600+Q2600)*24 /1130+(L2600+M2600+P2600+R2600)*12/1130+(N2600*30)/1130</f>
        <v>0.0212389380530973</v>
      </c>
    </row>
    <row r="2601" customFormat="false" ht="15" hidden="true" customHeight="true" outlineLevel="0" collapsed="false">
      <c r="B2601" s="233" t="n">
        <f aca="false">B2600+D2601-C2601</f>
        <v>7578.5</v>
      </c>
      <c r="D2601" s="146" t="n">
        <v>241.5</v>
      </c>
      <c r="E2601" s="147" t="n">
        <v>53002013</v>
      </c>
      <c r="F2601" s="147" t="n">
        <f aca="false">IFERROR(VLOOKUP(H2601,$AD$1:$AE$301,2,0),"")</f>
        <v>1007989</v>
      </c>
      <c r="G2601" s="147" t="str">
        <f aca="false">IFERROR(VLOOKUP(F2601,$AE$2:$AF$290,2, 0),"")</f>
        <v>ضباء</v>
      </c>
      <c r="H2601" s="212" t="s">
        <v>90</v>
      </c>
      <c r="I2601" s="246" t="n">
        <f aca="false">SUM(K2601:R2601)</f>
        <v>1</v>
      </c>
      <c r="J2601" s="182" t="n">
        <v>46084</v>
      </c>
      <c r="O2601" s="151" t="n">
        <v>1</v>
      </c>
      <c r="S2601" s="192" t="n">
        <f aca="false">(K2601+O2601+Q2601)*24 /1130+(L2601+M2601+P2601+R2601)*12/1130+(N2601*30)/1130</f>
        <v>0.0212389380530973</v>
      </c>
    </row>
    <row r="2602" customFormat="false" ht="15" hidden="true" customHeight="true" outlineLevel="0" collapsed="false">
      <c r="B2602" s="233" t="n">
        <f aca="false">B2601+D2602-C2602</f>
        <v>13725.25</v>
      </c>
      <c r="D2602" s="146" t="n">
        <f aca="false">327.75*12+316.25*7</f>
        <v>6146.75</v>
      </c>
      <c r="E2602" s="147" t="n">
        <v>53002014</v>
      </c>
      <c r="F2602" s="147" t="n">
        <f aca="false">IFERROR(VLOOKUP(H2602,$AD$1:$AE$301,2,0),"")</f>
        <v>1007980</v>
      </c>
      <c r="G2602" s="147" t="str">
        <f aca="false">IFERROR(VLOOKUP(F2602,$AE$2:$AF$290,2, 0),"")</f>
        <v>ضباء</v>
      </c>
      <c r="H2602" s="212" t="s">
        <v>81</v>
      </c>
      <c r="I2602" s="246" t="n">
        <f aca="false">SUM(K2602:R2602)</f>
        <v>22</v>
      </c>
      <c r="J2602" s="182" t="n">
        <v>46085</v>
      </c>
      <c r="K2602" s="148" t="n">
        <v>14</v>
      </c>
      <c r="N2602" s="151" t="n">
        <v>8</v>
      </c>
      <c r="S2602" s="192" t="n">
        <f aca="false">(K2602+O2602+Q2602)*24 /1130+(L2602+M2602+P2602+R2602)*12/1130+(N2602*30)/1130</f>
        <v>0.509734513274336</v>
      </c>
    </row>
    <row r="2603" customFormat="false" ht="15" hidden="true" customHeight="true" outlineLevel="0" collapsed="false">
      <c r="B2603" s="233" t="n">
        <f aca="false">B2602+D2603-C2603</f>
        <v>15571</v>
      </c>
      <c r="D2603" s="146" t="n">
        <f aca="false">276+3*293.25+345*2</f>
        <v>1845.75</v>
      </c>
      <c r="E2603" s="147" t="n">
        <v>53002015</v>
      </c>
      <c r="F2603" s="147" t="n">
        <f aca="false">IFERROR(VLOOKUP(H2603,$AD$1:$AE$301,2,0),"")</f>
        <v>721</v>
      </c>
      <c r="G2603" s="147" t="str">
        <f aca="false">IFERROR(VLOOKUP(F2603,$AE$2:$AF$290,2, 0),"")</f>
        <v>تبوك</v>
      </c>
      <c r="H2603" s="212" t="s">
        <v>183</v>
      </c>
      <c r="I2603" s="246" t="n">
        <f aca="false">SUM(K2603:R2603)</f>
        <v>7</v>
      </c>
      <c r="J2603" s="182" t="n">
        <v>46085</v>
      </c>
      <c r="M2603" s="150" t="n">
        <f aca="false">1+3+2+1</f>
        <v>7</v>
      </c>
      <c r="S2603" s="192" t="n">
        <f aca="false">(K2603+O2603+Q2603)*24 /1130+(L2603+M2603+P2603+R2603)*12/1130+(N2603*30)/1130</f>
        <v>0.0743362831858407</v>
      </c>
    </row>
    <row r="2604" customFormat="false" ht="15" hidden="true" customHeight="true" outlineLevel="0" collapsed="false">
      <c r="B2604" s="233" t="n">
        <f aca="false">B2603+D2604-C2604</f>
        <v>13571</v>
      </c>
      <c r="C2604" s="127" t="n">
        <v>2000</v>
      </c>
      <c r="F2604" s="147" t="str">
        <f aca="false">IFERROR(VLOOKUP(H2604,$AD$1:$AE$301,2,0),"")</f>
        <v/>
      </c>
      <c r="G2604" s="147" t="str">
        <f aca="false">IFERROR(VLOOKUP(F2604,$AE$2:$AF$290,2, 0),"")</f>
        <v/>
      </c>
      <c r="H2604" s="212" t="s">
        <v>393</v>
      </c>
      <c r="I2604" s="246" t="n">
        <f aca="false">SUM(K2604:R2604)</f>
        <v>0</v>
      </c>
      <c r="J2604" s="182" t="n">
        <v>46085</v>
      </c>
      <c r="S2604" s="192" t="n">
        <f aca="false">(K2604+O2604+Q2604)*24 /1130+(L2604+M2604+P2604+R2604)*12/1130+(N2604*30)/1130</f>
        <v>0</v>
      </c>
    </row>
    <row r="2605" customFormat="false" ht="15" hidden="true" customHeight="true" outlineLevel="0" collapsed="false">
      <c r="B2605" s="233" t="n">
        <f aca="false">B2604+D2605-C2605</f>
        <v>4195.25</v>
      </c>
      <c r="C2605" s="127" t="n">
        <f aca="false">300+300+200+280.75+100+562+1107.5+842.5+200+5483</f>
        <v>9375.75</v>
      </c>
      <c r="F2605" s="147" t="str">
        <f aca="false">IFERROR(VLOOKUP(H2605,$AD$1:$AE$301,2,0),"")</f>
        <v/>
      </c>
      <c r="G2605" s="147" t="str">
        <f aca="false">IFERROR(VLOOKUP(F2605,$AE$2:$AF$290,2, 0),"")</f>
        <v/>
      </c>
      <c r="H2605" s="212" t="s">
        <v>393</v>
      </c>
      <c r="I2605" s="246" t="n">
        <f aca="false">SUM(K2605:R2605)</f>
        <v>0</v>
      </c>
      <c r="J2605" s="182" t="n">
        <v>46085</v>
      </c>
      <c r="S2605" s="192" t="n">
        <f aca="false">(K2605+O2605+Q2605)*24 /1130+(L2605+M2605+P2605+R2605)*12/1130+(N2605*30)/1130</f>
        <v>0</v>
      </c>
    </row>
    <row r="2606" customFormat="false" ht="15" hidden="true" customHeight="true" outlineLevel="0" collapsed="false">
      <c r="B2606" s="233" t="n">
        <f aca="false">B2605+D2606-C2606</f>
        <v>4350.5</v>
      </c>
      <c r="D2606" s="439" t="n">
        <v>155.25</v>
      </c>
      <c r="E2606" s="147" t="n">
        <v>53002016</v>
      </c>
      <c r="F2606" s="147" t="n">
        <f aca="false">IFERROR(VLOOKUP(H2606,$AD$1:$AE$301,2,0),"")</f>
        <v>1008264</v>
      </c>
      <c r="G2606" s="147" t="str">
        <f aca="false">IFERROR(VLOOKUP(F2606,$AE$2:$AF$290,2, 0),"")</f>
        <v>تبوك</v>
      </c>
      <c r="H2606" s="212" t="s">
        <v>160</v>
      </c>
      <c r="I2606" s="246" t="n">
        <f aca="false">SUM(K2606:R2606)</f>
        <v>1</v>
      </c>
      <c r="J2606" s="182" t="n">
        <v>46086</v>
      </c>
      <c r="R2606" s="155" t="n">
        <v>1</v>
      </c>
      <c r="S2606" s="192" t="n">
        <f aca="false">(K2606+O2606+Q2606)*24 /1130+(L2606+M2606+P2606+R2606)*12/1130+(N2606*30)/1130</f>
        <v>0.0106194690265487</v>
      </c>
    </row>
    <row r="2607" customFormat="false" ht="15" hidden="true" customHeight="true" outlineLevel="0" collapsed="false">
      <c r="B2607" s="233" t="n">
        <f aca="false">B2606+D2607-C2607</f>
        <v>4603.5</v>
      </c>
      <c r="D2607" s="146" t="n">
        <v>253</v>
      </c>
      <c r="E2607" s="147" t="n">
        <v>53002017</v>
      </c>
      <c r="F2607" s="147" t="n">
        <f aca="false">IFERROR(VLOOKUP(H2607,$AD$1:$AE$301,2,0),"")</f>
        <v>721</v>
      </c>
      <c r="G2607" s="147" t="str">
        <f aca="false">IFERROR(VLOOKUP(F2607,$AE$2:$AF$290,2, 0),"")</f>
        <v>تبوك</v>
      </c>
      <c r="H2607" s="212" t="s">
        <v>183</v>
      </c>
      <c r="I2607" s="246" t="n">
        <f aca="false">SUM(K2607:R2607)</f>
        <v>1</v>
      </c>
      <c r="J2607" s="182" t="n">
        <v>46086</v>
      </c>
      <c r="R2607" s="155" t="n">
        <v>1</v>
      </c>
      <c r="S2607" s="192" t="n">
        <f aca="false">(K2607+O2607+Q2607)*24 /1130+(L2607+M2607+P2607+R2607)*12/1130+(N2607*30)/1130</f>
        <v>0.0106194690265487</v>
      </c>
    </row>
    <row r="2608" customFormat="false" ht="15" hidden="true" customHeight="true" outlineLevel="0" collapsed="false">
      <c r="B2608" s="233" t="n">
        <f aca="false">B2607+D2608-C2608</f>
        <v>4856.5</v>
      </c>
      <c r="D2608" s="146" t="n">
        <v>253</v>
      </c>
      <c r="E2608" s="147" t="n">
        <v>53002018</v>
      </c>
      <c r="F2608" s="147" t="n">
        <f aca="false">IFERROR(VLOOKUP(H2608,$AD$1:$AE$301,2,0),"")</f>
        <v>1004</v>
      </c>
      <c r="G2608" s="147" t="str">
        <f aca="false">IFERROR(VLOOKUP(F2608,$AE$2:$AF$290,2, 0),"")</f>
        <v>تبوك</v>
      </c>
      <c r="H2608" s="212" t="s">
        <v>181</v>
      </c>
      <c r="I2608" s="246" t="n">
        <f aca="false">SUM(K2608:R2608)</f>
        <v>1</v>
      </c>
      <c r="J2608" s="182" t="n">
        <v>46086</v>
      </c>
      <c r="R2608" s="155" t="n">
        <v>1</v>
      </c>
      <c r="S2608" s="192" t="n">
        <f aca="false">(K2608+O2608+Q2608)*24 /1130+(L2608+M2608+P2608+R2608)*12/1130+(N2608*30)/1130</f>
        <v>0.0106194690265487</v>
      </c>
    </row>
    <row r="2609" customFormat="false" ht="15" hidden="true" customHeight="true" outlineLevel="0" collapsed="false">
      <c r="B2609" s="233" t="n">
        <f aca="false">B2608+D2609-C2609</f>
        <v>5420</v>
      </c>
      <c r="D2609" s="146" t="n">
        <f aca="false">299+264.5</f>
        <v>563.5</v>
      </c>
      <c r="E2609" s="147" t="n">
        <v>53002019</v>
      </c>
      <c r="F2609" s="147" t="n">
        <f aca="false">IFERROR(VLOOKUP(H2609,$AD$1:$AE$301,2,0),"")</f>
        <v>1002852</v>
      </c>
      <c r="G2609" s="147" t="str">
        <f aca="false">IFERROR(VLOOKUP(F2609,$AE$2:$AF$290,2, 0),"")</f>
        <v>تبوك</v>
      </c>
      <c r="H2609" s="212" t="s">
        <v>159</v>
      </c>
      <c r="I2609" s="246" t="n">
        <f aca="false">SUM(K2609:R2609)</f>
        <v>2</v>
      </c>
      <c r="J2609" s="182" t="n">
        <v>46086</v>
      </c>
      <c r="R2609" s="440" t="n">
        <f aca="false">1+1</f>
        <v>2</v>
      </c>
      <c r="S2609" s="192" t="n">
        <f aca="false">(K2609+O2609+Q2609)*24 /1130+(L2609+M2609+P2609+R2609)*12/1130+(N2609*30)/1130</f>
        <v>0.0212389380530973</v>
      </c>
    </row>
    <row r="2610" customFormat="false" ht="15" hidden="true" customHeight="true" outlineLevel="0" collapsed="false">
      <c r="B2610" s="233" t="n">
        <f aca="false">B2609+D2610-C2610</f>
        <v>6018</v>
      </c>
      <c r="D2610" s="146" t="n">
        <f aca="false">299+299</f>
        <v>598</v>
      </c>
      <c r="E2610" s="147" t="n">
        <v>53002020</v>
      </c>
      <c r="F2610" s="147" t="n">
        <f aca="false">IFERROR(VLOOKUP(H2610,$AD$1:$AE$301,2,0),"")</f>
        <v>1071</v>
      </c>
      <c r="G2610" s="147" t="str">
        <f aca="false">IFERROR(VLOOKUP(F2610,$AE$2:$AF$290,2, 0),"")</f>
        <v>تبوك</v>
      </c>
      <c r="H2610" s="212" t="s">
        <v>135</v>
      </c>
      <c r="I2610" s="246" t="n">
        <f aca="false">SUM(K2610:R2610)</f>
        <v>2</v>
      </c>
      <c r="J2610" s="182" t="n">
        <v>46086</v>
      </c>
      <c r="R2610" s="440" t="n">
        <f aca="false">1+1</f>
        <v>2</v>
      </c>
      <c r="S2610" s="192" t="n">
        <f aca="false">(K2610+O2610+Q2610)*24 /1130+(L2610+M2610+P2610+R2610)*12/1130+(N2610*30)/1130</f>
        <v>0.0212389380530973</v>
      </c>
    </row>
    <row r="2611" customFormat="false" ht="15" hidden="true" customHeight="true" outlineLevel="0" collapsed="false">
      <c r="B2611" s="233" t="n">
        <f aca="false">B2610+D2611-C2611</f>
        <v>5057</v>
      </c>
      <c r="C2611" s="127" t="n">
        <f aca="false">62+266+133+200+300</f>
        <v>961</v>
      </c>
      <c r="E2611" s="147" t="s">
        <v>675</v>
      </c>
      <c r="F2611" s="147" t="str">
        <f aca="false">IFERROR(VLOOKUP(H2611,$AD$1:$AE$301,2,0),"")</f>
        <v/>
      </c>
      <c r="G2611" s="147" t="str">
        <f aca="false">IFERROR(VLOOKUP(F2611,$AE$2:$AF$290,2, 0),"")</f>
        <v/>
      </c>
      <c r="H2611" s="212" t="s">
        <v>393</v>
      </c>
      <c r="I2611" s="246" t="n">
        <f aca="false">SUM(K2611:R2611)</f>
        <v>0</v>
      </c>
      <c r="J2611" s="182" t="n">
        <v>46086</v>
      </c>
      <c r="S2611" s="192" t="n">
        <f aca="false">(K2611+O2611+Q2611)*24 /1130+(L2611+M2611+P2611+R2611)*12/1130+(N2611*30)/1130</f>
        <v>0</v>
      </c>
    </row>
    <row r="2612" customFormat="false" ht="15" hidden="true" customHeight="true" outlineLevel="0" collapsed="false">
      <c r="B2612" s="233" t="n">
        <f aca="false">B2611+D2612-C2612</f>
        <v>1710.25</v>
      </c>
      <c r="C2612" s="127" t="n">
        <f aca="false">1197+2098.75+51</f>
        <v>3346.75</v>
      </c>
      <c r="E2612" s="147" t="s">
        <v>677</v>
      </c>
      <c r="F2612" s="147" t="str">
        <f aca="false">IFERROR(VLOOKUP(H2612,$AD$1:$AE$301,2,0),"")</f>
        <v/>
      </c>
      <c r="G2612" s="147" t="str">
        <f aca="false">IFERROR(VLOOKUP(F2612,$AE$2:$AF$290,2, 0),"")</f>
        <v/>
      </c>
      <c r="H2612" s="212" t="s">
        <v>393</v>
      </c>
      <c r="I2612" s="246" t="n">
        <f aca="false">SUM(K2612:R2612)</f>
        <v>0</v>
      </c>
      <c r="J2612" s="182" t="n">
        <v>46086</v>
      </c>
      <c r="S2612" s="192" t="n">
        <f aca="false">(K2612+O2612+Q2612)*24 /1130+(L2612+M2612+P2612+R2612)*12/1130+(N2612*30)/1130</f>
        <v>0</v>
      </c>
    </row>
    <row r="2613" customFormat="false" ht="15" hidden="true" customHeight="true" outlineLevel="0" collapsed="false">
      <c r="B2613" s="233" t="n">
        <f aca="false">B2612+D2613-C2613</f>
        <v>0.25</v>
      </c>
      <c r="C2613" s="127" t="n">
        <f aca="false">155+140+165+25+130+175+290+163+240+105+122</f>
        <v>1710</v>
      </c>
      <c r="E2613" s="147" t="s">
        <v>675</v>
      </c>
      <c r="F2613" s="147" t="str">
        <f aca="false">IFERROR(VLOOKUP(H2613,$AD$1:$AE$301,2,0),"")</f>
        <v/>
      </c>
      <c r="G2613" s="147" t="str">
        <f aca="false">IFERROR(VLOOKUP(F2613,$AE$2:$AF$290,2, 0),"")</f>
        <v/>
      </c>
      <c r="H2613" s="212" t="s">
        <v>393</v>
      </c>
      <c r="I2613" s="246" t="n">
        <f aca="false">SUM(K2613:R2613)</f>
        <v>0</v>
      </c>
      <c r="J2613" s="182" t="n">
        <v>46086</v>
      </c>
      <c r="S2613" s="192" t="n">
        <f aca="false">(K2613+O2613+Q2613)*24 /1130+(L2613+M2613+P2613+R2613)*12/1130+(N2613*30)/1130</f>
        <v>0</v>
      </c>
    </row>
    <row r="2614" customFormat="false" ht="15" hidden="true" customHeight="true" outlineLevel="0" collapsed="false">
      <c r="B2614" s="233" t="n">
        <f aca="false">B2613+D2614-C2614</f>
        <v>5675.5</v>
      </c>
      <c r="D2614" s="146" t="n">
        <f aca="false">327.75*12+276+293.25*5</f>
        <v>5675.25</v>
      </c>
      <c r="E2614" s="147" t="n">
        <v>53002021</v>
      </c>
      <c r="F2614" s="147" t="n">
        <f aca="false">IFERROR(VLOOKUP(H2614,$AD$1:$AE$301,2,0),"")</f>
        <v>1002906</v>
      </c>
      <c r="G2614" s="147" t="str">
        <f aca="false">IFERROR(VLOOKUP(F2614,$AE$2:$AF$290,2, 0),"")</f>
        <v>تبوك</v>
      </c>
      <c r="H2614" s="212" t="s">
        <v>138</v>
      </c>
      <c r="I2614" s="246" t="n">
        <f aca="false">SUM(K2614:R2614)</f>
        <v>21</v>
      </c>
      <c r="J2614" s="182" t="n">
        <v>46090</v>
      </c>
      <c r="K2614" s="148" t="n">
        <f aca="false">8+6</f>
        <v>14</v>
      </c>
      <c r="M2614" s="150" t="n">
        <f aca="false">5+1+1</f>
        <v>7</v>
      </c>
      <c r="S2614" s="192" t="n">
        <f aca="false">(K2614+O2614+Q2614)*24 /1130+(L2614+M2614+P2614+R2614)*12/1130+(N2614*30)/1130</f>
        <v>0.371681415929204</v>
      </c>
    </row>
    <row r="2615" customFormat="false" ht="15" hidden="true" customHeight="true" outlineLevel="0" collapsed="false">
      <c r="B2615" s="233" t="n">
        <f aca="false">B2614+D2615-C2615</f>
        <v>5830.75</v>
      </c>
      <c r="D2615" s="146" t="n">
        <f aca="false">155.25</f>
        <v>155.25</v>
      </c>
      <c r="E2615" s="147" t="n">
        <v>53002022</v>
      </c>
      <c r="F2615" s="147" t="n">
        <f aca="false">IFERROR(VLOOKUP(H2615,$AD$1:$AE$301,2,0),"")</f>
        <v>1008260</v>
      </c>
      <c r="G2615" s="147" t="str">
        <f aca="false">IFERROR(VLOOKUP(F2615,$AE$2:$AF$290,2, 0),"")</f>
        <v>تبوك</v>
      </c>
      <c r="H2615" s="212" t="s">
        <v>184</v>
      </c>
      <c r="I2615" s="246" t="n">
        <f aca="false">SUM(K2615:R2615)</f>
        <v>1</v>
      </c>
      <c r="J2615" s="182" t="n">
        <v>46090</v>
      </c>
      <c r="R2615" s="155" t="n">
        <v>1</v>
      </c>
      <c r="S2615" s="192" t="n">
        <f aca="false">(K2615+O2615+Q2615)*24 /1130+(L2615+M2615+P2615+R2615)*12/1130+(N2615*30)/1130</f>
        <v>0.0106194690265487</v>
      </c>
    </row>
    <row r="2616" customFormat="false" ht="15" hidden="true" customHeight="true" outlineLevel="0" collapsed="false">
      <c r="B2616" s="233" t="n">
        <f aca="false">B2615+D2616-C2616</f>
        <v>8257.25</v>
      </c>
      <c r="D2616" s="146" t="n">
        <f aca="false">327.75*6+230+230</f>
        <v>2426.5</v>
      </c>
      <c r="E2616" s="147" t="n">
        <v>53002023</v>
      </c>
      <c r="F2616" s="147" t="n">
        <f aca="false">IFERROR(VLOOKUP(H2616,$AD$1:$AE$301,2,0),"")</f>
        <v>1002938</v>
      </c>
      <c r="G2616" s="147" t="str">
        <f aca="false">IFERROR(VLOOKUP(F2616,$AE$2:$AF$290,2, 0),"")</f>
        <v>تبوك</v>
      </c>
      <c r="H2616" s="212" t="s">
        <v>175</v>
      </c>
      <c r="I2616" s="246" t="n">
        <f aca="false">SUM(K2616:R2616)</f>
        <v>9</v>
      </c>
      <c r="J2616" s="182" t="n">
        <v>46090</v>
      </c>
      <c r="K2616" s="148" t="n">
        <v>7</v>
      </c>
      <c r="M2616" s="150" t="n">
        <v>2</v>
      </c>
      <c r="S2616" s="192" t="n">
        <f aca="false">(K2616+O2616+Q2616)*24 /1130+(L2616+M2616+P2616+R2616)*12/1130+(N2616*30)/1130</f>
        <v>0.169911504424779</v>
      </c>
    </row>
    <row r="2617" customFormat="false" ht="15" hidden="true" customHeight="true" outlineLevel="0" collapsed="false">
      <c r="B2617" s="233" t="n">
        <f aca="false">B2616+D2617-C2617</f>
        <v>11465.75</v>
      </c>
      <c r="D2617" s="146" t="n">
        <f aca="false">178.25*18</f>
        <v>3208.5</v>
      </c>
      <c r="E2617" s="147" t="n">
        <v>53002024</v>
      </c>
      <c r="F2617" s="147" t="n">
        <f aca="false">IFERROR(VLOOKUP(H2617,$AD$1:$AE$301,2,0),"")</f>
        <v>855</v>
      </c>
      <c r="G2617" s="147" t="str">
        <f aca="false">IFERROR(VLOOKUP(F2617,$AE$2:$AF$290,2, 0),"")</f>
        <v>تبوك</v>
      </c>
      <c r="H2617" s="212" t="s">
        <v>141</v>
      </c>
      <c r="I2617" s="246" t="n">
        <f aca="false">SUM(K2617:R2617)</f>
        <v>21</v>
      </c>
      <c r="J2617" s="182" t="n">
        <v>46091</v>
      </c>
      <c r="L2617" s="149" t="n">
        <v>21</v>
      </c>
      <c r="S2617" s="192" t="n">
        <f aca="false">(K2617+O2617+Q2617)*24 /1130+(L2617+M2617+P2617+R2617)*12/1130+(N2617*30)/1130</f>
        <v>0.223008849557522</v>
      </c>
    </row>
    <row r="2618" customFormat="false" ht="15" hidden="true" customHeight="true" outlineLevel="0" collapsed="false">
      <c r="B2618" s="233" t="n">
        <f aca="false">B2617+D2618-C2618</f>
        <v>165.75</v>
      </c>
      <c r="C2618" s="127" t="n">
        <v>11300</v>
      </c>
      <c r="F2618" s="147" t="str">
        <f aca="false">IFERROR(VLOOKUP(H2618,$AD$1:$AE$301,2,0),"")</f>
        <v/>
      </c>
      <c r="G2618" s="147" t="str">
        <f aca="false">IFERROR(VLOOKUP(F2618,$AE$2:$AF$290,2, 0),"")</f>
        <v/>
      </c>
      <c r="H2618" s="212" t="s">
        <v>393</v>
      </c>
      <c r="I2618" s="246" t="n">
        <f aca="false">SUM(K2618:R2618)</f>
        <v>0</v>
      </c>
      <c r="J2618" s="182" t="n">
        <v>46092</v>
      </c>
      <c r="S2618" s="192" t="n">
        <f aca="false">(K2618+O2618+Q2618)*24 /1130+(L2618+M2618+P2618+R2618)*12/1130+(N2618*30)/1130</f>
        <v>0</v>
      </c>
    </row>
    <row r="2619" customFormat="false" ht="15" hidden="true" customHeight="true" outlineLevel="0" collapsed="false">
      <c r="B2619" s="233" t="n">
        <f aca="false">B2618+D2619-C2619</f>
        <v>321</v>
      </c>
      <c r="D2619" s="146" t="n">
        <v>155.25</v>
      </c>
      <c r="E2619" s="147" t="n">
        <v>53002025</v>
      </c>
      <c r="F2619" s="147" t="n">
        <f aca="false">IFERROR(VLOOKUP(H2619,$AD$1:$AE$301,2,0),"")</f>
        <v>635</v>
      </c>
      <c r="G2619" s="147" t="str">
        <f aca="false">IFERROR(VLOOKUP(F2619,$AE$2:$AF$290,2, 0),"")</f>
        <v>تبوك</v>
      </c>
      <c r="H2619" s="212" t="s">
        <v>157</v>
      </c>
      <c r="I2619" s="246" t="n">
        <f aca="false">SUM(K2619:R2619)</f>
        <v>1</v>
      </c>
      <c r="J2619" s="182" t="n">
        <v>46092</v>
      </c>
      <c r="R2619" s="155" t="n">
        <v>1</v>
      </c>
      <c r="S2619" s="192" t="n">
        <f aca="false">(K2619+O2619+Q2619)*24 /1130+(L2619+M2619+P2619+R2619)*12/1130+(N2619*30)/1130</f>
        <v>0.0106194690265487</v>
      </c>
    </row>
    <row r="2620" customFormat="false" ht="15" hidden="true" customHeight="true" outlineLevel="0" collapsed="false">
      <c r="B2620" s="233" t="n">
        <f aca="false">B2619+D2620-C2620</f>
        <v>585.5</v>
      </c>
      <c r="D2620" s="146" t="n">
        <v>264.5</v>
      </c>
      <c r="E2620" s="147" t="n">
        <v>53002026</v>
      </c>
      <c r="F2620" s="147" t="n">
        <f aca="false">IFERROR(VLOOKUP(H2620,$AD$1:$AE$301,2,0),"")</f>
        <v>1002911</v>
      </c>
      <c r="G2620" s="147" t="str">
        <f aca="false">IFERROR(VLOOKUP(F2620,$AE$2:$AF$290,2, 0),"")</f>
        <v>تبوك</v>
      </c>
      <c r="H2620" s="212" t="s">
        <v>190</v>
      </c>
      <c r="I2620" s="246" t="n">
        <f aca="false">SUM(K2620:R2620)</f>
        <v>1</v>
      </c>
      <c r="J2620" s="182" t="n">
        <v>46092</v>
      </c>
      <c r="R2620" s="155" t="n">
        <v>1</v>
      </c>
      <c r="S2620" s="192" t="n">
        <f aca="false">(K2620+O2620+Q2620)*24 /1130+(L2620+M2620+P2620+R2620)*12/1130+(N2620*30)/1130</f>
        <v>0.0106194690265487</v>
      </c>
    </row>
    <row r="2621" customFormat="false" ht="15" hidden="true" customHeight="true" outlineLevel="0" collapsed="false">
      <c r="B2621" s="233" t="n">
        <f aca="false">B2620+D2621-C2621</f>
        <v>2552</v>
      </c>
      <c r="D2621" s="146" t="n">
        <f aca="false">327.75*6</f>
        <v>1966.5</v>
      </c>
      <c r="E2621" s="147" t="n">
        <v>53002027</v>
      </c>
      <c r="F2621" s="147" t="n">
        <f aca="false">IFERROR(VLOOKUP(H2621,$AD$1:$AE$301,2,0),"")</f>
        <v>1002898</v>
      </c>
      <c r="G2621" s="147" t="str">
        <f aca="false">IFERROR(VLOOKUP(F2621,$AE$2:$AF$290,2, 0),"")</f>
        <v>تبوك</v>
      </c>
      <c r="H2621" s="212" t="s">
        <v>195</v>
      </c>
      <c r="I2621" s="246" t="n">
        <f aca="false">SUM(K2621:R2621)</f>
        <v>7</v>
      </c>
      <c r="J2621" s="182" t="n">
        <v>46091</v>
      </c>
      <c r="K2621" s="148" t="n">
        <f aca="false">4+3</f>
        <v>7</v>
      </c>
      <c r="M2621" s="149"/>
      <c r="S2621" s="192" t="n">
        <f aca="false">(K2621+O2621+Q2621)*24 /1130+(L2621+M2621+P2621+R2621)*12/1130+(N2621*30)/1130</f>
        <v>0.148672566371681</v>
      </c>
    </row>
    <row r="2622" customFormat="false" ht="15" hidden="true" customHeight="true" outlineLevel="0" collapsed="false">
      <c r="B2622" s="233" t="n">
        <f aca="false">B2621+D2622-C2622</f>
        <v>1472.42</v>
      </c>
      <c r="C2622" s="127" t="n">
        <f aca="false">160+180+100+100+68+110.08+361.5</f>
        <v>1079.58</v>
      </c>
      <c r="E2622" s="147" t="s">
        <v>675</v>
      </c>
      <c r="F2622" s="147" t="str">
        <f aca="false">IFERROR(VLOOKUP(H2622,$AD$1:$AE$301,2,0),"")</f>
        <v/>
      </c>
      <c r="G2622" s="147" t="str">
        <f aca="false">IFERROR(VLOOKUP(F2622,$AE$2:$AF$290,2, 0),"")</f>
        <v/>
      </c>
      <c r="H2622" s="212" t="s">
        <v>393</v>
      </c>
      <c r="I2622" s="246" t="n">
        <f aca="false">SUM(K2622:R2622)</f>
        <v>0</v>
      </c>
      <c r="J2622" s="182" t="n">
        <v>46092</v>
      </c>
      <c r="S2622" s="192" t="n">
        <f aca="false">(K2622+O2622+Q2622)*24 /1130+(L2622+M2622+P2622+R2622)*12/1130+(N2622*30)/1130</f>
        <v>0</v>
      </c>
    </row>
    <row r="2623" customFormat="false" ht="15" hidden="true" customHeight="true" outlineLevel="0" collapsed="false">
      <c r="B2623" s="233" t="n">
        <f aca="false">B2622+D2623-C2623</f>
        <v>359.42</v>
      </c>
      <c r="C2623" s="127" t="n">
        <f aca="false">140+20+150+72+88+19+136+8+240+45+195</f>
        <v>1113</v>
      </c>
      <c r="E2623" s="147" t="s">
        <v>675</v>
      </c>
      <c r="F2623" s="147" t="str">
        <f aca="false">IFERROR(VLOOKUP(H2623,$AD$1:$AE$301,2,0),"")</f>
        <v/>
      </c>
      <c r="G2623" s="147" t="str">
        <f aca="false">IFERROR(VLOOKUP(F2623,$AE$2:$AF$290,2, 0),"")</f>
        <v/>
      </c>
      <c r="H2623" s="212" t="s">
        <v>393</v>
      </c>
      <c r="I2623" s="246" t="n">
        <f aca="false">SUM(K2623:R2623)</f>
        <v>0</v>
      </c>
      <c r="J2623" s="182" t="n">
        <v>46092</v>
      </c>
      <c r="S2623" s="192" t="n">
        <f aca="false">(K2623+O2623+Q2623)*24 /1130+(L2623+M2623+P2623+R2623)*12/1130+(N2623*30)/1130</f>
        <v>0</v>
      </c>
    </row>
    <row r="2624" customFormat="false" ht="15" hidden="true" customHeight="true" outlineLevel="0" collapsed="false">
      <c r="B2624" s="233" t="n">
        <f aca="false">B2623+D2624-C2624</f>
        <v>514.67</v>
      </c>
      <c r="D2624" s="146" t="n">
        <v>155.25</v>
      </c>
      <c r="E2624" s="147" t="n">
        <v>53002028</v>
      </c>
      <c r="F2624" s="147" t="n">
        <f aca="false">IFERROR(VLOOKUP(H2624,$AD$1:$AE$301,2,0),"")</f>
        <v>1002924</v>
      </c>
      <c r="G2624" s="147" t="str">
        <f aca="false">IFERROR(VLOOKUP(F2624,$AE$2:$AF$290,2, 0),"")</f>
        <v>تبوك</v>
      </c>
      <c r="H2624" s="212" t="s">
        <v>188</v>
      </c>
      <c r="I2624" s="246" t="n">
        <f aca="false">SUM(K2624:R2624)</f>
        <v>1</v>
      </c>
      <c r="J2624" s="182" t="n">
        <v>46093</v>
      </c>
      <c r="R2624" s="155" t="n">
        <v>1</v>
      </c>
      <c r="S2624" s="192" t="n">
        <f aca="false">(K2624+O2624+Q2624)*24 /1130+(L2624+M2624+P2624+R2624)*12/1130+(N2624*30)/1130</f>
        <v>0.0106194690265487</v>
      </c>
    </row>
    <row r="2625" customFormat="false" ht="15" hidden="true" customHeight="true" outlineLevel="0" collapsed="false">
      <c r="B2625" s="233" t="n">
        <f aca="false">B2624+D2625-C2625</f>
        <v>6517.67</v>
      </c>
      <c r="D2625" s="146" t="n">
        <f aca="false">12*327.75+345*2+4*293.25+51.75*4</f>
        <v>6003</v>
      </c>
      <c r="E2625" s="147" t="n">
        <v>53002029</v>
      </c>
      <c r="F2625" s="147" t="n">
        <f aca="false">IFERROR(VLOOKUP(H2625,$AD$1:$AE$301,2,0),"")</f>
        <v>1071</v>
      </c>
      <c r="G2625" s="147" t="str">
        <f aca="false">IFERROR(VLOOKUP(F2625,$AE$2:$AF$290,2, 0),"")</f>
        <v>تبوك</v>
      </c>
      <c r="H2625" s="212" t="s">
        <v>135</v>
      </c>
      <c r="I2625" s="246" t="n">
        <f aca="false">SUM(K2625:R2625)</f>
        <v>25</v>
      </c>
      <c r="J2625" s="182" t="n">
        <v>46093</v>
      </c>
      <c r="K2625" s="148" t="n">
        <f aca="false">6+8</f>
        <v>14</v>
      </c>
      <c r="M2625" s="150" t="n">
        <f aca="false">4+2+1</f>
        <v>7</v>
      </c>
      <c r="R2625" s="155" t="n">
        <v>4</v>
      </c>
      <c r="S2625" s="192" t="n">
        <f aca="false">(K2625+O2625+Q2625)*24 /1130+(L2625+M2625+P2625+R2625)*12/1130+(N2625*30)/1130</f>
        <v>0.414159292035398</v>
      </c>
    </row>
    <row r="2626" customFormat="false" ht="15" hidden="true" customHeight="true" outlineLevel="0" collapsed="false">
      <c r="B2626" s="233" t="n">
        <f aca="false">B2625+D2626-C2626</f>
        <v>8484.17</v>
      </c>
      <c r="D2626" s="146" t="n">
        <f aca="false">327.75*6</f>
        <v>1966.5</v>
      </c>
      <c r="E2626" s="147" t="n">
        <v>53002030</v>
      </c>
      <c r="F2626" s="147" t="n">
        <f aca="false">IFERROR(VLOOKUP(H2626,$AD$1:$AE$301,2,0),"")</f>
        <v>1008044</v>
      </c>
      <c r="G2626" s="147" t="str">
        <f aca="false">IFERROR(VLOOKUP(F2626,$AE$2:$AF$290,2, 0),"")</f>
        <v>الوجه</v>
      </c>
      <c r="H2626" s="212" t="s">
        <v>106</v>
      </c>
      <c r="I2626" s="246" t="n">
        <f aca="false">SUM(K2626:R2626)</f>
        <v>7</v>
      </c>
      <c r="J2626" s="182" t="n">
        <v>46095</v>
      </c>
      <c r="K2626" s="148" t="n">
        <v>7</v>
      </c>
      <c r="S2626" s="192" t="n">
        <f aca="false">(K2626+O2626+Q2626)*24 /1130+(L2626+M2626+P2626+R2626)*12/1130+(N2626*30)/1130</f>
        <v>0.148672566371681</v>
      </c>
    </row>
    <row r="2627" customFormat="false" ht="15" hidden="true" customHeight="true" outlineLevel="0" collapsed="false">
      <c r="B2627" s="233" t="n">
        <f aca="false">B2626+D2627-C2627</f>
        <v>8748.67</v>
      </c>
      <c r="D2627" s="146" t="n">
        <v>264.5</v>
      </c>
      <c r="E2627" s="147" t="n">
        <v>53002031</v>
      </c>
      <c r="F2627" s="147" t="n">
        <f aca="false">IFERROR(VLOOKUP(H2627,$AD$1:$AE$301,2,0),"")</f>
        <v>1008051</v>
      </c>
      <c r="G2627" s="147" t="str">
        <f aca="false">IFERROR(VLOOKUP(F2627,$AE$2:$AF$290,2, 0),"")</f>
        <v>الوجه</v>
      </c>
      <c r="H2627" s="212" t="s">
        <v>113</v>
      </c>
      <c r="I2627" s="246" t="n">
        <f aca="false">SUM(K2627:R2627)</f>
        <v>1</v>
      </c>
      <c r="J2627" s="182" t="n">
        <v>46095</v>
      </c>
      <c r="R2627" s="440" t="n">
        <v>1</v>
      </c>
      <c r="S2627" s="192" t="n">
        <f aca="false">(K2627+O2627+Q2627)*24 /1130+(L2627+M2627+P2627+R2627)*12/1130+(N2627*30)/1130</f>
        <v>0.0106194690265487</v>
      </c>
    </row>
    <row r="2628" customFormat="false" ht="15" hidden="true" customHeight="true" outlineLevel="0" collapsed="false">
      <c r="B2628" s="233" t="n">
        <f aca="false">B2627+D2628-C2628</f>
        <v>9047.67</v>
      </c>
      <c r="D2628" s="146" t="n">
        <v>299</v>
      </c>
      <c r="E2628" s="147" t="n">
        <v>53002032</v>
      </c>
      <c r="F2628" s="147" t="n">
        <f aca="false">IFERROR(VLOOKUP(H2628,$AD$1:$AE$301,2,0),"")</f>
        <v>1008054</v>
      </c>
      <c r="G2628" s="147" t="str">
        <f aca="false">IFERROR(VLOOKUP(F2628,$AE$2:$AF$290,2, 0),"")</f>
        <v>الوجه</v>
      </c>
      <c r="H2628" s="212" t="s">
        <v>112</v>
      </c>
      <c r="I2628" s="246" t="n">
        <f aca="false">SUM(K2628:R2628)</f>
        <v>1</v>
      </c>
      <c r="J2628" s="182" t="n">
        <v>46095</v>
      </c>
      <c r="R2628" s="155" t="n">
        <v>1</v>
      </c>
      <c r="S2628" s="192" t="n">
        <f aca="false">(K2628+O2628+Q2628)*24 /1130+(L2628+M2628+P2628+R2628)*12/1130+(N2628*30)/1130</f>
        <v>0.0106194690265487</v>
      </c>
    </row>
    <row r="2629" customFormat="false" ht="15" hidden="true" customHeight="true" outlineLevel="0" collapsed="false">
      <c r="B2629" s="233" t="n">
        <f aca="false">B2628+D2629-C2629</f>
        <v>10807.17</v>
      </c>
      <c r="D2629" s="146" t="n">
        <f aca="false">293.25*6</f>
        <v>1759.5</v>
      </c>
      <c r="E2629" s="147" t="n">
        <v>53002033</v>
      </c>
      <c r="F2629" s="147" t="n">
        <f aca="false">IFERROR(VLOOKUP(H2629,$AD$1:$AE$301,2,0),"")</f>
        <v>1002</v>
      </c>
      <c r="G2629" s="147" t="str">
        <f aca="false">IFERROR(VLOOKUP(F2629,$AE$2:$AF$290,2, 0),"")</f>
        <v>الوجه</v>
      </c>
      <c r="H2629" s="212" t="s">
        <v>116</v>
      </c>
      <c r="I2629" s="246" t="n">
        <f aca="false">SUM(K2629:R2629)</f>
        <v>7</v>
      </c>
      <c r="J2629" s="182" t="n">
        <v>46095</v>
      </c>
      <c r="M2629" s="150" t="n">
        <v>7</v>
      </c>
      <c r="S2629" s="192" t="n">
        <f aca="false">(K2629+O2629+Q2629)*24 /1130+(L2629+M2629+P2629+R2629)*12/1130+(N2629*30)/1130</f>
        <v>0.0743362831858407</v>
      </c>
    </row>
    <row r="2630" customFormat="false" ht="15" hidden="true" customHeight="true" outlineLevel="0" collapsed="false">
      <c r="B2630" s="233" t="n">
        <f aca="false">B2629+D2630-C2630</f>
        <v>13020.92</v>
      </c>
      <c r="D2630" s="146" t="n">
        <f aca="false">316.25*7</f>
        <v>2213.75</v>
      </c>
      <c r="E2630" s="147" t="n">
        <v>53002034</v>
      </c>
      <c r="F2630" s="147" t="n">
        <f aca="false">IFERROR(VLOOKUP(H2630,$AD$1:$AE$301,2,0),"")</f>
        <v>1033</v>
      </c>
      <c r="G2630" s="147" t="str">
        <f aca="false">IFERROR(VLOOKUP(F2630,$AE$2:$AF$290,2, 0),"")</f>
        <v>الوجه</v>
      </c>
      <c r="H2630" s="212" t="s">
        <v>117</v>
      </c>
      <c r="I2630" s="246" t="n">
        <f aca="false">SUM(K2630:R2630)</f>
        <v>8</v>
      </c>
      <c r="J2630" s="182" t="n">
        <v>46095</v>
      </c>
      <c r="N2630" s="151" t="n">
        <v>8</v>
      </c>
      <c r="S2630" s="192" t="n">
        <f aca="false">(K2630+O2630+Q2630)*24 /1130+(L2630+M2630+P2630+R2630)*12/1130+(N2630*30)/1130</f>
        <v>0.212389380530973</v>
      </c>
    </row>
    <row r="2631" customFormat="false" ht="15" hidden="true" customHeight="true" outlineLevel="0" collapsed="false">
      <c r="B2631" s="233" t="n">
        <f aca="false">B2630+D2631-C2631</f>
        <v>13250.92</v>
      </c>
      <c r="D2631" s="146" t="n">
        <v>230</v>
      </c>
      <c r="E2631" s="147" t="n">
        <v>53002035</v>
      </c>
      <c r="F2631" s="147" t="n">
        <f aca="false">IFERROR(VLOOKUP(H2631,$AD$1:$AE$301,2,0),"")</f>
        <v>656</v>
      </c>
      <c r="G2631" s="147" t="str">
        <f aca="false">IFERROR(VLOOKUP(F2631,$AE$2:$AF$290,2, 0),"")</f>
        <v>الوجه</v>
      </c>
      <c r="H2631" s="212" t="s">
        <v>115</v>
      </c>
      <c r="I2631" s="246" t="n">
        <f aca="false">SUM(K2631:R2631)</f>
        <v>1</v>
      </c>
      <c r="J2631" s="182" t="n">
        <v>46095</v>
      </c>
      <c r="M2631" s="150" t="n">
        <v>1</v>
      </c>
      <c r="S2631" s="192" t="n">
        <f aca="false">(K2631+O2631+Q2631)*24 /1130+(L2631+M2631+P2631+R2631)*12/1130+(N2631*30)/1130</f>
        <v>0.0106194690265487</v>
      </c>
    </row>
    <row r="2632" customFormat="false" ht="15" hidden="true" customHeight="true" outlineLevel="0" collapsed="false">
      <c r="B2632" s="233" t="n">
        <f aca="false">B2631+D2632-C2632</f>
        <v>13480.92</v>
      </c>
      <c r="D2632" s="146" t="n">
        <v>230</v>
      </c>
      <c r="E2632" s="147" t="n">
        <v>53002036</v>
      </c>
      <c r="F2632" s="147" t="n">
        <f aca="false">IFERROR(VLOOKUP(H2632,$AD$1:$AE$301,2,0),"")</f>
        <v>1008267</v>
      </c>
      <c r="G2632" s="147" t="str">
        <f aca="false">IFERROR(VLOOKUP(F2632,$AE$2:$AF$290,2, 0),"")</f>
        <v>الوجه</v>
      </c>
      <c r="H2632" s="212" t="s">
        <v>114</v>
      </c>
      <c r="I2632" s="246" t="n">
        <f aca="false">SUM(K2632:R2632)</f>
        <v>1</v>
      </c>
      <c r="J2632" s="182" t="n">
        <v>46095</v>
      </c>
      <c r="M2632" s="150" t="n">
        <v>1</v>
      </c>
      <c r="S2632" s="192" t="n">
        <f aca="false">(K2632+O2632+Q2632)*24 /1130+(L2632+M2632+P2632+R2632)*12/1130+(N2632*30)/1130</f>
        <v>0.0106194690265487</v>
      </c>
    </row>
    <row r="2633" customFormat="false" ht="15" hidden="true" customHeight="true" outlineLevel="0" collapsed="false">
      <c r="B2633" s="233" t="n">
        <f aca="false">B2632+D2633-C2633</f>
        <v>13722.42</v>
      </c>
      <c r="D2633" s="146" t="n">
        <v>241.5</v>
      </c>
      <c r="E2633" s="147" t="n">
        <v>53002037</v>
      </c>
      <c r="F2633" s="147" t="n">
        <f aca="false">IFERROR(VLOOKUP(H2633,$AD$1:$AE$301,2,0),"")</f>
        <v>1008049</v>
      </c>
      <c r="G2633" s="147" t="str">
        <f aca="false">IFERROR(VLOOKUP(F2633,$AE$2:$AF$290,2, 0),"")</f>
        <v>الوجه</v>
      </c>
      <c r="H2633" s="212" t="s">
        <v>111</v>
      </c>
      <c r="I2633" s="246" t="n">
        <f aca="false">SUM(K2633:R2633)</f>
        <v>1</v>
      </c>
      <c r="J2633" s="182" t="n">
        <v>46095</v>
      </c>
      <c r="O2633" s="152" t="n">
        <v>1</v>
      </c>
      <c r="S2633" s="192" t="n">
        <f aca="false">(K2633+O2633+Q2633)*24 /1130+(L2633+M2633+P2633+R2633)*12/1130+(N2633*30)/1130</f>
        <v>0.0212389380530973</v>
      </c>
    </row>
    <row r="2634" customFormat="false" ht="15" hidden="true" customHeight="true" outlineLevel="0" collapsed="false">
      <c r="B2634" s="233" t="n">
        <f aca="false">B2633+D2634-C2634</f>
        <v>13877.67</v>
      </c>
      <c r="D2634" s="146" t="n">
        <v>155.25</v>
      </c>
      <c r="E2634" s="147" t="n">
        <v>53002038</v>
      </c>
      <c r="F2634" s="147" t="n">
        <f aca="false">IFERROR(VLOOKUP(H2634,$AD$1:$AE$301,2,0),"")</f>
        <v>1008048</v>
      </c>
      <c r="G2634" s="147" t="str">
        <f aca="false">IFERROR(VLOOKUP(F2634,$AE$2:$AF$290,2, 0),"")</f>
        <v>الوجه</v>
      </c>
      <c r="H2634" s="212" t="s">
        <v>110</v>
      </c>
      <c r="I2634" s="246" t="n">
        <f aca="false">SUM(K2634:R2634)</f>
        <v>1</v>
      </c>
      <c r="J2634" s="182" t="n">
        <v>46095</v>
      </c>
      <c r="R2634" s="155" t="n">
        <v>1</v>
      </c>
      <c r="S2634" s="192" t="n">
        <f aca="false">(K2634+O2634+Q2634)*24 /1130+(L2634+M2634+P2634+R2634)*12/1130+(N2634*30)/1130</f>
        <v>0.0106194690265487</v>
      </c>
    </row>
    <row r="2635" customFormat="false" ht="15" hidden="true" customHeight="true" outlineLevel="0" collapsed="false">
      <c r="B2635" s="233" t="n">
        <f aca="false">B2634+D2635-C2635</f>
        <v>21599.92</v>
      </c>
      <c r="D2635" s="146" t="n">
        <f aca="false">13*293.25+5*345+3*230+5*299</f>
        <v>7722.25</v>
      </c>
      <c r="E2635" s="147" t="n">
        <v>53002039</v>
      </c>
      <c r="F2635" s="147" t="n">
        <f aca="false">IFERROR(VLOOKUP(H2635,$AD$1:$AE$301,2,0),"")</f>
        <v>1063</v>
      </c>
      <c r="G2635" s="147" t="str">
        <f aca="false">IFERROR(VLOOKUP(F2635,$AE$2:$AF$290,2, 0),"")</f>
        <v>تبوك</v>
      </c>
      <c r="H2635" s="212" t="s">
        <v>158</v>
      </c>
      <c r="I2635" s="246" t="n">
        <f aca="false">SUM(K2635:R2635)</f>
        <v>29</v>
      </c>
      <c r="J2635" s="182" t="n">
        <v>46096</v>
      </c>
      <c r="M2635" s="150" t="n">
        <f aca="false">13+5+3+3</f>
        <v>24</v>
      </c>
      <c r="R2635" s="155" t="n">
        <v>5</v>
      </c>
      <c r="S2635" s="192" t="n">
        <f aca="false">(K2635+O2635+Q2635)*24 /1130+(L2635+M2635+P2635+R2635)*12/1130+(N2635*30)/1130</f>
        <v>0.307964601769912</v>
      </c>
    </row>
    <row r="2636" customFormat="false" ht="15" hidden="true" customHeight="true" outlineLevel="0" collapsed="false">
      <c r="B2636" s="233" t="n">
        <f aca="false">B2635+D2636-C2636</f>
        <v>18949.67</v>
      </c>
      <c r="C2636" s="441" t="n">
        <f aca="false">10+100+5+470+155+58+90+155.25+420+2+1185</f>
        <v>2650.25</v>
      </c>
      <c r="E2636" s="147" t="s">
        <v>675</v>
      </c>
      <c r="F2636" s="147" t="str">
        <f aca="false">IFERROR(VLOOKUP(H2636,$AD$1:$AE$301,2,0),"")</f>
        <v/>
      </c>
      <c r="G2636" s="147" t="str">
        <f aca="false">IFERROR(VLOOKUP(F2636,$AE$2:$AF$290,2, 0),"")</f>
        <v/>
      </c>
      <c r="H2636" s="212" t="s">
        <v>393</v>
      </c>
      <c r="I2636" s="246" t="n">
        <f aca="false">SUM(K2636:R2636)</f>
        <v>0</v>
      </c>
      <c r="J2636" s="182" t="n">
        <v>46096</v>
      </c>
      <c r="S2636" s="192" t="n">
        <f aca="false">(K2636+O2636+Q2636)*24 /1130+(L2636+M2636+P2636+R2636)*12/1130+(N2636*30)/1130</f>
        <v>0</v>
      </c>
    </row>
    <row r="2637" customFormat="false" ht="15" hidden="true" customHeight="true" outlineLevel="0" collapsed="false">
      <c r="B2637" s="233" t="n">
        <f aca="false">B2636+D2637-C2637</f>
        <v>17937.67</v>
      </c>
      <c r="C2637" s="442" t="n">
        <f aca="false">40+195+80+95+230+76+80+126+18+72</f>
        <v>1012</v>
      </c>
      <c r="E2637" s="147" t="s">
        <v>675</v>
      </c>
      <c r="F2637" s="147" t="str">
        <f aca="false">IFERROR(VLOOKUP(H2637,$AD$1:$AE$301,2,0),"")</f>
        <v/>
      </c>
      <c r="G2637" s="147" t="str">
        <f aca="false">IFERROR(VLOOKUP(F2637,$AE$2:$AF$290,2, 0),"")</f>
        <v/>
      </c>
      <c r="H2637" s="212" t="s">
        <v>393</v>
      </c>
      <c r="I2637" s="246" t="n">
        <f aca="false">SUM(K2637:R2637)</f>
        <v>0</v>
      </c>
      <c r="J2637" s="182" t="n">
        <v>46096</v>
      </c>
      <c r="S2637" s="192" t="n">
        <f aca="false">(K2637+O2637+Q2637)*24 /1130+(L2637+M2637+P2637+R2637)*12/1130+(N2637*30)/1130</f>
        <v>0</v>
      </c>
    </row>
    <row r="2638" customFormat="false" ht="15" hidden="true" customHeight="true" outlineLevel="0" collapsed="false">
      <c r="B2638" s="233" t="n">
        <f aca="false">B2637+D2638-C2638</f>
        <v>9482.67</v>
      </c>
      <c r="C2638" s="442" t="n">
        <f aca="false">776+538+100+2375+231+183+4252</f>
        <v>8455</v>
      </c>
      <c r="E2638" s="147" t="s">
        <v>675</v>
      </c>
      <c r="F2638" s="147" t="str">
        <f aca="false">IFERROR(VLOOKUP(H2638,$AD$1:$AE$301,2,0),"")</f>
        <v/>
      </c>
      <c r="G2638" s="147" t="str">
        <f aca="false">IFERROR(VLOOKUP(F2638,$AE$2:$AF$290,2, 0),"")</f>
        <v/>
      </c>
      <c r="H2638" s="212" t="s">
        <v>393</v>
      </c>
      <c r="I2638" s="246" t="n">
        <f aca="false">SUM(K2638:R2638)</f>
        <v>0</v>
      </c>
      <c r="J2638" s="182" t="n">
        <v>46096</v>
      </c>
      <c r="S2638" s="192" t="n">
        <f aca="false">(K2638+O2638+Q2638)*24 /1130+(L2638+M2638+P2638+R2638)*12/1130+(N2638*30)/1130</f>
        <v>0</v>
      </c>
    </row>
    <row r="2639" customFormat="false" ht="15" hidden="true" customHeight="true" outlineLevel="0" collapsed="false">
      <c r="B2639" s="233" t="n">
        <f aca="false">B2638+D2639-C2639</f>
        <v>5426.67</v>
      </c>
      <c r="C2639" s="443" t="n">
        <f aca="false">3803+253</f>
        <v>4056</v>
      </c>
      <c r="E2639" s="147" t="s">
        <v>677</v>
      </c>
      <c r="H2639" s="212" t="s">
        <v>393</v>
      </c>
      <c r="I2639" s="246" t="n">
        <f aca="false">SUM(K2639:R2639)</f>
        <v>0</v>
      </c>
      <c r="J2639" s="182" t="n">
        <v>46096</v>
      </c>
      <c r="S2639" s="192" t="n">
        <f aca="false">(K2639+O2639+Q2639)*24 /1130+(L2639+M2639+P2639+R2639)*12/1130+(N2639*30)/1130</f>
        <v>0</v>
      </c>
    </row>
    <row r="2640" customFormat="false" ht="15" hidden="true" customHeight="true" outlineLevel="0" collapsed="false">
      <c r="B2640" s="233" t="n">
        <f aca="false">B2639+D2640-C2640</f>
        <v>7393.17</v>
      </c>
      <c r="D2640" s="146" t="n">
        <f aca="false">327.75*6</f>
        <v>1966.5</v>
      </c>
      <c r="E2640" s="147" t="n">
        <v>53002040</v>
      </c>
      <c r="F2640" s="147" t="n">
        <f aca="false">IFERROR(VLOOKUP(H2640,$AD$1:$AE$301,2,0),"")</f>
        <v>1002930</v>
      </c>
      <c r="G2640" s="147" t="str">
        <f aca="false">IFERROR(VLOOKUP(F2640,$AE$2:$AF$290,2, 0),"")</f>
        <v>تبوك</v>
      </c>
      <c r="H2640" s="212" t="s">
        <v>171</v>
      </c>
      <c r="I2640" s="246" t="n">
        <f aca="false">SUM(K2640:R2640)</f>
        <v>7</v>
      </c>
      <c r="J2640" s="182" t="n">
        <v>46097</v>
      </c>
      <c r="K2640" s="148" t="n">
        <v>7</v>
      </c>
      <c r="S2640" s="192" t="n">
        <f aca="false">(K2640+O2640+Q2640)*24 /1130+(L2640+M2640+P2640+R2640)*12/1130+(N2640*30)/1130</f>
        <v>0.148672566371681</v>
      </c>
    </row>
    <row r="2641" customFormat="false" ht="15" hidden="true" customHeight="true" outlineLevel="0" collapsed="false">
      <c r="B2641" s="233" t="n">
        <f aca="false">B2640+D2641-C2641</f>
        <v>7623.17</v>
      </c>
      <c r="D2641" s="146" t="n">
        <v>230</v>
      </c>
      <c r="E2641" s="147" t="n">
        <v>53002041</v>
      </c>
      <c r="F2641" s="147" t="n">
        <f aca="false">IFERROR(VLOOKUP(H2641,$AD$1:$AE$301,2,0),"")</f>
        <v>1002949</v>
      </c>
      <c r="G2641" s="147" t="str">
        <f aca="false">IFERROR(VLOOKUP(F2641,$AE$2:$AF$290,2, 0),"")</f>
        <v>تبوك</v>
      </c>
      <c r="H2641" s="212" t="s">
        <v>169</v>
      </c>
      <c r="I2641" s="246" t="n">
        <f aca="false">SUM(K2641:R2641)</f>
        <v>1</v>
      </c>
      <c r="J2641" s="182" t="n">
        <v>46098</v>
      </c>
      <c r="M2641" s="150" t="n">
        <v>1</v>
      </c>
      <c r="S2641" s="192" t="n">
        <f aca="false">(K2641+O2641+Q2641)*24 /1130+(L2641+M2641+P2641+R2641)*12/1130+(N2641*30)/1130</f>
        <v>0.0106194690265487</v>
      </c>
    </row>
    <row r="2642" customFormat="false" ht="15" hidden="true" customHeight="true" outlineLevel="0" collapsed="false">
      <c r="B2642" s="233" t="n">
        <f aca="false">B2641+D2642-C2642</f>
        <v>13315.67</v>
      </c>
      <c r="D2642" s="146" t="n">
        <f aca="false">327.75*12+293.25*6</f>
        <v>5692.5</v>
      </c>
      <c r="E2642" s="147" t="n">
        <v>53002042</v>
      </c>
      <c r="F2642" s="147" t="n">
        <f aca="false">IFERROR(VLOOKUP(H2642,$AD$1:$AE$301,2,0),"")</f>
        <v>1002907</v>
      </c>
      <c r="G2642" s="147" t="str">
        <f aca="false">IFERROR(VLOOKUP(F2642,$AE$2:$AF$290,2, 0),"")</f>
        <v>تبوك</v>
      </c>
      <c r="H2642" s="212" t="s">
        <v>189</v>
      </c>
      <c r="I2642" s="246" t="n">
        <f aca="false">SUM(K2642:R2642)</f>
        <v>21</v>
      </c>
      <c r="J2642" s="182" t="n">
        <v>46098</v>
      </c>
      <c r="K2642" s="148" t="n">
        <v>14</v>
      </c>
      <c r="M2642" s="150" t="n">
        <f aca="false">6+1</f>
        <v>7</v>
      </c>
      <c r="S2642" s="192" t="n">
        <f aca="false">(K2642+O2642+Q2642)*24 /1130+(L2642+M2642+P2642+R2642)*12/1130+(N2642*30)/1130</f>
        <v>0.371681415929204</v>
      </c>
    </row>
    <row r="2643" customFormat="false" ht="15" hidden="true" customHeight="true" outlineLevel="0" collapsed="false">
      <c r="B2643" s="233" t="n">
        <f aca="false">B2642+D2643-C2643</f>
        <v>13545.67</v>
      </c>
      <c r="D2643" s="146" t="n">
        <v>230</v>
      </c>
      <c r="E2643" s="147" t="n">
        <v>53002043</v>
      </c>
      <c r="F2643" s="147" t="n">
        <f aca="false">IFERROR(VLOOKUP(H2643,$AD$1:$AE$301,2,0),"")</f>
        <v>1002896</v>
      </c>
      <c r="G2643" s="147" t="str">
        <f aca="false">IFERROR(VLOOKUP(F2643,$AE$2:$AF$290,2, 0),"")</f>
        <v>تبوك</v>
      </c>
      <c r="H2643" s="212" t="s">
        <v>523</v>
      </c>
      <c r="I2643" s="246" t="n">
        <f aca="false">SUM(K2643:R2643)</f>
        <v>1</v>
      </c>
      <c r="J2643" s="182" t="n">
        <v>46098</v>
      </c>
      <c r="M2643" s="150" t="n">
        <v>1</v>
      </c>
      <c r="S2643" s="192" t="n">
        <f aca="false">(K2643+O2643+Q2643)*24 /1130+(L2643+M2643+P2643+R2643)*12/1130+(N2643*30)/1130</f>
        <v>0.0106194690265487</v>
      </c>
    </row>
    <row r="2644" customFormat="false" ht="15" hidden="true" customHeight="true" outlineLevel="0" collapsed="false">
      <c r="B2644" s="233" t="n">
        <f aca="false">B2643+D2644-C2644</f>
        <v>15512.17</v>
      </c>
      <c r="D2644" s="146" t="n">
        <f aca="false">327.75*6</f>
        <v>1966.5</v>
      </c>
      <c r="E2644" s="147" t="n">
        <v>53002044</v>
      </c>
      <c r="F2644" s="147" t="n">
        <f aca="false">IFERROR(VLOOKUP(H2644,$AD$1:$AE$301,2,0),"")</f>
        <v>1002897</v>
      </c>
      <c r="G2644" s="147" t="str">
        <f aca="false">IFERROR(VLOOKUP(F2644,$AE$2:$AF$290,2, 0),"")</f>
        <v>تبوك</v>
      </c>
      <c r="H2644" s="212" t="s">
        <v>172</v>
      </c>
      <c r="I2644" s="246" t="n">
        <f aca="false">SUM(K2644:R2644)</f>
        <v>7</v>
      </c>
      <c r="J2644" s="182" t="n">
        <v>46098</v>
      </c>
      <c r="K2644" s="148" t="n">
        <v>7</v>
      </c>
      <c r="S2644" s="192" t="n">
        <f aca="false">(K2644+O2644+Q2644)*24 /1130+(L2644+M2644+P2644+R2644)*12/1130+(N2644*30)/1130</f>
        <v>0.148672566371681</v>
      </c>
    </row>
    <row r="2645" customFormat="false" ht="15" hidden="true" customHeight="true" outlineLevel="0" collapsed="false">
      <c r="B2645" s="233" t="n">
        <f aca="false">B2644+D2645-C2645</f>
        <v>15811.17</v>
      </c>
      <c r="D2645" s="146" t="n">
        <v>299</v>
      </c>
      <c r="E2645" s="147" t="n">
        <v>53002045</v>
      </c>
      <c r="F2645" s="147" t="n">
        <f aca="false">IFERROR(VLOOKUP(H2645,$AD$1:$AE$301,2,0),"")</f>
        <v>1008272</v>
      </c>
      <c r="G2645" s="147" t="str">
        <f aca="false">IFERROR(VLOOKUP(F2645,$AE$2:$AF$290,2, 0),"")</f>
        <v>تبوك</v>
      </c>
      <c r="H2645" s="212" t="s">
        <v>143</v>
      </c>
      <c r="I2645" s="246" t="n">
        <f aca="false">SUM(K2645:R2645)</f>
        <v>1</v>
      </c>
      <c r="J2645" s="182" t="n">
        <v>46098</v>
      </c>
      <c r="R2645" s="440" t="n">
        <v>1</v>
      </c>
      <c r="S2645" s="192" t="n">
        <f aca="false">(K2645+O2645+Q2645)*24 /1130+(L2645+M2645+P2645+R2645)*12/1130+(N2645*30)/1130</f>
        <v>0.0106194690265487</v>
      </c>
    </row>
    <row r="2646" customFormat="false" ht="15" hidden="true" customHeight="true" outlineLevel="0" collapsed="false">
      <c r="B2646" s="233" t="n">
        <f aca="false">B2645+D2646-C2646</f>
        <v>16041.17</v>
      </c>
      <c r="D2646" s="146" t="n">
        <v>230</v>
      </c>
      <c r="E2646" s="147" t="n">
        <v>53002046</v>
      </c>
      <c r="F2646" s="147" t="n">
        <f aca="false">IFERROR(VLOOKUP(H2646,$AD$1:$AE$301,2,0),"")</f>
        <v>540</v>
      </c>
      <c r="G2646" s="147" t="str">
        <f aca="false">IFERROR(VLOOKUP(F2646,$AE$2:$AF$290,2, 0),"")</f>
        <v>تبوك</v>
      </c>
      <c r="H2646" s="212" t="s">
        <v>222</v>
      </c>
      <c r="I2646" s="246" t="n">
        <f aca="false">SUM(K2646:R2646)</f>
        <v>1</v>
      </c>
      <c r="J2646" s="182" t="n">
        <v>46098</v>
      </c>
      <c r="M2646" s="150" t="n">
        <v>1</v>
      </c>
      <c r="S2646" s="192" t="n">
        <f aca="false">(K2646+O2646+Q2646)*24 /1130+(L2646+M2646+P2646+R2646)*12/1130+(N2646*30)/1130</f>
        <v>0.0106194690265487</v>
      </c>
    </row>
    <row r="2647" customFormat="false" ht="15" hidden="true" customHeight="true" outlineLevel="0" collapsed="false">
      <c r="B2647" s="233" t="n">
        <f aca="false">B2646+D2647-C2647</f>
        <v>16271.17</v>
      </c>
      <c r="D2647" s="146" t="n">
        <v>230</v>
      </c>
      <c r="E2647" s="147" t="n">
        <v>53002047</v>
      </c>
      <c r="F2647" s="147" t="n">
        <f aca="false">IFERROR(VLOOKUP(H2647,$AD$1:$AE$301,2,0),"")</f>
        <v>1007971</v>
      </c>
      <c r="G2647" s="147" t="str">
        <f aca="false">IFERROR(VLOOKUP(F2647,$AE$2:$AF$290,2, 0),"")</f>
        <v>تبوك</v>
      </c>
      <c r="H2647" s="212" t="s">
        <v>126</v>
      </c>
      <c r="I2647" s="246" t="n">
        <f aca="false">SUM(K2647:R2647)</f>
        <v>1</v>
      </c>
      <c r="J2647" s="182" t="n">
        <v>46098</v>
      </c>
      <c r="M2647" s="150" t="n">
        <v>1</v>
      </c>
      <c r="S2647" s="192" t="n">
        <f aca="false">(K2647+O2647+Q2647)*24 /1130+(L2647+M2647+P2647+R2647)*12/1130+(N2647*30)/1130</f>
        <v>0.0106194690265487</v>
      </c>
    </row>
    <row r="2648" customFormat="false" ht="15" hidden="true" customHeight="true" outlineLevel="0" collapsed="false">
      <c r="B2648" s="233" t="n">
        <f aca="false">B2647+D2648-C2648</f>
        <v>16570.17</v>
      </c>
      <c r="D2648" s="146" t="n">
        <v>299</v>
      </c>
      <c r="E2648" s="147" t="n">
        <v>53002048</v>
      </c>
      <c r="F2648" s="147" t="n">
        <f aca="false">IFERROR(VLOOKUP(H2648,$AD$1:$AE$301,2,0),"")</f>
        <v>1007972</v>
      </c>
      <c r="G2648" s="147" t="str">
        <f aca="false">IFERROR(VLOOKUP(F2648,$AE$2:$AF$290,2, 0),"")</f>
        <v>تبوك</v>
      </c>
      <c r="H2648" s="212" t="s">
        <v>128</v>
      </c>
      <c r="I2648" s="246" t="n">
        <f aca="false">SUM(K2648:R2648)</f>
        <v>1</v>
      </c>
      <c r="J2648" s="182" t="n">
        <v>46098</v>
      </c>
      <c r="R2648" s="440" t="n">
        <v>1</v>
      </c>
      <c r="S2648" s="192" t="n">
        <f aca="false">(K2648+O2648+Q2648)*24 /1130+(L2648+M2648+P2648+R2648)*12/1130+(N2648*30)/1130</f>
        <v>0.0106194690265487</v>
      </c>
    </row>
    <row r="2649" customFormat="false" ht="15" hidden="true" customHeight="true" outlineLevel="0" collapsed="false">
      <c r="B2649" s="233" t="n">
        <f aca="false">B2648+D2649-C2649</f>
        <v>18783.92</v>
      </c>
      <c r="D2649" s="146" t="n">
        <f aca="false">316.25*7</f>
        <v>2213.75</v>
      </c>
      <c r="E2649" s="147" t="n">
        <v>53002049</v>
      </c>
      <c r="F2649" s="147" t="n">
        <f aca="false">IFERROR(VLOOKUP(H2649,$AD$1:$AE$301,2,0),"")</f>
        <v>1033</v>
      </c>
      <c r="G2649" s="147" t="str">
        <f aca="false">IFERROR(VLOOKUP(F2649,$AE$2:$AF$290,2, 0),"")</f>
        <v>الوجه</v>
      </c>
      <c r="H2649" s="212" t="s">
        <v>117</v>
      </c>
      <c r="I2649" s="246" t="n">
        <f aca="false">SUM(K2649:R2649)</f>
        <v>8</v>
      </c>
      <c r="J2649" s="182" t="n">
        <v>46098</v>
      </c>
      <c r="N2649" s="151" t="n">
        <v>8</v>
      </c>
      <c r="S2649" s="192" t="n">
        <f aca="false">(K2649+O2649+Q2649)*24 /1130+(L2649+M2649+P2649+R2649)*12/1130+(N2649*30)/1130</f>
        <v>0.212389380530973</v>
      </c>
    </row>
    <row r="2650" customFormat="false" ht="15" hidden="true" customHeight="true" outlineLevel="0" collapsed="false">
      <c r="B2650" s="233" t="n">
        <f aca="false">B2649+D2650-C2650</f>
        <v>26649.92</v>
      </c>
      <c r="D2650" s="146" t="n">
        <f aca="false">327.75*24</f>
        <v>7866</v>
      </c>
      <c r="E2650" s="147" t="n">
        <v>53002050</v>
      </c>
      <c r="F2650" s="147" t="n">
        <f aca="false">IFERROR(VLOOKUP(H2650,$AD$1:$AE$301,2,0),"")</f>
        <v>1008048</v>
      </c>
      <c r="G2650" s="147" t="str">
        <f aca="false">IFERROR(VLOOKUP(F2650,$AE$2:$AF$290,2, 0),"")</f>
        <v>الوجه</v>
      </c>
      <c r="H2650" s="212" t="s">
        <v>110</v>
      </c>
      <c r="I2650" s="246" t="n">
        <f aca="false">SUM(K2650:R2650)</f>
        <v>28</v>
      </c>
      <c r="J2650" s="182" t="n">
        <v>46098</v>
      </c>
      <c r="K2650" s="148" t="n">
        <v>28</v>
      </c>
      <c r="S2650" s="192" t="n">
        <f aca="false">(K2650+O2650+Q2650)*24 /1130+(L2650+M2650+P2650+R2650)*12/1130+(N2650*30)/1130</f>
        <v>0.594690265486726</v>
      </c>
    </row>
    <row r="2651" customFormat="false" ht="15" hidden="true" customHeight="true" outlineLevel="0" collapsed="false">
      <c r="B2651" s="233" t="n">
        <f aca="false">B2650+D2651-C2651</f>
        <v>28409.42</v>
      </c>
      <c r="D2651" s="146" t="n">
        <f aca="false">293.25*6</f>
        <v>1759.5</v>
      </c>
      <c r="E2651" s="147" t="n">
        <v>53002051</v>
      </c>
      <c r="F2651" s="147" t="n">
        <f aca="false">IFERROR(VLOOKUP(H2651,$AD$1:$AE$301,2,0),"")</f>
        <v>1008047</v>
      </c>
      <c r="G2651" s="147" t="str">
        <f aca="false">IFERROR(VLOOKUP(F2651,$AE$2:$AF$290,2, 0),"")</f>
        <v>الوجه</v>
      </c>
      <c r="H2651" s="212" t="s">
        <v>422</v>
      </c>
      <c r="I2651" s="246" t="n">
        <f aca="false">SUM(K2651:R2651)</f>
        <v>7</v>
      </c>
      <c r="J2651" s="182" t="n">
        <v>46098</v>
      </c>
      <c r="M2651" s="150" t="n">
        <v>7</v>
      </c>
      <c r="S2651" s="192" t="n">
        <f aca="false">(K2651+O2651+Q2651)*24 /1130+(L2651+M2651+P2651+R2651)*12/1130+(N2651*30)/1130</f>
        <v>0.0743362831858407</v>
      </c>
    </row>
    <row r="2652" customFormat="false" ht="15" hidden="true" customHeight="true" outlineLevel="0" collapsed="false">
      <c r="B2652" s="233" t="n">
        <f aca="false">B2651+D2652-C2652</f>
        <v>30375.92</v>
      </c>
      <c r="D2652" s="146" t="n">
        <f aca="false">327.75*6</f>
        <v>1966.5</v>
      </c>
      <c r="E2652" s="147" t="n">
        <v>53002052</v>
      </c>
      <c r="F2652" s="147" t="n">
        <f aca="false">IFERROR(VLOOKUP(H2652,$AD$1:$AE$301,2,0),"")</f>
        <v>1008046</v>
      </c>
      <c r="G2652" s="147" t="str">
        <f aca="false">IFERROR(VLOOKUP(F2652,$AE$2:$AF$290,2, 0),"")</f>
        <v>الوجه</v>
      </c>
      <c r="H2652" s="212" t="s">
        <v>108</v>
      </c>
      <c r="I2652" s="246" t="n">
        <f aca="false">SUM(K2652:R2652)</f>
        <v>7</v>
      </c>
      <c r="J2652" s="182" t="n">
        <v>46098</v>
      </c>
      <c r="K2652" s="148" t="n">
        <v>7</v>
      </c>
      <c r="S2652" s="192" t="n">
        <f aca="false">(K2652+O2652+Q2652)*24 /1130+(L2652+M2652+P2652+R2652)*12/1130+(N2652*30)/1130</f>
        <v>0.148672566371681</v>
      </c>
    </row>
    <row r="2653" customFormat="false" ht="15" hidden="true" customHeight="true" outlineLevel="0" collapsed="false">
      <c r="B2653" s="233" t="n">
        <f aca="false">B2652+D2653-C2653</f>
        <v>30686.42</v>
      </c>
      <c r="D2653" s="146" t="n">
        <v>310.5</v>
      </c>
      <c r="E2653" s="147" t="n">
        <v>53002053</v>
      </c>
      <c r="F2653" s="147" t="n">
        <f aca="false">IFERROR(VLOOKUP(H2653,$AD$1:$AE$301,2,0),"")</f>
        <v>1008045</v>
      </c>
      <c r="G2653" s="147" t="str">
        <f aca="false">IFERROR(VLOOKUP(F2653,$AE$2:$AF$290,2, 0),"")</f>
        <v>الوجه</v>
      </c>
      <c r="H2653" s="212" t="s">
        <v>107</v>
      </c>
      <c r="I2653" s="246" t="n">
        <f aca="false">SUM(K2653:R2653)</f>
        <v>2</v>
      </c>
      <c r="J2653" s="182" t="n">
        <v>46098</v>
      </c>
      <c r="R2653" s="155" t="n">
        <v>2</v>
      </c>
      <c r="S2653" s="192" t="n">
        <f aca="false">(K2653+O2653+Q2653)*24 /1130+(L2653+M2653+P2653+R2653)*12/1130+(N2653*30)/1130</f>
        <v>0.0212389380530973</v>
      </c>
    </row>
    <row r="2654" customFormat="false" ht="15" hidden="true" customHeight="true" outlineLevel="0" collapsed="false">
      <c r="B2654" s="233" t="n">
        <f aca="false">B2653+D2654-C2654</f>
        <v>30841.67</v>
      </c>
      <c r="D2654" s="146" t="n">
        <v>155.25</v>
      </c>
      <c r="E2654" s="147" t="n">
        <v>53002054</v>
      </c>
      <c r="F2654" s="147" t="n">
        <f aca="false">IFERROR(VLOOKUP(H2654,$AD$1:$AE$301,2,0),"")</f>
        <v>1002947</v>
      </c>
      <c r="G2654" s="147" t="str">
        <f aca="false">IFERROR(VLOOKUP(F2654,$AE$2:$AF$290,2, 0),"")</f>
        <v>تبوك</v>
      </c>
      <c r="H2654" s="212" t="s">
        <v>174</v>
      </c>
      <c r="I2654" s="246" t="n">
        <f aca="false">SUM(K2654:R2654)</f>
        <v>1</v>
      </c>
      <c r="J2654" s="182" t="n">
        <v>46099</v>
      </c>
      <c r="R2654" s="155" t="n">
        <v>1</v>
      </c>
      <c r="S2654" s="192" t="n">
        <f aca="false">(K2654+O2654+Q2654)*24 /1130+(L2654+M2654+P2654+R2654)*12/1130+(N2654*30)/1130</f>
        <v>0.0106194690265487</v>
      </c>
    </row>
    <row r="2655" customFormat="false" ht="15" hidden="true" customHeight="true" outlineLevel="0" collapsed="false">
      <c r="B2655" s="233" t="n">
        <f aca="false">B2654+D2655-C2655</f>
        <v>30996.92</v>
      </c>
      <c r="D2655" s="146" t="n">
        <v>155.25</v>
      </c>
      <c r="E2655" s="147" t="n">
        <v>53002055</v>
      </c>
      <c r="F2655" s="147" t="n">
        <f aca="false">IFERROR(VLOOKUP(H2655,$AD$1:$AE$301,2,0),"")</f>
        <v>553</v>
      </c>
      <c r="G2655" s="147" t="str">
        <f aca="false">IFERROR(VLOOKUP(F2655,$AE$2:$AF$290,2, 0),"")</f>
        <v>تبوك</v>
      </c>
      <c r="H2655" s="212" t="s">
        <v>150</v>
      </c>
      <c r="I2655" s="246" t="n">
        <f aca="false">SUM(K2655:R2655)</f>
        <v>1</v>
      </c>
      <c r="J2655" s="182" t="n">
        <v>46099</v>
      </c>
      <c r="R2655" s="155" t="n">
        <v>1</v>
      </c>
      <c r="S2655" s="192" t="n">
        <f aca="false">(K2655+O2655+Q2655)*24 /1130+(L2655+M2655+P2655+R2655)*12/1130+(N2655*30)/1130</f>
        <v>0.0106194690265487</v>
      </c>
    </row>
    <row r="2656" customFormat="false" ht="15" hidden="true" customHeight="true" outlineLevel="0" collapsed="false">
      <c r="B2656" s="233" t="n">
        <f aca="false">B2655+D2656-C2656</f>
        <v>31261.42</v>
      </c>
      <c r="D2656" s="146" t="n">
        <v>264.5</v>
      </c>
      <c r="E2656" s="147" t="n">
        <v>53002056</v>
      </c>
      <c r="F2656" s="147" t="n">
        <f aca="false">IFERROR(VLOOKUP(H2656,$AD$1:$AE$301,2,0),"")</f>
        <v>755</v>
      </c>
      <c r="G2656" s="147" t="str">
        <f aca="false">IFERROR(VLOOKUP(F2656,$AE$2:$AF$290,2, 0),"")</f>
        <v>تبوك</v>
      </c>
      <c r="H2656" s="212" t="s">
        <v>180</v>
      </c>
      <c r="I2656" s="246" t="n">
        <f aca="false">SUM(K2656:R2656)</f>
        <v>1</v>
      </c>
      <c r="J2656" s="182" t="n">
        <v>46099</v>
      </c>
      <c r="R2656" s="155" t="n">
        <v>1</v>
      </c>
      <c r="S2656" s="192" t="n">
        <f aca="false">(K2656+O2656+Q2656)*24 /1130+(L2656+M2656+P2656+R2656)*12/1130+(N2656*30)/1130</f>
        <v>0.0106194690265487</v>
      </c>
    </row>
    <row r="2657" customFormat="false" ht="15" hidden="true" customHeight="true" outlineLevel="0" collapsed="false">
      <c r="B2657" s="233" t="n">
        <f aca="false">B2656+D2657-C2657</f>
        <v>32330.92</v>
      </c>
      <c r="D2657" s="146" t="n">
        <f aca="false">356.5*3</f>
        <v>1069.5</v>
      </c>
      <c r="E2657" s="147" t="n">
        <v>53002057</v>
      </c>
      <c r="F2657" s="147" t="n">
        <f aca="false">IFERROR(VLOOKUP(H2657,$AD$1:$AE$301,2,0),"")</f>
        <v>721</v>
      </c>
      <c r="G2657" s="147" t="str">
        <f aca="false">IFERROR(VLOOKUP(F2657,$AE$2:$AF$290,2, 0),"")</f>
        <v>تبوك</v>
      </c>
      <c r="H2657" s="212" t="s">
        <v>183</v>
      </c>
      <c r="I2657" s="246" t="n">
        <f aca="false">SUM(K2657:R2657)</f>
        <v>3</v>
      </c>
      <c r="J2657" s="182" t="n">
        <v>46099</v>
      </c>
      <c r="N2657" s="151" t="n">
        <v>3</v>
      </c>
      <c r="S2657" s="192" t="n">
        <f aca="false">(K2657+O2657+Q2657)*24 /1130+(L2657+M2657+P2657+R2657)*12/1130+(N2657*30)/1130</f>
        <v>0.079646017699115</v>
      </c>
    </row>
    <row r="2658" customFormat="false" ht="15" hidden="true" customHeight="true" outlineLevel="0" collapsed="false">
      <c r="B2658" s="233" t="n">
        <f aca="false">B2657+D2658-C2658</f>
        <v>32687.42</v>
      </c>
      <c r="D2658" s="146" t="n">
        <v>356.5</v>
      </c>
      <c r="E2658" s="147" t="n">
        <v>53002058</v>
      </c>
      <c r="F2658" s="147" t="n">
        <f aca="false">IFERROR(VLOOKUP(H2658,$AD$1:$AE$301,2,0),"")</f>
        <v>1008261</v>
      </c>
      <c r="G2658" s="147" t="str">
        <f aca="false">IFERROR(VLOOKUP(F2658,$AE$2:$AF$290,2, 0),"")</f>
        <v>تبوك</v>
      </c>
      <c r="H2658" s="212" t="s">
        <v>440</v>
      </c>
      <c r="I2658" s="246" t="n">
        <f aca="false">SUM(K2658:R2658)</f>
        <v>1</v>
      </c>
      <c r="J2658" s="182" t="n">
        <v>46099</v>
      </c>
      <c r="N2658" s="151" t="n">
        <v>1</v>
      </c>
      <c r="S2658" s="192" t="n">
        <f aca="false">(K2658+O2658+Q2658)*24 /1130+(L2658+M2658+P2658+R2658)*12/1130+(N2658*30)/1130</f>
        <v>0.0265486725663717</v>
      </c>
    </row>
    <row r="2659" customFormat="false" ht="15" hidden="true" customHeight="true" outlineLevel="0" collapsed="false">
      <c r="B2659" s="233" t="n">
        <f aca="false">B2658+D2659-C2659</f>
        <v>32209.42</v>
      </c>
      <c r="C2659" s="127" t="n">
        <f aca="false">72+200+72+134</f>
        <v>478</v>
      </c>
      <c r="E2659" s="147" t="s">
        <v>675</v>
      </c>
      <c r="F2659" s="147" t="str">
        <f aca="false">IFERROR(VLOOKUP(H2659,$AD$1:$AE$301,2,0),"")</f>
        <v/>
      </c>
      <c r="G2659" s="147" t="str">
        <f aca="false">IFERROR(VLOOKUP(F2659,$AE$2:$AF$290,2, 0),"")</f>
        <v/>
      </c>
      <c r="H2659" s="212" t="s">
        <v>393</v>
      </c>
      <c r="I2659" s="246" t="n">
        <f aca="false">SUM(K2659:R2659)</f>
        <v>0</v>
      </c>
      <c r="J2659" s="182" t="n">
        <v>46099</v>
      </c>
      <c r="S2659" s="192" t="n">
        <f aca="false">(K2659+O2659+Q2659)*24 /1130+(L2659+M2659+P2659+R2659)*12/1130+(N2659*30)/1130</f>
        <v>0</v>
      </c>
    </row>
    <row r="2660" customFormat="false" ht="15" hidden="true" customHeight="true" outlineLevel="0" collapsed="false">
      <c r="B2660" s="233" t="n">
        <f aca="false">B2659+D2660-C2660</f>
        <v>28902.92</v>
      </c>
      <c r="C2660" s="127" t="n">
        <f aca="false">1242.5+150+799+160+20+38+897</f>
        <v>3306.5</v>
      </c>
      <c r="E2660" s="147" t="s">
        <v>675</v>
      </c>
      <c r="F2660" s="147" t="str">
        <f aca="false">IFERROR(VLOOKUP(H2660,$AD$1:$AE$301,2,0),"")</f>
        <v/>
      </c>
      <c r="G2660" s="147" t="str">
        <f aca="false">IFERROR(VLOOKUP(F2660,$AE$2:$AF$290,2, 0),"")</f>
        <v/>
      </c>
      <c r="H2660" s="212" t="s">
        <v>393</v>
      </c>
      <c r="I2660" s="246" t="n">
        <f aca="false">SUM(K2660:R2660)</f>
        <v>0</v>
      </c>
      <c r="J2660" s="182" t="n">
        <v>46099</v>
      </c>
      <c r="S2660" s="192" t="n">
        <f aca="false">(K2660+O2660+Q2660)*24 /1130+(L2660+M2660+P2660+R2660)*12/1130+(N2660*30)/1130</f>
        <v>0</v>
      </c>
    </row>
    <row r="2661" customFormat="false" ht="15" hidden="true" customHeight="true" outlineLevel="0" collapsed="false">
      <c r="B2661" s="233" t="n">
        <f aca="false">B2660+D2661-C2661</f>
        <v>34595.42</v>
      </c>
      <c r="D2661" s="146" t="n">
        <f aca="false">12*327.75+6*293.25</f>
        <v>5692.5</v>
      </c>
      <c r="E2661" s="147" t="n">
        <v>53002059</v>
      </c>
      <c r="F2661" s="147" t="n">
        <f aca="false">IFERROR(VLOOKUP(H2661,$AD$1:$AE$301,2,0),"")</f>
        <v>1002949</v>
      </c>
      <c r="G2661" s="147" t="str">
        <f aca="false">IFERROR(VLOOKUP(F2661,$AE$2:$AF$290,2, 0),"")</f>
        <v>تبوك</v>
      </c>
      <c r="H2661" s="212" t="s">
        <v>155</v>
      </c>
      <c r="I2661" s="246" t="n">
        <f aca="false">SUM(K2661:R2661)</f>
        <v>21</v>
      </c>
      <c r="J2661" s="182" t="n">
        <v>46099</v>
      </c>
      <c r="K2661" s="148" t="n">
        <f aca="false">3+11</f>
        <v>14</v>
      </c>
      <c r="M2661" s="150" t="n">
        <f aca="false">6+1</f>
        <v>7</v>
      </c>
      <c r="S2661" s="192" t="n">
        <f aca="false">(K2661+O2661+Q2661)*24 /1130+(L2661+M2661+P2661+R2661)*12/1130+(N2661*30)/1130</f>
        <v>0.371681415929204</v>
      </c>
    </row>
    <row r="2662" customFormat="false" ht="15" hidden="true" customHeight="true" outlineLevel="0" collapsed="false">
      <c r="B2662" s="233" t="n">
        <f aca="false">B2661+D2662-C2662</f>
        <v>41081.42</v>
      </c>
      <c r="D2662" s="146" t="n">
        <f aca="false">6*178.25+12*327.75+264.5*2+299*2+356.5</f>
        <v>6486</v>
      </c>
      <c r="E2662" s="147" t="n">
        <v>53002060</v>
      </c>
      <c r="F2662" s="147" t="n">
        <f aca="false">IFERROR(VLOOKUP(H2662,$AD$1:$AE$301,2,0),"")</f>
        <v>1002912</v>
      </c>
      <c r="G2662" s="147" t="str">
        <f aca="false">IFERROR(VLOOKUP(F2662,$AE$2:$AF$290,2, 0),"")</f>
        <v>تبوك</v>
      </c>
      <c r="H2662" s="212" t="s">
        <v>152</v>
      </c>
      <c r="I2662" s="246" t="n">
        <f aca="false">SUM(K2662:R2662)</f>
        <v>26</v>
      </c>
      <c r="J2662" s="182" t="n">
        <v>46099</v>
      </c>
      <c r="K2662" s="148" t="n">
        <f aca="false">7+7</f>
        <v>14</v>
      </c>
      <c r="L2662" s="149" t="n">
        <f aca="false">7</f>
        <v>7</v>
      </c>
      <c r="M2662" s="149"/>
      <c r="N2662" s="151" t="n">
        <v>1</v>
      </c>
      <c r="R2662" s="440" t="n">
        <f aca="false">2+2</f>
        <v>4</v>
      </c>
      <c r="S2662" s="192" t="n">
        <f aca="false">(K2662+O2662+Q2662)*24 /1130+(L2662+M2662+P2662+R2662)*12/1130+(N2662*30)/1130</f>
        <v>0.44070796460177</v>
      </c>
    </row>
    <row r="2663" customFormat="false" ht="15" hidden="true" customHeight="true" outlineLevel="0" collapsed="false">
      <c r="B2663" s="233" t="n">
        <f aca="false">B2662+D2663-C2663</f>
        <v>46773.92</v>
      </c>
      <c r="D2663" s="146" t="n">
        <f aca="false">12*327.75+6*293.25</f>
        <v>5692.5</v>
      </c>
      <c r="E2663" s="147" t="n">
        <v>53002061</v>
      </c>
      <c r="F2663" s="147" t="n">
        <f aca="false">IFERROR(VLOOKUP(H2663,$AD$1:$AE$301,2,0),"")</f>
        <v>855</v>
      </c>
      <c r="G2663" s="147" t="str">
        <f aca="false">IFERROR(VLOOKUP(F2663,$AE$2:$AF$290,2, 0),"")</f>
        <v>تبوك</v>
      </c>
      <c r="H2663" s="212" t="s">
        <v>141</v>
      </c>
      <c r="I2663" s="246" t="n">
        <f aca="false">SUM(K2663:R2663)</f>
        <v>21</v>
      </c>
      <c r="J2663" s="182" t="n">
        <v>46100</v>
      </c>
      <c r="K2663" s="148" t="n">
        <f aca="false">8+6</f>
        <v>14</v>
      </c>
      <c r="M2663" s="150" t="n">
        <f aca="false">6+1</f>
        <v>7</v>
      </c>
      <c r="S2663" s="192" t="n">
        <f aca="false">(K2663+O2663+Q2663)*24 /1130+(L2663+M2663+P2663+R2663)*12/1130+(N2663*30)/1130</f>
        <v>0.371681415929204</v>
      </c>
    </row>
    <row r="2664" customFormat="false" ht="15" hidden="true" customHeight="true" outlineLevel="0" collapsed="false">
      <c r="B2664" s="233" t="n">
        <f aca="false">B2663+D2664-C2664</f>
        <v>47003.92</v>
      </c>
      <c r="D2664" s="146" t="n">
        <v>230</v>
      </c>
      <c r="E2664" s="147" t="n">
        <v>53002062</v>
      </c>
      <c r="F2664" s="147" t="n">
        <f aca="false">IFERROR(VLOOKUP(H2664,$AD$1:$AE$301,2,0),"")</f>
        <v>1002909</v>
      </c>
      <c r="G2664" s="147" t="str">
        <f aca="false">IFERROR(VLOOKUP(F2664,$AE$2:$AF$290,2, 0),"")</f>
        <v>تبوك</v>
      </c>
      <c r="H2664" s="212" t="s">
        <v>200</v>
      </c>
      <c r="I2664" s="246" t="n">
        <f aca="false">SUM(K2664:R2664)</f>
        <v>1</v>
      </c>
      <c r="J2664" s="182" t="n">
        <v>46100</v>
      </c>
      <c r="M2664" s="149" t="n">
        <v>1</v>
      </c>
      <c r="S2664" s="192" t="n">
        <f aca="false">(K2664+O2664+Q2664)*24 /1130+(L2664+M2664+P2664+R2664)*12/1130+(N2664*30)/1130</f>
        <v>0.0106194690265487</v>
      </c>
    </row>
    <row r="2665" customFormat="false" ht="15" hidden="true" customHeight="true" outlineLevel="0" collapsed="false">
      <c r="B2665" s="233" t="n">
        <f aca="false">B2664+D2665-C2665</f>
        <v>47233.92</v>
      </c>
      <c r="D2665" s="146" t="n">
        <v>230</v>
      </c>
      <c r="E2665" s="147" t="n">
        <v>53002063</v>
      </c>
      <c r="F2665" s="147" t="n">
        <f aca="false">IFERROR(VLOOKUP(H2665,$AD$1:$AE$301,2,0),"")</f>
        <v>636</v>
      </c>
      <c r="G2665" s="147" t="str">
        <f aca="false">IFERROR(VLOOKUP(F2665,$AE$2:$AF$290,2, 0),"")</f>
        <v>تبوك</v>
      </c>
      <c r="H2665" s="212" t="s">
        <v>134</v>
      </c>
      <c r="I2665" s="246" t="n">
        <f aca="false">SUM(K2665:R2665)</f>
        <v>1</v>
      </c>
      <c r="J2665" s="182" t="n">
        <v>46100</v>
      </c>
      <c r="M2665" s="150" t="n">
        <v>1</v>
      </c>
      <c r="S2665" s="192" t="n">
        <f aca="false">(K2665+O2665+Q2665)*24 /1130+(L2665+M2665+P2665+R2665)*12/1130+(N2665*30)/1130</f>
        <v>0.0106194690265487</v>
      </c>
    </row>
    <row r="2666" customFormat="false" ht="15" hidden="true" customHeight="true" outlineLevel="0" collapsed="false">
      <c r="B2666" s="233" t="n">
        <f aca="false">B2665+D2666-C2666</f>
        <v>47463.92</v>
      </c>
      <c r="D2666" s="146" t="n">
        <v>230</v>
      </c>
      <c r="E2666" s="147" t="n">
        <v>53002064</v>
      </c>
      <c r="F2666" s="147" t="n">
        <f aca="false">IFERROR(VLOOKUP(H2666,$AD$1:$AE$301,2,0),"")</f>
        <v>1006466</v>
      </c>
      <c r="G2666" s="147" t="str">
        <f aca="false">IFERROR(VLOOKUP(F2666,$AE$2:$AF$290,2, 0),"")</f>
        <v>تبوك</v>
      </c>
      <c r="H2666" s="212" t="s">
        <v>148</v>
      </c>
      <c r="I2666" s="246" t="n">
        <f aca="false">SUM(K2666:R2666)</f>
        <v>1</v>
      </c>
      <c r="J2666" s="182" t="n">
        <v>46100</v>
      </c>
      <c r="M2666" s="150" t="n">
        <v>1</v>
      </c>
      <c r="S2666" s="192" t="n">
        <f aca="false">(K2666+O2666+Q2666)*24 /1130+(L2666+M2666+P2666+R2666)*12/1130+(N2666*30)/1130</f>
        <v>0.0106194690265487</v>
      </c>
    </row>
    <row r="2667" customFormat="false" ht="15" hidden="true" customHeight="true" outlineLevel="0" collapsed="false">
      <c r="B2667" s="233" t="n">
        <f aca="false">B2666+D2667-C2667</f>
        <v>48533.42</v>
      </c>
      <c r="D2667" s="146" t="n">
        <f aca="false">356.5*3</f>
        <v>1069.5</v>
      </c>
      <c r="E2667" s="147" t="n">
        <v>53002065</v>
      </c>
      <c r="F2667" s="147" t="n">
        <f aca="false">IFERROR(VLOOKUP(H2667,$AD$1:$AE$301,2,0),"")</f>
        <v>1071</v>
      </c>
      <c r="G2667" s="147" t="str">
        <f aca="false">IFERROR(VLOOKUP(F2667,$AE$2:$AF$290,2, 0),"")</f>
        <v>تبوك</v>
      </c>
      <c r="H2667" s="212" t="s">
        <v>135</v>
      </c>
      <c r="I2667" s="246" t="n">
        <f aca="false">SUM(K2667:R2667)</f>
        <v>3</v>
      </c>
      <c r="J2667" s="182" t="n">
        <v>46100</v>
      </c>
      <c r="M2667" s="149"/>
      <c r="N2667" s="151" t="n">
        <v>3</v>
      </c>
      <c r="S2667" s="192" t="n">
        <f aca="false">(K2667+O2667+Q2667)*24 /1130+(L2667+M2667+P2667+R2667)*12/1130+(N2667*30)/1130</f>
        <v>0.079646017699115</v>
      </c>
    </row>
    <row r="2668" customFormat="false" ht="15" hidden="true" customHeight="true" outlineLevel="0" collapsed="false">
      <c r="B2668" s="233" t="n">
        <f aca="false">B2667+D2668-C2668</f>
        <v>52104.17</v>
      </c>
      <c r="D2668" s="146" t="n">
        <f aca="false">11*293.25+345</f>
        <v>3570.75</v>
      </c>
      <c r="E2668" s="147" t="n">
        <v>53002066</v>
      </c>
      <c r="F2668" s="147" t="n">
        <f aca="false">IFERROR(VLOOKUP(H2668,$AD$1:$AE$301,2,0),"")</f>
        <v>1063</v>
      </c>
      <c r="G2668" s="147" t="str">
        <f aca="false">IFERROR(VLOOKUP(F2668,$AE$2:$AF$290,2, 0),"")</f>
        <v>تبوك</v>
      </c>
      <c r="H2668" s="212" t="s">
        <v>158</v>
      </c>
      <c r="I2668" s="246" t="n">
        <f aca="false">SUM(K2668:R2668)</f>
        <v>14</v>
      </c>
      <c r="J2668" s="182" t="n">
        <v>46100</v>
      </c>
      <c r="M2668" s="150" t="n">
        <v>14</v>
      </c>
      <c r="S2668" s="192" t="n">
        <f aca="false">(K2668+O2668+Q2668)*24 /1130+(L2668+M2668+P2668+R2668)*12/1130+(N2668*30)/1130</f>
        <v>0.148672566371681</v>
      </c>
    </row>
    <row r="2669" customFormat="false" ht="15" hidden="true" customHeight="true" outlineLevel="0" collapsed="false">
      <c r="B2669" s="233" t="n">
        <f aca="false">B2668+D2669-C2669</f>
        <v>59510.17</v>
      </c>
      <c r="D2669" s="146" t="n">
        <f aca="false">12*327.75+293.25*6+264.5*3+230*4</f>
        <v>7406</v>
      </c>
      <c r="E2669" s="147" t="n">
        <v>53002067</v>
      </c>
      <c r="F2669" s="147" t="n">
        <f aca="false">IFERROR(VLOOKUP(H2669,$AD$1:$AE$301,2,0),"")</f>
        <v>1002875</v>
      </c>
      <c r="G2669" s="147" t="str">
        <f aca="false">IFERROR(VLOOKUP(F2669,$AE$2:$AF$290,2, 0),"")</f>
        <v>تبوك</v>
      </c>
      <c r="H2669" s="212" t="s">
        <v>161</v>
      </c>
      <c r="I2669" s="246" t="n">
        <f aca="false">SUM(K2669:R2669)</f>
        <v>28</v>
      </c>
      <c r="J2669" s="182" t="n">
        <v>46100</v>
      </c>
      <c r="K2669" s="148" t="n">
        <f aca="false">14</f>
        <v>14</v>
      </c>
      <c r="M2669" s="150" t="n">
        <f aca="false">7+4</f>
        <v>11</v>
      </c>
      <c r="R2669" s="155" t="n">
        <v>3</v>
      </c>
      <c r="S2669" s="192" t="n">
        <f aca="false">(K2669+O2669+Q2669)*24 /1130+(L2669+M2669+P2669+R2669)*12/1130+(N2669*30)/1130</f>
        <v>0.446017699115044</v>
      </c>
    </row>
    <row r="2670" customFormat="false" ht="15" hidden="true" customHeight="true" outlineLevel="0" collapsed="false">
      <c r="B2670" s="233" t="n">
        <f aca="false">B2669+D2670-C2670</f>
        <v>65656.92</v>
      </c>
      <c r="D2670" s="146" t="n">
        <f aca="false">316.25*7+12*327.75</f>
        <v>6146.75</v>
      </c>
      <c r="E2670" s="147" t="n">
        <v>53002068</v>
      </c>
      <c r="F2670" s="147" t="n">
        <f aca="false">IFERROR(VLOOKUP(H2670,$AD$1:$AE$301,2,0),"")</f>
        <v>1002897</v>
      </c>
      <c r="G2670" s="147" t="str">
        <f aca="false">IFERROR(VLOOKUP(F2670,$AE$2:$AF$290,2, 0),"")</f>
        <v>تبوك</v>
      </c>
      <c r="H2670" s="212" t="s">
        <v>172</v>
      </c>
      <c r="I2670" s="246" t="n">
        <f aca="false">SUM(K2670:R2670)</f>
        <v>22</v>
      </c>
      <c r="J2670" s="182" t="n">
        <v>46100</v>
      </c>
      <c r="K2670" s="148" t="n">
        <f aca="false">12+2</f>
        <v>14</v>
      </c>
      <c r="N2670" s="151" t="n">
        <v>8</v>
      </c>
      <c r="S2670" s="192" t="n">
        <f aca="false">(K2670+O2670+Q2670)*24 /1130+(L2670+M2670+P2670+R2670)*12/1130+(N2670*30)/1130</f>
        <v>0.509734513274336</v>
      </c>
    </row>
    <row r="2671" customFormat="false" ht="15" hidden="true" customHeight="true" outlineLevel="0" collapsed="false">
      <c r="B2671" s="233" t="n">
        <f aca="false">B2670+D2671-C2671</f>
        <v>65106.92</v>
      </c>
      <c r="C2671" s="441" t="n">
        <f aca="false">450+100</f>
        <v>550</v>
      </c>
      <c r="E2671" s="147" t="s">
        <v>675</v>
      </c>
      <c r="F2671" s="147" t="str">
        <f aca="false">IFERROR(VLOOKUP(H2671,$AD$1:$AE$301,2,0),"")</f>
        <v/>
      </c>
      <c r="G2671" s="147" t="str">
        <f aca="false">IFERROR(VLOOKUP(F2671,$AE$2:$AF$290,2, 0),"")</f>
        <v/>
      </c>
      <c r="H2671" s="212" t="s">
        <v>393</v>
      </c>
      <c r="I2671" s="246" t="n">
        <f aca="false">SUM(K2671:R2671)</f>
        <v>0</v>
      </c>
      <c r="J2671" s="182" t="n">
        <v>46100</v>
      </c>
      <c r="S2671" s="192" t="n">
        <f aca="false">(K2671+O2671+Q2671)*24 /1130+(L2671+M2671+P2671+R2671)*12/1130+(N2671*30)/1130</f>
        <v>0</v>
      </c>
    </row>
    <row r="2672" customFormat="false" ht="15" hidden="true" customHeight="true" outlineLevel="0" collapsed="false">
      <c r="B2672" s="233" t="n">
        <f aca="false">B2671+D2672-C2672</f>
        <v>63067.92</v>
      </c>
      <c r="C2672" s="442" t="n">
        <f aca="false">230+30+115+123+40+12+55+450+10+35+70+135+130+90+139+60+45+60+140+70</f>
        <v>2039</v>
      </c>
      <c r="E2672" s="147" t="s">
        <v>675</v>
      </c>
      <c r="F2672" s="147" t="str">
        <f aca="false">IFERROR(VLOOKUP(H2672,$AD$1:$AE$301,2,0),"")</f>
        <v/>
      </c>
      <c r="G2672" s="147" t="str">
        <f aca="false">IFERROR(VLOOKUP(F2672,$AE$2:$AF$290,2, 0),"")</f>
        <v/>
      </c>
      <c r="H2672" s="212" t="s">
        <v>393</v>
      </c>
      <c r="I2672" s="246" t="n">
        <f aca="false">SUM(K2672:R2672)</f>
        <v>0</v>
      </c>
      <c r="J2672" s="182" t="n">
        <v>46100</v>
      </c>
      <c r="S2672" s="192" t="n">
        <f aca="false">(K2672+O2672+Q2672)*24 /1130+(L2672+M2672+P2672+R2672)*12/1130+(N2672*30)/1130</f>
        <v>0</v>
      </c>
    </row>
    <row r="2673" customFormat="false" ht="15" hidden="true" customHeight="true" outlineLevel="0" collapsed="false">
      <c r="B2673" s="233" t="n">
        <f aca="false">B2672+D2673-C2673</f>
        <v>58067.92</v>
      </c>
      <c r="C2673" s="443" t="n">
        <f aca="false">3000+2000</f>
        <v>5000</v>
      </c>
      <c r="E2673" s="147" t="s">
        <v>677</v>
      </c>
      <c r="F2673" s="147" t="str">
        <f aca="false">IFERROR(VLOOKUP(H2673,$AD$1:$AE$301,2,0),"")</f>
        <v/>
      </c>
      <c r="G2673" s="147" t="str">
        <f aca="false">IFERROR(VLOOKUP(F2673,$AE$2:$AF$290,2, 0),"")</f>
        <v/>
      </c>
      <c r="H2673" s="212" t="s">
        <v>393</v>
      </c>
      <c r="I2673" s="246" t="n">
        <f aca="false">SUM(K2673:R2673)</f>
        <v>0</v>
      </c>
      <c r="J2673" s="182" t="n">
        <v>46106</v>
      </c>
      <c r="S2673" s="192" t="n">
        <f aca="false">(K2673+O2673+Q2673)*24 /1130+(L2673+M2673+P2673+R2673)*12/1130+(N2673*30)/1130</f>
        <v>0</v>
      </c>
    </row>
    <row r="2674" customFormat="false" ht="15" hidden="true" customHeight="true" outlineLevel="0" collapsed="false">
      <c r="B2674" s="233" t="n">
        <f aca="false">B2673+D2674-C2674</f>
        <v>63605.17</v>
      </c>
      <c r="D2674" s="146" t="n">
        <f aca="false">293.25*13+5*345</f>
        <v>5537.25</v>
      </c>
      <c r="E2674" s="147" t="n">
        <v>53002069</v>
      </c>
      <c r="F2674" s="147" t="n">
        <f aca="false">IFERROR(VLOOKUP(H2674,$AD$1:$AE$301,2,0),"")</f>
        <v>1063</v>
      </c>
      <c r="G2674" s="147" t="str">
        <f aca="false">IFERROR(VLOOKUP(F2674,$AE$2:$AF$290,2, 0),"")</f>
        <v>تبوك</v>
      </c>
      <c r="H2674" s="212" t="s">
        <v>158</v>
      </c>
      <c r="I2674" s="246" t="n">
        <f aca="false">SUM(K2674:R2674)</f>
        <v>21</v>
      </c>
      <c r="J2674" s="182" t="n">
        <v>46106</v>
      </c>
      <c r="M2674" s="150" t="n">
        <f aca="false">13+5+3</f>
        <v>21</v>
      </c>
      <c r="S2674" s="192" t="n">
        <f aca="false">(K2674+O2674+Q2674)*24 /1130+(L2674+M2674+P2674+R2674)*12/1130+(N2674*30)/1130</f>
        <v>0.223008849557522</v>
      </c>
    </row>
    <row r="2675" customFormat="false" ht="15" hidden="true" customHeight="true" outlineLevel="0" collapsed="false">
      <c r="B2675" s="233" t="n">
        <f aca="false">B2674+D2675-C2675</f>
        <v>65456.67</v>
      </c>
      <c r="D2675" s="146" t="n">
        <f aca="false">264.5*7</f>
        <v>1851.5</v>
      </c>
      <c r="E2675" s="147" t="n">
        <v>53002070</v>
      </c>
      <c r="F2675" s="147" t="n">
        <f aca="false">IFERROR(VLOOKUP(H2675,$AD$1:$AE$301,2,0),"")</f>
        <v>1002875</v>
      </c>
      <c r="G2675" s="147" t="str">
        <f aca="false">IFERROR(VLOOKUP(F2675,$AE$2:$AF$290,2, 0),"")</f>
        <v>تبوك</v>
      </c>
      <c r="H2675" s="212" t="s">
        <v>161</v>
      </c>
      <c r="I2675" s="246" t="n">
        <f aca="false">SUM(K2675:R2675)</f>
        <v>7</v>
      </c>
      <c r="J2675" s="182" t="n">
        <v>46106</v>
      </c>
      <c r="R2675" s="155" t="n">
        <v>7</v>
      </c>
      <c r="S2675" s="192" t="n">
        <f aca="false">(K2675+O2675+Q2675)*24 /1130+(L2675+M2675+P2675+R2675)*12/1130+(N2675*30)/1130</f>
        <v>0.0743362831858407</v>
      </c>
    </row>
    <row r="2676" customFormat="false" ht="15" hidden="true" customHeight="true" outlineLevel="0" collapsed="false">
      <c r="B2676" s="233" t="n">
        <f aca="false">B2675+D2676-C2676</f>
        <v>62585.67</v>
      </c>
      <c r="C2676" s="127" t="n">
        <f aca="false">19+140+15+25+245+137+135+25+130+1000+500+500</f>
        <v>2871</v>
      </c>
      <c r="E2676" s="147" t="s">
        <v>675</v>
      </c>
      <c r="F2676" s="147" t="str">
        <f aca="false">IFERROR(VLOOKUP(H2676,$AD$1:$AE$301,2,0),"")</f>
        <v/>
      </c>
      <c r="G2676" s="147" t="str">
        <f aca="false">IFERROR(VLOOKUP(F2676,$AE$2:$AF$290,2, 0),"")</f>
        <v/>
      </c>
      <c r="H2676" s="212" t="s">
        <v>393</v>
      </c>
      <c r="I2676" s="246" t="n">
        <f aca="false">SUM(K2676:R2676)</f>
        <v>0</v>
      </c>
      <c r="J2676" s="182" t="n">
        <v>46106</v>
      </c>
      <c r="S2676" s="192" t="n">
        <f aca="false">(K2676+O2676+Q2676)*24 /1130+(L2676+M2676+P2676+R2676)*12/1130+(N2676*30)/1130</f>
        <v>0</v>
      </c>
    </row>
    <row r="2677" customFormat="false" ht="15" hidden="true" customHeight="true" outlineLevel="0" collapsed="false">
      <c r="B2677" s="233" t="n">
        <f aca="false">B2676+D2677-C2677</f>
        <v>62740.92</v>
      </c>
      <c r="D2677" s="146" t="n">
        <f aca="false">51.75*3</f>
        <v>155.25</v>
      </c>
      <c r="E2677" s="147" t="n">
        <v>53002071</v>
      </c>
      <c r="F2677" s="147" t="n">
        <f aca="false">IFERROR(VLOOKUP(H2677,$AD$1:$AE$301,2,0),"")</f>
        <v>1071</v>
      </c>
      <c r="G2677" s="147" t="str">
        <f aca="false">IFERROR(VLOOKUP(F2677,$AE$2:$AF$290,2, 0),"")</f>
        <v>تبوك</v>
      </c>
      <c r="H2677" s="212" t="s">
        <v>135</v>
      </c>
      <c r="I2677" s="246" t="n">
        <f aca="false">SUM(K2677:R2677)</f>
        <v>3</v>
      </c>
      <c r="J2677" s="182" t="n">
        <v>46107</v>
      </c>
      <c r="R2677" s="155" t="n">
        <v>3</v>
      </c>
      <c r="S2677" s="192" t="n">
        <f aca="false">(K2677+O2677+Q2677)*24 /1130+(L2677+M2677+P2677+R2677)*12/1130+(N2677*30)/1130</f>
        <v>0.031858407079646</v>
      </c>
    </row>
    <row r="2678" customFormat="false" ht="15" hidden="true" customHeight="true" outlineLevel="0" collapsed="false">
      <c r="B2678" s="233" t="n">
        <f aca="false">B2677+D2678-C2678</f>
        <v>63752.92</v>
      </c>
      <c r="D2678" s="146" t="n">
        <f aca="false">253*4</f>
        <v>1012</v>
      </c>
      <c r="E2678" s="147" t="n">
        <v>53002072</v>
      </c>
      <c r="F2678" s="147" t="n">
        <f aca="false">IFERROR(VLOOKUP(H2678,$AD$1:$AE$301,2,0),"")</f>
        <v>1004</v>
      </c>
      <c r="G2678" s="147" t="str">
        <f aca="false">IFERROR(VLOOKUP(F2678,$AE$2:$AF$290,2, 0),"")</f>
        <v>تبوك</v>
      </c>
      <c r="H2678" s="212" t="s">
        <v>181</v>
      </c>
      <c r="I2678" s="246" t="n">
        <f aca="false">SUM(K2678:R2678)</f>
        <v>4</v>
      </c>
      <c r="J2678" s="182" t="n">
        <v>46107</v>
      </c>
      <c r="R2678" s="155" t="n">
        <v>4</v>
      </c>
      <c r="S2678" s="192" t="n">
        <f aca="false">(K2678+O2678+Q2678)*24 /1130+(L2678+M2678+P2678+R2678)*12/1130+(N2678*30)/1130</f>
        <v>0.0424778761061947</v>
      </c>
    </row>
    <row r="2679" customFormat="false" ht="15" hidden="true" customHeight="true" outlineLevel="0" collapsed="false">
      <c r="B2679" s="233" t="n">
        <f aca="false">B2678+D2679-C2679</f>
        <v>68651.92</v>
      </c>
      <c r="D2679" s="146" t="n">
        <f aca="false">293.25*4+345*2+327.75*6+178.25*6</f>
        <v>4899</v>
      </c>
      <c r="E2679" s="147" t="n">
        <v>53002073</v>
      </c>
      <c r="F2679" s="147" t="n">
        <f aca="false">IFERROR(VLOOKUP(H2679,$AD$1:$AE$301,2,0),"")</f>
        <v>1002949</v>
      </c>
      <c r="G2679" s="147" t="str">
        <f aca="false">IFERROR(VLOOKUP(F2679,$AE$2:$AF$290,2, 0),"")</f>
        <v>تبوك</v>
      </c>
      <c r="H2679" s="212" t="s">
        <v>155</v>
      </c>
      <c r="I2679" s="246" t="n">
        <f aca="false">SUM(K2679:R2679)</f>
        <v>21</v>
      </c>
      <c r="J2679" s="182" t="n">
        <v>46107</v>
      </c>
      <c r="K2679" s="148" t="n">
        <f aca="false">2+5</f>
        <v>7</v>
      </c>
      <c r="L2679" s="149" t="n">
        <v>7</v>
      </c>
      <c r="M2679" s="150" t="n">
        <f aca="false">2+4+1</f>
        <v>7</v>
      </c>
      <c r="S2679" s="192" t="n">
        <f aca="false">(K2679+O2679+Q2679)*24 /1130+(L2679+M2679+P2679+R2679)*12/1130+(N2679*30)/1130</f>
        <v>0.297345132743363</v>
      </c>
    </row>
    <row r="2680" customFormat="false" ht="15" hidden="true" customHeight="true" outlineLevel="0" collapsed="false">
      <c r="B2680" s="233" t="n">
        <f aca="false">B2679+D2680-C2680</f>
        <v>67498.92</v>
      </c>
      <c r="C2680" s="127" t="n">
        <f aca="false">110+243+800</f>
        <v>1153</v>
      </c>
      <c r="E2680" s="147" t="s">
        <v>675</v>
      </c>
      <c r="H2680" s="212" t="s">
        <v>393</v>
      </c>
      <c r="I2680" s="246" t="n">
        <f aca="false">SUM(K2680:R2680)</f>
        <v>0</v>
      </c>
      <c r="J2680" s="182" t="n">
        <v>46110</v>
      </c>
      <c r="S2680" s="192" t="n">
        <f aca="false">(K2680+O2680+Q2680)*24 /1130+(L2680+M2680+P2680+R2680)*12/1130+(N2680*30)/1130</f>
        <v>0</v>
      </c>
    </row>
    <row r="2681" customFormat="false" ht="15" hidden="true" customHeight="true" outlineLevel="0" collapsed="false">
      <c r="B2681" s="233" t="n">
        <f aca="false">B2680+D2681-C2681</f>
        <v>65308.17</v>
      </c>
      <c r="C2681" s="127" t="n">
        <f aca="false">77+30+270+1813.75</f>
        <v>2190.75</v>
      </c>
      <c r="E2681" s="147" t="s">
        <v>675</v>
      </c>
      <c r="H2681" s="212" t="s">
        <v>393</v>
      </c>
      <c r="I2681" s="246" t="n">
        <f aca="false">SUM(K2681:R2681)</f>
        <v>0</v>
      </c>
      <c r="J2681" s="182" t="n">
        <v>46110</v>
      </c>
      <c r="S2681" s="192" t="n">
        <f aca="false">(K2681+O2681+Q2681)*24 /1130+(L2681+M2681+P2681+R2681)*12/1130+(N2681*30)/1130</f>
        <v>0</v>
      </c>
    </row>
    <row r="2682" customFormat="false" ht="15" hidden="true" customHeight="true" outlineLevel="0" collapsed="false">
      <c r="B2682" s="233" t="n">
        <f aca="false">B2681+D2682-C2682</f>
        <v>63496.17</v>
      </c>
      <c r="C2682" s="127" t="n">
        <f aca="false">125+5+18+5+140+230+25+5+100+5+25+30+155+50+19+240+5+95+15+5+30+5+5+90+10+5+370</f>
        <v>1812</v>
      </c>
      <c r="E2682" s="147" t="s">
        <v>675</v>
      </c>
      <c r="H2682" s="212" t="s">
        <v>393</v>
      </c>
      <c r="I2682" s="246" t="n">
        <f aca="false">SUM(K2682:R2682)</f>
        <v>0</v>
      </c>
      <c r="J2682" s="182" t="n">
        <v>46110</v>
      </c>
      <c r="S2682" s="192" t="n">
        <f aca="false">(K2682+O2682+Q2682)*24 /1130+(L2682+M2682+P2682+R2682)*12/1130+(N2682*30)/1130</f>
        <v>0</v>
      </c>
    </row>
    <row r="2683" customFormat="false" ht="15" hidden="true" customHeight="true" outlineLevel="0" collapsed="false">
      <c r="B2683" s="233" t="n">
        <f aca="false">B2682+D2683-C2683</f>
        <v>62066.17</v>
      </c>
      <c r="C2683" s="127" t="n">
        <f aca="false">110+200+1042+78</f>
        <v>1430</v>
      </c>
      <c r="E2683" s="147" t="s">
        <v>675</v>
      </c>
      <c r="H2683" s="212" t="s">
        <v>393</v>
      </c>
      <c r="I2683" s="246" t="n">
        <f aca="false">SUM(K2683:R2683)</f>
        <v>0</v>
      </c>
      <c r="J2683" s="182" t="n">
        <v>46110</v>
      </c>
      <c r="S2683" s="192" t="n">
        <f aca="false">(K2683+O2683+Q2683)*24 /1130+(L2683+M2683+P2683+R2683)*12/1130+(N2683*30)/1130</f>
        <v>0</v>
      </c>
    </row>
    <row r="2684" customFormat="false" ht="15" hidden="true" customHeight="true" outlineLevel="0" collapsed="false">
      <c r="B2684" s="233" t="n">
        <f aca="false">B2683+D2684-C2684</f>
        <v>56575.17</v>
      </c>
      <c r="C2684" s="127" t="n">
        <f aca="false">3170+2321</f>
        <v>5491</v>
      </c>
      <c r="E2684" s="147" t="s">
        <v>677</v>
      </c>
      <c r="H2684" s="212" t="s">
        <v>393</v>
      </c>
      <c r="I2684" s="246" t="n">
        <f aca="false">SUM(K2684:R2684)</f>
        <v>0</v>
      </c>
      <c r="J2684" s="182" t="n">
        <v>46110</v>
      </c>
      <c r="S2684" s="192" t="n">
        <f aca="false">(K2684+O2684+Q2684)*24 /1130+(L2684+M2684+P2684+R2684)*12/1130+(N2684*30)/1130</f>
        <v>0</v>
      </c>
    </row>
    <row r="2685" customFormat="false" ht="15" hidden="true" customHeight="true" outlineLevel="0" collapsed="false">
      <c r="B2685" s="233" t="n">
        <f aca="false">B2684+D2685-C2685</f>
        <v>58541.67</v>
      </c>
      <c r="D2685" s="146" t="n">
        <f aca="false">327.75*6</f>
        <v>1966.5</v>
      </c>
      <c r="E2685" s="147" t="n">
        <v>53002074</v>
      </c>
      <c r="F2685" s="147" t="n">
        <f aca="false">IFERROR(VLOOKUP(H2685,$AD$1:$AE$301,2,0),"")</f>
        <v>855</v>
      </c>
      <c r="G2685" s="147" t="str">
        <f aca="false">IFERROR(VLOOKUP(F2685,$AE$2:$AF$290,2, 0),"")</f>
        <v>تبوك</v>
      </c>
      <c r="H2685" s="212" t="s">
        <v>141</v>
      </c>
      <c r="I2685" s="246" t="n">
        <f aca="false">SUM(K2685:R2685)</f>
        <v>7</v>
      </c>
      <c r="J2685" s="182" t="n">
        <v>46110</v>
      </c>
      <c r="K2685" s="148" t="n">
        <f aca="false">1+6</f>
        <v>7</v>
      </c>
      <c r="S2685" s="192" t="n">
        <f aca="false">(K2685+O2685+Q2685)*24 /1130+(L2685+M2685+P2685+R2685)*12/1130+(N2685*30)/1130</f>
        <v>0.148672566371681</v>
      </c>
    </row>
    <row r="2686" customFormat="false" ht="15" hidden="true" customHeight="true" outlineLevel="0" collapsed="false">
      <c r="B2686" s="233" t="n">
        <f aca="false">B2685+D2686-C2686</f>
        <v>48539.67</v>
      </c>
      <c r="C2686" s="127" t="n">
        <f aca="false">68+65+135+170+210+900+562+7642+250</f>
        <v>10002</v>
      </c>
      <c r="E2686" s="147" t="s">
        <v>675</v>
      </c>
      <c r="F2686" s="147" t="str">
        <f aca="false">IFERROR(VLOOKUP(H2686,$AD$1:$AE$301,2,0),"")</f>
        <v/>
      </c>
      <c r="G2686" s="147" t="str">
        <f aca="false">IFERROR(VLOOKUP(F2686,$AE$2:$AF$290,2, 0),"")</f>
        <v/>
      </c>
      <c r="H2686" s="212" t="s">
        <v>393</v>
      </c>
      <c r="I2686" s="246" t="n">
        <f aca="false">SUM(K2686:R2686)</f>
        <v>0</v>
      </c>
      <c r="J2686" s="182" t="n">
        <v>46110</v>
      </c>
      <c r="S2686" s="192" t="n">
        <f aca="false">(K2686+O2686+Q2686)*24 /1130+(L2686+M2686+P2686+R2686)*12/1130+(N2686*30)/1130</f>
        <v>0</v>
      </c>
    </row>
    <row r="2687" customFormat="false" ht="15" hidden="true" customHeight="true" outlineLevel="0" collapsed="false">
      <c r="B2687" s="233" t="n">
        <f aca="false">B2686+D2687-C2687</f>
        <v>35480.17</v>
      </c>
      <c r="C2687" s="127" t="n">
        <f aca="false">3570+1069.5+8420</f>
        <v>13059.5</v>
      </c>
      <c r="E2687" s="147" t="s">
        <v>677</v>
      </c>
      <c r="F2687" s="147" t="str">
        <f aca="false">IFERROR(VLOOKUP(H2687,$AD$1:$AE$301,2,0),"")</f>
        <v/>
      </c>
      <c r="G2687" s="147" t="str">
        <f aca="false">IFERROR(VLOOKUP(F2687,$AE$2:$AF$290,2, 0),"")</f>
        <v/>
      </c>
      <c r="H2687" s="212" t="s">
        <v>393</v>
      </c>
      <c r="I2687" s="246" t="n">
        <f aca="false">SUM(K2687:R2687)</f>
        <v>0</v>
      </c>
      <c r="J2687" s="182" t="n">
        <v>46111</v>
      </c>
      <c r="S2687" s="192" t="n">
        <f aca="false">(K2687+O2687+Q2687)*24 /1130+(L2687+M2687+P2687+R2687)*12/1130+(N2687*30)/1130</f>
        <v>0</v>
      </c>
    </row>
    <row r="2688" customFormat="false" ht="18" hidden="true" customHeight="true" outlineLevel="0" collapsed="false">
      <c r="B2688" s="233" t="n">
        <f aca="false">B2687+D2688-C2688</f>
        <v>40994.42</v>
      </c>
      <c r="D2688" s="146" t="n">
        <f aca="false">327.75*12+356.5+230*3+293.25+241.5</f>
        <v>5514.25</v>
      </c>
      <c r="E2688" s="147" t="n">
        <v>53002076</v>
      </c>
      <c r="F2688" s="147" t="n">
        <f aca="false">IFERROR(VLOOKUP(H2688,$AD$1:$AE$301,2,0),"")</f>
        <v>1002891</v>
      </c>
      <c r="G2688" s="147" t="str">
        <f aca="false">IFERROR(VLOOKUP(F2688,$AE$2:$AF$290,2, 0),"")</f>
        <v>تبوك</v>
      </c>
      <c r="H2688" s="212" t="s">
        <v>201</v>
      </c>
      <c r="I2688" s="246" t="n">
        <f aca="false">SUM(K2688:R2688)</f>
        <v>20</v>
      </c>
      <c r="J2688" s="182" t="n">
        <v>46111</v>
      </c>
      <c r="K2688" s="148" t="n">
        <f aca="false">10+4</f>
        <v>14</v>
      </c>
      <c r="M2688" s="150" t="n">
        <f aca="false">3+1</f>
        <v>4</v>
      </c>
      <c r="N2688" s="151" t="n">
        <v>1</v>
      </c>
      <c r="O2688" s="152" t="n">
        <v>1</v>
      </c>
      <c r="S2688" s="192" t="n">
        <f aca="false">(K2688+O2688+Q2688)*24 /1130+(L2688+M2688+P2688+R2688)*12/1130+(N2688*30)/1130</f>
        <v>0.387610619469027</v>
      </c>
    </row>
    <row r="2689" customFormat="false" ht="15" hidden="true" customHeight="true" outlineLevel="0" collapsed="false">
      <c r="B2689" s="233" t="n">
        <f aca="false">B2688+D2689-C2689</f>
        <v>41546.42</v>
      </c>
      <c r="D2689" s="146" t="n">
        <f aca="false">276*2</f>
        <v>552</v>
      </c>
      <c r="E2689" s="147" t="n">
        <v>53002075</v>
      </c>
      <c r="F2689" s="147" t="n">
        <f aca="false">IFERROR(VLOOKUP(H2689,$AD$1:$AE$301,2,0),"")</f>
        <v>1063</v>
      </c>
      <c r="G2689" s="147" t="str">
        <f aca="false">IFERROR(VLOOKUP(F2689,$AE$2:$AF$290,2, 0),"")</f>
        <v>تبوك</v>
      </c>
      <c r="H2689" s="212" t="s">
        <v>158</v>
      </c>
      <c r="I2689" s="246" t="n">
        <f aca="false">SUM(K2689:R2689)</f>
        <v>2</v>
      </c>
      <c r="J2689" s="182" t="n">
        <v>46111</v>
      </c>
      <c r="M2689" s="150" t="n">
        <v>2</v>
      </c>
      <c r="S2689" s="192" t="n">
        <f aca="false">(K2689+O2689+Q2689)*24 /1130+(L2689+M2689+P2689+R2689)*12/1130+(N2689*30)/1130</f>
        <v>0.0212389380530973</v>
      </c>
    </row>
    <row r="2690" customFormat="false" ht="15" hidden="true" customHeight="true" outlineLevel="0" collapsed="false">
      <c r="B2690" s="233" t="n">
        <f aca="false">B2689+D2690-C2690</f>
        <v>38417.42</v>
      </c>
      <c r="C2690" s="441" t="n">
        <f aca="false">1418+587+1124</f>
        <v>3129</v>
      </c>
      <c r="E2690" s="147" t="s">
        <v>675</v>
      </c>
      <c r="F2690" s="147" t="str">
        <f aca="false">IFERROR(VLOOKUP(H2690,$AD$1:$AE$301,2,0),"")</f>
        <v/>
      </c>
      <c r="G2690" s="147" t="str">
        <f aca="false">IFERROR(VLOOKUP(F2690,$AE$2:$AF$290,2, 0),"")</f>
        <v/>
      </c>
      <c r="H2690" s="212" t="s">
        <v>393</v>
      </c>
      <c r="I2690" s="246" t="n">
        <f aca="false">SUM(K2690:R2690)</f>
        <v>0</v>
      </c>
      <c r="J2690" s="182" t="n">
        <v>46111</v>
      </c>
      <c r="S2690" s="192" t="n">
        <f aca="false">(K2690+O2690+Q2690)*24 /1130+(L2690+M2690+P2690+R2690)*12/1130+(N2690*30)/1130</f>
        <v>0</v>
      </c>
    </row>
    <row r="2691" customFormat="false" ht="15" hidden="true" customHeight="true" outlineLevel="0" collapsed="false">
      <c r="B2691" s="233" t="n">
        <f aca="false">B2690+D2691-C2691</f>
        <v>37017.42</v>
      </c>
      <c r="C2691" s="443" t="n">
        <f aca="false">128+160+133+170+128+220+90+36+100+40+195</f>
        <v>1400</v>
      </c>
      <c r="E2691" s="147" t="s">
        <v>675</v>
      </c>
      <c r="F2691" s="147" t="str">
        <f aca="false">IFERROR(VLOOKUP(H2691,$AD$1:$AE$301,2,0),"")</f>
        <v/>
      </c>
      <c r="G2691" s="147" t="str">
        <f aca="false">IFERROR(VLOOKUP(F2691,$AE$2:$AF$290,2, 0),"")</f>
        <v/>
      </c>
      <c r="H2691" s="212" t="s">
        <v>393</v>
      </c>
      <c r="I2691" s="246" t="n">
        <f aca="false">SUM(K2691:R2691)</f>
        <v>0</v>
      </c>
      <c r="J2691" s="182" t="n">
        <v>46111</v>
      </c>
      <c r="S2691" s="192" t="n">
        <f aca="false">(K2691+O2691+Q2691)*24 /1130+(L2691+M2691+P2691+R2691)*12/1130+(N2691*30)/1130</f>
        <v>0</v>
      </c>
    </row>
    <row r="2692" customFormat="false" ht="15" hidden="true" customHeight="true" outlineLevel="0" collapsed="false">
      <c r="B2692" s="233" t="n">
        <f aca="false">B2691+D2692-C2692</f>
        <v>35217.42</v>
      </c>
      <c r="C2692" s="127" t="n">
        <v>1800</v>
      </c>
      <c r="E2692" s="147" t="s">
        <v>677</v>
      </c>
      <c r="F2692" s="147" t="str">
        <f aca="false">IFERROR(VLOOKUP(H2692,$AD$1:$AE$301,2,0),"")</f>
        <v/>
      </c>
      <c r="G2692" s="147" t="str">
        <f aca="false">IFERROR(VLOOKUP(F2692,$AE$2:$AF$290,2, 0),"")</f>
        <v/>
      </c>
      <c r="H2692" s="212" t="s">
        <v>393</v>
      </c>
      <c r="I2692" s="246" t="n">
        <f aca="false">SUM(K2692:R2692)</f>
        <v>0</v>
      </c>
      <c r="J2692" s="182" t="n">
        <v>46112</v>
      </c>
      <c r="S2692" s="192" t="n">
        <f aca="false">(K2692+O2692+Q2692)*24 /1130+(L2692+M2692+P2692+R2692)*12/1130+(N2692*30)/1130</f>
        <v>0</v>
      </c>
    </row>
    <row r="2693" customFormat="false" ht="15" hidden="true" customHeight="true" outlineLevel="0" collapsed="false">
      <c r="B2693" s="233" t="n">
        <f aca="false">B2692+D2693-C2693</f>
        <v>32662.42</v>
      </c>
      <c r="C2693" s="127" t="n">
        <f aca="false">217+120+120+188+120+125+130+122+150+100+115+140+90+70+54+238+160+77+25+10+84+100</f>
        <v>2555</v>
      </c>
      <c r="E2693" s="147" t="s">
        <v>675</v>
      </c>
      <c r="F2693" s="147" t="str">
        <f aca="false">IFERROR(VLOOKUP(H2693,$AD$1:$AE$301,2,0),"")</f>
        <v/>
      </c>
      <c r="G2693" s="147" t="str">
        <f aca="false">IFERROR(VLOOKUP(F2693,$AE$2:$AF$290,2, 0),"")</f>
        <v/>
      </c>
      <c r="H2693" s="212" t="s">
        <v>393</v>
      </c>
      <c r="I2693" s="246" t="n">
        <f aca="false">SUM(K2693:R2693)</f>
        <v>0</v>
      </c>
      <c r="J2693" s="182" t="n">
        <v>46112</v>
      </c>
      <c r="S2693" s="192" t="n">
        <f aca="false">(K2693+O2693+Q2693)*24 /1130+(L2693+M2693+P2693+R2693)*12/1130+(N2693*30)/1130</f>
        <v>0</v>
      </c>
    </row>
    <row r="2694" customFormat="false" ht="15" hidden="true" customHeight="true" outlineLevel="0" collapsed="false">
      <c r="B2694" s="233" t="n">
        <f aca="false">B2693+D2694-C2694</f>
        <v>30484.42</v>
      </c>
      <c r="C2694" s="127" t="n">
        <f aca="false">1000+816+362</f>
        <v>2178</v>
      </c>
      <c r="E2694" s="147" t="s">
        <v>675</v>
      </c>
      <c r="F2694" s="147" t="str">
        <f aca="false">IFERROR(VLOOKUP(H2694,$AD$1:$AE$301,2,0),"")</f>
        <v/>
      </c>
      <c r="G2694" s="147" t="str">
        <f aca="false">IFERROR(VLOOKUP(F2694,$AE$2:$AF$290,2, 0),"")</f>
        <v/>
      </c>
      <c r="H2694" s="212" t="s">
        <v>393</v>
      </c>
      <c r="I2694" s="246" t="n">
        <f aca="false">SUM(K2694:R2694)</f>
        <v>0</v>
      </c>
      <c r="J2694" s="182" t="n">
        <v>46112</v>
      </c>
      <c r="S2694" s="192" t="n">
        <f aca="false">(K2694+O2694+Q2694)*24 /1130+(L2694+M2694+P2694+R2694)*12/1130+(N2694*30)/1130</f>
        <v>0</v>
      </c>
    </row>
    <row r="2695" customFormat="false" ht="15" hidden="true" customHeight="true" outlineLevel="0" collapsed="false">
      <c r="B2695" s="233" t="n">
        <f aca="false">B2694+D2695-C2695</f>
        <v>34658.92</v>
      </c>
      <c r="D2695" s="146" t="n">
        <f aca="false">327.75*12+241.5</f>
        <v>4174.5</v>
      </c>
      <c r="E2695" s="147" t="n">
        <v>53002077</v>
      </c>
      <c r="F2695" s="147" t="n">
        <f aca="false">IFERROR(VLOOKUP(H2695,$AD$1:$AE$301,2,0),"")</f>
        <v>566</v>
      </c>
      <c r="G2695" s="147" t="str">
        <f aca="false">IFERROR(VLOOKUP(F2695,$AE$2:$AF$290,2, 0),"")</f>
        <v>تبوك</v>
      </c>
      <c r="H2695" s="212" t="s">
        <v>168</v>
      </c>
      <c r="I2695" s="246" t="n">
        <f aca="false">SUM(K2695:R2695)</f>
        <v>15</v>
      </c>
      <c r="J2695" s="182" t="n">
        <v>46112</v>
      </c>
      <c r="K2695" s="148" t="n">
        <v>14</v>
      </c>
      <c r="O2695" s="152" t="n">
        <v>1</v>
      </c>
      <c r="S2695" s="192" t="n">
        <f aca="false">(K2695+O2695+Q2695)*24 /1130+(L2695+M2695+P2695+R2695)*12/1130+(N2695*30)/1130</f>
        <v>0.31858407079646</v>
      </c>
    </row>
    <row r="2696" customFormat="false" ht="15" hidden="true" customHeight="true" outlineLevel="0" collapsed="false">
      <c r="B2696" s="233" t="n">
        <f aca="false">B2695+D2696-C2696</f>
        <v>33843.92</v>
      </c>
      <c r="C2696" s="441" t="n">
        <f aca="false">170+20+30+245+70+280</f>
        <v>815</v>
      </c>
      <c r="E2696" s="147" t="s">
        <v>675</v>
      </c>
      <c r="F2696" s="147" t="str">
        <f aca="false">IFERROR(VLOOKUP(H2696,$AD$1:$AE$301,2,0),"")</f>
        <v/>
      </c>
      <c r="G2696" s="147" t="str">
        <f aca="false">IFERROR(VLOOKUP(F2696,$AE$2:$AF$290,2, 0),"")</f>
        <v/>
      </c>
      <c r="H2696" s="212" t="s">
        <v>393</v>
      </c>
      <c r="I2696" s="246" t="n">
        <f aca="false">SUM(K2696:R2696)</f>
        <v>0</v>
      </c>
      <c r="J2696" s="182" t="n">
        <v>46112</v>
      </c>
      <c r="S2696" s="192" t="n">
        <f aca="false">(K2696+O2696+Q2696)*24 /1130+(L2696+M2696+P2696+R2696)*12/1130+(N2696*30)/1130</f>
        <v>0</v>
      </c>
    </row>
    <row r="2697" customFormat="false" ht="15" hidden="true" customHeight="true" outlineLevel="0" collapsed="false">
      <c r="B2697" s="233" t="n">
        <f aca="false">B2696+D2697-C2697</f>
        <v>25387.92</v>
      </c>
      <c r="C2697" s="442" t="n">
        <f aca="false">590+7866</f>
        <v>8456</v>
      </c>
      <c r="D2697" s="127"/>
      <c r="E2697" s="147" t="s">
        <v>677</v>
      </c>
      <c r="F2697" s="147" t="str">
        <f aca="false">IFERROR(VLOOKUP(H2697,$AD$1:$AE$301,2,0),"")</f>
        <v/>
      </c>
      <c r="G2697" s="147" t="str">
        <f aca="false">IFERROR(VLOOKUP(F2697,$AE$2:$AF$290,2, 0),"")</f>
        <v/>
      </c>
      <c r="H2697" s="212" t="s">
        <v>393</v>
      </c>
      <c r="I2697" s="246" t="n">
        <f aca="false">SUM(K2697:R2697)</f>
        <v>0</v>
      </c>
      <c r="J2697" s="182" t="n">
        <v>46112</v>
      </c>
      <c r="S2697" s="192" t="n">
        <f aca="false">(K2697+O2697+Q2697)*24 /1130+(L2697+M2697+P2697+R2697)*12/1130+(N2697*30)/1130</f>
        <v>0</v>
      </c>
    </row>
    <row r="2698" customFormat="false" ht="15" hidden="true" customHeight="true" outlineLevel="0" collapsed="false">
      <c r="B2698" s="233" t="n">
        <f aca="false">B2697+D2698-C2698</f>
        <v>22789.92</v>
      </c>
      <c r="C2698" s="442" t="n">
        <f aca="false">164+140+140+130+112+304+190+210+240+100+167+107+150+120+50+120+82+72</f>
        <v>2598</v>
      </c>
      <c r="E2698" s="147" t="s">
        <v>675</v>
      </c>
      <c r="F2698" s="147" t="str">
        <f aca="false">IFERROR(VLOOKUP(H2698,$AD$1:$AE$301,2,0),"")</f>
        <v/>
      </c>
      <c r="G2698" s="147" t="str">
        <f aca="false">IFERROR(VLOOKUP(F2698,$AE$2:$AF$290,2, 0),"")</f>
        <v/>
      </c>
      <c r="H2698" s="212" t="s">
        <v>393</v>
      </c>
      <c r="I2698" s="246" t="n">
        <f aca="false">SUM(K2698:R2698)</f>
        <v>0</v>
      </c>
      <c r="J2698" s="182" t="n">
        <v>46112</v>
      </c>
      <c r="S2698" s="192" t="n">
        <f aca="false">(K2698+O2698+Q2698)*24 /1130+(L2698+M2698+P2698+R2698)*12/1130+(N2698*30)/1130</f>
        <v>0</v>
      </c>
    </row>
    <row r="2699" customFormat="false" ht="15" hidden="true" customHeight="true" outlineLevel="0" collapsed="false">
      <c r="B2699" s="233" t="n">
        <f aca="false">B2698+D2699-C2699</f>
        <v>20817.92</v>
      </c>
      <c r="C2699" s="442" t="n">
        <f aca="false">175+120+50+57+175+120+330+500+255+190</f>
        <v>1972</v>
      </c>
      <c r="E2699" s="147" t="s">
        <v>675</v>
      </c>
      <c r="F2699" s="147" t="str">
        <f aca="false">IFERROR(VLOOKUP(H2699,$AD$1:$AE$301,2,0),"")</f>
        <v/>
      </c>
      <c r="G2699" s="147" t="str">
        <f aca="false">IFERROR(VLOOKUP(F2699,$AE$2:$AF$290,2, 0),"")</f>
        <v/>
      </c>
      <c r="H2699" s="212" t="s">
        <v>393</v>
      </c>
      <c r="I2699" s="246" t="n">
        <f aca="false">SUM(K2699:R2699)</f>
        <v>0</v>
      </c>
      <c r="J2699" s="182" t="n">
        <v>46113</v>
      </c>
      <c r="S2699" s="192" t="n">
        <f aca="false">(K2699+O2699+Q2699)*24 /1130+(L2699+M2699+P2699+R2699)*12/1130+(N2699*30)/1130</f>
        <v>0</v>
      </c>
    </row>
    <row r="2700" customFormat="false" ht="15" hidden="true" customHeight="true" outlineLevel="0" collapsed="false">
      <c r="B2700" s="233" t="n">
        <f aca="false">B2699+D2700-C2700</f>
        <v>20268.92</v>
      </c>
      <c r="C2700" s="443" t="n">
        <f aca="false">299+250</f>
        <v>549</v>
      </c>
      <c r="E2700" s="147" t="s">
        <v>675</v>
      </c>
      <c r="F2700" s="147" t="str">
        <f aca="false">IFERROR(VLOOKUP(H2700,$AD$1:$AE$301,2,0),"")</f>
        <v/>
      </c>
      <c r="G2700" s="147" t="str">
        <f aca="false">IFERROR(VLOOKUP(F2700,$AE$2:$AF$290,2, 0),"")</f>
        <v/>
      </c>
      <c r="H2700" s="212" t="s">
        <v>393</v>
      </c>
      <c r="I2700" s="246" t="n">
        <f aca="false">SUM(K2700:R2700)</f>
        <v>0</v>
      </c>
      <c r="J2700" s="182" t="n">
        <v>46113</v>
      </c>
      <c r="S2700" s="192" t="n">
        <f aca="false">(K2700+O2700+Q2700)*24 /1130+(L2700+M2700+P2700+R2700)*12/1130+(N2700*30)/1130</f>
        <v>0</v>
      </c>
    </row>
    <row r="2701" customFormat="false" ht="15" hidden="true" customHeight="true" outlineLevel="0" collapsed="false">
      <c r="B2701" s="233" t="n">
        <f aca="false">B2700+D2701-C2701</f>
        <v>18290.92</v>
      </c>
      <c r="C2701" s="127" t="n">
        <f aca="false">1012+966</f>
        <v>1978</v>
      </c>
      <c r="E2701" s="147" t="s">
        <v>677</v>
      </c>
      <c r="F2701" s="147" t="str">
        <f aca="false">IFERROR(VLOOKUP(H2701,$AD$1:$AE$301,2,0),"")</f>
        <v/>
      </c>
      <c r="G2701" s="147" t="str">
        <f aca="false">IFERROR(VLOOKUP(F2701,$AE$2:$AF$290,2, 0),"")</f>
        <v/>
      </c>
      <c r="H2701" s="212" t="s">
        <v>393</v>
      </c>
      <c r="I2701" s="246" t="n">
        <f aca="false">SUM(K2701:R2701)</f>
        <v>0</v>
      </c>
      <c r="J2701" s="182" t="n">
        <v>46113</v>
      </c>
      <c r="S2701" s="192" t="n">
        <f aca="false">(K2701+O2701+Q2701)*24 /1130+(L2701+M2701+P2701+R2701)*12/1130+(N2701*30)/1130</f>
        <v>0</v>
      </c>
    </row>
    <row r="2702" customFormat="false" ht="15" hidden="true" customHeight="true" outlineLevel="0" collapsed="false">
      <c r="B2702" s="233" t="n">
        <f aca="false">B2701+D2702-C2702</f>
        <v>17527.92</v>
      </c>
      <c r="C2702" s="127" t="n">
        <f aca="false">160+5+15+5+100+140+5+30+50+50+175+10+3+10+5</f>
        <v>763</v>
      </c>
      <c r="E2702" s="147" t="s">
        <v>675</v>
      </c>
      <c r="F2702" s="147" t="str">
        <f aca="false">IFERROR(VLOOKUP(H2702,$AD$1:$AE$301,2,0),"")</f>
        <v/>
      </c>
      <c r="G2702" s="147" t="str">
        <f aca="false">IFERROR(VLOOKUP(F2702,$AE$2:$AF$290,2, 0),"")</f>
        <v/>
      </c>
      <c r="H2702" s="212" t="s">
        <v>393</v>
      </c>
      <c r="I2702" s="246" t="n">
        <f aca="false">SUM(K2702:R2702)</f>
        <v>0</v>
      </c>
      <c r="J2702" s="182" t="n">
        <v>46113</v>
      </c>
      <c r="S2702" s="192" t="n">
        <f aca="false">(K2702+O2702+Q2702)*24 /1130+(L2702+M2702+P2702+R2702)*12/1130+(N2702*30)/1130</f>
        <v>0</v>
      </c>
    </row>
    <row r="2703" customFormat="false" ht="15" hidden="true" customHeight="true" outlineLevel="0" collapsed="false">
      <c r="B2703" s="233" t="n">
        <f aca="false">B2702+D2703-C2703</f>
        <v>6089.92</v>
      </c>
      <c r="C2703" s="127" t="n">
        <f aca="false">100+365+10673+300</f>
        <v>11438</v>
      </c>
      <c r="E2703" s="147" t="s">
        <v>675</v>
      </c>
      <c r="F2703" s="147" t="str">
        <f aca="false">IFERROR(VLOOKUP(H2703,$AD$1:$AE$301,2,0),"")</f>
        <v/>
      </c>
      <c r="G2703" s="147" t="str">
        <f aca="false">IFERROR(VLOOKUP(F2703,$AE$2:$AF$290,2, 0),"")</f>
        <v/>
      </c>
      <c r="H2703" s="212" t="s">
        <v>393</v>
      </c>
      <c r="I2703" s="246" t="n">
        <f aca="false">SUM(K2703:R2703)</f>
        <v>0</v>
      </c>
      <c r="J2703" s="182" t="n">
        <v>46113</v>
      </c>
      <c r="S2703" s="192" t="n">
        <f aca="false">(K2703+O2703+Q2703)*24 /1130+(L2703+M2703+P2703+R2703)*12/1130+(N2703*30)/1130</f>
        <v>0</v>
      </c>
    </row>
    <row r="2704" customFormat="false" ht="15" hidden="true" customHeight="true" outlineLevel="0" collapsed="false">
      <c r="B2704" s="233" t="n">
        <f aca="false">B2703+D2704-C2704</f>
        <v>-0.0800000000017462</v>
      </c>
      <c r="C2704" s="127" t="n">
        <f aca="false">3090+3000</f>
        <v>6090</v>
      </c>
      <c r="E2704" s="147" t="s">
        <v>677</v>
      </c>
      <c r="F2704" s="147" t="str">
        <f aca="false">IFERROR(VLOOKUP(H2704,$AD$1:$AE$301,2,0),"")</f>
        <v/>
      </c>
      <c r="G2704" s="147" t="str">
        <f aca="false">IFERROR(VLOOKUP(F2704,$AE$2:$AF$290,2, 0),"")</f>
        <v/>
      </c>
      <c r="H2704" s="212" t="s">
        <v>393</v>
      </c>
      <c r="I2704" s="246" t="n">
        <f aca="false">SUM(K2704:R2704)</f>
        <v>0</v>
      </c>
      <c r="J2704" s="182" t="n">
        <v>46113</v>
      </c>
      <c r="S2704" s="192" t="n">
        <f aca="false">(K2704+O2704+Q2704)*24 /1130+(L2704+M2704+P2704+R2704)*12/1130+(N2704*30)/1130</f>
        <v>0</v>
      </c>
    </row>
    <row r="2705" customFormat="false" ht="15" hidden="true" customHeight="true" outlineLevel="0" collapsed="false">
      <c r="B2705" s="233" t="n">
        <f aca="false">B2704+D2705-C2705</f>
        <v>2150.42</v>
      </c>
      <c r="D2705" s="146" t="n">
        <f aca="false">327.75*6+184</f>
        <v>2150.5</v>
      </c>
      <c r="E2705" s="147" t="n">
        <v>53002078</v>
      </c>
      <c r="F2705" s="147" t="n">
        <f aca="false">IFERROR(VLOOKUP(H2705,$AD$1:$AE$301,2,0),"")</f>
        <v>984</v>
      </c>
      <c r="G2705" s="147" t="str">
        <f aca="false">IFERROR(VLOOKUP(F2705,$AE$2:$AF$290,2, 0),"")</f>
        <v>تبوك</v>
      </c>
      <c r="H2705" s="212" t="s">
        <v>131</v>
      </c>
      <c r="I2705" s="246" t="n">
        <f aca="false">SUM(K2705:R2705)</f>
        <v>8</v>
      </c>
      <c r="J2705" s="182" t="n">
        <v>46153</v>
      </c>
      <c r="M2705" s="150" t="n">
        <v>7</v>
      </c>
      <c r="Q2705" s="154" t="n">
        <v>1</v>
      </c>
      <c r="S2705" s="192" t="n">
        <f aca="false">(K2705+O2705+Q2705)*24 /1130+(L2705+M2705+P2705+R2705)*12/1130+(N2705*30)/1130</f>
        <v>0.0955752212389381</v>
      </c>
    </row>
    <row r="2706" customFormat="false" ht="15" hidden="true" customHeight="true" outlineLevel="0" collapsed="false">
      <c r="B2706" s="233" t="n">
        <f aca="false">B2705+D2706-C2706</f>
        <v>2696.67</v>
      </c>
      <c r="D2706" s="146" t="n">
        <f aca="false">304.75+241.5</f>
        <v>546.25</v>
      </c>
      <c r="E2706" s="147" t="n">
        <v>53002079</v>
      </c>
      <c r="F2706" s="147" t="n">
        <f aca="false">IFERROR(VLOOKUP(H2706,$AD$1:$AE$301,2,0),"")</f>
        <v>575</v>
      </c>
      <c r="G2706" s="147" t="str">
        <f aca="false">IFERROR(VLOOKUP(F2706,$AE$2:$AF$290,2, 0),"")</f>
        <v>تبوك</v>
      </c>
      <c r="H2706" s="212" t="s">
        <v>132</v>
      </c>
      <c r="I2706" s="246" t="n">
        <f aca="false">SUM(K2706:R2706)</f>
        <v>2</v>
      </c>
      <c r="J2706" s="182" t="n">
        <v>46153</v>
      </c>
      <c r="M2706" s="150" t="n">
        <v>1</v>
      </c>
      <c r="O2706" s="152" t="n">
        <v>1</v>
      </c>
      <c r="S2706" s="192" t="n">
        <f aca="false">(K2706+O2706+Q2706)*24 /1130+(L2706+M2706+P2706+R2706)*12/1130+(N2706*30)/1130</f>
        <v>0.031858407079646</v>
      </c>
    </row>
    <row r="2707" customFormat="false" ht="15" hidden="true" customHeight="true" outlineLevel="0" collapsed="false">
      <c r="B2707" s="233" t="n">
        <f aca="false">B2706+D2707-C2707</f>
        <v>0.669999999998254</v>
      </c>
      <c r="C2707" s="127" t="n">
        <f aca="false">5+1418+150+1000+123</f>
        <v>2696</v>
      </c>
      <c r="E2707" s="147" t="s">
        <v>675</v>
      </c>
      <c r="F2707" s="147" t="str">
        <f aca="false">IFERROR(VLOOKUP(H2707,$AD$1:$AE$301,2,0),"")</f>
        <v/>
      </c>
      <c r="G2707" s="147" t="str">
        <f aca="false">IFERROR(VLOOKUP(F2707,$AE$2:$AF$290,2, 0),"")</f>
        <v/>
      </c>
      <c r="H2707" s="212" t="s">
        <v>393</v>
      </c>
      <c r="I2707" s="246" t="n">
        <f aca="false">SUM(K2707:R2707)</f>
        <v>0</v>
      </c>
      <c r="J2707" s="182" t="n">
        <v>46153</v>
      </c>
      <c r="S2707" s="192" t="n">
        <f aca="false">(K2707+O2707+Q2707)*24 /1130+(L2707+M2707+P2707+R2707)*12/1130+(N2707*30)/1130</f>
        <v>0</v>
      </c>
    </row>
    <row r="2708" customFormat="false" ht="15" hidden="true" customHeight="true" outlineLevel="0" collapsed="false">
      <c r="B2708" s="233" t="n">
        <f aca="false">B2707+D2708-C2708</f>
        <v>1093.17</v>
      </c>
      <c r="D2708" s="146" t="n">
        <f aca="false">304.75*2+241.5*2</f>
        <v>1092.5</v>
      </c>
      <c r="E2708" s="147" t="n">
        <v>53002080</v>
      </c>
      <c r="F2708" s="147" t="n">
        <f aca="false">IFERROR(VLOOKUP(H2708,$AD$1:$AE$301,2,0),"")</f>
        <v>1008024</v>
      </c>
      <c r="G2708" s="147" t="str">
        <f aca="false">IFERROR(VLOOKUP(F2708,$AE$2:$AF$290,2, 0),"")</f>
        <v>ضباء</v>
      </c>
      <c r="H2708" s="212" t="s">
        <v>96</v>
      </c>
      <c r="I2708" s="246" t="n">
        <f aca="false">SUM(K2708:R2708)</f>
        <v>4</v>
      </c>
      <c r="J2708" s="182" t="n">
        <v>46154</v>
      </c>
      <c r="M2708" s="150" t="n">
        <v>2</v>
      </c>
      <c r="O2708" s="152" t="n">
        <v>2</v>
      </c>
      <c r="S2708" s="192" t="n">
        <f aca="false">(K2708+O2708+Q2708)*24 /1130+(L2708+M2708+P2708+R2708)*12/1130+(N2708*30)/1130</f>
        <v>0.063716814159292</v>
      </c>
    </row>
    <row r="2709" customFormat="false" ht="15" hidden="true" customHeight="true" outlineLevel="0" collapsed="false">
      <c r="B2709" s="233" t="n">
        <f aca="false">B2708+D2709-C2709</f>
        <v>3370.17</v>
      </c>
      <c r="C2709" s="233"/>
      <c r="D2709" s="439" t="n">
        <f aca="false">379.5*6</f>
        <v>2277</v>
      </c>
      <c r="E2709" s="147" t="n">
        <v>53002081</v>
      </c>
      <c r="F2709" s="147" t="n">
        <f aca="false">IFERROR(VLOOKUP(H2709,$AD$1:$AE$301,2,0),"")</f>
        <v>1008046</v>
      </c>
      <c r="G2709" s="147" t="str">
        <f aca="false">IFERROR(VLOOKUP(F2709,$AE$2:$AF$290,2, 0),"")</f>
        <v>الوجه</v>
      </c>
      <c r="H2709" s="212" t="s">
        <v>108</v>
      </c>
      <c r="I2709" s="246" t="n">
        <f aca="false">SUM(K2709:R2709)</f>
        <v>7</v>
      </c>
      <c r="J2709" s="182" t="n">
        <v>46154</v>
      </c>
      <c r="K2709" s="148" t="n">
        <v>7</v>
      </c>
      <c r="S2709" s="192" t="n">
        <f aca="false">(K2709+O2709+Q2709)*24 /1130+(L2709+M2709+P2709+R2709)*12/1130+(N2709*30)/1130</f>
        <v>0.148672566371681</v>
      </c>
    </row>
    <row r="2710" customFormat="false" ht="15" hidden="true" customHeight="true" outlineLevel="0" collapsed="false">
      <c r="B2710" s="233" t="n">
        <f aca="false">B2709+D2710-C2710</f>
        <v>0.169999999998254</v>
      </c>
      <c r="C2710" s="127" t="n">
        <f aca="false">2349+500+500+21</f>
        <v>3370</v>
      </c>
      <c r="E2710" s="147" t="s">
        <v>675</v>
      </c>
      <c r="F2710" s="147" t="str">
        <f aca="false">IFERROR(VLOOKUP(H2710,$AD$1:$AE$301,2,0),"")</f>
        <v/>
      </c>
      <c r="G2710" s="147" t="str">
        <f aca="false">IFERROR(VLOOKUP(F2710,$AE$2:$AF$290,2, 0),"")</f>
        <v/>
      </c>
      <c r="H2710" s="212" t="s">
        <v>393</v>
      </c>
      <c r="I2710" s="246" t="n">
        <f aca="false">SUM(K2710:R2710)</f>
        <v>0</v>
      </c>
      <c r="J2710" s="182" t="n">
        <v>46154</v>
      </c>
      <c r="S2710" s="192" t="n">
        <f aca="false">(K2710+O2710+Q2710)*24 /1130+(L2710+M2710+P2710+R2710)*12/1130+(N2710*30)/1130</f>
        <v>0</v>
      </c>
    </row>
    <row r="2711" customFormat="false" ht="15" hidden="true" customHeight="true" outlineLevel="0" collapsed="false">
      <c r="B2711" s="233" t="n">
        <f aca="false">B2710+D2711-C2711</f>
        <v>644.169999999998</v>
      </c>
      <c r="D2711" s="146" t="n">
        <f aca="false">161*4</f>
        <v>644</v>
      </c>
      <c r="E2711" s="147" t="n">
        <v>53002082</v>
      </c>
      <c r="F2711" s="147" t="n">
        <f aca="false">IFERROR(VLOOKUP(H2711,$AD$1:$AE$301,2,0),"")</f>
        <v>1002875</v>
      </c>
      <c r="G2711" s="147" t="str">
        <f aca="false">IFERROR(VLOOKUP(F2711,$AE$2:$AF$290,2, 0),"")</f>
        <v>تبوك</v>
      </c>
      <c r="H2711" s="212" t="s">
        <v>161</v>
      </c>
      <c r="I2711" s="246" t="n">
        <f aca="false">SUM(K2711:R2711)</f>
        <v>4</v>
      </c>
      <c r="J2711" s="182" t="n">
        <v>46156</v>
      </c>
      <c r="Q2711" s="154" t="n">
        <v>4</v>
      </c>
      <c r="S2711" s="192" t="n">
        <f aca="false">(K2711+O2711+Q2711)*24 /1130+(L2711+M2711+P2711+R2711)*12/1130+(N2711*30)/1130</f>
        <v>0.0849557522123894</v>
      </c>
    </row>
    <row r="2712" customFormat="false" ht="15" hidden="true" customHeight="true" outlineLevel="0" collapsed="false">
      <c r="B2712" s="233" t="n">
        <f aca="false">B2711+D2712-C2712</f>
        <v>828.169999999998</v>
      </c>
      <c r="D2712" s="146" t="n">
        <v>184</v>
      </c>
      <c r="E2712" s="147" t="n">
        <v>53002083</v>
      </c>
      <c r="F2712" s="147" t="n">
        <f aca="false">IFERROR(VLOOKUP(H2712,$AD$1:$AE$301,2,0),"")</f>
        <v>1008265</v>
      </c>
      <c r="G2712" s="147" t="str">
        <f aca="false">IFERROR(VLOOKUP(F2712,$AE$2:$AF$290,2, 0),"")</f>
        <v>تبوك</v>
      </c>
      <c r="H2712" s="212" t="s">
        <v>146</v>
      </c>
      <c r="I2712" s="246" t="n">
        <f aca="false">SUM(K2712:R2712)</f>
        <v>1</v>
      </c>
      <c r="J2712" s="182" t="n">
        <v>46156</v>
      </c>
      <c r="R2712" s="155" t="n">
        <v>1</v>
      </c>
      <c r="S2712" s="192" t="n">
        <f aca="false">(K2712+O2712+Q2712)*24 /1130+(L2712+M2712+P2712+R2712)*12/1130+(N2712*30)/1130</f>
        <v>0.0106194690265487</v>
      </c>
    </row>
    <row r="2713" customFormat="false" ht="15" hidden="true" customHeight="true" outlineLevel="0" collapsed="false">
      <c r="B2713" s="233" t="n">
        <f aca="false">B2712+D2713-C2713</f>
        <v>500.169999999998</v>
      </c>
      <c r="C2713" s="127" t="n">
        <f aca="false">26+161+141</f>
        <v>328</v>
      </c>
      <c r="E2713" s="147" t="s">
        <v>675</v>
      </c>
      <c r="F2713" s="147" t="str">
        <f aca="false">IFERROR(VLOOKUP(H2713,$AD$1:$AE$301,2,0),"")</f>
        <v/>
      </c>
      <c r="G2713" s="147" t="str">
        <f aca="false">IFERROR(VLOOKUP(F2713,$AE$2:$AF$290,2, 0),"")</f>
        <v/>
      </c>
      <c r="H2713" s="212" t="s">
        <v>393</v>
      </c>
      <c r="I2713" s="246" t="n">
        <f aca="false">SUM(K2713:R2713)</f>
        <v>0</v>
      </c>
      <c r="J2713" s="182" t="n">
        <v>46156</v>
      </c>
      <c r="S2713" s="192" t="n">
        <f aca="false">(K2713+O2713+Q2713)*24 /1130+(L2713+M2713+P2713+R2713)*12/1130+(N2713*30)/1130</f>
        <v>0</v>
      </c>
    </row>
    <row r="2714" customFormat="false" ht="15" hidden="true" customHeight="true" outlineLevel="0" collapsed="false">
      <c r="B2714" s="233" t="n">
        <f aca="false">B2713+D2714-C2714</f>
        <v>0.169999999998254</v>
      </c>
      <c r="C2714" s="127" t="n">
        <v>500</v>
      </c>
      <c r="E2714" s="147" t="s">
        <v>677</v>
      </c>
      <c r="F2714" s="147" t="str">
        <f aca="false">IFERROR(VLOOKUP(H2714,$AD$1:$AE$301,2,0),"")</f>
        <v/>
      </c>
      <c r="G2714" s="147" t="str">
        <f aca="false">IFERROR(VLOOKUP(F2714,$AE$2:$AF$290,2, 0),"")</f>
        <v/>
      </c>
      <c r="H2714" s="212" t="s">
        <v>393</v>
      </c>
      <c r="I2714" s="246" t="n">
        <f aca="false">SUM(K2714:R2714)</f>
        <v>0</v>
      </c>
      <c r="J2714" s="182" t="n">
        <v>46156</v>
      </c>
      <c r="S2714" s="192" t="n">
        <f aca="false">(K2714+O2714+Q2714)*24 /1130+(L2714+M2714+P2714+R2714)*12/1130+(N2714*30)/1130</f>
        <v>0</v>
      </c>
    </row>
    <row r="2715" customFormat="false" ht="15" hidden="true" customHeight="true" outlineLevel="0" collapsed="false">
      <c r="B2715" s="233" t="n">
        <f aca="false">B2714+D2715-C2715</f>
        <v>4312.67</v>
      </c>
      <c r="D2715" s="146" t="n">
        <f aca="false">327.75*12+379.5</f>
        <v>4312.5</v>
      </c>
      <c r="E2715" s="147" t="n">
        <v>53002084</v>
      </c>
      <c r="F2715" s="147" t="n">
        <f aca="false">IFERROR(VLOOKUP(H2715,$AD$1:$AE$301,2,0),"")</f>
        <v>1063</v>
      </c>
      <c r="G2715" s="147" t="str">
        <f aca="false">IFERROR(VLOOKUP(F2715,$AE$2:$AF$290,2, 0),"")</f>
        <v>تبوك</v>
      </c>
      <c r="H2715" s="212" t="s">
        <v>158</v>
      </c>
      <c r="I2715" s="246" t="n">
        <f aca="false">SUM(K2715:R2715)</f>
        <v>15</v>
      </c>
      <c r="J2715" s="182" t="n">
        <v>46159</v>
      </c>
      <c r="K2715" s="148" t="n">
        <v>1</v>
      </c>
      <c r="M2715" s="150" t="n">
        <v>14</v>
      </c>
      <c r="S2715" s="192" t="n">
        <f aca="false">(K2715+O2715+Q2715)*24 /1130+(L2715+M2715+P2715+R2715)*12/1130+(N2715*30)/1130</f>
        <v>0.169911504424779</v>
      </c>
    </row>
    <row r="2716" customFormat="false" ht="15" hidden="true" customHeight="true" outlineLevel="0" collapsed="false">
      <c r="B2716" s="233" t="n">
        <f aca="false">B2715+D2716-C2716</f>
        <v>4634.67</v>
      </c>
      <c r="D2716" s="146" t="n">
        <f aca="false">322</f>
        <v>322</v>
      </c>
      <c r="E2716" s="147" t="n">
        <v>53002085</v>
      </c>
      <c r="F2716" s="147" t="n">
        <f aca="false">IFERROR(VLOOKUP(H2716,$AD$1:$AE$301,2,0),"")</f>
        <v>1008274</v>
      </c>
      <c r="G2716" s="147" t="str">
        <f aca="false">IFERROR(VLOOKUP(F2716,$AE$2:$AF$290,2, 0),"")</f>
        <v>تبوك</v>
      </c>
      <c r="H2716" s="212" t="s">
        <v>147</v>
      </c>
      <c r="I2716" s="246" t="n">
        <f aca="false">SUM(K2716:R2716)</f>
        <v>2</v>
      </c>
      <c r="J2716" s="182" t="n">
        <v>46159</v>
      </c>
      <c r="Q2716" s="154" t="n">
        <v>2</v>
      </c>
      <c r="S2716" s="192" t="n">
        <f aca="false">(K2716+O2716+Q2716)*24 /1130+(L2716+M2716+P2716+R2716)*12/1130+(N2716*30)/1130</f>
        <v>0.0424778761061947</v>
      </c>
    </row>
    <row r="2717" customFormat="false" ht="15" hidden="true" customHeight="true" outlineLevel="0" collapsed="false">
      <c r="B2717" s="233" t="n">
        <f aca="false">B2716+D2717-C2717</f>
        <v>4956.67</v>
      </c>
      <c r="D2717" s="146" t="n">
        <v>322</v>
      </c>
      <c r="E2717" s="147" t="n">
        <v>53002086</v>
      </c>
      <c r="F2717" s="147" t="n">
        <f aca="false">IFERROR(VLOOKUP(H2717,$AD$1:$AE$301,2,0),"")</f>
        <v>721</v>
      </c>
      <c r="G2717" s="147" t="str">
        <f aca="false">IFERROR(VLOOKUP(F2717,$AE$2:$AF$290,2, 0),"")</f>
        <v>تبوك</v>
      </c>
      <c r="H2717" s="212" t="s">
        <v>183</v>
      </c>
      <c r="I2717" s="246" t="n">
        <f aca="false">SUM(K2717:R2717)</f>
        <v>2</v>
      </c>
      <c r="J2717" s="182" t="n">
        <v>46159</v>
      </c>
      <c r="Q2717" s="154" t="n">
        <v>2</v>
      </c>
      <c r="S2717" s="192" t="n">
        <f aca="false">(K2717+O2717+Q2717)*24 /1130+(L2717+M2717+P2717+R2717)*12/1130+(N2717*30)/1130</f>
        <v>0.0424778761061947</v>
      </c>
    </row>
    <row r="2718" customFormat="false" ht="15" hidden="true" customHeight="true" outlineLevel="0" collapsed="false">
      <c r="B2718" s="233" t="n">
        <f aca="false">B2717+D2718-C2718</f>
        <v>644.169999999998</v>
      </c>
      <c r="C2718" s="127" t="n">
        <f aca="false">4312.5</f>
        <v>4312.5</v>
      </c>
      <c r="E2718" s="147" t="s">
        <v>677</v>
      </c>
      <c r="F2718" s="147" t="str">
        <f aca="false">IFERROR(VLOOKUP(H2718,$AD$1:$AE$301,2,0),"")</f>
        <v/>
      </c>
      <c r="G2718" s="147" t="str">
        <f aca="false">IFERROR(VLOOKUP(F2718,$AE$2:$AF$290,2, 0),"")</f>
        <v/>
      </c>
      <c r="H2718" s="212" t="s">
        <v>393</v>
      </c>
      <c r="I2718" s="246" t="n">
        <f aca="false">SUM(K2718:R2718)</f>
        <v>0</v>
      </c>
      <c r="J2718" s="182" t="n">
        <v>46159</v>
      </c>
      <c r="S2718" s="192" t="n">
        <f aca="false">(K2718+O2718+Q2718)*24 /1130+(L2718+M2718+P2718+R2718)*12/1130+(N2718*30)/1130</f>
        <v>0</v>
      </c>
    </row>
    <row r="2719" customFormat="false" ht="15" hidden="true" customHeight="true" outlineLevel="0" collapsed="false">
      <c r="B2719" s="233" t="n">
        <f aca="false">B2718+D2719-C2719</f>
        <v>0.669999999998254</v>
      </c>
      <c r="C2719" s="127" t="n">
        <f aca="false">250.5+322+71</f>
        <v>643.5</v>
      </c>
      <c r="E2719" s="147" t="s">
        <v>675</v>
      </c>
      <c r="F2719" s="147" t="str">
        <f aca="false">IFERROR(VLOOKUP(H2719,$AD$1:$AE$301,2,0),"")</f>
        <v/>
      </c>
      <c r="G2719" s="147" t="str">
        <f aca="false">IFERROR(VLOOKUP(F2719,$AE$2:$AF$290,2, 0),"")</f>
        <v/>
      </c>
      <c r="H2719" s="212" t="s">
        <v>393</v>
      </c>
      <c r="I2719" s="246" t="n">
        <f aca="false">SUM(K2719:R2719)</f>
        <v>0</v>
      </c>
      <c r="J2719" s="182" t="n">
        <v>46159</v>
      </c>
      <c r="S2719" s="192" t="n">
        <f aca="false">(K2719+O2719+Q2719)*24 /1130+(L2719+M2719+P2719+R2719)*12/1130+(N2719*30)/1130</f>
        <v>0</v>
      </c>
    </row>
    <row r="2720" customFormat="false" ht="15" hidden="true" customHeight="true" outlineLevel="0" collapsed="false">
      <c r="B2720" s="233" t="n">
        <f aca="false">B2719+D2720-C2720</f>
        <v>2277.67</v>
      </c>
      <c r="D2720" s="146" t="n">
        <f aca="false">379.5*6</f>
        <v>2277</v>
      </c>
      <c r="E2720" s="147" t="n">
        <v>53002087</v>
      </c>
      <c r="F2720" s="147" t="n">
        <f aca="false">IFERROR(VLOOKUP(H2720,$AD$1:$AE$301,2,0),"")</f>
        <v>1002949</v>
      </c>
      <c r="G2720" s="147" t="str">
        <f aca="false">IFERROR(VLOOKUP(F2720,$AE$2:$AF$290,2, 0),"")</f>
        <v>تبوك</v>
      </c>
      <c r="H2720" s="212" t="s">
        <v>155</v>
      </c>
      <c r="I2720" s="246" t="n">
        <f aca="false">SUM(K2720:R2720)</f>
        <v>7</v>
      </c>
      <c r="J2720" s="182" t="n">
        <v>46160</v>
      </c>
      <c r="K2720" s="148" t="n">
        <v>7</v>
      </c>
      <c r="S2720" s="192" t="n">
        <f aca="false">(K2720+O2720+Q2720)*24 /1130+(L2720+M2720+P2720+R2720)*12/1130+(N2720*30)/1130</f>
        <v>0.148672566371681</v>
      </c>
    </row>
    <row r="2721" customFormat="false" ht="15" hidden="true" customHeight="true" outlineLevel="0" collapsed="false">
      <c r="B2721" s="233" t="n">
        <f aca="false">B2720+D2721-C2721</f>
        <v>0</v>
      </c>
      <c r="C2721" s="127" t="n">
        <v>2277</v>
      </c>
      <c r="D2721" s="146" t="n">
        <v>-0.67</v>
      </c>
      <c r="E2721" s="147" t="s">
        <v>675</v>
      </c>
      <c r="F2721" s="147" t="str">
        <f aca="false">IFERROR(VLOOKUP(H2721,$AD$1:$AE$301,2,0),"")</f>
        <v/>
      </c>
      <c r="G2721" s="147" t="str">
        <f aca="false">IFERROR(VLOOKUP(F2721,$AE$2:$AF$290,2, 0),"")</f>
        <v/>
      </c>
      <c r="H2721" s="212" t="s">
        <v>678</v>
      </c>
      <c r="I2721" s="246" t="n">
        <f aca="false">SUM(K2721:R2721)</f>
        <v>0</v>
      </c>
      <c r="J2721" s="182" t="n">
        <v>46160</v>
      </c>
      <c r="S2721" s="192" t="n">
        <f aca="false">(K2721+O2721+Q2721)*24 /1130+(L2721+M2721+P2721+R2721)*12/1130+(N2721*30)/1130</f>
        <v>0</v>
      </c>
    </row>
    <row r="2722" customFormat="false" ht="15" hidden="true" customHeight="true" outlineLevel="0" collapsed="false">
      <c r="B2722" s="233" t="n">
        <f aca="false">B2721+D2722-C2722</f>
        <v>161</v>
      </c>
      <c r="D2722" s="146" t="n">
        <v>161</v>
      </c>
      <c r="E2722" s="147" t="n">
        <v>53002088</v>
      </c>
      <c r="F2722" s="147" t="n">
        <f aca="false">IFERROR(VLOOKUP(H2722,$AD$1:$AE$301,2,0),"")</f>
        <v>1007976</v>
      </c>
      <c r="G2722" s="147" t="str">
        <f aca="false">IFERROR(VLOOKUP(F2722,$AE$2:$AF$290,2, 0),"")</f>
        <v>ضباء</v>
      </c>
      <c r="H2722" s="212" t="s">
        <v>77</v>
      </c>
      <c r="I2722" s="246" t="n">
        <f aca="false">SUM(K2722:R2722)</f>
        <v>1</v>
      </c>
      <c r="J2722" s="182" t="n">
        <v>46161</v>
      </c>
      <c r="Q2722" s="154" t="n">
        <v>1</v>
      </c>
      <c r="S2722" s="192" t="n">
        <f aca="false">(K2722+O2722+Q2722)*24 /1130+(L2722+M2722+P2722+R2722)*12/1130+(N2722*30)/1130</f>
        <v>0.0212389380530973</v>
      </c>
    </row>
    <row r="2723" customFormat="false" ht="15" hidden="true" customHeight="true" outlineLevel="0" collapsed="false">
      <c r="B2723" s="233" t="n">
        <f aca="false">B2722+D2723-C2723</f>
        <v>2679.5</v>
      </c>
      <c r="D2723" s="146" t="n">
        <f aca="false">6*379.5+241.5</f>
        <v>2518.5</v>
      </c>
      <c r="E2723" s="147" t="n">
        <v>53002089</v>
      </c>
      <c r="F2723" s="147" t="n">
        <f aca="false">IFERROR(VLOOKUP(H2723,$AD$1:$AE$301,2,0),"")</f>
        <v>1008046</v>
      </c>
      <c r="G2723" s="147" t="str">
        <f aca="false">IFERROR(VLOOKUP(F2723,$AE$2:$AF$290,2, 0),"")</f>
        <v>الوجه</v>
      </c>
      <c r="H2723" s="212" t="s">
        <v>108</v>
      </c>
      <c r="I2723" s="246" t="n">
        <f aca="false">SUM(K2723:R2723)</f>
        <v>8</v>
      </c>
      <c r="J2723" s="182" t="n">
        <v>46161</v>
      </c>
      <c r="K2723" s="148" t="n">
        <v>7</v>
      </c>
      <c r="M2723" s="150" t="n">
        <v>1</v>
      </c>
      <c r="S2723" s="192" t="n">
        <f aca="false">(K2723+O2723+Q2723)*24 /1130+(L2723+M2723+P2723+R2723)*12/1130+(N2723*30)/1130</f>
        <v>0.15929203539823</v>
      </c>
    </row>
    <row r="2724" customFormat="false" ht="15" hidden="true" customHeight="true" outlineLevel="0" collapsed="false">
      <c r="B2724" s="233" t="n">
        <f aca="false">B2723+D2724-C2724</f>
        <v>2840.5</v>
      </c>
      <c r="D2724" s="146" t="n">
        <v>161</v>
      </c>
      <c r="E2724" s="147" t="n">
        <v>53002090</v>
      </c>
      <c r="F2724" s="147" t="n">
        <f aca="false">IFERROR(VLOOKUP(H2724,$AD$1:$AE$301,2,0),"")</f>
        <v>656</v>
      </c>
      <c r="G2724" s="147" t="str">
        <f aca="false">IFERROR(VLOOKUP(F2724,$AE$2:$AF$290,2, 0),"")</f>
        <v>الوجه</v>
      </c>
      <c r="H2724" s="212" t="s">
        <v>115</v>
      </c>
      <c r="I2724" s="246" t="n">
        <f aca="false">SUM(K2724:R2724)</f>
        <v>1</v>
      </c>
      <c r="J2724" s="182" t="n">
        <v>46161</v>
      </c>
      <c r="Q2724" s="154" t="n">
        <v>1</v>
      </c>
      <c r="S2724" s="192" t="n">
        <f aca="false">(K2724+O2724+Q2724)*24 /1130+(L2724+M2724+P2724+R2724)*12/1130+(N2724*30)/1130</f>
        <v>0.0212389380530973</v>
      </c>
    </row>
    <row r="2725" customFormat="false" ht="15" hidden="true" customHeight="true" outlineLevel="0" collapsed="false">
      <c r="B2725" s="233" t="n">
        <f aca="false">B2724+D2725-C2725</f>
        <v>3001.5</v>
      </c>
      <c r="D2725" s="146" t="n">
        <v>161</v>
      </c>
      <c r="E2725" s="147" t="n">
        <v>53002091</v>
      </c>
      <c r="F2725" s="147" t="n">
        <f aca="false">IFERROR(VLOOKUP(H2725,$AD$1:$AE$301,2,0),"")</f>
        <v>1008047</v>
      </c>
      <c r="G2725" s="147" t="str">
        <f aca="false">IFERROR(VLOOKUP(F2725,$AE$2:$AF$290,2, 0),"")</f>
        <v>الوجه</v>
      </c>
      <c r="H2725" s="212" t="s">
        <v>422</v>
      </c>
      <c r="I2725" s="246" t="n">
        <f aca="false">SUM(K2725:R2725)</f>
        <v>1</v>
      </c>
      <c r="J2725" s="182" t="n">
        <v>46161</v>
      </c>
      <c r="Q2725" s="154" t="n">
        <v>1</v>
      </c>
      <c r="S2725" s="192" t="n">
        <f aca="false">(K2725+O2725+Q2725)*24 /1130+(L2725+M2725+P2725+R2725)*12/1130+(N2725*30)/1130</f>
        <v>0.0212389380530973</v>
      </c>
    </row>
    <row r="2726" customFormat="false" ht="15" hidden="true" customHeight="true" outlineLevel="0" collapsed="false">
      <c r="B2726" s="233" t="n">
        <f aca="false">B2725+D2726-C2726</f>
        <v>7406</v>
      </c>
      <c r="D2726" s="146" t="n">
        <f aca="false">379.5*6+327.75*6+161</f>
        <v>4404.5</v>
      </c>
      <c r="E2726" s="147" t="n">
        <v>53002092</v>
      </c>
      <c r="F2726" s="147" t="n">
        <f aca="false">IFERROR(VLOOKUP(H2726,$AD$1:$AE$301,2,0),"")</f>
        <v>1002</v>
      </c>
      <c r="G2726" s="147" t="str">
        <f aca="false">IFERROR(VLOOKUP(F2726,$AE$2:$AF$290,2, 0),"")</f>
        <v>الوجه</v>
      </c>
      <c r="H2726" s="212" t="s">
        <v>116</v>
      </c>
      <c r="I2726" s="246" t="n">
        <f aca="false">SUM(K2726:R2726)</f>
        <v>15</v>
      </c>
      <c r="J2726" s="182" t="n">
        <v>46161</v>
      </c>
      <c r="K2726" s="444" t="n">
        <v>7</v>
      </c>
      <c r="M2726" s="150" t="n">
        <v>7</v>
      </c>
      <c r="Q2726" s="154" t="n">
        <v>1</v>
      </c>
      <c r="S2726" s="192" t="n">
        <f aca="false">(K2726+O2726+Q2726)*24 /1130+(L2726+M2726+P2726+R2726)*12/1130+(N2726*30)/1130</f>
        <v>0.244247787610619</v>
      </c>
    </row>
    <row r="2727" customFormat="false" ht="15" hidden="true" customHeight="true" outlineLevel="0" collapsed="false">
      <c r="B2727" s="233" t="n">
        <f aca="false">B2726+D2727-C2727</f>
        <v>10304</v>
      </c>
      <c r="D2727" s="146" t="n">
        <f aca="false">391*7+161</f>
        <v>2898</v>
      </c>
      <c r="E2727" s="147" t="n">
        <v>53002093</v>
      </c>
      <c r="F2727" s="147" t="n">
        <f aca="false">IFERROR(VLOOKUP(H2727,$AD$1:$AE$301,2,0),"")</f>
        <v>1033</v>
      </c>
      <c r="G2727" s="147" t="str">
        <f aca="false">IFERROR(VLOOKUP(F2727,$AE$2:$AF$290,2, 0),"")</f>
        <v>الوجه</v>
      </c>
      <c r="H2727" s="212" t="s">
        <v>117</v>
      </c>
      <c r="I2727" s="246" t="n">
        <f aca="false">SUM(K2727:R2727)</f>
        <v>9</v>
      </c>
      <c r="J2727" s="182" t="n">
        <v>46161</v>
      </c>
      <c r="N2727" s="151" t="n">
        <v>8</v>
      </c>
      <c r="Q2727" s="154" t="n">
        <v>1</v>
      </c>
      <c r="S2727" s="192" t="n">
        <f aca="false">(K2727+O2727+Q2727)*24 /1130+(L2727+M2727+P2727+R2727)*12/1130+(N2727*30)/1130</f>
        <v>0.233628318584071</v>
      </c>
    </row>
    <row r="2728" customFormat="false" ht="15" hidden="true" customHeight="true" outlineLevel="0" collapsed="false">
      <c r="B2728" s="233" t="n">
        <f aca="false">B2727+D2728-C2728</f>
        <v>10465</v>
      </c>
      <c r="D2728" s="146" t="n">
        <v>161</v>
      </c>
      <c r="E2728" s="147" t="n">
        <v>53002094</v>
      </c>
      <c r="F2728" s="147" t="n">
        <f aca="false">IFERROR(VLOOKUP(H2728,$AD$1:$AE$301,2,0),"")</f>
        <v>1008022</v>
      </c>
      <c r="G2728" s="147" t="str">
        <f aca="false">IFERROR(VLOOKUP(F2728,$AE$2:$AF$290,2, 0),"")</f>
        <v>ضباء</v>
      </c>
      <c r="H2728" s="212" t="s">
        <v>94</v>
      </c>
      <c r="I2728" s="246" t="n">
        <f aca="false">SUM(K2728:R2728)</f>
        <v>1</v>
      </c>
      <c r="J2728" s="182" t="n">
        <v>46161</v>
      </c>
      <c r="Q2728" s="154" t="n">
        <v>1</v>
      </c>
      <c r="S2728" s="192" t="n">
        <f aca="false">(K2728+O2728+Q2728)*24 /1130+(L2728+M2728+P2728+R2728)*12/1130+(N2728*30)/1130</f>
        <v>0.0212389380530973</v>
      </c>
    </row>
    <row r="2729" customFormat="false" ht="15" hidden="true" customHeight="true" outlineLevel="0" collapsed="false">
      <c r="B2729" s="233" t="n">
        <f aca="false">B2728+D2729-C2729</f>
        <v>11333.25</v>
      </c>
      <c r="D2729" s="146" t="n">
        <f aca="false">161*2+304.75+241.5</f>
        <v>868.25</v>
      </c>
      <c r="E2729" s="147" t="n">
        <v>53002095</v>
      </c>
      <c r="F2729" s="147" t="n">
        <f aca="false">IFERROR(VLOOKUP(H2729,$AD$1:$AE$301,2,0),"")</f>
        <v>1007988</v>
      </c>
      <c r="G2729" s="147" t="str">
        <f aca="false">IFERROR(VLOOKUP(F2729,$AE$2:$AF$290,2, 0),"")</f>
        <v>ضباء</v>
      </c>
      <c r="H2729" s="212" t="s">
        <v>89</v>
      </c>
      <c r="I2729" s="246" t="n">
        <f aca="false">SUM(K2729:R2729)</f>
        <v>4</v>
      </c>
      <c r="J2729" s="182" t="n">
        <v>46161</v>
      </c>
      <c r="M2729" s="150" t="n">
        <v>1</v>
      </c>
      <c r="O2729" s="152" t="n">
        <v>1</v>
      </c>
      <c r="Q2729" s="154" t="n">
        <v>2</v>
      </c>
      <c r="S2729" s="192" t="n">
        <f aca="false">(K2729+O2729+Q2729)*24 /1130+(L2729+M2729+P2729+R2729)*12/1130+(N2729*30)/1130</f>
        <v>0.0743362831858407</v>
      </c>
    </row>
    <row r="2730" customFormat="false" ht="15" hidden="true" customHeight="true" outlineLevel="0" collapsed="false">
      <c r="B2730" s="233" t="n">
        <f aca="false">B2729+D2730-C2730</f>
        <v>11586.25</v>
      </c>
      <c r="D2730" s="146" t="n">
        <f aca="false">253</f>
        <v>253</v>
      </c>
      <c r="E2730" s="147" t="n">
        <v>53002096</v>
      </c>
      <c r="F2730" s="147" t="n">
        <f aca="false">IFERROR(VLOOKUP(H2730,$AD$1:$AE$301,2,0),"")</f>
        <v>721</v>
      </c>
      <c r="G2730" s="147" t="str">
        <f aca="false">IFERROR(VLOOKUP(F2730,$AE$2:$AF$290,2, 0),"")</f>
        <v>تبوك</v>
      </c>
      <c r="H2730" s="212" t="s">
        <v>183</v>
      </c>
      <c r="I2730" s="246" t="n">
        <f aca="false">SUM(K2730:R2730)</f>
        <v>1</v>
      </c>
      <c r="J2730" s="182" t="n">
        <v>46162</v>
      </c>
      <c r="M2730" s="150" t="n">
        <v>1</v>
      </c>
      <c r="S2730" s="192" t="n">
        <f aca="false">(K2730+O2730+Q2730)*24 /1130+(L2730+M2730+P2730+R2730)*12/1130+(N2730*30)/1130</f>
        <v>0.0106194690265487</v>
      </c>
    </row>
    <row r="2731" customFormat="false" ht="15" hidden="true" customHeight="true" outlineLevel="0" collapsed="false">
      <c r="B2731" s="233" t="n">
        <f aca="false">B2730+D2731-C2731</f>
        <v>14104.75</v>
      </c>
      <c r="D2731" s="146" t="n">
        <f aca="false">241.5+6*379.5</f>
        <v>2518.5</v>
      </c>
      <c r="E2731" s="147" t="n">
        <v>53002097</v>
      </c>
      <c r="F2731" s="147" t="n">
        <f aca="false">IFERROR(VLOOKUP(H2731,$AD$1:$AE$301,2,0),"")</f>
        <v>1002938</v>
      </c>
      <c r="G2731" s="147" t="str">
        <f aca="false">IFERROR(VLOOKUP(F2731,$AE$2:$AF$290,2, 0),"")</f>
        <v>تبوك</v>
      </c>
      <c r="H2731" s="212" t="s">
        <v>175</v>
      </c>
      <c r="I2731" s="246" t="n">
        <f aca="false">SUM(K2731:R2731)</f>
        <v>8</v>
      </c>
      <c r="J2731" s="182" t="n">
        <v>46162</v>
      </c>
      <c r="K2731" s="148" t="n">
        <v>7</v>
      </c>
      <c r="M2731" s="150" t="n">
        <v>1</v>
      </c>
      <c r="S2731" s="192" t="n">
        <f aca="false">(K2731+O2731+Q2731)*24 /1130+(L2731+M2731+P2731+R2731)*12/1130+(N2731*30)/1130</f>
        <v>0.15929203539823</v>
      </c>
    </row>
    <row r="2732" customFormat="false" ht="15" hidden="true" customHeight="true" outlineLevel="0" collapsed="false">
      <c r="B2732" s="233" t="n">
        <f aca="false">B2731+D2732-C2732</f>
        <v>7387.25</v>
      </c>
      <c r="C2732" s="127" t="n">
        <f aca="false">3297+300+868+1277+300+25+650.5</f>
        <v>6717.5</v>
      </c>
      <c r="E2732" s="147" t="s">
        <v>675</v>
      </c>
      <c r="F2732" s="147" t="str">
        <f aca="false">IFERROR(VLOOKUP(H2732,$AD$1:$AE$301,2,0),"")</f>
        <v/>
      </c>
      <c r="G2732" s="147" t="str">
        <f aca="false">IFERROR(VLOOKUP(F2732,$AE$2:$AF$290,2, 0),"")</f>
        <v/>
      </c>
      <c r="H2732" s="212" t="s">
        <v>393</v>
      </c>
      <c r="I2732" s="246" t="n">
        <f aca="false">SUM(K2732:R2732)</f>
        <v>0</v>
      </c>
      <c r="J2732" s="182" t="n">
        <v>46162</v>
      </c>
      <c r="S2732" s="192" t="n">
        <f aca="false">(K2732+O2732+Q2732)*24 /1130+(L2732+M2732+P2732+R2732)*12/1130+(N2732*30)/1130</f>
        <v>0</v>
      </c>
    </row>
    <row r="2733" customFormat="false" ht="15" hidden="true" customHeight="true" outlineLevel="0" collapsed="false">
      <c r="B2733" s="233" t="n">
        <f aca="false">B2732+D2733-C2733</f>
        <v>4086.96</v>
      </c>
      <c r="C2733" s="127" t="n">
        <f aca="false">900.29+2400</f>
        <v>3300.29</v>
      </c>
      <c r="E2733" s="147" t="s">
        <v>677</v>
      </c>
      <c r="F2733" s="147" t="str">
        <f aca="false">IFERROR(VLOOKUP(H2733,$AD$1:$AE$301,2,0),"")</f>
        <v/>
      </c>
      <c r="G2733" s="147" t="str">
        <f aca="false">IFERROR(VLOOKUP(F2733,$AE$2:$AF$290,2, 0),"")</f>
        <v/>
      </c>
      <c r="H2733" s="212" t="s">
        <v>393</v>
      </c>
      <c r="I2733" s="246" t="n">
        <f aca="false">SUM(K2733:R2733)</f>
        <v>0</v>
      </c>
      <c r="J2733" s="182" t="n">
        <v>46162</v>
      </c>
      <c r="S2733" s="192" t="n">
        <f aca="false">(K2733+O2733+Q2733)*24 /1130+(L2733+M2733+P2733+R2733)*12/1130+(N2733*30)/1130</f>
        <v>0</v>
      </c>
    </row>
    <row r="2734" customFormat="false" ht="15" hidden="true" customHeight="true" outlineLevel="0" collapsed="false">
      <c r="B2734" s="233" t="n">
        <f aca="false">B2733+D2734-C2734</f>
        <v>0.960000000000036</v>
      </c>
      <c r="C2734" s="127" t="n">
        <v>4086</v>
      </c>
      <c r="E2734" s="147" t="s">
        <v>679</v>
      </c>
      <c r="F2734" s="147" t="str">
        <f aca="false">IFERROR(VLOOKUP(H2734,$AD$1:$AE$301,2,0),"")</f>
        <v/>
      </c>
      <c r="G2734" s="147" t="str">
        <f aca="false">IFERROR(VLOOKUP(F2734,$AE$2:$AF$290,2, 0),"")</f>
        <v/>
      </c>
      <c r="H2734" s="212" t="s">
        <v>393</v>
      </c>
      <c r="I2734" s="246" t="n">
        <f aca="false">SUM(K2734:R2734)</f>
        <v>0</v>
      </c>
      <c r="J2734" s="182" t="n">
        <v>46162</v>
      </c>
      <c r="S2734" s="192" t="n">
        <f aca="false">(K2734+O2734+Q2734)*24 /1130+(L2734+M2734+P2734+R2734)*12/1130+(N2734*30)/1130</f>
        <v>0</v>
      </c>
    </row>
    <row r="2735" customFormat="false" ht="15" hidden="true" customHeight="true" outlineLevel="0" collapsed="false">
      <c r="B2735" s="233" t="n">
        <f aca="false">B2734+D2735-C2735</f>
        <v>1208.46</v>
      </c>
      <c r="D2735" s="146" t="n">
        <f aca="false">7*172.5</f>
        <v>1207.5</v>
      </c>
      <c r="E2735" s="147" t="n">
        <v>53002098</v>
      </c>
      <c r="F2735" s="147" t="n">
        <f aca="false">IFERROR(VLOOKUP(H2735,$AD$1:$AE$301,2,0),"")</f>
        <v>946</v>
      </c>
      <c r="G2735" s="147" t="str">
        <f aca="false">IFERROR(VLOOKUP(F2735,$AE$2:$AF$290,2, 0),"")</f>
        <v>تبوك</v>
      </c>
      <c r="H2735" s="212" t="s">
        <v>204</v>
      </c>
      <c r="I2735" s="246" t="n">
        <f aca="false">SUM(K2735:R2735)</f>
        <v>7</v>
      </c>
      <c r="J2735" s="182" t="n">
        <v>46163</v>
      </c>
      <c r="L2735" s="149" t="n">
        <v>7</v>
      </c>
      <c r="S2735" s="192" t="n">
        <f aca="false">(K2735+O2735+Q2735)*24 /1130+(L2735+M2735+P2735+R2735)*12/1130+(N2735*30)/1130</f>
        <v>0.0743362831858407</v>
      </c>
    </row>
    <row r="2736" customFormat="false" ht="15" hidden="true" customHeight="true" outlineLevel="0" collapsed="false">
      <c r="B2736" s="233" t="n">
        <f aca="false">B2735+D2736-C2736</f>
        <v>0</v>
      </c>
      <c r="C2736" s="127" t="n">
        <v>1208</v>
      </c>
      <c r="D2736" s="146" t="n">
        <v>-0.46</v>
      </c>
      <c r="E2736" s="147" t="n">
        <v>53002099</v>
      </c>
      <c r="F2736" s="147" t="str">
        <f aca="false">IFERROR(VLOOKUP(H2736,$AD$1:$AE$301,2,0),"")</f>
        <v/>
      </c>
      <c r="G2736" s="147" t="str">
        <f aca="false">IFERROR(VLOOKUP(F2736,$AE$2:$AF$290,2, 0),"")</f>
        <v/>
      </c>
      <c r="H2736" s="212" t="s">
        <v>393</v>
      </c>
      <c r="I2736" s="246" t="n">
        <f aca="false">SUM(K2736:R2736)</f>
        <v>0</v>
      </c>
      <c r="J2736" s="182" t="n">
        <v>46164</v>
      </c>
      <c r="S2736" s="192" t="n">
        <f aca="false">(K2736+O2736+Q2736)*24 /1130+(L2736+M2736+P2736+R2736)*12/1130+(N2736*30)/1130</f>
        <v>0</v>
      </c>
    </row>
    <row r="2737" customFormat="false" ht="15" hidden="true" customHeight="true" outlineLevel="0" collapsed="false">
      <c r="B2737" s="233" t="n">
        <f aca="false">B2736+D2737-C2737</f>
        <v>2277</v>
      </c>
      <c r="D2737" s="146" t="n">
        <f aca="false">379.5*6</f>
        <v>2277</v>
      </c>
      <c r="E2737" s="147" t="n">
        <v>53002100</v>
      </c>
      <c r="F2737" s="147" t="n">
        <f aca="false">IFERROR(VLOOKUP(H2737,$AD$1:$AE$301,2,0),"")</f>
        <v>1002907</v>
      </c>
      <c r="G2737" s="147" t="str">
        <f aca="false">IFERROR(VLOOKUP(F2737,$AE$2:$AF$290,2, 0),"")</f>
        <v>تبوك</v>
      </c>
      <c r="H2737" s="212" t="s">
        <v>189</v>
      </c>
      <c r="I2737" s="246" t="n">
        <f aca="false">SUM(K2737:R2737)</f>
        <v>7</v>
      </c>
      <c r="J2737" s="182" t="n">
        <v>46166</v>
      </c>
      <c r="K2737" s="148" t="n">
        <f aca="false">1+6</f>
        <v>7</v>
      </c>
      <c r="S2737" s="192" t="n">
        <f aca="false">(K2737+O2737+Q2737)*24 /1130+(L2737+M2737+P2737+R2737)*12/1130+(N2737*30)/1130</f>
        <v>0.148672566371681</v>
      </c>
    </row>
    <row r="2738" customFormat="false" ht="15" hidden="true" customHeight="true" outlineLevel="0" collapsed="false">
      <c r="B2738" s="233" t="n">
        <f aca="false">B2737+D2738-C2738</f>
        <v>2438</v>
      </c>
      <c r="D2738" s="146" t="n">
        <v>161</v>
      </c>
      <c r="E2738" s="147" t="n">
        <v>53002101</v>
      </c>
      <c r="F2738" s="147" t="n">
        <f aca="false">IFERROR(VLOOKUP(H2738,$AD$1:$AE$301,2,0),"")</f>
        <v>1002947</v>
      </c>
      <c r="G2738" s="147" t="str">
        <f aca="false">IFERROR(VLOOKUP(F2738,$AE$2:$AF$290,2, 0),"")</f>
        <v>تبوك</v>
      </c>
      <c r="H2738" s="212" t="s">
        <v>174</v>
      </c>
      <c r="I2738" s="246" t="n">
        <f aca="false">SUM(K2738:R2738)</f>
        <v>1</v>
      </c>
      <c r="J2738" s="182" t="n">
        <v>46166</v>
      </c>
      <c r="Q2738" s="154" t="n">
        <v>1</v>
      </c>
      <c r="S2738" s="192" t="n">
        <f aca="false">(K2738+O2738+Q2738)*24 /1130+(L2738+M2738+P2738+R2738)*12/1130+(N2738*30)/1130</f>
        <v>0.0212389380530973</v>
      </c>
    </row>
    <row r="2739" customFormat="false" ht="15" hidden="true" customHeight="true" outlineLevel="0" collapsed="false">
      <c r="B2739" s="233" t="n">
        <f aca="false">B2738+D2739-C2739</f>
        <v>0.75</v>
      </c>
      <c r="C2739" s="127" t="n">
        <f aca="false">327.75+537.5+130+230+35+200+500+200+277</f>
        <v>2437.25</v>
      </c>
      <c r="E2739" s="147" t="s">
        <v>675</v>
      </c>
      <c r="F2739" s="147" t="str">
        <f aca="false">IFERROR(VLOOKUP(H2739,$AD$1:$AE$301,2,0),"")</f>
        <v/>
      </c>
      <c r="G2739" s="147" t="str">
        <f aca="false">IFERROR(VLOOKUP(F2739,$AE$2:$AF$290,2, 0),"")</f>
        <v/>
      </c>
      <c r="H2739" s="212" t="s">
        <v>393</v>
      </c>
      <c r="I2739" s="246" t="n">
        <f aca="false">SUM(K2739:R2739)</f>
        <v>0</v>
      </c>
      <c r="J2739" s="182" t="n">
        <v>46166</v>
      </c>
      <c r="S2739" s="192" t="n">
        <f aca="false">(K2739+O2739+Q2739)*24 /1130+(L2739+M2739+P2739+R2739)*12/1130+(N2739*30)/1130</f>
        <v>0</v>
      </c>
    </row>
    <row r="2740" customFormat="false" ht="15" hidden="true" customHeight="true" outlineLevel="0" collapsed="false">
      <c r="B2740" s="233" t="n">
        <f aca="false">B2739+D2740-C2740</f>
        <v>3485.25</v>
      </c>
      <c r="D2740" s="146" t="n">
        <f aca="false">379.5*6+201.25*6</f>
        <v>3484.5</v>
      </c>
      <c r="E2740" s="147" t="n">
        <v>53002101</v>
      </c>
      <c r="F2740" s="147" t="n">
        <f aca="false">IFERROR(VLOOKUP(H2740,$AD$1:$AE$301,2,0),"")</f>
        <v>1002912</v>
      </c>
      <c r="G2740" s="147" t="str">
        <f aca="false">IFERROR(VLOOKUP(F2740,$AE$2:$AF$290,2, 0),"")</f>
        <v>تبوك</v>
      </c>
      <c r="H2740" s="212" t="s">
        <v>152</v>
      </c>
      <c r="I2740" s="246" t="n">
        <f aca="false">SUM(K2740:R2740)</f>
        <v>14</v>
      </c>
      <c r="J2740" s="182" t="n">
        <v>46174</v>
      </c>
      <c r="K2740" s="445" t="n">
        <v>7</v>
      </c>
      <c r="L2740" s="149" t="n">
        <v>7</v>
      </c>
      <c r="S2740" s="192" t="n">
        <f aca="false">(K2740+O2740+Q2740)*24 /1130+(L2740+M2740+P2740+R2740)*12/1130+(N2740*30)/1130</f>
        <v>0.223008849557522</v>
      </c>
    </row>
    <row r="2741" customFormat="false" ht="15" hidden="true" customHeight="true" outlineLevel="0" collapsed="false">
      <c r="B2741" s="233" t="n">
        <f aca="false">B2740+D2741-C2741</f>
        <v>10189.75</v>
      </c>
      <c r="D2741" s="146" t="n">
        <f aca="false">327.75*18+241.5*2+161*2</f>
        <v>6704.5</v>
      </c>
      <c r="E2741" s="147" t="n">
        <v>53002102</v>
      </c>
      <c r="F2741" s="147" t="n">
        <f aca="false">IFERROR(VLOOKUP(H2741,$AD$1:$AE$301,2,0),"")</f>
        <v>1063</v>
      </c>
      <c r="G2741" s="147" t="str">
        <f aca="false">IFERROR(VLOOKUP(F2741,$AE$2:$AF$290,2, 0),"")</f>
        <v>تبوك</v>
      </c>
      <c r="H2741" s="212" t="s">
        <v>158</v>
      </c>
      <c r="I2741" s="246" t="n">
        <f aca="false">SUM(K2741:R2741)</f>
        <v>25</v>
      </c>
      <c r="J2741" s="182" t="n">
        <v>46174</v>
      </c>
      <c r="K2741" s="446"/>
      <c r="M2741" s="150" t="n">
        <f aca="false">21+2</f>
        <v>23</v>
      </c>
      <c r="Q2741" s="154" t="n">
        <v>2</v>
      </c>
      <c r="S2741" s="192" t="n">
        <f aca="false">(K2741+O2741+Q2741)*24 /1130+(L2741+M2741+P2741+R2741)*12/1130+(N2741*30)/1130</f>
        <v>0.286725663716814</v>
      </c>
    </row>
    <row r="2742" customFormat="false" ht="15" hidden="true" customHeight="true" outlineLevel="0" collapsed="false">
      <c r="B2742" s="233" t="n">
        <f aca="false">B2741+D2742-C2742</f>
        <v>12466.75</v>
      </c>
      <c r="D2742" s="146" t="n">
        <f aca="false">379.5*6</f>
        <v>2277</v>
      </c>
      <c r="E2742" s="147" t="n">
        <v>53002103</v>
      </c>
      <c r="F2742" s="147" t="n">
        <f aca="false">IFERROR(VLOOKUP(H2742,$AD$1:$AE$301,2,0),"")</f>
        <v>1002897</v>
      </c>
      <c r="G2742" s="147" t="str">
        <f aca="false">IFERROR(VLOOKUP(F2742,$AE$2:$AF$290,2, 0),"")</f>
        <v>تبوك</v>
      </c>
      <c r="H2742" s="212" t="s">
        <v>172</v>
      </c>
      <c r="I2742" s="246" t="n">
        <f aca="false">SUM(K2742:R2742)</f>
        <v>7</v>
      </c>
      <c r="J2742" s="182" t="n">
        <v>46174</v>
      </c>
      <c r="K2742" s="446" t="n">
        <v>7</v>
      </c>
      <c r="S2742" s="192" t="n">
        <f aca="false">(K2742+O2742+Q2742)*24 /1130+(L2742+M2742+P2742+R2742)*12/1130+(N2742*30)/1130</f>
        <v>0.148672566371681</v>
      </c>
    </row>
    <row r="2743" customFormat="false" ht="15" hidden="true" customHeight="true" outlineLevel="0" collapsed="false">
      <c r="B2743" s="233" t="n">
        <f aca="false">B2742+D2743-C2743</f>
        <v>12696.75</v>
      </c>
      <c r="D2743" s="146" t="n">
        <v>230</v>
      </c>
      <c r="E2743" s="147" t="n">
        <v>53002104</v>
      </c>
      <c r="F2743" s="147" t="n">
        <f aca="false">IFERROR(VLOOKUP(H2743,$AD$1:$AE$301,2,0),"")</f>
        <v>984</v>
      </c>
      <c r="G2743" s="147" t="str">
        <f aca="false">IFERROR(VLOOKUP(F2743,$AE$2:$AF$290,2, 0),"")</f>
        <v>تبوك</v>
      </c>
      <c r="H2743" s="212" t="s">
        <v>131</v>
      </c>
      <c r="I2743" s="246" t="n">
        <f aca="false">SUM(K2743:R2743)</f>
        <v>1</v>
      </c>
      <c r="J2743" s="182" t="n">
        <v>46174</v>
      </c>
      <c r="K2743" s="446"/>
      <c r="R2743" s="155" t="n">
        <v>1</v>
      </c>
      <c r="S2743" s="192" t="n">
        <f aca="false">(K2743+O2743+Q2743)*24 /1130+(L2743+M2743+P2743+R2743)*12/1130+(N2743*30)/1130</f>
        <v>0.0106194690265487</v>
      </c>
    </row>
    <row r="2744" customFormat="false" ht="15" hidden="true" customHeight="true" outlineLevel="0" collapsed="false">
      <c r="B2744" s="233" t="n">
        <f aca="false">B2743+D2744-C2744</f>
        <v>13490.25</v>
      </c>
      <c r="D2744" s="146" t="n">
        <v>793.5</v>
      </c>
      <c r="E2744" s="147" t="n">
        <v>53002105</v>
      </c>
      <c r="F2744" s="147" t="n">
        <f aca="false">IFERROR(VLOOKUP(H2744,$AD$1:$AE$301,2,0),"")</f>
        <v>560</v>
      </c>
      <c r="G2744" s="147" t="str">
        <f aca="false">IFERROR(VLOOKUP(F2744,$AE$2:$AF$290,2, 0),"")</f>
        <v>تبوك</v>
      </c>
      <c r="H2744" s="212" t="s">
        <v>133</v>
      </c>
      <c r="I2744" s="246" t="n">
        <f aca="false">SUM(K2744:R2744)</f>
        <v>3</v>
      </c>
      <c r="J2744" s="182" t="n">
        <v>46174</v>
      </c>
      <c r="K2744" s="446"/>
      <c r="R2744" s="155" t="n">
        <f aca="false">1+1+1</f>
        <v>3</v>
      </c>
      <c r="S2744" s="192" t="n">
        <f aca="false">(K2744+O2744+Q2744)*24 /1130+(L2744+M2744+P2744+R2744)*12/1130+(N2744*30)/1130</f>
        <v>0.031858407079646</v>
      </c>
    </row>
    <row r="2745" customFormat="false" ht="15" hidden="true" customHeight="true" outlineLevel="0" collapsed="false">
      <c r="B2745" s="233" t="n">
        <f aca="false">B2744+D2745-C2745</f>
        <v>18573.25</v>
      </c>
      <c r="D2745" s="146" t="n">
        <f aca="false">379.5*6+201.25*6+184*3+241.5*3+161*2</f>
        <v>5083</v>
      </c>
      <c r="E2745" s="147" t="n">
        <v>53002106</v>
      </c>
      <c r="F2745" s="147" t="n">
        <f aca="false">IFERROR(VLOOKUP(H2745,$AD$1:$AE$301,2,0),"")</f>
        <v>855</v>
      </c>
      <c r="G2745" s="147" t="str">
        <f aca="false">IFERROR(VLOOKUP(F2745,$AE$2:$AF$290,2, 0),"")</f>
        <v>تبوك</v>
      </c>
      <c r="H2745" s="212" t="s">
        <v>141</v>
      </c>
      <c r="I2745" s="246" t="n">
        <f aca="false">SUM(K2745:R2745)</f>
        <v>22</v>
      </c>
      <c r="J2745" s="182" t="n">
        <v>46174</v>
      </c>
      <c r="K2745" s="446" t="n">
        <v>7</v>
      </c>
      <c r="L2745" s="149" t="n">
        <v>7</v>
      </c>
      <c r="M2745" s="150" t="n">
        <v>3</v>
      </c>
      <c r="Q2745" s="154" t="n">
        <v>2</v>
      </c>
      <c r="R2745" s="155" t="n">
        <v>3</v>
      </c>
      <c r="S2745" s="192" t="n">
        <f aca="false">(K2745+O2745+Q2745)*24 /1130+(L2745+M2745+P2745+R2745)*12/1130+(N2745*30)/1130</f>
        <v>0.329203539823009</v>
      </c>
    </row>
    <row r="2746" customFormat="false" ht="15" hidden="true" customHeight="true" outlineLevel="0" collapsed="false">
      <c r="B2746" s="233" t="n">
        <f aca="false">B2745+D2746-C2746</f>
        <v>16439.75</v>
      </c>
      <c r="C2746" s="127" t="n">
        <f aca="false">48+793.5+92+250+950</f>
        <v>2133.5</v>
      </c>
      <c r="E2746" s="147" t="s">
        <v>675</v>
      </c>
      <c r="F2746" s="147" t="str">
        <f aca="false">IFERROR(VLOOKUP(H2746,$AD$1:$AE$301,2,0),"")</f>
        <v/>
      </c>
      <c r="G2746" s="147" t="str">
        <f aca="false">IFERROR(VLOOKUP(F2746,$AE$2:$AF$290,2, 0),"")</f>
        <v/>
      </c>
      <c r="H2746" s="212" t="s">
        <v>393</v>
      </c>
      <c r="I2746" s="246" t="n">
        <f aca="false">SUM(K2746:R2746)</f>
        <v>0</v>
      </c>
      <c r="J2746" s="182" t="n">
        <v>46174</v>
      </c>
      <c r="K2746" s="446"/>
      <c r="S2746" s="192" t="n">
        <f aca="false">(K2746+O2746+Q2746)*24 /1130+(L2746+M2746+P2746+R2746)*12/1130+(N2746*30)/1130</f>
        <v>0</v>
      </c>
    </row>
    <row r="2747" customFormat="false" ht="15" hidden="true" customHeight="true" outlineLevel="0" collapsed="false">
      <c r="B2747" s="233" t="n">
        <f aca="false">B2746+D2747-C2747</f>
        <v>7095.25</v>
      </c>
      <c r="C2747" s="127" t="n">
        <f aca="false">500+6704.5+1000+1000+140</f>
        <v>9344.5</v>
      </c>
      <c r="E2747" s="147" t="s">
        <v>677</v>
      </c>
      <c r="F2747" s="147" t="str">
        <f aca="false">IFERROR(VLOOKUP(H2747,$AD$1:$AE$301,2,0),"")</f>
        <v/>
      </c>
      <c r="G2747" s="147" t="str">
        <f aca="false">IFERROR(VLOOKUP(F2747,$AE$2:$AF$290,2, 0),"")</f>
        <v/>
      </c>
      <c r="H2747" s="212" t="s">
        <v>393</v>
      </c>
      <c r="I2747" s="246" t="n">
        <f aca="false">SUM(K2747:R2747)</f>
        <v>0</v>
      </c>
      <c r="J2747" s="182" t="n">
        <v>46174</v>
      </c>
      <c r="K2747" s="446"/>
      <c r="S2747" s="192" t="n">
        <f aca="false">(K2747+O2747+Q2747)*24 /1130+(L2747+M2747+P2747+R2747)*12/1130+(N2747*30)/1130</f>
        <v>0</v>
      </c>
    </row>
    <row r="2748" customFormat="false" ht="15" hidden="true" customHeight="true" outlineLevel="0" collapsed="false">
      <c r="B2748" s="233" t="n">
        <f aca="false">B2747+D2748-C2748</f>
        <v>0</v>
      </c>
      <c r="C2748" s="127" t="n">
        <v>7095</v>
      </c>
      <c r="D2748" s="146" t="n">
        <v>-0.25</v>
      </c>
      <c r="E2748" s="147" t="s">
        <v>679</v>
      </c>
      <c r="F2748" s="147" t="str">
        <f aca="false">IFERROR(VLOOKUP(H2748,$AD$1:$AE$301,2,0),"")</f>
        <v/>
      </c>
      <c r="G2748" s="147" t="str">
        <f aca="false">IFERROR(VLOOKUP(F2748,$AE$2:$AF$290,2, 0),"")</f>
        <v/>
      </c>
      <c r="H2748" s="212" t="s">
        <v>393</v>
      </c>
      <c r="I2748" s="246" t="n">
        <f aca="false">SUM(K2748:R2748)</f>
        <v>0</v>
      </c>
      <c r="J2748" s="182" t="n">
        <v>46174</v>
      </c>
      <c r="K2748" s="446"/>
      <c r="S2748" s="192" t="n">
        <f aca="false">(K2748+O2748+Q2748)*24 /1130+(L2748+M2748+P2748+R2748)*12/1130+(N2748*30)/1130</f>
        <v>0</v>
      </c>
    </row>
    <row r="2749" customFormat="false" ht="15" hidden="true" customHeight="true" outlineLevel="0" collapsed="false">
      <c r="B2749" s="233" t="n">
        <f aca="false">B2748+D2749-C2749</f>
        <v>304.75</v>
      </c>
      <c r="D2749" s="146" t="n">
        <f aca="false">304.75</f>
        <v>304.75</v>
      </c>
      <c r="E2749" s="147" t="n">
        <v>53002107</v>
      </c>
      <c r="F2749" s="147" t="n">
        <f aca="false">IFERROR(VLOOKUP(H2749,$AD$1:$AE$301,2,0),"")</f>
        <v>1007988</v>
      </c>
      <c r="G2749" s="147" t="str">
        <f aca="false">IFERROR(VLOOKUP(F2749,$AE$2:$AF$290,2, 0),"")</f>
        <v>ضباء</v>
      </c>
      <c r="H2749" s="212" t="s">
        <v>89</v>
      </c>
      <c r="I2749" s="246" t="n">
        <f aca="false">SUM(K2749:R2749)</f>
        <v>1</v>
      </c>
      <c r="J2749" s="182" t="n">
        <v>46176</v>
      </c>
      <c r="K2749" s="446"/>
      <c r="O2749" s="152" t="n">
        <v>1</v>
      </c>
      <c r="S2749" s="192" t="n">
        <f aca="false">(K2749+O2749+Q2749)*24 /1130+(L2749+M2749+P2749+R2749)*12/1130+(N2749*30)/1130</f>
        <v>0.0212389380530973</v>
      </c>
    </row>
    <row r="2750" customFormat="false" ht="15" hidden="true" customHeight="true" outlineLevel="0" collapsed="false">
      <c r="B2750" s="233" t="n">
        <f aca="false">B2749+D2750-C2750</f>
        <v>609.5</v>
      </c>
      <c r="D2750" s="146" t="n">
        <v>304.75</v>
      </c>
      <c r="E2750" s="147" t="n">
        <v>53002108</v>
      </c>
      <c r="F2750" s="147" t="n">
        <f aca="false">IFERROR(VLOOKUP(H2750,$AD$1:$AE$301,2,0),"")</f>
        <v>1008050</v>
      </c>
      <c r="G2750" s="147" t="str">
        <f aca="false">IFERROR(VLOOKUP(F2750,$AE$2:$AF$290,2, 0),"")</f>
        <v>ضباء</v>
      </c>
      <c r="H2750" s="212" t="s">
        <v>92</v>
      </c>
      <c r="I2750" s="246" t="n">
        <f aca="false">SUM(K2750:R2750)</f>
        <v>1</v>
      </c>
      <c r="J2750" s="182" t="n">
        <v>46176</v>
      </c>
      <c r="K2750" s="446"/>
      <c r="O2750" s="152" t="n">
        <v>1</v>
      </c>
      <c r="S2750" s="192" t="n">
        <f aca="false">(K2750+O2750+Q2750)*24 /1130+(L2750+M2750+P2750+R2750)*12/1130+(N2750*30)/1130</f>
        <v>0.0212389380530973</v>
      </c>
    </row>
    <row r="2751" customFormat="false" ht="15" hidden="true" customHeight="true" outlineLevel="0" collapsed="false">
      <c r="B2751" s="233" t="n">
        <f aca="false">B2750+D2751-C2751</f>
        <v>6083.5</v>
      </c>
      <c r="D2751" s="146" t="n">
        <v>5474</v>
      </c>
      <c r="E2751" s="147" t="n">
        <v>53002109</v>
      </c>
      <c r="F2751" s="147" t="n">
        <f aca="false">IFERROR(VLOOKUP(H2751,$AD$1:$AE$301,2,0),"")</f>
        <v>1033</v>
      </c>
      <c r="G2751" s="147" t="str">
        <f aca="false">IFERROR(VLOOKUP(F2751,$AE$2:$AF$290,2, 0),"")</f>
        <v>الوجه</v>
      </c>
      <c r="H2751" s="212" t="s">
        <v>117</v>
      </c>
      <c r="I2751" s="246" t="n">
        <f aca="false">SUM(K2751:R2751)</f>
        <v>16</v>
      </c>
      <c r="J2751" s="182" t="n">
        <v>46176</v>
      </c>
      <c r="K2751" s="446"/>
      <c r="N2751" s="151" t="n">
        <v>16</v>
      </c>
      <c r="S2751" s="192" t="n">
        <f aca="false">(K2751+O2751+Q2751)*24 /1130+(L2751+M2751+P2751+R2751)*12/1130+(N2751*30)/1130</f>
        <v>0.424778761061947</v>
      </c>
    </row>
    <row r="2752" customFormat="false" ht="15" hidden="true" customHeight="true" outlineLevel="0" collapsed="false">
      <c r="B2752" s="233" t="n">
        <f aca="false">B2751+D2752-C2752</f>
        <v>8360.5</v>
      </c>
      <c r="D2752" s="146" t="n">
        <f aca="false">379.5*6</f>
        <v>2277</v>
      </c>
      <c r="E2752" s="147" t="n">
        <v>53002110</v>
      </c>
      <c r="F2752" s="147" t="n">
        <f aca="false">IFERROR(VLOOKUP(H2752,$AD$1:$AE$301,2,0),"")</f>
        <v>1008046</v>
      </c>
      <c r="G2752" s="147" t="str">
        <f aca="false">IFERROR(VLOOKUP(F2752,$AE$2:$AF$290,2, 0),"")</f>
        <v>الوجه</v>
      </c>
      <c r="H2752" s="212" t="s">
        <v>108</v>
      </c>
      <c r="I2752" s="246" t="n">
        <f aca="false">SUM(K2752:R2752)</f>
        <v>7</v>
      </c>
      <c r="J2752" s="182" t="n">
        <v>46176</v>
      </c>
      <c r="K2752" s="446" t="n">
        <v>7</v>
      </c>
      <c r="S2752" s="192" t="n">
        <f aca="false">(K2752+O2752+Q2752)*24 /1130+(L2752+M2752+P2752+R2752)*12/1130+(N2752*30)/1130</f>
        <v>0.148672566371681</v>
      </c>
    </row>
    <row r="2753" customFormat="false" ht="15" hidden="true" customHeight="true" outlineLevel="0" collapsed="false">
      <c r="B2753" s="233" t="n">
        <f aca="false">B2752+D2753-C2753</f>
        <v>10637.5</v>
      </c>
      <c r="D2753" s="146" t="n">
        <f aca="false">379.5*6</f>
        <v>2277</v>
      </c>
      <c r="E2753" s="147" t="n">
        <v>53002111</v>
      </c>
      <c r="F2753" s="147" t="n">
        <f aca="false">IFERROR(VLOOKUP(H2753,$AD$1:$AE$301,2,0),"")</f>
        <v>1008024</v>
      </c>
      <c r="G2753" s="147" t="str">
        <f aca="false">IFERROR(VLOOKUP(F2753,$AE$2:$AF$290,2, 0),"")</f>
        <v>ضباء</v>
      </c>
      <c r="H2753" s="212" t="s">
        <v>96</v>
      </c>
      <c r="I2753" s="246" t="n">
        <f aca="false">SUM(K2753:R2753)</f>
        <v>7</v>
      </c>
      <c r="J2753" s="182" t="n">
        <v>46176</v>
      </c>
      <c r="K2753" s="446" t="n">
        <v>7</v>
      </c>
      <c r="S2753" s="192" t="n">
        <f aca="false">(K2753+O2753+Q2753)*24 /1130+(L2753+M2753+P2753+R2753)*12/1130+(N2753*30)/1130</f>
        <v>0.148672566371681</v>
      </c>
    </row>
    <row r="2754" customFormat="false" ht="15" hidden="true" customHeight="true" outlineLevel="0" collapsed="false">
      <c r="B2754" s="233" t="n">
        <f aca="false">B2753+D2754-C2754</f>
        <v>2500.5</v>
      </c>
      <c r="C2754" s="127" t="n">
        <f aca="false">887+653+2737+630+3230</f>
        <v>8137</v>
      </c>
      <c r="E2754" s="147" t="s">
        <v>675</v>
      </c>
      <c r="F2754" s="147" t="str">
        <f aca="false">IFERROR(VLOOKUP(H2754,$AD$1:$AE$301,2,0),"")</f>
        <v/>
      </c>
      <c r="G2754" s="147" t="str">
        <f aca="false">IFERROR(VLOOKUP(F2754,$AE$2:$AF$290,2, 0),"")</f>
        <v/>
      </c>
      <c r="H2754" s="212" t="s">
        <v>393</v>
      </c>
      <c r="I2754" s="246" t="n">
        <f aca="false">SUM(K2754:R2754)</f>
        <v>0</v>
      </c>
      <c r="J2754" s="182" t="n">
        <v>46176</v>
      </c>
      <c r="K2754" s="446"/>
      <c r="S2754" s="192" t="n">
        <f aca="false">(K2754+O2754+Q2754)*24 /1130+(L2754+M2754+P2754+R2754)*12/1130+(N2754*30)/1130</f>
        <v>0</v>
      </c>
    </row>
    <row r="2755" customFormat="false" ht="15" hidden="true" customHeight="true" outlineLevel="0" collapsed="false">
      <c r="B2755" s="233" t="n">
        <f aca="false">B2754+D2755-C2755</f>
        <v>0.5</v>
      </c>
      <c r="C2755" s="127" t="n">
        <v>2500</v>
      </c>
      <c r="E2755" s="147" t="s">
        <v>677</v>
      </c>
      <c r="F2755" s="147" t="str">
        <f aca="false">IFERROR(VLOOKUP(H2755,$AD$1:$AE$301,2,0),"")</f>
        <v/>
      </c>
      <c r="G2755" s="147" t="str">
        <f aca="false">IFERROR(VLOOKUP(F2755,$AE$2:$AF$290,2, 0),"")</f>
        <v/>
      </c>
      <c r="H2755" s="212" t="s">
        <v>393</v>
      </c>
      <c r="I2755" s="246" t="n">
        <f aca="false">SUM(K2755:R2755)</f>
        <v>0</v>
      </c>
      <c r="J2755" s="182" t="n">
        <v>46176</v>
      </c>
      <c r="K2755" s="446"/>
      <c r="S2755" s="192" t="n">
        <f aca="false">(K2755+O2755+Q2755)*24 /1130+(L2755+M2755+P2755+R2755)*12/1130+(N2755*30)/1130</f>
        <v>0</v>
      </c>
    </row>
    <row r="2756" customFormat="false" ht="15" hidden="true" customHeight="true" outlineLevel="0" collapsed="false">
      <c r="B2756" s="233" t="n">
        <f aca="false">B2755+D2756-C2756</f>
        <v>161.5</v>
      </c>
      <c r="D2756" s="146" t="n">
        <v>161</v>
      </c>
      <c r="E2756" s="147" t="n">
        <v>53002112</v>
      </c>
      <c r="F2756" s="147" t="n">
        <f aca="false">IFERROR(VLOOKUP(H2756,$AD$1:$AE$301,2,0),"")</f>
        <v>1192</v>
      </c>
      <c r="G2756" s="147" t="str">
        <f aca="false">IFERROR(VLOOKUP(F2756,$AE$2:$AF$290,2, 0),"")</f>
        <v>تبوك</v>
      </c>
      <c r="H2756" s="212" t="s">
        <v>202</v>
      </c>
      <c r="I2756" s="246" t="n">
        <f aca="false">SUM(K2756:R2756)</f>
        <v>1</v>
      </c>
      <c r="J2756" s="182" t="n">
        <v>46177</v>
      </c>
      <c r="K2756" s="446"/>
      <c r="Q2756" s="154" t="n">
        <v>1</v>
      </c>
      <c r="S2756" s="192" t="n">
        <f aca="false">(K2756+O2756+Q2756)*24 /1130+(L2756+M2756+P2756+R2756)*12/1130+(N2756*30)/1130</f>
        <v>0.0212389380530973</v>
      </c>
    </row>
    <row r="2757" customFormat="false" ht="15" hidden="true" customHeight="true" outlineLevel="0" collapsed="false">
      <c r="B2757" s="233" t="n">
        <f aca="false">B2756+D2757-C2757</f>
        <v>644.5</v>
      </c>
      <c r="D2757" s="146" t="n">
        <f aca="false">184+299</f>
        <v>483</v>
      </c>
      <c r="E2757" s="147" t="n">
        <v>53002113</v>
      </c>
      <c r="F2757" s="147" t="n">
        <f aca="false">IFERROR(VLOOKUP(H2757,$AD$1:$AE$301,2,0),"")</f>
        <v>1045</v>
      </c>
      <c r="G2757" s="147" t="str">
        <f aca="false">IFERROR(VLOOKUP(F2757,$AE$2:$AF$290,2, 0),"")</f>
        <v>تبوك</v>
      </c>
      <c r="H2757" s="212" t="s">
        <v>142</v>
      </c>
      <c r="I2757" s="246" t="n">
        <f aca="false">SUM(K2757:R2757)</f>
        <v>2</v>
      </c>
      <c r="J2757" s="182" t="n">
        <v>46177</v>
      </c>
      <c r="K2757" s="446"/>
      <c r="R2757" s="155" t="n">
        <f aca="false">1+1</f>
        <v>2</v>
      </c>
      <c r="S2757" s="192" t="n">
        <f aca="false">(K2757+O2757+Q2757)*24 /1130+(L2757+M2757+P2757+R2757)*12/1130+(N2757*30)/1130</f>
        <v>0.0212389380530973</v>
      </c>
    </row>
    <row r="2758" customFormat="false" ht="15" hidden="true" customHeight="true" outlineLevel="0" collapsed="false">
      <c r="B2758" s="233" t="n">
        <f aca="false">B2757+D2758-C2758</f>
        <v>2921.5</v>
      </c>
      <c r="D2758" s="146" t="n">
        <f aca="false">379.5*6</f>
        <v>2277</v>
      </c>
      <c r="E2758" s="147" t="n">
        <v>53002114</v>
      </c>
      <c r="F2758" s="147" t="n">
        <f aca="false">IFERROR(VLOOKUP(H2758,$AD$1:$AE$301,2,0),"")</f>
        <v>1002898</v>
      </c>
      <c r="G2758" s="147" t="str">
        <f aca="false">IFERROR(VLOOKUP(F2758,$AE$2:$AF$290,2, 0),"")</f>
        <v>تبوك</v>
      </c>
      <c r="H2758" s="212" t="s">
        <v>195</v>
      </c>
      <c r="I2758" s="246" t="n">
        <f aca="false">SUM(K2758:R2758)</f>
        <v>7</v>
      </c>
      <c r="J2758" s="182" t="n">
        <v>46177</v>
      </c>
      <c r="K2758" s="446" t="n">
        <v>7</v>
      </c>
      <c r="S2758" s="192" t="n">
        <f aca="false">(K2758+O2758+Q2758)*24 /1130+(L2758+M2758+P2758+R2758)*12/1130+(N2758*30)/1130</f>
        <v>0.148672566371681</v>
      </c>
    </row>
    <row r="2759" customFormat="false" ht="15" hidden="true" customHeight="true" outlineLevel="0" collapsed="false">
      <c r="B2759" s="233" t="n">
        <f aca="false">B2758+D2759-C2759</f>
        <v>3174.5</v>
      </c>
      <c r="D2759" s="146" t="n">
        <v>253</v>
      </c>
      <c r="E2759" s="147" t="n">
        <v>53002115</v>
      </c>
      <c r="F2759" s="147" t="n">
        <f aca="false">IFERROR(VLOOKUP(H2759,$AD$1:$AE$301,2,0),"")</f>
        <v>721</v>
      </c>
      <c r="G2759" s="147" t="str">
        <f aca="false">IFERROR(VLOOKUP(F2759,$AE$2:$AF$290,2, 0),"")</f>
        <v>تبوك</v>
      </c>
      <c r="H2759" s="212" t="s">
        <v>183</v>
      </c>
      <c r="I2759" s="246" t="n">
        <f aca="false">SUM(K2759:R2759)</f>
        <v>1</v>
      </c>
      <c r="J2759" s="182" t="n">
        <v>46177</v>
      </c>
      <c r="K2759" s="446"/>
      <c r="M2759" s="150" t="n">
        <v>1</v>
      </c>
      <c r="S2759" s="192" t="n">
        <f aca="false">(K2759+O2759+Q2759)*24 /1130+(L2759+M2759+P2759+R2759)*12/1130+(N2759*30)/1130</f>
        <v>0.0106194690265487</v>
      </c>
    </row>
    <row r="2760" customFormat="false" ht="15" hidden="true" customHeight="true" outlineLevel="0" collapsed="false">
      <c r="B2760" s="233" t="n">
        <f aca="false">B2759+D2760-C2760</f>
        <v>0</v>
      </c>
      <c r="C2760" s="127" t="n">
        <f aca="false">604+976+1000+594</f>
        <v>3174</v>
      </c>
      <c r="D2760" s="146" t="n">
        <v>-0.5</v>
      </c>
      <c r="E2760" s="147" t="s">
        <v>675</v>
      </c>
      <c r="F2760" s="147" t="str">
        <f aca="false">IFERROR(VLOOKUP(H2760,$AD$1:$AE$301,2,0),"")</f>
        <v/>
      </c>
      <c r="G2760" s="147" t="str">
        <f aca="false">IFERROR(VLOOKUP(F2760,$AE$2:$AF$290,2, 0),"")</f>
        <v/>
      </c>
      <c r="H2760" s="212" t="s">
        <v>393</v>
      </c>
      <c r="I2760" s="246" t="n">
        <f aca="false">SUM(K2760:R2760)</f>
        <v>0</v>
      </c>
      <c r="J2760" s="182" t="n">
        <v>46177</v>
      </c>
      <c r="K2760" s="446"/>
      <c r="S2760" s="192" t="n">
        <f aca="false">(K2760+O2760+Q2760)*24 /1130+(L2760+M2760+P2760+R2760)*12/1130+(N2760*30)/1130</f>
        <v>0</v>
      </c>
    </row>
    <row r="2761" customFormat="false" ht="15" hidden="true" customHeight="true" outlineLevel="0" collapsed="false">
      <c r="B2761" s="233" t="n">
        <f aca="false">B2760+D2761-C2761</f>
        <v>1219</v>
      </c>
      <c r="D2761" s="146" t="n">
        <f aca="false">299*2+310.5*2</f>
        <v>1219</v>
      </c>
      <c r="E2761" s="147" t="n">
        <v>53002116</v>
      </c>
      <c r="F2761" s="147" t="n">
        <f aca="false">IFERROR(VLOOKUP(H2761,$AD$1:$AE$301,2,0),"")</f>
        <v>855</v>
      </c>
      <c r="G2761" s="147" t="str">
        <f aca="false">IFERROR(VLOOKUP(F2761,$AE$2:$AF$290,2, 0),"")</f>
        <v>تبوك</v>
      </c>
      <c r="H2761" s="212" t="s">
        <v>141</v>
      </c>
      <c r="I2761" s="246" t="n">
        <f aca="false">SUM(K2761:R2761)</f>
        <v>4</v>
      </c>
      <c r="J2761" s="182" t="n">
        <v>46180</v>
      </c>
      <c r="K2761" s="446"/>
      <c r="R2761" s="155" t="n">
        <f aca="false">2+2</f>
        <v>4</v>
      </c>
      <c r="S2761" s="192" t="n">
        <f aca="false">(K2761+O2761+Q2761)*24 /1130+(L2761+M2761+P2761+R2761)*12/1130+(N2761*30)/1130</f>
        <v>0.0424778761061947</v>
      </c>
    </row>
    <row r="2762" customFormat="false" ht="15" hidden="true" customHeight="true" outlineLevel="0" collapsed="false">
      <c r="B2762" s="233" t="n">
        <f aca="false">B2761+D2762-C2762</f>
        <v>3496</v>
      </c>
      <c r="D2762" s="146" t="n">
        <f aca="false">379.5*6</f>
        <v>2277</v>
      </c>
      <c r="E2762" s="147" t="n">
        <v>53002117</v>
      </c>
      <c r="F2762" s="147" t="n">
        <f aca="false">IFERROR(VLOOKUP(H2762,$AD$1:$AE$301,2,0),"")</f>
        <v>1008261</v>
      </c>
      <c r="G2762" s="147" t="str">
        <f aca="false">IFERROR(VLOOKUP(F2762,$AE$2:$AF$290,2, 0),"")</f>
        <v>تبوك</v>
      </c>
      <c r="H2762" s="212" t="s">
        <v>440</v>
      </c>
      <c r="I2762" s="246" t="n">
        <f aca="false">SUM(K2762:R2762)</f>
        <v>7</v>
      </c>
      <c r="J2762" s="182" t="n">
        <v>46180</v>
      </c>
      <c r="K2762" s="446" t="n">
        <v>7</v>
      </c>
      <c r="S2762" s="192" t="n">
        <f aca="false">(K2762+O2762+Q2762)*24 /1130+(L2762+M2762+P2762+R2762)*12/1130+(N2762*30)/1130</f>
        <v>0.148672566371681</v>
      </c>
    </row>
    <row r="2763" customFormat="false" ht="15" hidden="true" customHeight="true" outlineLevel="0" collapsed="false">
      <c r="B2763" s="233" t="n">
        <f aca="false">B2762+D2763-C2763</f>
        <v>96</v>
      </c>
      <c r="C2763" s="127" t="n">
        <f aca="false">3400</f>
        <v>3400</v>
      </c>
      <c r="E2763" s="147" t="s">
        <v>679</v>
      </c>
      <c r="F2763" s="147" t="str">
        <f aca="false">IFERROR(VLOOKUP(H2763,$AD$1:$AE$301,2,0),"")</f>
        <v/>
      </c>
      <c r="G2763" s="147" t="str">
        <f aca="false">IFERROR(VLOOKUP(F2763,$AE$2:$AF$290,2, 0),"")</f>
        <v/>
      </c>
      <c r="H2763" s="212" t="s">
        <v>393</v>
      </c>
      <c r="I2763" s="246" t="n">
        <f aca="false">SUM(K2763:R2763)</f>
        <v>0</v>
      </c>
      <c r="J2763" s="182" t="n">
        <v>46180</v>
      </c>
      <c r="K2763" s="446"/>
      <c r="S2763" s="192" t="n">
        <f aca="false">(K2763+O2763+Q2763)*24 /1130+(L2763+M2763+P2763+R2763)*12/1130+(N2763*30)/1130</f>
        <v>0</v>
      </c>
    </row>
    <row r="2764" customFormat="false" ht="15" hidden="true" customHeight="true" outlineLevel="0" collapsed="false">
      <c r="B2764" s="233" t="n">
        <f aca="false">B2763+D2764-C2764</f>
        <v>0</v>
      </c>
      <c r="C2764" s="127" t="n">
        <v>96</v>
      </c>
      <c r="E2764" s="147" t="s">
        <v>677</v>
      </c>
      <c r="F2764" s="147" t="str">
        <f aca="false">IFERROR(VLOOKUP(H2764,$AD$1:$AE$301,2,0),"")</f>
        <v/>
      </c>
      <c r="G2764" s="147" t="str">
        <f aca="false">IFERROR(VLOOKUP(F2764,$AE$2:$AF$290,2, 0),"")</f>
        <v/>
      </c>
      <c r="H2764" s="212" t="s">
        <v>393</v>
      </c>
      <c r="I2764" s="246" t="n">
        <f aca="false">SUM(K2764:R2764)</f>
        <v>0</v>
      </c>
      <c r="J2764" s="182" t="n">
        <v>46181</v>
      </c>
      <c r="K2764" s="446"/>
      <c r="S2764" s="192" t="n">
        <f aca="false">(K2764+O2764+Q2764)*24 /1130+(L2764+M2764+P2764+R2764)*12/1130+(N2764*30)/1130</f>
        <v>0</v>
      </c>
    </row>
    <row r="2765" customFormat="false" ht="15" hidden="true" customHeight="true" outlineLevel="0" collapsed="false">
      <c r="B2765" s="233" t="n">
        <f aca="false">B2764+D2765-C2765</f>
        <v>2806</v>
      </c>
      <c r="D2765" s="146" t="n">
        <f aca="false">327.75*6+419.75*2</f>
        <v>2806</v>
      </c>
      <c r="E2765" s="147" t="n">
        <v>53002118</v>
      </c>
      <c r="F2765" s="147" t="n">
        <f aca="false">IFERROR(VLOOKUP(H2765,$AD$1:$AE$301,2,0),"")</f>
        <v>1002906</v>
      </c>
      <c r="G2765" s="147" t="str">
        <f aca="false">IFERROR(VLOOKUP(F2765,$AE$2:$AF$290,2, 0),"")</f>
        <v>تبوك</v>
      </c>
      <c r="H2765" s="212" t="s">
        <v>138</v>
      </c>
      <c r="I2765" s="246" t="n">
        <f aca="false">SUM(K2765:R2765)</f>
        <v>9</v>
      </c>
      <c r="J2765" s="182" t="n">
        <v>46181</v>
      </c>
      <c r="K2765" s="446"/>
      <c r="M2765" s="150" t="n">
        <v>7</v>
      </c>
      <c r="N2765" s="151" t="n">
        <v>2</v>
      </c>
      <c r="S2765" s="192" t="n">
        <f aca="false">(K2765+O2765+Q2765)*24 /1130+(L2765+M2765+P2765+R2765)*12/1130+(N2765*30)/1130</f>
        <v>0.127433628318584</v>
      </c>
    </row>
    <row r="2766" customFormat="false" ht="15" hidden="true" customHeight="true" outlineLevel="0" collapsed="false">
      <c r="B2766" s="233" t="n">
        <f aca="false">B2765+D2766-C2766</f>
        <v>0</v>
      </c>
      <c r="C2766" s="127" t="n">
        <v>2806</v>
      </c>
      <c r="E2766" s="147" t="s">
        <v>679</v>
      </c>
      <c r="F2766" s="147" t="str">
        <f aca="false">IFERROR(VLOOKUP(H2766,$AD$1:$AE$301,2,0),"")</f>
        <v/>
      </c>
      <c r="G2766" s="147" t="str">
        <f aca="false">IFERROR(VLOOKUP(F2766,$AE$2:$AF$290,2, 0),"")</f>
        <v/>
      </c>
      <c r="H2766" s="212" t="s">
        <v>393</v>
      </c>
      <c r="I2766" s="246" t="n">
        <f aca="false">SUM(K2766:R2766)</f>
        <v>0</v>
      </c>
      <c r="J2766" s="182" t="n">
        <v>46182</v>
      </c>
      <c r="K2766" s="446"/>
      <c r="S2766" s="192" t="n">
        <f aca="false">(K2766+O2766+Q2766)*24 /1130+(L2766+M2766+P2766+R2766)*12/1130+(N2766*30)/1130</f>
        <v>0</v>
      </c>
    </row>
    <row r="2767" customFormat="false" ht="15" hidden="true" customHeight="true" outlineLevel="0" collapsed="false">
      <c r="B2767" s="233" t="n">
        <f aca="false">B2766+D2767-C2767</f>
        <v>2415</v>
      </c>
      <c r="D2767" s="146" t="n">
        <v>2415</v>
      </c>
      <c r="E2767" s="147" t="n">
        <v>53002119</v>
      </c>
      <c r="F2767" s="147" t="n">
        <f aca="false">IFERROR(VLOOKUP(H2767,$AD$1:$AE$301,2,0),"")</f>
        <v>855</v>
      </c>
      <c r="G2767" s="147" t="str">
        <f aca="false">IFERROR(VLOOKUP(F2767,$AE$2:$AF$290,2, 0),"")</f>
        <v>تبوك</v>
      </c>
      <c r="H2767" s="212" t="s">
        <v>141</v>
      </c>
      <c r="I2767" s="246" t="n">
        <f aca="false">SUM(K2767:R2767)</f>
        <v>14</v>
      </c>
      <c r="J2767" s="182" t="n">
        <v>46183</v>
      </c>
      <c r="K2767" s="446"/>
      <c r="L2767" s="149" t="n">
        <v>14</v>
      </c>
      <c r="S2767" s="192" t="n">
        <f aca="false">(K2767+O2767+Q2767)*24 /1130+(L2767+M2767+P2767+R2767)*12/1130+(N2767*30)/1130</f>
        <v>0.148672566371681</v>
      </c>
    </row>
    <row r="2768" customFormat="false" ht="15" hidden="true" customHeight="true" outlineLevel="0" collapsed="false">
      <c r="B2768" s="233" t="n">
        <f aca="false">B2767+D2768-C2768</f>
        <v>0</v>
      </c>
      <c r="C2768" s="127" t="n">
        <f aca="false">243+200+650+110+592+325+295</f>
        <v>2415</v>
      </c>
      <c r="E2768" s="147" t="s">
        <v>675</v>
      </c>
      <c r="F2768" s="147" t="str">
        <f aca="false">IFERROR(VLOOKUP(H2768,$AD$1:$AE$301,2,0),"")</f>
        <v/>
      </c>
      <c r="G2768" s="147" t="str">
        <f aca="false">IFERROR(VLOOKUP(F2768,$AE$2:$AF$290,2, 0),"")</f>
        <v/>
      </c>
      <c r="H2768" s="212" t="s">
        <v>393</v>
      </c>
      <c r="I2768" s="246" t="n">
        <f aca="false">SUM(K2768:R2768)</f>
        <v>0</v>
      </c>
      <c r="J2768" s="182" t="n">
        <v>46183</v>
      </c>
      <c r="K2768" s="446"/>
      <c r="S2768" s="192" t="n">
        <f aca="false">(K2768+O2768+Q2768)*24 /1130+(L2768+M2768+P2768+R2768)*12/1130+(N2768*30)/1130</f>
        <v>0</v>
      </c>
    </row>
    <row r="2769" customFormat="false" ht="15" hidden="true" customHeight="true" outlineLevel="0" collapsed="false">
      <c r="B2769" s="233" t="n">
        <f aca="false">B2768+D2769-C2769</f>
        <v>2277</v>
      </c>
      <c r="D2769" s="146" t="n">
        <f aca="false">379.5*6</f>
        <v>2277</v>
      </c>
      <c r="E2769" s="147" t="n">
        <v>53002120</v>
      </c>
      <c r="F2769" s="147" t="n">
        <f aca="false">IFERROR(VLOOKUP(H2769,$AD$1:$AE$301,2,0),"")</f>
        <v>1002930</v>
      </c>
      <c r="G2769" s="147" t="str">
        <f aca="false">IFERROR(VLOOKUP(F2769,$AE$2:$AF$290,2, 0),"")</f>
        <v>تبوك</v>
      </c>
      <c r="H2769" s="212" t="s">
        <v>171</v>
      </c>
      <c r="I2769" s="246" t="n">
        <f aca="false">SUM(K2769:R2769)</f>
        <v>7</v>
      </c>
      <c r="J2769" s="182" t="n">
        <v>46184</v>
      </c>
      <c r="K2769" s="446" t="n">
        <v>7</v>
      </c>
      <c r="S2769" s="192" t="n">
        <f aca="false">(K2769+O2769+Q2769)*24 /1130+(L2769+M2769+P2769+R2769)*12/1130+(N2769*30)/1130</f>
        <v>0.148672566371681</v>
      </c>
    </row>
    <row r="2770" customFormat="false" ht="15" hidden="true" customHeight="true" outlineLevel="0" collapsed="false">
      <c r="B2770" s="233" t="n">
        <f aca="false">B2769+D2770-C2770</f>
        <v>0</v>
      </c>
      <c r="C2770" s="127" t="n">
        <f aca="false">2277</f>
        <v>2277</v>
      </c>
      <c r="E2770" s="147" t="s">
        <v>675</v>
      </c>
      <c r="F2770" s="147" t="str">
        <f aca="false">IFERROR(VLOOKUP(H2770,$AD$1:$AE$301,2,0),"")</f>
        <v/>
      </c>
      <c r="G2770" s="147" t="str">
        <f aca="false">IFERROR(VLOOKUP(F2770,$AE$2:$AF$290,2, 0),"")</f>
        <v/>
      </c>
      <c r="H2770" s="212" t="s">
        <v>393</v>
      </c>
      <c r="I2770" s="246" t="n">
        <f aca="false">SUM(K2770:R2770)</f>
        <v>0</v>
      </c>
      <c r="J2770" s="182" t="n">
        <v>46184</v>
      </c>
      <c r="K2770" s="446"/>
      <c r="S2770" s="192" t="n">
        <f aca="false">(K2770+O2770+Q2770)*24 /1130+(L2770+M2770+P2770+R2770)*12/1130+(N2770*30)/1130</f>
        <v>0</v>
      </c>
    </row>
    <row r="2771" customFormat="false" ht="15" hidden="true" customHeight="true" outlineLevel="0" collapsed="false">
      <c r="B2771" s="233" t="n">
        <f aca="false">B2770+D2771-C2771</f>
        <v>161</v>
      </c>
      <c r="D2771" s="146" t="n">
        <f aca="false">161</f>
        <v>161</v>
      </c>
      <c r="E2771" s="147" t="n">
        <v>53002121</v>
      </c>
      <c r="F2771" s="147" t="n">
        <f aca="false">IFERROR(VLOOKUP(H2771,$AD$1:$AE$301,2,0),"")</f>
        <v>1071</v>
      </c>
      <c r="G2771" s="147" t="str">
        <f aca="false">IFERROR(VLOOKUP(F2771,$AE$2:$AF$290,2, 0),"")</f>
        <v>تبوك</v>
      </c>
      <c r="H2771" s="212" t="s">
        <v>135</v>
      </c>
      <c r="I2771" s="246" t="n">
        <f aca="false">SUM(K2771:R2771)</f>
        <v>1</v>
      </c>
      <c r="J2771" s="182" t="n">
        <v>46187</v>
      </c>
      <c r="K2771" s="446"/>
      <c r="Q2771" s="154" t="n">
        <v>1</v>
      </c>
      <c r="S2771" s="192" t="n">
        <f aca="false">(K2771+O2771+Q2771)*24 /1130+(L2771+M2771+P2771+R2771)*12/1130+(N2771*30)/1130</f>
        <v>0.0212389380530973</v>
      </c>
    </row>
    <row r="2772" customFormat="false" ht="15" hidden="true" customHeight="true" outlineLevel="0" collapsed="false">
      <c r="B2772" s="233" t="n">
        <f aca="false">B2771+D2772-C2772</f>
        <v>713</v>
      </c>
      <c r="D2772" s="146" t="n">
        <f aca="false">184*3</f>
        <v>552</v>
      </c>
      <c r="E2772" s="147" t="n">
        <v>53002122</v>
      </c>
      <c r="F2772" s="147" t="n">
        <f aca="false">IFERROR(VLOOKUP(H2772,$AD$1:$AE$301,2,0),"")</f>
        <v>1008260</v>
      </c>
      <c r="G2772" s="147" t="str">
        <f aca="false">IFERROR(VLOOKUP(F2772,$AE$2:$AF$290,2, 0),"")</f>
        <v>تبوك</v>
      </c>
      <c r="H2772" s="212" t="s">
        <v>184</v>
      </c>
      <c r="I2772" s="246" t="n">
        <f aca="false">SUM(K2772:R2772)</f>
        <v>3</v>
      </c>
      <c r="J2772" s="182" t="n">
        <v>46187</v>
      </c>
      <c r="K2772" s="446"/>
      <c r="R2772" s="155" t="n">
        <v>3</v>
      </c>
      <c r="S2772" s="192" t="n">
        <f aca="false">(K2772+O2772+Q2772)*24 /1130+(L2772+M2772+P2772+R2772)*12/1130+(N2772*30)/1130</f>
        <v>0.031858407079646</v>
      </c>
    </row>
    <row r="2773" customFormat="false" ht="15" hidden="true" customHeight="true" outlineLevel="0" collapsed="false">
      <c r="B2773" s="233" t="n">
        <f aca="false">B2772+D2773-C2773</f>
        <v>897</v>
      </c>
      <c r="D2773" s="146" t="n">
        <v>184</v>
      </c>
      <c r="E2773" s="147" t="n">
        <v>53002123</v>
      </c>
      <c r="F2773" s="147" t="n">
        <f aca="false">IFERROR(VLOOKUP(H2773,$AD$1:$AE$301,2,0),"")</f>
        <v>1002895</v>
      </c>
      <c r="G2773" s="147" t="str">
        <f aca="false">IFERROR(VLOOKUP(F2773,$AE$2:$AF$290,2, 0),"")</f>
        <v>تبوك</v>
      </c>
      <c r="H2773" s="212" t="s">
        <v>173</v>
      </c>
      <c r="I2773" s="246" t="n">
        <f aca="false">SUM(K2773:R2773)</f>
        <v>1</v>
      </c>
      <c r="J2773" s="182" t="n">
        <v>46187</v>
      </c>
      <c r="K2773" s="446"/>
      <c r="R2773" s="155" t="n">
        <v>1</v>
      </c>
      <c r="S2773" s="192" t="n">
        <f aca="false">(K2773+O2773+Q2773)*24 /1130+(L2773+M2773+P2773+R2773)*12/1130+(N2773*30)/1130</f>
        <v>0.0106194690265487</v>
      </c>
    </row>
    <row r="2774" customFormat="false" ht="15" hidden="true" customHeight="true" outlineLevel="0" collapsed="false">
      <c r="B2774" s="233" t="n">
        <f aca="false">B2773+D2774-C2774</f>
        <v>3335</v>
      </c>
      <c r="D2774" s="146" t="n">
        <f aca="false">2277+161</f>
        <v>2438</v>
      </c>
      <c r="E2774" s="147" t="n">
        <v>53002124</v>
      </c>
      <c r="F2774" s="147" t="n">
        <f aca="false">IFERROR(VLOOKUP(H2774,$AD$1:$AE$301,2,0),"")</f>
        <v>1002938</v>
      </c>
      <c r="G2774" s="147" t="str">
        <f aca="false">IFERROR(VLOOKUP(F2774,$AE$2:$AF$290,2, 0),"")</f>
        <v>تبوك</v>
      </c>
      <c r="H2774" s="212" t="s">
        <v>175</v>
      </c>
      <c r="I2774" s="246" t="n">
        <f aca="false">SUM(K2774:R2774)</f>
        <v>8</v>
      </c>
      <c r="J2774" s="182" t="n">
        <v>46187</v>
      </c>
      <c r="K2774" s="447" t="n">
        <v>7</v>
      </c>
      <c r="Q2774" s="154" t="n">
        <v>1</v>
      </c>
      <c r="S2774" s="192" t="n">
        <f aca="false">(K2774+O2774+Q2774)*24 /1130+(L2774+M2774+P2774+R2774)*12/1130+(N2774*30)/1130</f>
        <v>0.169911504424779</v>
      </c>
    </row>
    <row r="2775" customFormat="false" ht="15" hidden="true" customHeight="true" outlineLevel="0" collapsed="false">
      <c r="B2775" s="233" t="n">
        <f aca="false">B2774+D2775-C2775</f>
        <v>0</v>
      </c>
      <c r="C2775" s="127" t="n">
        <v>3335</v>
      </c>
      <c r="E2775" s="147" t="s">
        <v>675</v>
      </c>
      <c r="F2775" s="147" t="str">
        <f aca="false">IFERROR(VLOOKUP(H2775,$AD$1:$AE$301,2,0),"")</f>
        <v/>
      </c>
      <c r="G2775" s="147" t="str">
        <f aca="false">IFERROR(VLOOKUP(F2775,$AE$2:$AF$290,2, 0),"")</f>
        <v/>
      </c>
      <c r="H2775" s="212" t="s">
        <v>393</v>
      </c>
      <c r="I2775" s="246" t="n">
        <f aca="false">SUM(K2775:R2775)</f>
        <v>0</v>
      </c>
      <c r="J2775" s="182" t="n">
        <v>46187</v>
      </c>
      <c r="K2775" s="448"/>
      <c r="S2775" s="192" t="n">
        <f aca="false">(K2775+O2775+Q2775)*24 /1130+(L2775+M2775+P2775+R2775)*12/1130+(N2775*30)/1130</f>
        <v>0</v>
      </c>
    </row>
    <row r="2776" customFormat="false" ht="15" hidden="true" customHeight="true" outlineLevel="0" collapsed="false">
      <c r="B2776" s="233" t="n">
        <f aca="false">B2775+D2776-C2776</f>
        <v>1966.5</v>
      </c>
      <c r="D2776" s="146" t="n">
        <f aca="false">1966.5</f>
        <v>1966.5</v>
      </c>
      <c r="E2776" s="147" t="n">
        <v>53002125</v>
      </c>
      <c r="F2776" s="147" t="n">
        <f aca="false">IFERROR(VLOOKUP(H2776,$AD$1:$AE$301,2,0),"")</f>
        <v>984</v>
      </c>
      <c r="G2776" s="147" t="str">
        <f aca="false">IFERROR(VLOOKUP(F2776,$AE$2:$AF$290,2, 0),"")</f>
        <v>تبوك</v>
      </c>
      <c r="H2776" s="212" t="s">
        <v>131</v>
      </c>
      <c r="I2776" s="246" t="n">
        <f aca="false">SUM(K2776:R2776)</f>
        <v>7</v>
      </c>
      <c r="J2776" s="182" t="n">
        <v>46188</v>
      </c>
      <c r="M2776" s="150" t="n">
        <v>7</v>
      </c>
      <c r="S2776" s="192" t="n">
        <f aca="false">(K2776+O2776+Q2776)*24 /1130+(L2776+M2776+P2776+R2776)*12/1130+(N2776*30)/1130</f>
        <v>0.0743362831858407</v>
      </c>
    </row>
    <row r="2777" customFormat="false" ht="15" hidden="true" customHeight="true" outlineLevel="0" collapsed="false">
      <c r="B2777" s="233" t="n">
        <f aca="false">B2776+D2777-C2777</f>
        <v>4243.5</v>
      </c>
      <c r="D2777" s="146" t="n">
        <v>2277</v>
      </c>
      <c r="E2777" s="147" t="n">
        <v>53002126</v>
      </c>
      <c r="F2777" s="147" t="n">
        <f aca="false">IFERROR(VLOOKUP(H2777,$AD$1:$AE$301,2,0),"")</f>
        <v>1008260</v>
      </c>
      <c r="G2777" s="147" t="str">
        <f aca="false">IFERROR(VLOOKUP(F2777,$AE$2:$AF$290,2, 0),"")</f>
        <v>تبوك</v>
      </c>
      <c r="H2777" s="212" t="s">
        <v>184</v>
      </c>
      <c r="I2777" s="246" t="n">
        <f aca="false">SUM(K2777:R2777)</f>
        <v>7</v>
      </c>
      <c r="J2777" s="182" t="n">
        <v>46188</v>
      </c>
      <c r="K2777" s="445" t="n">
        <v>7</v>
      </c>
      <c r="S2777" s="192" t="n">
        <f aca="false">(K2777+O2777+Q2777)*24 /1130+(L2777+M2777+P2777+R2777)*12/1130+(N2777*30)/1130</f>
        <v>0.148672566371681</v>
      </c>
    </row>
    <row r="2778" customFormat="false" ht="15" hidden="true" customHeight="true" outlineLevel="0" collapsed="false">
      <c r="B2778" s="233" t="n">
        <f aca="false">B2777+D2778-C2778</f>
        <v>1641.5</v>
      </c>
      <c r="C2778" s="127" t="n">
        <f aca="false">400+202+2000</f>
        <v>2602</v>
      </c>
      <c r="E2778" s="147" t="s">
        <v>675</v>
      </c>
      <c r="F2778" s="147" t="str">
        <f aca="false">IFERROR(VLOOKUP(H2778,$AD$1:$AE$301,2,0),"")</f>
        <v/>
      </c>
      <c r="G2778" s="147" t="str">
        <f aca="false">IFERROR(VLOOKUP(F2778,$AE$2:$AF$290,2, 0),"")</f>
        <v/>
      </c>
      <c r="H2778" s="212" t="s">
        <v>393</v>
      </c>
      <c r="I2778" s="246" t="n">
        <f aca="false">SUM(K2778:R2778)</f>
        <v>0</v>
      </c>
      <c r="J2778" s="182" t="n">
        <v>46187</v>
      </c>
      <c r="K2778" s="446"/>
      <c r="S2778" s="192" t="n">
        <f aca="false">(K2778+O2778+Q2778)*24 /1130+(L2778+M2778+P2778+R2778)*12/1130+(N2778*30)/1130</f>
        <v>0</v>
      </c>
    </row>
    <row r="2779" customFormat="false" ht="15" hidden="true" customHeight="true" outlineLevel="0" collapsed="false">
      <c r="B2779" s="233" t="n">
        <f aca="false">B2778+D2779-C2779</f>
        <v>1.5</v>
      </c>
      <c r="C2779" s="127" t="n">
        <f aca="false">1140+500</f>
        <v>1640</v>
      </c>
      <c r="E2779" s="147" t="s">
        <v>677</v>
      </c>
      <c r="F2779" s="147" t="str">
        <f aca="false">IFERROR(VLOOKUP(H2779,$AD$1:$AE$301,2,0),"")</f>
        <v/>
      </c>
      <c r="G2779" s="147" t="str">
        <f aca="false">IFERROR(VLOOKUP(F2779,$AE$2:$AF$290,2, 0),"")</f>
        <v/>
      </c>
      <c r="H2779" s="212" t="s">
        <v>393</v>
      </c>
      <c r="I2779" s="246" t="n">
        <f aca="false">SUM(K2779:R2779)</f>
        <v>0</v>
      </c>
      <c r="J2779" s="182" t="n">
        <v>46188</v>
      </c>
      <c r="K2779" s="446"/>
      <c r="S2779" s="192" t="n">
        <f aca="false">(K2779+O2779+Q2779)*24 /1130+(L2779+M2779+P2779+R2779)*12/1130+(N2779*30)/1130</f>
        <v>0</v>
      </c>
    </row>
    <row r="2780" customFormat="false" ht="15" hidden="true" customHeight="true" outlineLevel="0" collapsed="false">
      <c r="B2780" s="233" t="n">
        <f aca="false">B2779+D2780-C2780</f>
        <v>162.5</v>
      </c>
      <c r="D2780" s="146" t="n">
        <v>161</v>
      </c>
      <c r="E2780" s="147" t="n">
        <v>53002127</v>
      </c>
      <c r="F2780" s="147" t="n">
        <f aca="false">IFERROR(VLOOKUP(H2780,$AD$1:$AE$301,2,0),"")</f>
        <v>1008022</v>
      </c>
      <c r="G2780" s="147" t="str">
        <f aca="false">IFERROR(VLOOKUP(F2780,$AE$2:$AF$290,2, 0),"")</f>
        <v>ضباء</v>
      </c>
      <c r="H2780" s="212" t="s">
        <v>94</v>
      </c>
      <c r="I2780" s="246" t="n">
        <f aca="false">SUM(K2780:R2780)</f>
        <v>1</v>
      </c>
      <c r="J2780" s="182" t="n">
        <v>46188</v>
      </c>
      <c r="K2780" s="446"/>
      <c r="Q2780" s="154" t="n">
        <v>1</v>
      </c>
      <c r="S2780" s="192" t="n">
        <f aca="false">(K2780+O2780+Q2780)*24 /1130+(L2780+M2780+P2780+R2780)*12/1130+(N2780*30)/1130</f>
        <v>0.0212389380530973</v>
      </c>
    </row>
    <row r="2781" customFormat="false" ht="15" hidden="true" customHeight="true" outlineLevel="0" collapsed="false">
      <c r="B2781" s="233" t="n">
        <f aca="false">B2780+D2781-C2781</f>
        <v>645.5</v>
      </c>
      <c r="D2781" s="146" t="n">
        <v>483</v>
      </c>
      <c r="E2781" s="147" t="n">
        <v>53002128</v>
      </c>
      <c r="F2781" s="147" t="n">
        <f aca="false">IFERROR(VLOOKUP(H2781,$AD$1:$AE$301,2,0),"")</f>
        <v>1007988</v>
      </c>
      <c r="G2781" s="147" t="str">
        <f aca="false">IFERROR(VLOOKUP(F2781,$AE$2:$AF$290,2, 0),"")</f>
        <v>ضباء</v>
      </c>
      <c r="H2781" s="212" t="s">
        <v>89</v>
      </c>
      <c r="I2781" s="246" t="n">
        <f aca="false">SUM(K2781:R2781)</f>
        <v>2</v>
      </c>
      <c r="J2781" s="182" t="n">
        <v>46189</v>
      </c>
      <c r="K2781" s="446"/>
      <c r="M2781" s="150" t="n">
        <v>2</v>
      </c>
      <c r="S2781" s="192" t="n">
        <f aca="false">(K2781+O2781+Q2781)*24 /1130+(L2781+M2781+P2781+R2781)*12/1130+(N2781*30)/1130</f>
        <v>0.0212389380530973</v>
      </c>
    </row>
    <row r="2782" customFormat="false" ht="15" hidden="true" customHeight="true" outlineLevel="0" collapsed="false">
      <c r="B2782" s="233" t="n">
        <f aca="false">B2781+D2782-C2782</f>
        <v>1255</v>
      </c>
      <c r="D2782" s="146" t="n">
        <v>609.5</v>
      </c>
      <c r="E2782" s="147" t="n">
        <v>53002129</v>
      </c>
      <c r="F2782" s="147" t="n">
        <f aca="false">IFERROR(VLOOKUP(H2782,$AD$1:$AE$301,2,0),"")</f>
        <v>1008032</v>
      </c>
      <c r="G2782" s="147" t="str">
        <f aca="false">IFERROR(VLOOKUP(F2782,$AE$2:$AF$290,2, 0),"")</f>
        <v>ضباء</v>
      </c>
      <c r="H2782" s="212" t="s">
        <v>101</v>
      </c>
      <c r="I2782" s="246" t="n">
        <f aca="false">SUM(K2782:R2782)</f>
        <v>2</v>
      </c>
      <c r="J2782" s="182" t="n">
        <v>46189</v>
      </c>
      <c r="K2782" s="446"/>
      <c r="O2782" s="152" t="n">
        <v>2</v>
      </c>
      <c r="S2782" s="192" t="n">
        <f aca="false">(K2782+O2782+Q2782)*24 /1130+(L2782+M2782+P2782+R2782)*12/1130+(N2782*30)/1130</f>
        <v>0.0424778761061947</v>
      </c>
    </row>
    <row r="2783" customFormat="false" ht="15" hidden="true" customHeight="true" outlineLevel="0" collapsed="false">
      <c r="B2783" s="233" t="n">
        <f aca="false">B2782+D2783-C2783</f>
        <v>1600</v>
      </c>
      <c r="D2783" s="146" t="n">
        <f aca="false">161+184</f>
        <v>345</v>
      </c>
      <c r="E2783" s="147" t="n">
        <v>53002130</v>
      </c>
      <c r="F2783" s="147" t="n">
        <f aca="false">IFERROR(VLOOKUP(H2783,$AD$1:$AE$301,2,0),"")</f>
        <v>1008043</v>
      </c>
      <c r="G2783" s="147" t="str">
        <f aca="false">IFERROR(VLOOKUP(F2783,$AE$2:$AF$290,2, 0),"")</f>
        <v>الوجه</v>
      </c>
      <c r="H2783" s="212" t="s">
        <v>104</v>
      </c>
      <c r="I2783" s="246" t="n">
        <f aca="false">SUM(K2783:R2783)</f>
        <v>2</v>
      </c>
      <c r="J2783" s="182" t="n">
        <v>46189</v>
      </c>
      <c r="K2783" s="446"/>
      <c r="Q2783" s="154" t="n">
        <v>1</v>
      </c>
      <c r="R2783" s="155" t="n">
        <v>1</v>
      </c>
      <c r="S2783" s="192" t="n">
        <f aca="false">(K2783+O2783+Q2783)*24 /1130+(L2783+M2783+P2783+R2783)*12/1130+(N2783*30)/1130</f>
        <v>0.031858407079646</v>
      </c>
    </row>
    <row r="2784" customFormat="false" ht="15" hidden="true" customHeight="true" outlineLevel="0" collapsed="false">
      <c r="B2784" s="233" t="n">
        <f aca="false">B2783+D2784-C2784</f>
        <v>3877</v>
      </c>
      <c r="D2784" s="146" t="n">
        <v>2277</v>
      </c>
      <c r="E2784" s="147" t="n">
        <v>53002131</v>
      </c>
      <c r="F2784" s="147" t="n">
        <f aca="false">IFERROR(VLOOKUP(H2784,$AD$1:$AE$301,2,0),"")</f>
        <v>1002</v>
      </c>
      <c r="G2784" s="147" t="str">
        <f aca="false">IFERROR(VLOOKUP(F2784,$AE$2:$AF$290,2, 0),"")</f>
        <v>الوجه</v>
      </c>
      <c r="H2784" s="212" t="s">
        <v>116</v>
      </c>
      <c r="I2784" s="246" t="n">
        <f aca="false">SUM(K2784:R2784)</f>
        <v>7</v>
      </c>
      <c r="J2784" s="182" t="n">
        <v>46189</v>
      </c>
      <c r="K2784" s="447" t="n">
        <v>7</v>
      </c>
      <c r="S2784" s="192" t="n">
        <f aca="false">(K2784+O2784+Q2784)*24 /1130+(L2784+M2784+P2784+R2784)*12/1130+(N2784*30)/1130</f>
        <v>0.148672566371681</v>
      </c>
    </row>
    <row r="2785" customFormat="false" ht="15" hidden="true" customHeight="true" outlineLevel="0" collapsed="false">
      <c r="B2785" s="233" t="n">
        <f aca="false">B2784+D2785-C2785</f>
        <v>4199</v>
      </c>
      <c r="D2785" s="146" t="n">
        <f aca="false">161+161</f>
        <v>322</v>
      </c>
      <c r="E2785" s="147" t="n">
        <v>53002132</v>
      </c>
      <c r="F2785" s="147" t="n">
        <f aca="false">IFERROR(VLOOKUP(H2785,$AD$1:$AE$301,2,0),"")</f>
        <v>656</v>
      </c>
      <c r="G2785" s="147" t="str">
        <f aca="false">IFERROR(VLOOKUP(F2785,$AE$2:$AF$290,2, 0),"")</f>
        <v>الوجه</v>
      </c>
      <c r="H2785" s="212" t="s">
        <v>115</v>
      </c>
      <c r="I2785" s="246" t="n">
        <f aca="false">SUM(K2785:R2785)</f>
        <v>2</v>
      </c>
      <c r="J2785" s="182" t="n">
        <v>46189</v>
      </c>
      <c r="K2785" s="446"/>
      <c r="Q2785" s="154" t="n">
        <v>2</v>
      </c>
      <c r="S2785" s="192" t="n">
        <f aca="false">(K2785+O2785+Q2785)*24 /1130+(L2785+M2785+P2785+R2785)*12/1130+(N2785*30)/1130</f>
        <v>0.0424778761061947</v>
      </c>
    </row>
    <row r="2786" customFormat="false" ht="15" hidden="true" customHeight="true" outlineLevel="0" collapsed="false">
      <c r="B2786" s="233" t="n">
        <f aca="false">B2785+D2786-C2786</f>
        <v>6959</v>
      </c>
      <c r="D2786" s="146" t="n">
        <f aca="false">161*3+2277</f>
        <v>2760</v>
      </c>
      <c r="E2786" s="147" t="n">
        <v>53002133</v>
      </c>
      <c r="F2786" s="147" t="n">
        <f aca="false">IFERROR(VLOOKUP(H2786,$AD$1:$AE$301,2,0),"")</f>
        <v>1008047</v>
      </c>
      <c r="G2786" s="147" t="str">
        <f aca="false">IFERROR(VLOOKUP(F2786,$AE$2:$AF$290,2, 0),"")</f>
        <v>الوجه</v>
      </c>
      <c r="H2786" s="212" t="s">
        <v>422</v>
      </c>
      <c r="I2786" s="246" t="n">
        <f aca="false">SUM(K2786:R2786)</f>
        <v>10</v>
      </c>
      <c r="J2786" s="182" t="n">
        <v>46189</v>
      </c>
      <c r="K2786" s="447" t="n">
        <v>7</v>
      </c>
      <c r="Q2786" s="154" t="n">
        <v>3</v>
      </c>
      <c r="S2786" s="192" t="n">
        <f aca="false">(K2786+O2786+Q2786)*24 /1130+(L2786+M2786+P2786+R2786)*12/1130+(N2786*30)/1130</f>
        <v>0.212389380530973</v>
      </c>
    </row>
    <row r="2787" customFormat="false" ht="15" hidden="true" customHeight="true" outlineLevel="0" collapsed="false">
      <c r="B2787" s="233" t="n">
        <f aca="false">B2786+D2787-C2787</f>
        <v>4836</v>
      </c>
      <c r="C2787" s="127" t="n">
        <f aca="false">500+725+183+650+65</f>
        <v>2123</v>
      </c>
      <c r="E2787" s="147" t="s">
        <v>675</v>
      </c>
      <c r="F2787" s="147" t="str">
        <f aca="false">IFERROR(VLOOKUP(H2787,$AD$1:$AE$301,2,0),"")</f>
        <v/>
      </c>
      <c r="G2787" s="147" t="str">
        <f aca="false">IFERROR(VLOOKUP(F2787,$AE$2:$AF$290,2, 0),"")</f>
        <v/>
      </c>
      <c r="H2787" s="212" t="s">
        <v>393</v>
      </c>
      <c r="I2787" s="246" t="n">
        <f aca="false">SUM(K2787:R2787)</f>
        <v>0</v>
      </c>
      <c r="J2787" s="182" t="n">
        <v>46189</v>
      </c>
      <c r="K2787" s="446"/>
      <c r="S2787" s="192" t="n">
        <f aca="false">(K2787+O2787+Q2787)*24 /1130+(L2787+M2787+P2787+R2787)*12/1130+(N2787*30)/1130</f>
        <v>0</v>
      </c>
    </row>
    <row r="2788" customFormat="false" ht="15" hidden="true" customHeight="true" outlineLevel="0" collapsed="false">
      <c r="B2788" s="233" t="n">
        <f aca="false">B2787+D2788-C2788</f>
        <v>2076</v>
      </c>
      <c r="C2788" s="127" t="n">
        <v>2760</v>
      </c>
      <c r="E2788" s="147" t="s">
        <v>677</v>
      </c>
      <c r="F2788" s="147" t="str">
        <f aca="false">IFERROR(VLOOKUP(H2788,$AD$1:$AE$301,2,0),"")</f>
        <v/>
      </c>
      <c r="G2788" s="147" t="str">
        <f aca="false">IFERROR(VLOOKUP(F2788,$AE$2:$AF$290,2, 0),"")</f>
        <v/>
      </c>
      <c r="H2788" s="212" t="s">
        <v>393</v>
      </c>
      <c r="I2788" s="246" t="n">
        <f aca="false">SUM(K2788:R2788)</f>
        <v>0</v>
      </c>
      <c r="J2788" s="182" t="n">
        <v>46189</v>
      </c>
      <c r="K2788" s="446"/>
      <c r="S2788" s="192" t="n">
        <f aca="false">(K2788+O2788+Q2788)*24 /1130+(L2788+M2788+P2788+R2788)*12/1130+(N2788*30)/1130</f>
        <v>0</v>
      </c>
    </row>
    <row r="2789" customFormat="false" ht="15" hidden="true" customHeight="true" outlineLevel="0" collapsed="false">
      <c r="B2789" s="233" t="n">
        <f aca="false">B2788+D2789-C2789</f>
        <v>2237</v>
      </c>
      <c r="D2789" s="146" t="n">
        <v>161</v>
      </c>
      <c r="E2789" s="147" t="n">
        <v>53002134</v>
      </c>
      <c r="F2789" s="147" t="n">
        <f aca="false">IFERROR(VLOOKUP(H2789,$AD$1:$AE$301,2,0),"")</f>
        <v>1002928</v>
      </c>
      <c r="G2789" s="147" t="str">
        <f aca="false">IFERROR(VLOOKUP(F2789,$AE$2:$AF$290,2, 0),"")</f>
        <v>تبوك</v>
      </c>
      <c r="H2789" s="212" t="s">
        <v>149</v>
      </c>
      <c r="I2789" s="246" t="n">
        <f aca="false">SUM(K2789:R2789)</f>
        <v>1</v>
      </c>
      <c r="J2789" s="182" t="n">
        <v>46190</v>
      </c>
      <c r="K2789" s="446"/>
      <c r="Q2789" s="154" t="n">
        <v>1</v>
      </c>
      <c r="S2789" s="192" t="n">
        <f aca="false">(K2789+O2789+Q2789)*24 /1130+(L2789+M2789+P2789+R2789)*12/1130+(N2789*30)/1130</f>
        <v>0.0212389380530973</v>
      </c>
    </row>
    <row r="2790" customFormat="false" ht="15" hidden="true" customHeight="true" outlineLevel="0" collapsed="false">
      <c r="B2790" s="233" t="n">
        <f aca="false">B2789+D2790-C2790</f>
        <v>2398</v>
      </c>
      <c r="D2790" s="146" t="n">
        <v>161</v>
      </c>
      <c r="E2790" s="147" t="n">
        <v>53002135</v>
      </c>
      <c r="F2790" s="147" t="n">
        <f aca="false">IFERROR(VLOOKUP(H2790,$AD$1:$AE$301,2,0),"")</f>
        <v>1008272</v>
      </c>
      <c r="G2790" s="147" t="str">
        <f aca="false">IFERROR(VLOOKUP(F2790,$AE$2:$AF$290,2, 0),"")</f>
        <v>تبوك</v>
      </c>
      <c r="H2790" s="212" t="s">
        <v>143</v>
      </c>
      <c r="I2790" s="246" t="n">
        <f aca="false">SUM(K2790:R2790)</f>
        <v>1</v>
      </c>
      <c r="J2790" s="182" t="n">
        <v>46190</v>
      </c>
      <c r="K2790" s="446"/>
      <c r="Q2790" s="154" t="n">
        <v>1</v>
      </c>
      <c r="S2790" s="192" t="n">
        <f aca="false">(K2790+O2790+Q2790)*24 /1130+(L2790+M2790+P2790+R2790)*12/1130+(N2790*30)/1130</f>
        <v>0.0212389380530973</v>
      </c>
    </row>
    <row r="2791" customFormat="false" ht="15" hidden="true" customHeight="true" outlineLevel="0" collapsed="false">
      <c r="B2791" s="233" t="n">
        <f aca="false">B2790+D2791-C2791</f>
        <v>2559</v>
      </c>
      <c r="D2791" s="146" t="n">
        <v>161</v>
      </c>
      <c r="E2791" s="147" t="n">
        <v>53002136</v>
      </c>
      <c r="F2791" s="147" t="n">
        <f aca="false">IFERROR(VLOOKUP(H2791,$AD$1:$AE$301,2,0),"")</f>
        <v>1008275</v>
      </c>
      <c r="G2791" s="147" t="str">
        <f aca="false">IFERROR(VLOOKUP(F2791,$AE$2:$AF$290,2, 0),"")</f>
        <v>تبوك</v>
      </c>
      <c r="H2791" s="212" t="s">
        <v>179</v>
      </c>
      <c r="I2791" s="246" t="n">
        <f aca="false">SUM(K2791:R2791)</f>
        <v>1</v>
      </c>
      <c r="J2791" s="182" t="n">
        <v>46190</v>
      </c>
      <c r="K2791" s="446"/>
      <c r="Q2791" s="154" t="n">
        <v>1</v>
      </c>
      <c r="S2791" s="192" t="n">
        <f aca="false">(K2791+O2791+Q2791)*24 /1130+(L2791+M2791+P2791+R2791)*12/1130+(N2791*30)/1130</f>
        <v>0.0212389380530973</v>
      </c>
    </row>
    <row r="2792" customFormat="false" ht="15" hidden="true" customHeight="true" outlineLevel="0" collapsed="false">
      <c r="B2792" s="233" t="n">
        <f aca="false">B2791+D2792-C2792</f>
        <v>2743</v>
      </c>
      <c r="D2792" s="146" t="n">
        <v>184</v>
      </c>
      <c r="E2792" s="147" t="n">
        <v>53002137</v>
      </c>
      <c r="F2792" s="147" t="n">
        <f aca="false">IFERROR(VLOOKUP(H2792,$AD$1:$AE$301,2,0),"")</f>
        <v>1008266</v>
      </c>
      <c r="G2792" s="147" t="str">
        <f aca="false">IFERROR(VLOOKUP(F2792,$AE$2:$AF$290,2, 0),"")</f>
        <v>تبوك</v>
      </c>
      <c r="H2792" s="212" t="s">
        <v>178</v>
      </c>
      <c r="I2792" s="246" t="n">
        <f aca="false">SUM(K2792:R2792)</f>
        <v>1</v>
      </c>
      <c r="J2792" s="182" t="n">
        <v>46190</v>
      </c>
      <c r="K2792" s="446"/>
      <c r="R2792" s="155" t="n">
        <v>1</v>
      </c>
      <c r="S2792" s="192" t="n">
        <f aca="false">(K2792+O2792+Q2792)*24 /1130+(L2792+M2792+P2792+R2792)*12/1130+(N2792*30)/1130</f>
        <v>0.0106194690265487</v>
      </c>
    </row>
    <row r="2793" customFormat="false" ht="15" hidden="true" customHeight="true" outlineLevel="0" collapsed="false">
      <c r="B2793" s="233" t="n">
        <f aca="false">B2792+D2793-C2793</f>
        <v>3065</v>
      </c>
      <c r="D2793" s="146" t="n">
        <f aca="false">161*2</f>
        <v>322</v>
      </c>
      <c r="E2793" s="147" t="n">
        <v>53002138</v>
      </c>
      <c r="F2793" s="147" t="n">
        <f aca="false">IFERROR(VLOOKUP(H2793,$AD$1:$AE$301,2,0),"")</f>
        <v>1002875</v>
      </c>
      <c r="G2793" s="147" t="str">
        <f aca="false">IFERROR(VLOOKUP(F2793,$AE$2:$AF$290,2, 0),"")</f>
        <v>تبوك</v>
      </c>
      <c r="H2793" s="212" t="s">
        <v>161</v>
      </c>
      <c r="I2793" s="246" t="n">
        <f aca="false">SUM(K2793:R2793)</f>
        <v>2</v>
      </c>
      <c r="J2793" s="182" t="n">
        <v>46190</v>
      </c>
      <c r="K2793" s="446"/>
      <c r="Q2793" s="154" t="n">
        <v>2</v>
      </c>
      <c r="S2793" s="192" t="n">
        <f aca="false">(K2793+O2793+Q2793)*24 /1130+(L2793+M2793+P2793+R2793)*12/1130+(N2793*30)/1130</f>
        <v>0.0424778761061947</v>
      </c>
    </row>
    <row r="2794" customFormat="false" ht="15" hidden="true" customHeight="true" outlineLevel="0" collapsed="false">
      <c r="B2794" s="233" t="n">
        <f aca="false">B2793+D2794-C2794</f>
        <v>0</v>
      </c>
      <c r="C2794" s="127" t="n">
        <v>3065</v>
      </c>
      <c r="E2794" s="147" t="s">
        <v>679</v>
      </c>
      <c r="F2794" s="147" t="str">
        <f aca="false">IFERROR(VLOOKUP(H2794,$AD$1:$AE$301,2,0),"")</f>
        <v/>
      </c>
      <c r="G2794" s="147" t="str">
        <f aca="false">IFERROR(VLOOKUP(F2794,$AE$2:$AF$290,2, 0),"")</f>
        <v/>
      </c>
      <c r="H2794" s="212" t="s">
        <v>393</v>
      </c>
      <c r="I2794" s="246" t="n">
        <f aca="false">SUM(K2794:R2794)</f>
        <v>0</v>
      </c>
      <c r="J2794" s="182" t="n">
        <v>46190</v>
      </c>
      <c r="K2794" s="446"/>
      <c r="S2794" s="192" t="n">
        <f aca="false">(K2794+O2794+Q2794)*24 /1130+(L2794+M2794+P2794+R2794)*12/1130+(N2794*30)/1130</f>
        <v>0</v>
      </c>
    </row>
    <row r="2795" customFormat="false" ht="15" hidden="true" customHeight="true" outlineLevel="0" collapsed="false">
      <c r="B2795" s="233" t="n">
        <f aca="false">B2794+D2795-C2795</f>
        <v>2909.5</v>
      </c>
      <c r="D2795" s="146" t="n">
        <f aca="false">2277+2*161+310.5</f>
        <v>2909.5</v>
      </c>
      <c r="E2795" s="147" t="n">
        <v>53002139</v>
      </c>
      <c r="F2795" s="147" t="n">
        <f aca="false">IFERROR(VLOOKUP(H2795,$AD$1:$AE$301,2,0),"")</f>
        <v>721</v>
      </c>
      <c r="G2795" s="147" t="str">
        <f aca="false">IFERROR(VLOOKUP(F2795,$AE$2:$AF$290,2, 0),"")</f>
        <v>تبوك</v>
      </c>
      <c r="H2795" s="212" t="s">
        <v>183</v>
      </c>
      <c r="I2795" s="246" t="n">
        <f aca="false">SUM(K2795:R2795)</f>
        <v>10</v>
      </c>
      <c r="J2795" s="182" t="n">
        <v>46190</v>
      </c>
      <c r="K2795" s="448" t="n">
        <v>7</v>
      </c>
      <c r="Q2795" s="154" t="n">
        <v>2</v>
      </c>
      <c r="R2795" s="155" t="n">
        <v>1</v>
      </c>
      <c r="S2795" s="192" t="n">
        <f aca="false">(K2795+O2795+Q2795)*24 /1130+(L2795+M2795+P2795+R2795)*12/1130+(N2795*30)/1130</f>
        <v>0.201769911504425</v>
      </c>
    </row>
    <row r="2796" customFormat="false" ht="15" hidden="true" customHeight="true" outlineLevel="0" collapsed="false">
      <c r="B2796" s="233" t="n">
        <f aca="false">B2795+D2796-C2796</f>
        <v>0.5</v>
      </c>
      <c r="C2796" s="127" t="n">
        <v>2909</v>
      </c>
      <c r="E2796" s="147" t="s">
        <v>679</v>
      </c>
      <c r="F2796" s="147" t="str">
        <f aca="false">IFERROR(VLOOKUP(H2796,$AD$1:$AE$301,2,0),"")</f>
        <v/>
      </c>
      <c r="G2796" s="147" t="str">
        <f aca="false">IFERROR(VLOOKUP(F2796,$AE$2:$AF$290,2, 0),"")</f>
        <v/>
      </c>
      <c r="H2796" s="212" t="s">
        <v>393</v>
      </c>
      <c r="I2796" s="246" t="n">
        <f aca="false">SUM(K2796:R2796)</f>
        <v>0</v>
      </c>
      <c r="J2796" s="182" t="n">
        <v>46190</v>
      </c>
      <c r="S2796" s="192" t="n">
        <f aca="false">(K2796+O2796+Q2796)*24 /1130+(L2796+M2796+P2796+R2796)*12/1130+(N2796*30)/1130</f>
        <v>0</v>
      </c>
    </row>
    <row r="2797" customFormat="false" ht="15" hidden="true" customHeight="true" outlineLevel="0" collapsed="false">
      <c r="B2797" s="233" t="n">
        <f aca="false">B2796+D2797-C2797</f>
        <v>8360.5</v>
      </c>
      <c r="D2797" s="146" t="n">
        <f aca="false">8360</f>
        <v>8360</v>
      </c>
      <c r="E2797" s="147" t="n">
        <v>53002140</v>
      </c>
      <c r="F2797" s="147" t="n">
        <f aca="false">IFERROR(VLOOKUP(H2797,$AD$1:$AE$301,2,0),"")</f>
        <v>1063</v>
      </c>
      <c r="G2797" s="147" t="str">
        <f aca="false">IFERROR(VLOOKUP(F2797,$AE$2:$AF$290,2, 0),"")</f>
        <v>تبوك</v>
      </c>
      <c r="H2797" s="212" t="s">
        <v>158</v>
      </c>
      <c r="I2797" s="246" t="n">
        <f aca="false">SUM(K2797:R2797)</f>
        <v>29</v>
      </c>
      <c r="J2797" s="182" t="n">
        <v>46194</v>
      </c>
      <c r="L2797" s="149" t="n">
        <v>2</v>
      </c>
      <c r="M2797" s="150" t="n">
        <f aca="false">21+2+2</f>
        <v>25</v>
      </c>
      <c r="R2797" s="155" t="n">
        <f aca="false">2</f>
        <v>2</v>
      </c>
      <c r="S2797" s="192" t="n">
        <f aca="false">(K2797+O2797+Q2797)*24 /1130+(L2797+M2797+P2797+R2797)*12/1130+(N2797*30)/1130</f>
        <v>0.307964601769912</v>
      </c>
    </row>
    <row r="2798" customFormat="false" ht="15" hidden="true" customHeight="true" outlineLevel="0" collapsed="false">
      <c r="B2798" s="233" t="n">
        <f aca="false">B2797+D2798-C2798</f>
        <v>6682.71</v>
      </c>
      <c r="C2798" s="127" t="n">
        <f aca="false">720+957.79</f>
        <v>1677.79</v>
      </c>
      <c r="E2798" s="147" t="s">
        <v>677</v>
      </c>
      <c r="F2798" s="147" t="str">
        <f aca="false">IFERROR(VLOOKUP(H2798,$AD$1:$AE$301,2,0),"")</f>
        <v/>
      </c>
      <c r="G2798" s="147" t="str">
        <f aca="false">IFERROR(VLOOKUP(F2798,$AE$2:$AF$290,2, 0),"")</f>
        <v/>
      </c>
      <c r="H2798" s="212" t="s">
        <v>393</v>
      </c>
      <c r="I2798" s="246" t="n">
        <f aca="false">SUM(K2798:R2798)</f>
        <v>0</v>
      </c>
      <c r="J2798" s="182" t="n">
        <v>46195</v>
      </c>
      <c r="S2798" s="192" t="n">
        <f aca="false">(K2798+O2798+Q2798)*24 /1130+(L2798+M2798+P2798+R2798)*12/1130+(N2798*30)/1130</f>
        <v>0</v>
      </c>
    </row>
    <row r="2799" customFormat="false" ht="15" hidden="true" customHeight="true" outlineLevel="0" collapsed="false">
      <c r="B2799" s="233" t="n">
        <f aca="false">B2798+D2799-C2799</f>
        <v>5746.71</v>
      </c>
      <c r="C2799" s="127" t="n">
        <f aca="false">500+200+200+36</f>
        <v>936</v>
      </c>
      <c r="E2799" s="147" t="s">
        <v>675</v>
      </c>
      <c r="F2799" s="147" t="str">
        <f aca="false">IFERROR(VLOOKUP(H2799,$AD$1:$AE$301,2,0),"")</f>
        <v/>
      </c>
      <c r="G2799" s="147" t="str">
        <f aca="false">IFERROR(VLOOKUP(F2799,$AE$2:$AF$290,2, 0),"")</f>
        <v/>
      </c>
      <c r="H2799" s="212" t="s">
        <v>393</v>
      </c>
      <c r="I2799" s="246" t="n">
        <f aca="false">SUM(K2799:R2799)</f>
        <v>0</v>
      </c>
      <c r="J2799" s="182" t="n">
        <v>46195</v>
      </c>
      <c r="S2799" s="192" t="n">
        <f aca="false">(K2799+O2799+Q2799)*24 /1130+(L2799+M2799+P2799+R2799)*12/1130+(N2799*30)/1130</f>
        <v>0</v>
      </c>
    </row>
    <row r="2800" customFormat="false" ht="15" hidden="true" customHeight="true" outlineLevel="0" collapsed="false">
      <c r="B2800" s="233" t="n">
        <f aca="false">B2799+D2800-C2800</f>
        <v>0.710000000000036</v>
      </c>
      <c r="C2800" s="127" t="n">
        <v>5746</v>
      </c>
      <c r="E2800" s="147" t="s">
        <v>679</v>
      </c>
      <c r="F2800" s="147" t="str">
        <f aca="false">IFERROR(VLOOKUP(H2800,$AD$1:$AE$301,2,0),"")</f>
        <v/>
      </c>
      <c r="G2800" s="147" t="str">
        <f aca="false">IFERROR(VLOOKUP(F2800,$AE$2:$AF$290,2, 0),"")</f>
        <v/>
      </c>
      <c r="H2800" s="212" t="s">
        <v>393</v>
      </c>
      <c r="I2800" s="246" t="n">
        <f aca="false">SUM(K2800:R2800)</f>
        <v>0</v>
      </c>
      <c r="J2800" s="182" t="n">
        <v>46195</v>
      </c>
      <c r="S2800" s="192" t="n">
        <f aca="false">(K2800+O2800+Q2800)*24 /1130+(L2800+M2800+P2800+R2800)*12/1130+(N2800*30)/1130</f>
        <v>0</v>
      </c>
    </row>
    <row r="2801" customFormat="false" ht="15" hidden="true" customHeight="true" outlineLevel="0" collapsed="false">
      <c r="B2801" s="233" t="n">
        <f aca="false">B2800+D2801-C2801</f>
        <v>1035.71</v>
      </c>
      <c r="D2801" s="146" t="n">
        <f aca="false">161*5+230</f>
        <v>1035</v>
      </c>
      <c r="E2801" s="147" t="n">
        <v>53002141</v>
      </c>
      <c r="F2801" s="147" t="n">
        <f aca="false">IFERROR(VLOOKUP(H2801,$AD$1:$AE$301,2,0),"")</f>
        <v>1063</v>
      </c>
      <c r="G2801" s="147" t="str">
        <f aca="false">IFERROR(VLOOKUP(F2801,$AE$2:$AF$290,2, 0),"")</f>
        <v>تبوك</v>
      </c>
      <c r="H2801" s="212" t="s">
        <v>158</v>
      </c>
      <c r="I2801" s="246" t="n">
        <f aca="false">SUM(K2801:R2801)</f>
        <v>6</v>
      </c>
      <c r="J2801" s="182" t="n">
        <v>46195</v>
      </c>
      <c r="Q2801" s="154" t="n">
        <v>5</v>
      </c>
      <c r="R2801" s="155" t="n">
        <v>1</v>
      </c>
      <c r="S2801" s="192" t="n">
        <f aca="false">(K2801+O2801+Q2801)*24 /1130+(L2801+M2801+P2801+R2801)*12/1130+(N2801*30)/1130</f>
        <v>0.116814159292035</v>
      </c>
    </row>
    <row r="2802" customFormat="false" ht="15" hidden="true" customHeight="true" outlineLevel="0" collapsed="false">
      <c r="B2802" s="233" t="n">
        <f aca="false">B2801+D2802-C2802</f>
        <v>2726.21</v>
      </c>
      <c r="D2802" s="146" t="n">
        <f aca="false">201.25*6+161*3</f>
        <v>1690.5</v>
      </c>
      <c r="E2802" s="147" t="n">
        <v>53002142</v>
      </c>
      <c r="F2802" s="147" t="n">
        <f aca="false">IFERROR(VLOOKUP(H2802,$AD$1:$AE$301,2,0),"")</f>
        <v>855</v>
      </c>
      <c r="G2802" s="147" t="str">
        <f aca="false">IFERROR(VLOOKUP(F2802,$AE$2:$AF$290,2, 0),"")</f>
        <v>تبوك</v>
      </c>
      <c r="H2802" s="212" t="s">
        <v>141</v>
      </c>
      <c r="I2802" s="246" t="n">
        <f aca="false">SUM(K2802:R2802)</f>
        <v>10</v>
      </c>
      <c r="J2802" s="182" t="n">
        <v>46196</v>
      </c>
      <c r="L2802" s="149" t="n">
        <v>7</v>
      </c>
      <c r="Q2802" s="154" t="n">
        <v>3</v>
      </c>
      <c r="S2802" s="192" t="n">
        <f aca="false">(K2802+O2802+Q2802)*24 /1130+(L2802+M2802+P2802+R2802)*12/1130+(N2802*30)/1130</f>
        <v>0.138053097345133</v>
      </c>
    </row>
    <row r="2803" customFormat="false" ht="15" hidden="true" customHeight="true" outlineLevel="0" collapsed="false">
      <c r="B2803" s="233" t="n">
        <f aca="false">B2802+D2803-C2803</f>
        <v>2226</v>
      </c>
      <c r="C2803" s="127" t="n">
        <v>500</v>
      </c>
      <c r="D2803" s="146" t="n">
        <v>-0.21</v>
      </c>
      <c r="E2803" s="147" t="s">
        <v>677</v>
      </c>
      <c r="F2803" s="147" t="str">
        <f aca="false">IFERROR(VLOOKUP(H2803,$AD$1:$AE$301,2,0),"")</f>
        <v/>
      </c>
      <c r="G2803" s="147" t="str">
        <f aca="false">IFERROR(VLOOKUP(F2803,$AE$2:$AF$290,2, 0),"")</f>
        <v/>
      </c>
      <c r="H2803" s="212" t="s">
        <v>393</v>
      </c>
      <c r="I2803" s="246" t="n">
        <f aca="false">SUM(K2803:R2803)</f>
        <v>0</v>
      </c>
      <c r="J2803" s="182" t="n">
        <v>46195</v>
      </c>
      <c r="S2803" s="192" t="n">
        <f aca="false">(K2803+O2803+Q2803)*24 /1130+(L2803+M2803+P2803+R2803)*12/1130+(N2803*30)/1130</f>
        <v>0</v>
      </c>
    </row>
    <row r="2804" customFormat="false" ht="15" hidden="true" customHeight="true" outlineLevel="0" collapsed="false">
      <c r="B2804" s="233" t="n">
        <f aca="false">B2803+D2804-C2804</f>
        <v>0</v>
      </c>
      <c r="C2804" s="127" t="n">
        <v>2226</v>
      </c>
      <c r="E2804" s="147" t="s">
        <v>679</v>
      </c>
      <c r="F2804" s="147" t="str">
        <f aca="false">IFERROR(VLOOKUP(H2804,$AD$1:$AE$301,2,0),"")</f>
        <v/>
      </c>
      <c r="G2804" s="147" t="str">
        <f aca="false">IFERROR(VLOOKUP(F2804,$AE$2:$AF$290,2, 0),"")</f>
        <v/>
      </c>
      <c r="H2804" s="212" t="s">
        <v>393</v>
      </c>
      <c r="I2804" s="246" t="n">
        <f aca="false">SUM(K2804:R2804)</f>
        <v>0</v>
      </c>
      <c r="J2804" s="182" t="n">
        <v>46195</v>
      </c>
      <c r="S2804" s="192" t="n">
        <f aca="false">(K2804+O2804+Q2804)*24 /1130+(L2804+M2804+P2804+R2804)*12/1130+(N2804*30)/1130</f>
        <v>0</v>
      </c>
    </row>
    <row r="2805" customFormat="false" ht="15" hidden="true" customHeight="true" outlineLevel="0" collapsed="false">
      <c r="B2805" s="233" t="n">
        <f aca="false">B2804+D2805-C2805</f>
        <v>161</v>
      </c>
      <c r="D2805" s="146" t="n">
        <v>161</v>
      </c>
      <c r="E2805" s="147" t="n">
        <v>53002143</v>
      </c>
      <c r="F2805" s="147" t="n">
        <f aca="false">IFERROR(VLOOKUP(H2805,$AD$1:$AE$301,2,0),"")</f>
        <v>1071</v>
      </c>
      <c r="G2805" s="147" t="str">
        <f aca="false">IFERROR(VLOOKUP(F2805,$AE$2:$AF$290,2, 0),"")</f>
        <v>تبوك</v>
      </c>
      <c r="H2805" s="212" t="s">
        <v>135</v>
      </c>
      <c r="I2805" s="246" t="n">
        <f aca="false">SUM(K2805:R2805)</f>
        <v>1</v>
      </c>
      <c r="J2805" s="182" t="n">
        <v>46197</v>
      </c>
      <c r="Q2805" s="154" t="n">
        <v>1</v>
      </c>
      <c r="S2805" s="192" t="n">
        <f aca="false">(K2805+O2805+Q2805)*24 /1130+(L2805+M2805+P2805+R2805)*12/1130+(N2805*30)/1130</f>
        <v>0.0212389380530973</v>
      </c>
    </row>
    <row r="2806" customFormat="false" ht="15" hidden="true" customHeight="true" outlineLevel="0" collapsed="false">
      <c r="B2806" s="233" t="n">
        <f aca="false">B2805+D2806-C2806</f>
        <v>465.75</v>
      </c>
      <c r="D2806" s="146" t="n">
        <v>304.75</v>
      </c>
      <c r="E2806" s="147" t="n">
        <v>53002144</v>
      </c>
      <c r="F2806" s="147" t="n">
        <f aca="false">IFERROR(VLOOKUP(H2806,$AD$1:$AE$301,2,0),"")</f>
        <v>1008266</v>
      </c>
      <c r="G2806" s="147" t="str">
        <f aca="false">IFERROR(VLOOKUP(F2806,$AE$2:$AF$290,2, 0),"")</f>
        <v>تبوك</v>
      </c>
      <c r="H2806" s="212" t="s">
        <v>178</v>
      </c>
      <c r="I2806" s="246" t="n">
        <f aca="false">SUM(K2806:R2806)</f>
        <v>1</v>
      </c>
      <c r="J2806" s="182" t="n">
        <v>46197</v>
      </c>
      <c r="O2806" s="152" t="n">
        <v>1</v>
      </c>
      <c r="S2806" s="192" t="n">
        <f aca="false">(K2806+O2806+Q2806)*24 /1130+(L2806+M2806+P2806+R2806)*12/1130+(N2806*30)/1130</f>
        <v>0.0212389380530973</v>
      </c>
    </row>
    <row r="2807" customFormat="false" ht="15" hidden="true" customHeight="true" outlineLevel="0" collapsed="false">
      <c r="B2807" s="233" t="n">
        <f aca="false">B2806+D2807-C2807</f>
        <v>649.75</v>
      </c>
      <c r="D2807" s="146" t="n">
        <v>184</v>
      </c>
      <c r="E2807" s="147" t="n">
        <v>53002145</v>
      </c>
      <c r="F2807" s="147" t="n">
        <f aca="false">IFERROR(VLOOKUP(H2807,$AD$1:$AE$301,2,0),"")</f>
        <v>755</v>
      </c>
      <c r="G2807" s="147" t="str">
        <f aca="false">IFERROR(VLOOKUP(F2807,$AE$2:$AF$290,2, 0),"")</f>
        <v>تبوك</v>
      </c>
      <c r="H2807" s="212" t="s">
        <v>180</v>
      </c>
      <c r="I2807" s="246" t="n">
        <f aca="false">SUM(K2807:R2807)</f>
        <v>1</v>
      </c>
      <c r="J2807" s="182" t="n">
        <v>46197</v>
      </c>
      <c r="R2807" s="155" t="n">
        <v>1</v>
      </c>
      <c r="S2807" s="192" t="n">
        <f aca="false">(K2807+O2807+Q2807)*24 /1130+(L2807+M2807+P2807+R2807)*12/1130+(N2807*30)/1130</f>
        <v>0.0106194690265487</v>
      </c>
    </row>
    <row r="2808" customFormat="false" ht="15" hidden="true" customHeight="true" outlineLevel="0" collapsed="false">
      <c r="B2808" s="233" t="n">
        <f aca="false">B2807+D2808-C2808</f>
        <v>833.75</v>
      </c>
      <c r="D2808" s="146" t="n">
        <v>184</v>
      </c>
      <c r="E2808" s="147" t="n">
        <v>53002146</v>
      </c>
      <c r="F2808" s="147" t="n">
        <f aca="false">IFERROR(VLOOKUP(H2808,$AD$1:$AE$301,2,0),"")</f>
        <v>622</v>
      </c>
      <c r="G2808" s="147" t="str">
        <f aca="false">IFERROR(VLOOKUP(F2808,$AE$2:$AF$290,2, 0),"")</f>
        <v>تبوك</v>
      </c>
      <c r="H2808" s="212" t="s">
        <v>177</v>
      </c>
      <c r="I2808" s="246" t="n">
        <f aca="false">SUM(K2808:R2808)</f>
        <v>1</v>
      </c>
      <c r="J2808" s="182" t="n">
        <v>46197</v>
      </c>
      <c r="R2808" s="155" t="n">
        <v>1</v>
      </c>
      <c r="S2808" s="192" t="n">
        <f aca="false">(K2808+O2808+Q2808)*24 /1130+(L2808+M2808+P2808+R2808)*12/1130+(N2808*30)/1130</f>
        <v>0.0106194690265487</v>
      </c>
    </row>
    <row r="2809" customFormat="false" ht="15" hidden="true" customHeight="true" outlineLevel="0" collapsed="false">
      <c r="B2809" s="233" t="n">
        <f aca="false">B2808+D2809-C2809</f>
        <v>1144.25</v>
      </c>
      <c r="D2809" s="146" t="n">
        <v>310.5</v>
      </c>
      <c r="E2809" s="147" t="n">
        <v>53002147</v>
      </c>
      <c r="F2809" s="147" t="n">
        <f aca="false">IFERROR(VLOOKUP(H2809,$AD$1:$AE$301,2,0),"")</f>
        <v>553</v>
      </c>
      <c r="G2809" s="147" t="str">
        <f aca="false">IFERROR(VLOOKUP(F2809,$AE$2:$AF$290,2, 0),"")</f>
        <v>تبوك</v>
      </c>
      <c r="H2809" s="212" t="s">
        <v>150</v>
      </c>
      <c r="I2809" s="246" t="n">
        <f aca="false">SUM(K2809:R2809)</f>
        <v>1</v>
      </c>
      <c r="J2809" s="182" t="n">
        <v>46197</v>
      </c>
      <c r="R2809" s="155" t="n">
        <v>1</v>
      </c>
      <c r="S2809" s="192" t="n">
        <f aca="false">(K2809+O2809+Q2809)*24 /1130+(L2809+M2809+P2809+R2809)*12/1130+(N2809*30)/1130</f>
        <v>0.0106194690265487</v>
      </c>
    </row>
    <row r="2810" customFormat="false" ht="15" hidden="true" customHeight="true" outlineLevel="0" collapsed="false">
      <c r="B2810" s="233" t="n">
        <f aca="false">B2809+D2810-C2810</f>
        <v>1443.25</v>
      </c>
      <c r="D2810" s="146" t="n">
        <v>299</v>
      </c>
      <c r="E2810" s="147" t="n">
        <v>53002148</v>
      </c>
      <c r="F2810" s="147" t="n">
        <f aca="false">IFERROR(VLOOKUP(H2810,$AD$1:$AE$301,2,0),"")</f>
        <v>541</v>
      </c>
      <c r="G2810" s="147" t="str">
        <f aca="false">IFERROR(VLOOKUP(F2810,$AE$2:$AF$290,2, 0),"")</f>
        <v>تبوك</v>
      </c>
      <c r="H2810" s="212" t="s">
        <v>163</v>
      </c>
      <c r="I2810" s="246" t="n">
        <f aca="false">SUM(K2810:R2810)</f>
        <v>1</v>
      </c>
      <c r="J2810" s="182" t="n">
        <v>46197</v>
      </c>
      <c r="R2810" s="155" t="n">
        <v>1</v>
      </c>
      <c r="S2810" s="192" t="n">
        <f aca="false">(K2810+O2810+Q2810)*24 /1130+(L2810+M2810+P2810+R2810)*12/1130+(N2810*30)/1130</f>
        <v>0.0106194690265487</v>
      </c>
    </row>
    <row r="2811" customFormat="false" ht="15" hidden="true" customHeight="true" outlineLevel="0" collapsed="false">
      <c r="B2811" s="233" t="n">
        <f aca="false">B2810+D2811-C2811</f>
        <v>1604.25</v>
      </c>
      <c r="D2811" s="146" t="n">
        <v>161</v>
      </c>
      <c r="E2811" s="147" t="n">
        <v>53002149</v>
      </c>
      <c r="F2811" s="147" t="n">
        <f aca="false">IFERROR(VLOOKUP(H2811,$AD$1:$AE$301,2,0),"")</f>
        <v>1064</v>
      </c>
      <c r="G2811" s="147" t="str">
        <f aca="false">IFERROR(VLOOKUP(F2811,$AE$2:$AF$290,2, 0),"")</f>
        <v>تبوك</v>
      </c>
      <c r="H2811" s="212" t="s">
        <v>219</v>
      </c>
      <c r="I2811" s="246" t="n">
        <f aca="false">SUM(K2811:R2811)</f>
        <v>1</v>
      </c>
      <c r="J2811" s="182" t="n">
        <v>46197</v>
      </c>
      <c r="Q2811" s="154" t="n">
        <v>1</v>
      </c>
      <c r="S2811" s="192" t="n">
        <f aca="false">(K2811+O2811+Q2811)*24 /1130+(L2811+M2811+P2811+R2811)*12/1130+(N2811*30)/1130</f>
        <v>0.0212389380530973</v>
      </c>
    </row>
    <row r="2812" customFormat="false" ht="15" hidden="true" customHeight="true" outlineLevel="0" collapsed="false">
      <c r="B2812" s="233" t="n">
        <f aca="false">B2811+D2812-C2812</f>
        <v>0</v>
      </c>
      <c r="C2812" s="127" t="n">
        <f aca="false">100+113+120+681+550+40</f>
        <v>1604</v>
      </c>
      <c r="D2812" s="146" t="n">
        <v>-0.25</v>
      </c>
      <c r="E2812" s="147" t="s">
        <v>675</v>
      </c>
      <c r="F2812" s="147" t="str">
        <f aca="false">IFERROR(VLOOKUP(H2812,$AD$1:$AE$301,2,0),"")</f>
        <v/>
      </c>
      <c r="G2812" s="147" t="str">
        <f aca="false">IFERROR(VLOOKUP(F2812,$AE$2:$AF$290,2, 0),"")</f>
        <v/>
      </c>
      <c r="H2812" s="212" t="s">
        <v>393</v>
      </c>
      <c r="I2812" s="246" t="n">
        <f aca="false">SUM(K2812:R2812)</f>
        <v>0</v>
      </c>
      <c r="J2812" s="182" t="n">
        <v>46197</v>
      </c>
      <c r="S2812" s="192" t="n">
        <f aca="false">(K2812+O2812+Q2812)*24 /1130+(L2812+M2812+P2812+R2812)*12/1130+(N2812*30)/1130</f>
        <v>0</v>
      </c>
    </row>
    <row r="2813" customFormat="false" ht="15" hidden="true" customHeight="true" outlineLevel="0" collapsed="false">
      <c r="B2813" s="233" t="n">
        <f aca="false">B2812+D2813-C2813</f>
        <v>2277</v>
      </c>
      <c r="D2813" s="146" t="n">
        <v>2277</v>
      </c>
      <c r="E2813" s="147" t="n">
        <v>53002150</v>
      </c>
      <c r="F2813" s="147" t="n">
        <f aca="false">IFERROR(VLOOKUP(H2813,$AD$1:$AE$301,2,0),"")</f>
        <v>984</v>
      </c>
      <c r="G2813" s="147" t="str">
        <f aca="false">IFERROR(VLOOKUP(F2813,$AE$2:$AF$290,2, 0),"")</f>
        <v>تبوك</v>
      </c>
      <c r="H2813" s="212" t="s">
        <v>131</v>
      </c>
      <c r="I2813" s="246" t="n">
        <f aca="false">SUM(K2813:R2813)</f>
        <v>7</v>
      </c>
      <c r="J2813" s="182" t="n">
        <v>46198</v>
      </c>
      <c r="K2813" s="444" t="n">
        <v>7</v>
      </c>
      <c r="S2813" s="192" t="n">
        <f aca="false">(K2813+O2813+Q2813)*24 /1130+(L2813+M2813+P2813+R2813)*12/1130+(N2813*30)/1130</f>
        <v>0.148672566371681</v>
      </c>
    </row>
    <row r="2814" customFormat="false" ht="15" hidden="true" customHeight="true" outlineLevel="0" collapsed="false">
      <c r="B2814" s="233" t="n">
        <f aca="false">B2813+D2814-C2814</f>
        <v>4554</v>
      </c>
      <c r="D2814" s="146" t="n">
        <v>2277</v>
      </c>
      <c r="E2814" s="147" t="n">
        <v>53002151</v>
      </c>
      <c r="F2814" s="147" t="n">
        <f aca="false">IFERROR(VLOOKUP(H2814,$AD$1:$AE$301,2,0),"")</f>
        <v>1212</v>
      </c>
      <c r="G2814" s="147" t="str">
        <f aca="false">IFERROR(VLOOKUP(F2814,$AE$2:$AF$290,2, 0),"")</f>
        <v>تبوك</v>
      </c>
      <c r="H2814" s="212" t="s">
        <v>191</v>
      </c>
      <c r="I2814" s="246" t="n">
        <f aca="false">SUM(K2814:R2814)</f>
        <v>7</v>
      </c>
      <c r="J2814" s="182" t="n">
        <v>46198</v>
      </c>
      <c r="K2814" s="444" t="n">
        <v>7</v>
      </c>
      <c r="S2814" s="192" t="n">
        <f aca="false">(K2814+O2814+Q2814)*24 /1130+(L2814+M2814+P2814+R2814)*12/1130+(N2814*30)/1130</f>
        <v>0.148672566371681</v>
      </c>
    </row>
    <row r="2815" customFormat="false" ht="15" hidden="true" customHeight="true" outlineLevel="0" collapsed="false">
      <c r="B2815" s="233" t="n">
        <f aca="false">B2814+D2815-C2815</f>
        <v>4956.5</v>
      </c>
      <c r="D2815" s="146" t="n">
        <f aca="false">161+241.5</f>
        <v>402.5</v>
      </c>
      <c r="E2815" s="147" t="n">
        <v>53002152</v>
      </c>
      <c r="F2815" s="147" t="n">
        <f aca="false">IFERROR(VLOOKUP(H2815,$AD$1:$AE$301,2,0),"")</f>
        <v>1008261</v>
      </c>
      <c r="G2815" s="147" t="str">
        <f aca="false">IFERROR(VLOOKUP(F2815,$AE$2:$AF$290,2, 0),"")</f>
        <v>تبوك</v>
      </c>
      <c r="H2815" s="212" t="s">
        <v>440</v>
      </c>
      <c r="I2815" s="246" t="n">
        <f aca="false">SUM(K2815:R2815)</f>
        <v>2</v>
      </c>
      <c r="J2815" s="182" t="n">
        <v>46198</v>
      </c>
      <c r="M2815" s="150" t="n">
        <v>1</v>
      </c>
      <c r="Q2815" s="154" t="n">
        <v>1</v>
      </c>
      <c r="S2815" s="192" t="n">
        <f aca="false">(K2815+O2815+Q2815)*24 /1130+(L2815+M2815+P2815+R2815)*12/1130+(N2815*30)/1130</f>
        <v>0.031858407079646</v>
      </c>
    </row>
    <row r="2816" customFormat="false" ht="15" hidden="true" customHeight="true" outlineLevel="0" collapsed="false">
      <c r="B2816" s="233" t="n">
        <f aca="false">B2815+D2816-C2816</f>
        <v>6164</v>
      </c>
      <c r="D2816" s="146" t="n">
        <v>1207.5</v>
      </c>
      <c r="E2816" s="147" t="n">
        <v>53002153</v>
      </c>
      <c r="F2816" s="147" t="n">
        <f aca="false">IFERROR(VLOOKUP(H2816,$AD$1:$AE$301,2,0),"")</f>
        <v>855</v>
      </c>
      <c r="G2816" s="147" t="str">
        <f aca="false">IFERROR(VLOOKUP(F2816,$AE$2:$AF$290,2, 0),"")</f>
        <v>تبوك</v>
      </c>
      <c r="H2816" s="212" t="s">
        <v>141</v>
      </c>
      <c r="I2816" s="246" t="n">
        <f aca="false">SUM(K2816:R2816)</f>
        <v>7</v>
      </c>
      <c r="J2816" s="182" t="n">
        <v>46198</v>
      </c>
      <c r="L2816" s="149" t="n">
        <v>7</v>
      </c>
      <c r="S2816" s="192" t="n">
        <f aca="false">(K2816+O2816+Q2816)*24 /1130+(L2816+M2816+P2816+R2816)*12/1130+(N2816*30)/1130</f>
        <v>0.0743362831858407</v>
      </c>
    </row>
    <row r="2817" customFormat="false" ht="15" hidden="true" customHeight="true" outlineLevel="0" collapsed="false">
      <c r="B2817" s="233" t="n">
        <f aca="false">B2816+D2817-C2817</f>
        <v>8441</v>
      </c>
      <c r="D2817" s="146" t="n">
        <v>2277</v>
      </c>
      <c r="E2817" s="147" t="n">
        <v>53002154</v>
      </c>
      <c r="F2817" s="147" t="n">
        <f aca="false">IFERROR(VLOOKUP(H2817,$AD$1:$AE$301,2,0),"")</f>
        <v>855</v>
      </c>
      <c r="G2817" s="147" t="str">
        <f aca="false">IFERROR(VLOOKUP(F2817,$AE$2:$AF$290,2, 0),"")</f>
        <v>تبوك</v>
      </c>
      <c r="H2817" s="212" t="s">
        <v>141</v>
      </c>
      <c r="I2817" s="246" t="n">
        <f aca="false">SUM(K2817:R2817)</f>
        <v>7</v>
      </c>
      <c r="J2817" s="182" t="n">
        <v>46198</v>
      </c>
      <c r="K2817" s="444" t="n">
        <f aca="false">4+3</f>
        <v>7</v>
      </c>
      <c r="S2817" s="192" t="n">
        <f aca="false">(K2817+O2817+Q2817)*24 /1130+(L2817+M2817+P2817+R2817)*12/1130+(N2817*30)/1130</f>
        <v>0.148672566371681</v>
      </c>
    </row>
    <row r="2818" customFormat="false" ht="15" hidden="true" customHeight="true" outlineLevel="0" collapsed="false">
      <c r="B2818" s="233" t="n">
        <f aca="false">B2817+D2818-C2818</f>
        <v>10304</v>
      </c>
      <c r="D2818" s="146" t="n">
        <f aca="false">263.67*6+280.98</f>
        <v>1863</v>
      </c>
      <c r="E2818" s="147" t="n">
        <v>53002155</v>
      </c>
      <c r="F2818" s="147" t="n">
        <f aca="false">IFERROR(VLOOKUP(H2818,$AD$1:$AE$301,2,0),"")</f>
        <v>1002875</v>
      </c>
      <c r="G2818" s="147" t="str">
        <f aca="false">IFERROR(VLOOKUP(F2818,$AE$2:$AF$290,2, 0),"")</f>
        <v>تبوك</v>
      </c>
      <c r="H2818" s="212" t="s">
        <v>161</v>
      </c>
      <c r="I2818" s="246" t="n">
        <f aca="false">SUM(K2818:R2818)</f>
        <v>7</v>
      </c>
      <c r="J2818" s="182" t="n">
        <v>46198</v>
      </c>
      <c r="M2818" s="150" t="n">
        <f aca="false">6+1</f>
        <v>7</v>
      </c>
      <c r="S2818" s="192" t="n">
        <f aca="false">(K2818+O2818+Q2818)*24 /1130+(L2818+M2818+P2818+R2818)*12/1130+(N2818*30)/1130</f>
        <v>0.0743362831858407</v>
      </c>
    </row>
    <row r="2819" customFormat="false" ht="15" hidden="true" customHeight="true" outlineLevel="0" collapsed="false">
      <c r="B2819" s="233" t="n">
        <f aca="false">B2818+D2819-C2819</f>
        <v>12581</v>
      </c>
      <c r="D2819" s="146" t="n">
        <v>2277</v>
      </c>
      <c r="E2819" s="147" t="n">
        <v>53002156</v>
      </c>
      <c r="F2819" s="147" t="n">
        <f aca="false">IFERROR(VLOOKUP(H2819,$AD$1:$AE$301,2,0),"")</f>
        <v>1002949</v>
      </c>
      <c r="G2819" s="147" t="str">
        <f aca="false">IFERROR(VLOOKUP(F2819,$AE$2:$AF$290,2, 0),"")</f>
        <v>تبوك</v>
      </c>
      <c r="H2819" s="212" t="s">
        <v>155</v>
      </c>
      <c r="I2819" s="246" t="n">
        <f aca="false">SUM(K2819:R2819)</f>
        <v>7</v>
      </c>
      <c r="J2819" s="182" t="n">
        <v>46198</v>
      </c>
      <c r="K2819" s="444" t="n">
        <v>7</v>
      </c>
      <c r="S2819" s="192" t="n">
        <f aca="false">(K2819+O2819+Q2819)*24 /1130+(L2819+M2819+P2819+R2819)*12/1130+(N2819*30)/1130</f>
        <v>0.148672566371681</v>
      </c>
    </row>
    <row r="2820" customFormat="false" ht="15" hidden="true" customHeight="true" outlineLevel="0" collapsed="false">
      <c r="B2820" s="233" t="n">
        <f aca="false">B2819+D2820-C2820</f>
        <v>12926</v>
      </c>
      <c r="D2820" s="146" t="n">
        <f aca="false">184+161</f>
        <v>345</v>
      </c>
      <c r="E2820" s="147" t="n">
        <v>53002157</v>
      </c>
      <c r="F2820" s="147" t="n">
        <f aca="false">IFERROR(VLOOKUP(H2820,$AD$1:$AE$301,2,0),"")</f>
        <v>1002949</v>
      </c>
      <c r="G2820" s="147" t="str">
        <f aca="false">IFERROR(VLOOKUP(F2820,$AE$2:$AF$290,2, 0),"")</f>
        <v>تبوك</v>
      </c>
      <c r="H2820" s="212" t="s">
        <v>155</v>
      </c>
      <c r="I2820" s="246" t="n">
        <f aca="false">SUM(K2820:R2820)</f>
        <v>2</v>
      </c>
      <c r="J2820" s="182" t="n">
        <v>46198</v>
      </c>
      <c r="Q2820" s="154" t="n">
        <v>1</v>
      </c>
      <c r="R2820" s="155" t="n">
        <v>1</v>
      </c>
      <c r="S2820" s="192" t="n">
        <f aca="false">(K2820+O2820+Q2820)*24 /1130+(L2820+M2820+P2820+R2820)*12/1130+(N2820*30)/1130</f>
        <v>0.031858407079646</v>
      </c>
    </row>
    <row r="2821" customFormat="false" ht="15" hidden="true" customHeight="true" outlineLevel="0" collapsed="false">
      <c r="B2821" s="233" t="n">
        <f aca="false">B2820+D2821-C2821</f>
        <v>13087</v>
      </c>
      <c r="D2821" s="146" t="n">
        <v>161</v>
      </c>
      <c r="E2821" s="147" t="n">
        <v>53002158</v>
      </c>
      <c r="F2821" s="147" t="n">
        <f aca="false">IFERROR(VLOOKUP(H2821,$AD$1:$AE$301,2,0),"")</f>
        <v>540</v>
      </c>
      <c r="G2821" s="147" t="str">
        <f aca="false">IFERROR(VLOOKUP(F2821,$AE$2:$AF$290,2, 0),"")</f>
        <v>تبوك</v>
      </c>
      <c r="H2821" s="212" t="s">
        <v>222</v>
      </c>
      <c r="I2821" s="246" t="n">
        <f aca="false">SUM(K2821:R2821)</f>
        <v>1</v>
      </c>
      <c r="J2821" s="182" t="n">
        <v>46198</v>
      </c>
      <c r="Q2821" s="154" t="n">
        <v>1</v>
      </c>
      <c r="S2821" s="192" t="n">
        <f aca="false">(K2821+O2821+Q2821)*24 /1130+(L2821+M2821+P2821+R2821)*12/1130+(N2821*30)/1130</f>
        <v>0.0212389380530973</v>
      </c>
    </row>
    <row r="2822" customFormat="false" ht="15" hidden="true" customHeight="true" outlineLevel="0" collapsed="false">
      <c r="B2822" s="233" t="n">
        <f aca="false">B2821+D2822-C2822</f>
        <v>15053.5</v>
      </c>
      <c r="D2822" s="146" t="n">
        <v>1966.5</v>
      </c>
      <c r="E2822" s="147" t="n">
        <v>53002159</v>
      </c>
      <c r="F2822" s="147" t="n">
        <f aca="false">IFERROR(VLOOKUP(H2822,$AD$1:$AE$301,2,0),"")</f>
        <v>1002947</v>
      </c>
      <c r="G2822" s="147" t="str">
        <f aca="false">IFERROR(VLOOKUP(F2822,$AE$2:$AF$290,2, 0),"")</f>
        <v>تبوك</v>
      </c>
      <c r="H2822" s="212" t="s">
        <v>174</v>
      </c>
      <c r="I2822" s="246" t="n">
        <f aca="false">SUM(K2822:R2822)</f>
        <v>7</v>
      </c>
      <c r="J2822" s="182" t="n">
        <v>46198</v>
      </c>
      <c r="M2822" s="150" t="n">
        <v>7</v>
      </c>
      <c r="S2822" s="192" t="n">
        <f aca="false">(K2822+O2822+Q2822)*24 /1130+(L2822+M2822+P2822+R2822)*12/1130+(N2822*30)/1130</f>
        <v>0.0743362831858407</v>
      </c>
    </row>
    <row r="2823" customFormat="false" ht="15" hidden="true" customHeight="true" outlineLevel="0" collapsed="false">
      <c r="B2823" s="233" t="n">
        <f aca="false">B2822+D2823-C2823</f>
        <v>15214.5</v>
      </c>
      <c r="D2823" s="146" t="n">
        <v>161</v>
      </c>
      <c r="E2823" s="147" t="n">
        <v>53002160</v>
      </c>
      <c r="F2823" s="147" t="n">
        <f aca="false">IFERROR(VLOOKUP(H2823,$AD$1:$AE$301,2,0),"")</f>
        <v>566</v>
      </c>
      <c r="G2823" s="147" t="str">
        <f aca="false">IFERROR(VLOOKUP(F2823,$AE$2:$AF$290,2, 0),"")</f>
        <v>تبوك</v>
      </c>
      <c r="H2823" s="212" t="s">
        <v>168</v>
      </c>
      <c r="I2823" s="246" t="n">
        <f aca="false">SUM(K2823:R2823)</f>
        <v>1</v>
      </c>
      <c r="J2823" s="182" t="n">
        <v>46198</v>
      </c>
      <c r="Q2823" s="154" t="n">
        <v>1</v>
      </c>
      <c r="S2823" s="192" t="n">
        <f aca="false">(K2823+O2823+Q2823)*24 /1130+(L2823+M2823+P2823+R2823)*12/1130+(N2823*30)/1130</f>
        <v>0.0212389380530973</v>
      </c>
    </row>
    <row r="2824" customFormat="false" ht="15" hidden="true" customHeight="true" outlineLevel="0" collapsed="false">
      <c r="B2824" s="233" t="n">
        <f aca="false">B2823+D2824-C2824</f>
        <v>15398.5</v>
      </c>
      <c r="D2824" s="146" t="n">
        <v>184</v>
      </c>
      <c r="E2824" s="147" t="n">
        <v>53002161</v>
      </c>
      <c r="F2824" s="147" t="n">
        <f aca="false">IFERROR(VLOOKUP(H2824,$AD$1:$AE$301,2,0),"")</f>
        <v>1002897</v>
      </c>
      <c r="G2824" s="147" t="str">
        <f aca="false">IFERROR(VLOOKUP(F2824,$AE$2:$AF$290,2, 0),"")</f>
        <v>تبوك</v>
      </c>
      <c r="H2824" s="212" t="s">
        <v>172</v>
      </c>
      <c r="I2824" s="246" t="n">
        <f aca="false">SUM(K2824:R2824)</f>
        <v>1</v>
      </c>
      <c r="J2824" s="182" t="n">
        <v>46198</v>
      </c>
      <c r="R2824" s="155" t="n">
        <v>1</v>
      </c>
      <c r="S2824" s="192" t="n">
        <f aca="false">(K2824+O2824+Q2824)*24 /1130+(L2824+M2824+P2824+R2824)*12/1130+(N2824*30)/1130</f>
        <v>0.0106194690265487</v>
      </c>
    </row>
    <row r="2825" customFormat="false" ht="15" hidden="true" customHeight="true" outlineLevel="0" collapsed="false">
      <c r="B2825" s="233" t="n">
        <f aca="false">B2824+D2825-C2825</f>
        <v>17675.5</v>
      </c>
      <c r="D2825" s="146" t="n">
        <v>2277</v>
      </c>
      <c r="E2825" s="147" t="n">
        <v>53002162</v>
      </c>
      <c r="F2825" s="147" t="n">
        <f aca="false">IFERROR(VLOOKUP(H2825,$AD$1:$AE$301,2,0),"")</f>
        <v>1002896</v>
      </c>
      <c r="G2825" s="147" t="str">
        <f aca="false">IFERROR(VLOOKUP(F2825,$AE$2:$AF$290,2, 0),"")</f>
        <v>تبوك</v>
      </c>
      <c r="H2825" s="212" t="s">
        <v>523</v>
      </c>
      <c r="I2825" s="246" t="n">
        <f aca="false">SUM(K2825:R2825)</f>
        <v>7</v>
      </c>
      <c r="J2825" s="182" t="n">
        <v>46198</v>
      </c>
      <c r="K2825" s="444" t="n">
        <v>7</v>
      </c>
      <c r="S2825" s="192" t="n">
        <f aca="false">(K2825+O2825+Q2825)*24 /1130+(L2825+M2825+P2825+R2825)*12/1130+(N2825*30)/1130</f>
        <v>0.148672566371681</v>
      </c>
    </row>
    <row r="2826" customFormat="false" ht="15" hidden="true" customHeight="true" outlineLevel="0" collapsed="false">
      <c r="B2826" s="233" t="n">
        <f aca="false">B2825+D2826-C2826</f>
        <v>19642</v>
      </c>
      <c r="D2826" s="146" t="n">
        <v>1966.5</v>
      </c>
      <c r="E2826" s="147" t="n">
        <v>53002163</v>
      </c>
      <c r="F2826" s="147" t="n">
        <f aca="false">IFERROR(VLOOKUP(H2826,$AD$1:$AE$301,2,0),"")</f>
        <v>1002907</v>
      </c>
      <c r="G2826" s="147" t="str">
        <f aca="false">IFERROR(VLOOKUP(F2826,$AE$2:$AF$290,2, 0),"")</f>
        <v>تبوك</v>
      </c>
      <c r="H2826" s="212" t="s">
        <v>189</v>
      </c>
      <c r="I2826" s="246" t="n">
        <f aca="false">SUM(K2826:R2826)</f>
        <v>7</v>
      </c>
      <c r="J2826" s="182" t="n">
        <v>46198</v>
      </c>
      <c r="M2826" s="150" t="n">
        <v>7</v>
      </c>
      <c r="S2826" s="192" t="n">
        <f aca="false">(K2826+O2826+Q2826)*24 /1130+(L2826+M2826+P2826+R2826)*12/1130+(N2826*30)/1130</f>
        <v>0.0743362831858407</v>
      </c>
    </row>
    <row r="2827" customFormat="false" ht="15" hidden="true" customHeight="true" outlineLevel="0" collapsed="false">
      <c r="B2827" s="233" t="n">
        <f aca="false">B2826+D2827-C2827</f>
        <v>19883.5</v>
      </c>
      <c r="D2827" s="146" t="n">
        <v>241.5</v>
      </c>
      <c r="E2827" s="147" t="n">
        <v>53002164</v>
      </c>
      <c r="F2827" s="147" t="n">
        <f aca="false">IFERROR(VLOOKUP(H2827,$AD$1:$AE$301,2,0),"")</f>
        <v>827</v>
      </c>
      <c r="G2827" s="147" t="str">
        <f aca="false">IFERROR(VLOOKUP(F2827,$AE$2:$AF$290,2, 0),"")</f>
        <v>تبوك</v>
      </c>
      <c r="H2827" s="212" t="s">
        <v>182</v>
      </c>
      <c r="I2827" s="246" t="n">
        <f aca="false">SUM(K2827:R2827)</f>
        <v>1</v>
      </c>
      <c r="J2827" s="182" t="n">
        <v>46198</v>
      </c>
      <c r="M2827" s="150" t="n">
        <v>1</v>
      </c>
      <c r="S2827" s="192" t="n">
        <f aca="false">(K2827+O2827+Q2827)*24 /1130+(L2827+M2827+P2827+R2827)*12/1130+(N2827*30)/1130</f>
        <v>0.0106194690265487</v>
      </c>
    </row>
    <row r="2828" customFormat="false" ht="15" hidden="true" customHeight="true" outlineLevel="0" collapsed="false">
      <c r="B2828" s="233" t="n">
        <f aca="false">B2827+D2828-C2828</f>
        <v>18652</v>
      </c>
      <c r="C2828" s="127" t="n">
        <f aca="false">158+157+125+200+200+200+41.5+150</f>
        <v>1231.5</v>
      </c>
      <c r="E2828" s="147" t="s">
        <v>675</v>
      </c>
      <c r="F2828" s="147" t="str">
        <f aca="false">IFERROR(VLOOKUP(H2828,$AD$1:$AE$301,2,0),"")</f>
        <v/>
      </c>
      <c r="G2828" s="147" t="str">
        <f aca="false">IFERROR(VLOOKUP(F2828,$AE$2:$AF$290,2, 0),"")</f>
        <v/>
      </c>
      <c r="H2828" s="212" t="s">
        <v>393</v>
      </c>
      <c r="I2828" s="246" t="n">
        <f aca="false">SUM(K2828:R2828)</f>
        <v>0</v>
      </c>
      <c r="J2828" s="182" t="n">
        <v>46198</v>
      </c>
      <c r="S2828" s="192" t="n">
        <f aca="false">(K2828+O2828+Q2828)*24 /1130+(L2828+M2828+P2828+R2828)*12/1130+(N2828*30)/1130</f>
        <v>0</v>
      </c>
    </row>
    <row r="2829" customFormat="false" ht="15" hidden="true" customHeight="true" outlineLevel="0" collapsed="false">
      <c r="B2829" s="233" t="n">
        <f aca="false">B2828+D2829-C2829</f>
        <v>9256.5</v>
      </c>
      <c r="C2829" s="127" t="n">
        <f aca="false">8360.5+1035</f>
        <v>9395.5</v>
      </c>
      <c r="E2829" s="147" t="s">
        <v>677</v>
      </c>
      <c r="F2829" s="147" t="str">
        <f aca="false">IFERROR(VLOOKUP(H2829,$AD$1:$AE$301,2,0),"")</f>
        <v/>
      </c>
      <c r="G2829" s="147" t="str">
        <f aca="false">IFERROR(VLOOKUP(F2829,$AE$2:$AF$290,2, 0),"")</f>
        <v/>
      </c>
      <c r="H2829" s="212" t="s">
        <v>393</v>
      </c>
      <c r="I2829" s="246" t="n">
        <f aca="false">SUM(K2829:R2829)</f>
        <v>0</v>
      </c>
      <c r="J2829" s="182" t="n">
        <v>46198</v>
      </c>
      <c r="S2829" s="192" t="n">
        <f aca="false">(K2829+O2829+Q2829)*24 /1130+(L2829+M2829+P2829+R2829)*12/1130+(N2829*30)/1130</f>
        <v>0</v>
      </c>
    </row>
    <row r="2830" customFormat="false" ht="15" hidden="true" customHeight="true" outlineLevel="0" collapsed="false">
      <c r="B2830" s="233" t="n">
        <f aca="false">B2829+D2830-C2830</f>
        <v>11223</v>
      </c>
      <c r="D2830" s="146" t="n">
        <v>1966.5</v>
      </c>
      <c r="E2830" s="147" t="n">
        <v>53002166</v>
      </c>
      <c r="F2830" s="147" t="n">
        <f aca="false">IFERROR(VLOOKUP(H2830,$AD$1:$AE$301,2,0),"")</f>
        <v>1063</v>
      </c>
      <c r="G2830" s="147" t="str">
        <f aca="false">IFERROR(VLOOKUP(F2830,$AE$2:$AF$290,2, 0),"")</f>
        <v>تبوك</v>
      </c>
      <c r="H2830" s="212" t="s">
        <v>158</v>
      </c>
      <c r="I2830" s="246" t="n">
        <f aca="false">SUM(K2830:R2830)</f>
        <v>7</v>
      </c>
      <c r="J2830" s="182" t="n">
        <v>46201</v>
      </c>
      <c r="M2830" s="150" t="n">
        <v>7</v>
      </c>
      <c r="S2830" s="192" t="n">
        <f aca="false">(K2830+O2830+Q2830)*24 /1130+(L2830+M2830+P2830+R2830)*12/1130+(N2830*30)/1130</f>
        <v>0.0743362831858407</v>
      </c>
    </row>
    <row r="2831" customFormat="false" ht="15" hidden="true" customHeight="true" outlineLevel="0" collapsed="false">
      <c r="B2831" s="233" t="n">
        <f aca="false">B2830+D2831-C2831</f>
        <v>13396.5</v>
      </c>
      <c r="D2831" s="146" t="n">
        <v>2173.5</v>
      </c>
      <c r="E2831" s="147" t="n">
        <v>53002167</v>
      </c>
      <c r="F2831" s="147" t="n">
        <f aca="false">IFERROR(VLOOKUP(H2831,$AD$1:$AE$301,2,0),"")</f>
        <v>1002912</v>
      </c>
      <c r="G2831" s="147" t="str">
        <f aca="false">IFERROR(VLOOKUP(F2831,$AE$2:$AF$290,2, 0),"")</f>
        <v>تبوك</v>
      </c>
      <c r="H2831" s="212" t="s">
        <v>152</v>
      </c>
      <c r="I2831" s="246" t="n">
        <f aca="false">SUM(K2831:R2831)</f>
        <v>7</v>
      </c>
      <c r="J2831" s="182" t="n">
        <v>46201</v>
      </c>
      <c r="M2831" s="150" t="n">
        <f aca="false">4+3</f>
        <v>7</v>
      </c>
      <c r="S2831" s="192" t="n">
        <f aca="false">(K2831+O2831+Q2831)*24 /1130+(L2831+M2831+P2831+R2831)*12/1130+(N2831*30)/1130</f>
        <v>0.0743362831858407</v>
      </c>
    </row>
    <row r="2832" customFormat="false" ht="15" hidden="true" customHeight="true" outlineLevel="0" collapsed="false">
      <c r="B2832" s="233" t="n">
        <f aca="false">B2831+D2832-C2832</f>
        <v>13557.5</v>
      </c>
      <c r="D2832" s="146" t="n">
        <v>161</v>
      </c>
      <c r="E2832" s="147" t="n">
        <v>53002168</v>
      </c>
      <c r="F2832" s="147" t="n">
        <f aca="false">IFERROR(VLOOKUP(H2832,$AD$1:$AE$301,2,0),"")</f>
        <v>1007976</v>
      </c>
      <c r="G2832" s="147" t="str">
        <f aca="false">IFERROR(VLOOKUP(F2832,$AE$2:$AF$290,2, 0),"")</f>
        <v>ضباء</v>
      </c>
      <c r="H2832" s="212" t="s">
        <v>77</v>
      </c>
      <c r="I2832" s="246" t="n">
        <f aca="false">SUM(K2832:R2832)</f>
        <v>1</v>
      </c>
      <c r="J2832" s="182" t="n">
        <v>46201</v>
      </c>
      <c r="Q2832" s="154" t="n">
        <v>1</v>
      </c>
      <c r="S2832" s="192" t="n">
        <f aca="false">(K2832+O2832+Q2832)*24 /1130+(L2832+M2832+P2832+R2832)*12/1130+(N2832*30)/1130</f>
        <v>0.0212389380530973</v>
      </c>
    </row>
    <row r="2833" customFormat="false" ht="15" hidden="true" customHeight="true" outlineLevel="0" collapsed="false">
      <c r="B2833" s="233" t="n">
        <f aca="false">B2832+D2833-C2833</f>
        <v>13718.5</v>
      </c>
      <c r="D2833" s="146" t="n">
        <v>161</v>
      </c>
      <c r="E2833" s="147" t="n">
        <v>53002169</v>
      </c>
      <c r="F2833" s="147" t="n">
        <f aca="false">IFERROR(VLOOKUP(H2833,$AD$1:$AE$301,2,0),"")</f>
        <v>1008022</v>
      </c>
      <c r="G2833" s="147" t="str">
        <f aca="false">IFERROR(VLOOKUP(F2833,$AE$2:$AF$290,2, 0),"")</f>
        <v>ضباء</v>
      </c>
      <c r="H2833" s="212" t="s">
        <v>94</v>
      </c>
      <c r="I2833" s="246" t="n">
        <f aca="false">SUM(K2833:R2833)</f>
        <v>1</v>
      </c>
      <c r="J2833" s="182" t="n">
        <v>46201</v>
      </c>
      <c r="Q2833" s="154" t="n">
        <v>1</v>
      </c>
      <c r="S2833" s="192" t="n">
        <f aca="false">(K2833+O2833+Q2833)*24 /1130+(L2833+M2833+P2833+R2833)*12/1130+(N2833*30)/1130</f>
        <v>0.0212389380530973</v>
      </c>
    </row>
    <row r="2834" customFormat="false" ht="15" hidden="true" customHeight="true" outlineLevel="0" collapsed="false">
      <c r="B2834" s="233" t="n">
        <f aca="false">B2833+D2834-C2834</f>
        <v>14201.5</v>
      </c>
      <c r="D2834" s="146" t="n">
        <f aca="false">241.5*2</f>
        <v>483</v>
      </c>
      <c r="E2834" s="147" t="n">
        <v>53002170</v>
      </c>
      <c r="F2834" s="147" t="n">
        <f aca="false">IFERROR(VLOOKUP(H2834,$AD$1:$AE$301,2,0),"")</f>
        <v>1007988</v>
      </c>
      <c r="G2834" s="147" t="str">
        <f aca="false">IFERROR(VLOOKUP(F2834,$AE$2:$AF$290,2, 0),"")</f>
        <v>ضباء</v>
      </c>
      <c r="H2834" s="212" t="s">
        <v>89</v>
      </c>
      <c r="I2834" s="246" t="n">
        <f aca="false">SUM(K2834:R2834)</f>
        <v>2</v>
      </c>
      <c r="J2834" s="182" t="n">
        <v>46201</v>
      </c>
      <c r="M2834" s="150" t="n">
        <v>2</v>
      </c>
      <c r="S2834" s="192" t="n">
        <f aca="false">(K2834+O2834+Q2834)*24 /1130+(L2834+M2834+P2834+R2834)*12/1130+(N2834*30)/1130</f>
        <v>0.0212389380530973</v>
      </c>
    </row>
    <row r="2835" customFormat="false" ht="15" hidden="true" customHeight="true" outlineLevel="0" collapsed="false">
      <c r="B2835" s="233" t="n">
        <f aca="false">B2834+D2835-C2835</f>
        <v>16150.75</v>
      </c>
      <c r="D2835" s="146" t="n">
        <v>1949.25</v>
      </c>
      <c r="E2835" s="147" t="n">
        <v>53002171</v>
      </c>
      <c r="F2835" s="147" t="n">
        <f aca="false">IFERROR(VLOOKUP(H2835,$AD$1:$AE$301,2,0),"")</f>
        <v>1008044</v>
      </c>
      <c r="G2835" s="147" t="str">
        <f aca="false">IFERROR(VLOOKUP(F2835,$AE$2:$AF$290,2, 0),"")</f>
        <v>الوجه</v>
      </c>
      <c r="H2835" s="212" t="s">
        <v>106</v>
      </c>
      <c r="I2835" s="246" t="n">
        <f aca="false">SUM(K2835:R2835)</f>
        <v>7</v>
      </c>
      <c r="J2835" s="182" t="n">
        <v>46201</v>
      </c>
      <c r="M2835" s="150" t="n">
        <f aca="false">1+6</f>
        <v>7</v>
      </c>
      <c r="S2835" s="192" t="n">
        <f aca="false">(K2835+O2835+Q2835)*24 /1130+(L2835+M2835+P2835+R2835)*12/1130+(N2835*30)/1130</f>
        <v>0.0743362831858407</v>
      </c>
    </row>
    <row r="2836" customFormat="false" ht="15" hidden="true" customHeight="true" outlineLevel="0" collapsed="false">
      <c r="B2836" s="233" t="n">
        <f aca="false">B2835+D2836-C2836</f>
        <v>16392.25</v>
      </c>
      <c r="D2836" s="146" t="n">
        <v>241.5</v>
      </c>
      <c r="E2836" s="147" t="n">
        <v>53002172</v>
      </c>
      <c r="F2836" s="147" t="n">
        <f aca="false">IFERROR(VLOOKUP(H2836,$AD$1:$AE$301,2,0),"")</f>
        <v>1008051</v>
      </c>
      <c r="G2836" s="147" t="str">
        <f aca="false">IFERROR(VLOOKUP(F2836,$AE$2:$AF$290,2, 0),"")</f>
        <v>الوجه</v>
      </c>
      <c r="H2836" s="212" t="s">
        <v>113</v>
      </c>
      <c r="I2836" s="246" t="n">
        <f aca="false">SUM(K2836:R2836)</f>
        <v>1</v>
      </c>
      <c r="J2836" s="182" t="n">
        <v>46201</v>
      </c>
      <c r="M2836" s="150" t="n">
        <v>1</v>
      </c>
      <c r="S2836" s="192" t="n">
        <f aca="false">(K2836+O2836+Q2836)*24 /1130+(L2836+M2836+P2836+R2836)*12/1130+(N2836*30)/1130</f>
        <v>0.0106194690265487</v>
      </c>
    </row>
    <row r="2837" customFormat="false" ht="15" hidden="true" customHeight="true" outlineLevel="0" collapsed="false">
      <c r="B2837" s="233" t="n">
        <f aca="false">B2836+D2837-C2837</f>
        <v>17180</v>
      </c>
      <c r="D2837" s="146" t="n">
        <v>787.75</v>
      </c>
      <c r="E2837" s="147" t="n">
        <v>53002173</v>
      </c>
      <c r="F2837" s="147" t="n">
        <f aca="false">IFERROR(VLOOKUP(H2837,$AD$1:$AE$301,2,0),"")</f>
        <v>1008047</v>
      </c>
      <c r="G2837" s="147" t="str">
        <f aca="false">IFERROR(VLOOKUP(F2837,$AE$2:$AF$290,2, 0),"")</f>
        <v>الوجه</v>
      </c>
      <c r="H2837" s="212" t="s">
        <v>422</v>
      </c>
      <c r="I2837" s="246" t="n">
        <f aca="false">SUM(K2837:R2837)</f>
        <v>3</v>
      </c>
      <c r="J2837" s="182" t="n">
        <v>46201</v>
      </c>
      <c r="N2837" s="151" t="n">
        <v>1</v>
      </c>
      <c r="R2837" s="155" t="n">
        <v>2</v>
      </c>
      <c r="S2837" s="192" t="n">
        <f aca="false">(K2837+O2837+Q2837)*24 /1130+(L2837+M2837+P2837+R2837)*12/1130+(N2837*30)/1130</f>
        <v>0.047787610619469</v>
      </c>
    </row>
    <row r="2838" customFormat="false" ht="15" hidden="true" customHeight="true" outlineLevel="0" collapsed="false">
      <c r="B2838" s="233" t="n">
        <f aca="false">B2837+D2838-C2838</f>
        <v>19457</v>
      </c>
      <c r="D2838" s="146" t="n">
        <v>2277</v>
      </c>
      <c r="E2838" s="147" t="n">
        <v>53002174</v>
      </c>
      <c r="F2838" s="147" t="n">
        <f aca="false">IFERROR(VLOOKUP(H2838,$AD$1:$AE$301,2,0),"")</f>
        <v>1008047</v>
      </c>
      <c r="G2838" s="147" t="str">
        <f aca="false">IFERROR(VLOOKUP(F2838,$AE$2:$AF$290,2, 0),"")</f>
        <v>الوجه</v>
      </c>
      <c r="H2838" s="212" t="s">
        <v>422</v>
      </c>
      <c r="I2838" s="246" t="n">
        <f aca="false">SUM(K2838:R2838)</f>
        <v>7</v>
      </c>
      <c r="J2838" s="182" t="n">
        <v>46201</v>
      </c>
      <c r="K2838" s="148" t="n">
        <v>7</v>
      </c>
      <c r="S2838" s="192" t="n">
        <f aca="false">(K2838+O2838+Q2838)*24 /1130+(L2838+M2838+P2838+R2838)*12/1130+(N2838*30)/1130</f>
        <v>0.148672566371681</v>
      </c>
    </row>
    <row r="2839" customFormat="false" ht="15" hidden="true" customHeight="true" outlineLevel="0" collapsed="false">
      <c r="B2839" s="233" t="n">
        <f aca="false">B2838+D2839-C2839</f>
        <v>19698.5</v>
      </c>
      <c r="D2839" s="146" t="n">
        <v>241.5</v>
      </c>
      <c r="E2839" s="147" t="n">
        <v>53002175</v>
      </c>
      <c r="F2839" s="147" t="n">
        <f aca="false">IFERROR(VLOOKUP(H2839,$AD$1:$AE$301,2,0),"")</f>
        <v>1008045</v>
      </c>
      <c r="G2839" s="147" t="str">
        <f aca="false">IFERROR(VLOOKUP(F2839,$AE$2:$AF$290,2, 0),"")</f>
        <v>الوجه</v>
      </c>
      <c r="H2839" s="212" t="s">
        <v>107</v>
      </c>
      <c r="I2839" s="246" t="n">
        <f aca="false">SUM(K2839:R2839)</f>
        <v>1</v>
      </c>
      <c r="J2839" s="182" t="n">
        <v>46201</v>
      </c>
      <c r="M2839" s="150" t="n">
        <v>1</v>
      </c>
      <c r="S2839" s="192" t="n">
        <f aca="false">(K2839+O2839+Q2839)*24 /1130+(L2839+M2839+P2839+R2839)*12/1130+(N2839*30)/1130</f>
        <v>0.0106194690265487</v>
      </c>
    </row>
    <row r="2840" customFormat="false" ht="15" hidden="true" customHeight="true" outlineLevel="0" collapsed="false">
      <c r="B2840" s="233" t="n">
        <f aca="false">B2839+D2840-C2840</f>
        <v>26529.5</v>
      </c>
      <c r="D2840" s="146" t="n">
        <v>6831</v>
      </c>
      <c r="E2840" s="147" t="n">
        <v>53002176</v>
      </c>
      <c r="F2840" s="147" t="n">
        <f aca="false">IFERROR(VLOOKUP(H2840,$AD$1:$AE$301,2,0),"")</f>
        <v>1008048</v>
      </c>
      <c r="G2840" s="147" t="str">
        <f aca="false">IFERROR(VLOOKUP(F2840,$AE$2:$AF$290,2, 0),"")</f>
        <v>الوجه</v>
      </c>
      <c r="H2840" s="212" t="s">
        <v>110</v>
      </c>
      <c r="I2840" s="246" t="n">
        <f aca="false">SUM(K2840:R2840)</f>
        <v>21</v>
      </c>
      <c r="J2840" s="182" t="n">
        <v>46201</v>
      </c>
      <c r="K2840" s="444" t="n">
        <v>21</v>
      </c>
      <c r="S2840" s="192" t="n">
        <f aca="false">(K2840+O2840+Q2840)*24 /1130+(L2840+M2840+P2840+R2840)*12/1130+(N2840*30)/1130</f>
        <v>0.446017699115044</v>
      </c>
    </row>
    <row r="2841" customFormat="false" ht="15" hidden="true" customHeight="true" outlineLevel="0" collapsed="false">
      <c r="B2841" s="233" t="n">
        <f aca="false">B2840+D2841-C2841</f>
        <v>27254</v>
      </c>
      <c r="D2841" s="146" t="n">
        <f aca="false">241.5*3</f>
        <v>724.5</v>
      </c>
      <c r="E2841" s="147" t="n">
        <v>53002177</v>
      </c>
      <c r="F2841" s="147" t="n">
        <f aca="false">IFERROR(VLOOKUP(H2841,$AD$1:$AE$301,2,0),"")</f>
        <v>1002</v>
      </c>
      <c r="G2841" s="147" t="str">
        <f aca="false">IFERROR(VLOOKUP(F2841,$AE$2:$AF$290,2, 0),"")</f>
        <v>الوجه</v>
      </c>
      <c r="H2841" s="212" t="s">
        <v>116</v>
      </c>
      <c r="I2841" s="246" t="n">
        <f aca="false">SUM(K2841:R2841)</f>
        <v>3</v>
      </c>
      <c r="J2841" s="182" t="n">
        <v>46201</v>
      </c>
      <c r="M2841" s="150" t="n">
        <v>3</v>
      </c>
      <c r="S2841" s="192" t="n">
        <f aca="false">(K2841+O2841+Q2841)*24 /1130+(L2841+M2841+P2841+R2841)*12/1130+(N2841*30)/1130</f>
        <v>0.031858407079646</v>
      </c>
    </row>
    <row r="2842" customFormat="false" ht="15" hidden="true" customHeight="true" outlineLevel="0" collapsed="false">
      <c r="B2842" s="233" t="n">
        <f aca="false">B2841+D2842-C2842</f>
        <v>20423</v>
      </c>
      <c r="C2842" s="127" t="n">
        <f aca="false">6831</f>
        <v>6831</v>
      </c>
      <c r="E2842" s="147" t="s">
        <v>677</v>
      </c>
      <c r="F2842" s="147" t="str">
        <f aca="false">IFERROR(VLOOKUP(H2842,$AD$1:$AE$301,2,0),"")</f>
        <v/>
      </c>
      <c r="G2842" s="147" t="str">
        <f aca="false">IFERROR(VLOOKUP(F2842,$AE$2:$AF$290,2, 0),"")</f>
        <v/>
      </c>
      <c r="H2842" s="212" t="s">
        <v>393</v>
      </c>
      <c r="I2842" s="246" t="n">
        <f aca="false">SUM(K2842:R2842)</f>
        <v>0</v>
      </c>
      <c r="J2842" s="182" t="n">
        <v>46201</v>
      </c>
      <c r="S2842" s="192" t="n">
        <f aca="false">(K2842+O2842+Q2842)*24 /1130+(L2842+M2842+P2842+R2842)*12/1130+(N2842*30)/1130</f>
        <v>0</v>
      </c>
    </row>
    <row r="2843" customFormat="false" ht="15" hidden="true" customHeight="true" outlineLevel="0" collapsed="false">
      <c r="B2843" s="233" t="n">
        <f aca="false">B2842+D2843-C2843</f>
        <v>14426.5</v>
      </c>
      <c r="C2843" s="127" t="n">
        <f aca="false">493.5+2237+110+2156+1000</f>
        <v>5996.5</v>
      </c>
      <c r="E2843" s="147" t="s">
        <v>675</v>
      </c>
      <c r="F2843" s="147" t="str">
        <f aca="false">IFERROR(VLOOKUP(H2843,$AD$1:$AE$301,2,0),"")</f>
        <v/>
      </c>
      <c r="G2843" s="147" t="str">
        <f aca="false">IFERROR(VLOOKUP(F2843,$AE$2:$AF$290,2, 0),"")</f>
        <v/>
      </c>
      <c r="H2843" s="212" t="s">
        <v>393</v>
      </c>
      <c r="I2843" s="246" t="n">
        <f aca="false">SUM(K2843:R2843)</f>
        <v>0</v>
      </c>
      <c r="J2843" s="182" t="n">
        <v>46201</v>
      </c>
      <c r="S2843" s="192" t="n">
        <f aca="false">(K2843+O2843+Q2843)*24 /1130+(L2843+M2843+P2843+R2843)*12/1130+(N2843*30)/1130</f>
        <v>0</v>
      </c>
    </row>
    <row r="2844" customFormat="false" ht="15" hidden="true" customHeight="true" outlineLevel="0" collapsed="false">
      <c r="B2844" s="233" t="n">
        <f aca="false">B2843+D2844-C2844</f>
        <v>6926.5</v>
      </c>
      <c r="C2844" s="127" t="n">
        <v>7500</v>
      </c>
      <c r="E2844" s="147" t="s">
        <v>679</v>
      </c>
      <c r="F2844" s="147" t="str">
        <f aca="false">IFERROR(VLOOKUP(H2844,$AD$1:$AE$301,2,0),"")</f>
        <v/>
      </c>
      <c r="G2844" s="147" t="str">
        <f aca="false">IFERROR(VLOOKUP(F2844,$AE$2:$AF$290,2, 0),"")</f>
        <v/>
      </c>
      <c r="H2844" s="212" t="s">
        <v>393</v>
      </c>
      <c r="I2844" s="246" t="n">
        <f aca="false">SUM(K2844:R2844)</f>
        <v>0</v>
      </c>
      <c r="J2844" s="182" t="n">
        <v>46201</v>
      </c>
      <c r="S2844" s="192" t="n">
        <f aca="false">(K2844+O2844+Q2844)*24 /1130+(L2844+M2844+P2844+R2844)*12/1130+(N2844*30)/1130</f>
        <v>0</v>
      </c>
    </row>
    <row r="2845" customFormat="false" ht="15" hidden="true" customHeight="true" outlineLevel="0" collapsed="false">
      <c r="B2845" s="233" t="n">
        <f aca="false">B2844+D2845-C2845</f>
        <v>9203.5</v>
      </c>
      <c r="D2845" s="146" t="n">
        <v>2277</v>
      </c>
      <c r="E2845" s="147" t="n">
        <v>53002178</v>
      </c>
      <c r="F2845" s="147" t="n">
        <f aca="false">IFERROR(VLOOKUP(H2845,$AD$1:$AE$301,2,0),"")</f>
        <v>1008275</v>
      </c>
      <c r="G2845" s="147" t="str">
        <f aca="false">IFERROR(VLOOKUP(F2845,$AE$2:$AF$290,2, 0),"")</f>
        <v>تبوك</v>
      </c>
      <c r="H2845" s="212" t="s">
        <v>179</v>
      </c>
      <c r="I2845" s="246" t="n">
        <f aca="false">SUM(K2845:R2845)</f>
        <v>7</v>
      </c>
      <c r="J2845" s="182" t="n">
        <v>46202</v>
      </c>
      <c r="K2845" s="148" t="n">
        <v>7</v>
      </c>
      <c r="S2845" s="192" t="n">
        <f aca="false">(K2845+O2845+Q2845)*24 /1130+(L2845+M2845+P2845+R2845)*12/1130+(N2845*30)/1130</f>
        <v>0.148672566371681</v>
      </c>
    </row>
    <row r="2846" customFormat="false" ht="15" hidden="true" customHeight="true" outlineLevel="0" collapsed="false">
      <c r="B2846" s="233" t="n">
        <f aca="false">B2845+D2846-C2846</f>
        <v>11428.75</v>
      </c>
      <c r="D2846" s="146" t="n">
        <v>2225.25</v>
      </c>
      <c r="E2846" s="147" t="n">
        <v>53002179</v>
      </c>
      <c r="F2846" s="147" t="n">
        <f aca="false">IFERROR(VLOOKUP(H2846,$AD$1:$AE$301,2,0),"")</f>
        <v>1002949</v>
      </c>
      <c r="G2846" s="147" t="str">
        <f aca="false">IFERROR(VLOOKUP(F2846,$AE$2:$AF$290,2, 0),"")</f>
        <v>تبوك</v>
      </c>
      <c r="H2846" s="212" t="s">
        <v>155</v>
      </c>
      <c r="I2846" s="246" t="n">
        <f aca="false">SUM(K2846:R2846)</f>
        <v>7</v>
      </c>
      <c r="J2846" s="182" t="n">
        <v>46202</v>
      </c>
      <c r="M2846" s="150" t="n">
        <v>7</v>
      </c>
      <c r="S2846" s="192" t="n">
        <f aca="false">(K2846+O2846+Q2846)*24 /1130+(L2846+M2846+P2846+R2846)*12/1130+(N2846*30)/1130</f>
        <v>0.0743362831858407</v>
      </c>
    </row>
    <row r="2847" customFormat="false" ht="15" hidden="true" customHeight="true" outlineLevel="0" collapsed="false">
      <c r="B2847" s="233" t="n">
        <f aca="false">B2846+D2847-C2847</f>
        <v>13705.75</v>
      </c>
      <c r="D2847" s="146" t="n">
        <v>2277</v>
      </c>
      <c r="E2847" s="147" t="n">
        <v>53002180</v>
      </c>
      <c r="F2847" s="147" t="n">
        <f aca="false">IFERROR(VLOOKUP(H2847,$AD$1:$AE$301,2,0),"")</f>
        <v>636</v>
      </c>
      <c r="G2847" s="147" t="str">
        <f aca="false">IFERROR(VLOOKUP(F2847,$AE$2:$AF$290,2, 0),"")</f>
        <v>تبوك</v>
      </c>
      <c r="H2847" s="212" t="s">
        <v>134</v>
      </c>
      <c r="I2847" s="246" t="n">
        <f aca="false">SUM(K2847:R2847)</f>
        <v>7</v>
      </c>
      <c r="J2847" s="182" t="n">
        <v>46202</v>
      </c>
      <c r="K2847" s="148" t="n">
        <v>7</v>
      </c>
      <c r="S2847" s="192" t="n">
        <f aca="false">(K2847+O2847+Q2847)*24 /1130+(L2847+M2847+P2847+R2847)*12/1130+(N2847*30)/1130</f>
        <v>0.148672566371681</v>
      </c>
    </row>
    <row r="2848" customFormat="false" ht="15" hidden="true" customHeight="true" outlineLevel="0" collapsed="false">
      <c r="B2848" s="233" t="n">
        <f aca="false">B2847+D2848-C2848</f>
        <v>17661.75</v>
      </c>
      <c r="D2848" s="146" t="n">
        <v>3956</v>
      </c>
      <c r="E2848" s="147" t="n">
        <v>53002181</v>
      </c>
      <c r="F2848" s="147" t="n">
        <f aca="false">IFERROR(VLOOKUP(H2848,$AD$1:$AE$301,2,0),"")</f>
        <v>1071</v>
      </c>
      <c r="G2848" s="147" t="str">
        <f aca="false">IFERROR(VLOOKUP(F2848,$AE$2:$AF$290,2, 0),"")</f>
        <v>تبوك</v>
      </c>
      <c r="H2848" s="212" t="s">
        <v>135</v>
      </c>
      <c r="I2848" s="246" t="n">
        <f aca="false">SUM(K2848:R2848)</f>
        <v>14</v>
      </c>
      <c r="J2848" s="182" t="n">
        <v>46202</v>
      </c>
      <c r="K2848" s="148" t="n">
        <f aca="false">2+5</f>
        <v>7</v>
      </c>
      <c r="M2848" s="150" t="n">
        <v>5</v>
      </c>
      <c r="Q2848" s="154" t="n">
        <f aca="false">1</f>
        <v>1</v>
      </c>
      <c r="R2848" s="155" t="n">
        <f aca="false">1</f>
        <v>1</v>
      </c>
      <c r="S2848" s="192" t="n">
        <f aca="false">(K2848+O2848+Q2848)*24 /1130+(L2848+M2848+P2848+R2848)*12/1130+(N2848*30)/1130</f>
        <v>0.233628318584071</v>
      </c>
    </row>
    <row r="2849" customFormat="false" ht="15" hidden="true" customHeight="true" outlineLevel="0" collapsed="false">
      <c r="B2849" s="233" t="n">
        <f aca="false">B2848+D2849-C2849</f>
        <v>15969.75</v>
      </c>
      <c r="C2849" s="127" t="n">
        <f aca="false">250+1300+142</f>
        <v>1692</v>
      </c>
      <c r="E2849" s="147" t="s">
        <v>675</v>
      </c>
      <c r="F2849" s="147" t="str">
        <f aca="false">IFERROR(VLOOKUP(H2849,$AD$1:$AE$301,2,0),"")</f>
        <v/>
      </c>
      <c r="G2849" s="147" t="str">
        <f aca="false">IFERROR(VLOOKUP(F2849,$AE$2:$AF$290,2, 0),"")</f>
        <v/>
      </c>
      <c r="H2849" s="212" t="s">
        <v>393</v>
      </c>
      <c r="I2849" s="246" t="n">
        <f aca="false">SUM(K2849:R2849)</f>
        <v>0</v>
      </c>
      <c r="J2849" s="182" t="n">
        <v>46202</v>
      </c>
      <c r="S2849" s="192" t="n">
        <f aca="false">(K2849+O2849+Q2849)*24 /1130+(L2849+M2849+P2849+R2849)*12/1130+(N2849*30)/1130</f>
        <v>0</v>
      </c>
    </row>
    <row r="2850" customFormat="false" ht="15" hidden="true" customHeight="true" outlineLevel="0" collapsed="false">
      <c r="B2850" s="233" t="n">
        <f aca="false">B2849+D2850-C2850</f>
        <v>10146.75</v>
      </c>
      <c r="C2850" s="127" t="n">
        <f aca="false">1823+4000</f>
        <v>5823</v>
      </c>
      <c r="E2850" s="147" t="s">
        <v>679</v>
      </c>
      <c r="F2850" s="147" t="str">
        <f aca="false">IFERROR(VLOOKUP(H2850,$AD$1:$AE$301,2,0),"")</f>
        <v/>
      </c>
      <c r="G2850" s="147" t="str">
        <f aca="false">IFERROR(VLOOKUP(F2850,$AE$2:$AF$290,2, 0),"")</f>
        <v/>
      </c>
      <c r="H2850" s="212" t="s">
        <v>393</v>
      </c>
      <c r="I2850" s="246" t="n">
        <f aca="false">SUM(K2850:R2850)</f>
        <v>0</v>
      </c>
      <c r="J2850" s="182" t="n">
        <v>46202</v>
      </c>
      <c r="S2850" s="192" t="n">
        <f aca="false">(K2850+O2850+Q2850)*24 /1130+(L2850+M2850+P2850+R2850)*12/1130+(N2850*30)/1130</f>
        <v>0</v>
      </c>
    </row>
    <row r="2851" customFormat="false" ht="15" hidden="true" customHeight="true" outlineLevel="0" collapsed="false">
      <c r="B2851" s="233" t="n">
        <f aca="false">B2850+D2851-C2851</f>
        <v>12567.5</v>
      </c>
      <c r="D2851" s="146" t="n">
        <v>2420.75</v>
      </c>
      <c r="E2851" s="147" t="n">
        <v>53002182</v>
      </c>
      <c r="F2851" s="147" t="n">
        <f aca="false">IFERROR(VLOOKUP(H2851,$AD$1:$AE$301,2,0),"")</f>
        <v>855</v>
      </c>
      <c r="G2851" s="147" t="str">
        <f aca="false">IFERROR(VLOOKUP(F2851,$AE$2:$AF$290,2, 0),"")</f>
        <v>تبوك</v>
      </c>
      <c r="H2851" s="212" t="s">
        <v>141</v>
      </c>
      <c r="I2851" s="246" t="n">
        <f aca="false">SUM(K2851:R2851)</f>
        <v>9</v>
      </c>
      <c r="J2851" s="182" t="n">
        <v>46203</v>
      </c>
      <c r="M2851" s="150" t="n">
        <f aca="false">5+1+1</f>
        <v>7</v>
      </c>
      <c r="Q2851" s="154" t="n">
        <v>1</v>
      </c>
      <c r="R2851" s="155" t="n">
        <v>1</v>
      </c>
      <c r="S2851" s="192" t="n">
        <f aca="false">(K2851+O2851+Q2851)*24 /1130+(L2851+M2851+P2851+R2851)*12/1130+(N2851*30)/1130</f>
        <v>0.106194690265487</v>
      </c>
    </row>
    <row r="2852" customFormat="false" ht="15" hidden="true" customHeight="true" outlineLevel="0" collapsed="false">
      <c r="B2852" s="233" t="n">
        <f aca="false">B2851+D2852-C2852</f>
        <v>14844.5</v>
      </c>
      <c r="D2852" s="146" t="n">
        <v>2277</v>
      </c>
      <c r="E2852" s="147" t="n">
        <v>53002183</v>
      </c>
      <c r="F2852" s="147" t="n">
        <f aca="false">IFERROR(VLOOKUP(H2852,$AD$1:$AE$301,2,0),"")</f>
        <v>945</v>
      </c>
      <c r="G2852" s="147" t="str">
        <f aca="false">IFERROR(VLOOKUP(F2852,$AE$2:$AF$290,2, 0),"")</f>
        <v>تبوك</v>
      </c>
      <c r="H2852" s="212" t="s">
        <v>137</v>
      </c>
      <c r="I2852" s="246" t="n">
        <f aca="false">SUM(K2852:R2852)</f>
        <v>7</v>
      </c>
      <c r="J2852" s="182" t="n">
        <v>46203</v>
      </c>
      <c r="K2852" s="148" t="n">
        <v>7</v>
      </c>
      <c r="S2852" s="192" t="n">
        <f aca="false">(K2852+O2852+Q2852)*24 /1130+(L2852+M2852+P2852+R2852)*12/1130+(N2852*30)/1130</f>
        <v>0.148672566371681</v>
      </c>
    </row>
    <row r="2853" customFormat="false" ht="15" hidden="true" customHeight="true" outlineLevel="0" collapsed="false">
      <c r="B2853" s="233" t="n">
        <f aca="false">B2852+D2853-C2853</f>
        <v>17121.5</v>
      </c>
      <c r="D2853" s="146" t="n">
        <v>2277</v>
      </c>
      <c r="E2853" s="147" t="n">
        <v>53002184</v>
      </c>
      <c r="F2853" s="147" t="n">
        <f aca="false">IFERROR(VLOOKUP(H2853,$AD$1:$AE$301,2,0),"")</f>
        <v>1002906</v>
      </c>
      <c r="G2853" s="147" t="str">
        <f aca="false">IFERROR(VLOOKUP(F2853,$AE$2:$AF$290,2, 0),"")</f>
        <v>تبوك</v>
      </c>
      <c r="H2853" s="212" t="s">
        <v>138</v>
      </c>
      <c r="I2853" s="246" t="n">
        <f aca="false">SUM(K2853:R2853)</f>
        <v>7</v>
      </c>
      <c r="J2853" s="182" t="n">
        <v>46203</v>
      </c>
      <c r="M2853" s="150" t="n">
        <v>7</v>
      </c>
      <c r="S2853" s="192" t="n">
        <f aca="false">(K2853+O2853+Q2853)*24 /1130+(L2853+M2853+P2853+R2853)*12/1130+(N2853*30)/1130</f>
        <v>0.0743362831858407</v>
      </c>
    </row>
    <row r="2854" customFormat="false" ht="15" hidden="true" customHeight="true" outlineLevel="0" collapsed="false">
      <c r="B2854" s="233" t="n">
        <f aca="false">B2853+D2854-C2854</f>
        <v>17731</v>
      </c>
      <c r="D2854" s="146" t="n">
        <v>609.5</v>
      </c>
      <c r="E2854" s="147" t="n">
        <v>53002185</v>
      </c>
      <c r="F2854" s="147" t="n">
        <f aca="false">IFERROR(VLOOKUP(H2854,$AD$1:$AE$301,2,0),"")</f>
        <v>1071</v>
      </c>
      <c r="G2854" s="147" t="str">
        <f aca="false">IFERROR(VLOOKUP(F2854,$AE$2:$AF$290,2, 0),"")</f>
        <v>تبوك</v>
      </c>
      <c r="H2854" s="212" t="s">
        <v>135</v>
      </c>
      <c r="I2854" s="246" t="n">
        <f aca="false">SUM(K2854:R2854)</f>
        <v>2</v>
      </c>
      <c r="J2854" s="182" t="n">
        <v>46203</v>
      </c>
      <c r="Q2854" s="154" t="n">
        <v>2</v>
      </c>
      <c r="S2854" s="192" t="n">
        <f aca="false">(K2854+O2854+Q2854)*24 /1130+(L2854+M2854+P2854+R2854)*12/1130+(N2854*30)/1130</f>
        <v>0.0424778761061947</v>
      </c>
    </row>
    <row r="2855" customFormat="false" ht="15" hidden="true" customHeight="true" outlineLevel="0" collapsed="false">
      <c r="B2855" s="233" t="n">
        <f aca="false">B2854+D2855-C2855</f>
        <v>23504</v>
      </c>
      <c r="D2855" s="146" t="n">
        <v>5773</v>
      </c>
      <c r="E2855" s="147" t="n">
        <v>53002186</v>
      </c>
      <c r="F2855" s="147" t="n">
        <f aca="false">IFERROR(VLOOKUP(H2855,$AD$1:$AE$301,2,0),"")</f>
        <v>1002852</v>
      </c>
      <c r="G2855" s="147" t="str">
        <f aca="false">IFERROR(VLOOKUP(F2855,$AE$2:$AF$290,2, 0),"")</f>
        <v>تبوك</v>
      </c>
      <c r="H2855" s="212" t="s">
        <v>159</v>
      </c>
      <c r="I2855" s="246" t="n">
        <f aca="false">SUM(K2855:R2855)</f>
        <v>26</v>
      </c>
      <c r="J2855" s="182" t="n">
        <v>46203</v>
      </c>
      <c r="K2855" s="148" t="n">
        <f aca="false">3+4</f>
        <v>7</v>
      </c>
      <c r="L2855" s="149" t="n">
        <v>7</v>
      </c>
      <c r="M2855" s="150" t="n">
        <f aca="false">1</f>
        <v>1</v>
      </c>
      <c r="Q2855" s="154" t="n">
        <v>3</v>
      </c>
      <c r="R2855" s="155" t="n">
        <f aca="false">4+1+2+1</f>
        <v>8</v>
      </c>
      <c r="S2855" s="192" t="n">
        <f aca="false">(K2855+O2855+Q2855)*24 /1130+(L2855+M2855+P2855+R2855)*12/1130+(N2855*30)/1130</f>
        <v>0.382300884955752</v>
      </c>
    </row>
    <row r="2856" customFormat="false" ht="15" hidden="true" customHeight="true" outlineLevel="0" collapsed="false">
      <c r="B2856" s="233" t="n">
        <f aca="false">B2855+D2856-C2856</f>
        <v>25781</v>
      </c>
      <c r="D2856" s="146" t="n">
        <v>2277</v>
      </c>
      <c r="E2856" s="147" t="n">
        <v>53002187</v>
      </c>
      <c r="F2856" s="147" t="n">
        <f aca="false">IFERROR(VLOOKUP(H2856,$AD$1:$AE$301,2,0),"")</f>
        <v>1002930</v>
      </c>
      <c r="G2856" s="147" t="str">
        <f aca="false">IFERROR(VLOOKUP(F2856,$AE$2:$AF$290,2, 0),"")</f>
        <v>تبوك</v>
      </c>
      <c r="H2856" s="212" t="s">
        <v>171</v>
      </c>
      <c r="I2856" s="246" t="n">
        <f aca="false">SUM(K2856:R2856)</f>
        <v>7</v>
      </c>
      <c r="J2856" s="182" t="n">
        <v>46203</v>
      </c>
      <c r="K2856" s="148" t="n">
        <v>7</v>
      </c>
      <c r="S2856" s="192" t="n">
        <f aca="false">(K2856+O2856+Q2856)*24 /1130+(L2856+M2856+P2856+R2856)*12/1130+(N2856*30)/1130</f>
        <v>0.148672566371681</v>
      </c>
    </row>
    <row r="2857" customFormat="false" ht="15" hidden="true" customHeight="true" outlineLevel="0" collapsed="false">
      <c r="B2857" s="233" t="n">
        <f aca="false">B2856+D2857-C2857</f>
        <v>28219</v>
      </c>
      <c r="D2857" s="146" t="n">
        <v>2438</v>
      </c>
      <c r="E2857" s="147" t="n">
        <v>53002188</v>
      </c>
      <c r="F2857" s="147" t="n">
        <f aca="false">IFERROR(VLOOKUP(H2857,$AD$1:$AE$301,2,0),"")</f>
        <v>1002907</v>
      </c>
      <c r="G2857" s="147" t="str">
        <f aca="false">IFERROR(VLOOKUP(F2857,$AE$2:$AF$290,2, 0),"")</f>
        <v>تبوك</v>
      </c>
      <c r="H2857" s="212" t="s">
        <v>189</v>
      </c>
      <c r="I2857" s="246" t="n">
        <f aca="false">SUM(K2857:R2857)</f>
        <v>8</v>
      </c>
      <c r="J2857" s="182" t="n">
        <v>46203</v>
      </c>
      <c r="K2857" s="148" t="n">
        <v>7</v>
      </c>
      <c r="Q2857" s="154" t="n">
        <v>1</v>
      </c>
      <c r="S2857" s="192" t="n">
        <f aca="false">(K2857+O2857+Q2857)*24 /1130+(L2857+M2857+P2857+R2857)*12/1130+(N2857*30)/1130</f>
        <v>0.169911504424779</v>
      </c>
    </row>
    <row r="2858" customFormat="false" ht="15" hidden="true" customHeight="true" outlineLevel="0" collapsed="false">
      <c r="B2858" s="233" t="n">
        <f aca="false">B2857+D2858-C2858</f>
        <v>30496</v>
      </c>
      <c r="D2858" s="146" t="n">
        <v>2277</v>
      </c>
      <c r="E2858" s="147" t="n">
        <v>53002189</v>
      </c>
      <c r="F2858" s="147" t="n">
        <f aca="false">IFERROR(VLOOKUP(H2858,$AD$1:$AE$301,2,0),"")</f>
        <v>1002907</v>
      </c>
      <c r="G2858" s="147" t="str">
        <f aca="false">IFERROR(VLOOKUP(F2858,$AE$2:$AF$290,2, 0),"")</f>
        <v>تبوك</v>
      </c>
      <c r="H2858" s="212" t="s">
        <v>189</v>
      </c>
      <c r="I2858" s="246" t="n">
        <f aca="false">SUM(K2858:R2858)</f>
        <v>7</v>
      </c>
      <c r="J2858" s="182" t="n">
        <v>46203</v>
      </c>
      <c r="K2858" s="148" t="n">
        <v>7</v>
      </c>
      <c r="S2858" s="192" t="n">
        <f aca="false">(K2858+O2858+Q2858)*24 /1130+(L2858+M2858+P2858+R2858)*12/1130+(N2858*30)/1130</f>
        <v>0.148672566371681</v>
      </c>
    </row>
    <row r="2859" customFormat="false" ht="15" hidden="true" customHeight="true" outlineLevel="0" collapsed="false">
      <c r="B2859" s="233" t="n">
        <f aca="false">B2858+D2859-C2859</f>
        <v>26484</v>
      </c>
      <c r="C2859" s="127" t="n">
        <f aca="false">1140+1031+240+300+1301</f>
        <v>4012</v>
      </c>
      <c r="E2859" s="147" t="s">
        <v>675</v>
      </c>
      <c r="F2859" s="147" t="str">
        <f aca="false">IFERROR(VLOOKUP(H2859,$AD$1:$AE$301,2,0),"")</f>
        <v/>
      </c>
      <c r="G2859" s="147" t="str">
        <f aca="false">IFERROR(VLOOKUP(F2859,$AE$2:$AF$290,2, 0),"")</f>
        <v/>
      </c>
      <c r="H2859" s="212" t="s">
        <v>393</v>
      </c>
      <c r="I2859" s="246" t="n">
        <f aca="false">SUM(K2859:R2859)</f>
        <v>0</v>
      </c>
      <c r="J2859" s="182" t="n">
        <v>46203</v>
      </c>
      <c r="S2859" s="192" t="n">
        <f aca="false">(K2859+O2859+Q2859)*24 /1130+(L2859+M2859+P2859+R2859)*12/1130+(N2859*30)/1130</f>
        <v>0</v>
      </c>
    </row>
    <row r="2860" customFormat="false" ht="15" hidden="true" customHeight="true" outlineLevel="0" collapsed="false">
      <c r="B2860" s="233" t="n">
        <f aca="false">B2859+D2860-C2860</f>
        <v>25339</v>
      </c>
      <c r="C2860" s="127" t="n">
        <f aca="false">390+35+30+80+140+90+15+120+30+175+40</f>
        <v>1145</v>
      </c>
      <c r="E2860" s="147" t="s">
        <v>675</v>
      </c>
      <c r="F2860" s="147" t="str">
        <f aca="false">IFERROR(VLOOKUP(H2860,$AD$1:$AE$301,2,0),"")</f>
        <v/>
      </c>
      <c r="G2860" s="147" t="str">
        <f aca="false">IFERROR(VLOOKUP(F2860,$AE$2:$AF$290,2, 0),"")</f>
        <v/>
      </c>
      <c r="H2860" s="212" t="s">
        <v>393</v>
      </c>
      <c r="I2860" s="246" t="n">
        <f aca="false">SUM(K2860:R2860)</f>
        <v>0</v>
      </c>
      <c r="J2860" s="182" t="n">
        <v>46203</v>
      </c>
      <c r="S2860" s="192" t="n">
        <f aca="false">(K2860+O2860+Q2860)*24 /1130+(L2860+M2860+P2860+R2860)*12/1130+(N2860*30)/1130</f>
        <v>0</v>
      </c>
    </row>
    <row r="2861" customFormat="false" ht="15" hidden="true" customHeight="true" outlineLevel="0" collapsed="false">
      <c r="B2861" s="233" t="n">
        <f aca="false">B2860+D2861-C2861</f>
        <v>22095.5</v>
      </c>
      <c r="C2861" s="127" t="n">
        <f aca="false">1966.5+1277</f>
        <v>3243.5</v>
      </c>
      <c r="E2861" s="147" t="s">
        <v>677</v>
      </c>
      <c r="F2861" s="147" t="str">
        <f aca="false">IFERROR(VLOOKUP(H2861,$AD$1:$AE$301,2,0),"")</f>
        <v/>
      </c>
      <c r="G2861" s="147" t="str">
        <f aca="false">IFERROR(VLOOKUP(F2861,$AE$2:$AF$290,2, 0),"")</f>
        <v/>
      </c>
      <c r="H2861" s="212" t="s">
        <v>393</v>
      </c>
      <c r="I2861" s="246" t="n">
        <f aca="false">SUM(K2861:R2861)</f>
        <v>0</v>
      </c>
      <c r="J2861" s="182" t="n">
        <v>46203</v>
      </c>
      <c r="S2861" s="192" t="n">
        <f aca="false">(K2861+O2861+Q2861)*24 /1130+(L2861+M2861+P2861+R2861)*12/1130+(N2861*30)/1130</f>
        <v>0</v>
      </c>
    </row>
    <row r="2862" customFormat="false" ht="15" hidden="true" customHeight="true" outlineLevel="0" collapsed="false">
      <c r="B2862" s="233" t="n">
        <f aca="false">B2861+D2862-C2862</f>
        <v>20745.5</v>
      </c>
      <c r="C2862" s="127" t="n">
        <f aca="false">270+260+200+50+230+120+100+25+75+20</f>
        <v>1350</v>
      </c>
      <c r="E2862" s="147" t="s">
        <v>675</v>
      </c>
      <c r="F2862" s="147" t="str">
        <f aca="false">IFERROR(VLOOKUP(H2862,$AD$1:$AE$301,2,0),"")</f>
        <v/>
      </c>
      <c r="G2862" s="147" t="str">
        <f aca="false">IFERROR(VLOOKUP(F2862,$AE$2:$AF$290,2, 0),"")</f>
        <v/>
      </c>
      <c r="H2862" s="212" t="s">
        <v>393</v>
      </c>
      <c r="I2862" s="246" t="n">
        <f aca="false">SUM(K2862:R2862)</f>
        <v>0</v>
      </c>
      <c r="J2862" s="182" t="n">
        <v>46203</v>
      </c>
      <c r="S2862" s="192" t="n">
        <f aca="false">(K2862+O2862+Q2862)*24 /1130+(L2862+M2862+P2862+R2862)*12/1130+(N2862*30)/1130</f>
        <v>0</v>
      </c>
    </row>
    <row r="2863" customFormat="false" ht="15" hidden="true" customHeight="true" outlineLevel="0" collapsed="false">
      <c r="B2863" s="233" t="n">
        <f aca="false">B2862+D2863-C2863</f>
        <v>18856.5</v>
      </c>
      <c r="C2863" s="127" t="n">
        <f aca="false">130+135+135+115+200+1174</f>
        <v>1889</v>
      </c>
      <c r="E2863" s="147" t="s">
        <v>675</v>
      </c>
      <c r="F2863" s="147" t="str">
        <f aca="false">IFERROR(VLOOKUP(H2863,$AD$1:$AE$301,2,0),"")</f>
        <v/>
      </c>
      <c r="G2863" s="147" t="str">
        <f aca="false">IFERROR(VLOOKUP(F2863,$AE$2:$AF$290,2, 0),"")</f>
        <v/>
      </c>
      <c r="H2863" s="212" t="s">
        <v>393</v>
      </c>
      <c r="I2863" s="246" t="n">
        <f aca="false">SUM(K2863:R2863)</f>
        <v>0</v>
      </c>
      <c r="J2863" s="182" t="n">
        <v>46203</v>
      </c>
      <c r="S2863" s="192" t="n">
        <f aca="false">(K2863+O2863+Q2863)*24 /1130+(L2863+M2863+P2863+R2863)*12/1130+(N2863*30)/1130</f>
        <v>0</v>
      </c>
    </row>
    <row r="2864" customFormat="false" ht="15" hidden="true" customHeight="true" outlineLevel="0" collapsed="false">
      <c r="B2864" s="233" t="n">
        <f aca="false">B2863+D2864-C2864</f>
        <v>16822.5</v>
      </c>
      <c r="C2864" s="127" t="n">
        <f aca="false">113+109+154+425+322+100+811</f>
        <v>2034</v>
      </c>
      <c r="E2864" s="147" t="s">
        <v>675</v>
      </c>
      <c r="F2864" s="147" t="str">
        <f aca="false">IFERROR(VLOOKUP(H2864,$AD$1:$AE$301,2,0),"")</f>
        <v/>
      </c>
      <c r="G2864" s="147" t="str">
        <f aca="false">IFERROR(VLOOKUP(F2864,$AE$2:$AF$290,2, 0),"")</f>
        <v/>
      </c>
      <c r="H2864" s="212" t="s">
        <v>393</v>
      </c>
      <c r="I2864" s="246" t="n">
        <f aca="false">SUM(K2864:R2864)</f>
        <v>0</v>
      </c>
      <c r="J2864" s="182" t="n">
        <v>46203</v>
      </c>
      <c r="S2864" s="192" t="n">
        <f aca="false">(K2864+O2864+Q2864)*24 /1130+(L2864+M2864+P2864+R2864)*12/1130+(N2864*30)/1130</f>
        <v>0</v>
      </c>
    </row>
    <row r="2865" customFormat="false" ht="15" hidden="true" customHeight="true" outlineLevel="0" collapsed="false">
      <c r="B2865" s="233" t="n">
        <f aca="false">B2864+D2865-C2865</f>
        <v>16522.5</v>
      </c>
      <c r="C2865" s="128" t="n">
        <f aca="false">300</f>
        <v>300</v>
      </c>
      <c r="E2865" s="147" t="s">
        <v>677</v>
      </c>
      <c r="F2865" s="147" t="str">
        <f aca="false">IFERROR(VLOOKUP(H2865,$AD$1:$AE$301,2,0),"")</f>
        <v/>
      </c>
      <c r="G2865" s="147" t="str">
        <f aca="false">IFERROR(VLOOKUP(F2865,$AE$2:$AF$290,2, 0),"")</f>
        <v/>
      </c>
      <c r="H2865" s="212" t="s">
        <v>393</v>
      </c>
      <c r="I2865" s="246" t="n">
        <f aca="false">SUM(K2865:R2865)</f>
        <v>0</v>
      </c>
      <c r="J2865" s="182" t="n">
        <v>46203</v>
      </c>
      <c r="K2865" s="427"/>
      <c r="S2865" s="192" t="n">
        <f aca="false">(K2865+O2865+Q2865)*24 /1130+(L2865+M2865+P2865+R2865)*12/1130+(N2865*30)/1130</f>
        <v>0</v>
      </c>
    </row>
    <row r="2866" customFormat="false" ht="15" hidden="true" customHeight="true" outlineLevel="0" collapsed="false">
      <c r="B2866" s="233" t="n">
        <f aca="false">B2865+D2866-C2866</f>
        <v>13842.5</v>
      </c>
      <c r="C2866" s="127" t="n">
        <f aca="false">280+700+1700</f>
        <v>2680</v>
      </c>
      <c r="E2866" s="147" t="s">
        <v>675</v>
      </c>
      <c r="F2866" s="147" t="str">
        <f aca="false">IFERROR(VLOOKUP(H2866,$AD$1:$AE$301,2,0),"")</f>
        <v/>
      </c>
      <c r="G2866" s="147" t="str">
        <f aca="false">IFERROR(VLOOKUP(F2866,$AE$2:$AF$290,2, 0),"")</f>
        <v/>
      </c>
      <c r="H2866" s="212" t="s">
        <v>393</v>
      </c>
      <c r="I2866" s="246" t="n">
        <f aca="false">SUM(K2866:R2866)</f>
        <v>0</v>
      </c>
      <c r="J2866" s="182" t="n">
        <v>46203</v>
      </c>
      <c r="K2866" s="427"/>
      <c r="S2866" s="192" t="n">
        <f aca="false">(K2866+O2866+Q2866)*24 /1130+(L2866+M2866+P2866+R2866)*12/1130+(N2866*30)/1130</f>
        <v>0</v>
      </c>
    </row>
    <row r="2867" customFormat="false" ht="15" hidden="true" customHeight="true" outlineLevel="0" collapsed="false">
      <c r="B2867" s="233" t="n">
        <f aca="false">B2866+D2867-C2867</f>
        <v>8970.25</v>
      </c>
      <c r="C2867" s="127" t="n">
        <f aca="false">1612.25+1660+1600</f>
        <v>4872.25</v>
      </c>
      <c r="E2867" s="147" t="s">
        <v>677</v>
      </c>
      <c r="F2867" s="147" t="str">
        <f aca="false">IFERROR(VLOOKUP(H2867,$AD$1:$AE$301,2,0),"")</f>
        <v/>
      </c>
      <c r="G2867" s="147" t="str">
        <f aca="false">IFERROR(VLOOKUP(F2867,$AE$2:$AF$290,2, 0),"")</f>
        <v/>
      </c>
      <c r="H2867" s="212" t="s">
        <v>393</v>
      </c>
      <c r="I2867" s="246" t="n">
        <f aca="false">SUM(K2867:R2867)</f>
        <v>0</v>
      </c>
      <c r="J2867" s="182" t="n">
        <v>46203</v>
      </c>
      <c r="S2867" s="192" t="n">
        <f aca="false">(K2867+O2867+Q2867)*24 /1130+(L2867+M2867+P2867+R2867)*12/1130+(N2867*30)/1130</f>
        <v>0</v>
      </c>
    </row>
    <row r="2868" customFormat="false" ht="15" hidden="true" customHeight="true" outlineLevel="0" collapsed="false">
      <c r="B2868" s="233" t="n">
        <f aca="false">B2867+D2868-C2868</f>
        <v>6583.25</v>
      </c>
      <c r="C2868" s="127" t="n">
        <f aca="false">100+464+1000+30+793</f>
        <v>2387</v>
      </c>
      <c r="E2868" s="147" t="s">
        <v>675</v>
      </c>
      <c r="F2868" s="147" t="str">
        <f aca="false">IFERROR(VLOOKUP(H2868,$AD$1:$AE$301,2,0),"")</f>
        <v/>
      </c>
      <c r="G2868" s="147" t="str">
        <f aca="false">IFERROR(VLOOKUP(F2868,$AE$2:$AF$290,2, 0),"")</f>
        <v/>
      </c>
      <c r="H2868" s="212" t="s">
        <v>393</v>
      </c>
      <c r="I2868" s="246" t="n">
        <f aca="false">SUM(K2868:R2868)</f>
        <v>0</v>
      </c>
      <c r="J2868" s="182" t="n">
        <v>46203</v>
      </c>
      <c r="S2868" s="192" t="n">
        <f aca="false">(K2868+O2868+Q2868)*24 /1130+(L2868+M2868+P2868+R2868)*12/1130+(N2868*30)/1130</f>
        <v>0</v>
      </c>
    </row>
    <row r="2869" customFormat="false" ht="15" hidden="true" customHeight="true" outlineLevel="0" collapsed="false">
      <c r="B2869" s="233" t="n">
        <f aca="false">B2868+D2869-C2869</f>
        <v>6283.25</v>
      </c>
      <c r="C2869" s="127" t="n">
        <f aca="false">150+56+50+8+18+18</f>
        <v>300</v>
      </c>
      <c r="E2869" s="147" t="s">
        <v>675</v>
      </c>
      <c r="F2869" s="147" t="str">
        <f aca="false">IFERROR(VLOOKUP(H2869,$AD$1:$AE$301,2,0),"")</f>
        <v/>
      </c>
      <c r="G2869" s="147" t="str">
        <f aca="false">IFERROR(VLOOKUP(F2869,$AE$2:$AF$290,2, 0),"")</f>
        <v/>
      </c>
      <c r="H2869" s="212" t="s">
        <v>393</v>
      </c>
      <c r="I2869" s="246" t="n">
        <f aca="false">SUM(K2869:R2869)</f>
        <v>0</v>
      </c>
      <c r="J2869" s="182" t="n">
        <v>46203</v>
      </c>
      <c r="S2869" s="192" t="n">
        <f aca="false">(K2869+O2869+Q2869)*24 /1130+(L2869+M2869+P2869+R2869)*12/1130+(N2869*30)/1130</f>
        <v>0</v>
      </c>
    </row>
    <row r="2870" customFormat="false" ht="15" hidden="true" customHeight="true" outlineLevel="0" collapsed="false">
      <c r="B2870" s="233" t="n">
        <f aca="false">B2869+D2870-C2870</f>
        <v>4765.75</v>
      </c>
      <c r="C2870" s="127" t="n">
        <f aca="false">500+240+100+30+140+100+150+257.5</f>
        <v>1517.5</v>
      </c>
      <c r="E2870" s="147" t="s">
        <v>675</v>
      </c>
      <c r="F2870" s="147" t="str">
        <f aca="false">IFERROR(VLOOKUP(H2870,$AD$1:$AE$301,2,0),"")</f>
        <v/>
      </c>
      <c r="G2870" s="147" t="str">
        <f aca="false">IFERROR(VLOOKUP(F2870,$AE$2:$AF$290,2, 0),"")</f>
        <v/>
      </c>
      <c r="H2870" s="212" t="s">
        <v>393</v>
      </c>
      <c r="I2870" s="246" t="n">
        <f aca="false">SUM(K2870:R2870)</f>
        <v>0</v>
      </c>
      <c r="J2870" s="182" t="n">
        <v>46203</v>
      </c>
      <c r="S2870" s="192" t="n">
        <f aca="false">(K2870+O2870+Q2870)*24 /1130+(L2870+M2870+P2870+R2870)*12/1130+(N2870*30)/1130</f>
        <v>0</v>
      </c>
    </row>
    <row r="2871" customFormat="false" ht="15" hidden="true" customHeight="true" outlineLevel="0" collapsed="false">
      <c r="B2871" s="233" t="n">
        <f aca="false">B2870+D2871-C2871</f>
        <v>0.75</v>
      </c>
      <c r="C2871" s="127" t="n">
        <f aca="false">3240+225+310+990</f>
        <v>4765</v>
      </c>
      <c r="E2871" s="147" t="s">
        <v>675</v>
      </c>
      <c r="F2871" s="147" t="str">
        <f aca="false">IFERROR(VLOOKUP(H2871,$AD$1:$AE$301,2,0),"")</f>
        <v/>
      </c>
      <c r="G2871" s="147" t="str">
        <f aca="false">IFERROR(VLOOKUP(F2871,$AE$2:$AF$290,2, 0),"")</f>
        <v/>
      </c>
      <c r="H2871" s="212" t="s">
        <v>393</v>
      </c>
      <c r="I2871" s="246" t="n">
        <f aca="false">SUM(K2871:R2871)</f>
        <v>0</v>
      </c>
      <c r="J2871" s="182" t="n">
        <v>46203</v>
      </c>
      <c r="S2871" s="192" t="n">
        <f aca="false">(K2871+O2871+Q2871)*24 /1130+(L2871+M2871+P2871+R2871)*12/1130+(N2871*30)/1130</f>
        <v>0</v>
      </c>
    </row>
    <row r="2872" customFormat="false" ht="15" hidden="true" customHeight="true" outlineLevel="0" collapsed="false">
      <c r="B2872" s="233" t="n">
        <f aca="false">B2871+D2872-C2872</f>
        <v>506.75</v>
      </c>
      <c r="D2872" s="146" t="n">
        <f aca="false">253*2</f>
        <v>506</v>
      </c>
      <c r="E2872" s="147" t="n">
        <v>53002190</v>
      </c>
      <c r="F2872" s="147" t="n">
        <f aca="false">IFERROR(VLOOKUP(H2872,$AD$1:$AE$301,2,0),"")</f>
        <v>1004</v>
      </c>
      <c r="G2872" s="147" t="str">
        <f aca="false">IFERROR(VLOOKUP(F2872,$AE$2:$AF$290,2, 0),"")</f>
        <v>تبوك</v>
      </c>
      <c r="H2872" s="212" t="s">
        <v>181</v>
      </c>
      <c r="I2872" s="246" t="n">
        <f aca="false">SUM(K2872:R2872)</f>
        <v>2</v>
      </c>
      <c r="J2872" s="182" t="n">
        <v>46209</v>
      </c>
      <c r="R2872" s="155" t="n">
        <v>2</v>
      </c>
      <c r="S2872" s="192" t="n">
        <f aca="false">(K2872+O2872+Q2872)*24 /1130+(L2872+M2872+P2872+R2872)*12/1130+(N2872*30)/1130</f>
        <v>0.0212389380530973</v>
      </c>
    </row>
    <row r="2873" customFormat="false" ht="15" hidden="true" customHeight="true" outlineLevel="0" collapsed="false">
      <c r="B2873" s="233" t="n">
        <f aca="false">B2872+D2873-C2873</f>
        <v>1507.25</v>
      </c>
      <c r="D2873" s="146" t="n">
        <f aca="false">333.5*3</f>
        <v>1000.5</v>
      </c>
      <c r="E2873" s="147" t="n">
        <v>53002192</v>
      </c>
      <c r="F2873" s="147" t="n">
        <f aca="false">IFERROR(VLOOKUP(H2873,$AD$1:$AE$301,2,0),"")</f>
        <v>1008027</v>
      </c>
      <c r="G2873" s="147" t="str">
        <f aca="false">IFERROR(VLOOKUP(F2873,$AE$2:$AF$290,2, 0),"")</f>
        <v>ضباء</v>
      </c>
      <c r="H2873" s="212" t="s">
        <v>100</v>
      </c>
      <c r="I2873" s="246" t="n">
        <f aca="false">SUM(K2873:R2873)</f>
        <v>3</v>
      </c>
      <c r="J2873" s="182" t="n">
        <v>46210</v>
      </c>
      <c r="N2873" s="151" t="n">
        <v>3</v>
      </c>
      <c r="S2873" s="192" t="n">
        <f aca="false">(K2873+O2873+Q2873)*24 /1130+(L2873+M2873+P2873+R2873)*12/1130+(N2873*30)/1130</f>
        <v>0.079646017699115</v>
      </c>
    </row>
    <row r="2874" customFormat="false" ht="15" hidden="true" customHeight="true" outlineLevel="0" collapsed="false">
      <c r="B2874" s="233" t="n">
        <f aca="false">B2873+D2874-C2874</f>
        <v>1668.25</v>
      </c>
      <c r="D2874" s="146" t="n">
        <v>161</v>
      </c>
      <c r="E2874" s="147" t="n">
        <v>53002191</v>
      </c>
      <c r="F2874" s="147" t="n">
        <f aca="false">IFERROR(VLOOKUP(H2874,$AD$1:$AE$301,2,0),"")</f>
        <v>1007976</v>
      </c>
      <c r="G2874" s="147" t="str">
        <f aca="false">IFERROR(VLOOKUP(F2874,$AE$2:$AF$290,2, 0),"")</f>
        <v>ضباء</v>
      </c>
      <c r="H2874" s="212" t="s">
        <v>77</v>
      </c>
      <c r="I2874" s="246" t="n">
        <f aca="false">SUM(K2874:R2874)</f>
        <v>1</v>
      </c>
      <c r="J2874" s="182" t="n">
        <v>46210</v>
      </c>
      <c r="Q2874" s="154" t="n">
        <v>1</v>
      </c>
      <c r="S2874" s="192" t="n">
        <f aca="false">(K2874+O2874+Q2874)*24 /1130+(L2874+M2874+P2874+R2874)*12/1130+(N2874*30)/1130</f>
        <v>0.0212389380530973</v>
      </c>
    </row>
    <row r="2875" customFormat="false" ht="15" hidden="true" customHeight="true" outlineLevel="0" collapsed="false">
      <c r="B2875" s="233" t="n">
        <f aca="false">B2874+D2875-C2875</f>
        <v>2937.85</v>
      </c>
      <c r="D2875" s="146" t="n">
        <v>1269.6</v>
      </c>
      <c r="E2875" s="147" t="n">
        <v>53002193</v>
      </c>
      <c r="F2875" s="147" t="n">
        <f aca="false">IFERROR(VLOOKUP(H2875,$AD$1:$AE$301,2,0),"")</f>
        <v>1008022</v>
      </c>
      <c r="G2875" s="147" t="str">
        <f aca="false">IFERROR(VLOOKUP(F2875,$AE$2:$AF$290,2, 0),"")</f>
        <v>ضباء</v>
      </c>
      <c r="H2875" s="212" t="s">
        <v>94</v>
      </c>
      <c r="I2875" s="246" t="n">
        <f aca="false">SUM(K2875:R2875)</f>
        <v>4</v>
      </c>
      <c r="J2875" s="182" t="n">
        <v>46210</v>
      </c>
      <c r="K2875" s="148" t="n">
        <v>4</v>
      </c>
      <c r="S2875" s="192" t="n">
        <f aca="false">(K2875+O2875+Q2875)*24 /1130+(L2875+M2875+P2875+R2875)*12/1130+(N2875*30)/1130</f>
        <v>0.0849557522123894</v>
      </c>
    </row>
    <row r="2876" customFormat="false" ht="15" hidden="true" customHeight="true" outlineLevel="0" collapsed="false">
      <c r="B2876" s="233" t="n">
        <f aca="false">B2875+D2876-C2876</f>
        <v>3121.85</v>
      </c>
      <c r="D2876" s="146" t="n">
        <v>184</v>
      </c>
      <c r="E2876" s="147" t="n">
        <v>53002194</v>
      </c>
      <c r="F2876" s="147" t="n">
        <f aca="false">IFERROR(VLOOKUP(H2876,$AD$1:$AE$301,2,0),"")</f>
        <v>1008024</v>
      </c>
      <c r="G2876" s="147" t="str">
        <f aca="false">IFERROR(VLOOKUP(F2876,$AE$2:$AF$290,2, 0),"")</f>
        <v>ضباء</v>
      </c>
      <c r="H2876" s="212" t="s">
        <v>96</v>
      </c>
      <c r="I2876" s="246" t="n">
        <f aca="false">SUM(K2876:R2876)</f>
        <v>1</v>
      </c>
      <c r="J2876" s="182" t="n">
        <v>46210</v>
      </c>
      <c r="R2876" s="155" t="n">
        <v>1</v>
      </c>
      <c r="S2876" s="192" t="n">
        <f aca="false">(K2876+O2876+Q2876)*24 /1130+(L2876+M2876+P2876+R2876)*12/1130+(N2876*30)/1130</f>
        <v>0.0106194690265487</v>
      </c>
    </row>
    <row r="2877" customFormat="false" ht="15" hidden="true" customHeight="true" outlineLevel="0" collapsed="false">
      <c r="B2877" s="233" t="n">
        <f aca="false">B2876+D2877-C2877</f>
        <v>4391.45</v>
      </c>
      <c r="D2877" s="146" t="n">
        <v>1269.6</v>
      </c>
      <c r="E2877" s="147" t="n">
        <v>53002195</v>
      </c>
      <c r="F2877" s="147" t="n">
        <f aca="false">IFERROR(VLOOKUP(H2877,$AD$1:$AE$301,2,0),"")</f>
        <v>1008044</v>
      </c>
      <c r="G2877" s="147" t="str">
        <f aca="false">IFERROR(VLOOKUP(F2877,$AE$2:$AF$290,2, 0),"")</f>
        <v>الوجه</v>
      </c>
      <c r="H2877" s="212" t="s">
        <v>106</v>
      </c>
      <c r="I2877" s="246" t="n">
        <f aca="false">SUM(K2877:R2877)</f>
        <v>4</v>
      </c>
      <c r="J2877" s="182" t="n">
        <v>46210</v>
      </c>
      <c r="K2877" s="148" t="n">
        <v>4</v>
      </c>
      <c r="S2877" s="192" t="n">
        <f aca="false">(K2877+O2877+Q2877)*24 /1130+(L2877+M2877+P2877+R2877)*12/1130+(N2877*30)/1130</f>
        <v>0.0849557522123894</v>
      </c>
    </row>
    <row r="2878" customFormat="false" ht="15" hidden="true" customHeight="true" outlineLevel="0" collapsed="false">
      <c r="B2878" s="233" t="n">
        <f aca="false">B2877+D2878-C2878</f>
        <v>4811.2</v>
      </c>
      <c r="D2878" s="146" t="n">
        <v>419.75</v>
      </c>
      <c r="E2878" s="147" t="n">
        <v>53002196</v>
      </c>
      <c r="F2878" s="147" t="n">
        <f aca="false">IFERROR(VLOOKUP(H2878,$AD$1:$AE$301,2,0),"")</f>
        <v>1002</v>
      </c>
      <c r="G2878" s="147" t="str">
        <f aca="false">IFERROR(VLOOKUP(F2878,$AE$2:$AF$290,2, 0),"")</f>
        <v>الوجه</v>
      </c>
      <c r="H2878" s="212" t="s">
        <v>116</v>
      </c>
      <c r="I2878" s="246" t="n">
        <f aca="false">SUM(K2878:R2878)</f>
        <v>1</v>
      </c>
      <c r="J2878" s="182" t="n">
        <v>46210</v>
      </c>
      <c r="N2878" s="151" t="n">
        <v>1</v>
      </c>
      <c r="S2878" s="192" t="n">
        <f aca="false">(K2878+O2878+Q2878)*24 /1130+(L2878+M2878+P2878+R2878)*12/1130+(N2878*30)/1130</f>
        <v>0.0265486725663717</v>
      </c>
    </row>
    <row r="2879" customFormat="false" ht="15" hidden="true" customHeight="true" outlineLevel="0" collapsed="false">
      <c r="B2879" s="233" t="n">
        <f aca="false">B2878+D2879-C2879</f>
        <v>6500.55</v>
      </c>
      <c r="D2879" s="146" t="n">
        <f aca="false">1269.6+419.75</f>
        <v>1689.35</v>
      </c>
      <c r="E2879" s="147" t="n">
        <v>53002197</v>
      </c>
      <c r="F2879" s="147" t="n">
        <f aca="false">IFERROR(VLOOKUP(H2879,$AD$1:$AE$301,2,0),"")</f>
        <v>1008046</v>
      </c>
      <c r="G2879" s="147" t="str">
        <f aca="false">IFERROR(VLOOKUP(F2879,$AE$2:$AF$290,2, 0),"")</f>
        <v>الوجه</v>
      </c>
      <c r="H2879" s="212" t="s">
        <v>108</v>
      </c>
      <c r="I2879" s="246" t="n">
        <f aca="false">SUM(K2879:R2879)</f>
        <v>5</v>
      </c>
      <c r="J2879" s="182" t="n">
        <v>46210</v>
      </c>
      <c r="K2879" s="148" t="n">
        <v>4</v>
      </c>
      <c r="N2879" s="151" t="n">
        <v>1</v>
      </c>
      <c r="S2879" s="192" t="n">
        <f aca="false">(K2879+O2879+Q2879)*24 /1130+(L2879+M2879+P2879+R2879)*12/1130+(N2879*30)/1130</f>
        <v>0.111504424778761</v>
      </c>
    </row>
    <row r="2880" customFormat="false" ht="15" hidden="true" customHeight="true" outlineLevel="0" collapsed="false">
      <c r="B2880" s="233" t="n">
        <f aca="false">B2879+D2880-C2880</f>
        <v>4752.55</v>
      </c>
      <c r="C2880" s="127" t="n">
        <f aca="false">1180.5+250+317.5</f>
        <v>1748</v>
      </c>
      <c r="E2880" s="147" t="s">
        <v>675</v>
      </c>
      <c r="F2880" s="147" t="str">
        <f aca="false">IFERROR(VLOOKUP(H2880,$AD$1:$AE$301,2,0),"")</f>
        <v/>
      </c>
      <c r="G2880" s="147" t="str">
        <f aca="false">IFERROR(VLOOKUP(F2880,$AE$2:$AF$290,2, 0),"")</f>
        <v/>
      </c>
      <c r="H2880" s="212" t="s">
        <v>393</v>
      </c>
      <c r="I2880" s="246" t="n">
        <f aca="false">SUM(K2880:R2880)</f>
        <v>0</v>
      </c>
      <c r="J2880" s="182" t="n">
        <v>46210</v>
      </c>
      <c r="S2880" s="192" t="n">
        <f aca="false">(K2880+O2880+Q2880)*24 /1130+(L2880+M2880+P2880+R2880)*12/1130+(N2880*30)/1130</f>
        <v>0</v>
      </c>
    </row>
    <row r="2881" customFormat="false" ht="15" hidden="true" customHeight="true" outlineLevel="0" collapsed="false">
      <c r="B2881" s="233" t="n">
        <f aca="false">B2880+D2881-C2881</f>
        <v>552.549999999999</v>
      </c>
      <c r="C2881" s="127" t="n">
        <v>4200</v>
      </c>
      <c r="E2881" s="147" t="s">
        <v>679</v>
      </c>
      <c r="F2881" s="147" t="str">
        <f aca="false">IFERROR(VLOOKUP(H2881,$AD$1:$AE$301,2,0),"")</f>
        <v/>
      </c>
      <c r="G2881" s="147" t="str">
        <f aca="false">IFERROR(VLOOKUP(F2881,$AE$2:$AF$290,2, 0),"")</f>
        <v/>
      </c>
      <c r="H2881" s="212" t="s">
        <v>393</v>
      </c>
      <c r="I2881" s="246" t="n">
        <f aca="false">SUM(K2881:R2881)</f>
        <v>0</v>
      </c>
      <c r="J2881" s="182" t="n">
        <v>46210</v>
      </c>
      <c r="S2881" s="192" t="n">
        <f aca="false">(K2881+O2881+Q2881)*24 /1130+(L2881+M2881+P2881+R2881)*12/1130+(N2881*30)/1130</f>
        <v>0</v>
      </c>
    </row>
    <row r="2882" customFormat="false" ht="15" hidden="true" customHeight="true" outlineLevel="0" collapsed="false">
      <c r="B2882" s="233" t="n">
        <f aca="false">B2881+D2882-C2882</f>
        <v>286.549999999999</v>
      </c>
      <c r="C2882" s="127" t="n">
        <v>266</v>
      </c>
      <c r="E2882" s="147" t="s">
        <v>677</v>
      </c>
      <c r="F2882" s="147" t="str">
        <f aca="false">IFERROR(VLOOKUP(H2882,$AD$1:$AE$301,2,0),"")</f>
        <v/>
      </c>
      <c r="G2882" s="147" t="str">
        <f aca="false">IFERROR(VLOOKUP(F2882,$AE$2:$AF$290,2, 0),"")</f>
        <v/>
      </c>
      <c r="H2882" s="212" t="s">
        <v>393</v>
      </c>
      <c r="I2882" s="246" t="n">
        <f aca="false">SUM(K2882:R2882)</f>
        <v>0</v>
      </c>
      <c r="J2882" s="182" t="n">
        <v>46210</v>
      </c>
      <c r="S2882" s="192" t="n">
        <f aca="false">(K2882+O2882+Q2882)*24 /1130+(L2882+M2882+P2882+R2882)*12/1130+(N2882*30)/1130</f>
        <v>0</v>
      </c>
    </row>
    <row r="2883" customFormat="false" ht="15" hidden="true" customHeight="true" outlineLevel="0" collapsed="false">
      <c r="B2883" s="233" t="n">
        <f aca="false">B2882+D2883-C2883</f>
        <v>942.049999999999</v>
      </c>
      <c r="D2883" s="146" t="n">
        <v>655.5</v>
      </c>
      <c r="E2883" s="147" t="n">
        <v>53002198</v>
      </c>
      <c r="F2883" s="147" t="n">
        <f aca="false">IFERROR(VLOOKUP(H2883,$AD$1:$AE$301,2,0),"")</f>
        <v>1224</v>
      </c>
      <c r="G2883" s="147" t="str">
        <f aca="false">IFERROR(VLOOKUP(F2883,$AE$2:$AF$290,2, 0),"")</f>
        <v>تبوك</v>
      </c>
      <c r="H2883" s="212" t="s">
        <v>203</v>
      </c>
      <c r="I2883" s="246" t="n">
        <f aca="false">SUM(K2883:R2883)</f>
        <v>4</v>
      </c>
      <c r="J2883" s="182" t="n">
        <v>46211</v>
      </c>
      <c r="L2883" s="149" t="n">
        <v>4</v>
      </c>
      <c r="S2883" s="192" t="n">
        <f aca="false">(K2883+O2883+Q2883)*24 /1130+(L2883+M2883+P2883+R2883)*12/1130+(N2883*30)/1130</f>
        <v>0.0424778761061947</v>
      </c>
    </row>
    <row r="2884" customFormat="false" ht="15" hidden="true" customHeight="true" outlineLevel="0" collapsed="false">
      <c r="B2884" s="233" t="n">
        <f aca="false">B2883+D2884-C2884</f>
        <v>394.049999999999</v>
      </c>
      <c r="C2884" s="127" t="n">
        <f aca="false">248+300</f>
        <v>548</v>
      </c>
      <c r="E2884" s="147" t="s">
        <v>675</v>
      </c>
      <c r="F2884" s="147" t="str">
        <f aca="false">IFERROR(VLOOKUP(H2884,$AD$1:$AE$301,2,0),"")</f>
        <v/>
      </c>
      <c r="G2884" s="147" t="str">
        <f aca="false">IFERROR(VLOOKUP(F2884,$AE$2:$AF$290,2, 0),"")</f>
        <v/>
      </c>
      <c r="H2884" s="212" t="s">
        <v>393</v>
      </c>
      <c r="I2884" s="246" t="n">
        <f aca="false">SUM(K2884:R2884)</f>
        <v>0</v>
      </c>
      <c r="J2884" s="182" t="n">
        <v>46212</v>
      </c>
      <c r="S2884" s="192" t="n">
        <f aca="false">(K2884+O2884+Q2884)*24 /1130+(L2884+M2884+P2884+R2884)*12/1130+(N2884*30)/1130</f>
        <v>0</v>
      </c>
    </row>
    <row r="2885" customFormat="false" ht="15" hidden="true" customHeight="true" outlineLevel="0" collapsed="false">
      <c r="B2885" s="233" t="n">
        <f aca="false">B2884+D2885-C2885</f>
        <v>1663.65</v>
      </c>
      <c r="D2885" s="146" t="n">
        <v>1269.6</v>
      </c>
      <c r="E2885" s="147" t="n">
        <v>53002199</v>
      </c>
      <c r="F2885" s="147" t="n">
        <f aca="false">IFERROR(VLOOKUP(H2885,$AD$1:$AE$301,2,0),"")</f>
        <v>1008261</v>
      </c>
      <c r="G2885" s="147" t="str">
        <f aca="false">IFERROR(VLOOKUP(F2885,$AE$2:$AF$290,2, 0),"")</f>
        <v>تبوك</v>
      </c>
      <c r="H2885" s="212" t="s">
        <v>440</v>
      </c>
      <c r="I2885" s="246" t="n">
        <f aca="false">SUM(K2885:R2885)</f>
        <v>4</v>
      </c>
      <c r="J2885" s="182" t="n">
        <v>46212</v>
      </c>
      <c r="K2885" s="148" t="n">
        <v>4</v>
      </c>
      <c r="S2885" s="192" t="n">
        <f aca="false">(K2885+O2885+Q2885)*24 /1130+(L2885+M2885+P2885+R2885)*12/1130+(N2885*30)/1130</f>
        <v>0.0849557522123894</v>
      </c>
    </row>
    <row r="2886" customFormat="false" ht="15" hidden="true" customHeight="true" outlineLevel="0" collapsed="false">
      <c r="B2886" s="233" t="n">
        <f aca="false">B2885+D2886-C2886</f>
        <v>1985.65</v>
      </c>
      <c r="D2886" s="146" t="n">
        <f aca="false">161*2</f>
        <v>322</v>
      </c>
      <c r="E2886" s="147" t="n">
        <v>53002200</v>
      </c>
      <c r="F2886" s="147" t="n">
        <f aca="false">IFERROR(VLOOKUP(H2886,$AD$1:$AE$301,2,0),"")</f>
        <v>721</v>
      </c>
      <c r="G2886" s="147" t="str">
        <f aca="false">IFERROR(VLOOKUP(F2886,$AE$2:$AF$290,2, 0),"")</f>
        <v>تبوك</v>
      </c>
      <c r="H2886" s="212" t="s">
        <v>183</v>
      </c>
      <c r="I2886" s="246" t="n">
        <f aca="false">SUM(K2886:R2886)</f>
        <v>2</v>
      </c>
      <c r="J2886" s="182" t="n">
        <v>46212</v>
      </c>
      <c r="Q2886" s="154" t="n">
        <v>2</v>
      </c>
      <c r="S2886" s="192" t="n">
        <f aca="false">(K2886+O2886+Q2886)*24 /1130+(L2886+M2886+P2886+R2886)*12/1130+(N2886*30)/1130</f>
        <v>0.0424778761061947</v>
      </c>
    </row>
    <row r="2887" customFormat="false" ht="15" hidden="true" customHeight="true" outlineLevel="0" collapsed="false">
      <c r="B2887" s="233" t="n">
        <f aca="false">B2886+D2887-C2887</f>
        <v>2169.65</v>
      </c>
      <c r="D2887" s="146" t="n">
        <v>184</v>
      </c>
      <c r="E2887" s="147" t="n">
        <v>53002201</v>
      </c>
      <c r="F2887" s="147" t="n">
        <f aca="false">IFERROR(VLOOKUP(H2887,$AD$1:$AE$301,2,0),"")</f>
        <v>1006466</v>
      </c>
      <c r="G2887" s="147" t="str">
        <f aca="false">IFERROR(VLOOKUP(F2887,$AE$2:$AF$290,2, 0),"")</f>
        <v>تبوك</v>
      </c>
      <c r="H2887" s="212" t="s">
        <v>148</v>
      </c>
      <c r="I2887" s="246" t="n">
        <f aca="false">SUM(K2887:R2887)</f>
        <v>1</v>
      </c>
      <c r="J2887" s="182" t="n">
        <v>46212</v>
      </c>
      <c r="R2887" s="155" t="n">
        <v>1</v>
      </c>
      <c r="S2887" s="192" t="n">
        <f aca="false">(K2887+O2887+Q2887)*24 /1130+(L2887+M2887+P2887+R2887)*12/1130+(N2887*30)/1130</f>
        <v>0.0106194690265487</v>
      </c>
    </row>
    <row r="2888" customFormat="false" ht="15" hidden="true" customHeight="true" outlineLevel="0" collapsed="false">
      <c r="B2888" s="233" t="n">
        <f aca="false">B2887+D2888-C2888</f>
        <v>2330.65</v>
      </c>
      <c r="D2888" s="146" t="n">
        <v>161</v>
      </c>
      <c r="E2888" s="147" t="n">
        <v>53002202</v>
      </c>
      <c r="F2888" s="147" t="n">
        <f aca="false">IFERROR(VLOOKUP(H2888,$AD$1:$AE$301,2,0),"")</f>
        <v>1008272</v>
      </c>
      <c r="G2888" s="147" t="str">
        <f aca="false">IFERROR(VLOOKUP(F2888,$AE$2:$AF$290,2, 0),"")</f>
        <v>تبوك</v>
      </c>
      <c r="H2888" s="212" t="s">
        <v>143</v>
      </c>
      <c r="I2888" s="246" t="n">
        <f aca="false">SUM(K2888:R2888)</f>
        <v>1</v>
      </c>
      <c r="J2888" s="182" t="n">
        <v>46212</v>
      </c>
      <c r="Q2888" s="154" t="n">
        <v>1</v>
      </c>
      <c r="S2888" s="192" t="n">
        <f aca="false">(K2888+O2888+Q2888)*24 /1130+(L2888+M2888+P2888+R2888)*12/1130+(N2888*30)/1130</f>
        <v>0.0212389380530973</v>
      </c>
    </row>
    <row r="2889" customFormat="false" ht="15" hidden="true" customHeight="true" outlineLevel="0" collapsed="false">
      <c r="B2889" s="233" t="n">
        <f aca="false">B2888+D2889-C2889</f>
        <v>6919.15</v>
      </c>
      <c r="D2889" s="146" t="n">
        <f aca="false">163.875*28</f>
        <v>4588.5</v>
      </c>
      <c r="E2889" s="147" t="n">
        <v>53002203</v>
      </c>
      <c r="F2889" s="147" t="n">
        <f aca="false">IFERROR(VLOOKUP(H2889,$AD$1:$AE$301,2,0),"")</f>
        <v>855</v>
      </c>
      <c r="G2889" s="147" t="str">
        <f aca="false">IFERROR(VLOOKUP(F2889,$AE$2:$AF$290,2, 0),"")</f>
        <v>تبوك</v>
      </c>
      <c r="H2889" s="212" t="s">
        <v>141</v>
      </c>
      <c r="I2889" s="246" t="n">
        <f aca="false">SUM(K2889:R2889)</f>
        <v>28</v>
      </c>
      <c r="J2889" s="182" t="n">
        <v>46212</v>
      </c>
      <c r="L2889" s="149" t="n">
        <v>28</v>
      </c>
      <c r="S2889" s="192" t="n">
        <f aca="false">(K2889+O2889+Q2889)*24 /1130+(L2889+M2889+P2889+R2889)*12/1130+(N2889*30)/1130</f>
        <v>0.297345132743363</v>
      </c>
    </row>
    <row r="2890" customFormat="false" ht="15" hidden="true" customHeight="true" outlineLevel="0" collapsed="false">
      <c r="B2890" s="233" t="n">
        <f aca="false">B2889+D2890-C2890</f>
        <v>50.1499999999996</v>
      </c>
      <c r="C2890" s="127" t="n">
        <v>6869</v>
      </c>
      <c r="E2890" s="147" t="s">
        <v>677</v>
      </c>
      <c r="F2890" s="147" t="str">
        <f aca="false">IFERROR(VLOOKUP(H2890,$AD$1:$AE$301,2,0),"")</f>
        <v/>
      </c>
      <c r="G2890" s="147" t="str">
        <f aca="false">IFERROR(VLOOKUP(F2890,$AE$2:$AF$290,2, 0),"")</f>
        <v/>
      </c>
      <c r="H2890" s="212" t="s">
        <v>393</v>
      </c>
      <c r="I2890" s="246" t="n">
        <f aca="false">SUM(K2890:R2890)</f>
        <v>0</v>
      </c>
      <c r="J2890" s="182" t="n">
        <v>46212</v>
      </c>
      <c r="S2890" s="192" t="n">
        <f aca="false">(K2890+O2890+Q2890)*24 /1130+(L2890+M2890+P2890+R2890)*12/1130+(N2890*30)/1130</f>
        <v>0</v>
      </c>
    </row>
    <row r="2891" customFormat="false" ht="15" hidden="true" customHeight="true" outlineLevel="0" collapsed="false">
      <c r="B2891" s="233" t="n">
        <f aca="false">B2890+D2891-C2891</f>
        <v>2589.35</v>
      </c>
      <c r="D2891" s="146" t="n">
        <f aca="false">1269.6*2</f>
        <v>2539.2</v>
      </c>
      <c r="E2891" s="147" t="n">
        <v>53002204</v>
      </c>
      <c r="F2891" s="147" t="n">
        <f aca="false">IFERROR(VLOOKUP(H2891,$AD$1:$AE$301,2,0),"")</f>
        <v>855</v>
      </c>
      <c r="G2891" s="147" t="str">
        <f aca="false">IFERROR(VLOOKUP(F2891,$AE$2:$AF$290,2, 0),"")</f>
        <v>تبوك</v>
      </c>
      <c r="H2891" s="212" t="s">
        <v>141</v>
      </c>
      <c r="I2891" s="246" t="n">
        <f aca="false">SUM(K2891:R2891)</f>
        <v>8</v>
      </c>
      <c r="J2891" s="182" t="n">
        <v>46215</v>
      </c>
      <c r="K2891" s="148" t="n">
        <v>8</v>
      </c>
      <c r="S2891" s="192" t="n">
        <f aca="false">(K2891+O2891+Q2891)*24 /1130+(L2891+M2891+P2891+R2891)*12/1130+(N2891*30)/1130</f>
        <v>0.169911504424779</v>
      </c>
    </row>
    <row r="2892" customFormat="false" ht="15" hidden="true" customHeight="true" outlineLevel="0" collapsed="false">
      <c r="B2892" s="233" t="n">
        <f aca="false">B2891+D2892-C2892</f>
        <v>1425.85</v>
      </c>
      <c r="C2892" s="127" t="n">
        <f aca="false">1163.5</f>
        <v>1163.5</v>
      </c>
      <c r="E2892" s="147" t="s">
        <v>675</v>
      </c>
      <c r="F2892" s="147" t="str">
        <f aca="false">IFERROR(VLOOKUP(H2892,$AD$1:$AE$301,2,0),"")</f>
        <v/>
      </c>
      <c r="G2892" s="147" t="str">
        <f aca="false">IFERROR(VLOOKUP(F2892,$AE$2:$AF$290,2, 0),"")</f>
        <v/>
      </c>
      <c r="H2892" s="212" t="s">
        <v>393</v>
      </c>
      <c r="I2892" s="246" t="n">
        <f aca="false">SUM(K2892:R2892)</f>
        <v>0</v>
      </c>
      <c r="J2892" s="182" t="n">
        <v>46215</v>
      </c>
      <c r="S2892" s="192" t="n">
        <f aca="false">(K2892+O2892+Q2892)*24 /1130+(L2892+M2892+P2892+R2892)*12/1130+(N2892*30)/1130</f>
        <v>0</v>
      </c>
    </row>
    <row r="2893" customFormat="false" ht="15" hidden="true" customHeight="true" outlineLevel="0" collapsed="false">
      <c r="B2893" s="233" t="n">
        <f aca="false">B2892+D2893-C2893</f>
        <v>224.849999999999</v>
      </c>
      <c r="C2893" s="127" t="n">
        <f aca="false">40+5+5+90+250+811</f>
        <v>1201</v>
      </c>
      <c r="E2893" s="147" t="s">
        <v>675</v>
      </c>
      <c r="F2893" s="147" t="str">
        <f aca="false">IFERROR(VLOOKUP(H2893,$AD$1:$AE$301,2,0),"")</f>
        <v/>
      </c>
      <c r="G2893" s="147" t="str">
        <f aca="false">IFERROR(VLOOKUP(F2893,$AE$2:$AF$290,2, 0),"")</f>
        <v/>
      </c>
      <c r="H2893" s="212" t="s">
        <v>393</v>
      </c>
      <c r="I2893" s="246" t="n">
        <f aca="false">SUM(K2893:R2893)</f>
        <v>0</v>
      </c>
      <c r="J2893" s="182" t="n">
        <v>46215</v>
      </c>
      <c r="S2893" s="192" t="n">
        <f aca="false">(K2893+O2893+Q2893)*24 /1130+(L2893+M2893+P2893+R2893)*12/1130+(N2893*30)/1130</f>
        <v>0</v>
      </c>
    </row>
    <row r="2894" customFormat="false" ht="15" hidden="true" customHeight="true" outlineLevel="0" collapsed="false">
      <c r="B2894" s="233" t="n">
        <f aca="false">B2893+D2894-C2894</f>
        <v>1494.45</v>
      </c>
      <c r="D2894" s="146" t="n">
        <v>1269.6</v>
      </c>
      <c r="E2894" s="147" t="n">
        <v>53002205</v>
      </c>
      <c r="F2894" s="147" t="n">
        <f aca="false">IFERROR(VLOOKUP(H2894,$AD$1:$AE$301,2,0),"")</f>
        <v>1006466</v>
      </c>
      <c r="G2894" s="147" t="str">
        <f aca="false">IFERROR(VLOOKUP(F2894,$AE$2:$AF$290,2, 0),"")</f>
        <v>تبوك</v>
      </c>
      <c r="H2894" s="212" t="s">
        <v>148</v>
      </c>
      <c r="I2894" s="246" t="n">
        <f aca="false">SUM(K2894:R2894)</f>
        <v>4</v>
      </c>
      <c r="J2894" s="182" t="n">
        <v>46216</v>
      </c>
      <c r="K2894" s="148" t="n">
        <v>4</v>
      </c>
      <c r="S2894" s="192" t="n">
        <f aca="false">(K2894+O2894+Q2894)*24 /1130+(L2894+M2894+P2894+R2894)*12/1130+(N2894*30)/1130</f>
        <v>0.0849557522123894</v>
      </c>
    </row>
    <row r="2895" customFormat="false" ht="15" hidden="true" customHeight="true" outlineLevel="0" collapsed="false">
      <c r="B2895" s="233" t="n">
        <f aca="false">B2894+D2895-C2895</f>
        <v>2425.95</v>
      </c>
      <c r="D2895" s="146" t="n">
        <f aca="false">299*2+333.5</f>
        <v>931.5</v>
      </c>
      <c r="E2895" s="147" t="n">
        <v>53002206</v>
      </c>
      <c r="F2895" s="147" t="n">
        <f aca="false">IFERROR(VLOOKUP(H2895,$AD$1:$AE$301,2,0),"")</f>
        <v>721</v>
      </c>
      <c r="G2895" s="147" t="str">
        <f aca="false">IFERROR(VLOOKUP(F2895,$AE$2:$AF$290,2, 0),"")</f>
        <v>تبوك</v>
      </c>
      <c r="H2895" s="212" t="s">
        <v>183</v>
      </c>
      <c r="I2895" s="246" t="n">
        <f aca="false">SUM(K2895:R2895)</f>
        <v>3</v>
      </c>
      <c r="J2895" s="182" t="n">
        <v>46216</v>
      </c>
      <c r="R2895" s="155" t="n">
        <f aca="false">2+1</f>
        <v>3</v>
      </c>
      <c r="S2895" s="192" t="n">
        <f aca="false">(K2895+O2895+Q2895)*24 /1130+(L2895+M2895+P2895+R2895)*12/1130+(N2895*30)/1130</f>
        <v>0.031858407079646</v>
      </c>
    </row>
    <row r="2896" customFormat="false" ht="15" hidden="true" customHeight="true" outlineLevel="0" collapsed="false">
      <c r="B2896" s="233" t="n">
        <f aca="false">B2895+D2896-C2896</f>
        <v>2586.95</v>
      </c>
      <c r="D2896" s="146" t="n">
        <v>161</v>
      </c>
      <c r="E2896" s="147" t="n">
        <v>53002207</v>
      </c>
      <c r="F2896" s="147" t="n">
        <f aca="false">IFERROR(VLOOKUP(H2896,$AD$1:$AE$301,2,0),"")</f>
        <v>1071</v>
      </c>
      <c r="G2896" s="147" t="str">
        <f aca="false">IFERROR(VLOOKUP(F2896,$AE$2:$AF$290,2, 0),"")</f>
        <v>تبوك</v>
      </c>
      <c r="H2896" s="212" t="s">
        <v>135</v>
      </c>
      <c r="I2896" s="246" t="n">
        <f aca="false">SUM(K2896:R2896)</f>
        <v>1</v>
      </c>
      <c r="J2896" s="182" t="n">
        <v>46216</v>
      </c>
      <c r="Q2896" s="154" t="n">
        <v>1</v>
      </c>
      <c r="S2896" s="192" t="n">
        <f aca="false">(K2896+O2896+Q2896)*24 /1130+(L2896+M2896+P2896+R2896)*12/1130+(N2896*30)/1130</f>
        <v>0.0212389380530973</v>
      </c>
    </row>
    <row r="2897" customFormat="false" ht="15" hidden="true" customHeight="true" outlineLevel="0" collapsed="false">
      <c r="B2897" s="233" t="n">
        <f aca="false">B2896+D2897-C2897</f>
        <v>3856.55</v>
      </c>
      <c r="D2897" s="146" t="n">
        <v>1269.6</v>
      </c>
      <c r="E2897" s="147" t="n">
        <v>53002208</v>
      </c>
      <c r="F2897" s="147" t="n">
        <f aca="false">IFERROR(VLOOKUP(H2897,$AD$1:$AE$301,2,0),"")</f>
        <v>1002906</v>
      </c>
      <c r="G2897" s="147" t="str">
        <f aca="false">IFERROR(VLOOKUP(F2897,$AE$2:$AF$290,2, 0),"")</f>
        <v>تبوك</v>
      </c>
      <c r="H2897" s="212" t="s">
        <v>138</v>
      </c>
      <c r="I2897" s="246" t="n">
        <f aca="false">SUM(K2897:R2897)</f>
        <v>4</v>
      </c>
      <c r="J2897" s="182" t="n">
        <v>46216</v>
      </c>
      <c r="K2897" s="148" t="n">
        <v>4</v>
      </c>
      <c r="S2897" s="192" t="n">
        <f aca="false">(K2897+O2897+Q2897)*24 /1130+(L2897+M2897+P2897+R2897)*12/1130+(N2897*30)/1130</f>
        <v>0.0849557522123894</v>
      </c>
    </row>
    <row r="2898" customFormat="false" ht="15" hidden="true" customHeight="true" outlineLevel="0" collapsed="false">
      <c r="B2898" s="233" t="n">
        <f aca="false">B2897+D2898-C2898</f>
        <v>3437.55</v>
      </c>
      <c r="C2898" s="127" t="n">
        <v>419</v>
      </c>
      <c r="F2898" s="147" t="str">
        <f aca="false">IFERROR(VLOOKUP(H2898,$AD$1:$AE$301,2,0),"")</f>
        <v/>
      </c>
      <c r="G2898" s="147" t="str">
        <f aca="false">IFERROR(VLOOKUP(F2898,$AE$2:$AF$290,2, 0),"")</f>
        <v/>
      </c>
      <c r="H2898" s="212" t="s">
        <v>393</v>
      </c>
      <c r="I2898" s="246" t="n">
        <f aca="false">SUM(K2898:R2898)</f>
        <v>0</v>
      </c>
      <c r="J2898" s="182" t="n">
        <v>46216</v>
      </c>
      <c r="S2898" s="192" t="n">
        <f aca="false">(K2898+O2898+Q2898)*24 /1130+(L2898+M2898+P2898+R2898)*12/1130+(N2898*30)/1130</f>
        <v>0</v>
      </c>
    </row>
    <row r="2899" customFormat="false" ht="15" hidden="true" customHeight="true" outlineLevel="0" collapsed="false">
      <c r="B2899" s="233" t="n">
        <f aca="false">B2898+D2899-C2899</f>
        <v>9018.5</v>
      </c>
      <c r="D2899" s="146" t="n">
        <f aca="false">5580.95</f>
        <v>5580.95</v>
      </c>
      <c r="E2899" s="147" t="n">
        <v>53002209</v>
      </c>
      <c r="F2899" s="147" t="n">
        <f aca="false">IFERROR(VLOOKUP(H2899,$AD$1:$AE$301,2,0),"")</f>
        <v>855</v>
      </c>
      <c r="G2899" s="147" t="str">
        <f aca="false">IFERROR(VLOOKUP(F2899,$AE$2:$AF$290,2, 0),"")</f>
        <v>تبوك</v>
      </c>
      <c r="H2899" s="212" t="s">
        <v>141</v>
      </c>
      <c r="I2899" s="246" t="n">
        <f aca="false">SUM(K2899:R2899)</f>
        <v>19</v>
      </c>
      <c r="J2899" s="182" t="n">
        <v>46217</v>
      </c>
      <c r="K2899" s="148" t="n">
        <v>8</v>
      </c>
      <c r="M2899" s="150" t="n">
        <f aca="false">7+3</f>
        <v>10</v>
      </c>
      <c r="R2899" s="155" t="n">
        <f aca="false">1</f>
        <v>1</v>
      </c>
      <c r="S2899" s="192" t="n">
        <f aca="false">(K2899+O2899+Q2899)*24 /1130+(L2899+M2899+P2899+R2899)*12/1130+(N2899*30)/1130</f>
        <v>0.286725663716814</v>
      </c>
    </row>
    <row r="2900" customFormat="false" ht="15" hidden="true" customHeight="true" outlineLevel="0" collapsed="false">
      <c r="B2900" s="233" t="n">
        <f aca="false">B2899+D2900-C2900</f>
        <v>21887</v>
      </c>
      <c r="D2900" s="146" t="n">
        <v>12868.5</v>
      </c>
      <c r="E2900" s="147" t="n">
        <v>53002210</v>
      </c>
      <c r="F2900" s="147" t="n">
        <f aca="false">IFERROR(VLOOKUP(H2900,$AD$1:$AE$301,2,0),"")</f>
        <v>1063</v>
      </c>
      <c r="G2900" s="147" t="str">
        <f aca="false">IFERROR(VLOOKUP(F2900,$AE$2:$AF$290,2, 0),"")</f>
        <v>تبوك</v>
      </c>
      <c r="H2900" s="212" t="s">
        <v>158</v>
      </c>
      <c r="I2900" s="246" t="n">
        <f aca="false">SUM(K2900:R2900)</f>
        <v>48</v>
      </c>
      <c r="J2900" s="182" t="n">
        <v>46217</v>
      </c>
      <c r="M2900" s="150" t="n">
        <v>42</v>
      </c>
      <c r="Q2900" s="154" t="n">
        <v>4</v>
      </c>
      <c r="R2900" s="155" t="n">
        <v>2</v>
      </c>
      <c r="S2900" s="192" t="n">
        <f aca="false">(K2900+O2900+Q2900)*24 /1130+(L2900+M2900+P2900+R2900)*12/1130+(N2900*30)/1130</f>
        <v>0.552212389380531</v>
      </c>
    </row>
    <row r="2901" customFormat="false" ht="15" hidden="true" customHeight="true" outlineLevel="0" collapsed="false">
      <c r="B2901" s="233" t="n">
        <f aca="false">B2900+D2901-C2901</f>
        <v>22306.75</v>
      </c>
      <c r="D2901" s="146" t="n">
        <v>419.75</v>
      </c>
      <c r="E2901" s="147" t="n">
        <v>53002211</v>
      </c>
      <c r="F2901" s="147" t="n">
        <f aca="false">IFERROR(VLOOKUP(H2901,$AD$1:$AE$301,2,0),"")</f>
        <v>1071</v>
      </c>
      <c r="G2901" s="147" t="str">
        <f aca="false">IFERROR(VLOOKUP(F2901,$AE$2:$AF$290,2, 0),"")</f>
        <v>تبوك</v>
      </c>
      <c r="H2901" s="212" t="s">
        <v>135</v>
      </c>
      <c r="I2901" s="246" t="n">
        <f aca="false">SUM(K2901:R2901)</f>
        <v>1</v>
      </c>
      <c r="J2901" s="182" t="n">
        <v>46217</v>
      </c>
      <c r="N2901" s="151" t="n">
        <v>1</v>
      </c>
      <c r="S2901" s="192" t="n">
        <f aca="false">(K2901+O2901+Q2901)*24 /1130+(L2901+M2901+P2901+R2901)*12/1130+(N2901*30)/1130</f>
        <v>0.0265486725663717</v>
      </c>
    </row>
    <row r="2902" customFormat="false" ht="15" hidden="true" customHeight="true" outlineLevel="0" collapsed="false">
      <c r="B2902" s="233" t="n">
        <f aca="false">B2901+D2902-C2902</f>
        <v>21260.75</v>
      </c>
      <c r="C2902" s="127" t="n">
        <f aca="false">450+104+492</f>
        <v>1046</v>
      </c>
      <c r="E2902" s="147" t="s">
        <v>675</v>
      </c>
      <c r="F2902" s="147" t="str">
        <f aca="false">IFERROR(VLOOKUP(H2902,$AD$1:$AE$301,2,0),"")</f>
        <v/>
      </c>
      <c r="G2902" s="147" t="str">
        <f aca="false">IFERROR(VLOOKUP(F2902,$AE$2:$AF$290,2, 0),"")</f>
        <v/>
      </c>
      <c r="H2902" s="212" t="s">
        <v>393</v>
      </c>
      <c r="I2902" s="246" t="n">
        <f aca="false">SUM(K2902:R2902)</f>
        <v>0</v>
      </c>
      <c r="J2902" s="182" t="n">
        <v>46217</v>
      </c>
      <c r="S2902" s="192" t="n">
        <f aca="false">(K2902+O2902+Q2902)*24 /1130+(L2902+M2902+P2902+R2902)*12/1130+(N2902*30)/1130</f>
        <v>0</v>
      </c>
    </row>
    <row r="2903" customFormat="false" ht="15" hidden="true" customHeight="true" outlineLevel="0" collapsed="false">
      <c r="B2903" s="233" t="n">
        <f aca="false">B2902+D2903-C2903</f>
        <v>15835.75</v>
      </c>
      <c r="C2903" s="127" t="n">
        <f aca="false">300+150+80+235+100+155+90+22+154+180+92+180+89+10+5+212+50+135+222+250+63+120+30+180+175+155+280+310+80+269+135+70+35+83+135+120+100+34+90+50+200</f>
        <v>5425</v>
      </c>
      <c r="E2903" s="147" t="s">
        <v>675</v>
      </c>
      <c r="F2903" s="147" t="str">
        <f aca="false">IFERROR(VLOOKUP(H2903,$AD$1:$AE$301,2,0),"")</f>
        <v/>
      </c>
      <c r="G2903" s="147" t="str">
        <f aca="false">IFERROR(VLOOKUP(F2903,$AE$2:$AF$290,2, 0),"")</f>
        <v/>
      </c>
      <c r="H2903" s="212" t="s">
        <v>393</v>
      </c>
      <c r="I2903" s="246" t="n">
        <f aca="false">SUM(K2903:R2903)</f>
        <v>0</v>
      </c>
      <c r="J2903" s="182" t="n">
        <v>46217</v>
      </c>
      <c r="S2903" s="192" t="n">
        <f aca="false">(K2903+O2903+Q2903)*24 /1130+(L2903+M2903+P2903+R2903)*12/1130+(N2903*30)/1130</f>
        <v>0</v>
      </c>
    </row>
    <row r="2904" customFormat="false" ht="15" hidden="true" customHeight="true" outlineLevel="0" collapsed="false">
      <c r="B2904" s="233" t="n">
        <f aca="false">B2903+D2904-C2904</f>
        <v>12835.75</v>
      </c>
      <c r="C2904" s="127" t="n">
        <v>3000</v>
      </c>
      <c r="E2904" s="147" t="s">
        <v>677</v>
      </c>
      <c r="F2904" s="147" t="str">
        <f aca="false">IFERROR(VLOOKUP(H2904,$AD$1:$AE$301,2,0),"")</f>
        <v/>
      </c>
      <c r="G2904" s="147" t="str">
        <f aca="false">IFERROR(VLOOKUP(F2904,$AE$2:$AF$290,2, 0),"")</f>
        <v/>
      </c>
      <c r="H2904" s="212" t="s">
        <v>393</v>
      </c>
      <c r="I2904" s="246" t="n">
        <f aca="false">SUM(K2904:R2904)</f>
        <v>0</v>
      </c>
      <c r="J2904" s="182" t="n">
        <v>46217</v>
      </c>
      <c r="S2904" s="192" t="n">
        <f aca="false">(K2904+O2904+Q2904)*24 /1130+(L2904+M2904+P2904+R2904)*12/1130+(N2904*30)/1130</f>
        <v>0</v>
      </c>
    </row>
    <row r="2905" customFormat="false" ht="15" hidden="true" customHeight="true" outlineLevel="0" collapsed="false">
      <c r="B2905" s="233" t="n">
        <f aca="false">B2904+D2905-C2905</f>
        <v>4835.75</v>
      </c>
      <c r="C2905" s="127" t="n">
        <v>8000</v>
      </c>
      <c r="E2905" s="147" t="s">
        <v>679</v>
      </c>
      <c r="F2905" s="147" t="str">
        <f aca="false">IFERROR(VLOOKUP(H2905,$AD$1:$AE$301,2,0),"")</f>
        <v/>
      </c>
      <c r="G2905" s="147" t="str">
        <f aca="false">IFERROR(VLOOKUP(F2905,$AE$2:$AF$290,2, 0),"")</f>
        <v/>
      </c>
      <c r="H2905" s="212" t="s">
        <v>393</v>
      </c>
      <c r="I2905" s="246" t="n">
        <f aca="false">SUM(K2905:R2905)</f>
        <v>0</v>
      </c>
      <c r="J2905" s="182" t="n">
        <v>46217</v>
      </c>
      <c r="S2905" s="192" t="n">
        <f aca="false">(K2905+O2905+Q2905)*24 /1130+(L2905+M2905+P2905+R2905)*12/1130+(N2905*30)/1130</f>
        <v>0</v>
      </c>
    </row>
    <row r="2906" customFormat="false" ht="15" hidden="true" customHeight="true" outlineLevel="0" collapsed="false">
      <c r="B2906" s="233" t="n">
        <f aca="false">B2905+D2906-C2906</f>
        <v>3020.39</v>
      </c>
      <c r="C2906" s="127" t="n">
        <v>1815.36</v>
      </c>
      <c r="E2906" s="147" t="s">
        <v>677</v>
      </c>
      <c r="F2906" s="147" t="str">
        <f aca="false">IFERROR(VLOOKUP(H2906,$AD$1:$AE$301,2,0),"")</f>
        <v/>
      </c>
      <c r="G2906" s="147" t="str">
        <f aca="false">IFERROR(VLOOKUP(F2906,$AE$2:$AF$290,2, 0),"")</f>
        <v/>
      </c>
      <c r="H2906" s="212" t="s">
        <v>393</v>
      </c>
      <c r="I2906" s="246" t="n">
        <f aca="false">SUM(K2906:R2906)</f>
        <v>0</v>
      </c>
      <c r="J2906" s="182" t="n">
        <v>46223</v>
      </c>
      <c r="S2906" s="192" t="n">
        <f aca="false">(K2906+O2906+Q2906)*24 /1130+(L2906+M2906+P2906+R2906)*12/1130+(N2906*30)/1130</f>
        <v>0</v>
      </c>
    </row>
    <row r="2907" customFormat="false" ht="15" hidden="true" customHeight="true" outlineLevel="0" collapsed="false">
      <c r="B2907" s="233" t="n">
        <f aca="false">B2906+D2907-C2907</f>
        <v>1750.39</v>
      </c>
      <c r="C2907" s="127" t="n">
        <v>1270</v>
      </c>
      <c r="E2907" s="147" t="s">
        <v>675</v>
      </c>
      <c r="F2907" s="147" t="str">
        <f aca="false">IFERROR(VLOOKUP(H2907,$AD$1:$AE$301,2,0),"")</f>
        <v/>
      </c>
      <c r="G2907" s="147" t="str">
        <f aca="false">IFERROR(VLOOKUP(F2907,$AE$2:$AF$290,2, 0),"")</f>
        <v/>
      </c>
      <c r="H2907" s="212" t="s">
        <v>393</v>
      </c>
      <c r="I2907" s="246" t="n">
        <f aca="false">SUM(K2907:R2907)</f>
        <v>0</v>
      </c>
      <c r="J2907" s="182" t="n">
        <v>46224</v>
      </c>
      <c r="S2907" s="192" t="n">
        <f aca="false">(K2907+O2907+Q2907)*24 /1130+(L2907+M2907+P2907+R2907)*12/1130+(N2907*30)/1130</f>
        <v>0</v>
      </c>
    </row>
    <row r="2908" customFormat="false" ht="15" hidden="true" customHeight="true" outlineLevel="0" collapsed="false">
      <c r="B2908" s="233" t="n">
        <f aca="false">B2907+D2908-C2908</f>
        <v>3203.99</v>
      </c>
      <c r="D2908" s="146" t="n">
        <f aca="false">1269.6+184</f>
        <v>1453.6</v>
      </c>
      <c r="E2908" s="147" t="n">
        <v>53002212</v>
      </c>
      <c r="F2908" s="147" t="n">
        <f aca="false">IFERROR(VLOOKUP(H2908,$AD$1:$AE$301,2,0),"")</f>
        <v>1002949</v>
      </c>
      <c r="G2908" s="147" t="str">
        <f aca="false">IFERROR(VLOOKUP(F2908,$AE$2:$AF$290,2, 0),"")</f>
        <v>تبوك</v>
      </c>
      <c r="H2908" s="212" t="s">
        <v>155</v>
      </c>
      <c r="I2908" s="246" t="n">
        <f aca="false">SUM(K2908:R2908)</f>
        <v>5</v>
      </c>
      <c r="J2908" s="182" t="n">
        <v>46226</v>
      </c>
      <c r="K2908" s="148" t="n">
        <v>4</v>
      </c>
      <c r="R2908" s="155" t="n">
        <v>1</v>
      </c>
      <c r="S2908" s="192" t="n">
        <f aca="false">(K2908+O2908+Q2908)*24 /1130+(L2908+M2908+P2908+R2908)*12/1130+(N2908*30)/1130</f>
        <v>0.0955752212389381</v>
      </c>
    </row>
    <row r="2909" customFormat="false" ht="15" hidden="true" customHeight="true" outlineLevel="0" collapsed="false">
      <c r="B2909" s="233" t="n">
        <f aca="false">B2908+D2909-C2909</f>
        <v>3859.49</v>
      </c>
      <c r="D2909" s="146" t="n">
        <f aca="false">655.5</f>
        <v>655.5</v>
      </c>
      <c r="E2909" s="147" t="n">
        <v>53002213</v>
      </c>
      <c r="F2909" s="147" t="n">
        <f aca="false">IFERROR(VLOOKUP(H2909,$AD$1:$AE$301,2,0),"")</f>
        <v>1002897</v>
      </c>
      <c r="G2909" s="147" t="str">
        <f aca="false">IFERROR(VLOOKUP(F2909,$AE$2:$AF$290,2, 0),"")</f>
        <v>تبوك</v>
      </c>
      <c r="H2909" s="212" t="s">
        <v>172</v>
      </c>
      <c r="I2909" s="246" t="n">
        <f aca="false">SUM(K2909:R2909)</f>
        <v>4</v>
      </c>
      <c r="J2909" s="182" t="n">
        <v>46226</v>
      </c>
      <c r="L2909" s="149" t="n">
        <v>4</v>
      </c>
      <c r="S2909" s="192" t="n">
        <f aca="false">(K2909+O2909+Q2909)*24 /1130+(L2909+M2909+P2909+R2909)*12/1130+(N2909*30)/1130</f>
        <v>0.0424778761061947</v>
      </c>
    </row>
    <row r="2910" customFormat="false" ht="15" hidden="true" customHeight="true" outlineLevel="0" collapsed="false">
      <c r="B2910" s="233" t="n">
        <f aca="false">B2909+D2910-C2910</f>
        <v>4411.49</v>
      </c>
      <c r="D2910" s="146" t="n">
        <v>552</v>
      </c>
      <c r="E2910" s="147" t="n">
        <v>53002214</v>
      </c>
      <c r="F2910" s="147" t="n">
        <f aca="false">IFERROR(VLOOKUP(H2910,$AD$1:$AE$301,2,0),"")</f>
        <v>1002947</v>
      </c>
      <c r="G2910" s="147" t="str">
        <f aca="false">IFERROR(VLOOKUP(F2910,$AE$2:$AF$290,2, 0),"")</f>
        <v>تبوك</v>
      </c>
      <c r="H2910" s="212" t="s">
        <v>174</v>
      </c>
      <c r="I2910" s="449" t="n">
        <f aca="false">SUM(K2910:R2910)</f>
        <v>3</v>
      </c>
      <c r="J2910" s="182" t="n">
        <v>46226</v>
      </c>
      <c r="R2910" s="155" t="n">
        <v>3</v>
      </c>
      <c r="S2910" s="192" t="n">
        <f aca="false">(K2910+O2910+Q2910)*24 /1130+(L2910+M2910+P2910+R2910)*12/1130+(N2910*30)/1130</f>
        <v>0.031858407079646</v>
      </c>
    </row>
    <row r="2911" customFormat="false" ht="15" hidden="true" customHeight="true" outlineLevel="0" collapsed="false">
      <c r="B2911" s="233" t="n">
        <f aca="false">B2910+D2911-C2911</f>
        <v>5681.09</v>
      </c>
      <c r="D2911" s="146" t="n">
        <v>1269.6</v>
      </c>
      <c r="E2911" s="147" t="n">
        <v>53002215</v>
      </c>
      <c r="F2911" s="147" t="n">
        <f aca="false">IFERROR(VLOOKUP(H2911,$AD$1:$AE$301,2,0),"")</f>
        <v>1224</v>
      </c>
      <c r="G2911" s="147" t="str">
        <f aca="false">IFERROR(VLOOKUP(F2911,$AE$2:$AF$290,2, 0),"")</f>
        <v>تبوك</v>
      </c>
      <c r="H2911" s="212" t="s">
        <v>203</v>
      </c>
      <c r="I2911" s="246" t="n">
        <f aca="false">SUM(K2911:R2911)</f>
        <v>4</v>
      </c>
      <c r="J2911" s="182" t="n">
        <v>46226</v>
      </c>
      <c r="K2911" s="148" t="n">
        <v>4</v>
      </c>
      <c r="S2911" s="192" t="n">
        <f aca="false">(K2911+O2911+Q2911)*24 /1130+(L2911+M2911+P2911+R2911)*12/1130+(N2911*30)/1130</f>
        <v>0.0849557522123894</v>
      </c>
    </row>
    <row r="2912" customFormat="false" ht="15" hidden="true" customHeight="true" outlineLevel="0" collapsed="false">
      <c r="B2912" s="233" t="n">
        <f aca="false">B2911+D2912-C2912</f>
        <v>5842.09</v>
      </c>
      <c r="D2912" s="146" t="n">
        <v>161</v>
      </c>
      <c r="E2912" s="147" t="n">
        <v>53002216</v>
      </c>
      <c r="F2912" s="147" t="n">
        <f aca="false">IFERROR(VLOOKUP(H2912,$AD$1:$AE$301,2,0),"")</f>
        <v>1071</v>
      </c>
      <c r="G2912" s="147" t="str">
        <f aca="false">IFERROR(VLOOKUP(F2912,$AE$2:$AF$290,2, 0),"")</f>
        <v>تبوك</v>
      </c>
      <c r="H2912" s="212" t="s">
        <v>135</v>
      </c>
      <c r="I2912" s="246" t="n">
        <f aca="false">SUM(K2912:R2912)</f>
        <v>1</v>
      </c>
      <c r="J2912" s="182" t="n">
        <v>46226</v>
      </c>
      <c r="Q2912" s="154" t="n">
        <v>1</v>
      </c>
      <c r="S2912" s="192" t="n">
        <f aca="false">(K2912+O2912+Q2912)*24 /1130+(L2912+M2912+P2912+R2912)*12/1130+(N2912*30)/1130</f>
        <v>0.0212389380530973</v>
      </c>
    </row>
    <row r="2913" customFormat="false" ht="15" hidden="true" customHeight="true" outlineLevel="0" collapsed="false">
      <c r="B2913" s="233" t="n">
        <f aca="false">B2912+D2913-C2913</f>
        <v>7111.69</v>
      </c>
      <c r="D2913" s="146" t="n">
        <v>1269.6</v>
      </c>
      <c r="E2913" s="147" t="n">
        <v>53002217</v>
      </c>
      <c r="F2913" s="147" t="n">
        <f aca="false">IFERROR(VLOOKUP(H2913,$AD$1:$AE$301,2,0),"")</f>
        <v>1002906</v>
      </c>
      <c r="G2913" s="147" t="str">
        <f aca="false">IFERROR(VLOOKUP(F2913,$AE$2:$AF$290,2, 0),"")</f>
        <v>تبوك</v>
      </c>
      <c r="H2913" s="212" t="s">
        <v>138</v>
      </c>
      <c r="I2913" s="246" t="n">
        <f aca="false">SUM(K2913:R2913)</f>
        <v>4</v>
      </c>
      <c r="J2913" s="182" t="n">
        <v>46228</v>
      </c>
      <c r="K2913" s="148" t="n">
        <v>4</v>
      </c>
      <c r="S2913" s="192" t="n">
        <f aca="false">(K2913+O2913+Q2913)*24 /1130+(L2913+M2913+P2913+R2913)*12/1130+(N2913*30)/1130</f>
        <v>0.0849557522123894</v>
      </c>
    </row>
    <row r="2914" customFormat="false" ht="15" hidden="true" customHeight="true" outlineLevel="0" collapsed="false">
      <c r="B2914" s="233" t="n">
        <f aca="false">B2913+D2914-C2914</f>
        <v>7410.69</v>
      </c>
      <c r="D2914" s="146" t="n">
        <v>299</v>
      </c>
      <c r="E2914" s="147" t="n">
        <v>53002218</v>
      </c>
      <c r="F2914" s="147" t="n">
        <f aca="false">IFERROR(VLOOKUP(H2914,$AD$1:$AE$301,2,0),"")</f>
        <v>553</v>
      </c>
      <c r="G2914" s="147" t="str">
        <f aca="false">IFERROR(VLOOKUP(F2914,$AE$2:$AF$290,2, 0),"")</f>
        <v>تبوك</v>
      </c>
      <c r="H2914" s="212" t="s">
        <v>150</v>
      </c>
      <c r="I2914" s="246" t="n">
        <f aca="false">SUM(K2914:R2914)</f>
        <v>1</v>
      </c>
      <c r="J2914" s="182" t="n">
        <v>46228</v>
      </c>
      <c r="R2914" s="155" t="n">
        <v>1</v>
      </c>
      <c r="S2914" s="192" t="n">
        <f aca="false">(K2914+O2914+Q2914)*24 /1130+(L2914+M2914+P2914+R2914)*12/1130+(N2914*30)/1130</f>
        <v>0.0106194690265487</v>
      </c>
    </row>
    <row r="2915" customFormat="false" ht="15" hidden="true" customHeight="true" outlineLevel="0" collapsed="false">
      <c r="B2915" s="233" t="n">
        <f aca="false">B2914+D2915-C2915</f>
        <v>7962.69</v>
      </c>
      <c r="D2915" s="146" t="n">
        <f aca="false">184*3</f>
        <v>552</v>
      </c>
      <c r="E2915" s="147" t="n">
        <v>53002219</v>
      </c>
      <c r="F2915" s="147" t="n">
        <f aca="false">IFERROR(VLOOKUP(H2915,$AD$1:$AE$301,2,0),"")</f>
        <v>1008260</v>
      </c>
      <c r="G2915" s="147" t="str">
        <f aca="false">IFERROR(VLOOKUP(F2915,$AE$2:$AF$290,2, 0),"")</f>
        <v>تبوك</v>
      </c>
      <c r="H2915" s="212" t="s">
        <v>184</v>
      </c>
      <c r="I2915" s="449" t="n">
        <f aca="false">SUM(K2915:R2915)</f>
        <v>3</v>
      </c>
      <c r="J2915" s="182" t="n">
        <v>46228</v>
      </c>
      <c r="R2915" s="155" t="n">
        <v>3</v>
      </c>
      <c r="S2915" s="192" t="n">
        <f aca="false">(K2915+O2915+Q2915)*24 /1130+(L2915+M2915+P2915+R2915)*12/1130+(N2915*30)/1130</f>
        <v>0.031858407079646</v>
      </c>
    </row>
    <row r="2916" customFormat="false" ht="15" hidden="true" customHeight="true" outlineLevel="0" collapsed="false">
      <c r="B2916" s="233" t="n">
        <f aca="false">B2915+D2916-C2916</f>
        <v>3883.19</v>
      </c>
      <c r="C2916" s="127" t="n">
        <f aca="false">360+55+300+552+2812.5</f>
        <v>4079.5</v>
      </c>
      <c r="E2916" s="147" t="s">
        <v>675</v>
      </c>
      <c r="F2916" s="147" t="str">
        <f aca="false">IFERROR(VLOOKUP(H2916,$AD$1:$AE$301,2,0),"")</f>
        <v/>
      </c>
      <c r="G2916" s="147" t="str">
        <f aca="false">IFERROR(VLOOKUP(F2916,$AE$2:$AF$290,2, 0),"")</f>
        <v/>
      </c>
      <c r="H2916" s="212" t="s">
        <v>393</v>
      </c>
      <c r="I2916" s="246" t="n">
        <f aca="false">SUM(K2916:R2916)</f>
        <v>0</v>
      </c>
      <c r="J2916" s="182" t="n">
        <v>46228</v>
      </c>
      <c r="S2916" s="192" t="n">
        <f aca="false">(K2916+O2916+Q2916)*24 /1130+(L2916+M2916+P2916+R2916)*12/1130+(N2916*30)/1130</f>
        <v>0</v>
      </c>
    </row>
    <row r="2917" customFormat="false" ht="15" hidden="true" customHeight="true" outlineLevel="0" collapsed="false">
      <c r="B2917" s="233" t="n">
        <f aca="false">B2916+D2917-C2917</f>
        <v>2533.19</v>
      </c>
      <c r="C2917" s="127" t="n">
        <f aca="false">500+500+350</f>
        <v>1350</v>
      </c>
      <c r="E2917" s="147" t="s">
        <v>675</v>
      </c>
      <c r="F2917" s="147" t="str">
        <f aca="false">IFERROR(VLOOKUP(H2917,$AD$1:$AE$301,2,0),"")</f>
        <v/>
      </c>
      <c r="G2917" s="147" t="str">
        <f aca="false">IFERROR(VLOOKUP(F2917,$AE$2:$AF$290,2, 0),"")</f>
        <v/>
      </c>
      <c r="H2917" s="212" t="s">
        <v>393</v>
      </c>
      <c r="I2917" s="246" t="n">
        <f aca="false">SUM(K2917:R2917)</f>
        <v>0</v>
      </c>
      <c r="J2917" s="182" t="n">
        <v>46228</v>
      </c>
      <c r="S2917" s="192" t="n">
        <f aca="false">(K2917+O2917+Q2917)*24 /1130+(L2917+M2917+P2917+R2917)*12/1130+(N2917*30)/1130</f>
        <v>0</v>
      </c>
    </row>
    <row r="2918" customFormat="false" ht="15" hidden="true" customHeight="true" outlineLevel="0" collapsed="false">
      <c r="B2918" s="233" t="n">
        <f aca="false">B2917+D2918-C2918</f>
        <v>1698.68</v>
      </c>
      <c r="C2918" s="127" t="n">
        <f aca="false">655+179.5+0.01</f>
        <v>834.51</v>
      </c>
      <c r="E2918" s="147" t="s">
        <v>675</v>
      </c>
      <c r="F2918" s="147" t="str">
        <f aca="false">IFERROR(VLOOKUP(H2918,$AD$1:$AE$301,2,0),"")</f>
        <v/>
      </c>
      <c r="G2918" s="147" t="str">
        <f aca="false">IFERROR(VLOOKUP(F2918,$AE$2:$AF$290,2, 0),"")</f>
        <v/>
      </c>
      <c r="H2918" s="212" t="s">
        <v>393</v>
      </c>
      <c r="I2918" s="246" t="n">
        <f aca="false">SUM(K2918:R2918)</f>
        <v>0</v>
      </c>
      <c r="J2918" s="182" t="n">
        <v>46228</v>
      </c>
      <c r="S2918" s="192" t="n">
        <f aca="false">(K2918+O2918+Q2918)*24 /1130+(L2918+M2918+P2918+R2918)*12/1130+(N2918*30)/1130</f>
        <v>0</v>
      </c>
    </row>
    <row r="2919" customFormat="false" ht="15" hidden="true" customHeight="true" outlineLevel="0" collapsed="false">
      <c r="B2919" s="233" t="n">
        <f aca="false">B2918+D2919-C2919</f>
        <v>243.850000000001</v>
      </c>
      <c r="C2919" s="127" t="n">
        <v>1454.83</v>
      </c>
      <c r="E2919" s="147" t="s">
        <v>677</v>
      </c>
      <c r="F2919" s="147" t="str">
        <f aca="false">IFERROR(VLOOKUP(H2919,$AD$1:$AE$301,2,0),"")</f>
        <v/>
      </c>
      <c r="G2919" s="147" t="str">
        <f aca="false">IFERROR(VLOOKUP(F2919,$AE$2:$AF$290,2, 0),"")</f>
        <v/>
      </c>
      <c r="H2919" s="212" t="s">
        <v>393</v>
      </c>
      <c r="I2919" s="246" t="n">
        <f aca="false">SUM(K2919:R2919)</f>
        <v>0</v>
      </c>
      <c r="J2919" s="182" t="n">
        <v>46228</v>
      </c>
      <c r="S2919" s="192" t="n">
        <f aca="false">(K2919+O2919+Q2919)*24 /1130+(L2919+M2919+P2919+R2919)*12/1130+(N2919*30)/1130</f>
        <v>0</v>
      </c>
    </row>
    <row r="2920" customFormat="false" ht="15" hidden="true" customHeight="true" outlineLevel="0" collapsed="false">
      <c r="B2920" s="233" t="n">
        <f aca="false">B2919+D2920-C2920</f>
        <v>0.850000000000591</v>
      </c>
      <c r="C2920" s="127" t="n">
        <v>243</v>
      </c>
      <c r="E2920" s="147" t="s">
        <v>677</v>
      </c>
      <c r="F2920" s="147" t="str">
        <f aca="false">IFERROR(VLOOKUP(H2920,$AD$1:$AE$301,2,0),"")</f>
        <v/>
      </c>
      <c r="G2920" s="147" t="str">
        <f aca="false">IFERROR(VLOOKUP(F2920,$AE$2:$AF$290,2, 0),"")</f>
        <v/>
      </c>
      <c r="H2920" s="212" t="s">
        <v>393</v>
      </c>
      <c r="I2920" s="246" t="n">
        <f aca="false">SUM(K2920:R2920)</f>
        <v>0</v>
      </c>
      <c r="J2920" s="182" t="n">
        <v>46229</v>
      </c>
      <c r="S2920" s="192" t="n">
        <f aca="false">(K2920+O2920+Q2920)*24 /1130+(L2920+M2920+P2920+R2920)*12/1130+(N2920*30)/1130</f>
        <v>0</v>
      </c>
    </row>
    <row r="2921" customFormat="false" ht="15" hidden="true" customHeight="true" outlineLevel="0" collapsed="false">
      <c r="B2921" s="233" t="n">
        <f aca="false">B2920+D2921-C2921</f>
        <v>305.600000000001</v>
      </c>
      <c r="D2921" s="146" t="n">
        <v>304.75</v>
      </c>
      <c r="E2921" s="147" t="n">
        <v>53002220</v>
      </c>
      <c r="F2921" s="147" t="n">
        <f aca="false">IFERROR(VLOOKUP(H2921,$AD$1:$AE$301,2,0),"")</f>
        <v>1007975</v>
      </c>
      <c r="G2921" s="147" t="str">
        <f aca="false">IFERROR(VLOOKUP(F2921,$AE$2:$AF$290,2, 0),"")</f>
        <v>ضباء</v>
      </c>
      <c r="H2921" s="212" t="s">
        <v>76</v>
      </c>
      <c r="I2921" s="246" t="n">
        <f aca="false">SUM(K2921:R2921)</f>
        <v>1</v>
      </c>
      <c r="J2921" s="182" t="n">
        <v>46229</v>
      </c>
      <c r="O2921" s="152" t="n">
        <v>1</v>
      </c>
      <c r="S2921" s="192" t="n">
        <f aca="false">(K2921+O2921+Q2921)*24 /1130+(L2921+M2921+P2921+R2921)*12/1130+(N2921*30)/1130</f>
        <v>0.0212389380530973</v>
      </c>
    </row>
    <row r="2922" customFormat="false" ht="15" hidden="true" customHeight="true" outlineLevel="0" collapsed="false">
      <c r="B2922" s="233" t="n">
        <f aca="false">B2921+D2922-C2922</f>
        <v>610.350000000001</v>
      </c>
      <c r="D2922" s="146" t="n">
        <v>304.75</v>
      </c>
      <c r="E2922" s="147" t="n">
        <v>53002221</v>
      </c>
      <c r="F2922" s="147" t="n">
        <f aca="false">IFERROR(VLOOKUP(H2922,$AD$1:$AE$301,2,0),"")</f>
        <v>1007988</v>
      </c>
      <c r="G2922" s="147" t="str">
        <f aca="false">IFERROR(VLOOKUP(F2922,$AE$2:$AF$290,2, 0),"")</f>
        <v>ضباء</v>
      </c>
      <c r="H2922" s="212" t="s">
        <v>89</v>
      </c>
      <c r="I2922" s="246" t="n">
        <f aca="false">SUM(K2922:R2922)</f>
        <v>1</v>
      </c>
      <c r="J2922" s="182" t="n">
        <v>46229</v>
      </c>
      <c r="O2922" s="152" t="n">
        <v>1</v>
      </c>
      <c r="S2922" s="192" t="n">
        <f aca="false">(K2922+O2922+Q2922)*24 /1130+(L2922+M2922+P2922+R2922)*12/1130+(N2922*30)/1130</f>
        <v>0.0212389380530973</v>
      </c>
    </row>
    <row r="2923" customFormat="false" ht="15" hidden="true" customHeight="true" outlineLevel="0" collapsed="false">
      <c r="B2923" s="233" t="n">
        <f aca="false">B2922+D2923-C2923</f>
        <v>1219.85</v>
      </c>
      <c r="D2923" s="146" t="n">
        <f aca="false">304.75*2</f>
        <v>609.5</v>
      </c>
      <c r="E2923" s="147" t="n">
        <v>53002222</v>
      </c>
      <c r="F2923" s="147" t="n">
        <f aca="false">IFERROR(VLOOKUP(H2923,$AD$1:$AE$301,2,0),"")</f>
        <v>1227</v>
      </c>
      <c r="G2923" s="147" t="str">
        <f aca="false">IFERROR(VLOOKUP(F2923,$AE$2:$AF$290,2, 0),"")</f>
        <v>ضباء</v>
      </c>
      <c r="H2923" s="212" t="s">
        <v>103</v>
      </c>
      <c r="I2923" s="246" t="n">
        <f aca="false">SUM(K2923:R2923)</f>
        <v>2</v>
      </c>
      <c r="J2923" s="182" t="n">
        <v>46229</v>
      </c>
      <c r="O2923" s="152" t="n">
        <v>2</v>
      </c>
      <c r="S2923" s="192" t="n">
        <f aca="false">(K2923+O2923+Q2923)*24 /1130+(L2923+M2923+P2923+R2923)*12/1130+(N2923*30)/1130</f>
        <v>0.0424778761061947</v>
      </c>
    </row>
    <row r="2924" customFormat="false" ht="15" hidden="true" customHeight="true" outlineLevel="0" collapsed="false">
      <c r="B2924" s="233" t="n">
        <f aca="false">B2923+D2924-C2924</f>
        <v>1524.6</v>
      </c>
      <c r="D2924" s="146" t="n">
        <v>304.75</v>
      </c>
      <c r="E2924" s="147" t="n">
        <v>53002223</v>
      </c>
      <c r="F2924" s="147" t="n">
        <f aca="false">IFERROR(VLOOKUP(H2924,$AD$1:$AE$301,2,0),"")</f>
        <v>1008052</v>
      </c>
      <c r="G2924" s="147" t="str">
        <f aca="false">IFERROR(VLOOKUP(F2924,$AE$2:$AF$290,2, 0),"")</f>
        <v>ضباء</v>
      </c>
      <c r="H2924" s="212" t="s">
        <v>93</v>
      </c>
      <c r="I2924" s="246" t="n">
        <f aca="false">SUM(K2924:R2924)</f>
        <v>1</v>
      </c>
      <c r="J2924" s="182" t="n">
        <v>46229</v>
      </c>
      <c r="O2924" s="152" t="n">
        <v>1</v>
      </c>
      <c r="S2924" s="192" t="n">
        <f aca="false">(K2924+O2924+Q2924)*24 /1130+(L2924+M2924+P2924+R2924)*12/1130+(N2924*30)/1130</f>
        <v>0.0212389380530973</v>
      </c>
    </row>
    <row r="2925" customFormat="false" ht="15" hidden="true" customHeight="true" outlineLevel="0" collapsed="false">
      <c r="B2925" s="233" t="n">
        <f aca="false">B2924+D2925-C2925</f>
        <v>1829.35</v>
      </c>
      <c r="D2925" s="146" t="n">
        <v>304.75</v>
      </c>
      <c r="E2925" s="147" t="n">
        <v>53002224</v>
      </c>
      <c r="F2925" s="147" t="n">
        <f aca="false">IFERROR(VLOOKUP(H2925,$AD$1:$AE$301,2,0),"")</f>
        <v>1008050</v>
      </c>
      <c r="G2925" s="147" t="str">
        <f aca="false">IFERROR(VLOOKUP(F2925,$AE$2:$AF$290,2, 0),"")</f>
        <v>ضباء</v>
      </c>
      <c r="H2925" s="212" t="s">
        <v>92</v>
      </c>
      <c r="I2925" s="246" t="n">
        <f aca="false">SUM(K2925:R2925)</f>
        <v>1</v>
      </c>
      <c r="J2925" s="182" t="n">
        <v>46229</v>
      </c>
      <c r="O2925" s="152" t="n">
        <v>1</v>
      </c>
      <c r="S2925" s="192" t="n">
        <f aca="false">(K2925+O2925+Q2925)*24 /1130+(L2925+M2925+P2925+R2925)*12/1130+(N2925*30)/1130</f>
        <v>0.0212389380530973</v>
      </c>
    </row>
    <row r="2926" customFormat="false" ht="15" hidden="true" customHeight="true" outlineLevel="0" collapsed="false">
      <c r="B2926" s="233" t="n">
        <f aca="false">B2925+D2926-C2926</f>
        <v>3098.95</v>
      </c>
      <c r="D2926" s="146" t="n">
        <v>1269.6</v>
      </c>
      <c r="E2926" s="147" t="n">
        <v>53002225</v>
      </c>
      <c r="F2926" s="147" t="n">
        <f aca="false">IFERROR(VLOOKUP(H2926,$AD$1:$AE$301,2,0),"")</f>
        <v>1008051</v>
      </c>
      <c r="G2926" s="147" t="str">
        <f aca="false">IFERROR(VLOOKUP(F2926,$AE$2:$AF$290,2, 0),"")</f>
        <v>الوجه</v>
      </c>
      <c r="H2926" s="212" t="s">
        <v>113</v>
      </c>
      <c r="I2926" s="246" t="n">
        <f aca="false">SUM(K2926:R2926)</f>
        <v>4</v>
      </c>
      <c r="J2926" s="182" t="n">
        <v>46229</v>
      </c>
      <c r="K2926" s="148" t="n">
        <v>4</v>
      </c>
      <c r="S2926" s="192" t="n">
        <f aca="false">(K2926+O2926+Q2926)*24 /1130+(L2926+M2926+P2926+R2926)*12/1130+(N2926*30)/1130</f>
        <v>0.0849557522123894</v>
      </c>
    </row>
    <row r="2927" customFormat="false" ht="15" hidden="true" customHeight="true" outlineLevel="0" collapsed="false">
      <c r="B2927" s="233" t="n">
        <f aca="false">B2926+D2927-C2927</f>
        <v>4840.05</v>
      </c>
      <c r="D2927" s="146" t="n">
        <v>1741.1</v>
      </c>
      <c r="E2927" s="147" t="n">
        <v>53002226</v>
      </c>
      <c r="F2927" s="147" t="n">
        <f aca="false">IFERROR(VLOOKUP(H2927,$AD$1:$AE$301,2,0),"")</f>
        <v>1008043</v>
      </c>
      <c r="G2927" s="147" t="str">
        <f aca="false">IFERROR(VLOOKUP(F2927,$AE$2:$AF$290,2, 0),"")</f>
        <v>الوجه</v>
      </c>
      <c r="H2927" s="212" t="s">
        <v>104</v>
      </c>
      <c r="I2927" s="246" t="n">
        <f aca="false">SUM(K2927:R2927)</f>
        <v>6</v>
      </c>
      <c r="J2927" s="182" t="n">
        <v>46229</v>
      </c>
      <c r="K2927" s="148" t="n">
        <v>4</v>
      </c>
      <c r="Q2927" s="154" t="n">
        <v>1</v>
      </c>
      <c r="R2927" s="155" t="n">
        <v>1</v>
      </c>
      <c r="S2927" s="192" t="n">
        <f aca="false">(K2927+O2927+Q2927)*24 /1130+(L2927+M2927+P2927+R2927)*12/1130+(N2927*30)/1130</f>
        <v>0.116814159292035</v>
      </c>
    </row>
    <row r="2928" customFormat="false" ht="15" hidden="true" customHeight="true" outlineLevel="0" collapsed="false">
      <c r="B2928" s="233" t="n">
        <f aca="false">B2927+D2928-C2928</f>
        <v>8628.15</v>
      </c>
      <c r="D2928" s="146" t="n">
        <v>3788.1</v>
      </c>
      <c r="E2928" s="147" t="n">
        <v>53002227</v>
      </c>
      <c r="F2928" s="147" t="n">
        <f aca="false">IFERROR(VLOOKUP(H2928,$AD$1:$AE$301,2,0),"")</f>
        <v>1002</v>
      </c>
      <c r="G2928" s="147" t="str">
        <f aca="false">IFERROR(VLOOKUP(F2928,$AE$2:$AF$290,2, 0),"")</f>
        <v>الوجه</v>
      </c>
      <c r="H2928" s="212" t="s">
        <v>116</v>
      </c>
      <c r="I2928" s="449" t="n">
        <f aca="false">SUM(K2928:R2928)</f>
        <v>14</v>
      </c>
      <c r="J2928" s="182" t="n">
        <v>46229</v>
      </c>
      <c r="K2928" s="148" t="n">
        <v>4</v>
      </c>
      <c r="M2928" s="150" t="n">
        <v>7</v>
      </c>
      <c r="R2928" s="155" t="n">
        <v>3</v>
      </c>
      <c r="S2928" s="192" t="n">
        <f aca="false">(K2928+O2928+Q2928)*24 /1130+(L2928+M2928+P2928+R2928)*12/1130+(N2928*30)/1130</f>
        <v>0.191150442477876</v>
      </c>
    </row>
    <row r="2929" customFormat="false" ht="15" hidden="true" customHeight="true" outlineLevel="0" collapsed="false">
      <c r="B2929" s="233" t="n">
        <f aca="false">B2928+D2929-C2929</f>
        <v>10629.15</v>
      </c>
      <c r="D2929" s="146" t="n">
        <f aca="false">2001</f>
        <v>2001</v>
      </c>
      <c r="E2929" s="147" t="n">
        <v>53002228</v>
      </c>
      <c r="F2929" s="147" t="n">
        <f aca="false">IFERROR(VLOOKUP(H2929,$AD$1:$AE$301,2,0),"")</f>
        <v>1033</v>
      </c>
      <c r="G2929" s="147" t="str">
        <f aca="false">IFERROR(VLOOKUP(F2929,$AE$2:$AF$290,2, 0),"")</f>
        <v>الوجه</v>
      </c>
      <c r="H2929" s="212" t="s">
        <v>117</v>
      </c>
      <c r="I2929" s="246" t="n">
        <f aca="false">SUM(K2929:R2929)</f>
        <v>6</v>
      </c>
      <c r="J2929" s="182" t="n">
        <v>46229</v>
      </c>
      <c r="N2929" s="151" t="n">
        <v>6</v>
      </c>
      <c r="S2929" s="192" t="n">
        <f aca="false">(K2929+O2929+Q2929)*24 /1130+(L2929+M2929+P2929+R2929)*12/1130+(N2929*30)/1130</f>
        <v>0.15929203539823</v>
      </c>
    </row>
    <row r="2930" customFormat="false" ht="15" hidden="true" customHeight="true" outlineLevel="0" collapsed="false">
      <c r="B2930" s="233" t="n">
        <f aca="false">B2929+D2930-C2930</f>
        <v>12630.15</v>
      </c>
      <c r="D2930" s="146" t="n">
        <v>2001</v>
      </c>
      <c r="E2930" s="147" t="n">
        <v>53002229</v>
      </c>
      <c r="F2930" s="147" t="n">
        <f aca="false">IFERROR(VLOOKUP(H2930,$AD$1:$AE$301,2,0),"")</f>
        <v>1033</v>
      </c>
      <c r="G2930" s="147" t="str">
        <f aca="false">IFERROR(VLOOKUP(F2930,$AE$2:$AF$290,2, 0),"")</f>
        <v>الوجه</v>
      </c>
      <c r="H2930" s="212" t="s">
        <v>117</v>
      </c>
      <c r="I2930" s="246" t="n">
        <f aca="false">SUM(K2930:R2930)</f>
        <v>6</v>
      </c>
      <c r="J2930" s="182" t="n">
        <v>46229</v>
      </c>
      <c r="N2930" s="151" t="n">
        <v>6</v>
      </c>
      <c r="S2930" s="192" t="n">
        <f aca="false">(K2930+O2930+Q2930)*24 /1130+(L2930+M2930+P2930+R2930)*12/1130+(N2930*30)/1130</f>
        <v>0.15929203539823</v>
      </c>
    </row>
    <row r="2931" customFormat="false" ht="15" hidden="true" customHeight="true" outlineLevel="0" collapsed="false">
      <c r="B2931" s="233" t="n">
        <f aca="false">B2930+D2931-C2931</f>
        <v>12934.9</v>
      </c>
      <c r="D2931" s="146" t="n">
        <v>304.75</v>
      </c>
      <c r="E2931" s="147" t="n">
        <v>53002230</v>
      </c>
      <c r="F2931" s="147" t="n">
        <f aca="false">IFERROR(VLOOKUP(H2931,$AD$1:$AE$301,2,0),"")</f>
        <v>1008267</v>
      </c>
      <c r="G2931" s="147" t="str">
        <f aca="false">IFERROR(VLOOKUP(F2931,$AE$2:$AF$290,2, 0),"")</f>
        <v>الوجه</v>
      </c>
      <c r="H2931" s="212" t="s">
        <v>114</v>
      </c>
      <c r="I2931" s="246" t="n">
        <f aca="false">SUM(K2931:R2931)</f>
        <v>1</v>
      </c>
      <c r="J2931" s="182" t="n">
        <v>46229</v>
      </c>
      <c r="O2931" s="152" t="n">
        <v>1</v>
      </c>
      <c r="S2931" s="192" t="n">
        <f aca="false">(K2931+O2931+Q2931)*24 /1130+(L2931+M2931+P2931+R2931)*12/1130+(N2931*30)/1130</f>
        <v>0.0212389380530973</v>
      </c>
    </row>
    <row r="2932" customFormat="false" ht="15" hidden="true" customHeight="true" outlineLevel="0" collapsed="false">
      <c r="B2932" s="233" t="n">
        <f aca="false">B2931+D2932-C2932</f>
        <v>15474.1</v>
      </c>
      <c r="D2932" s="146" t="n">
        <f aca="false">1269.6*2</f>
        <v>2539.2</v>
      </c>
      <c r="E2932" s="147" t="n">
        <v>53002231</v>
      </c>
      <c r="F2932" s="147" t="n">
        <f aca="false">IFERROR(VLOOKUP(H2932,$AD$1:$AE$301,2,0),"")</f>
        <v>1008047</v>
      </c>
      <c r="G2932" s="147" t="str">
        <f aca="false">IFERROR(VLOOKUP(F2932,$AE$2:$AF$290,2, 0),"")</f>
        <v>الوجه</v>
      </c>
      <c r="H2932" s="212" t="s">
        <v>422</v>
      </c>
      <c r="I2932" s="246" t="n">
        <f aca="false">SUM(K2932:R2932)</f>
        <v>8</v>
      </c>
      <c r="J2932" s="182" t="n">
        <v>46229</v>
      </c>
      <c r="K2932" s="148" t="n">
        <v>8</v>
      </c>
      <c r="S2932" s="192" t="n">
        <f aca="false">(K2932+O2932+Q2932)*24 /1130+(L2932+M2932+P2932+R2932)*12/1130+(N2932*30)/1130</f>
        <v>0.169911504424779</v>
      </c>
    </row>
    <row r="2933" customFormat="false" ht="15" hidden="true" customHeight="true" outlineLevel="0" collapsed="false">
      <c r="B2933" s="233" t="n">
        <f aca="false">B2932+D2933-C2933</f>
        <v>15819.1</v>
      </c>
      <c r="D2933" s="146" t="n">
        <v>345</v>
      </c>
      <c r="E2933" s="147" t="n">
        <v>53002232</v>
      </c>
      <c r="F2933" s="147" t="n">
        <f aca="false">IFERROR(VLOOKUP(H2933,$AD$1:$AE$301,2,0),"")</f>
        <v>656</v>
      </c>
      <c r="G2933" s="147" t="str">
        <f aca="false">IFERROR(VLOOKUP(F2933,$AE$2:$AF$290,2, 0),"")</f>
        <v>الوجه</v>
      </c>
      <c r="H2933" s="212" t="s">
        <v>115</v>
      </c>
      <c r="I2933" s="246" t="n">
        <f aca="false">SUM(K2933:R2933)</f>
        <v>1</v>
      </c>
      <c r="J2933" s="182" t="n">
        <v>46229</v>
      </c>
      <c r="R2933" s="155" t="n">
        <v>1</v>
      </c>
      <c r="S2933" s="192" t="n">
        <f aca="false">(K2933+O2933+Q2933)*24 /1130+(L2933+M2933+P2933+R2933)*12/1130+(N2933*30)/1130</f>
        <v>0.0106194690265487</v>
      </c>
    </row>
    <row r="2934" customFormat="false" ht="15" hidden="true" customHeight="true" outlineLevel="0" collapsed="false">
      <c r="B2934" s="233" t="n">
        <f aca="false">B2933+D2934-C2934</f>
        <v>16371.1</v>
      </c>
      <c r="D2934" s="146" t="n">
        <v>552</v>
      </c>
      <c r="E2934" s="147" t="n">
        <v>53002233</v>
      </c>
      <c r="F2934" s="147" t="n">
        <f aca="false">IFERROR(VLOOKUP(H2934,$AD$1:$AE$301,2,0),"")</f>
        <v>656</v>
      </c>
      <c r="G2934" s="147" t="str">
        <f aca="false">IFERROR(VLOOKUP(F2934,$AE$2:$AF$290,2, 0),"")</f>
        <v>الوجه</v>
      </c>
      <c r="H2934" s="212" t="s">
        <v>115</v>
      </c>
      <c r="I2934" s="449" t="n">
        <f aca="false">SUM(K2934:R2934)</f>
        <v>3</v>
      </c>
      <c r="J2934" s="182" t="n">
        <v>46229</v>
      </c>
      <c r="R2934" s="155" t="n">
        <v>3</v>
      </c>
      <c r="S2934" s="192" t="n">
        <f aca="false">(K2934+O2934+Q2934)*24 /1130+(L2934+M2934+P2934+R2934)*12/1130+(N2934*30)/1130</f>
        <v>0.031858407079646</v>
      </c>
    </row>
    <row r="2935" customFormat="false" ht="15" hidden="true" customHeight="true" outlineLevel="0" collapsed="false">
      <c r="B2935" s="233" t="n">
        <f aca="false">B2934+D2935-C2935</f>
        <v>17245.1</v>
      </c>
      <c r="D2935" s="146" t="n">
        <f aca="false">161*2+552</f>
        <v>874</v>
      </c>
      <c r="E2935" s="147" t="n">
        <v>53002234</v>
      </c>
      <c r="F2935" s="147" t="n">
        <f aca="false">IFERROR(VLOOKUP(H2935,$AD$1:$AE$301,2,0),"")</f>
        <v>1008047</v>
      </c>
      <c r="G2935" s="147" t="str">
        <f aca="false">IFERROR(VLOOKUP(F2935,$AE$2:$AF$290,2, 0),"")</f>
        <v>الوجه</v>
      </c>
      <c r="H2935" s="212" t="s">
        <v>422</v>
      </c>
      <c r="I2935" s="449" t="n">
        <f aca="false">SUM(K2935:R2935)</f>
        <v>5</v>
      </c>
      <c r="J2935" s="182" t="n">
        <v>46229</v>
      </c>
      <c r="Q2935" s="154" t="n">
        <v>2</v>
      </c>
      <c r="R2935" s="155" t="n">
        <v>3</v>
      </c>
      <c r="S2935" s="192" t="n">
        <f aca="false">(K2935+O2935+Q2935)*24 /1130+(L2935+M2935+P2935+R2935)*12/1130+(N2935*30)/1130</f>
        <v>0.0743362831858407</v>
      </c>
    </row>
    <row r="2936" customFormat="false" ht="15" hidden="true" customHeight="true" outlineLevel="0" collapsed="false">
      <c r="B2936" s="233" t="n">
        <f aca="false">B2935+D2936-C2936</f>
        <v>18514.7</v>
      </c>
      <c r="D2936" s="146" t="n">
        <v>1269.6</v>
      </c>
      <c r="E2936" s="147" t="n">
        <v>53002235</v>
      </c>
      <c r="F2936" s="147" t="n">
        <f aca="false">IFERROR(VLOOKUP(H2936,$AD$1:$AE$301,2,0),"")</f>
        <v>1008047</v>
      </c>
      <c r="G2936" s="147" t="str">
        <f aca="false">IFERROR(VLOOKUP(F2936,$AE$2:$AF$290,2, 0),"")</f>
        <v>الوجه</v>
      </c>
      <c r="H2936" s="212" t="s">
        <v>422</v>
      </c>
      <c r="I2936" s="246" t="n">
        <f aca="false">SUM(K2936:R2936)</f>
        <v>4</v>
      </c>
      <c r="J2936" s="182" t="n">
        <v>46229</v>
      </c>
      <c r="K2936" s="148" t="n">
        <v>4</v>
      </c>
      <c r="S2936" s="192" t="n">
        <f aca="false">(K2936+O2936+Q2936)*24 /1130+(L2936+M2936+P2936+R2936)*12/1130+(N2936*30)/1130</f>
        <v>0.0849557522123894</v>
      </c>
    </row>
    <row r="2937" customFormat="false" ht="15" hidden="true" customHeight="true" outlineLevel="0" collapsed="false">
      <c r="B2937" s="233" t="n">
        <f aca="false">B2936+D2937-C2937</f>
        <v>19066.7</v>
      </c>
      <c r="D2937" s="146" t="n">
        <v>552</v>
      </c>
      <c r="E2937" s="147" t="n">
        <v>53002236</v>
      </c>
      <c r="F2937" s="147" t="n">
        <f aca="false">IFERROR(VLOOKUP(H2937,$AD$1:$AE$301,2,0),"")</f>
        <v>1008045</v>
      </c>
      <c r="G2937" s="147" t="str">
        <f aca="false">IFERROR(VLOOKUP(F2937,$AE$2:$AF$290,2, 0),"")</f>
        <v>الوجه</v>
      </c>
      <c r="H2937" s="212" t="s">
        <v>107</v>
      </c>
      <c r="I2937" s="449" t="n">
        <f aca="false">SUM(K2937:R2937)</f>
        <v>3</v>
      </c>
      <c r="J2937" s="182" t="n">
        <v>46229</v>
      </c>
      <c r="R2937" s="155" t="n">
        <v>3</v>
      </c>
      <c r="S2937" s="192" t="n">
        <f aca="false">(K2937+O2937+Q2937)*24 /1130+(L2937+M2937+P2937+R2937)*12/1130+(N2937*30)/1130</f>
        <v>0.031858407079646</v>
      </c>
    </row>
    <row r="2938" customFormat="false" ht="15" hidden="true" customHeight="true" outlineLevel="0" collapsed="false">
      <c r="B2938" s="233" t="n">
        <f aca="false">B2937+D2938-C2938</f>
        <v>7976.7</v>
      </c>
      <c r="C2938" s="127" t="n">
        <f aca="false">561+351+400+51+1.5+148.5+1150+827+300+7300</f>
        <v>11090</v>
      </c>
      <c r="F2938" s="147" t="str">
        <f aca="false">IFERROR(VLOOKUP(H2938,$AD$1:$AE$301,2,0),"")</f>
        <v/>
      </c>
      <c r="G2938" s="147" t="str">
        <f aca="false">IFERROR(VLOOKUP(F2938,$AE$2:$AF$290,2, 0),"")</f>
        <v/>
      </c>
      <c r="H2938" s="212" t="s">
        <v>393</v>
      </c>
      <c r="I2938" s="246" t="n">
        <f aca="false">SUM(K2938:R2938)</f>
        <v>0</v>
      </c>
      <c r="J2938" s="182" t="n">
        <v>46230</v>
      </c>
      <c r="S2938" s="192" t="n">
        <f aca="false">(K2938+O2938+Q2938)*24 /1130+(L2938+M2938+P2938+R2938)*12/1130+(N2938*30)/1130</f>
        <v>0</v>
      </c>
    </row>
    <row r="2939" customFormat="false" ht="15" hidden="true" customHeight="true" outlineLevel="0" collapsed="false">
      <c r="B2939" s="233" t="n">
        <f aca="false">B2938+D2939-C2939</f>
        <v>6769.7</v>
      </c>
      <c r="C2939" s="127" t="n">
        <v>1207</v>
      </c>
      <c r="F2939" s="147" t="str">
        <f aca="false">IFERROR(VLOOKUP(H2939,$AD$1:$AE$301,2,0),"")</f>
        <v/>
      </c>
      <c r="G2939" s="147" t="str">
        <f aca="false">IFERROR(VLOOKUP(F2939,$AE$2:$AF$290,2, 0),"")</f>
        <v/>
      </c>
      <c r="H2939" s="212" t="s">
        <v>393</v>
      </c>
      <c r="I2939" s="246" t="n">
        <f aca="false">SUM(K2939:R2939)</f>
        <v>0</v>
      </c>
      <c r="J2939" s="182" t="n">
        <v>46230</v>
      </c>
      <c r="S2939" s="192" t="n">
        <f aca="false">(K2939+O2939+Q2939)*24 /1130+(L2939+M2939+P2939+R2939)*12/1130+(N2939*30)/1130</f>
        <v>0</v>
      </c>
    </row>
    <row r="2940" customFormat="false" ht="15" hidden="true" customHeight="true" outlineLevel="0" collapsed="false">
      <c r="B2940" s="233" t="n">
        <f aca="false">B2939+D2940-C2940</f>
        <v>7321.7</v>
      </c>
      <c r="D2940" s="146" t="n">
        <v>552</v>
      </c>
      <c r="E2940" s="147" t="n">
        <v>53002237</v>
      </c>
      <c r="F2940" s="147" t="n">
        <f aca="false">IFERROR(VLOOKUP(H2940,$AD$1:$AE$301,2,0),"")</f>
        <v>575</v>
      </c>
      <c r="G2940" s="147" t="str">
        <f aca="false">IFERROR(VLOOKUP(F2940,$AE$2:$AF$290,2, 0),"")</f>
        <v>تبوك</v>
      </c>
      <c r="H2940" s="212" t="s">
        <v>132</v>
      </c>
      <c r="I2940" s="449" t="n">
        <f aca="false">SUM(K2940:R2940)</f>
        <v>3</v>
      </c>
      <c r="J2940" s="182" t="n">
        <v>46230</v>
      </c>
      <c r="R2940" s="155" t="n">
        <v>3</v>
      </c>
      <c r="S2940" s="192" t="n">
        <f aca="false">(K2940+O2940+Q2940)*24 /1130+(L2940+M2940+P2940+R2940)*12/1130+(N2940*30)/1130</f>
        <v>0.031858407079646</v>
      </c>
    </row>
    <row r="2941" customFormat="false" ht="15" hidden="true" customHeight="true" outlineLevel="0" collapsed="false">
      <c r="B2941" s="233" t="n">
        <f aca="false">B2940+D2941-C2941</f>
        <v>8752.3</v>
      </c>
      <c r="D2941" s="146" t="n">
        <f aca="false">1269.6+161</f>
        <v>1430.6</v>
      </c>
      <c r="E2941" s="147" t="n">
        <v>53002238</v>
      </c>
      <c r="F2941" s="147" t="n">
        <f aca="false">IFERROR(VLOOKUP(H2941,$AD$1:$AE$301,2,0),"")</f>
        <v>982</v>
      </c>
      <c r="G2941" s="147" t="str">
        <f aca="false">IFERROR(VLOOKUP(F2941,$AE$2:$AF$290,2, 0),"")</f>
        <v>تبوك</v>
      </c>
      <c r="H2941" s="212" t="s">
        <v>154</v>
      </c>
      <c r="I2941" s="246" t="n">
        <f aca="false">SUM(K2941:R2941)</f>
        <v>5</v>
      </c>
      <c r="J2941" s="182" t="n">
        <v>46230</v>
      </c>
      <c r="K2941" s="148" t="n">
        <v>4</v>
      </c>
      <c r="Q2941" s="154" t="n">
        <v>1</v>
      </c>
      <c r="S2941" s="192" t="n">
        <f aca="false">(K2941+O2941+Q2941)*24 /1130+(L2941+M2941+P2941+R2941)*12/1130+(N2941*30)/1130</f>
        <v>0.106194690265487</v>
      </c>
    </row>
    <row r="2942" customFormat="false" ht="15" hidden="true" customHeight="true" outlineLevel="0" collapsed="false">
      <c r="B2942" s="233" t="n">
        <f aca="false">B2941+D2942-C2942</f>
        <v>9557.3</v>
      </c>
      <c r="D2942" s="146" t="n">
        <v>805</v>
      </c>
      <c r="E2942" s="147" t="n">
        <v>53002239</v>
      </c>
      <c r="F2942" s="147" t="n">
        <f aca="false">IFERROR(VLOOKUP(H2942,$AD$1:$AE$301,2,0),"")</f>
        <v>721</v>
      </c>
      <c r="G2942" s="147" t="str">
        <f aca="false">IFERROR(VLOOKUP(F2942,$AE$2:$AF$290,2, 0),"")</f>
        <v>تبوك</v>
      </c>
      <c r="H2942" s="212" t="s">
        <v>183</v>
      </c>
      <c r="I2942" s="246" t="n">
        <f aca="false">SUM(K2942:R2942)</f>
        <v>4</v>
      </c>
      <c r="J2942" s="182" t="n">
        <v>46230</v>
      </c>
      <c r="M2942" s="150" t="n">
        <v>2</v>
      </c>
      <c r="Q2942" s="154" t="n">
        <v>2</v>
      </c>
      <c r="S2942" s="192" t="n">
        <f aca="false">(K2942+O2942+Q2942)*24 /1130+(L2942+M2942+P2942+R2942)*12/1130+(N2942*30)/1130</f>
        <v>0.063716814159292</v>
      </c>
    </row>
    <row r="2943" customFormat="false" ht="15" hidden="true" customHeight="true" outlineLevel="0" collapsed="false">
      <c r="B2943" s="233" t="n">
        <f aca="false">B2942+D2943-C2943</f>
        <v>9798.8</v>
      </c>
      <c r="D2943" s="146" t="n">
        <v>241.5</v>
      </c>
      <c r="E2943" s="147" t="n">
        <v>53002240</v>
      </c>
      <c r="F2943" s="147" t="n">
        <f aca="false">IFERROR(VLOOKUP(H2943,$AD$1:$AE$301,2,0),"")</f>
        <v>1071</v>
      </c>
      <c r="G2943" s="147" t="str">
        <f aca="false">IFERROR(VLOOKUP(F2943,$AE$2:$AF$290,2, 0),"")</f>
        <v>تبوك</v>
      </c>
      <c r="H2943" s="212" t="s">
        <v>135</v>
      </c>
      <c r="I2943" s="246" t="n">
        <f aca="false">SUM(K2943:R2943)</f>
        <v>1</v>
      </c>
      <c r="J2943" s="182" t="n">
        <v>46230</v>
      </c>
      <c r="M2943" s="150" t="n">
        <v>1</v>
      </c>
      <c r="S2943" s="192" t="n">
        <f aca="false">(K2943+O2943+Q2943)*24 /1130+(L2943+M2943+P2943+R2943)*12/1130+(N2943*30)/1130</f>
        <v>0.0106194690265487</v>
      </c>
    </row>
    <row r="2944" customFormat="false" ht="15" hidden="true" customHeight="true" outlineLevel="0" collapsed="false">
      <c r="B2944" s="233" t="n">
        <f aca="false">B2943+D2944-C2944</f>
        <v>11378.9</v>
      </c>
      <c r="D2944" s="146" t="n">
        <f aca="false">1269.6+310.5</f>
        <v>1580.1</v>
      </c>
      <c r="E2944" s="147" t="n">
        <v>53002241</v>
      </c>
      <c r="F2944" s="147" t="n">
        <f aca="false">IFERROR(VLOOKUP(H2944,$AD$1:$AE$301,2,0),"")</f>
        <v>1008261</v>
      </c>
      <c r="G2944" s="147" t="str">
        <f aca="false">IFERROR(VLOOKUP(F2944,$AE$2:$AF$290,2, 0),"")</f>
        <v>تبوك</v>
      </c>
      <c r="H2944" s="212" t="s">
        <v>440</v>
      </c>
      <c r="I2944" s="246" t="n">
        <f aca="false">SUM(K2944:R2944)</f>
        <v>5</v>
      </c>
      <c r="J2944" s="182" t="n">
        <v>46230</v>
      </c>
      <c r="K2944" s="148" t="n">
        <v>4</v>
      </c>
      <c r="R2944" s="155" t="n">
        <v>1</v>
      </c>
      <c r="S2944" s="192" t="n">
        <f aca="false">(K2944+O2944+Q2944)*24 /1130+(L2944+M2944+P2944+R2944)*12/1130+(N2944*30)/1130</f>
        <v>0.0955752212389381</v>
      </c>
    </row>
    <row r="2945" customFormat="false" ht="15" hidden="true" customHeight="true" outlineLevel="0" collapsed="false">
      <c r="B2945" s="233" t="n">
        <f aca="false">B2944+D2945-C2945</f>
        <v>13345.4</v>
      </c>
      <c r="D2945" s="146" t="n">
        <v>1966.5</v>
      </c>
      <c r="E2945" s="147" t="n">
        <v>53002242</v>
      </c>
      <c r="F2945" s="147" t="n">
        <f aca="false">IFERROR(VLOOKUP(H2945,$AD$1:$AE$301,2,0),"")</f>
        <v>636</v>
      </c>
      <c r="G2945" s="147" t="str">
        <f aca="false">IFERROR(VLOOKUP(F2945,$AE$2:$AF$290,2, 0),"")</f>
        <v>تبوك</v>
      </c>
      <c r="H2945" s="212" t="s">
        <v>134</v>
      </c>
      <c r="I2945" s="246" t="n">
        <f aca="false">SUM(K2945:R2945)</f>
        <v>7</v>
      </c>
      <c r="J2945" s="182" t="n">
        <v>46230</v>
      </c>
      <c r="M2945" s="150" t="n">
        <v>7</v>
      </c>
      <c r="S2945" s="192" t="n">
        <f aca="false">(K2945+O2945+Q2945)*24 /1130+(L2945+M2945+P2945+R2945)*12/1130+(N2945*30)/1130</f>
        <v>0.0743362831858407</v>
      </c>
    </row>
    <row r="2946" customFormat="false" ht="15" hidden="true" customHeight="true" outlineLevel="0" collapsed="false">
      <c r="B2946" s="233" t="n">
        <f aca="false">B2945+D2946-C2946</f>
        <v>12207.4</v>
      </c>
      <c r="C2946" s="127" t="n">
        <f aca="false">130+15+5+140+76+1+50+80+117+139+155+135+95</f>
        <v>1138</v>
      </c>
      <c r="E2946" s="147" t="s">
        <v>675</v>
      </c>
      <c r="F2946" s="147" t="str">
        <f aca="false">IFERROR(VLOOKUP(H2946,$AD$1:$AE$301,2,0),"")</f>
        <v/>
      </c>
      <c r="G2946" s="147" t="str">
        <f aca="false">IFERROR(VLOOKUP(F2946,$AE$2:$AF$290,2, 0),"")</f>
        <v/>
      </c>
      <c r="H2946" s="212" t="s">
        <v>393</v>
      </c>
      <c r="I2946" s="246" t="n">
        <f aca="false">SUM(K2946:R2946)</f>
        <v>0</v>
      </c>
      <c r="J2946" s="182" t="n">
        <v>46230</v>
      </c>
      <c r="S2946" s="192" t="n">
        <f aca="false">(K2946+O2946+Q2946)*24 /1130+(L2946+M2946+P2946+R2946)*12/1130+(N2946*30)/1130</f>
        <v>0</v>
      </c>
    </row>
    <row r="2947" customFormat="false" ht="15" hidden="true" customHeight="true" outlineLevel="0" collapsed="false">
      <c r="B2947" s="233" t="n">
        <f aca="false">B2946+D2947-C2947</f>
        <v>10118.4</v>
      </c>
      <c r="C2947" s="127" t="n">
        <f aca="false">200+634+200+1000+55</f>
        <v>2089</v>
      </c>
      <c r="E2947" s="147" t="s">
        <v>675</v>
      </c>
      <c r="F2947" s="147" t="str">
        <f aca="false">IFERROR(VLOOKUP(H2947,$AD$1:$AE$301,2,0),"")</f>
        <v/>
      </c>
      <c r="G2947" s="147" t="str">
        <f aca="false">IFERROR(VLOOKUP(F2947,$AE$2:$AF$290,2, 0),"")</f>
        <v/>
      </c>
      <c r="H2947" s="212" t="s">
        <v>393</v>
      </c>
      <c r="I2947" s="246" t="n">
        <f aca="false">SUM(K2947:R2947)</f>
        <v>0</v>
      </c>
      <c r="J2947" s="182" t="n">
        <v>46230</v>
      </c>
      <c r="S2947" s="192" t="n">
        <f aca="false">(K2947+O2947+Q2947)*24 /1130+(L2947+M2947+P2947+R2947)*12/1130+(N2947*30)/1130</f>
        <v>0</v>
      </c>
    </row>
    <row r="2948" customFormat="false" ht="15" hidden="true" customHeight="true" outlineLevel="0" collapsed="false">
      <c r="B2948" s="233" t="n">
        <f aca="false">B2947+D2948-C2948</f>
        <v>8346.4</v>
      </c>
      <c r="C2948" s="127" t="n">
        <f aca="false">1278+150+344</f>
        <v>1772</v>
      </c>
      <c r="E2948" s="147" t="s">
        <v>677</v>
      </c>
      <c r="F2948" s="147" t="str">
        <f aca="false">IFERROR(VLOOKUP(H2948,$AD$1:$AE$301,2,0),"")</f>
        <v/>
      </c>
      <c r="G2948" s="147" t="str">
        <f aca="false">IFERROR(VLOOKUP(F2948,$AE$2:$AF$290,2, 0),"")</f>
        <v/>
      </c>
      <c r="H2948" s="212" t="s">
        <v>393</v>
      </c>
      <c r="I2948" s="246" t="n">
        <f aca="false">SUM(K2948:R2948)</f>
        <v>0</v>
      </c>
      <c r="J2948" s="182" t="n">
        <v>46230</v>
      </c>
      <c r="S2948" s="192" t="n">
        <f aca="false">(K2948+O2948+Q2948)*24 /1130+(L2948+M2948+P2948+R2948)*12/1130+(N2948*30)/1130</f>
        <v>0</v>
      </c>
    </row>
    <row r="2949" customFormat="false" ht="15" hidden="true" customHeight="true" outlineLevel="0" collapsed="false">
      <c r="B2949" s="233" t="n">
        <f aca="false">B2948+D2949-C2949</f>
        <v>9346.9</v>
      </c>
      <c r="D2949" s="146" t="n">
        <v>1000.5</v>
      </c>
      <c r="E2949" s="147" t="n">
        <v>53002243</v>
      </c>
      <c r="F2949" s="147" t="n">
        <f aca="false">IFERROR(VLOOKUP(H2949,$AD$1:$AE$301,2,0),"")</f>
        <v>1008276</v>
      </c>
      <c r="G2949" s="147" t="str">
        <f aca="false">IFERROR(VLOOKUP(F2949,$AE$2:$AF$290,2, 0),"")</f>
        <v>تبوك</v>
      </c>
      <c r="H2949" s="212" t="s">
        <v>145</v>
      </c>
      <c r="I2949" s="246" t="n">
        <f aca="false">SUM(K2949:R2949)</f>
        <v>3</v>
      </c>
      <c r="J2949" s="182" t="n">
        <v>46231</v>
      </c>
      <c r="N2949" s="151" t="n">
        <v>3</v>
      </c>
      <c r="S2949" s="192" t="n">
        <f aca="false">(K2949+O2949+Q2949)*24 /1130+(L2949+M2949+P2949+R2949)*12/1130+(N2949*30)/1130</f>
        <v>0.079646017699115</v>
      </c>
    </row>
    <row r="2950" customFormat="false" ht="15" hidden="true" customHeight="true" outlineLevel="0" collapsed="false">
      <c r="B2950" s="233" t="n">
        <f aca="false">B2949+D2950-C2950</f>
        <v>10347.4</v>
      </c>
      <c r="D2950" s="146" t="n">
        <v>1000.5</v>
      </c>
      <c r="E2950" s="147" t="n">
        <v>53002246</v>
      </c>
      <c r="F2950" s="147" t="n">
        <f aca="false">IFERROR(VLOOKUP(H2950,$AD$1:$AE$301,2,0),"")</f>
        <v>1008266</v>
      </c>
      <c r="G2950" s="147" t="str">
        <f aca="false">IFERROR(VLOOKUP(F2950,$AE$2:$AF$290,2, 0),"")</f>
        <v>تبوك</v>
      </c>
      <c r="H2950" s="212" t="s">
        <v>178</v>
      </c>
      <c r="I2950" s="246" t="n">
        <f aca="false">SUM(K2950:R2950)</f>
        <v>3</v>
      </c>
      <c r="J2950" s="182" t="n">
        <v>46231</v>
      </c>
      <c r="N2950" s="151" t="n">
        <v>3</v>
      </c>
      <c r="S2950" s="192" t="n">
        <f aca="false">(K2950+O2950+Q2950)*24 /1130+(L2950+M2950+P2950+R2950)*12/1130+(N2950*30)/1130</f>
        <v>0.079646017699115</v>
      </c>
    </row>
    <row r="2951" customFormat="false" ht="15" hidden="true" customHeight="true" outlineLevel="0" collapsed="false">
      <c r="B2951" s="233" t="n">
        <f aca="false">B2950+D2951-C2951</f>
        <v>12197.75</v>
      </c>
      <c r="D2951" s="146" t="n">
        <v>1850.35</v>
      </c>
      <c r="E2951" s="147" t="n">
        <v>53002245</v>
      </c>
      <c r="F2951" s="147" t="n">
        <f aca="false">IFERROR(VLOOKUP(H2951,$AD$1:$AE$301,2,0),"")</f>
        <v>827</v>
      </c>
      <c r="G2951" s="147" t="str">
        <f aca="false">IFERROR(VLOOKUP(F2951,$AE$2:$AF$290,2, 0),"")</f>
        <v>تبوك</v>
      </c>
      <c r="H2951" s="212" t="s">
        <v>182</v>
      </c>
      <c r="I2951" s="246" t="n">
        <f aca="false">SUM(K2951:R2951)</f>
        <v>6</v>
      </c>
      <c r="J2951" s="182" t="n">
        <v>46231</v>
      </c>
      <c r="K2951" s="148" t="n">
        <v>4</v>
      </c>
      <c r="N2951" s="151" t="n">
        <v>1</v>
      </c>
      <c r="Q2951" s="154" t="n">
        <v>1</v>
      </c>
      <c r="S2951" s="192" t="n">
        <f aca="false">(K2951+O2951+Q2951)*24 /1130+(L2951+M2951+P2951+R2951)*12/1130+(N2951*30)/1130</f>
        <v>0.132743362831858</v>
      </c>
    </row>
    <row r="2952" customFormat="false" ht="15" hidden="true" customHeight="true" outlineLevel="0" collapsed="false">
      <c r="B2952" s="233" t="n">
        <f aca="false">B2951+D2952-C2952</f>
        <v>14164.25</v>
      </c>
      <c r="D2952" s="146" t="n">
        <v>1966.5</v>
      </c>
      <c r="E2952" s="147" t="n">
        <v>53002247</v>
      </c>
      <c r="F2952" s="147" t="n">
        <f aca="false">IFERROR(VLOOKUP(H2952,$AD$1:$AE$301,2,0),"")</f>
        <v>1002907</v>
      </c>
      <c r="G2952" s="147" t="str">
        <f aca="false">IFERROR(VLOOKUP(F2952,$AE$2:$AF$290,2, 0),"")</f>
        <v>تبوك</v>
      </c>
      <c r="H2952" s="212" t="s">
        <v>189</v>
      </c>
      <c r="I2952" s="246" t="n">
        <f aca="false">SUM(K2952:R2952)</f>
        <v>7</v>
      </c>
      <c r="J2952" s="182" t="n">
        <v>46231</v>
      </c>
      <c r="M2952" s="150" t="n">
        <v>7</v>
      </c>
      <c r="S2952" s="192" t="n">
        <f aca="false">(K2952+O2952+Q2952)*24 /1130+(L2952+M2952+P2952+R2952)*12/1130+(N2952*30)/1130</f>
        <v>0.0743362831858407</v>
      </c>
    </row>
    <row r="2953" customFormat="false" ht="15" hidden="true" customHeight="true" outlineLevel="0" collapsed="false">
      <c r="B2953" s="233" t="n">
        <f aca="false">B2952+D2953-C2953</f>
        <v>15433.85</v>
      </c>
      <c r="D2953" s="146" t="n">
        <v>1269.6</v>
      </c>
      <c r="E2953" s="147" t="n">
        <v>53002248</v>
      </c>
      <c r="F2953" s="147" t="n">
        <f aca="false">IFERROR(VLOOKUP(H2953,$AD$1:$AE$301,2,0),"")</f>
        <v>1002930</v>
      </c>
      <c r="G2953" s="147" t="str">
        <f aca="false">IFERROR(VLOOKUP(F2953,$AE$2:$AF$290,2, 0),"")</f>
        <v>تبوك</v>
      </c>
      <c r="H2953" s="212" t="s">
        <v>171</v>
      </c>
      <c r="I2953" s="246" t="n">
        <f aca="false">SUM(K2953:R2953)</f>
        <v>4</v>
      </c>
      <c r="J2953" s="182" t="n">
        <v>46231</v>
      </c>
      <c r="K2953" s="148" t="n">
        <v>4</v>
      </c>
      <c r="S2953" s="192" t="n">
        <f aca="false">(K2953+O2953+Q2953)*24 /1130+(L2953+M2953+P2953+R2953)*12/1130+(N2953*30)/1130</f>
        <v>0.0849557522123894</v>
      </c>
    </row>
    <row r="2954" customFormat="false" ht="15" hidden="true" customHeight="true" outlineLevel="0" collapsed="false">
      <c r="B2954" s="233" t="n">
        <f aca="false">B2953+D2954-C2954</f>
        <v>15744.35</v>
      </c>
      <c r="D2954" s="146" t="n">
        <v>310.5</v>
      </c>
      <c r="E2954" s="147" t="n">
        <v>53002249</v>
      </c>
      <c r="F2954" s="147" t="n">
        <f aca="false">IFERROR(VLOOKUP(H2954,$AD$1:$AE$301,2,0),"")</f>
        <v>1002910</v>
      </c>
      <c r="G2954" s="147" t="str">
        <f aca="false">IFERROR(VLOOKUP(F2954,$AE$2:$AF$290,2, 0),"")</f>
        <v>تبوك</v>
      </c>
      <c r="H2954" s="212" t="s">
        <v>197</v>
      </c>
      <c r="I2954" s="246" t="n">
        <f aca="false">SUM(K2954:R2954)</f>
        <v>1</v>
      </c>
      <c r="J2954" s="182" t="n">
        <v>46231</v>
      </c>
      <c r="R2954" s="155" t="n">
        <v>1</v>
      </c>
      <c r="S2954" s="192" t="n">
        <f aca="false">(K2954+O2954+Q2954)*24 /1130+(L2954+M2954+P2954+R2954)*12/1130+(N2954*30)/1130</f>
        <v>0.0106194690265487</v>
      </c>
    </row>
    <row r="2955" customFormat="false" ht="15" hidden="true" customHeight="true" outlineLevel="0" collapsed="false">
      <c r="B2955" s="233" t="n">
        <f aca="false">B2954+D2955-C2955</f>
        <v>16296.35</v>
      </c>
      <c r="D2955" s="146" t="n">
        <f aca="false">552</f>
        <v>552</v>
      </c>
      <c r="E2955" s="147" t="n">
        <v>53002250</v>
      </c>
      <c r="F2955" s="147" t="n">
        <f aca="false">IFERROR(VLOOKUP(H2955,$AD$1:$AE$301,2,0),"")</f>
        <v>1008260</v>
      </c>
      <c r="G2955" s="147" t="str">
        <f aca="false">IFERROR(VLOOKUP(F2955,$AE$2:$AF$290,2, 0),"")</f>
        <v>تبوك</v>
      </c>
      <c r="H2955" s="212" t="s">
        <v>184</v>
      </c>
      <c r="I2955" s="449" t="n">
        <f aca="false">SUM(K2955:R2955)</f>
        <v>3</v>
      </c>
      <c r="J2955" s="182" t="n">
        <v>46231</v>
      </c>
      <c r="R2955" s="155" t="n">
        <v>3</v>
      </c>
      <c r="S2955" s="192" t="n">
        <f aca="false">(K2955+O2955+Q2955)*24 /1130+(L2955+M2955+P2955+R2955)*12/1130+(N2955*30)/1130</f>
        <v>0.031858407079646</v>
      </c>
    </row>
    <row r="2956" customFormat="false" ht="15" hidden="true" customHeight="true" outlineLevel="0" collapsed="false">
      <c r="B2956" s="233" t="n">
        <f aca="false">B2955+D2956-C2956</f>
        <v>13946.35</v>
      </c>
      <c r="C2956" s="127" t="n">
        <f aca="false">1130+220+1000</f>
        <v>2350</v>
      </c>
      <c r="E2956" s="147" t="s">
        <v>675</v>
      </c>
      <c r="F2956" s="147" t="str">
        <f aca="false">IFERROR(VLOOKUP(H2956,$AD$1:$AE$301,2,0),"")</f>
        <v/>
      </c>
      <c r="G2956" s="147" t="str">
        <f aca="false">IFERROR(VLOOKUP(F2956,$AE$2:$AF$290,2, 0),"")</f>
        <v/>
      </c>
      <c r="H2956" s="212" t="s">
        <v>393</v>
      </c>
      <c r="I2956" s="246" t="n">
        <f aca="false">SUM(K2956:R2956)</f>
        <v>0</v>
      </c>
      <c r="J2956" s="182" t="n">
        <v>46231</v>
      </c>
      <c r="S2956" s="192" t="n">
        <f aca="false">(K2956+O2956+Q2956)*24 /1130+(L2956+M2956+P2956+R2956)*12/1130+(N2956*30)/1130</f>
        <v>0</v>
      </c>
    </row>
    <row r="2957" customFormat="false" ht="15" hidden="true" customHeight="true" outlineLevel="0" collapsed="false">
      <c r="B2957" s="233" t="n">
        <f aca="false">B2956+D2957-C2957</f>
        <v>13141.35</v>
      </c>
      <c r="C2957" s="127" t="n">
        <f aca="false">805</f>
        <v>805</v>
      </c>
      <c r="E2957" s="147" t="s">
        <v>677</v>
      </c>
      <c r="F2957" s="147" t="str">
        <f aca="false">IFERROR(VLOOKUP(H2957,$AD$1:$AE$301,2,0),"")</f>
        <v/>
      </c>
      <c r="G2957" s="147" t="str">
        <f aca="false">IFERROR(VLOOKUP(F2957,$AE$2:$AF$290,2, 0),"")</f>
        <v/>
      </c>
      <c r="H2957" s="212" t="s">
        <v>393</v>
      </c>
      <c r="I2957" s="246" t="n">
        <f aca="false">SUM(K2957:R2957)</f>
        <v>0</v>
      </c>
      <c r="J2957" s="182" t="n">
        <v>46232</v>
      </c>
      <c r="S2957" s="192" t="n">
        <f aca="false">(K2957+O2957+Q2957)*24 /1130+(L2957+M2957+P2957+R2957)*12/1130+(N2957*30)/1130</f>
        <v>0</v>
      </c>
    </row>
    <row r="2958" customFormat="false" ht="15" hidden="true" customHeight="true" outlineLevel="0" collapsed="false">
      <c r="B2958" s="233" t="n">
        <f aca="false">B2957+D2958-C2958</f>
        <v>14410.95</v>
      </c>
      <c r="D2958" s="146" t="n">
        <v>1269.6</v>
      </c>
      <c r="E2958" s="147" t="n">
        <v>53002251</v>
      </c>
      <c r="F2958" s="147" t="n">
        <f aca="false">IFERROR(VLOOKUP(H2958,$AD$1:$AE$301,2,0),"")</f>
        <v>1002898</v>
      </c>
      <c r="G2958" s="147" t="str">
        <f aca="false">IFERROR(VLOOKUP(F2958,$AE$2:$AF$290,2, 0),"")</f>
        <v>تبوك</v>
      </c>
      <c r="H2958" s="212" t="s">
        <v>195</v>
      </c>
      <c r="I2958" s="246" t="n">
        <f aca="false">SUM(K2958:R2958)</f>
        <v>4</v>
      </c>
      <c r="J2958" s="182" t="n">
        <v>46232</v>
      </c>
      <c r="K2958" s="148" t="n">
        <v>4</v>
      </c>
      <c r="S2958" s="192" t="n">
        <f aca="false">(K2958+O2958+Q2958)*24 /1130+(L2958+M2958+P2958+R2958)*12/1130+(N2958*30)/1130</f>
        <v>0.0849557522123894</v>
      </c>
    </row>
    <row r="2959" customFormat="false" ht="15" hidden="true" customHeight="true" outlineLevel="0" collapsed="false">
      <c r="B2959" s="233" t="n">
        <f aca="false">B2958+D2959-C2959</f>
        <v>15411.45</v>
      </c>
      <c r="D2959" s="146" t="n">
        <v>1000.5</v>
      </c>
      <c r="E2959" s="147" t="n">
        <v>53002252</v>
      </c>
      <c r="F2959" s="147" t="n">
        <f aca="false">IFERROR(VLOOKUP(H2959,$AD$1:$AE$301,2,0),"")</f>
        <v>755</v>
      </c>
      <c r="G2959" s="147" t="str">
        <f aca="false">IFERROR(VLOOKUP(F2959,$AE$2:$AF$290,2, 0),"")</f>
        <v>تبوك</v>
      </c>
      <c r="H2959" s="212" t="s">
        <v>180</v>
      </c>
      <c r="I2959" s="246" t="n">
        <f aca="false">SUM(K2959:R2959)</f>
        <v>3</v>
      </c>
      <c r="J2959" s="182" t="n">
        <v>46232</v>
      </c>
      <c r="N2959" s="151" t="n">
        <v>3</v>
      </c>
      <c r="S2959" s="192" t="n">
        <f aca="false">(K2959+O2959+Q2959)*24 /1130+(L2959+M2959+P2959+R2959)*12/1130+(N2959*30)/1130</f>
        <v>0.079646017699115</v>
      </c>
    </row>
    <row r="2960" customFormat="false" ht="15" hidden="true" customHeight="true" outlineLevel="0" collapsed="false">
      <c r="B2960" s="233" t="n">
        <f aca="false">B2959+D2960-C2960</f>
        <v>21759.45</v>
      </c>
      <c r="D2960" s="146" t="n">
        <f aca="false">1269.6*5</f>
        <v>6348</v>
      </c>
      <c r="E2960" s="147" t="n">
        <v>53002253</v>
      </c>
      <c r="F2960" s="147" t="n">
        <f aca="false">IFERROR(VLOOKUP(H2960,$AD$1:$AE$301,2,0),"")</f>
        <v>1002912</v>
      </c>
      <c r="G2960" s="147" t="str">
        <f aca="false">IFERROR(VLOOKUP(F2960,$AE$2:$AF$290,2, 0),"")</f>
        <v>تبوك</v>
      </c>
      <c r="H2960" s="212" t="s">
        <v>152</v>
      </c>
      <c r="I2960" s="246" t="n">
        <f aca="false">SUM(K2960:R2960)</f>
        <v>20</v>
      </c>
      <c r="J2960" s="182" t="n">
        <v>46232</v>
      </c>
      <c r="K2960" s="148" t="n">
        <f aca="false">10+10</f>
        <v>20</v>
      </c>
      <c r="S2960" s="192" t="n">
        <f aca="false">(K2960+O2960+Q2960)*24 /1130+(L2960+M2960+P2960+R2960)*12/1130+(N2960*30)/1130</f>
        <v>0.424778761061947</v>
      </c>
    </row>
    <row r="2961" customFormat="false" ht="15" hidden="true" customHeight="true" outlineLevel="0" collapsed="false">
      <c r="B2961" s="233" t="n">
        <f aca="false">B2960+D2961-C2961</f>
        <v>23829.45</v>
      </c>
      <c r="D2961" s="146" t="n">
        <v>2070</v>
      </c>
      <c r="E2961" s="147" t="n">
        <v>53002256</v>
      </c>
      <c r="F2961" s="147" t="n">
        <f aca="false">IFERROR(VLOOKUP(H2961,$AD$1:$AE$301,2,0),"")</f>
        <v>635</v>
      </c>
      <c r="G2961" s="147" t="str">
        <f aca="false">IFERROR(VLOOKUP(F2961,$AE$2:$AF$290,2, 0),"")</f>
        <v>تبوك</v>
      </c>
      <c r="H2961" s="212" t="s">
        <v>157</v>
      </c>
      <c r="I2961" s="246" t="n">
        <f aca="false">SUM(K2961:R2961)</f>
        <v>7</v>
      </c>
      <c r="J2961" s="182" t="n">
        <v>46232</v>
      </c>
      <c r="M2961" s="150" t="n">
        <v>7</v>
      </c>
      <c r="S2961" s="192" t="n">
        <f aca="false">(K2961+O2961+Q2961)*24 /1130+(L2961+M2961+P2961+R2961)*12/1130+(N2961*30)/1130</f>
        <v>0.0743362831858407</v>
      </c>
    </row>
    <row r="2962" customFormat="false" ht="15" hidden="true" customHeight="true" outlineLevel="0" collapsed="false">
      <c r="B2962" s="233" t="n">
        <f aca="false">B2961+D2962-C2962</f>
        <v>27762.45</v>
      </c>
      <c r="D2962" s="146" t="n">
        <f aca="false">1966.5*2</f>
        <v>3933</v>
      </c>
      <c r="E2962" s="147" t="n">
        <v>53002255</v>
      </c>
      <c r="F2962" s="147" t="n">
        <f aca="false">IFERROR(VLOOKUP(H2962,$AD$1:$AE$301,2,0),"")</f>
        <v>1063</v>
      </c>
      <c r="G2962" s="147" t="str">
        <f aca="false">IFERROR(VLOOKUP(F2962,$AE$2:$AF$290,2, 0),"")</f>
        <v>تبوك</v>
      </c>
      <c r="H2962" s="212" t="s">
        <v>158</v>
      </c>
      <c r="I2962" s="246" t="n">
        <f aca="false">SUM(K2962:R2962)</f>
        <v>14</v>
      </c>
      <c r="J2962" s="182" t="n">
        <v>46232</v>
      </c>
      <c r="M2962" s="150" t="n">
        <v>14</v>
      </c>
      <c r="S2962" s="192" t="n">
        <f aca="false">(K2962+O2962+Q2962)*24 /1130+(L2962+M2962+P2962+R2962)*12/1130+(N2962*30)/1130</f>
        <v>0.148672566371681</v>
      </c>
    </row>
    <row r="2963" customFormat="false" ht="15" hidden="true" customHeight="true" outlineLevel="0" collapsed="false">
      <c r="B2963" s="233" t="n">
        <f aca="false">B2962+D2963-C2963</f>
        <v>27923.45</v>
      </c>
      <c r="C2963" s="233"/>
      <c r="D2963" s="146" t="n">
        <v>161</v>
      </c>
      <c r="E2963" s="147" t="n">
        <v>53002257</v>
      </c>
      <c r="F2963" s="147" t="n">
        <f aca="false">IFERROR(VLOOKUP(H2963,$AD$1:$AE$301,2,0),"")</f>
        <v>1002904</v>
      </c>
      <c r="G2963" s="147" t="str">
        <f aca="false">IFERROR(VLOOKUP(F2963,$AE$2:$AF$290,2, 0),"")</f>
        <v>تبوك</v>
      </c>
      <c r="H2963" s="212" t="s">
        <v>221</v>
      </c>
      <c r="I2963" s="246" t="n">
        <f aca="false">SUM(K2963:R2963)</f>
        <v>1</v>
      </c>
      <c r="J2963" s="182" t="n">
        <v>46232</v>
      </c>
      <c r="Q2963" s="154" t="n">
        <v>1</v>
      </c>
      <c r="S2963" s="192" t="n">
        <f aca="false">(K2963+O2963+Q2963)*24 /1130+(L2963+M2963+P2963+R2963)*12/1130+(N2963*30)/1130</f>
        <v>0.0212389380530973</v>
      </c>
    </row>
    <row r="2964" customFormat="false" ht="15" hidden="true" customHeight="true" outlineLevel="0" collapsed="false">
      <c r="B2964" s="233" t="n">
        <f aca="false">B2963+D2964-C2964</f>
        <v>35789.45</v>
      </c>
      <c r="C2964" s="233"/>
      <c r="D2964" s="146" t="n">
        <f aca="false">1966.5*4</f>
        <v>7866</v>
      </c>
      <c r="E2964" s="147" t="n">
        <v>53002258</v>
      </c>
      <c r="F2964" s="147" t="n">
        <f aca="false">IFERROR(VLOOKUP(H2964,$AD$1:$AE$301,2,0),"")</f>
        <v>1063</v>
      </c>
      <c r="G2964" s="147" t="str">
        <f aca="false">IFERROR(VLOOKUP(F2964,$AE$2:$AF$290,2, 0),"")</f>
        <v>تبوك</v>
      </c>
      <c r="H2964" s="212" t="s">
        <v>158</v>
      </c>
      <c r="I2964" s="246" t="n">
        <f aca="false">SUM(K2964:R2964)</f>
        <v>28</v>
      </c>
      <c r="J2964" s="182" t="n">
        <v>46232</v>
      </c>
      <c r="M2964" s="150" t="n">
        <v>28</v>
      </c>
      <c r="S2964" s="192" t="n">
        <f aca="false">(K2964+O2964+Q2964)*24 /1130+(L2964+M2964+P2964+R2964)*12/1130+(N2964*30)/1130</f>
        <v>0.297345132743363</v>
      </c>
    </row>
    <row r="2965" customFormat="false" ht="15" hidden="true" customHeight="true" outlineLevel="0" collapsed="false">
      <c r="B2965" s="233" t="n">
        <f aca="false">B2964+D2965-C2965</f>
        <v>35950.45</v>
      </c>
      <c r="D2965" s="146" t="n">
        <v>161</v>
      </c>
      <c r="E2965" s="147" t="n">
        <v>53002259</v>
      </c>
      <c r="F2965" s="147" t="n">
        <f aca="false">IFERROR(VLOOKUP(H2965,$AD$1:$AE$301,2,0),"")</f>
        <v>1008262</v>
      </c>
      <c r="G2965" s="147" t="str">
        <f aca="false">IFERROR(VLOOKUP(F2965,$AE$2:$AF$290,2, 0),"")</f>
        <v>تبوك</v>
      </c>
      <c r="H2965" s="212" t="s">
        <v>176</v>
      </c>
      <c r="I2965" s="246" t="n">
        <f aca="false">SUM(K2965:R2965)</f>
        <v>1</v>
      </c>
      <c r="J2965" s="182" t="n">
        <v>46232</v>
      </c>
      <c r="Q2965" s="154" t="n">
        <v>1</v>
      </c>
      <c r="S2965" s="192" t="n">
        <f aca="false">(K2965+O2965+Q2965)*24 /1130+(L2965+M2965+P2965+R2965)*12/1130+(N2965*30)/1130</f>
        <v>0.0212389380530973</v>
      </c>
    </row>
    <row r="2966" customFormat="false" ht="15" hidden="true" customHeight="true" outlineLevel="0" collapsed="false">
      <c r="B2966" s="233" t="n">
        <f aca="false">B2965+D2966-C2966</f>
        <v>37220.05</v>
      </c>
      <c r="D2966" s="146" t="n">
        <v>1269.6</v>
      </c>
      <c r="E2966" s="147" t="n">
        <v>53002260</v>
      </c>
      <c r="F2966" s="147" t="n">
        <f aca="false">IFERROR(VLOOKUP(H2966,$AD$1:$AE$301,2,0),"")</f>
        <v>1002938</v>
      </c>
      <c r="G2966" s="147" t="str">
        <f aca="false">IFERROR(VLOOKUP(F2966,$AE$2:$AF$290,2, 0),"")</f>
        <v>تبوك</v>
      </c>
      <c r="H2966" s="212" t="s">
        <v>175</v>
      </c>
      <c r="I2966" s="246" t="n">
        <f aca="false">SUM(K2966:R2966)</f>
        <v>4</v>
      </c>
      <c r="J2966" s="182" t="n">
        <v>46232</v>
      </c>
      <c r="K2966" s="148" t="n">
        <v>4</v>
      </c>
      <c r="S2966" s="192" t="n">
        <f aca="false">(K2966+O2966+Q2966)*24 /1130+(L2966+M2966+P2966+R2966)*12/1130+(N2966*30)/1130</f>
        <v>0.0849557522123894</v>
      </c>
    </row>
    <row r="2967" customFormat="false" ht="15" hidden="true" customHeight="true" outlineLevel="0" collapsed="false">
      <c r="B2967" s="233" t="n">
        <f aca="false">B2966+D2967-C2967</f>
        <v>38834.65</v>
      </c>
      <c r="D2967" s="146" t="n">
        <v>1614.6</v>
      </c>
      <c r="E2967" s="147" t="n">
        <v>53002261</v>
      </c>
      <c r="F2967" s="147" t="n">
        <f aca="false">IFERROR(VLOOKUP(H2967,$AD$1:$AE$301,2,0),"")</f>
        <v>1004</v>
      </c>
      <c r="G2967" s="147" t="str">
        <f aca="false">IFERROR(VLOOKUP(F2967,$AE$2:$AF$290,2, 0),"")</f>
        <v>تبوك</v>
      </c>
      <c r="H2967" s="212" t="s">
        <v>181</v>
      </c>
      <c r="I2967" s="246" t="n">
        <f aca="false">SUM(K2967:R2967)</f>
        <v>6</v>
      </c>
      <c r="J2967" s="182" t="n">
        <v>46232</v>
      </c>
      <c r="K2967" s="148" t="n">
        <v>4</v>
      </c>
      <c r="Q2967" s="154" t="n">
        <v>1</v>
      </c>
      <c r="R2967" s="155" t="n">
        <v>1</v>
      </c>
      <c r="S2967" s="192" t="n">
        <f aca="false">(K2967+O2967+Q2967)*24 /1130+(L2967+M2967+P2967+R2967)*12/1130+(N2967*30)/1130</f>
        <v>0.116814159292035</v>
      </c>
    </row>
    <row r="2968" customFormat="false" ht="15" hidden="true" customHeight="true" outlineLevel="0" collapsed="false">
      <c r="B2968" s="233" t="n">
        <f aca="false">B2967+D2968-C2968</f>
        <v>38995.65</v>
      </c>
      <c r="D2968" s="146" t="n">
        <v>161</v>
      </c>
      <c r="E2968" s="147" t="n">
        <v>53002263</v>
      </c>
      <c r="F2968" s="147" t="n">
        <f aca="false">IFERROR(VLOOKUP(H2968,$AD$1:$AE$301,2,0),"")</f>
        <v>954</v>
      </c>
      <c r="G2968" s="147" t="str">
        <f aca="false">IFERROR(VLOOKUP(F2968,$AE$2:$AF$290,2, 0),"")</f>
        <v>تبوك</v>
      </c>
      <c r="H2968" s="212" t="s">
        <v>199</v>
      </c>
      <c r="I2968" s="246" t="n">
        <f aca="false">SUM(K2968:R2968)</f>
        <v>1</v>
      </c>
      <c r="J2968" s="182" t="n">
        <v>46232</v>
      </c>
      <c r="Q2968" s="154" t="n">
        <v>1</v>
      </c>
      <c r="S2968" s="192" t="n">
        <f aca="false">(K2968+O2968+Q2968)*24 /1130+(L2968+M2968+P2968+R2968)*12/1130+(N2968*30)/1130</f>
        <v>0.0212389380530973</v>
      </c>
    </row>
    <row r="2969" customFormat="false" ht="15" hidden="true" customHeight="true" outlineLevel="0" collapsed="false">
      <c r="B2969" s="233" t="n">
        <f aca="false">B2968+D2969-C2969</f>
        <v>42548</v>
      </c>
      <c r="D2969" s="146" t="n">
        <v>3552.35</v>
      </c>
      <c r="E2969" s="147" t="n">
        <v>53002265</v>
      </c>
      <c r="F2969" s="147" t="n">
        <f aca="false">IFERROR(VLOOKUP(H2969,$AD$1:$AE$301,2,0),"")</f>
        <v>1071</v>
      </c>
      <c r="G2969" s="147" t="str">
        <f aca="false">IFERROR(VLOOKUP(F2969,$AE$2:$AF$290,2, 0),"")</f>
        <v>تبوك</v>
      </c>
      <c r="H2969" s="212" t="s">
        <v>135</v>
      </c>
      <c r="I2969" s="246" t="n">
        <f aca="false">SUM(K2969:R2969)</f>
        <v>13</v>
      </c>
      <c r="J2969" s="182" t="n">
        <v>46232</v>
      </c>
      <c r="K2969" s="148" t="n">
        <v>4</v>
      </c>
      <c r="M2969" s="150" t="n">
        <f aca="false">5</f>
        <v>5</v>
      </c>
      <c r="O2969" s="152" t="n">
        <f aca="false">2+1</f>
        <v>3</v>
      </c>
      <c r="Q2969" s="154" t="n">
        <v>1</v>
      </c>
      <c r="S2969" s="192" t="n">
        <f aca="false">(K2969+O2969+Q2969)*24 /1130+(L2969+M2969+P2969+R2969)*12/1130+(N2969*30)/1130</f>
        <v>0.223008849557522</v>
      </c>
    </row>
    <row r="2970" customFormat="false" ht="15" hidden="true" customHeight="true" outlineLevel="0" collapsed="false">
      <c r="B2970" s="233" t="n">
        <f aca="false">B2969+D2970-C2970</f>
        <v>43817.6</v>
      </c>
      <c r="D2970" s="146" t="n">
        <v>1269.6</v>
      </c>
      <c r="E2970" s="147" t="n">
        <v>53002267</v>
      </c>
      <c r="F2970" s="147" t="n">
        <f aca="false">IFERROR(VLOOKUP(H2970,$AD$1:$AE$301,2,0),"")</f>
        <v>1002924</v>
      </c>
      <c r="G2970" s="147" t="str">
        <f aca="false">IFERROR(VLOOKUP(F2970,$AE$2:$AF$290,2, 0),"")</f>
        <v>تبوك</v>
      </c>
      <c r="H2970" s="212" t="s">
        <v>188</v>
      </c>
      <c r="I2970" s="246" t="n">
        <f aca="false">SUM(K2970:R2970)</f>
        <v>4</v>
      </c>
      <c r="J2970" s="182" t="n">
        <v>46232</v>
      </c>
      <c r="K2970" s="148" t="n">
        <v>4</v>
      </c>
      <c r="S2970" s="192" t="n">
        <f aca="false">(K2970+O2970+Q2970)*24 /1130+(L2970+M2970+P2970+R2970)*12/1130+(N2970*30)/1130</f>
        <v>0.0849557522123894</v>
      </c>
    </row>
    <row r="2971" customFormat="false" ht="15" hidden="true" customHeight="true" outlineLevel="0" collapsed="false">
      <c r="B2971" s="233" t="n">
        <f aca="false">B2970+D2971-C2971</f>
        <v>47276.8</v>
      </c>
      <c r="D2971" s="146" t="n">
        <v>3459.2</v>
      </c>
      <c r="E2971" s="147" t="n">
        <v>53002269</v>
      </c>
      <c r="F2971" s="147" t="n">
        <f aca="false">IFERROR(VLOOKUP(H2971,$AD$1:$AE$301,2,0),"")</f>
        <v>1002947</v>
      </c>
      <c r="G2971" s="147" t="str">
        <f aca="false">IFERROR(VLOOKUP(F2971,$AE$2:$AF$290,2, 0),"")</f>
        <v>تبوك</v>
      </c>
      <c r="H2971" s="212" t="s">
        <v>174</v>
      </c>
      <c r="I2971" s="246" t="n">
        <f aca="false">SUM(K2971:R2971)</f>
        <v>12</v>
      </c>
      <c r="J2971" s="182" t="n">
        <v>46231</v>
      </c>
      <c r="K2971" s="148" t="n">
        <f aca="false">4+4</f>
        <v>8</v>
      </c>
      <c r="Q2971" s="154" t="n">
        <v>2</v>
      </c>
      <c r="R2971" s="155" t="n">
        <v>2</v>
      </c>
      <c r="S2971" s="192" t="n">
        <f aca="false">(K2971+O2971+Q2971)*24 /1130+(L2971+M2971+P2971+R2971)*12/1130+(N2971*30)/1130</f>
        <v>0.233628318584071</v>
      </c>
    </row>
    <row r="2972" customFormat="false" ht="15" hidden="true" customHeight="true" outlineLevel="0" collapsed="false">
      <c r="B2972" s="233" t="n">
        <f aca="false">B2971+D2972-C2972</f>
        <v>46608.8</v>
      </c>
      <c r="C2972" s="127" t="n">
        <v>668</v>
      </c>
      <c r="E2972" s="147" t="s">
        <v>675</v>
      </c>
      <c r="F2972" s="147" t="str">
        <f aca="false">IFERROR(VLOOKUP(H2972,$AD$1:$AE$301,2,0),"")</f>
        <v/>
      </c>
      <c r="G2972" s="147" t="str">
        <f aca="false">IFERROR(VLOOKUP(F2972,$AE$2:$AF$290,2, 0),"")</f>
        <v/>
      </c>
      <c r="H2972" s="212" t="s">
        <v>393</v>
      </c>
      <c r="I2972" s="246" t="n">
        <f aca="false">SUM(K2972:R2972)</f>
        <v>0</v>
      </c>
      <c r="J2972" s="182" t="n">
        <v>46232</v>
      </c>
      <c r="S2972" s="192" t="n">
        <f aca="false">(K2972+O2972+Q2972)*24 /1130+(L2972+M2972+P2972+R2972)*12/1130+(N2972*30)/1130</f>
        <v>0</v>
      </c>
    </row>
    <row r="2973" customFormat="false" ht="15" hidden="true" customHeight="true" outlineLevel="0" collapsed="false">
      <c r="B2973" s="233" t="n">
        <f aca="false">B2972+D2973-C2973</f>
        <v>43942.8</v>
      </c>
      <c r="C2973" s="127" t="n">
        <f aca="false">209+110+250+325+110+112+35+220+150+135+205+175+285+200+25+120</f>
        <v>2666</v>
      </c>
      <c r="E2973" s="147" t="s">
        <v>675</v>
      </c>
      <c r="F2973" s="147" t="str">
        <f aca="false">IFERROR(VLOOKUP(H2973,$AD$1:$AE$301,2,0),"")</f>
        <v/>
      </c>
      <c r="G2973" s="147" t="str">
        <f aca="false">IFERROR(VLOOKUP(F2973,$AE$2:$AF$290,2, 0),"")</f>
        <v/>
      </c>
      <c r="H2973" s="212" t="s">
        <v>393</v>
      </c>
      <c r="I2973" s="246" t="n">
        <f aca="false">SUM(K2973:R2973)</f>
        <v>0</v>
      </c>
      <c r="J2973" s="182" t="n">
        <v>46232</v>
      </c>
      <c r="S2973" s="192" t="n">
        <f aca="false">(K2973+O2973+Q2973)*24 /1130+(L2973+M2973+P2973+R2973)*12/1130+(N2973*30)/1130</f>
        <v>0</v>
      </c>
    </row>
    <row r="2974" customFormat="false" ht="15" hidden="true" customHeight="true" outlineLevel="0" collapsed="false">
      <c r="B2974" s="233" t="n">
        <f aca="false">B2973+D2974-C2974</f>
        <v>41206.8</v>
      </c>
      <c r="C2974" s="127" t="n">
        <f aca="false">722+352+1662</f>
        <v>2736</v>
      </c>
      <c r="E2974" s="147" t="s">
        <v>675</v>
      </c>
      <c r="F2974" s="147" t="str">
        <f aca="false">IFERROR(VLOOKUP(H2974,$AD$1:$AE$301,2,0),"")</f>
        <v/>
      </c>
      <c r="G2974" s="147" t="str">
        <f aca="false">IFERROR(VLOOKUP(F2974,$AE$2:$AF$290,2, 0),"")</f>
        <v/>
      </c>
      <c r="H2974" s="212" t="s">
        <v>393</v>
      </c>
      <c r="I2974" s="246" t="n">
        <f aca="false">SUM(K2974:R2974)</f>
        <v>0</v>
      </c>
      <c r="J2974" s="182" t="n">
        <v>46225</v>
      </c>
      <c r="S2974" s="192" t="n">
        <f aca="false">(K2974+O2974+Q2974)*24 /1130+(L2974+M2974+P2974+R2974)*12/1130+(N2974*30)/1130</f>
        <v>0</v>
      </c>
    </row>
    <row r="2975" customFormat="false" ht="15" hidden="true" customHeight="true" outlineLevel="0" collapsed="false">
      <c r="B2975" s="233" t="n">
        <f aca="false">B2974+D2975-C2975</f>
        <v>40416.8</v>
      </c>
      <c r="C2975" s="127" t="n">
        <f aca="false">700+90</f>
        <v>790</v>
      </c>
      <c r="E2975" s="147" t="s">
        <v>677</v>
      </c>
      <c r="F2975" s="147" t="str">
        <f aca="false">IFERROR(VLOOKUP(H2975,$AD$1:$AE$301,2,0),"")</f>
        <v/>
      </c>
      <c r="G2975" s="147" t="str">
        <f aca="false">IFERROR(VLOOKUP(F2975,$AE$2:$AF$290,2, 0),"")</f>
        <v/>
      </c>
      <c r="H2975" s="212" t="s">
        <v>393</v>
      </c>
      <c r="I2975" s="246" t="n">
        <f aca="false">SUM(K2975:R2975)</f>
        <v>0</v>
      </c>
      <c r="J2975" s="182" t="n">
        <v>46232</v>
      </c>
      <c r="S2975" s="192" t="n">
        <f aca="false">(K2975+O2975+Q2975)*24 /1130+(L2975+M2975+P2975+R2975)*12/1130+(N2975*30)/1130</f>
        <v>0</v>
      </c>
    </row>
    <row r="2976" customFormat="false" ht="15" hidden="true" customHeight="true" outlineLevel="0" collapsed="false">
      <c r="B2976" s="233" t="n">
        <f aca="false">B2975+D2976-C2976</f>
        <v>40658.3</v>
      </c>
      <c r="D2976" s="146" t="n">
        <v>241.5</v>
      </c>
      <c r="E2976" s="147" t="n">
        <v>53002271</v>
      </c>
      <c r="F2976" s="147" t="n">
        <f aca="false">IFERROR(VLOOKUP(H2976,$AD$1:$AE$301,2,0),"")</f>
        <v>575</v>
      </c>
      <c r="G2976" s="147" t="str">
        <f aca="false">IFERROR(VLOOKUP(F2976,$AE$2:$AF$290,2, 0),"")</f>
        <v>تبوك</v>
      </c>
      <c r="H2976" s="212" t="s">
        <v>132</v>
      </c>
      <c r="I2976" s="246" t="n">
        <f aca="false">SUM(K2976:R2976)</f>
        <v>1</v>
      </c>
      <c r="J2976" s="182" t="n">
        <v>46225</v>
      </c>
      <c r="M2976" s="150" t="n">
        <v>1</v>
      </c>
      <c r="S2976" s="192" t="n">
        <f aca="false">(K2976+O2976+Q2976)*24 /1130+(L2976+M2976+P2976+R2976)*12/1130+(N2976*30)/1130</f>
        <v>0.0106194690265487</v>
      </c>
    </row>
    <row r="2977" customFormat="false" ht="15" hidden="true" customHeight="true" outlineLevel="0" collapsed="false">
      <c r="B2977" s="233" t="n">
        <f aca="false">B2976+D2977-C2977</f>
        <v>41927.9</v>
      </c>
      <c r="D2977" s="146" t="n">
        <v>1269.6</v>
      </c>
      <c r="E2977" s="147" t="n">
        <v>53002272</v>
      </c>
      <c r="F2977" s="147" t="n">
        <f aca="false">IFERROR(VLOOKUP(H2977,$AD$1:$AE$301,2,0),"")</f>
        <v>560</v>
      </c>
      <c r="G2977" s="147" t="str">
        <f aca="false">IFERROR(VLOOKUP(F2977,$AE$2:$AF$290,2, 0),"")</f>
        <v>تبوك</v>
      </c>
      <c r="H2977" s="212" t="s">
        <v>133</v>
      </c>
      <c r="I2977" s="246" t="n">
        <f aca="false">SUM(K2977:R2977)</f>
        <v>4</v>
      </c>
      <c r="J2977" s="182" t="n">
        <v>46232</v>
      </c>
      <c r="K2977" s="148" t="n">
        <v>4</v>
      </c>
      <c r="S2977" s="192" t="n">
        <f aca="false">(K2977+O2977+Q2977)*24 /1130+(L2977+M2977+P2977+R2977)*12/1130+(N2977*30)/1130</f>
        <v>0.0849557522123894</v>
      </c>
    </row>
    <row r="2978" customFormat="false" ht="15" hidden="true" customHeight="true" outlineLevel="0" collapsed="false">
      <c r="B2978" s="233" t="n">
        <f aca="false">B2977+D2978-C2978</f>
        <v>42537.4</v>
      </c>
      <c r="D2978" s="146" t="n">
        <v>609.5</v>
      </c>
      <c r="E2978" s="147" t="n">
        <v>53002273</v>
      </c>
      <c r="F2978" s="147" t="n">
        <f aca="false">IFERROR(VLOOKUP(H2978,$AD$1:$AE$301,2,0),"")</f>
        <v>1008274</v>
      </c>
      <c r="G2978" s="147" t="str">
        <f aca="false">IFERROR(VLOOKUP(F2978,$AE$2:$AF$290,2, 0),"")</f>
        <v>تبوك</v>
      </c>
      <c r="H2978" s="212" t="s">
        <v>147</v>
      </c>
      <c r="I2978" s="246" t="n">
        <f aca="false">SUM(K2978:R2978)</f>
        <v>2</v>
      </c>
      <c r="J2978" s="182" t="n">
        <v>46232</v>
      </c>
      <c r="Q2978" s="154" t="n">
        <v>2</v>
      </c>
      <c r="S2978" s="192" t="n">
        <f aca="false">(K2978+O2978+Q2978)*24 /1130+(L2978+M2978+P2978+R2978)*12/1130+(N2978*30)/1130</f>
        <v>0.0424778761061947</v>
      </c>
    </row>
    <row r="2979" customFormat="false" ht="15" hidden="true" customHeight="true" outlineLevel="0" collapsed="false">
      <c r="B2979" s="233" t="n">
        <f aca="false">B2978+D2979-C2979</f>
        <v>42790.4</v>
      </c>
      <c r="D2979" s="146" t="n">
        <v>253</v>
      </c>
      <c r="E2979" s="147" t="n">
        <v>53002274</v>
      </c>
      <c r="F2979" s="147" t="n">
        <f aca="false">IFERROR(VLOOKUP(H2979,$AD$1:$AE$301,2,0),"")</f>
        <v>721</v>
      </c>
      <c r="G2979" s="147" t="str">
        <f aca="false">IFERROR(VLOOKUP(F2979,$AE$2:$AF$290,2, 0),"")</f>
        <v>تبوك</v>
      </c>
      <c r="H2979" s="212" t="s">
        <v>183</v>
      </c>
      <c r="I2979" s="246" t="n">
        <f aca="false">SUM(K2979:R2979)</f>
        <v>1</v>
      </c>
      <c r="J2979" s="182" t="n">
        <v>46232</v>
      </c>
      <c r="R2979" s="155" t="n">
        <v>1</v>
      </c>
      <c r="S2979" s="192" t="n">
        <f aca="false">(K2979+O2979+Q2979)*24 /1130+(L2979+M2979+P2979+R2979)*12/1130+(N2979*30)/1130</f>
        <v>0.0106194690265487</v>
      </c>
    </row>
    <row r="2980" customFormat="false" ht="15" hidden="true" customHeight="true" outlineLevel="0" collapsed="false">
      <c r="B2980" s="233" t="n">
        <f aca="false">B2979+D2980-C2980</f>
        <v>43210.15</v>
      </c>
      <c r="D2980" s="146" t="n">
        <v>419.75</v>
      </c>
      <c r="E2980" s="147" t="n">
        <v>53002275</v>
      </c>
      <c r="F2980" s="147" t="n">
        <f aca="false">IFERROR(VLOOKUP(H2980,$AD$1:$AE$301,2,0),"")</f>
        <v>1002912</v>
      </c>
      <c r="G2980" s="147" t="str">
        <f aca="false">IFERROR(VLOOKUP(F2980,$AE$2:$AF$290,2, 0),"")</f>
        <v>تبوك</v>
      </c>
      <c r="H2980" s="212" t="s">
        <v>152</v>
      </c>
      <c r="I2980" s="246" t="n">
        <f aca="false">SUM(K2980:R2980)</f>
        <v>1</v>
      </c>
      <c r="J2980" s="182" t="n">
        <v>46232</v>
      </c>
      <c r="N2980" s="151" t="n">
        <v>1</v>
      </c>
      <c r="S2980" s="192" t="n">
        <f aca="false">(K2980+O2980+Q2980)*24 /1130+(L2980+M2980+P2980+R2980)*12/1130+(N2980*30)/1130</f>
        <v>0.0265486725663717</v>
      </c>
    </row>
    <row r="2981" customFormat="false" ht="15" hidden="true" customHeight="true" outlineLevel="0" collapsed="false">
      <c r="B2981" s="233" t="n">
        <f aca="false">B2980+D2981-C2981</f>
        <v>36112.65</v>
      </c>
      <c r="C2981" s="127" t="n">
        <v>7097.5</v>
      </c>
      <c r="E2981" s="147" t="s">
        <v>675</v>
      </c>
      <c r="F2981" s="147" t="str">
        <f aca="false">IFERROR(VLOOKUP(H2981,$AD$1:$AE$301,2,0),"")</f>
        <v/>
      </c>
      <c r="G2981" s="147" t="str">
        <f aca="false">IFERROR(VLOOKUP(F2981,$AE$2:$AF$290,2, 0),"")</f>
        <v/>
      </c>
      <c r="H2981" s="212" t="s">
        <v>393</v>
      </c>
      <c r="I2981" s="246" t="n">
        <f aca="false">SUM(K2981:R2981)</f>
        <v>0</v>
      </c>
      <c r="J2981" s="182" t="n">
        <v>46232</v>
      </c>
      <c r="S2981" s="192" t="n">
        <f aca="false">(K2981+O2981+Q2981)*24 /1130+(L2981+M2981+P2981+R2981)*12/1130+(N2981*30)/1130</f>
        <v>0</v>
      </c>
    </row>
    <row r="2982" customFormat="false" ht="15" hidden="true" customHeight="true" outlineLevel="0" collapsed="false">
      <c r="B2982" s="233" t="n">
        <f aca="false">B2981+D2982-C2982</f>
        <v>35612.65</v>
      </c>
      <c r="C2982" s="127" t="n">
        <v>500</v>
      </c>
      <c r="E2982" s="147" t="s">
        <v>677</v>
      </c>
      <c r="F2982" s="147" t="str">
        <f aca="false">IFERROR(VLOOKUP(H2982,$AD$1:$AE$301,2,0),"")</f>
        <v/>
      </c>
      <c r="G2982" s="147" t="str">
        <f aca="false">IFERROR(VLOOKUP(F2982,$AE$2:$AF$290,2, 0),"")</f>
        <v/>
      </c>
      <c r="H2982" s="212" t="s">
        <v>393</v>
      </c>
      <c r="I2982" s="246" t="n">
        <f aca="false">SUM(K2982:R2982)</f>
        <v>0</v>
      </c>
      <c r="J2982" s="182" t="n">
        <v>46232</v>
      </c>
      <c r="S2982" s="192" t="n">
        <f aca="false">(K2982+O2982+Q2982)*24 /1130+(L2982+M2982+P2982+R2982)*12/1130+(N2982*30)/1130</f>
        <v>0</v>
      </c>
    </row>
    <row r="2983" customFormat="false" ht="15" hidden="true" customHeight="true" outlineLevel="0" collapsed="false">
      <c r="B2983" s="233" t="n">
        <f aca="false">B2982+D2983-C2983</f>
        <v>22895.65</v>
      </c>
      <c r="C2983" s="127" t="n">
        <f aca="false">6433+500+1744+2540+1500</f>
        <v>12717</v>
      </c>
      <c r="E2983" s="147" t="s">
        <v>677</v>
      </c>
      <c r="F2983" s="147" t="str">
        <f aca="false">IFERROR(VLOOKUP(H2983,$AD$1:$AE$301,2,0),"")</f>
        <v/>
      </c>
      <c r="G2983" s="147" t="str">
        <f aca="false">IFERROR(VLOOKUP(F2983,$AE$2:$AF$290,2, 0),"")</f>
        <v/>
      </c>
      <c r="H2983" s="212" t="s">
        <v>393</v>
      </c>
      <c r="I2983" s="246" t="n">
        <f aca="false">SUM(K2983:R2983)</f>
        <v>0</v>
      </c>
      <c r="J2983" s="182" t="n">
        <v>46233</v>
      </c>
      <c r="S2983" s="192" t="n">
        <f aca="false">(K2983+O2983+Q2983)*24 /1130+(L2983+M2983+P2983+R2983)*12/1130+(N2983*30)/1130</f>
        <v>0</v>
      </c>
    </row>
    <row r="2984" customFormat="false" ht="15" hidden="true" customHeight="true" outlineLevel="0" collapsed="false">
      <c r="B2984" s="233" t="n">
        <f aca="false">B2983+D2984-C2984</f>
        <v>17515.65</v>
      </c>
      <c r="C2984" s="127" t="n">
        <f aca="false">3600+613.5+391+635.5+140</f>
        <v>5380</v>
      </c>
      <c r="E2984" s="147" t="s">
        <v>675</v>
      </c>
      <c r="F2984" s="147" t="str">
        <f aca="false">IFERROR(VLOOKUP(H2984,$AD$1:$AE$301,2,0),"")</f>
        <v/>
      </c>
      <c r="G2984" s="147" t="str">
        <f aca="false">IFERROR(VLOOKUP(F2984,$AE$2:$AF$290,2, 0),"")</f>
        <v/>
      </c>
      <c r="H2984" s="212" t="s">
        <v>393</v>
      </c>
      <c r="I2984" s="246" t="n">
        <f aca="false">SUM(K2984:R2984)</f>
        <v>0</v>
      </c>
      <c r="J2984" s="182" t="n">
        <v>46234</v>
      </c>
      <c r="S2984" s="192" t="n">
        <f aca="false">(K2984+O2984+Q2984)*24 /1130+(L2984+M2984+P2984+R2984)*12/1130+(N2984*30)/1130</f>
        <v>0</v>
      </c>
    </row>
    <row r="2985" customFormat="false" ht="15" hidden="true" customHeight="true" outlineLevel="0" collapsed="false">
      <c r="B2985" s="233" t="n">
        <f aca="false">B2984+D2985-C2985</f>
        <v>12662.15</v>
      </c>
      <c r="C2985" s="127" t="n">
        <f aca="false">4000+220+633.5</f>
        <v>4853.5</v>
      </c>
      <c r="E2985" s="147" t="s">
        <v>675</v>
      </c>
      <c r="F2985" s="147" t="str">
        <f aca="false">IFERROR(VLOOKUP(H2985,$AD$1:$AE$301,2,0),"")</f>
        <v/>
      </c>
      <c r="G2985" s="147" t="str">
        <f aca="false">IFERROR(VLOOKUP(F2985,$AE$2:$AF$290,2, 0),"")</f>
        <v/>
      </c>
      <c r="H2985" s="212" t="s">
        <v>393</v>
      </c>
      <c r="I2985" s="246" t="n">
        <f aca="false">SUM(K2985:R2985)</f>
        <v>0</v>
      </c>
      <c r="J2985" s="182" t="n">
        <v>46234</v>
      </c>
      <c r="S2985" s="192" t="n">
        <f aca="false">(K2985+O2985+Q2985)*24 /1130+(L2985+M2985+P2985+R2985)*12/1130+(N2985*30)/1130</f>
        <v>0</v>
      </c>
    </row>
    <row r="2986" customFormat="false" ht="15" hidden="true" customHeight="true" outlineLevel="0" collapsed="false">
      <c r="B2986" s="233" t="n">
        <f aca="false">B2985+D2986-C2986</f>
        <v>12442.15</v>
      </c>
      <c r="C2986" s="127" t="n">
        <v>220</v>
      </c>
      <c r="E2986" s="147" t="s">
        <v>677</v>
      </c>
      <c r="F2986" s="147" t="str">
        <f aca="false">IFERROR(VLOOKUP(H2986,$AD$1:$AE$301,2,0),"")</f>
        <v/>
      </c>
      <c r="G2986" s="147" t="str">
        <f aca="false">IFERROR(VLOOKUP(F2986,$AE$2:$AF$290,2, 0),"")</f>
        <v/>
      </c>
      <c r="H2986" s="212" t="s">
        <v>393</v>
      </c>
      <c r="I2986" s="246" t="n">
        <f aca="false">SUM(K2986:R2986)</f>
        <v>0</v>
      </c>
      <c r="J2986" s="182" t="n">
        <v>46234</v>
      </c>
      <c r="S2986" s="192" t="n">
        <f aca="false">(K2986+O2986+Q2986)*24 /1130+(L2986+M2986+P2986+R2986)*12/1130+(N2986*30)/1130</f>
        <v>0</v>
      </c>
    </row>
    <row r="2987" customFormat="false" ht="15" hidden="true" customHeight="true" outlineLevel="0" collapsed="false">
      <c r="B2987" s="233" t="n">
        <f aca="false">B2986+D2987-C2987</f>
        <v>4576.14999999999</v>
      </c>
      <c r="C2987" s="127" t="n">
        <v>7866</v>
      </c>
      <c r="E2987" s="147" t="s">
        <v>675</v>
      </c>
      <c r="F2987" s="147" t="str">
        <f aca="false">IFERROR(VLOOKUP(H2987,$AD$1:$AE$301,2,0),"")</f>
        <v/>
      </c>
      <c r="G2987" s="147" t="str">
        <f aca="false">IFERROR(VLOOKUP(F2987,$AE$2:$AF$290,2, 0),"")</f>
        <v/>
      </c>
      <c r="H2987" s="212" t="s">
        <v>393</v>
      </c>
      <c r="I2987" s="246" t="n">
        <f aca="false">SUM(K2987:R2987)</f>
        <v>0</v>
      </c>
      <c r="J2987" s="182" t="n">
        <v>46234</v>
      </c>
      <c r="S2987" s="192" t="n">
        <f aca="false">(K2987+O2987+Q2987)*24 /1130+(L2987+M2987+P2987+R2987)*12/1130+(N2987*30)/1130</f>
        <v>0</v>
      </c>
    </row>
    <row r="2988" customFormat="false" ht="15" hidden="true" customHeight="true" outlineLevel="0" collapsed="false">
      <c r="B2988" s="233" t="n">
        <f aca="false">B2987+D2988-C2988</f>
        <v>3501.14999999999</v>
      </c>
      <c r="C2988" s="127" t="n">
        <v>1075</v>
      </c>
      <c r="E2988" s="147" t="s">
        <v>677</v>
      </c>
      <c r="F2988" s="147" t="str">
        <f aca="false">IFERROR(VLOOKUP(H2988,$AD$1:$AE$301,2,0),"")</f>
        <v/>
      </c>
      <c r="G2988" s="147" t="str">
        <f aca="false">IFERROR(VLOOKUP(F2988,$AE$2:$AF$290,2, 0),"")</f>
        <v/>
      </c>
      <c r="H2988" s="212" t="s">
        <v>393</v>
      </c>
      <c r="I2988" s="246" t="n">
        <f aca="false">SUM(K2988:R2988)</f>
        <v>0</v>
      </c>
      <c r="J2988" s="182" t="n">
        <v>46234</v>
      </c>
      <c r="S2988" s="192" t="n">
        <f aca="false">(K2988+O2988+Q2988)*24 /1130+(L2988+M2988+P2988+R2988)*12/1130+(N2988*30)/1130</f>
        <v>0</v>
      </c>
    </row>
    <row r="2989" customFormat="false" ht="15" hidden="true" customHeight="true" outlineLevel="0" collapsed="false">
      <c r="B2989" s="233" t="n">
        <f aca="false">B2988+D2989-C2989</f>
        <v>3500.14999999999</v>
      </c>
      <c r="C2989" s="127" t="n">
        <v>1</v>
      </c>
      <c r="E2989" s="147" t="s">
        <v>677</v>
      </c>
      <c r="F2989" s="147" t="str">
        <f aca="false">IFERROR(VLOOKUP(H2989,$AD$1:$AE$301,2,0),"")</f>
        <v/>
      </c>
      <c r="G2989" s="147" t="str">
        <f aca="false">IFERROR(VLOOKUP(F2989,$AE$2:$AF$290,2, 0),"")</f>
        <v/>
      </c>
      <c r="H2989" s="212" t="s">
        <v>393</v>
      </c>
      <c r="I2989" s="246" t="n">
        <f aca="false">SUM(K2989:R2989)</f>
        <v>0</v>
      </c>
      <c r="J2989" s="182" t="n">
        <v>46234</v>
      </c>
      <c r="S2989" s="192" t="n">
        <f aca="false">(K2989+O2989+Q2989)*24 /1130+(L2989+M2989+P2989+R2989)*12/1130+(N2989*30)/1130</f>
        <v>0</v>
      </c>
    </row>
    <row r="2990" customFormat="false" ht="15" hidden="true" customHeight="true" outlineLevel="0" collapsed="false">
      <c r="B2990" s="233" t="n">
        <f aca="false">B2989+D2990-C2990</f>
        <v>4769.74999999999</v>
      </c>
      <c r="D2990" s="146" t="n">
        <v>1269.6</v>
      </c>
      <c r="E2990" s="147" t="n">
        <v>53002271</v>
      </c>
      <c r="F2990" s="147" t="n">
        <f aca="false">IFERROR(VLOOKUP(H2990,$AD$1:$AE$301,2,0),"")</f>
        <v>1008275</v>
      </c>
      <c r="G2990" s="147" t="str">
        <f aca="false">IFERROR(VLOOKUP(F2990,$AE$2:$AF$290,2, 0),"")</f>
        <v>تبوك</v>
      </c>
      <c r="H2990" s="212" t="s">
        <v>179</v>
      </c>
      <c r="I2990" s="246" t="n">
        <f aca="false">SUM(K2990:R2990)</f>
        <v>4</v>
      </c>
      <c r="J2990" s="182" t="n">
        <v>46239</v>
      </c>
      <c r="K2990" s="148" t="n">
        <v>4</v>
      </c>
      <c r="S2990" s="192" t="n">
        <f aca="false">(K2990+O2990+Q2990)*24 /1130+(L2990+M2990+P2990+R2990)*12/1130+(N2990*30)/1130</f>
        <v>0.0849557522123894</v>
      </c>
    </row>
    <row r="2991" customFormat="false" ht="15" hidden="true" customHeight="true" outlineLevel="0" collapsed="false">
      <c r="B2991" s="233" t="n">
        <f aca="false">B2990+D2991-C2991</f>
        <v>5770.24999999999</v>
      </c>
      <c r="D2991" s="146" t="n">
        <v>1000.5</v>
      </c>
      <c r="E2991" s="147" t="n">
        <v>53002272</v>
      </c>
      <c r="F2991" s="147" t="n">
        <f aca="false">IFERROR(VLOOKUP(H2991,$AD$1:$AE$301,2,0),"")</f>
        <v>1033</v>
      </c>
      <c r="G2991" s="147" t="str">
        <f aca="false">IFERROR(VLOOKUP(F2991,$AE$2:$AF$290,2, 0),"")</f>
        <v>الوجه</v>
      </c>
      <c r="H2991" s="212" t="s">
        <v>117</v>
      </c>
      <c r="I2991" s="246" t="n">
        <f aca="false">SUM(K2991:R2991)</f>
        <v>3</v>
      </c>
      <c r="J2991" s="182" t="n">
        <v>46239</v>
      </c>
      <c r="N2991" s="151" t="n">
        <v>3</v>
      </c>
      <c r="S2991" s="192" t="n">
        <f aca="false">(K2991+O2991+Q2991)*24 /1130+(L2991+M2991+P2991+R2991)*12/1130+(N2991*30)/1130</f>
        <v>0.079646017699115</v>
      </c>
    </row>
    <row r="2992" customFormat="false" ht="15" hidden="true" customHeight="true" outlineLevel="0" collapsed="false">
      <c r="B2992" s="233" t="n">
        <f aca="false">B2991+D2992-C2992</f>
        <v>7039.85</v>
      </c>
      <c r="D2992" s="146" t="n">
        <v>1269.6</v>
      </c>
      <c r="E2992" s="147" t="n">
        <v>53002273</v>
      </c>
      <c r="F2992" s="147" t="n">
        <f aca="false">IFERROR(VLOOKUP(H2992,$AD$1:$AE$301,2,0),"")</f>
        <v>1008046</v>
      </c>
      <c r="G2992" s="147" t="str">
        <f aca="false">IFERROR(VLOOKUP(F2992,$AE$2:$AF$290,2, 0),"")</f>
        <v>الوجه</v>
      </c>
      <c r="H2992" s="212" t="s">
        <v>108</v>
      </c>
      <c r="I2992" s="246" t="n">
        <f aca="false">SUM(K2992:R2992)</f>
        <v>4</v>
      </c>
      <c r="J2992" s="182" t="n">
        <v>46239</v>
      </c>
      <c r="K2992" s="148" t="n">
        <v>4</v>
      </c>
      <c r="S2992" s="192" t="n">
        <f aca="false">(K2992+O2992+Q2992)*24 /1130+(L2992+M2992+P2992+R2992)*12/1130+(N2992*30)/1130</f>
        <v>0.0849557522123894</v>
      </c>
    </row>
    <row r="2993" customFormat="false" ht="15" hidden="true" customHeight="true" outlineLevel="0" collapsed="false">
      <c r="B2993" s="233" t="n">
        <f aca="false">B2992+D2993-C2993</f>
        <v>9579.05</v>
      </c>
      <c r="D2993" s="146" t="n">
        <f aca="false">D2992*2</f>
        <v>2539.2</v>
      </c>
      <c r="E2993" s="147" t="n">
        <v>53002274</v>
      </c>
      <c r="F2993" s="147" t="n">
        <f aca="false">IFERROR(VLOOKUP(H2993,$AD$1:$AE$301,2,0),"")</f>
        <v>1008048</v>
      </c>
      <c r="G2993" s="147" t="str">
        <f aca="false">IFERROR(VLOOKUP(F2993,$AE$2:$AF$290,2, 0),"")</f>
        <v>الوجه</v>
      </c>
      <c r="H2993" s="212" t="s">
        <v>110</v>
      </c>
      <c r="I2993" s="246" t="n">
        <f aca="false">SUM(K2993:R2993)</f>
        <v>8</v>
      </c>
      <c r="J2993" s="182" t="n">
        <v>46239</v>
      </c>
      <c r="K2993" s="148" t="n">
        <v>8</v>
      </c>
      <c r="S2993" s="192" t="n">
        <f aca="false">(K2993+O2993+Q2993)*24 /1130+(L2993+M2993+P2993+R2993)*12/1130+(N2993*30)/1130</f>
        <v>0.169911504424779</v>
      </c>
    </row>
    <row r="2994" customFormat="false" ht="15" hidden="true" customHeight="true" outlineLevel="0" collapsed="false">
      <c r="B2994" s="233" t="n">
        <f aca="false">B2993+D2994-C2994</f>
        <v>10848.65</v>
      </c>
      <c r="D2994" s="146" t="n">
        <v>1269.6</v>
      </c>
      <c r="E2994" s="147" t="n">
        <v>53002275</v>
      </c>
      <c r="F2994" s="147" t="n">
        <f aca="false">IFERROR(VLOOKUP(H2994,$AD$1:$AE$301,2,0),"")</f>
        <v>1008044</v>
      </c>
      <c r="G2994" s="147" t="str">
        <f aca="false">IFERROR(VLOOKUP(F2994,$AE$2:$AF$290,2, 0),"")</f>
        <v>الوجه</v>
      </c>
      <c r="H2994" s="212" t="s">
        <v>106</v>
      </c>
      <c r="I2994" s="246" t="n">
        <f aca="false">SUM(K2994:R2994)</f>
        <v>4</v>
      </c>
      <c r="J2994" s="182" t="n">
        <v>46239</v>
      </c>
      <c r="K2994" s="148" t="n">
        <v>4</v>
      </c>
      <c r="S2994" s="192" t="n">
        <f aca="false">(K2994+O2994+Q2994)*24 /1130+(L2994+M2994+P2994+R2994)*12/1130+(N2994*30)/1130</f>
        <v>0.0849557522123894</v>
      </c>
    </row>
    <row r="2995" customFormat="false" ht="15" hidden="true" customHeight="true" outlineLevel="0" collapsed="false">
      <c r="B2995" s="233" t="n">
        <f aca="false">B2994+D2995-C2995</f>
        <v>11153.4</v>
      </c>
      <c r="D2995" s="146" t="n">
        <v>304.75</v>
      </c>
      <c r="E2995" s="147" t="n">
        <v>53002276</v>
      </c>
      <c r="F2995" s="147" t="n">
        <f aca="false">IFERROR(VLOOKUP(H2995,$AD$1:$AE$301,2,0),"")</f>
        <v>1007988</v>
      </c>
      <c r="G2995" s="147" t="str">
        <f aca="false">IFERROR(VLOOKUP(F2995,$AE$2:$AF$290,2, 0),"")</f>
        <v>ضباء</v>
      </c>
      <c r="H2995" s="212" t="s">
        <v>89</v>
      </c>
      <c r="I2995" s="246" t="n">
        <f aca="false">SUM(K2995:R2995)</f>
        <v>1</v>
      </c>
      <c r="J2995" s="182" t="n">
        <v>46239</v>
      </c>
      <c r="O2995" s="152" t="n">
        <v>1</v>
      </c>
      <c r="S2995" s="192" t="n">
        <f aca="false">(K2995+O2995+Q2995)*24 /1130+(L2995+M2995+P2995+R2995)*12/1130+(N2995*30)/1130</f>
        <v>0.0212389380530973</v>
      </c>
    </row>
    <row r="2996" customFormat="false" ht="15" hidden="true" customHeight="true" outlineLevel="0" collapsed="false">
      <c r="B2996" s="233" t="n">
        <f aca="false">B2995+D2996-C2996</f>
        <v>12423</v>
      </c>
      <c r="D2996" s="146" t="n">
        <v>1269.6</v>
      </c>
      <c r="E2996" s="147" t="n">
        <v>53002277</v>
      </c>
      <c r="F2996" s="147" t="n">
        <f aca="false">IFERROR(VLOOKUP(H2996,$AD$1:$AE$301,2,0),"")</f>
        <v>1007988</v>
      </c>
      <c r="G2996" s="147" t="str">
        <f aca="false">IFERROR(VLOOKUP(F2996,$AE$2:$AF$290,2, 0),"")</f>
        <v>ضباء</v>
      </c>
      <c r="H2996" s="212" t="s">
        <v>89</v>
      </c>
      <c r="I2996" s="246" t="n">
        <f aca="false">SUM(K2996:R2996)</f>
        <v>4</v>
      </c>
      <c r="J2996" s="182" t="n">
        <v>46239</v>
      </c>
      <c r="K2996" s="148" t="n">
        <v>4</v>
      </c>
      <c r="S2996" s="192" t="n">
        <f aca="false">(K2996+O2996+Q2996)*24 /1130+(L2996+M2996+P2996+R2996)*12/1130+(N2996*30)/1130</f>
        <v>0.0849557522123894</v>
      </c>
    </row>
    <row r="2997" customFormat="false" ht="15" hidden="true" customHeight="true" outlineLevel="0" collapsed="false">
      <c r="B2997" s="233" t="n">
        <f aca="false">B2996+D2997-C2997</f>
        <v>12722</v>
      </c>
      <c r="D2997" s="146" t="n">
        <v>299</v>
      </c>
      <c r="E2997" s="147" t="n">
        <v>53002278</v>
      </c>
      <c r="F2997" s="147" t="n">
        <f aca="false">IFERROR(VLOOKUP(H2997,$AD$1:$AE$301,2,0),"")</f>
        <v>1008024</v>
      </c>
      <c r="G2997" s="147" t="str">
        <f aca="false">IFERROR(VLOOKUP(F2997,$AE$2:$AF$290,2, 0),"")</f>
        <v>ضباء</v>
      </c>
      <c r="H2997" s="212" t="s">
        <v>96</v>
      </c>
      <c r="I2997" s="246" t="n">
        <f aca="false">SUM(K2997:R2997)</f>
        <v>1</v>
      </c>
      <c r="J2997" s="182" t="n">
        <v>46239</v>
      </c>
      <c r="R2997" s="155" t="n">
        <v>1</v>
      </c>
      <c r="S2997" s="192" t="n">
        <f aca="false">(K2997+O2997+Q2997)*24 /1130+(L2997+M2997+P2997+R2997)*12/1130+(N2997*30)/1130</f>
        <v>0.0106194690265487</v>
      </c>
    </row>
    <row r="2998" customFormat="false" ht="15" hidden="true" customHeight="true" outlineLevel="0" collapsed="false">
      <c r="B2998" s="233" t="n">
        <f aca="false">B2997+D2998-C2998</f>
        <v>7638</v>
      </c>
      <c r="C2998" s="127" t="n">
        <f aca="false">1650+1000+148.5+500+317.5+300+280+888</f>
        <v>5084</v>
      </c>
      <c r="E2998" s="147" t="s">
        <v>675</v>
      </c>
      <c r="F2998" s="147" t="str">
        <f aca="false">IFERROR(VLOOKUP(H2998,$AD$1:$AE$301,2,0),"")</f>
        <v/>
      </c>
      <c r="G2998" s="147" t="str">
        <f aca="false">IFERROR(VLOOKUP(F2998,$AE$2:$AF$290,2, 0),"")</f>
        <v/>
      </c>
      <c r="H2998" s="212" t="s">
        <v>393</v>
      </c>
      <c r="I2998" s="246" t="n">
        <f aca="false">SUM(K2998:R2998)</f>
        <v>0</v>
      </c>
      <c r="J2998" s="182" t="n">
        <v>46240</v>
      </c>
      <c r="S2998" s="192" t="n">
        <f aca="false">(K2998+O2998+Q2998)*24 /1130+(L2998+M2998+P2998+R2998)*12/1130+(N2998*30)/1130</f>
        <v>0</v>
      </c>
    </row>
    <row r="2999" customFormat="false" ht="15" hidden="true" customHeight="true" outlineLevel="0" collapsed="false">
      <c r="B2999" s="233" t="n">
        <f aca="false">B2998+D2999-C2999</f>
        <v>4928.5</v>
      </c>
      <c r="C2999" s="127" t="n">
        <f aca="false">1785+924.5</f>
        <v>2709.5</v>
      </c>
      <c r="E2999" s="147" t="s">
        <v>677</v>
      </c>
      <c r="F2999" s="147" t="str">
        <f aca="false">IFERROR(VLOOKUP(H2999,$AD$1:$AE$301,2,0),"")</f>
        <v/>
      </c>
      <c r="G2999" s="147" t="str">
        <f aca="false">IFERROR(VLOOKUP(F2999,$AE$2:$AF$290,2, 0),"")</f>
        <v/>
      </c>
      <c r="H2999" s="212" t="s">
        <v>393</v>
      </c>
      <c r="I2999" s="246" t="n">
        <f aca="false">SUM(K2999:R2999)</f>
        <v>0</v>
      </c>
      <c r="J2999" s="182" t="n">
        <v>46240</v>
      </c>
      <c r="S2999" s="192" t="n">
        <f aca="false">(K2999+O2999+Q2999)*24 /1130+(L2999+M2999+P2999+R2999)*12/1130+(N2999*30)/1130</f>
        <v>0</v>
      </c>
    </row>
    <row r="3000" customFormat="false" ht="15" hidden="true" customHeight="true" outlineLevel="0" collapsed="false">
      <c r="B3000" s="233" t="n">
        <f aca="false">B2999+D3000-C3000</f>
        <v>6198.1</v>
      </c>
      <c r="D3000" s="146" t="n">
        <v>1269.6</v>
      </c>
      <c r="E3000" s="147" t="n">
        <v>53002279</v>
      </c>
      <c r="F3000" s="147" t="n">
        <f aca="false">IFERROR(VLOOKUP(H3000,$AD$1:$AE$301,2,0),"")</f>
        <v>1002949</v>
      </c>
      <c r="G3000" s="147" t="str">
        <f aca="false">IFERROR(VLOOKUP(F3000,$AE$2:$AF$290,2, 0),"")</f>
        <v>تبوك</v>
      </c>
      <c r="H3000" s="212" t="s">
        <v>155</v>
      </c>
      <c r="I3000" s="246" t="n">
        <f aca="false">SUM(K3000:R3000)</f>
        <v>4</v>
      </c>
      <c r="J3000" s="182" t="n">
        <v>46240</v>
      </c>
      <c r="K3000" s="148" t="n">
        <v>4</v>
      </c>
      <c r="S3000" s="192" t="n">
        <f aca="false">(K3000+O3000+Q3000)*24 /1130+(L3000+M3000+P3000+R3000)*12/1130+(N3000*30)/1130</f>
        <v>0.0849557522123894</v>
      </c>
    </row>
    <row r="3001" customFormat="false" ht="15" hidden="true" customHeight="true" outlineLevel="0" collapsed="false">
      <c r="B3001" s="233" t="n">
        <f aca="false">B3000+D3001-C3001</f>
        <v>6359.1</v>
      </c>
      <c r="D3001" s="146" t="n">
        <v>161</v>
      </c>
      <c r="E3001" s="147" t="n">
        <v>53002280</v>
      </c>
      <c r="F3001" s="147" t="n">
        <f aca="false">IFERROR(VLOOKUP(H3001,$AD$1:$AE$301,2,0),"")</f>
        <v>982</v>
      </c>
      <c r="G3001" s="147" t="str">
        <f aca="false">IFERROR(VLOOKUP(F3001,$AE$2:$AF$290,2, 0),"")</f>
        <v>تبوك</v>
      </c>
      <c r="H3001" s="212" t="s">
        <v>154</v>
      </c>
      <c r="I3001" s="246" t="n">
        <f aca="false">SUM(K3001:R3001)</f>
        <v>1</v>
      </c>
      <c r="J3001" s="182" t="n">
        <v>46240</v>
      </c>
      <c r="Q3001" s="154" t="n">
        <v>1</v>
      </c>
      <c r="S3001" s="192" t="n">
        <f aca="false">(K3001+O3001+Q3001)*24 /1130+(L3001+M3001+P3001+R3001)*12/1130+(N3001*30)/1130</f>
        <v>0.0212389380530973</v>
      </c>
    </row>
    <row r="3002" customFormat="false" ht="15" hidden="true" customHeight="true" outlineLevel="0" collapsed="false">
      <c r="B3002" s="233" t="n">
        <f aca="false">B3001+D3002-C3002</f>
        <v>8284.2</v>
      </c>
      <c r="D3002" s="146" t="n">
        <v>1925.1</v>
      </c>
      <c r="E3002" s="147" t="n">
        <v>53002281</v>
      </c>
      <c r="F3002" s="147" t="n">
        <f aca="false">IFERROR(VLOOKUP(H3002,$AD$1:$AE$301,2,0),"")</f>
        <v>979</v>
      </c>
      <c r="G3002" s="147" t="str">
        <f aca="false">IFERROR(VLOOKUP(F3002,$AE$2:$AF$290,2, 0),"")</f>
        <v>تبوك</v>
      </c>
      <c r="H3002" s="212" t="s">
        <v>136</v>
      </c>
      <c r="I3002" s="246" t="n">
        <f aca="false">SUM(K3002:R3002)</f>
        <v>7</v>
      </c>
      <c r="J3002" s="182" t="n">
        <v>46240</v>
      </c>
      <c r="K3002" s="148" t="n">
        <v>4</v>
      </c>
      <c r="Q3002" s="154" t="n">
        <v>1</v>
      </c>
      <c r="R3002" s="155" t="n">
        <f aca="false">1+1</f>
        <v>2</v>
      </c>
      <c r="S3002" s="192" t="n">
        <f aca="false">(K3002+O3002+Q3002)*24 /1130+(L3002+M3002+P3002+R3002)*12/1130+(N3002*30)/1130</f>
        <v>0.127433628318584</v>
      </c>
    </row>
    <row r="3003" customFormat="false" ht="15" hidden="true" customHeight="true" outlineLevel="0" collapsed="false">
      <c r="B3003" s="233" t="n">
        <f aca="false">B3002+D3003-C3003</f>
        <v>5284.2</v>
      </c>
      <c r="C3003" s="127" t="n">
        <v>3000</v>
      </c>
      <c r="E3003" s="147" t="s">
        <v>675</v>
      </c>
      <c r="F3003" s="147" t="str">
        <f aca="false">IFERROR(VLOOKUP(H3003,$AD$1:$AE$301,2,0),"")</f>
        <v/>
      </c>
      <c r="G3003" s="147" t="str">
        <f aca="false">IFERROR(VLOOKUP(F3003,$AE$2:$AF$290,2, 0),"")</f>
        <v/>
      </c>
      <c r="H3003" s="212" t="s">
        <v>393</v>
      </c>
      <c r="I3003" s="246" t="n">
        <f aca="false">SUM(K3003:R3003)</f>
        <v>0</v>
      </c>
      <c r="J3003" s="182" t="n">
        <v>46240</v>
      </c>
      <c r="S3003" s="192" t="n">
        <f aca="false">(K3003+O3003+Q3003)*24 /1130+(L3003+M3003+P3003+R3003)*12/1130+(N3003*30)/1130</f>
        <v>0</v>
      </c>
    </row>
    <row r="3004" customFormat="false" ht="15" hidden="true" customHeight="true" outlineLevel="0" collapsed="false">
      <c r="B3004" s="233" t="n">
        <f aca="false">B3003+D3004-C3004</f>
        <v>4534.2</v>
      </c>
      <c r="C3004" s="127" t="n">
        <v>750</v>
      </c>
      <c r="E3004" s="147" t="s">
        <v>677</v>
      </c>
      <c r="F3004" s="147" t="str">
        <f aca="false">IFERROR(VLOOKUP(H3004,$AD$1:$AE$301,2,0),"")</f>
        <v/>
      </c>
      <c r="G3004" s="147" t="str">
        <f aca="false">IFERROR(VLOOKUP(F3004,$AE$2:$AF$290,2, 0),"")</f>
        <v/>
      </c>
      <c r="H3004" s="212" t="s">
        <v>393</v>
      </c>
      <c r="I3004" s="246" t="n">
        <f aca="false">SUM(K3004:R3004)</f>
        <v>0</v>
      </c>
      <c r="J3004" s="182" t="n">
        <v>46240</v>
      </c>
      <c r="S3004" s="192" t="n">
        <f aca="false">(K3004+O3004+Q3004)*24 /1130+(L3004+M3004+P3004+R3004)*12/1130+(N3004*30)/1130</f>
        <v>0</v>
      </c>
    </row>
    <row r="3005" customFormat="false" ht="15" hidden="true" customHeight="true" outlineLevel="0" collapsed="false">
      <c r="B3005" s="233" t="n">
        <f aca="false">B3004+D3005-C3005</f>
        <v>3500</v>
      </c>
      <c r="C3005" s="127" t="n">
        <f aca="false">825+200+9</f>
        <v>1034</v>
      </c>
      <c r="D3005" s="146" t="n">
        <v>-0.2</v>
      </c>
      <c r="E3005" s="147" t="s">
        <v>675</v>
      </c>
      <c r="F3005" s="147" t="str">
        <f aca="false">IFERROR(VLOOKUP(H3005,$AD$1:$AE$301,2,0),"")</f>
        <v/>
      </c>
      <c r="G3005" s="147" t="str">
        <f aca="false">IFERROR(VLOOKUP(F3005,$AE$2:$AF$290,2, 0),"")</f>
        <v/>
      </c>
      <c r="H3005" s="212" t="s">
        <v>393</v>
      </c>
      <c r="I3005" s="246" t="n">
        <f aca="false">SUM(K3005:R3005)</f>
        <v>0</v>
      </c>
      <c r="J3005" s="182" t="n">
        <v>46240</v>
      </c>
      <c r="S3005" s="192" t="n">
        <f aca="false">(K3005+O3005+Q3005)*24 /1130+(L3005+M3005+P3005+R3005)*12/1130+(N3005*30)/1130</f>
        <v>0</v>
      </c>
    </row>
    <row r="3006" customFormat="false" ht="15" hidden="true" customHeight="true" outlineLevel="0" collapsed="false">
      <c r="B3006" s="233" t="n">
        <f aca="false">B3005+D3006-C3006</f>
        <v>5114.6</v>
      </c>
      <c r="D3006" s="146" t="n">
        <v>1614.6</v>
      </c>
      <c r="E3006" s="147" t="n">
        <v>53002282</v>
      </c>
      <c r="F3006" s="147" t="n">
        <f aca="false">IFERROR(VLOOKUP(H3006,$AD$1:$AE$301,2,0),"")</f>
        <v>1002883</v>
      </c>
      <c r="G3006" s="147" t="str">
        <f aca="false">IFERROR(VLOOKUP(F3006,$AE$2:$AF$290,2, 0),"")</f>
        <v>تبوك</v>
      </c>
      <c r="H3006" s="212" t="s">
        <v>198</v>
      </c>
      <c r="I3006" s="246" t="n">
        <f aca="false">SUM(K3006:R3006)</f>
        <v>6</v>
      </c>
      <c r="J3006" s="182" t="n">
        <v>46243</v>
      </c>
      <c r="K3006" s="148" t="n">
        <v>4</v>
      </c>
      <c r="Q3006" s="154" t="n">
        <v>1</v>
      </c>
      <c r="R3006" s="155" t="n">
        <v>1</v>
      </c>
      <c r="S3006" s="192" t="n">
        <f aca="false">(K3006+O3006+Q3006)*24 /1130+(L3006+M3006+P3006+R3006)*12/1130+(N3006*30)/1130</f>
        <v>0.116814159292035</v>
      </c>
    </row>
    <row r="3007" customFormat="false" ht="15" hidden="true" customHeight="true" outlineLevel="0" collapsed="false">
      <c r="B3007" s="233" t="n">
        <f aca="false">B3006+D3007-C3007</f>
        <v>5367.6</v>
      </c>
      <c r="D3007" s="146" t="n">
        <v>253</v>
      </c>
      <c r="E3007" s="147" t="n">
        <v>53002283</v>
      </c>
      <c r="F3007" s="147" t="n">
        <f aca="false">IFERROR(VLOOKUP(H3007,$AD$1:$AE$301,2,0),"")</f>
        <v>1004</v>
      </c>
      <c r="G3007" s="147" t="str">
        <f aca="false">IFERROR(VLOOKUP(F3007,$AE$2:$AF$290,2, 0),"")</f>
        <v>تبوك</v>
      </c>
      <c r="H3007" s="212" t="s">
        <v>181</v>
      </c>
      <c r="I3007" s="246" t="n">
        <f aca="false">SUM(K3007:R3007)</f>
        <v>1</v>
      </c>
      <c r="J3007" s="182" t="n">
        <v>46243</v>
      </c>
      <c r="M3007" s="150" t="n">
        <v>1</v>
      </c>
      <c r="S3007" s="192" t="n">
        <f aca="false">(K3007+O3007+Q3007)*24 /1130+(L3007+M3007+P3007+R3007)*12/1130+(N3007*30)/1130</f>
        <v>0.0106194690265487</v>
      </c>
    </row>
    <row r="3008" customFormat="false" ht="15" hidden="true" customHeight="true" outlineLevel="0" collapsed="false">
      <c r="B3008" s="233" t="n">
        <f aca="false">B3007+D3008-C3008</f>
        <v>3500.1</v>
      </c>
      <c r="C3008" s="127" t="n">
        <f aca="false">1000+300+117.5+450</f>
        <v>1867.5</v>
      </c>
      <c r="E3008" s="147" t="s">
        <v>675</v>
      </c>
      <c r="F3008" s="147" t="str">
        <f aca="false">IFERROR(VLOOKUP(H3008,$AD$1:$AE$301,2,0),"")</f>
        <v/>
      </c>
      <c r="G3008" s="147" t="str">
        <f aca="false">IFERROR(VLOOKUP(F3008,$AE$2:$AF$290,2, 0),"")</f>
        <v/>
      </c>
      <c r="H3008" s="212" t="s">
        <v>393</v>
      </c>
      <c r="I3008" s="246" t="n">
        <f aca="false">SUM(K3008:R3008)</f>
        <v>0</v>
      </c>
      <c r="J3008" s="182" t="n">
        <v>46243</v>
      </c>
      <c r="S3008" s="192" t="n">
        <f aca="false">(K3008+O3008+Q3008)*24 /1130+(L3008+M3008+P3008+R3008)*12/1130+(N3008*30)/1130</f>
        <v>0</v>
      </c>
    </row>
    <row r="3009" customFormat="false" ht="15" hidden="true" customHeight="true" outlineLevel="0" collapsed="false">
      <c r="B3009" s="233" t="n">
        <f aca="false">B3008+D3009-C3009</f>
        <v>4953.7</v>
      </c>
      <c r="D3009" s="146" t="n">
        <f aca="false">1269.6+184</f>
        <v>1453.6</v>
      </c>
      <c r="E3009" s="147" t="n">
        <v>53002284</v>
      </c>
      <c r="F3009" s="147" t="n">
        <f aca="false">IFERROR(VLOOKUP(H3009,$AD$1:$AE$301,2,0),"")</f>
        <v>1002949</v>
      </c>
      <c r="G3009" s="147" t="str">
        <f aca="false">IFERROR(VLOOKUP(F3009,$AE$2:$AF$290,2, 0),"")</f>
        <v>تبوك</v>
      </c>
      <c r="H3009" s="212" t="s">
        <v>155</v>
      </c>
      <c r="I3009" s="246" t="n">
        <f aca="false">SUM(K3009:R3009)</f>
        <v>5</v>
      </c>
      <c r="J3009" s="182" t="n">
        <v>46245</v>
      </c>
      <c r="K3009" s="148" t="n">
        <v>4</v>
      </c>
      <c r="R3009" s="155" t="n">
        <v>1</v>
      </c>
      <c r="S3009" s="192" t="n">
        <f aca="false">(K3009+O3009+Q3009)*24 /1130+(L3009+M3009+P3009+R3009)*12/1130+(N3009*30)/1130</f>
        <v>0.0955752212389381</v>
      </c>
    </row>
    <row r="3010" customFormat="false" ht="15" hidden="true" customHeight="true" outlineLevel="0" collapsed="false">
      <c r="B3010" s="233" t="n">
        <f aca="false">B3009+D3010-C3010</f>
        <v>5114.7</v>
      </c>
      <c r="D3010" s="146" t="n">
        <v>161</v>
      </c>
      <c r="E3010" s="147" t="n">
        <v>53002285</v>
      </c>
      <c r="F3010" s="147" t="n">
        <f aca="false">IFERROR(VLOOKUP(H3010,$AD$1:$AE$301,2,0),"")</f>
        <v>1002904</v>
      </c>
      <c r="G3010" s="147" t="str">
        <f aca="false">IFERROR(VLOOKUP(F3010,$AE$2:$AF$290,2, 0),"")</f>
        <v>تبوك</v>
      </c>
      <c r="H3010" s="212" t="s">
        <v>221</v>
      </c>
      <c r="I3010" s="246" t="n">
        <f aca="false">SUM(K3010:R3010)</f>
        <v>1</v>
      </c>
      <c r="J3010" s="182" t="n">
        <v>46245</v>
      </c>
      <c r="Q3010" s="154" t="n">
        <v>1</v>
      </c>
      <c r="S3010" s="192" t="n">
        <f aca="false">(K3010+O3010+Q3010)*24 /1130+(L3010+M3010+P3010+R3010)*12/1130+(N3010*30)/1130</f>
        <v>0.0212389380530973</v>
      </c>
    </row>
    <row r="3011" customFormat="false" ht="15" hidden="true" customHeight="true" outlineLevel="0" collapsed="false">
      <c r="B3011" s="233" t="n">
        <f aca="false">B3010+D3011-C3011</f>
        <v>5367.7</v>
      </c>
      <c r="D3011" s="146" t="n">
        <v>253</v>
      </c>
      <c r="E3011" s="147" t="n">
        <v>53002286</v>
      </c>
      <c r="F3011" s="147" t="n">
        <f aca="false">IFERROR(VLOOKUP(H3011,$AD$1:$AE$301,2,0),"")</f>
        <v>1004</v>
      </c>
      <c r="G3011" s="147" t="str">
        <f aca="false">IFERROR(VLOOKUP(F3011,$AE$2:$AF$290,2, 0),"")</f>
        <v>تبوك</v>
      </c>
      <c r="H3011" s="212" t="s">
        <v>181</v>
      </c>
      <c r="I3011" s="246" t="n">
        <f aca="false">SUM(K3011:R3011)</f>
        <v>1</v>
      </c>
      <c r="J3011" s="182" t="n">
        <v>46245</v>
      </c>
      <c r="M3011" s="150" t="n">
        <v>1</v>
      </c>
      <c r="S3011" s="192" t="n">
        <f aca="false">(K3011+O3011+Q3011)*24 /1130+(L3011+M3011+P3011+R3011)*12/1130+(N3011*30)/1130</f>
        <v>0.0106194690265487</v>
      </c>
    </row>
    <row r="3012" customFormat="false" ht="15" hidden="true" customHeight="true" outlineLevel="0" collapsed="false">
      <c r="B3012" s="233" t="n">
        <f aca="false">B3011+D3012-C3012</f>
        <v>7334.2</v>
      </c>
      <c r="D3012" s="146" t="n">
        <v>1966.5</v>
      </c>
      <c r="E3012" s="147" t="n">
        <v>53002287</v>
      </c>
      <c r="F3012" s="147" t="n">
        <f aca="false">IFERROR(VLOOKUP(H3012,$AD$1:$AE$301,2,0),"")</f>
        <v>855</v>
      </c>
      <c r="G3012" s="147" t="str">
        <f aca="false">IFERROR(VLOOKUP(F3012,$AE$2:$AF$290,2, 0),"")</f>
        <v>تبوك</v>
      </c>
      <c r="H3012" s="212" t="s">
        <v>141</v>
      </c>
      <c r="I3012" s="246" t="n">
        <f aca="false">SUM(K3012:R3012)</f>
        <v>7</v>
      </c>
      <c r="J3012" s="182" t="n">
        <v>46245</v>
      </c>
      <c r="M3012" s="150" t="n">
        <v>7</v>
      </c>
      <c r="S3012" s="192" t="n">
        <f aca="false">(K3012+O3012+Q3012)*24 /1130+(L3012+M3012+P3012+R3012)*12/1130+(N3012*30)/1130</f>
        <v>0.0743362831858407</v>
      </c>
    </row>
    <row r="3013" customFormat="false" ht="15" hidden="true" customHeight="true" outlineLevel="0" collapsed="false">
      <c r="B3013" s="233" t="n">
        <f aca="false">B3012+D3013-C3013</f>
        <v>6057.7</v>
      </c>
      <c r="C3013" s="127" t="n">
        <v>1276.5</v>
      </c>
      <c r="F3013" s="147" t="str">
        <f aca="false">IFERROR(VLOOKUP(H3013,$AD$1:$AE$301,2,0),"")</f>
        <v/>
      </c>
      <c r="G3013" s="147" t="str">
        <f aca="false">IFERROR(VLOOKUP(F3013,$AE$2:$AF$290,2, 0),"")</f>
        <v/>
      </c>
      <c r="H3013" s="212" t="s">
        <v>393</v>
      </c>
      <c r="I3013" s="246" t="n">
        <f aca="false">SUM(K3013:R3013)</f>
        <v>0</v>
      </c>
      <c r="J3013" s="182" t="n">
        <v>46245</v>
      </c>
      <c r="S3013" s="192" t="n">
        <f aca="false">(K3013+O3013+Q3013)*24 /1130+(L3013+M3013+P3013+R3013)*12/1130+(N3013*30)/1130</f>
        <v>0</v>
      </c>
    </row>
    <row r="3014" customFormat="false" ht="15" hidden="true" customHeight="true" outlineLevel="0" collapsed="false">
      <c r="B3014" s="233" t="n">
        <f aca="false">B3013+D3014-C3014</f>
        <v>7810.3</v>
      </c>
      <c r="D3014" s="146" t="n">
        <v>1752.6</v>
      </c>
      <c r="E3014" s="147" t="n">
        <v>53002288</v>
      </c>
      <c r="F3014" s="147" t="n">
        <f aca="false">IFERROR(VLOOKUP(H3014,$AD$1:$AE$301,2,0),"")</f>
        <v>1008044</v>
      </c>
      <c r="G3014" s="147" t="str">
        <f aca="false">IFERROR(VLOOKUP(F3014,$AE$2:$AF$290,2, 0),"")</f>
        <v>الوجه</v>
      </c>
      <c r="H3014" s="212" t="s">
        <v>106</v>
      </c>
      <c r="I3014" s="246" t="n">
        <f aca="false">SUM(K3014:R3014)</f>
        <v>6</v>
      </c>
      <c r="J3014" s="182" t="n">
        <v>46246</v>
      </c>
      <c r="K3014" s="148" t="n">
        <v>4</v>
      </c>
      <c r="M3014" s="150" t="n">
        <v>2</v>
      </c>
      <c r="S3014" s="192" t="n">
        <f aca="false">(K3014+O3014+Q3014)*24 /1130+(L3014+M3014+P3014+R3014)*12/1130+(N3014*30)/1130</f>
        <v>0.106194690265487</v>
      </c>
    </row>
    <row r="3015" customFormat="false" ht="15" hidden="true" customHeight="true" outlineLevel="0" collapsed="false">
      <c r="B3015" s="233" t="n">
        <f aca="false">B3014+D3015-C3015</f>
        <v>9079.9</v>
      </c>
      <c r="D3015" s="146" t="n">
        <v>1269.6</v>
      </c>
      <c r="E3015" s="147" t="n">
        <v>53002289</v>
      </c>
      <c r="F3015" s="147" t="n">
        <f aca="false">IFERROR(VLOOKUP(H3015,$AD$1:$AE$301,2,0),"")</f>
        <v>1008051</v>
      </c>
      <c r="G3015" s="147" t="str">
        <f aca="false">IFERROR(VLOOKUP(F3015,$AE$2:$AF$290,2, 0),"")</f>
        <v>الوجه</v>
      </c>
      <c r="H3015" s="212" t="s">
        <v>113</v>
      </c>
      <c r="I3015" s="246" t="n">
        <f aca="false">SUM(K3015:R3015)</f>
        <v>4</v>
      </c>
      <c r="J3015" s="182" t="n">
        <v>46246</v>
      </c>
      <c r="K3015" s="148" t="n">
        <v>4</v>
      </c>
      <c r="S3015" s="192" t="n">
        <f aca="false">(K3015+O3015+Q3015)*24 /1130+(L3015+M3015+P3015+R3015)*12/1130+(N3015*30)/1130</f>
        <v>0.0849557522123894</v>
      </c>
    </row>
    <row r="3016" customFormat="false" ht="15" hidden="true" customHeight="true" outlineLevel="0" collapsed="false">
      <c r="B3016" s="233" t="n">
        <f aca="false">B3015+D3016-C3016</f>
        <v>11619.1</v>
      </c>
      <c r="D3016" s="146" t="n">
        <v>2539.2</v>
      </c>
      <c r="E3016" s="147" t="n">
        <v>53002290</v>
      </c>
      <c r="F3016" s="147" t="n">
        <f aca="false">IFERROR(VLOOKUP(H3016,$AD$1:$AE$301,2,0),"")</f>
        <v>1002</v>
      </c>
      <c r="G3016" s="147" t="str">
        <f aca="false">IFERROR(VLOOKUP(F3016,$AE$2:$AF$290,2, 0),"")</f>
        <v>الوجه</v>
      </c>
      <c r="H3016" s="212" t="s">
        <v>116</v>
      </c>
      <c r="I3016" s="246" t="n">
        <f aca="false">SUM(K3016:R3016)</f>
        <v>8</v>
      </c>
      <c r="J3016" s="182" t="n">
        <v>46246</v>
      </c>
      <c r="K3016" s="148" t="n">
        <v>8</v>
      </c>
      <c r="S3016" s="192" t="n">
        <f aca="false">(K3016+O3016+Q3016)*24 /1130+(L3016+M3016+P3016+R3016)*12/1130+(N3016*30)/1130</f>
        <v>0.169911504424779</v>
      </c>
    </row>
    <row r="3017" customFormat="false" ht="15" hidden="true" customHeight="true" outlineLevel="0" collapsed="false">
      <c r="B3017" s="233" t="n">
        <f aca="false">B3016+D3017-C3017</f>
        <v>14620.6</v>
      </c>
      <c r="D3017" s="146" t="n">
        <v>3001.5</v>
      </c>
      <c r="E3017" s="147" t="n">
        <v>53002291</v>
      </c>
      <c r="F3017" s="147" t="n">
        <f aca="false">IFERROR(VLOOKUP(H3017,$AD$1:$AE$301,2,0),"")</f>
        <v>1033</v>
      </c>
      <c r="G3017" s="147" t="str">
        <f aca="false">IFERROR(VLOOKUP(F3017,$AE$2:$AF$290,2, 0),"")</f>
        <v>الوجه</v>
      </c>
      <c r="H3017" s="212" t="s">
        <v>117</v>
      </c>
      <c r="I3017" s="246" t="n">
        <f aca="false">SUM(K3017:R3017)</f>
        <v>9</v>
      </c>
      <c r="J3017" s="182" t="n">
        <v>46246</v>
      </c>
      <c r="N3017" s="151" t="n">
        <v>9</v>
      </c>
      <c r="S3017" s="192" t="n">
        <f aca="false">(K3017+O3017+Q3017)*24 /1130+(L3017+M3017+P3017+R3017)*12/1130+(N3017*30)/1130</f>
        <v>0.238938053097345</v>
      </c>
    </row>
    <row r="3018" customFormat="false" ht="15" hidden="true" customHeight="true" outlineLevel="0" collapsed="false">
      <c r="B3018" s="233" t="n">
        <f aca="false">B3017+D3018-C3018</f>
        <v>15890.2</v>
      </c>
      <c r="D3018" s="146" t="n">
        <v>1269.6</v>
      </c>
      <c r="E3018" s="147" t="n">
        <v>53002292</v>
      </c>
      <c r="F3018" s="147" t="n">
        <f aca="false">IFERROR(VLOOKUP(H3018,$AD$1:$AE$301,2,0),"")</f>
        <v>1008045</v>
      </c>
      <c r="G3018" s="147" t="str">
        <f aca="false">IFERROR(VLOOKUP(F3018,$AE$2:$AF$290,2, 0),"")</f>
        <v>الوجه</v>
      </c>
      <c r="H3018" s="212" t="s">
        <v>107</v>
      </c>
      <c r="I3018" s="246" t="n">
        <f aca="false">SUM(K3018:R3018)</f>
        <v>4</v>
      </c>
      <c r="J3018" s="182" t="n">
        <v>46246</v>
      </c>
      <c r="K3018" s="148" t="n">
        <v>4</v>
      </c>
      <c r="S3018" s="192" t="n">
        <f aca="false">(K3018+O3018+Q3018)*24 /1130+(L3018+M3018+P3018+R3018)*12/1130+(N3018*30)/1130</f>
        <v>0.0849557522123894</v>
      </c>
    </row>
    <row r="3019" customFormat="false" ht="15" hidden="true" customHeight="true" outlineLevel="0" collapsed="false">
      <c r="B3019" s="233" t="n">
        <f aca="false">B3018+D3019-C3019</f>
        <v>17159.8</v>
      </c>
      <c r="D3019" s="146" t="n">
        <v>1269.6</v>
      </c>
      <c r="E3019" s="147" t="n">
        <v>53002293</v>
      </c>
      <c r="F3019" s="147" t="n">
        <f aca="false">IFERROR(VLOOKUP(H3019,$AD$1:$AE$301,2,0),"")</f>
        <v>1008047</v>
      </c>
      <c r="G3019" s="147" t="str">
        <f aca="false">IFERROR(VLOOKUP(F3019,$AE$2:$AF$290,2, 0),"")</f>
        <v>الوجه</v>
      </c>
      <c r="H3019" s="212" t="s">
        <v>422</v>
      </c>
      <c r="I3019" s="246" t="n">
        <f aca="false">SUM(K3019:R3019)</f>
        <v>4</v>
      </c>
      <c r="J3019" s="182" t="n">
        <v>46246</v>
      </c>
      <c r="K3019" s="148" t="n">
        <v>4</v>
      </c>
      <c r="S3019" s="192" t="n">
        <f aca="false">(K3019+O3019+Q3019)*24 /1130+(L3019+M3019+P3019+R3019)*12/1130+(N3019*30)/1130</f>
        <v>0.0849557522123894</v>
      </c>
    </row>
    <row r="3020" customFormat="false" ht="15" hidden="true" customHeight="true" outlineLevel="0" collapsed="false">
      <c r="B3020" s="233" t="n">
        <f aca="false">B3019+D3020-C3020</f>
        <v>17838.3</v>
      </c>
      <c r="D3020" s="146" t="n">
        <v>678.5</v>
      </c>
      <c r="E3020" s="147" t="n">
        <v>53002294</v>
      </c>
      <c r="F3020" s="147" t="n">
        <f aca="false">IFERROR(VLOOKUP(H3020,$AD$1:$AE$301,2,0),"")</f>
        <v>1008047</v>
      </c>
      <c r="G3020" s="147" t="str">
        <f aca="false">IFERROR(VLOOKUP(F3020,$AE$2:$AF$290,2, 0),"")</f>
        <v>الوجه</v>
      </c>
      <c r="H3020" s="212" t="s">
        <v>422</v>
      </c>
      <c r="I3020" s="246" t="n">
        <f aca="false">SUM(K3020:R3020)</f>
        <v>3</v>
      </c>
      <c r="J3020" s="182" t="n">
        <v>46246</v>
      </c>
      <c r="R3020" s="155" t="n">
        <f aca="false">2+1</f>
        <v>3</v>
      </c>
      <c r="S3020" s="192" t="n">
        <f aca="false">(K3020+O3020+Q3020)*24 /1130+(L3020+M3020+P3020+R3020)*12/1130+(N3020*30)/1130</f>
        <v>0.031858407079646</v>
      </c>
    </row>
    <row r="3021" customFormat="false" ht="15" hidden="true" customHeight="true" outlineLevel="0" collapsed="false">
      <c r="B3021" s="233" t="n">
        <f aca="false">B3020+D3021-C3021</f>
        <v>17999.3</v>
      </c>
      <c r="D3021" s="146" t="n">
        <v>161</v>
      </c>
      <c r="E3021" s="147" t="n">
        <v>53002295</v>
      </c>
      <c r="F3021" s="147" t="n">
        <f aca="false">IFERROR(VLOOKUP(H3021,$AD$1:$AE$301,2,0),"")</f>
        <v>656</v>
      </c>
      <c r="G3021" s="147" t="str">
        <f aca="false">IFERROR(VLOOKUP(F3021,$AE$2:$AF$290,2, 0),"")</f>
        <v>الوجه</v>
      </c>
      <c r="H3021" s="212" t="s">
        <v>115</v>
      </c>
      <c r="I3021" s="246" t="n">
        <f aca="false">SUM(K3021:R3021)</f>
        <v>1</v>
      </c>
      <c r="J3021" s="182" t="n">
        <v>46246</v>
      </c>
      <c r="Q3021" s="154" t="n">
        <v>1</v>
      </c>
      <c r="S3021" s="192" t="n">
        <f aca="false">(K3021+O3021+Q3021)*24 /1130+(L3021+M3021+P3021+R3021)*12/1130+(N3021*30)/1130</f>
        <v>0.0212389380530973</v>
      </c>
    </row>
    <row r="3022" customFormat="false" ht="15" hidden="true" customHeight="true" outlineLevel="0" collapsed="false">
      <c r="B3022" s="233" t="n">
        <f aca="false">B3021+D3022-C3022</f>
        <v>18240.8</v>
      </c>
      <c r="D3022" s="146" t="n">
        <v>241.5</v>
      </c>
      <c r="E3022" s="147" t="n">
        <v>53002296</v>
      </c>
      <c r="F3022" s="147" t="n">
        <f aca="false">IFERROR(VLOOKUP(H3022,$AD$1:$AE$301,2,0),"")</f>
        <v>1008032</v>
      </c>
      <c r="G3022" s="147" t="str">
        <f aca="false">IFERROR(VLOOKUP(F3022,$AE$2:$AF$290,2, 0),"")</f>
        <v>ضباء</v>
      </c>
      <c r="H3022" s="212" t="s">
        <v>101</v>
      </c>
      <c r="I3022" s="246" t="n">
        <f aca="false">SUM(K3022:R3022)</f>
        <v>1</v>
      </c>
      <c r="J3022" s="182" t="n">
        <v>46246</v>
      </c>
      <c r="M3022" s="150" t="n">
        <v>1</v>
      </c>
      <c r="S3022" s="192" t="n">
        <f aca="false">(K3022+O3022+Q3022)*24 /1130+(L3022+M3022+P3022+R3022)*12/1130+(N3022*30)/1130</f>
        <v>0.0106194690265487</v>
      </c>
    </row>
    <row r="3023" customFormat="false" ht="15" hidden="true" customHeight="true" outlineLevel="0" collapsed="false">
      <c r="B3023" s="233" t="n">
        <f aca="false">B3022+D3023-C3023</f>
        <v>18482.3</v>
      </c>
      <c r="D3023" s="146" t="n">
        <v>241.5</v>
      </c>
      <c r="E3023" s="147" t="n">
        <v>53002297</v>
      </c>
      <c r="F3023" s="147" t="n">
        <f aca="false">IFERROR(VLOOKUP(H3023,$AD$1:$AE$301,2,0),"")</f>
        <v>1007988</v>
      </c>
      <c r="G3023" s="147" t="str">
        <f aca="false">IFERROR(VLOOKUP(F3023,$AE$2:$AF$290,2, 0),"")</f>
        <v>ضباء</v>
      </c>
      <c r="H3023" s="212" t="s">
        <v>89</v>
      </c>
      <c r="I3023" s="246" t="n">
        <f aca="false">SUM(K3023:R3023)</f>
        <v>1</v>
      </c>
      <c r="J3023" s="182" t="n">
        <v>46246</v>
      </c>
      <c r="M3023" s="150" t="n">
        <v>1</v>
      </c>
      <c r="S3023" s="192" t="n">
        <f aca="false">(K3023+O3023+Q3023)*24 /1130+(L3023+M3023+P3023+R3023)*12/1130+(N3023*30)/1130</f>
        <v>0.0106194690265487</v>
      </c>
    </row>
    <row r="3024" customFormat="false" ht="15" hidden="true" customHeight="true" outlineLevel="0" collapsed="false">
      <c r="B3024" s="233" t="n">
        <f aca="false">B3023+D3024-C3024</f>
        <v>13407.7</v>
      </c>
      <c r="C3024" s="127" t="n">
        <f aca="false">470+901+1269.6+1950+484</f>
        <v>5074.6</v>
      </c>
      <c r="E3024" s="147" t="s">
        <v>675</v>
      </c>
      <c r="F3024" s="147" t="str">
        <f aca="false">IFERROR(VLOOKUP(H3024,$AD$1:$AE$301,2,0),"")</f>
        <v/>
      </c>
      <c r="G3024" s="147" t="str">
        <f aca="false">IFERROR(VLOOKUP(F3024,$AE$2:$AF$290,2, 0),"")</f>
        <v/>
      </c>
      <c r="H3024" s="212" t="s">
        <v>393</v>
      </c>
      <c r="I3024" s="246" t="n">
        <f aca="false">SUM(K3024:R3024)</f>
        <v>0</v>
      </c>
      <c r="J3024" s="182" t="n">
        <v>46246</v>
      </c>
      <c r="S3024" s="192" t="n">
        <f aca="false">(K3024+O3024+Q3024)*24 /1130+(L3024+M3024+P3024+R3024)*12/1130+(N3024*30)/1130</f>
        <v>0</v>
      </c>
    </row>
    <row r="3025" customFormat="false" ht="15" hidden="true" customHeight="true" outlineLevel="0" collapsed="false">
      <c r="B3025" s="233" t="n">
        <f aca="false">B3024+D3025-C3025</f>
        <v>14677.3</v>
      </c>
      <c r="D3025" s="146" t="n">
        <v>1269.6</v>
      </c>
      <c r="E3025" s="147" t="n">
        <v>53002298</v>
      </c>
      <c r="F3025" s="147" t="n">
        <f aca="false">IFERROR(VLOOKUP(H3025,$AD$1:$AE$301,2,0),"")</f>
        <v>1002930</v>
      </c>
      <c r="G3025" s="147" t="str">
        <f aca="false">IFERROR(VLOOKUP(F3025,$AE$2:$AF$290,2, 0),"")</f>
        <v>تبوك</v>
      </c>
      <c r="H3025" s="212" t="s">
        <v>171</v>
      </c>
      <c r="I3025" s="246" t="n">
        <f aca="false">SUM(K3025:R3025)</f>
        <v>4</v>
      </c>
      <c r="J3025" s="182" t="n">
        <v>46247</v>
      </c>
      <c r="K3025" s="148" t="n">
        <v>4</v>
      </c>
      <c r="S3025" s="192" t="n">
        <f aca="false">(K3025+O3025+Q3025)*24 /1130+(L3025+M3025+P3025+R3025)*12/1130+(N3025*30)/1130</f>
        <v>0.0849557522123894</v>
      </c>
    </row>
    <row r="3026" customFormat="false" ht="15" hidden="true" customHeight="true" outlineLevel="0" collapsed="false">
      <c r="B3026" s="233" t="n">
        <f aca="false">B3025+D3026-C3026</f>
        <v>17299.3</v>
      </c>
      <c r="D3026" s="146" t="n">
        <v>2622</v>
      </c>
      <c r="E3026" s="147" t="n">
        <v>53002299</v>
      </c>
      <c r="F3026" s="147" t="n">
        <f aca="false">IFERROR(VLOOKUP(H3026,$AD$1:$AE$301,2,0),"")</f>
        <v>1002912</v>
      </c>
      <c r="G3026" s="147" t="str">
        <f aca="false">IFERROR(VLOOKUP(F3026,$AE$2:$AF$290,2, 0),"")</f>
        <v>تبوك</v>
      </c>
      <c r="H3026" s="212" t="s">
        <v>152</v>
      </c>
      <c r="I3026" s="246" t="n">
        <f aca="false">SUM(K3026:R3026)</f>
        <v>16</v>
      </c>
      <c r="J3026" s="182" t="n">
        <v>46247</v>
      </c>
      <c r="L3026" s="149" t="n">
        <v>16</v>
      </c>
      <c r="S3026" s="192" t="n">
        <f aca="false">(K3026+O3026+Q3026)*24 /1130+(L3026+M3026+P3026+R3026)*12/1130+(N3026*30)/1130</f>
        <v>0.169911504424779</v>
      </c>
    </row>
    <row r="3027" customFormat="false" ht="15" hidden="true" customHeight="true" outlineLevel="0" collapsed="false">
      <c r="B3027" s="233" t="n">
        <f aca="false">B3026+D3027-C3027</f>
        <v>19224.4</v>
      </c>
      <c r="D3027" s="146" t="n">
        <f aca="false">1269.6+655.5</f>
        <v>1925.1</v>
      </c>
      <c r="E3027" s="147" t="n">
        <v>53002300</v>
      </c>
      <c r="F3027" s="147" t="n">
        <f aca="false">IFERROR(VLOOKUP(H3027,$AD$1:$AE$301,2,0),"")</f>
        <v>946</v>
      </c>
      <c r="G3027" s="147" t="str">
        <f aca="false">IFERROR(VLOOKUP(F3027,$AE$2:$AF$290,2, 0),"")</f>
        <v>تبوك</v>
      </c>
      <c r="H3027" s="212" t="s">
        <v>204</v>
      </c>
      <c r="I3027" s="246" t="n">
        <f aca="false">SUM(K3027:R3027)</f>
        <v>8</v>
      </c>
      <c r="J3027" s="182" t="n">
        <v>46250</v>
      </c>
      <c r="K3027" s="148" t="n">
        <v>4</v>
      </c>
      <c r="L3027" s="149" t="n">
        <v>4</v>
      </c>
      <c r="S3027" s="192" t="n">
        <f aca="false">(K3027+O3027+Q3027)*24 /1130+(L3027+M3027+P3027+R3027)*12/1130+(N3027*30)/1130</f>
        <v>0.127433628318584</v>
      </c>
    </row>
    <row r="3028" customFormat="false" ht="15" hidden="true" customHeight="true" outlineLevel="0" collapsed="false">
      <c r="B3028" s="233" t="n">
        <f aca="false">B3027+D3028-C3028</f>
        <v>16024.4</v>
      </c>
      <c r="C3028" s="127" t="n">
        <v>3200</v>
      </c>
      <c r="E3028" s="147" t="s">
        <v>676</v>
      </c>
      <c r="F3028" s="147" t="str">
        <f aca="false">IFERROR(VLOOKUP(H3028,$AD$1:$AE$301,2,0),"")</f>
        <v/>
      </c>
      <c r="G3028" s="147" t="str">
        <f aca="false">IFERROR(VLOOKUP(F3028,$AE$2:$AF$290,2, 0),"")</f>
        <v/>
      </c>
      <c r="H3028" s="212" t="s">
        <v>393</v>
      </c>
      <c r="I3028" s="246" t="n">
        <f aca="false">SUM(K3028:R3028)</f>
        <v>0</v>
      </c>
      <c r="J3028" s="182" t="n">
        <v>46250</v>
      </c>
      <c r="S3028" s="192" t="n">
        <f aca="false">(K3028+O3028+Q3028)*24 /1130+(L3028+M3028+P3028+R3028)*12/1130+(N3028*30)/1130</f>
        <v>0</v>
      </c>
    </row>
    <row r="3029" customFormat="false" ht="15" hidden="true" customHeight="true" outlineLevel="0" collapsed="false">
      <c r="B3029" s="233" t="n">
        <f aca="false">B3028+D3029-C3029</f>
        <v>15151.4</v>
      </c>
      <c r="C3029" s="127" t="n">
        <f aca="false">140+433+300</f>
        <v>873</v>
      </c>
      <c r="E3029" s="147" t="s">
        <v>675</v>
      </c>
      <c r="F3029" s="147" t="str">
        <f aca="false">IFERROR(VLOOKUP(H3029,$AD$1:$AE$301,2,0),"")</f>
        <v/>
      </c>
      <c r="G3029" s="147" t="str">
        <f aca="false">IFERROR(VLOOKUP(F3029,$AE$2:$AF$290,2, 0),"")</f>
        <v/>
      </c>
      <c r="H3029" s="212" t="s">
        <v>393</v>
      </c>
      <c r="I3029" s="246" t="n">
        <f aca="false">SUM(K3029:R3029)</f>
        <v>0</v>
      </c>
      <c r="J3029" s="182" t="n">
        <v>46251</v>
      </c>
      <c r="S3029" s="192" t="n">
        <f aca="false">(K3029+O3029+Q3029)*24 /1130+(L3029+M3029+P3029+R3029)*12/1130+(N3029*30)/1130</f>
        <v>0</v>
      </c>
    </row>
    <row r="3030" customFormat="false" ht="15" hidden="true" customHeight="true" outlineLevel="0" collapsed="false">
      <c r="B3030" s="233" t="n">
        <f aca="false">B3029+D3030-C3030</f>
        <v>13131.4</v>
      </c>
      <c r="C3030" s="127" t="n">
        <f aca="false">1270+750</f>
        <v>2020</v>
      </c>
      <c r="E3030" s="147" t="s">
        <v>677</v>
      </c>
      <c r="F3030" s="147" t="str">
        <f aca="false">IFERROR(VLOOKUP(H3030,$AD$1:$AE$301,2,0),"")</f>
        <v/>
      </c>
      <c r="G3030" s="147" t="str">
        <f aca="false">IFERROR(VLOOKUP(F3030,$AE$2:$AF$290,2, 0),"")</f>
        <v/>
      </c>
      <c r="H3030" s="212" t="s">
        <v>393</v>
      </c>
      <c r="I3030" s="246" t="n">
        <f aca="false">SUM(K3030:R3030)</f>
        <v>0</v>
      </c>
      <c r="J3030" s="182" t="n">
        <v>46251</v>
      </c>
      <c r="S3030" s="192" t="n">
        <f aca="false">(K3030+O3030+Q3030)*24 /1130+(L3030+M3030+P3030+R3030)*12/1130+(N3030*30)/1130</f>
        <v>0</v>
      </c>
    </row>
    <row r="3031" customFormat="false" ht="15" hidden="true" customHeight="true" outlineLevel="0" collapsed="false">
      <c r="B3031" s="233" t="n">
        <f aca="false">B3030+D3031-C3031</f>
        <v>14401</v>
      </c>
      <c r="D3031" s="146" t="n">
        <v>1269.6</v>
      </c>
      <c r="E3031" s="147" t="n">
        <v>53002301</v>
      </c>
      <c r="F3031" s="147" t="n">
        <f aca="false">IFERROR(VLOOKUP(H3031,$AD$1:$AE$301,2,0),"")</f>
        <v>1002910</v>
      </c>
      <c r="G3031" s="147" t="str">
        <f aca="false">IFERROR(VLOOKUP(F3031,$AE$2:$AF$290,2, 0),"")</f>
        <v>تبوك</v>
      </c>
      <c r="H3031" s="212" t="s">
        <v>197</v>
      </c>
      <c r="I3031" s="246" t="n">
        <f aca="false">SUM(K3031:R3031)</f>
        <v>4</v>
      </c>
      <c r="J3031" s="182" t="n">
        <v>46252</v>
      </c>
      <c r="K3031" s="148" t="n">
        <v>4</v>
      </c>
      <c r="S3031" s="192" t="n">
        <f aca="false">(K3031+O3031+Q3031)*24 /1130+(L3031+M3031+P3031+R3031)*12/1130+(N3031*30)/1130</f>
        <v>0.0849557522123894</v>
      </c>
    </row>
    <row r="3032" customFormat="false" ht="15" hidden="true" customHeight="true" outlineLevel="0" collapsed="false">
      <c r="B3032" s="233" t="n">
        <f aca="false">B3031+D3032-C3032</f>
        <v>15670.6</v>
      </c>
      <c r="D3032" s="146" t="n">
        <v>1269.6</v>
      </c>
      <c r="E3032" s="147" t="n">
        <v>53002302</v>
      </c>
      <c r="F3032" s="147" t="n">
        <f aca="false">IFERROR(VLOOKUP(H3032,$AD$1:$AE$301,2,0),"")</f>
        <v>1008260</v>
      </c>
      <c r="G3032" s="147" t="str">
        <f aca="false">IFERROR(VLOOKUP(F3032,$AE$2:$AF$290,2, 0),"")</f>
        <v>تبوك</v>
      </c>
      <c r="H3032" s="212" t="s">
        <v>184</v>
      </c>
      <c r="I3032" s="246" t="n">
        <f aca="false">SUM(K3032:R3032)</f>
        <v>4</v>
      </c>
      <c r="J3032" s="182" t="n">
        <v>46252</v>
      </c>
      <c r="K3032" s="148" t="n">
        <v>4</v>
      </c>
      <c r="S3032" s="192" t="n">
        <f aca="false">(K3032+O3032+Q3032)*24 /1130+(L3032+M3032+P3032+R3032)*12/1130+(N3032*30)/1130</f>
        <v>0.0849557522123894</v>
      </c>
    </row>
    <row r="3033" customFormat="false" ht="15" hidden="true" customHeight="true" outlineLevel="0" collapsed="false">
      <c r="B3033" s="233" t="n">
        <f aca="false">B3032+D3033-C3033</f>
        <v>13126.27</v>
      </c>
      <c r="C3033" s="127" t="n">
        <f aca="false">1.63+1273+1269.7</f>
        <v>2544.33</v>
      </c>
      <c r="E3033" s="147" t="s">
        <v>675</v>
      </c>
      <c r="F3033" s="147" t="str">
        <f aca="false">IFERROR(VLOOKUP(H3033,$AD$1:$AE$301,2,0),"")</f>
        <v/>
      </c>
      <c r="G3033" s="147" t="str">
        <f aca="false">IFERROR(VLOOKUP(F3033,$AE$2:$AF$290,2, 0),"")</f>
        <v/>
      </c>
      <c r="H3033" s="212" t="s">
        <v>393</v>
      </c>
      <c r="I3033" s="246" t="n">
        <f aca="false">SUM(K3033:R3033)</f>
        <v>0</v>
      </c>
      <c r="J3033" s="182" t="n">
        <v>46252</v>
      </c>
      <c r="S3033" s="192" t="n">
        <f aca="false">(K3033+O3033+Q3033)*24 /1130+(L3033+M3033+P3033+R3033)*12/1130+(N3033*30)/1130</f>
        <v>0</v>
      </c>
    </row>
    <row r="3034" customFormat="false" ht="15" hidden="true" customHeight="true" outlineLevel="0" collapsed="false">
      <c r="B3034" s="233" t="n">
        <f aca="false">B3033+D3034-C3034</f>
        <v>11391.74</v>
      </c>
      <c r="C3034" s="127" t="n">
        <f aca="false">1734.53</f>
        <v>1734.53</v>
      </c>
      <c r="E3034" s="147" t="s">
        <v>677</v>
      </c>
      <c r="F3034" s="147" t="str">
        <f aca="false">IFERROR(VLOOKUP(H3034,$AD$1:$AE$301,2,0),"")</f>
        <v/>
      </c>
      <c r="G3034" s="147" t="str">
        <f aca="false">IFERROR(VLOOKUP(F3034,$AE$2:$AF$290,2, 0),"")</f>
        <v/>
      </c>
      <c r="H3034" s="212" t="s">
        <v>393</v>
      </c>
      <c r="I3034" s="246" t="n">
        <f aca="false">SUM(K3034:R3034)</f>
        <v>0</v>
      </c>
      <c r="J3034" s="182" t="n">
        <v>46253</v>
      </c>
      <c r="S3034" s="192" t="n">
        <f aca="false">(K3034+O3034+Q3034)*24 /1130+(L3034+M3034+P3034+R3034)*12/1130+(N3034*30)/1130</f>
        <v>0</v>
      </c>
    </row>
    <row r="3035" customFormat="false" ht="15" hidden="true" customHeight="true" outlineLevel="0" collapsed="false">
      <c r="B3035" s="233" t="n">
        <f aca="false">B3034+D3035-C3035</f>
        <v>13668.74</v>
      </c>
      <c r="D3035" s="146" t="n">
        <v>2277</v>
      </c>
      <c r="E3035" s="147" t="n">
        <v>53002303</v>
      </c>
      <c r="F3035" s="147" t="n">
        <f aca="false">IFERROR(VLOOKUP(H3035,$AD$1:$AE$301,2,0),"")</f>
        <v>721</v>
      </c>
      <c r="G3035" s="147" t="str">
        <f aca="false">IFERROR(VLOOKUP(F3035,$AE$2:$AF$290,2, 0),"")</f>
        <v>تبوك</v>
      </c>
      <c r="H3035" s="212" t="s">
        <v>183</v>
      </c>
      <c r="I3035" s="246" t="n">
        <f aca="false">SUM(K3035:R3035)</f>
        <v>7</v>
      </c>
      <c r="J3035" s="182" t="n">
        <v>46253</v>
      </c>
      <c r="M3035" s="150" t="n">
        <v>7</v>
      </c>
      <c r="S3035" s="192" t="n">
        <f aca="false">(K3035+O3035+Q3035)*24 /1130+(L3035+M3035+P3035+R3035)*12/1130+(N3035*30)/1130</f>
        <v>0.0743362831858407</v>
      </c>
    </row>
    <row r="3036" customFormat="false" ht="15" hidden="true" customHeight="true" outlineLevel="0" collapsed="false">
      <c r="B3036" s="233" t="n">
        <f aca="false">B3035+D3036-C3036</f>
        <v>13118.74</v>
      </c>
      <c r="C3036" s="127" t="n">
        <f aca="false">550</f>
        <v>550</v>
      </c>
      <c r="E3036" s="147" t="s">
        <v>675</v>
      </c>
      <c r="F3036" s="147" t="str">
        <f aca="false">IFERROR(VLOOKUP(H3036,$AD$1:$AE$301,2,0),"")</f>
        <v/>
      </c>
      <c r="G3036" s="147" t="str">
        <f aca="false">IFERROR(VLOOKUP(F3036,$AE$2:$AF$290,2, 0),"")</f>
        <v/>
      </c>
      <c r="H3036" s="212" t="s">
        <v>393</v>
      </c>
      <c r="I3036" s="246" t="n">
        <f aca="false">SUM(K3036:R3036)</f>
        <v>0</v>
      </c>
      <c r="J3036" s="182" t="n">
        <v>46253</v>
      </c>
      <c r="S3036" s="192" t="n">
        <f aca="false">(K3036+O3036+Q3036)*24 /1130+(L3036+M3036+P3036+R3036)*12/1130+(N3036*30)/1130</f>
        <v>0</v>
      </c>
    </row>
    <row r="3037" customFormat="false" ht="15" hidden="true" customHeight="true" outlineLevel="0" collapsed="false">
      <c r="B3037" s="233" t="n">
        <f aca="false">B3036+D3037-C3037</f>
        <v>10858.74</v>
      </c>
      <c r="C3037" s="127" t="n">
        <f aca="false">260+2000</f>
        <v>2260</v>
      </c>
      <c r="E3037" s="147" t="s">
        <v>677</v>
      </c>
      <c r="F3037" s="147" t="str">
        <f aca="false">IFERROR(VLOOKUP(H3037,$AD$1:$AE$301,2,0),"")</f>
        <v/>
      </c>
      <c r="G3037" s="147" t="str">
        <f aca="false">IFERROR(VLOOKUP(F3037,$AE$2:$AF$290,2, 0),"")</f>
        <v/>
      </c>
      <c r="H3037" s="212" t="s">
        <v>393</v>
      </c>
      <c r="I3037" s="246" t="n">
        <f aca="false">SUM(K3037:R3037)</f>
        <v>0</v>
      </c>
      <c r="J3037" s="182" t="n">
        <v>46253</v>
      </c>
      <c r="S3037" s="192" t="n">
        <f aca="false">(K3037+O3037+Q3037)*24 /1130+(L3037+M3037+P3037+R3037)*12/1130+(N3037*30)/1130</f>
        <v>0</v>
      </c>
    </row>
    <row r="3038" customFormat="false" ht="15" hidden="true" customHeight="true" outlineLevel="0" collapsed="false">
      <c r="B3038" s="233" t="n">
        <f aca="false">B3037+D3038-C3038</f>
        <v>12852.94</v>
      </c>
      <c r="D3038" s="146" t="n">
        <v>1994.2</v>
      </c>
      <c r="E3038" s="147" t="n">
        <v>53002304</v>
      </c>
      <c r="F3038" s="147" t="n">
        <f aca="false">IFERROR(VLOOKUP(H3038,$AD$1:$AE$301,2,0),"")</f>
        <v>1002898</v>
      </c>
      <c r="G3038" s="147" t="str">
        <f aca="false">IFERROR(VLOOKUP(F3038,$AE$2:$AF$290,2, 0),"")</f>
        <v>تبوك</v>
      </c>
      <c r="H3038" s="212" t="s">
        <v>195</v>
      </c>
      <c r="I3038" s="246" t="n">
        <f aca="false">SUM(K3038:R3038)</f>
        <v>7</v>
      </c>
      <c r="J3038" s="182" t="n">
        <v>46254</v>
      </c>
      <c r="K3038" s="148" t="n">
        <v>4</v>
      </c>
      <c r="M3038" s="150" t="n">
        <v>3</v>
      </c>
      <c r="S3038" s="192" t="n">
        <f aca="false">(K3038+O3038+Q3038)*24 /1130+(L3038+M3038+P3038+R3038)*12/1130+(N3038*30)/1130</f>
        <v>0.116814159292035</v>
      </c>
    </row>
    <row r="3039" customFormat="false" ht="15" hidden="true" customHeight="true" outlineLevel="0" collapsed="false">
      <c r="B3039" s="233" t="n">
        <f aca="false">B3038+D3039-C3039</f>
        <v>14122.54</v>
      </c>
      <c r="D3039" s="146" t="n">
        <v>1269.6</v>
      </c>
      <c r="E3039" s="147" t="n">
        <v>53002305</v>
      </c>
      <c r="F3039" s="147" t="n">
        <f aca="false">IFERROR(VLOOKUP(H3039,$AD$1:$AE$301,2,0),"")</f>
        <v>1008260</v>
      </c>
      <c r="G3039" s="147" t="str">
        <f aca="false">IFERROR(VLOOKUP(F3039,$AE$2:$AF$290,2, 0),"")</f>
        <v>تبوك</v>
      </c>
      <c r="H3039" s="212" t="s">
        <v>184</v>
      </c>
      <c r="I3039" s="246" t="n">
        <f aca="false">SUM(K3039:R3039)</f>
        <v>4</v>
      </c>
      <c r="J3039" s="182" t="n">
        <v>46254</v>
      </c>
      <c r="K3039" s="148" t="n">
        <v>4</v>
      </c>
      <c r="S3039" s="192" t="n">
        <f aca="false">(K3039+O3039+Q3039)*24 /1130+(L3039+M3039+P3039+R3039)*12/1130+(N3039*30)/1130</f>
        <v>0.0849557522123894</v>
      </c>
    </row>
    <row r="3040" customFormat="false" ht="15" hidden="true" customHeight="true" outlineLevel="0" collapsed="false">
      <c r="B3040" s="233" t="n">
        <f aca="false">B3039+D3040-C3040</f>
        <v>14444.54</v>
      </c>
      <c r="D3040" s="146" t="n">
        <v>322</v>
      </c>
      <c r="E3040" s="147" t="n">
        <v>53002306</v>
      </c>
      <c r="F3040" s="147" t="n">
        <f aca="false">IFERROR(VLOOKUP(H3040,$AD$1:$AE$301,2,0),"")</f>
        <v>1008261</v>
      </c>
      <c r="G3040" s="147" t="str">
        <f aca="false">IFERROR(VLOOKUP(F3040,$AE$2:$AF$290,2, 0),"")</f>
        <v>تبوك</v>
      </c>
      <c r="H3040" s="212" t="s">
        <v>440</v>
      </c>
      <c r="I3040" s="246" t="n">
        <f aca="false">SUM(K3040:R3040)</f>
        <v>2</v>
      </c>
      <c r="J3040" s="182" t="n">
        <v>46254</v>
      </c>
      <c r="Q3040" s="154" t="n">
        <v>2</v>
      </c>
      <c r="S3040" s="192" t="n">
        <f aca="false">(K3040+O3040+Q3040)*24 /1130+(L3040+M3040+P3040+R3040)*12/1130+(N3040*30)/1130</f>
        <v>0.0424778761061947</v>
      </c>
    </row>
    <row r="3041" customFormat="false" ht="15" hidden="true" customHeight="true" outlineLevel="0" collapsed="false">
      <c r="B3041" s="233" t="n">
        <f aca="false">B3040+D3041-C3041</f>
        <v>17066.54</v>
      </c>
      <c r="D3041" s="146" t="n">
        <v>2622</v>
      </c>
      <c r="E3041" s="147" t="n">
        <v>53002307</v>
      </c>
      <c r="F3041" s="147" t="n">
        <f aca="false">IFERROR(VLOOKUP(H3041,$AD$1:$AE$301,2,0),"")</f>
        <v>855</v>
      </c>
      <c r="G3041" s="147" t="str">
        <f aca="false">IFERROR(VLOOKUP(F3041,$AE$2:$AF$290,2, 0),"")</f>
        <v>تبوك</v>
      </c>
      <c r="H3041" s="212" t="s">
        <v>141</v>
      </c>
      <c r="I3041" s="246" t="n">
        <f aca="false">SUM(K3041:R3041)</f>
        <v>16</v>
      </c>
      <c r="J3041" s="182" t="n">
        <v>46254</v>
      </c>
      <c r="L3041" s="149" t="n">
        <v>16</v>
      </c>
      <c r="S3041" s="192" t="n">
        <f aca="false">(K3041+O3041+Q3041)*24 /1130+(L3041+M3041+P3041+R3041)*12/1130+(N3041*30)/1130</f>
        <v>0.169911504424779</v>
      </c>
    </row>
    <row r="3042" customFormat="false" ht="15" hidden="true" customHeight="true" outlineLevel="0" collapsed="false">
      <c r="B3042" s="233" t="n">
        <f aca="false">B3041+D3042-C3042</f>
        <v>16158.54</v>
      </c>
      <c r="C3042" s="127" t="n">
        <f aca="false">20+142+170+105+40+231+200</f>
        <v>908</v>
      </c>
      <c r="E3042" s="147" t="s">
        <v>675</v>
      </c>
      <c r="F3042" s="147" t="str">
        <f aca="false">IFERROR(VLOOKUP(H3042,$AD$1:$AE$301,2,0),"")</f>
        <v/>
      </c>
      <c r="G3042" s="147" t="str">
        <f aca="false">IFERROR(VLOOKUP(F3042,$AE$2:$AF$290,2, 0),"")</f>
        <v/>
      </c>
      <c r="H3042" s="212" t="s">
        <v>393</v>
      </c>
      <c r="I3042" s="246" t="n">
        <f aca="false">SUM(K3042:R3042)</f>
        <v>0</v>
      </c>
      <c r="J3042" s="182" t="n">
        <v>46254</v>
      </c>
      <c r="S3042" s="192" t="n">
        <f aca="false">(K3042+O3042+Q3042)*24 /1130+(L3042+M3042+P3042+R3042)*12/1130+(N3042*30)/1130</f>
        <v>0</v>
      </c>
    </row>
    <row r="3043" customFormat="false" ht="15" hidden="true" customHeight="true" outlineLevel="0" collapsed="false">
      <c r="B3043" s="233" t="n">
        <f aca="false">B3042+D3043-C3043</f>
        <v>14136.54</v>
      </c>
      <c r="C3043" s="127" t="n">
        <f aca="false">1000+622+400</f>
        <v>2022</v>
      </c>
      <c r="E3043" s="147" t="s">
        <v>675</v>
      </c>
      <c r="F3043" s="147" t="str">
        <f aca="false">IFERROR(VLOOKUP(H3043,$AD$1:$AE$301,2,0),"")</f>
        <v/>
      </c>
      <c r="G3043" s="147" t="str">
        <f aca="false">IFERROR(VLOOKUP(F3043,$AE$2:$AF$290,2, 0),"")</f>
        <v/>
      </c>
      <c r="H3043" s="212" t="s">
        <v>393</v>
      </c>
      <c r="I3043" s="246" t="n">
        <f aca="false">SUM(K3043:R3043)</f>
        <v>0</v>
      </c>
      <c r="J3043" s="182" t="n">
        <v>46254</v>
      </c>
      <c r="S3043" s="192" t="n">
        <f aca="false">(K3043+O3043+Q3043)*24 /1130+(L3043+M3043+P3043+R3043)*12/1130+(N3043*30)/1130</f>
        <v>0</v>
      </c>
    </row>
    <row r="3044" customFormat="false" ht="15" hidden="true" customHeight="true" outlineLevel="0" collapsed="false">
      <c r="B3044" s="233" t="n">
        <f aca="false">B3043+D3044-C3044</f>
        <v>15406.14</v>
      </c>
      <c r="D3044" s="146" t="n">
        <v>1269.6</v>
      </c>
      <c r="E3044" s="147" t="n">
        <v>53002308</v>
      </c>
      <c r="F3044" s="147" t="n">
        <f aca="false">IFERROR(VLOOKUP(H3044,$AD$1:$AE$301,2,0),"")</f>
        <v>1008265</v>
      </c>
      <c r="G3044" s="147" t="str">
        <f aca="false">IFERROR(VLOOKUP(F3044,$AE$2:$AF$290,2, 0),"")</f>
        <v>تبوك</v>
      </c>
      <c r="H3044" s="212" t="s">
        <v>146</v>
      </c>
      <c r="I3044" s="246" t="n">
        <f aca="false">SUM(K3044:R3044)</f>
        <v>4</v>
      </c>
      <c r="J3044" s="182" t="n">
        <v>46258</v>
      </c>
      <c r="K3044" s="148" t="n">
        <v>4</v>
      </c>
      <c r="S3044" s="192" t="n">
        <f aca="false">(K3044+O3044+Q3044)*24 /1130+(L3044+M3044+P3044+R3044)*12/1130+(N3044*30)/1130</f>
        <v>0.0849557522123894</v>
      </c>
    </row>
    <row r="3045" customFormat="false" ht="15" hidden="true" customHeight="true" outlineLevel="0" collapsed="false">
      <c r="B3045" s="233" t="n">
        <f aca="false">B3044+D3045-C3045</f>
        <v>12811.74</v>
      </c>
      <c r="C3045" s="127" t="n">
        <v>2594.4</v>
      </c>
      <c r="E3045" s="147" t="s">
        <v>675</v>
      </c>
      <c r="F3045" s="147" t="str">
        <f aca="false">IFERROR(VLOOKUP(H3045,$AD$1:$AE$301,2,0),"")</f>
        <v/>
      </c>
      <c r="G3045" s="147" t="str">
        <f aca="false">IFERROR(VLOOKUP(F3045,$AE$2:$AF$290,2, 0),"")</f>
        <v/>
      </c>
      <c r="H3045" s="212" t="s">
        <v>393</v>
      </c>
      <c r="I3045" s="246" t="n">
        <f aca="false">SUM(K3045:R3045)</f>
        <v>0</v>
      </c>
      <c r="J3045" s="182" t="n">
        <v>46258</v>
      </c>
      <c r="S3045" s="192" t="n">
        <f aca="false">(K3045+O3045+Q3045)*24 /1130+(L3045+M3045+P3045+R3045)*12/1130+(N3045*30)/1130</f>
        <v>0</v>
      </c>
    </row>
    <row r="3046" customFormat="false" ht="15" hidden="true" customHeight="true" outlineLevel="0" collapsed="false">
      <c r="B3046" s="233" t="n">
        <f aca="false">B3045+D3046-C3046</f>
        <v>14081.34</v>
      </c>
      <c r="D3046" s="146" t="n">
        <v>1269.6</v>
      </c>
      <c r="E3046" s="147" t="n">
        <v>53002309</v>
      </c>
      <c r="F3046" s="147" t="n">
        <f aca="false">IFERROR(VLOOKUP(H3046,$AD$1:$AE$301,2,0),"")</f>
        <v>1002949</v>
      </c>
      <c r="G3046" s="147" t="str">
        <f aca="false">IFERROR(VLOOKUP(F3046,$AE$2:$AF$290,2, 0),"")</f>
        <v>تبوك</v>
      </c>
      <c r="H3046" s="212" t="s">
        <v>155</v>
      </c>
      <c r="I3046" s="246" t="n">
        <f aca="false">SUM(K3046:R3046)</f>
        <v>4</v>
      </c>
      <c r="J3046" s="182" t="n">
        <v>46258</v>
      </c>
      <c r="K3046" s="148" t="n">
        <v>4</v>
      </c>
      <c r="S3046" s="192" t="n">
        <f aca="false">(K3046+O3046+Q3046)*24 /1130+(L3046+M3046+P3046+R3046)*12/1130+(N3046*30)/1130</f>
        <v>0.0849557522123894</v>
      </c>
    </row>
    <row r="3047" customFormat="false" ht="15" hidden="true" customHeight="true" outlineLevel="0" collapsed="false">
      <c r="B3047" s="233" t="n">
        <f aca="false">B3046+D3047-C3047</f>
        <v>15350.94</v>
      </c>
      <c r="D3047" s="146" t="n">
        <v>1269.6</v>
      </c>
      <c r="E3047" s="147" t="n">
        <v>53002310</v>
      </c>
      <c r="F3047" s="147" t="n">
        <f aca="false">IFERROR(VLOOKUP(H3047,$AD$1:$AE$301,2,0),"")</f>
        <v>1008276</v>
      </c>
      <c r="G3047" s="147" t="str">
        <f aca="false">IFERROR(VLOOKUP(F3047,$AE$2:$AF$290,2, 0),"")</f>
        <v>تبوك</v>
      </c>
      <c r="H3047" s="212" t="s">
        <v>145</v>
      </c>
      <c r="I3047" s="246" t="n">
        <f aca="false">SUM(K3047:R3047)</f>
        <v>4</v>
      </c>
      <c r="J3047" s="182" t="n">
        <v>46258</v>
      </c>
      <c r="K3047" s="148" t="n">
        <v>4</v>
      </c>
      <c r="S3047" s="192" t="n">
        <f aca="false">(K3047+O3047+Q3047)*24 /1130+(L3047+M3047+P3047+R3047)*12/1130+(N3047*30)/1130</f>
        <v>0.0849557522123894</v>
      </c>
    </row>
    <row r="3048" customFormat="false" ht="15" hidden="true" customHeight="true" outlineLevel="0" collapsed="false">
      <c r="B3048" s="233" t="n">
        <f aca="false">B3047+D3048-C3048</f>
        <v>15511.94</v>
      </c>
      <c r="D3048" s="146" t="n">
        <v>161</v>
      </c>
      <c r="E3048" s="147" t="n">
        <v>53002311</v>
      </c>
      <c r="F3048" s="147" t="n">
        <f aca="false">IFERROR(VLOOKUP(H3048,$AD$1:$AE$301,2,0),"")</f>
        <v>1002928</v>
      </c>
      <c r="G3048" s="147" t="str">
        <f aca="false">IFERROR(VLOOKUP(F3048,$AE$2:$AF$290,2, 0),"")</f>
        <v>تبوك</v>
      </c>
      <c r="H3048" s="212" t="s">
        <v>149</v>
      </c>
      <c r="I3048" s="246" t="n">
        <f aca="false">SUM(K3048:R3048)</f>
        <v>1</v>
      </c>
      <c r="J3048" s="182" t="n">
        <v>46258</v>
      </c>
      <c r="Q3048" s="154" t="n">
        <v>1</v>
      </c>
      <c r="S3048" s="192" t="n">
        <f aca="false">(K3048+O3048+Q3048)*24 /1130+(L3048+M3048+P3048+R3048)*12/1130+(N3048*30)/1130</f>
        <v>0.0212389380530973</v>
      </c>
    </row>
    <row r="3049" customFormat="false" ht="15" hidden="true" customHeight="true" outlineLevel="0" collapsed="false">
      <c r="B3049" s="233" t="n">
        <f aca="false">B3048+D3049-C3049</f>
        <v>15764.94</v>
      </c>
      <c r="D3049" s="146" t="n">
        <v>253</v>
      </c>
      <c r="E3049" s="147" t="n">
        <v>53002312</v>
      </c>
      <c r="F3049" s="147" t="n">
        <f aca="false">IFERROR(VLOOKUP(H3049,$AD$1:$AE$301,2,0),"")</f>
        <v>721</v>
      </c>
      <c r="G3049" s="147" t="str">
        <f aca="false">IFERROR(VLOOKUP(F3049,$AE$2:$AF$290,2, 0),"")</f>
        <v>تبوك</v>
      </c>
      <c r="H3049" s="212" t="s">
        <v>183</v>
      </c>
      <c r="I3049" s="246" t="n">
        <f aca="false">SUM(K3049:R3049)</f>
        <v>1</v>
      </c>
      <c r="J3049" s="182" t="n">
        <v>46258</v>
      </c>
      <c r="M3049" s="150" t="n">
        <v>1</v>
      </c>
      <c r="S3049" s="192" t="n">
        <f aca="false">(K3049+O3049+Q3049)*24 /1130+(L3049+M3049+P3049+R3049)*12/1130+(N3049*30)/1130</f>
        <v>0.0106194690265487</v>
      </c>
    </row>
    <row r="3050" customFormat="false" ht="15" hidden="true" customHeight="true" outlineLevel="0" collapsed="false">
      <c r="B3050" s="233" t="n">
        <f aca="false">B3049+D3050-C3050</f>
        <v>13225.74</v>
      </c>
      <c r="C3050" s="127" t="n">
        <v>2539.2</v>
      </c>
      <c r="E3050" s="147" t="s">
        <v>677</v>
      </c>
      <c r="F3050" s="147" t="str">
        <f aca="false">IFERROR(VLOOKUP(H3050,$AD$1:$AE$301,2,0),"")</f>
        <v/>
      </c>
      <c r="G3050" s="147" t="str">
        <f aca="false">IFERROR(VLOOKUP(F3050,$AE$2:$AF$290,2, 0),"")</f>
        <v/>
      </c>
      <c r="H3050" s="212" t="s">
        <v>393</v>
      </c>
      <c r="I3050" s="246" t="n">
        <f aca="false">SUM(K3050:R3050)</f>
        <v>0</v>
      </c>
      <c r="J3050" s="182" t="n">
        <v>46258</v>
      </c>
      <c r="S3050" s="192" t="n">
        <f aca="false">(K3050+O3050+Q3050)*24 /1130+(L3050+M3050+P3050+R3050)*12/1130+(N3050*30)/1130</f>
        <v>0</v>
      </c>
    </row>
    <row r="3051" customFormat="false" ht="15" hidden="true" customHeight="true" outlineLevel="0" collapsed="false">
      <c r="B3051" s="233" t="n">
        <f aca="false">B3050+D3051-C3051</f>
        <v>11061.24</v>
      </c>
      <c r="C3051" s="127" t="n">
        <f aca="false">614.5+50+1500</f>
        <v>2164.5</v>
      </c>
      <c r="E3051" s="147" t="s">
        <v>675</v>
      </c>
      <c r="F3051" s="147" t="str">
        <f aca="false">IFERROR(VLOOKUP(H3051,$AD$1:$AE$301,2,0),"")</f>
        <v/>
      </c>
      <c r="G3051" s="147" t="str">
        <f aca="false">IFERROR(VLOOKUP(F3051,$AE$2:$AF$290,2, 0),"")</f>
        <v/>
      </c>
      <c r="H3051" s="212" t="s">
        <v>393</v>
      </c>
      <c r="I3051" s="246" t="n">
        <f aca="false">SUM(K3051:R3051)</f>
        <v>0</v>
      </c>
      <c r="J3051" s="182" t="n">
        <v>46258</v>
      </c>
      <c r="S3051" s="192" t="n">
        <f aca="false">(K3051+O3051+Q3051)*24 /1130+(L3051+M3051+P3051+R3051)*12/1130+(N3051*30)/1130</f>
        <v>0</v>
      </c>
    </row>
    <row r="3052" customFormat="false" ht="15" hidden="true" customHeight="true" outlineLevel="0" collapsed="false">
      <c r="B3052" s="233" t="n">
        <f aca="false">B3051+D3052-C3052</f>
        <v>15063.24</v>
      </c>
      <c r="D3052" s="146" t="n">
        <v>4002</v>
      </c>
      <c r="E3052" s="147" t="n">
        <v>53002313</v>
      </c>
      <c r="F3052" s="147" t="n">
        <f aca="false">IFERROR(VLOOKUP(H3052,$AD$1:$AE$301,2,0),"")</f>
        <v>1033</v>
      </c>
      <c r="G3052" s="147" t="str">
        <f aca="false">IFERROR(VLOOKUP(F3052,$AE$2:$AF$290,2, 0),"")</f>
        <v>الوجه</v>
      </c>
      <c r="H3052" s="212" t="s">
        <v>117</v>
      </c>
      <c r="I3052" s="246" t="n">
        <f aca="false">SUM(K3052:R3052)</f>
        <v>12</v>
      </c>
      <c r="J3052" s="182" t="n">
        <v>46259</v>
      </c>
      <c r="N3052" s="151" t="n">
        <v>12</v>
      </c>
      <c r="S3052" s="192" t="n">
        <f aca="false">(K3052+O3052+Q3052)*24 /1130+(L3052+M3052+P3052+R3052)*12/1130+(N3052*30)/1130</f>
        <v>0.31858407079646</v>
      </c>
    </row>
    <row r="3053" customFormat="false" ht="15" hidden="true" customHeight="true" outlineLevel="0" collapsed="false">
      <c r="B3053" s="233" t="n">
        <f aca="false">B3052+D3053-C3053</f>
        <v>15718.74</v>
      </c>
      <c r="D3053" s="146" t="n">
        <v>655.5</v>
      </c>
      <c r="E3053" s="147" t="n">
        <v>53002314</v>
      </c>
      <c r="F3053" s="147" t="n">
        <f aca="false">IFERROR(VLOOKUP(H3053,$AD$1:$AE$301,2,0),"")</f>
        <v>1008267</v>
      </c>
      <c r="G3053" s="147" t="str">
        <f aca="false">IFERROR(VLOOKUP(F3053,$AE$2:$AF$290,2, 0),"")</f>
        <v>الوجه</v>
      </c>
      <c r="H3053" s="212" t="s">
        <v>114</v>
      </c>
      <c r="I3053" s="246" t="n">
        <f aca="false">SUM(K3053:R3053)</f>
        <v>4</v>
      </c>
      <c r="J3053" s="182" t="n">
        <v>46259</v>
      </c>
      <c r="L3053" s="149" t="n">
        <v>4</v>
      </c>
      <c r="S3053" s="192" t="n">
        <f aca="false">(K3053+O3053+Q3053)*24 /1130+(L3053+M3053+P3053+R3053)*12/1130+(N3053*30)/1130</f>
        <v>0.0424778761061947</v>
      </c>
    </row>
    <row r="3054" customFormat="false" ht="15" hidden="true" customHeight="true" outlineLevel="0" collapsed="false">
      <c r="B3054" s="233" t="n">
        <f aca="false">B3053+D3054-C3054</f>
        <v>17633.49</v>
      </c>
      <c r="D3054" s="146" t="n">
        <v>1914.75</v>
      </c>
      <c r="E3054" s="147" t="n">
        <v>53002315</v>
      </c>
      <c r="F3054" s="147" t="n">
        <f aca="false">IFERROR(VLOOKUP(H3054,$AD$1:$AE$301,2,0),"")</f>
        <v>1008047</v>
      </c>
      <c r="G3054" s="147" t="str">
        <f aca="false">IFERROR(VLOOKUP(F3054,$AE$2:$AF$290,2, 0),"")</f>
        <v>الوجه</v>
      </c>
      <c r="H3054" s="212" t="s">
        <v>422</v>
      </c>
      <c r="I3054" s="246" t="n">
        <f aca="false">SUM(K3054:R3054)</f>
        <v>6</v>
      </c>
      <c r="J3054" s="182" t="n">
        <v>46259</v>
      </c>
      <c r="N3054" s="151" t="n">
        <v>3</v>
      </c>
      <c r="O3054" s="152" t="n">
        <v>3</v>
      </c>
      <c r="S3054" s="192" t="n">
        <f aca="false">(K3054+O3054+Q3054)*24 /1130+(L3054+M3054+P3054+R3054)*12/1130+(N3054*30)/1130</f>
        <v>0.143362831858407</v>
      </c>
    </row>
    <row r="3055" customFormat="false" ht="15" hidden="true" customHeight="true" outlineLevel="0" collapsed="false">
      <c r="B3055" s="233" t="n">
        <f aca="false">B3054+D3055-C3055</f>
        <v>17794.49</v>
      </c>
      <c r="D3055" s="146" t="n">
        <v>161</v>
      </c>
      <c r="E3055" s="147" t="n">
        <v>53002316</v>
      </c>
      <c r="F3055" s="147" t="n">
        <f aca="false">IFERROR(VLOOKUP(H3055,$AD$1:$AE$301,2,0),"")</f>
        <v>656</v>
      </c>
      <c r="G3055" s="147" t="str">
        <f aca="false">IFERROR(VLOOKUP(F3055,$AE$2:$AF$290,2, 0),"")</f>
        <v>الوجه</v>
      </c>
      <c r="H3055" s="212" t="s">
        <v>115</v>
      </c>
      <c r="I3055" s="246" t="n">
        <f aca="false">SUM(K3055:R3055)</f>
        <v>1</v>
      </c>
      <c r="J3055" s="182" t="n">
        <v>46259</v>
      </c>
      <c r="Q3055" s="154" t="n">
        <v>1</v>
      </c>
      <c r="S3055" s="192" t="n">
        <f aca="false">(K3055+O3055+Q3055)*24 /1130+(L3055+M3055+P3055+R3055)*12/1130+(N3055*30)/1130</f>
        <v>0.0212389380530973</v>
      </c>
    </row>
    <row r="3056" customFormat="false" ht="15" hidden="true" customHeight="true" outlineLevel="0" collapsed="false">
      <c r="B3056" s="233" t="n">
        <f aca="false">B3055+D3056-C3056</f>
        <v>20271.58</v>
      </c>
      <c r="D3056" s="146" t="n">
        <v>2477.09</v>
      </c>
      <c r="E3056" s="147" t="n">
        <v>53002317</v>
      </c>
      <c r="F3056" s="147" t="n">
        <f aca="false">IFERROR(VLOOKUP(H3056,$AD$1:$AE$301,2,0),"")</f>
        <v>1008043</v>
      </c>
      <c r="G3056" s="147" t="str">
        <f aca="false">IFERROR(VLOOKUP(F3056,$AE$2:$AF$290,2, 0),"")</f>
        <v>الوجه</v>
      </c>
      <c r="H3056" s="212" t="s">
        <v>104</v>
      </c>
      <c r="I3056" s="246" t="n">
        <f aca="false">SUM(K3056:R3056)</f>
        <v>8</v>
      </c>
      <c r="J3056" s="182" t="n">
        <v>46259</v>
      </c>
      <c r="K3056" s="148" t="n">
        <v>4</v>
      </c>
      <c r="N3056" s="151" t="n">
        <v>3</v>
      </c>
      <c r="Q3056" s="154" t="n">
        <v>1</v>
      </c>
      <c r="S3056" s="192" t="n">
        <f aca="false">(K3056+O3056+Q3056)*24 /1130+(L3056+M3056+P3056+R3056)*12/1130+(N3056*30)/1130</f>
        <v>0.185840707964602</v>
      </c>
    </row>
    <row r="3057" customFormat="false" ht="15" hidden="true" customHeight="true" outlineLevel="0" collapsed="false">
      <c r="B3057" s="233" t="n">
        <f aca="false">B3056+D3057-C3057</f>
        <v>21541.18</v>
      </c>
      <c r="D3057" s="146" t="n">
        <v>1269.6</v>
      </c>
      <c r="E3057" s="147" t="n">
        <v>53002318</v>
      </c>
      <c r="F3057" s="147" t="n">
        <f aca="false">IFERROR(VLOOKUP(H3057,$AD$1:$AE$301,2,0),"")</f>
        <v>1008046</v>
      </c>
      <c r="G3057" s="147" t="str">
        <f aca="false">IFERROR(VLOOKUP(F3057,$AE$2:$AF$290,2, 0),"")</f>
        <v>الوجه</v>
      </c>
      <c r="H3057" s="212" t="s">
        <v>108</v>
      </c>
      <c r="I3057" s="246" t="n">
        <f aca="false">SUM(K3057:R3057)</f>
        <v>4</v>
      </c>
      <c r="J3057" s="182" t="n">
        <v>46259</v>
      </c>
      <c r="K3057" s="148" t="n">
        <v>4</v>
      </c>
      <c r="S3057" s="192" t="n">
        <f aca="false">(K3057+O3057+Q3057)*24 /1130+(L3057+M3057+P3057+R3057)*12/1130+(N3057*30)/1130</f>
        <v>0.0849557522123894</v>
      </c>
    </row>
    <row r="3058" customFormat="false" ht="15" hidden="true" customHeight="true" outlineLevel="0" collapsed="false">
      <c r="B3058" s="233" t="n">
        <f aca="false">B3057+D3058-C3058</f>
        <v>21782.68</v>
      </c>
      <c r="D3058" s="146" t="n">
        <v>241.5</v>
      </c>
      <c r="E3058" s="147" t="n">
        <v>53002319</v>
      </c>
      <c r="F3058" s="147" t="n">
        <f aca="false">IFERROR(VLOOKUP(H3058,$AD$1:$AE$301,2,0),"")</f>
        <v>1008273</v>
      </c>
      <c r="G3058" s="147" t="str">
        <f aca="false">IFERROR(VLOOKUP(F3058,$AE$2:$AF$290,2, 0),"")</f>
        <v>تبوك</v>
      </c>
      <c r="H3058" s="212" t="s">
        <v>144</v>
      </c>
      <c r="I3058" s="246" t="n">
        <f aca="false">SUM(K3058:R3058)</f>
        <v>1</v>
      </c>
      <c r="J3058" s="182" t="n">
        <v>46260</v>
      </c>
      <c r="M3058" s="150" t="n">
        <v>1</v>
      </c>
      <c r="S3058" s="192" t="n">
        <f aca="false">(K3058+O3058+Q3058)*24 /1130+(L3058+M3058+P3058+R3058)*12/1130+(N3058*30)/1130</f>
        <v>0.0106194690265487</v>
      </c>
    </row>
    <row r="3059" customFormat="false" ht="15" hidden="true" customHeight="true" outlineLevel="0" collapsed="false">
      <c r="B3059" s="233" t="n">
        <f aca="false">B3058+D3059-C3059</f>
        <v>21943.68</v>
      </c>
      <c r="D3059" s="146" t="n">
        <v>161</v>
      </c>
      <c r="E3059" s="147" t="n">
        <v>53002320</v>
      </c>
      <c r="F3059" s="147" t="n">
        <f aca="false">IFERROR(VLOOKUP(H3059,$AD$1:$AE$301,2,0),"")</f>
        <v>1002895</v>
      </c>
      <c r="G3059" s="147" t="str">
        <f aca="false">IFERROR(VLOOKUP(F3059,$AE$2:$AF$290,2, 0),"")</f>
        <v>تبوك</v>
      </c>
      <c r="H3059" s="212" t="s">
        <v>173</v>
      </c>
      <c r="I3059" s="246" t="n">
        <f aca="false">SUM(K3059:R3059)</f>
        <v>1</v>
      </c>
      <c r="J3059" s="182" t="n">
        <v>46260</v>
      </c>
      <c r="Q3059" s="154" t="n">
        <v>1</v>
      </c>
      <c r="S3059" s="192" t="n">
        <f aca="false">(K3059+O3059+Q3059)*24 /1130+(L3059+M3059+P3059+R3059)*12/1130+(N3059*30)/1130</f>
        <v>0.0212389380530973</v>
      </c>
    </row>
    <row r="3060" customFormat="false" ht="15" hidden="true" customHeight="true" outlineLevel="0" collapsed="false">
      <c r="B3060" s="233" t="n">
        <f aca="false">B3059+D3060-C3060</f>
        <v>23213.28</v>
      </c>
      <c r="D3060" s="146" t="n">
        <v>1269.6</v>
      </c>
      <c r="E3060" s="147" t="n">
        <v>53002321</v>
      </c>
      <c r="F3060" s="147" t="n">
        <f aca="false">IFERROR(VLOOKUP(H3060,$AD$1:$AE$301,2,0),"")</f>
        <v>1002896</v>
      </c>
      <c r="G3060" s="147" t="str">
        <f aca="false">IFERROR(VLOOKUP(F3060,$AE$2:$AF$290,2, 0),"")</f>
        <v>تبوك</v>
      </c>
      <c r="H3060" s="212" t="s">
        <v>523</v>
      </c>
      <c r="I3060" s="246" t="n">
        <f aca="false">SUM(K3060:R3060)</f>
        <v>4</v>
      </c>
      <c r="J3060" s="182" t="n">
        <v>46260</v>
      </c>
      <c r="K3060" s="148" t="n">
        <v>4</v>
      </c>
      <c r="S3060" s="192" t="n">
        <f aca="false">(K3060+O3060+Q3060)*24 /1130+(L3060+M3060+P3060+R3060)*12/1130+(N3060*30)/1130</f>
        <v>0.0849557522123894</v>
      </c>
    </row>
    <row r="3061" customFormat="false" ht="15" hidden="true" customHeight="true" outlineLevel="0" collapsed="false">
      <c r="B3061" s="233" t="n">
        <f aca="false">B3060+D3061-C3061</f>
        <v>23523.78</v>
      </c>
      <c r="D3061" s="146" t="n">
        <v>310.5</v>
      </c>
      <c r="E3061" s="147" t="n">
        <v>53002322</v>
      </c>
      <c r="F3061" s="147" t="n">
        <f aca="false">IFERROR(VLOOKUP(H3061,$AD$1:$AE$301,2,0),"")</f>
        <v>954</v>
      </c>
      <c r="G3061" s="147" t="str">
        <f aca="false">IFERROR(VLOOKUP(F3061,$AE$2:$AF$290,2, 0),"")</f>
        <v>تبوك</v>
      </c>
      <c r="H3061" s="212" t="s">
        <v>199</v>
      </c>
      <c r="I3061" s="246" t="n">
        <f aca="false">SUM(K3061:R3061)</f>
        <v>1</v>
      </c>
      <c r="J3061" s="182" t="n">
        <v>46260</v>
      </c>
      <c r="R3061" s="155" t="n">
        <v>1</v>
      </c>
      <c r="S3061" s="192" t="n">
        <f aca="false">(K3061+O3061+Q3061)*24 /1130+(L3061+M3061+P3061+R3061)*12/1130+(N3061*30)/1130</f>
        <v>0.0106194690265487</v>
      </c>
    </row>
    <row r="3062" customFormat="false" ht="15" hidden="true" customHeight="true" outlineLevel="0" collapsed="false">
      <c r="B3062" s="233" t="n">
        <f aca="false">B3061+D3062-C3062</f>
        <v>21779.03</v>
      </c>
      <c r="C3062" s="127" t="n">
        <f aca="false">150+1000+175+419.75</f>
        <v>1744.75</v>
      </c>
      <c r="E3062" s="147" t="s">
        <v>675</v>
      </c>
      <c r="F3062" s="147" t="str">
        <f aca="false">IFERROR(VLOOKUP(H3062,$AD$1:$AE$301,2,0),"")</f>
        <v/>
      </c>
      <c r="G3062" s="147" t="str">
        <f aca="false">IFERROR(VLOOKUP(F3062,$AE$2:$AF$290,2, 0),"")</f>
        <v/>
      </c>
      <c r="H3062" s="212" t="s">
        <v>393</v>
      </c>
      <c r="I3062" s="246" t="n">
        <f aca="false">SUM(K3062:R3062)</f>
        <v>0</v>
      </c>
      <c r="J3062" s="182" t="n">
        <v>46260</v>
      </c>
      <c r="S3062" s="192" t="n">
        <f aca="false">(K3062+O3062+Q3062)*24 /1130+(L3062+M3062+P3062+R3062)*12/1130+(N3062*30)/1130</f>
        <v>0</v>
      </c>
    </row>
    <row r="3063" customFormat="false" ht="15" hidden="true" customHeight="true" outlineLevel="0" collapsed="false">
      <c r="B3063" s="233" t="n">
        <f aca="false">B3062+D3063-C3063</f>
        <v>20868.03</v>
      </c>
      <c r="C3063" s="127" t="n">
        <f aca="false">339+300+272</f>
        <v>911</v>
      </c>
      <c r="E3063" s="147" t="s">
        <v>675</v>
      </c>
      <c r="F3063" s="147" t="str">
        <f aca="false">IFERROR(VLOOKUP(H3063,$AD$1:$AE$301,2,0),"")</f>
        <v/>
      </c>
      <c r="G3063" s="147" t="str">
        <f aca="false">IFERROR(VLOOKUP(F3063,$AE$2:$AF$290,2, 0),"")</f>
        <v/>
      </c>
      <c r="H3063" s="212" t="s">
        <v>393</v>
      </c>
      <c r="I3063" s="246" t="n">
        <f aca="false">SUM(K3063:R3063)</f>
        <v>0</v>
      </c>
      <c r="J3063" s="182" t="n">
        <v>46260</v>
      </c>
      <c r="S3063" s="192" t="n">
        <f aca="false">(K3063+O3063+Q3063)*24 /1130+(L3063+M3063+P3063+R3063)*12/1130+(N3063*30)/1130</f>
        <v>0</v>
      </c>
    </row>
    <row r="3064" customFormat="false" ht="15" hidden="true" customHeight="true" outlineLevel="0" collapsed="false">
      <c r="B3064" s="233" t="n">
        <f aca="false">B3063+D3064-C3064</f>
        <v>16068.03</v>
      </c>
      <c r="C3064" s="127" t="n">
        <f aca="false">4500+300</f>
        <v>4800</v>
      </c>
      <c r="E3064" s="147" t="s">
        <v>677</v>
      </c>
      <c r="F3064" s="147" t="str">
        <f aca="false">IFERROR(VLOOKUP(H3064,$AD$1:$AE$301,2,0),"")</f>
        <v/>
      </c>
      <c r="G3064" s="147" t="str">
        <f aca="false">IFERROR(VLOOKUP(F3064,$AE$2:$AF$290,2, 0),"")</f>
        <v/>
      </c>
      <c r="H3064" s="212" t="s">
        <v>393</v>
      </c>
      <c r="I3064" s="246" t="n">
        <f aca="false">SUM(K3064:R3064)</f>
        <v>0</v>
      </c>
      <c r="J3064" s="182" t="n">
        <v>46260</v>
      </c>
      <c r="S3064" s="192" t="n">
        <f aca="false">(K3064+O3064+Q3064)*24 /1130+(L3064+M3064+P3064+R3064)*12/1130+(N3064*30)/1130</f>
        <v>0</v>
      </c>
    </row>
    <row r="3065" customFormat="false" ht="15" hidden="true" customHeight="true" outlineLevel="0" collapsed="false">
      <c r="B3065" s="233" t="n">
        <f aca="false">B3064+D3065-C3065</f>
        <v>19380.03</v>
      </c>
      <c r="D3065" s="146" t="n">
        <v>3312</v>
      </c>
      <c r="E3065" s="147" t="n">
        <v>53002323</v>
      </c>
      <c r="F3065" s="147" t="n">
        <f aca="false">IFERROR(VLOOKUP(H3065,$AD$1:$AE$301,2,0),"")</f>
        <v>1002875</v>
      </c>
      <c r="G3065" s="147" t="str">
        <f aca="false">IFERROR(VLOOKUP(F3065,$AE$2:$AF$290,2, 0),"")</f>
        <v>تبوك</v>
      </c>
      <c r="H3065" s="212" t="s">
        <v>161</v>
      </c>
      <c r="I3065" s="246" t="n">
        <f aca="false">SUM(K3065:R3065)</f>
        <v>12</v>
      </c>
      <c r="J3065" s="182" t="n">
        <v>46261</v>
      </c>
      <c r="M3065" s="150" t="n">
        <v>5</v>
      </c>
      <c r="R3065" s="155" t="n">
        <f aca="false">6+1</f>
        <v>7</v>
      </c>
      <c r="S3065" s="192" t="n">
        <f aca="false">(K3065+O3065+Q3065)*24 /1130+(L3065+M3065+P3065+R3065)*12/1130+(N3065*30)/1130</f>
        <v>0.127433628318584</v>
      </c>
    </row>
    <row r="3066" customFormat="false" ht="15" hidden="true" customHeight="true" outlineLevel="0" collapsed="false">
      <c r="B3066" s="233" t="n">
        <f aca="false">B3065+D3066-C3066</f>
        <v>21346.53</v>
      </c>
      <c r="D3066" s="146" t="n">
        <v>1966.5</v>
      </c>
      <c r="E3066" s="147" t="n">
        <v>53002324</v>
      </c>
      <c r="F3066" s="147" t="n">
        <f aca="false">IFERROR(VLOOKUP(H3066,$AD$1:$AE$301,2,0),"")</f>
        <v>1002907</v>
      </c>
      <c r="G3066" s="147" t="str">
        <f aca="false">IFERROR(VLOOKUP(F3066,$AE$2:$AF$290,2, 0),"")</f>
        <v>تبوك</v>
      </c>
      <c r="H3066" s="212" t="s">
        <v>189</v>
      </c>
      <c r="I3066" s="246" t="n">
        <f aca="false">SUM(K3066:R3066)</f>
        <v>7</v>
      </c>
      <c r="J3066" s="182" t="n">
        <v>46261</v>
      </c>
      <c r="M3066" s="150" t="n">
        <v>7</v>
      </c>
      <c r="S3066" s="192" t="n">
        <f aca="false">(K3066+O3066+Q3066)*24 /1130+(L3066+M3066+P3066+R3066)*12/1130+(N3066*30)/1130</f>
        <v>0.0743362831858407</v>
      </c>
    </row>
    <row r="3067" customFormat="false" ht="15" hidden="true" customHeight="true" outlineLevel="0" collapsed="false">
      <c r="B3067" s="233" t="n">
        <f aca="false">B3066+D3067-C3067</f>
        <v>22002.03</v>
      </c>
      <c r="D3067" s="146" t="n">
        <v>655.5</v>
      </c>
      <c r="E3067" s="147" t="n">
        <v>53002325</v>
      </c>
      <c r="F3067" s="147" t="n">
        <f aca="false">IFERROR(VLOOKUP(H3067,$AD$1:$AE$301,2,0),"")</f>
        <v>1002930</v>
      </c>
      <c r="G3067" s="147" t="str">
        <f aca="false">IFERROR(VLOOKUP(F3067,$AE$2:$AF$290,2, 0),"")</f>
        <v>تبوك</v>
      </c>
      <c r="H3067" s="212" t="s">
        <v>171</v>
      </c>
      <c r="I3067" s="246" t="n">
        <f aca="false">SUM(K3067:R3067)</f>
        <v>4</v>
      </c>
      <c r="J3067" s="182" t="n">
        <v>46261</v>
      </c>
      <c r="L3067" s="149" t="n">
        <v>4</v>
      </c>
      <c r="S3067" s="192" t="n">
        <f aca="false">(K3067+O3067+Q3067)*24 /1130+(L3067+M3067+P3067+R3067)*12/1130+(N3067*30)/1130</f>
        <v>0.0424778761061947</v>
      </c>
    </row>
    <row r="3068" customFormat="false" ht="15" hidden="true" customHeight="true" outlineLevel="0" collapsed="false">
      <c r="B3068" s="233" t="n">
        <f aca="false">B3067+D3068-C3068</f>
        <v>24702.23</v>
      </c>
      <c r="D3068" s="146" t="n">
        <v>2700.2</v>
      </c>
      <c r="E3068" s="147" t="n">
        <v>53002326</v>
      </c>
      <c r="F3068" s="147" t="n">
        <f aca="false">IFERROR(VLOOKUP(H3068,$AD$1:$AE$301,2,0),"")</f>
        <v>1002906</v>
      </c>
      <c r="G3068" s="147" t="str">
        <f aca="false">IFERROR(VLOOKUP(F3068,$AE$2:$AF$290,2, 0),"")</f>
        <v>تبوك</v>
      </c>
      <c r="H3068" s="212" t="s">
        <v>138</v>
      </c>
      <c r="I3068" s="246" t="n">
        <f aca="false">SUM(K3068:R3068)</f>
        <v>9</v>
      </c>
      <c r="J3068" s="182" t="n">
        <v>46263</v>
      </c>
      <c r="K3068" s="148" t="n">
        <v>8</v>
      </c>
      <c r="Q3068" s="154" t="n">
        <v>1</v>
      </c>
      <c r="S3068" s="192" t="n">
        <f aca="false">(K3068+O3068+Q3068)*24 /1130+(L3068+M3068+P3068+R3068)*12/1130+(N3068*30)/1130</f>
        <v>0.191150442477876</v>
      </c>
    </row>
    <row r="3069" customFormat="false" ht="15" hidden="true" customHeight="true" outlineLevel="0" collapsed="false">
      <c r="B3069" s="233" t="n">
        <f aca="false">B3068+D3069-C3069</f>
        <v>25006.98</v>
      </c>
      <c r="D3069" s="146" t="n">
        <v>304.75</v>
      </c>
      <c r="E3069" s="147" t="n">
        <v>53002327</v>
      </c>
      <c r="F3069" s="147" t="n">
        <f aca="false">IFERROR(VLOOKUP(H3069,$AD$1:$AE$301,2,0),"")</f>
        <v>1008058</v>
      </c>
      <c r="G3069" s="147" t="str">
        <f aca="false">IFERROR(VLOOKUP(F3069,$AE$2:$AF$290,2, 0),"")</f>
        <v>تبوك</v>
      </c>
      <c r="H3069" s="212" t="s">
        <v>193</v>
      </c>
      <c r="I3069" s="246" t="n">
        <f aca="false">SUM(K3069:R3069)</f>
        <v>1</v>
      </c>
      <c r="J3069" s="182" t="n">
        <v>46263</v>
      </c>
      <c r="O3069" s="152" t="n">
        <v>1</v>
      </c>
      <c r="S3069" s="192" t="n">
        <f aca="false">(K3069+O3069+Q3069)*24 /1130+(L3069+M3069+P3069+R3069)*12/1130+(N3069*30)/1130</f>
        <v>0.0212389380530973</v>
      </c>
    </row>
    <row r="3070" customFormat="false" ht="15" hidden="true" customHeight="true" outlineLevel="0" collapsed="false">
      <c r="B3070" s="233" t="n">
        <f aca="false">B3069+D3070-C3070</f>
        <v>25248.48</v>
      </c>
      <c r="D3070" s="146" t="n">
        <v>241.5</v>
      </c>
      <c r="E3070" s="147" t="n">
        <v>53002328</v>
      </c>
      <c r="F3070" s="147" t="n">
        <f aca="false">IFERROR(VLOOKUP(H3070,$AD$1:$AE$301,2,0),"")</f>
        <v>1002909</v>
      </c>
      <c r="G3070" s="147" t="str">
        <f aca="false">IFERROR(VLOOKUP(F3070,$AE$2:$AF$290,2, 0),"")</f>
        <v>تبوك</v>
      </c>
      <c r="H3070" s="212" t="s">
        <v>200</v>
      </c>
      <c r="I3070" s="246" t="n">
        <f aca="false">SUM(K3070:R3070)</f>
        <v>1</v>
      </c>
      <c r="J3070" s="182" t="n">
        <v>46263</v>
      </c>
      <c r="M3070" s="150" t="n">
        <v>1</v>
      </c>
      <c r="S3070" s="192" t="n">
        <f aca="false">(K3070+O3070+Q3070)*24 /1130+(L3070+M3070+P3070+R3070)*12/1130+(N3070*30)/1130</f>
        <v>0.0106194690265487</v>
      </c>
    </row>
    <row r="3071" customFormat="false" ht="15" hidden="true" customHeight="true" outlineLevel="0" collapsed="false">
      <c r="B3071" s="233" t="n">
        <f aca="false">B3070+D3071-C3071</f>
        <v>27306.98</v>
      </c>
      <c r="D3071" s="146" t="n">
        <v>2058.5</v>
      </c>
      <c r="E3071" s="147" t="n">
        <v>53002329</v>
      </c>
      <c r="F3071" s="147" t="n">
        <f aca="false">IFERROR(VLOOKUP(H3071,$AD$1:$AE$301,2,0),"")</f>
        <v>1212</v>
      </c>
      <c r="G3071" s="147" t="str">
        <f aca="false">IFERROR(VLOOKUP(F3071,$AE$2:$AF$290,2, 0),"")</f>
        <v>تبوك</v>
      </c>
      <c r="H3071" s="212" t="s">
        <v>191</v>
      </c>
      <c r="I3071" s="246" t="n">
        <f aca="false">SUM(K3071:R3071)</f>
        <v>7</v>
      </c>
      <c r="J3071" s="182" t="n">
        <v>46263</v>
      </c>
      <c r="M3071" s="150" t="n">
        <v>7</v>
      </c>
      <c r="S3071" s="192" t="n">
        <f aca="false">(K3071+O3071+Q3071)*24 /1130+(L3071+M3071+P3071+R3071)*12/1130+(N3071*30)/1130</f>
        <v>0.0743362831858407</v>
      </c>
    </row>
    <row r="3072" customFormat="false" ht="15" hidden="true" customHeight="true" outlineLevel="0" collapsed="false">
      <c r="B3072" s="233" t="n">
        <f aca="false">B3071+D3072-C3072</f>
        <v>25466.98</v>
      </c>
      <c r="C3072" s="127" t="n">
        <f aca="false">282+288+1200+70</f>
        <v>1840</v>
      </c>
      <c r="E3072" s="147" t="s">
        <v>680</v>
      </c>
      <c r="F3072" s="147" t="str">
        <f aca="false">IFERROR(VLOOKUP(H3072,$AD$1:$AE$301,2,0),"")</f>
        <v/>
      </c>
      <c r="G3072" s="147" t="str">
        <f aca="false">IFERROR(VLOOKUP(F3072,$AE$2:$AF$290,2, 0),"")</f>
        <v/>
      </c>
      <c r="H3072" s="212" t="s">
        <v>393</v>
      </c>
      <c r="I3072" s="246" t="n">
        <f aca="false">SUM(K3072:R3072)</f>
        <v>0</v>
      </c>
      <c r="J3072" s="182" t="n">
        <v>46263</v>
      </c>
      <c r="S3072" s="192" t="n">
        <f aca="false">(K3072+O3072+Q3072)*24 /1130+(L3072+M3072+P3072+R3072)*12/1130+(N3072*30)/1130</f>
        <v>0</v>
      </c>
    </row>
    <row r="3073" customFormat="false" ht="15" hidden="true" customHeight="true" outlineLevel="0" collapsed="false">
      <c r="B3073" s="233" t="n">
        <f aca="false">B3072+D3073-C3073</f>
        <v>23442.98</v>
      </c>
      <c r="C3073" s="127" t="n">
        <f aca="false">155+120+105+130+80+117+92+120+120+35+135+130+50+260+169+140+66</f>
        <v>2024</v>
      </c>
      <c r="E3073" s="147" t="s">
        <v>680</v>
      </c>
      <c r="F3073" s="147" t="str">
        <f aca="false">IFERROR(VLOOKUP(H3073,$AD$1:$AE$301,2,0),"")</f>
        <v/>
      </c>
      <c r="G3073" s="147" t="str">
        <f aca="false">IFERROR(VLOOKUP(F3073,$AE$2:$AF$290,2, 0),"")</f>
        <v/>
      </c>
      <c r="H3073" s="212" t="s">
        <v>393</v>
      </c>
      <c r="I3073" s="246" t="n">
        <f aca="false">SUM(K3073:R3073)</f>
        <v>0</v>
      </c>
      <c r="J3073" s="182" t="n">
        <v>46263</v>
      </c>
      <c r="S3073" s="192" t="n">
        <f aca="false">(K3073+O3073+Q3073)*24 /1130+(L3073+M3073+P3073+R3073)*12/1130+(N3073*30)/1130</f>
        <v>0</v>
      </c>
    </row>
    <row r="3074" customFormat="false" ht="15" hidden="true" customHeight="true" outlineLevel="0" collapsed="false">
      <c r="B3074" s="233" t="n">
        <f aca="false">B3073+D3074-C3074</f>
        <v>16782.98</v>
      </c>
      <c r="C3074" s="127" t="n">
        <f aca="false">3500+2540+500+120</f>
        <v>6660</v>
      </c>
      <c r="E3074" s="147" t="s">
        <v>681</v>
      </c>
      <c r="F3074" s="147" t="str">
        <f aca="false">IFERROR(VLOOKUP(H3074,$AD$1:$AE$301,2,0),"")</f>
        <v/>
      </c>
      <c r="G3074" s="147" t="str">
        <f aca="false">IFERROR(VLOOKUP(F3074,$AE$2:$AF$290,2, 0),"")</f>
        <v/>
      </c>
      <c r="H3074" s="212" t="s">
        <v>393</v>
      </c>
      <c r="I3074" s="246" t="n">
        <f aca="false">SUM(K3074:R3074)</f>
        <v>0</v>
      </c>
      <c r="J3074" s="182" t="n">
        <v>46263</v>
      </c>
      <c r="S3074" s="192" t="n">
        <f aca="false">(K3074+O3074+Q3074)*24 /1130+(L3074+M3074+P3074+R3074)*12/1130+(N3074*30)/1130</f>
        <v>0</v>
      </c>
    </row>
    <row r="3075" customFormat="false" ht="15" hidden="true" customHeight="true" outlineLevel="0" collapsed="false">
      <c r="B3075" s="233" t="n">
        <f aca="false">B3074+D3075-C3075</f>
        <v>15683.98</v>
      </c>
      <c r="C3075" s="127" t="n">
        <f aca="false">215+217+100+250+317</f>
        <v>1099</v>
      </c>
      <c r="E3075" s="147" t="s">
        <v>680</v>
      </c>
      <c r="F3075" s="147" t="str">
        <f aca="false">IFERROR(VLOOKUP(H3075,$AD$1:$AE$301,2,0),"")</f>
        <v/>
      </c>
      <c r="G3075" s="147" t="str">
        <f aca="false">IFERROR(VLOOKUP(F3075,$AE$2:$AF$290,2, 0),"")</f>
        <v/>
      </c>
      <c r="H3075" s="212" t="s">
        <v>393</v>
      </c>
      <c r="I3075" s="246" t="n">
        <f aca="false">SUM(K3075:R3075)</f>
        <v>0</v>
      </c>
      <c r="J3075" s="182" t="n">
        <v>46263</v>
      </c>
      <c r="S3075" s="192" t="n">
        <f aca="false">(K3075+O3075+Q3075)*24 /1130+(L3075+M3075+P3075+R3075)*12/1130+(N3075*30)/1130</f>
        <v>0</v>
      </c>
    </row>
    <row r="3076" customFormat="false" ht="15" hidden="true" customHeight="true" outlineLevel="0" collapsed="false">
      <c r="B3076" s="233" t="n">
        <f aca="false">B3075+D3076-C3076</f>
        <v>14161.9</v>
      </c>
      <c r="C3076" s="127" t="n">
        <f aca="false">70+350+55+10+230+169.08+20+45+338+235</f>
        <v>1522.08</v>
      </c>
      <c r="E3076" s="147" t="s">
        <v>675</v>
      </c>
      <c r="F3076" s="147" t="str">
        <f aca="false">IFERROR(VLOOKUP(H3076,$AD$1:$AE$301,2,0),"")</f>
        <v/>
      </c>
      <c r="G3076" s="147" t="str">
        <f aca="false">IFERROR(VLOOKUP(F3076,$AE$2:$AF$290,2, 0),"")</f>
        <v/>
      </c>
      <c r="H3076" s="212" t="s">
        <v>393</v>
      </c>
      <c r="I3076" s="246" t="n">
        <f aca="false">SUM(K3076:R3076)</f>
        <v>0</v>
      </c>
      <c r="J3076" s="182" t="n">
        <v>46263</v>
      </c>
      <c r="S3076" s="192" t="n">
        <f aca="false">(K3076+O3076+Q3076)*24 /1130+(L3076+M3076+P3076+R3076)*12/1130+(N3076*30)/1130</f>
        <v>0</v>
      </c>
    </row>
    <row r="3077" customFormat="false" ht="15" hidden="true" customHeight="true" outlineLevel="0" collapsed="false">
      <c r="B3077" s="233" t="n">
        <f aca="false">B3076+D3077-C3077</f>
        <v>11561.9</v>
      </c>
      <c r="C3077" s="127" t="n">
        <f aca="false">500+2100</f>
        <v>2600</v>
      </c>
      <c r="E3077" s="147" t="s">
        <v>675</v>
      </c>
      <c r="F3077" s="147" t="str">
        <f aca="false">IFERROR(VLOOKUP(H3077,$AD$1:$AE$301,2,0),"")</f>
        <v/>
      </c>
      <c r="G3077" s="147" t="str">
        <f aca="false">IFERROR(VLOOKUP(F3077,$AE$2:$AF$290,2, 0),"")</f>
        <v/>
      </c>
      <c r="H3077" s="212" t="s">
        <v>393</v>
      </c>
      <c r="I3077" s="246" t="n">
        <f aca="false">SUM(K3077:R3077)</f>
        <v>0</v>
      </c>
      <c r="J3077" s="182" t="n">
        <v>46263</v>
      </c>
      <c r="S3077" s="192" t="n">
        <f aca="false">(K3077+O3077+Q3077)*24 /1130+(L3077+M3077+P3077+R3077)*12/1130+(N3077*30)/1130</f>
        <v>0</v>
      </c>
    </row>
    <row r="3078" customFormat="false" ht="15" hidden="true" customHeight="true" outlineLevel="0" collapsed="false">
      <c r="B3078" s="233" t="n">
        <f aca="false">B3077+D3078-C3078</f>
        <v>19427.9</v>
      </c>
      <c r="D3078" s="146" t="n">
        <v>7866</v>
      </c>
      <c r="E3078" s="147" t="n">
        <v>53002330</v>
      </c>
      <c r="F3078" s="147" t="n">
        <f aca="false">IFERROR(VLOOKUP(H3078,$AD$1:$AE$301,2,0),"")</f>
        <v>1063</v>
      </c>
      <c r="G3078" s="147" t="str">
        <f aca="false">IFERROR(VLOOKUP(F3078,$AE$2:$AF$290,2, 0),"")</f>
        <v>تبوك</v>
      </c>
      <c r="H3078" s="212" t="s">
        <v>158</v>
      </c>
      <c r="I3078" s="246" t="n">
        <f aca="false">SUM(K3078:R3078)</f>
        <v>28</v>
      </c>
      <c r="J3078" s="182" t="n">
        <v>46264</v>
      </c>
      <c r="M3078" s="150" t="n">
        <v>28</v>
      </c>
      <c r="S3078" s="192" t="n">
        <f aca="false">(K3078+O3078+Q3078)*24 /1130+(L3078+M3078+P3078+R3078)*12/1130+(N3078*30)/1130</f>
        <v>0.297345132743363</v>
      </c>
    </row>
    <row r="3079" customFormat="false" ht="15" hidden="true" customHeight="true" outlineLevel="0" collapsed="false">
      <c r="B3079" s="233" t="n">
        <f aca="false">B3078+D3079-C3079</f>
        <v>23963.5</v>
      </c>
      <c r="D3079" s="146" t="n">
        <v>4535.6</v>
      </c>
      <c r="E3079" s="147" t="n">
        <v>53002331</v>
      </c>
      <c r="F3079" s="147" t="n">
        <f aca="false">IFERROR(VLOOKUP(H3079,$AD$1:$AE$301,2,0),"")</f>
        <v>855</v>
      </c>
      <c r="G3079" s="147" t="str">
        <f aca="false">IFERROR(VLOOKUP(F3079,$AE$2:$AF$290,2, 0),"")</f>
        <v>تبوك</v>
      </c>
      <c r="H3079" s="212" t="s">
        <v>141</v>
      </c>
      <c r="I3079" s="246" t="n">
        <f aca="false">SUM(K3079:R3079)</f>
        <v>15</v>
      </c>
      <c r="J3079" s="182" t="n">
        <v>46264</v>
      </c>
      <c r="K3079" s="148" t="n">
        <v>4</v>
      </c>
      <c r="M3079" s="150" t="n">
        <v>7</v>
      </c>
      <c r="Q3079" s="154" t="n">
        <v>4</v>
      </c>
      <c r="S3079" s="192" t="n">
        <f aca="false">(K3079+O3079+Q3079)*24 /1130+(L3079+M3079+P3079+R3079)*12/1130+(N3079*30)/1130</f>
        <v>0.244247787610619</v>
      </c>
    </row>
    <row r="3080" customFormat="false" ht="15" hidden="true" customHeight="true" outlineLevel="0" collapsed="false">
      <c r="B3080" s="233" t="n">
        <f aca="false">B3079+D3080-C3080</f>
        <v>24481</v>
      </c>
      <c r="D3080" s="146" t="n">
        <v>517.5</v>
      </c>
      <c r="E3080" s="147" t="n">
        <v>53002332</v>
      </c>
      <c r="F3080" s="147" t="n">
        <f aca="false">IFERROR(VLOOKUP(H3080,$AD$1:$AE$301,2,0),"")</f>
        <v>855</v>
      </c>
      <c r="G3080" s="147" t="str">
        <f aca="false">IFERROR(VLOOKUP(F3080,$AE$2:$AF$290,2, 0),"")</f>
        <v>تبوك</v>
      </c>
      <c r="H3080" s="212" t="s">
        <v>141</v>
      </c>
      <c r="I3080" s="246" t="n">
        <f aca="false">SUM(K3080:R3080)</f>
        <v>3</v>
      </c>
      <c r="J3080" s="182" t="n">
        <v>46264</v>
      </c>
      <c r="R3080" s="155" t="n">
        <v>3</v>
      </c>
      <c r="S3080" s="192" t="n">
        <f aca="false">(K3080+O3080+Q3080)*24 /1130+(L3080+M3080+P3080+R3080)*12/1130+(N3080*30)/1130</f>
        <v>0.031858407079646</v>
      </c>
    </row>
    <row r="3081" customFormat="false" ht="15" hidden="true" customHeight="true" outlineLevel="0" collapsed="false">
      <c r="B3081" s="233" t="n">
        <f aca="false">B3080+D3081-C3081</f>
        <v>26453.25</v>
      </c>
      <c r="D3081" s="146" t="n">
        <v>1972.25</v>
      </c>
      <c r="E3081" s="147" t="n">
        <v>53002333</v>
      </c>
      <c r="F3081" s="147" t="n">
        <f aca="false">IFERROR(VLOOKUP(H3081,$AD$1:$AE$301,2,0),"")</f>
        <v>1071</v>
      </c>
      <c r="G3081" s="147" t="str">
        <f aca="false">IFERROR(VLOOKUP(F3081,$AE$2:$AF$290,2, 0),"")</f>
        <v>تبوك</v>
      </c>
      <c r="H3081" s="212" t="s">
        <v>135</v>
      </c>
      <c r="I3081" s="246" t="n">
        <f aca="false">SUM(K3081:R3081)</f>
        <v>7</v>
      </c>
      <c r="J3081" s="182" t="n">
        <v>46264</v>
      </c>
      <c r="M3081" s="150" t="n">
        <v>7</v>
      </c>
      <c r="S3081" s="192" t="n">
        <f aca="false">(K3081+O3081+Q3081)*24 /1130+(L3081+M3081+P3081+R3081)*12/1130+(N3081*30)/1130</f>
        <v>0.0743362831858407</v>
      </c>
    </row>
    <row r="3082" customFormat="false" ht="15" hidden="true" customHeight="true" outlineLevel="0" collapsed="false">
      <c r="B3082" s="233" t="n">
        <f aca="false">B3081+D3082-C3082</f>
        <v>28419.75</v>
      </c>
      <c r="D3082" s="146" t="n">
        <v>1966.5</v>
      </c>
      <c r="E3082" s="147" t="n">
        <v>53002334</v>
      </c>
      <c r="F3082" s="147" t="n">
        <f aca="false">IFERROR(VLOOKUP(H3082,$AD$1:$AE$301,2,0),"")</f>
        <v>1002883</v>
      </c>
      <c r="G3082" s="147" t="str">
        <f aca="false">IFERROR(VLOOKUP(F3082,$AE$2:$AF$290,2, 0),"")</f>
        <v>تبوك</v>
      </c>
      <c r="H3082" s="212" t="s">
        <v>198</v>
      </c>
      <c r="I3082" s="246" t="n">
        <f aca="false">SUM(K3082:R3082)</f>
        <v>7</v>
      </c>
      <c r="J3082" s="182" t="n">
        <v>46264</v>
      </c>
      <c r="M3082" s="150" t="n">
        <v>7</v>
      </c>
      <c r="S3082" s="192" t="n">
        <f aca="false">(K3082+O3082+Q3082)*24 /1130+(L3082+M3082+P3082+R3082)*12/1130+(N3082*30)/1130</f>
        <v>0.0743362831858407</v>
      </c>
    </row>
    <row r="3083" customFormat="false" ht="15" hidden="true" customHeight="true" outlineLevel="0" collapsed="false">
      <c r="B3083" s="233" t="n">
        <f aca="false">B3082+D3083-C3083</f>
        <v>29689.35</v>
      </c>
      <c r="D3083" s="146" t="n">
        <v>1269.6</v>
      </c>
      <c r="E3083" s="147" t="n">
        <v>53002335</v>
      </c>
      <c r="F3083" s="147" t="n">
        <f aca="false">IFERROR(VLOOKUP(H3083,$AD$1:$AE$301,2,0),"")</f>
        <v>1002914</v>
      </c>
      <c r="G3083" s="147" t="str">
        <f aca="false">IFERROR(VLOOKUP(F3083,$AE$2:$AF$290,2, 0),"")</f>
        <v>تبوك</v>
      </c>
      <c r="H3083" s="212" t="s">
        <v>162</v>
      </c>
      <c r="I3083" s="246" t="n">
        <f aca="false">SUM(K3083:R3083)</f>
        <v>4</v>
      </c>
      <c r="J3083" s="182" t="n">
        <v>46264</v>
      </c>
      <c r="K3083" s="148" t="n">
        <v>4</v>
      </c>
      <c r="S3083" s="192" t="n">
        <f aca="false">(K3083+O3083+Q3083)*24 /1130+(L3083+M3083+P3083+R3083)*12/1130+(N3083*30)/1130</f>
        <v>0.0849557522123894</v>
      </c>
    </row>
    <row r="3084" customFormat="false" ht="15" hidden="true" customHeight="true" outlineLevel="0" collapsed="false">
      <c r="B3084" s="233" t="n">
        <f aca="false">B3083+D3084-C3084</f>
        <v>29850.35</v>
      </c>
      <c r="D3084" s="146" t="n">
        <v>161</v>
      </c>
      <c r="E3084" s="147" t="n">
        <v>53002336</v>
      </c>
      <c r="F3084" s="147" t="n">
        <f aca="false">IFERROR(VLOOKUP(H3084,$AD$1:$AE$301,2,0),"")</f>
        <v>1002914</v>
      </c>
      <c r="G3084" s="147" t="str">
        <f aca="false">IFERROR(VLOOKUP(F3084,$AE$2:$AF$290,2, 0),"")</f>
        <v>تبوك</v>
      </c>
      <c r="H3084" s="212" t="s">
        <v>162</v>
      </c>
      <c r="I3084" s="246" t="n">
        <f aca="false">SUM(K3084:R3084)</f>
        <v>1</v>
      </c>
      <c r="J3084" s="182" t="n">
        <v>46264</v>
      </c>
      <c r="Q3084" s="154" t="n">
        <v>1</v>
      </c>
      <c r="S3084" s="192" t="n">
        <f aca="false">(K3084+O3084+Q3084)*24 /1130+(L3084+M3084+P3084+R3084)*12/1130+(N3084*30)/1130</f>
        <v>0.0212389380530973</v>
      </c>
    </row>
    <row r="3085" customFormat="false" ht="15" hidden="true" customHeight="true" outlineLevel="0" collapsed="false">
      <c r="B3085" s="233" t="n">
        <f aca="false">B3084+D3085-C3085</f>
        <v>32782.85</v>
      </c>
      <c r="D3085" s="146" t="n">
        <v>2932.5</v>
      </c>
      <c r="E3085" s="147" t="n">
        <v>53002337</v>
      </c>
      <c r="F3085" s="147" t="n">
        <f aca="false">IFERROR(VLOOKUP(H3085,$AD$1:$AE$301,2,0),"")</f>
        <v>1002947</v>
      </c>
      <c r="G3085" s="147" t="str">
        <f aca="false">IFERROR(VLOOKUP(F3085,$AE$2:$AF$290,2, 0),"")</f>
        <v>تبوك</v>
      </c>
      <c r="H3085" s="212" t="s">
        <v>174</v>
      </c>
      <c r="I3085" s="246" t="n">
        <f aca="false">SUM(K3085:R3085)</f>
        <v>8</v>
      </c>
      <c r="J3085" s="182" t="n">
        <v>46264</v>
      </c>
      <c r="M3085" s="150" t="n">
        <v>7</v>
      </c>
      <c r="R3085" s="155" t="n">
        <v>1</v>
      </c>
      <c r="S3085" s="192" t="n">
        <f aca="false">(K3085+O3085+Q3085)*24 /1130+(L3085+M3085+P3085+R3085)*12/1130+(N3085*30)/1130</f>
        <v>0.0849557522123894</v>
      </c>
    </row>
    <row r="3086" customFormat="false" ht="15" hidden="true" customHeight="true" outlineLevel="0" collapsed="false">
      <c r="B3086" s="233" t="n">
        <f aca="false">B3085+D3086-C3086</f>
        <v>34213.45</v>
      </c>
      <c r="D3086" s="146" t="n">
        <v>1430.6</v>
      </c>
      <c r="E3086" s="147" t="n">
        <v>53002338</v>
      </c>
      <c r="F3086" s="147" t="n">
        <f aca="false">IFERROR(VLOOKUP(H3086,$AD$1:$AE$301,2,0),"")</f>
        <v>1002938</v>
      </c>
      <c r="G3086" s="147" t="str">
        <f aca="false">IFERROR(VLOOKUP(F3086,$AE$2:$AF$290,2, 0),"")</f>
        <v>تبوك</v>
      </c>
      <c r="H3086" s="212" t="s">
        <v>175</v>
      </c>
      <c r="I3086" s="246" t="n">
        <f aca="false">SUM(K3086:R3086)</f>
        <v>5</v>
      </c>
      <c r="J3086" s="182" t="n">
        <v>46264</v>
      </c>
      <c r="K3086" s="148" t="n">
        <v>4</v>
      </c>
      <c r="Q3086" s="154" t="n">
        <v>1</v>
      </c>
      <c r="S3086" s="192" t="n">
        <f aca="false">(K3086+O3086+Q3086)*24 /1130+(L3086+M3086+P3086+R3086)*12/1130+(N3086*30)/1130</f>
        <v>0.106194690265487</v>
      </c>
    </row>
    <row r="3087" customFormat="false" ht="15" hidden="true" customHeight="true" outlineLevel="0" collapsed="false">
      <c r="B3087" s="233" t="n">
        <f aca="false">B3086+D3087-C3087</f>
        <v>36547.95</v>
      </c>
      <c r="D3087" s="146" t="n">
        <v>2334.5</v>
      </c>
      <c r="E3087" s="147" t="n">
        <v>53002339</v>
      </c>
      <c r="F3087" s="147" t="n">
        <f aca="false">IFERROR(VLOOKUP(H3087,$AD$1:$AE$301,2,0),"")</f>
        <v>1002891</v>
      </c>
      <c r="G3087" s="147" t="str">
        <f aca="false">IFERROR(VLOOKUP(F3087,$AE$2:$AF$290,2, 0),"")</f>
        <v>تبوك</v>
      </c>
      <c r="H3087" s="212" t="s">
        <v>201</v>
      </c>
      <c r="I3087" s="246" t="n">
        <f aca="false">SUM(K3087:R3087)</f>
        <v>8</v>
      </c>
      <c r="J3087" s="182" t="n">
        <v>46264</v>
      </c>
      <c r="M3087" s="150" t="n">
        <v>7</v>
      </c>
      <c r="Q3087" s="154" t="n">
        <v>1</v>
      </c>
      <c r="S3087" s="192" t="n">
        <f aca="false">(K3087+O3087+Q3087)*24 /1130+(L3087+M3087+P3087+R3087)*12/1130+(N3087*30)/1130</f>
        <v>0.0955752212389381</v>
      </c>
    </row>
    <row r="3088" customFormat="false" ht="15" hidden="true" customHeight="true" outlineLevel="0" collapsed="false">
      <c r="B3088" s="233" t="n">
        <f aca="false">B3087+D3088-C3088</f>
        <v>39087.15</v>
      </c>
      <c r="D3088" s="146" t="n">
        <v>2539.2</v>
      </c>
      <c r="E3088" s="147" t="n">
        <v>53002330</v>
      </c>
      <c r="F3088" s="147" t="n">
        <f aca="false">IFERROR(VLOOKUP(H3088,$AD$1:$AE$301,2,0),"")</f>
        <v>827</v>
      </c>
      <c r="G3088" s="147" t="str">
        <f aca="false">IFERROR(VLOOKUP(F3088,$AE$2:$AF$290,2, 0),"")</f>
        <v>تبوك</v>
      </c>
      <c r="H3088" s="212" t="s">
        <v>182</v>
      </c>
      <c r="I3088" s="246" t="n">
        <f aca="false">SUM(K3088:R3088)</f>
        <v>8</v>
      </c>
      <c r="J3088" s="182" t="n">
        <v>46264</v>
      </c>
      <c r="K3088" s="148" t="n">
        <v>8</v>
      </c>
      <c r="S3088" s="192" t="n">
        <f aca="false">(K3088+O3088+Q3088)*24 /1130+(L3088+M3088+P3088+R3088)*12/1130+(N3088*30)/1130</f>
        <v>0.169911504424779</v>
      </c>
    </row>
    <row r="3089" customFormat="false" ht="15" hidden="true" customHeight="true" outlineLevel="0" collapsed="false">
      <c r="B3089" s="233" t="n">
        <f aca="false">B3088+D3089-C3089</f>
        <v>40053.15</v>
      </c>
      <c r="D3089" s="146" t="n">
        <v>966</v>
      </c>
      <c r="E3089" s="147" t="n">
        <v>53002331</v>
      </c>
      <c r="F3089" s="147" t="n">
        <f aca="false">IFERROR(VLOOKUP(H3089,$AD$1:$AE$301,2,0),"")</f>
        <v>636</v>
      </c>
      <c r="G3089" s="147" t="str">
        <f aca="false">IFERROR(VLOOKUP(F3089,$AE$2:$AF$290,2, 0),"")</f>
        <v>تبوك</v>
      </c>
      <c r="H3089" s="212" t="s">
        <v>134</v>
      </c>
      <c r="I3089" s="246" t="n">
        <f aca="false">SUM(K3089:R3089)</f>
        <v>4</v>
      </c>
      <c r="J3089" s="182" t="n">
        <v>46264</v>
      </c>
      <c r="M3089" s="150" t="n">
        <v>4</v>
      </c>
      <c r="S3089" s="192" t="n">
        <f aca="false">(K3089+O3089+Q3089)*24 /1130+(L3089+M3089+P3089+R3089)*12/1130+(N3089*30)/1130</f>
        <v>0.0424778761061947</v>
      </c>
    </row>
    <row r="3090" customFormat="false" ht="15" hidden="true" customHeight="true" outlineLevel="0" collapsed="false">
      <c r="B3090" s="233" t="n">
        <f aca="false">B3089+D3090-C3090</f>
        <v>31105.65</v>
      </c>
      <c r="C3090" s="127" t="n">
        <f aca="false">1028+336.5+1000+161+1714+3269+726+550+20+143</f>
        <v>8947.5</v>
      </c>
      <c r="E3090" s="147" t="s">
        <v>675</v>
      </c>
      <c r="F3090" s="147" t="str">
        <f aca="false">IFERROR(VLOOKUP(H3090,$AD$1:$AE$301,2,0),"")</f>
        <v/>
      </c>
      <c r="G3090" s="147" t="str">
        <f aca="false">IFERROR(VLOOKUP(F3090,$AE$2:$AF$290,2, 0),"")</f>
        <v/>
      </c>
      <c r="H3090" s="212" t="s">
        <v>393</v>
      </c>
      <c r="I3090" s="246" t="n">
        <f aca="false">SUM(K3090:R3090)</f>
        <v>0</v>
      </c>
      <c r="J3090" s="182" t="n">
        <v>46264</v>
      </c>
      <c r="S3090" s="192" t="n">
        <f aca="false">(K3090+O3090+Q3090)*24 /1130+(L3090+M3090+P3090+R3090)*12/1130+(N3090*30)/1130</f>
        <v>0</v>
      </c>
    </row>
    <row r="3091" customFormat="false" ht="15" hidden="true" customHeight="true" outlineLevel="0" collapsed="false">
      <c r="B3091" s="233" t="n">
        <f aca="false">B3090+D3091-C3091</f>
        <v>32375.25</v>
      </c>
      <c r="D3091" s="146" t="n">
        <v>1269.6</v>
      </c>
      <c r="E3091" s="147" t="n">
        <v>53002332</v>
      </c>
      <c r="F3091" s="147" t="n">
        <f aca="false">IFERROR(VLOOKUP(H3091,$AD$1:$AE$301,2,0),"")</f>
        <v>1006466</v>
      </c>
      <c r="G3091" s="147" t="str">
        <f aca="false">IFERROR(VLOOKUP(F3091,$AE$2:$AF$290,2, 0),"")</f>
        <v>تبوك</v>
      </c>
      <c r="H3091" s="212" t="s">
        <v>148</v>
      </c>
      <c r="I3091" s="246" t="n">
        <f aca="false">SUM(K3091:R3091)</f>
        <v>4</v>
      </c>
      <c r="J3091" s="182" t="n">
        <v>46265</v>
      </c>
      <c r="K3091" s="148" t="n">
        <v>4</v>
      </c>
      <c r="S3091" s="192" t="n">
        <f aca="false">(K3091+O3091+Q3091)*24 /1130+(L3091+M3091+P3091+R3091)*12/1130+(N3091*30)/1130</f>
        <v>0.0849557522123894</v>
      </c>
    </row>
    <row r="3092" customFormat="false" ht="15" hidden="true" customHeight="true" outlineLevel="0" collapsed="false">
      <c r="B3092" s="233" t="n">
        <f aca="false">B3091+D3092-C3092</f>
        <v>33519.5</v>
      </c>
      <c r="D3092" s="146" t="n">
        <v>1144.25</v>
      </c>
      <c r="E3092" s="147" t="n">
        <v>53002333</v>
      </c>
      <c r="F3092" s="147" t="n">
        <f aca="false">IFERROR(VLOOKUP(H3092,$AD$1:$AE$301,2,0),"")</f>
        <v>1008272</v>
      </c>
      <c r="G3092" s="147" t="str">
        <f aca="false">IFERROR(VLOOKUP(F3092,$AE$2:$AF$290,2, 0),"")</f>
        <v>تبوك</v>
      </c>
      <c r="H3092" s="212" t="s">
        <v>143</v>
      </c>
      <c r="I3092" s="246" t="n">
        <f aca="false">SUM(K3092:R3092)</f>
        <v>3</v>
      </c>
      <c r="J3092" s="182" t="n">
        <v>46265</v>
      </c>
      <c r="N3092" s="151" t="n">
        <f aca="false">2</f>
        <v>2</v>
      </c>
      <c r="O3092" s="152" t="n">
        <v>1</v>
      </c>
      <c r="S3092" s="192" t="n">
        <f aca="false">(K3092+O3092+Q3092)*24 /1130+(L3092+M3092+P3092+R3092)*12/1130+(N3092*30)/1130</f>
        <v>0.0743362831858407</v>
      </c>
    </row>
    <row r="3093" customFormat="false" ht="15" hidden="true" customHeight="true" outlineLevel="0" collapsed="false">
      <c r="B3093" s="233" t="n">
        <f aca="false">B3092+D3093-C3093</f>
        <v>36147.25</v>
      </c>
      <c r="D3093" s="146" t="n">
        <v>2627.75</v>
      </c>
      <c r="E3093" s="147" t="n">
        <v>53002334</v>
      </c>
      <c r="F3093" s="147" t="n">
        <f aca="false">IFERROR(VLOOKUP(H3093,$AD$1:$AE$301,2,0),"")</f>
        <v>1002906</v>
      </c>
      <c r="G3093" s="147" t="str">
        <f aca="false">IFERROR(VLOOKUP(F3093,$AE$2:$AF$290,2, 0),"")</f>
        <v>تبوك</v>
      </c>
      <c r="H3093" s="212" t="s">
        <v>138</v>
      </c>
      <c r="I3093" s="246" t="n">
        <f aca="false">SUM(K3093:R3093)</f>
        <v>8</v>
      </c>
      <c r="J3093" s="182" t="n">
        <v>46265</v>
      </c>
      <c r="M3093" s="150" t="n">
        <v>8</v>
      </c>
      <c r="S3093" s="192" t="n">
        <f aca="false">(K3093+O3093+Q3093)*24 /1130+(L3093+M3093+P3093+R3093)*12/1130+(N3093*30)/1130</f>
        <v>0.0849557522123894</v>
      </c>
    </row>
    <row r="3094" customFormat="false" ht="15" hidden="true" customHeight="true" outlineLevel="0" collapsed="false">
      <c r="B3094" s="233" t="n">
        <f aca="false">B3093+D3094-C3094</f>
        <v>39223.5</v>
      </c>
      <c r="D3094" s="146" t="n">
        <v>3076.25</v>
      </c>
      <c r="E3094" s="147" t="n">
        <v>53002335</v>
      </c>
      <c r="F3094" s="147" t="n">
        <f aca="false">IFERROR(VLOOKUP(H3094,$AD$1:$AE$301,2,0),"")</f>
        <v>1002919</v>
      </c>
      <c r="G3094" s="147" t="str">
        <f aca="false">IFERROR(VLOOKUP(F3094,$AE$2:$AF$290,2, 0),"")</f>
        <v>تبوك</v>
      </c>
      <c r="H3094" s="212" t="s">
        <v>139</v>
      </c>
      <c r="I3094" s="246" t="n">
        <f aca="false">SUM(K3094:R3094)</f>
        <v>10</v>
      </c>
      <c r="J3094" s="182" t="n">
        <v>46265</v>
      </c>
      <c r="M3094" s="150" t="n">
        <v>7</v>
      </c>
      <c r="N3094" s="151" t="n">
        <v>3</v>
      </c>
      <c r="S3094" s="192" t="n">
        <f aca="false">(K3094+O3094+Q3094)*24 /1130+(L3094+M3094+P3094+R3094)*12/1130+(N3094*30)/1130</f>
        <v>0.153982300884956</v>
      </c>
    </row>
    <row r="3095" customFormat="false" ht="15" hidden="true" customHeight="true" outlineLevel="0" collapsed="false">
      <c r="B3095" s="233" t="n">
        <f aca="false">B3094+D3095-C3095</f>
        <v>39643.25</v>
      </c>
      <c r="D3095" s="146" t="n">
        <v>419.75</v>
      </c>
      <c r="E3095" s="147" t="n">
        <v>53002336</v>
      </c>
      <c r="F3095" s="147" t="n">
        <f aca="false">IFERROR(VLOOKUP(H3095,$AD$1:$AE$301,2,0),"")</f>
        <v>1071</v>
      </c>
      <c r="G3095" s="147" t="str">
        <f aca="false">IFERROR(VLOOKUP(F3095,$AE$2:$AF$290,2, 0),"")</f>
        <v>تبوك</v>
      </c>
      <c r="H3095" s="212" t="s">
        <v>135</v>
      </c>
      <c r="I3095" s="246" t="n">
        <f aca="false">SUM(K3095:R3095)</f>
        <v>1</v>
      </c>
      <c r="J3095" s="182" t="n">
        <v>46265</v>
      </c>
      <c r="N3095" s="151" t="n">
        <v>1</v>
      </c>
      <c r="S3095" s="192" t="n">
        <f aca="false">(K3095+O3095+Q3095)*24 /1130+(L3095+M3095+P3095+R3095)*12/1130+(N3095*30)/1130</f>
        <v>0.0265486725663717</v>
      </c>
    </row>
    <row r="3096" customFormat="false" ht="15" hidden="true" customHeight="true" outlineLevel="0" collapsed="false">
      <c r="B3096" s="233" t="n">
        <f aca="false">B3095+D3096-C3096</f>
        <v>43132.35</v>
      </c>
      <c r="D3096" s="146" t="n">
        <v>3489.1</v>
      </c>
      <c r="E3096" s="147" t="n">
        <v>53002337</v>
      </c>
      <c r="F3096" s="147" t="n">
        <f aca="false">IFERROR(VLOOKUP(H3096,$AD$1:$AE$301,2,0),"")</f>
        <v>636</v>
      </c>
      <c r="G3096" s="147" t="str">
        <f aca="false">IFERROR(VLOOKUP(F3096,$AE$2:$AF$290,2, 0),"")</f>
        <v>تبوك</v>
      </c>
      <c r="H3096" s="212" t="s">
        <v>134</v>
      </c>
      <c r="I3096" s="246" t="n">
        <f aca="false">SUM(K3096:R3096)</f>
        <v>11</v>
      </c>
      <c r="J3096" s="182" t="n">
        <v>46265</v>
      </c>
      <c r="K3096" s="148" t="n">
        <f aca="false">1+3</f>
        <v>4</v>
      </c>
      <c r="N3096" s="151" t="n">
        <f aca="false">1+2</f>
        <v>3</v>
      </c>
      <c r="O3096" s="152" t="n">
        <f aca="false">1+1</f>
        <v>2</v>
      </c>
      <c r="Q3096" s="154" t="n">
        <f aca="false">1+1</f>
        <v>2</v>
      </c>
      <c r="S3096" s="192" t="n">
        <f aca="false">(K3096+O3096+Q3096)*24 /1130+(L3096+M3096+P3096+R3096)*12/1130+(N3096*30)/1130</f>
        <v>0.249557522123894</v>
      </c>
    </row>
    <row r="3097" customFormat="false" ht="15" hidden="true" customHeight="true" outlineLevel="0" collapsed="false">
      <c r="B3097" s="233" t="n">
        <f aca="false">B3096+D3097-C3097</f>
        <v>44884.95</v>
      </c>
      <c r="D3097" s="146" t="n">
        <v>1752.6</v>
      </c>
      <c r="E3097" s="147" t="n">
        <v>53002338</v>
      </c>
      <c r="F3097" s="147" t="n">
        <f aca="false">IFERROR(VLOOKUP(H3097,$AD$1:$AE$301,2,0),"")</f>
        <v>575</v>
      </c>
      <c r="G3097" s="147" t="str">
        <f aca="false">IFERROR(VLOOKUP(F3097,$AE$2:$AF$290,2, 0),"")</f>
        <v>تبوك</v>
      </c>
      <c r="H3097" s="212" t="s">
        <v>132</v>
      </c>
      <c r="I3097" s="246" t="n">
        <f aca="false">SUM(K3097:R3097)</f>
        <v>6</v>
      </c>
      <c r="J3097" s="182" t="n">
        <v>46265</v>
      </c>
      <c r="K3097" s="148" t="n">
        <f aca="false">1+3</f>
        <v>4</v>
      </c>
      <c r="M3097" s="150" t="n">
        <v>2</v>
      </c>
      <c r="S3097" s="192" t="n">
        <f aca="false">(K3097+O3097+Q3097)*24 /1130+(L3097+M3097+P3097+R3097)*12/1130+(N3097*30)/1130</f>
        <v>0.106194690265487</v>
      </c>
    </row>
    <row r="3098" customFormat="false" ht="15" hidden="true" customHeight="true" outlineLevel="0" collapsed="false">
      <c r="B3098" s="233" t="n">
        <f aca="false">B3097+D3098-C3098</f>
        <v>46154.55</v>
      </c>
      <c r="D3098" s="146" t="n">
        <v>1269.6</v>
      </c>
      <c r="E3098" s="147" t="n">
        <v>53002339</v>
      </c>
      <c r="F3098" s="147" t="n">
        <f aca="false">IFERROR(VLOOKUP(H3098,$AD$1:$AE$301,2,0),"")</f>
        <v>1008260</v>
      </c>
      <c r="G3098" s="147" t="str">
        <f aca="false">IFERROR(VLOOKUP(F3098,$AE$2:$AF$290,2, 0),"")</f>
        <v>تبوك</v>
      </c>
      <c r="H3098" s="212" t="s">
        <v>184</v>
      </c>
      <c r="I3098" s="246" t="n">
        <f aca="false">SUM(K3098:R3098)</f>
        <v>4</v>
      </c>
      <c r="J3098" s="182" t="n">
        <v>46265</v>
      </c>
      <c r="K3098" s="148" t="n">
        <v>4</v>
      </c>
      <c r="S3098" s="192" t="n">
        <f aca="false">(K3098+O3098+Q3098)*24 /1130+(L3098+M3098+P3098+R3098)*12/1130+(N3098*30)/1130</f>
        <v>0.0849557522123894</v>
      </c>
    </row>
    <row r="3099" customFormat="false" ht="15" hidden="true" customHeight="true" outlineLevel="0" collapsed="false">
      <c r="B3099" s="233" t="n">
        <f aca="false">B3098+D3099-C3099</f>
        <v>47155.05</v>
      </c>
      <c r="D3099" s="146" t="n">
        <v>1000.5</v>
      </c>
      <c r="E3099" s="147" t="n">
        <v>53002340</v>
      </c>
      <c r="F3099" s="147" t="n">
        <f aca="false">IFERROR(VLOOKUP(H3099,$AD$1:$AE$301,2,0),"")</f>
        <v>1008276</v>
      </c>
      <c r="G3099" s="147" t="str">
        <f aca="false">IFERROR(VLOOKUP(F3099,$AE$2:$AF$290,2, 0),"")</f>
        <v>تبوك</v>
      </c>
      <c r="H3099" s="212" t="s">
        <v>145</v>
      </c>
      <c r="I3099" s="246" t="n">
        <f aca="false">SUM(K3099:R3099)</f>
        <v>3</v>
      </c>
      <c r="J3099" s="182" t="n">
        <v>46265</v>
      </c>
      <c r="N3099" s="151" t="n">
        <v>3</v>
      </c>
      <c r="S3099" s="192" t="n">
        <f aca="false">(K3099+O3099+Q3099)*24 /1130+(L3099+M3099+P3099+R3099)*12/1130+(N3099*30)/1130</f>
        <v>0.079646017699115</v>
      </c>
    </row>
    <row r="3100" customFormat="false" ht="15" hidden="true" customHeight="true" outlineLevel="0" collapsed="false">
      <c r="B3100" s="233" t="n">
        <f aca="false">B3099+D3100-C3100</f>
        <v>48075.05</v>
      </c>
      <c r="D3100" s="146" t="n">
        <v>920</v>
      </c>
      <c r="E3100" s="147" t="n">
        <v>53002341</v>
      </c>
      <c r="F3100" s="147" t="n">
        <f aca="false">IFERROR(VLOOKUP(H3100,$AD$1:$AE$301,2,0),"")</f>
        <v>721</v>
      </c>
      <c r="G3100" s="147" t="str">
        <f aca="false">IFERROR(VLOOKUP(F3100,$AE$2:$AF$290,2, 0),"")</f>
        <v>تبوك</v>
      </c>
      <c r="H3100" s="212" t="s">
        <v>183</v>
      </c>
      <c r="I3100" s="246" t="n">
        <f aca="false">SUM(K3100:R3100)</f>
        <v>4</v>
      </c>
      <c r="J3100" s="182" t="n">
        <v>46265</v>
      </c>
      <c r="M3100" s="150" t="n">
        <v>1</v>
      </c>
      <c r="Q3100" s="154" t="n">
        <f aca="false">1+1</f>
        <v>2</v>
      </c>
      <c r="R3100" s="155" t="n">
        <v>1</v>
      </c>
      <c r="S3100" s="192" t="n">
        <f aca="false">(K3100+O3100+Q3100)*24 /1130+(L3100+M3100+P3100+R3100)*12/1130+(N3100*30)/1130</f>
        <v>0.063716814159292</v>
      </c>
    </row>
    <row r="3101" customFormat="false" ht="15" hidden="true" customHeight="true" outlineLevel="0" collapsed="false">
      <c r="B3101" s="233" t="n">
        <f aca="false">B3100+D3101-C3101</f>
        <v>48719.05</v>
      </c>
      <c r="D3101" s="146" t="n">
        <v>644</v>
      </c>
      <c r="E3101" s="147" t="n">
        <v>53002342</v>
      </c>
      <c r="F3101" s="147" t="n">
        <f aca="false">IFERROR(VLOOKUP(H3101,$AD$1:$AE$301,2,0),"")</f>
        <v>1063</v>
      </c>
      <c r="G3101" s="147" t="str">
        <f aca="false">IFERROR(VLOOKUP(F3101,$AE$2:$AF$290,2, 0),"")</f>
        <v>تبوك</v>
      </c>
      <c r="H3101" s="212" t="s">
        <v>158</v>
      </c>
      <c r="I3101" s="246" t="n">
        <f aca="false">SUM(K3101:R3101)</f>
        <v>4</v>
      </c>
      <c r="J3101" s="182" t="n">
        <v>46265</v>
      </c>
      <c r="Q3101" s="154" t="n">
        <v>4</v>
      </c>
      <c r="S3101" s="192" t="n">
        <f aca="false">(K3101+O3101+Q3101)*24 /1130+(L3101+M3101+P3101+R3101)*12/1130+(N3101*30)/1130</f>
        <v>0.0849557522123894</v>
      </c>
    </row>
    <row r="3102" customFormat="false" ht="15" hidden="true" customHeight="true" outlineLevel="0" collapsed="false">
      <c r="B3102" s="233" t="n">
        <f aca="false">B3101+D3102-C3102</f>
        <v>52330.05</v>
      </c>
      <c r="D3102" s="146" t="n">
        <v>3611</v>
      </c>
      <c r="E3102" s="147" t="n">
        <v>53002343</v>
      </c>
      <c r="F3102" s="147" t="n">
        <f aca="false">IFERROR(VLOOKUP(H3102,$AD$1:$AE$301,2,0),"")</f>
        <v>1063</v>
      </c>
      <c r="G3102" s="147" t="str">
        <f aca="false">IFERROR(VLOOKUP(F3102,$AE$2:$AF$290,2, 0),"")</f>
        <v>تبوك</v>
      </c>
      <c r="H3102" s="212" t="s">
        <v>158</v>
      </c>
      <c r="I3102" s="246" t="n">
        <f aca="false">SUM(K3102:R3102)</f>
        <v>15</v>
      </c>
      <c r="J3102" s="182" t="n">
        <v>46265</v>
      </c>
      <c r="M3102" s="150" t="n">
        <f aca="false">6</f>
        <v>6</v>
      </c>
      <c r="Q3102" s="154" t="n">
        <v>6</v>
      </c>
      <c r="R3102" s="155" t="n">
        <f aca="false">2+1</f>
        <v>3</v>
      </c>
      <c r="S3102" s="192" t="n">
        <f aca="false">(K3102+O3102+Q3102)*24 /1130+(L3102+M3102+P3102+R3102)*12/1130+(N3102*30)/1130</f>
        <v>0.223008849557522</v>
      </c>
    </row>
    <row r="3103" customFormat="false" ht="15" hidden="true" customHeight="true" outlineLevel="0" collapsed="false">
      <c r="B3103" s="233" t="n">
        <f aca="false">B3102+D3103-C3103</f>
        <v>53599.65</v>
      </c>
      <c r="D3103" s="146" t="n">
        <v>1269.6</v>
      </c>
      <c r="E3103" s="147" t="n">
        <v>53002344</v>
      </c>
      <c r="F3103" s="147" t="n">
        <f aca="false">IFERROR(VLOOKUP(H3103,$AD$1:$AE$301,2,0),"")</f>
        <v>1002897</v>
      </c>
      <c r="G3103" s="147" t="str">
        <f aca="false">IFERROR(VLOOKUP(F3103,$AE$2:$AF$290,2, 0),"")</f>
        <v>تبوك</v>
      </c>
      <c r="H3103" s="212" t="s">
        <v>172</v>
      </c>
      <c r="I3103" s="246" t="n">
        <f aca="false">SUM(K3103:R3103)</f>
        <v>4</v>
      </c>
      <c r="J3103" s="182" t="n">
        <v>46265</v>
      </c>
      <c r="K3103" s="148" t="n">
        <v>4</v>
      </c>
      <c r="S3103" s="192" t="n">
        <f aca="false">(K3103+O3103+Q3103)*24 /1130+(L3103+M3103+P3103+R3103)*12/1130+(N3103*30)/1130</f>
        <v>0.0849557522123894</v>
      </c>
    </row>
    <row r="3104" customFormat="false" ht="15" hidden="true" customHeight="true" outlineLevel="0" collapsed="false">
      <c r="B3104" s="233" t="n">
        <f aca="false">B3103+D3104-C3104</f>
        <v>54869.25</v>
      </c>
      <c r="D3104" s="146" t="n">
        <v>1269.6</v>
      </c>
      <c r="E3104" s="147" t="n">
        <v>53002344</v>
      </c>
      <c r="F3104" s="147" t="n">
        <f aca="false">IFERROR(VLOOKUP(H3104,$AD$1:$AE$301,2,0),"")</f>
        <v>1002895</v>
      </c>
      <c r="G3104" s="147" t="str">
        <f aca="false">IFERROR(VLOOKUP(F3104,$AE$2:$AF$290,2, 0),"")</f>
        <v>تبوك</v>
      </c>
      <c r="H3104" s="212" t="s">
        <v>173</v>
      </c>
      <c r="I3104" s="246" t="n">
        <f aca="false">SUM(K3104:R3104)</f>
        <v>4</v>
      </c>
      <c r="J3104" s="182" t="n">
        <v>46265</v>
      </c>
      <c r="K3104" s="148" t="n">
        <v>4</v>
      </c>
      <c r="S3104" s="192" t="n">
        <f aca="false">(K3104+O3104+Q3104)*24 /1130+(L3104+M3104+P3104+R3104)*12/1130+(N3104*30)/1130</f>
        <v>0.0849557522123894</v>
      </c>
    </row>
    <row r="3105" customFormat="false" ht="15" hidden="true" customHeight="true" outlineLevel="0" collapsed="false">
      <c r="B3105" s="233" t="n">
        <f aca="false">B3104+D3105-C3105</f>
        <v>56748.35</v>
      </c>
      <c r="D3105" s="146" t="n">
        <v>1879.1</v>
      </c>
      <c r="E3105" s="147" t="n">
        <v>53002345</v>
      </c>
      <c r="F3105" s="147" t="n">
        <f aca="false">IFERROR(VLOOKUP(H3105,$AD$1:$AE$301,2,0),"")</f>
        <v>1002882</v>
      </c>
      <c r="G3105" s="147" t="str">
        <f aca="false">IFERROR(VLOOKUP(F3105,$AE$2:$AF$290,2, 0),"")</f>
        <v>تبوك</v>
      </c>
      <c r="H3105" s="212" t="s">
        <v>534</v>
      </c>
      <c r="I3105" s="246" t="n">
        <f aca="false">SUM(K3105:R3105)</f>
        <v>7</v>
      </c>
      <c r="J3105" s="182" t="n">
        <v>46265</v>
      </c>
      <c r="K3105" s="148" t="n">
        <f aca="false">3+1</f>
        <v>4</v>
      </c>
      <c r="M3105" s="150" t="n">
        <f aca="false">1</f>
        <v>1</v>
      </c>
      <c r="R3105" s="155" t="n">
        <v>2</v>
      </c>
      <c r="S3105" s="192" t="n">
        <f aca="false">(K3105+O3105+Q3105)*24 /1130+(L3105+M3105+P3105+R3105)*12/1130+(N3105*30)/1130</f>
        <v>0.116814159292035</v>
      </c>
    </row>
    <row r="3106" customFormat="false" ht="15" hidden="true" customHeight="true" outlineLevel="0" collapsed="false">
      <c r="B3106" s="233" t="n">
        <f aca="false">B3105+D3106-C3106</f>
        <v>58017.95</v>
      </c>
      <c r="D3106" s="146" t="n">
        <v>1269.6</v>
      </c>
      <c r="E3106" s="147" t="n">
        <v>53002346</v>
      </c>
      <c r="F3106" s="147" t="n">
        <f aca="false">IFERROR(VLOOKUP(H3106,$AD$1:$AE$301,2,0),"")</f>
        <v>1002891</v>
      </c>
      <c r="G3106" s="147" t="str">
        <f aca="false">IFERROR(VLOOKUP(F3106,$AE$2:$AF$290,2, 0),"")</f>
        <v>تبوك</v>
      </c>
      <c r="H3106" s="212" t="s">
        <v>201</v>
      </c>
      <c r="I3106" s="246" t="n">
        <f aca="false">SUM(K3106:R3106)</f>
        <v>4</v>
      </c>
      <c r="J3106" s="182" t="n">
        <v>46265</v>
      </c>
      <c r="K3106" s="148" t="n">
        <v>4</v>
      </c>
      <c r="S3106" s="192" t="n">
        <f aca="false">(K3106+O3106+Q3106)*24 /1130+(L3106+M3106+P3106+R3106)*12/1130+(N3106*30)/1130</f>
        <v>0.0849557522123894</v>
      </c>
    </row>
    <row r="3107" customFormat="false" ht="15" hidden="true" customHeight="true" outlineLevel="0" collapsed="false">
      <c r="B3107" s="233" t="n">
        <f aca="false">B3106+D3107-C3107</f>
        <v>58259.45</v>
      </c>
      <c r="D3107" s="146" t="n">
        <v>241.5</v>
      </c>
      <c r="E3107" s="147" t="n">
        <v>53002346</v>
      </c>
      <c r="F3107" s="147" t="n">
        <f aca="false">IFERROR(VLOOKUP(H3107,$AD$1:$AE$301,2,0),"")</f>
        <v>1002891</v>
      </c>
      <c r="G3107" s="147" t="str">
        <f aca="false">IFERROR(VLOOKUP(F3107,$AE$2:$AF$290,2, 0),"")</f>
        <v>تبوك</v>
      </c>
      <c r="H3107" s="212" t="s">
        <v>201</v>
      </c>
      <c r="I3107" s="246" t="n">
        <f aca="false">SUM(K3107:R3107)</f>
        <v>1</v>
      </c>
      <c r="J3107" s="182" t="n">
        <v>46265</v>
      </c>
      <c r="M3107" s="150" t="n">
        <v>1</v>
      </c>
      <c r="S3107" s="192" t="n">
        <f aca="false">(K3107+O3107+Q3107)*24 /1130+(L3107+M3107+P3107+R3107)*12/1130+(N3107*30)/1130</f>
        <v>0.0106194690265487</v>
      </c>
    </row>
    <row r="3108" customFormat="false" ht="15" hidden="true" customHeight="true" outlineLevel="0" collapsed="false">
      <c r="B3108" s="233" t="n">
        <f aca="false">B3107+D3108-C3108</f>
        <v>63261.95</v>
      </c>
      <c r="D3108" s="146" t="n">
        <v>5002.5</v>
      </c>
      <c r="E3108" s="147" t="n">
        <v>53002347</v>
      </c>
      <c r="F3108" s="147" t="n">
        <f aca="false">IFERROR(VLOOKUP(H3108,$AD$1:$AE$301,2,0),"")</f>
        <v>1033</v>
      </c>
      <c r="G3108" s="147" t="str">
        <f aca="false">IFERROR(VLOOKUP(F3108,$AE$2:$AF$290,2, 0),"")</f>
        <v>الوجه</v>
      </c>
      <c r="H3108" s="212" t="s">
        <v>117</v>
      </c>
      <c r="I3108" s="246" t="n">
        <f aca="false">SUM(K3108:R3108)</f>
        <v>15</v>
      </c>
      <c r="J3108" s="182" t="n">
        <v>46265</v>
      </c>
      <c r="N3108" s="151" t="n">
        <v>15</v>
      </c>
      <c r="S3108" s="192" t="n">
        <f aca="false">(K3108+O3108+Q3108)*24 /1130+(L3108+M3108+P3108+R3108)*12/1130+(N3108*30)/1130</f>
        <v>0.398230088495575</v>
      </c>
    </row>
    <row r="3109" customFormat="false" ht="15" hidden="true" customHeight="true" outlineLevel="0" collapsed="false">
      <c r="B3109" s="233" t="n">
        <f aca="false">B3108+D3109-C3109</f>
        <v>61800.95</v>
      </c>
      <c r="C3109" s="127" t="n">
        <f aca="false">80+253+1128</f>
        <v>1461</v>
      </c>
      <c r="E3109" s="147" t="s">
        <v>677</v>
      </c>
      <c r="F3109" s="147" t="str">
        <f aca="false">IFERROR(VLOOKUP(H3109,$AD$1:$AE$301,2,0),"")</f>
        <v/>
      </c>
      <c r="G3109" s="147" t="str">
        <f aca="false">IFERROR(VLOOKUP(F3109,$AE$2:$AF$290,2, 0),"")</f>
        <v/>
      </c>
      <c r="H3109" s="212" t="s">
        <v>393</v>
      </c>
      <c r="I3109" s="246" t="n">
        <f aca="false">SUM(K3109:R3109)</f>
        <v>0</v>
      </c>
      <c r="J3109" s="182" t="n">
        <v>46265</v>
      </c>
      <c r="S3109" s="192" t="n">
        <f aca="false">(K3109+O3109+Q3109)*24 /1130+(L3109+M3109+P3109+R3109)*12/1130+(N3109*30)/1130</f>
        <v>0</v>
      </c>
    </row>
    <row r="3110" customFormat="false" ht="15" hidden="true" customHeight="true" outlineLevel="0" collapsed="false">
      <c r="B3110" s="233" t="n">
        <f aca="false">B3109+D3110-C3110</f>
        <v>61115.95</v>
      </c>
      <c r="C3110" s="127" t="n">
        <f aca="false">200+5+15+5+160+60+60+180</f>
        <v>685</v>
      </c>
      <c r="E3110" s="147" t="s">
        <v>675</v>
      </c>
      <c r="F3110" s="147" t="str">
        <f aca="false">IFERROR(VLOOKUP(H3110,$AD$1:$AE$301,2,0),"")</f>
        <v/>
      </c>
      <c r="G3110" s="147" t="str">
        <f aca="false">IFERROR(VLOOKUP(F3110,$AE$2:$AF$290,2, 0),"")</f>
        <v/>
      </c>
      <c r="H3110" s="212" t="s">
        <v>393</v>
      </c>
      <c r="I3110" s="246" t="n">
        <f aca="false">SUM(K3110:R3110)</f>
        <v>0</v>
      </c>
      <c r="J3110" s="182" t="n">
        <v>46266</v>
      </c>
      <c r="S3110" s="192" t="n">
        <f aca="false">(K3110+O3110+Q3110)*24 /1130+(L3110+M3110+P3110+R3110)*12/1130+(N3110*30)/1130</f>
        <v>0</v>
      </c>
    </row>
    <row r="3111" customFormat="false" ht="15" hidden="true" customHeight="true" outlineLevel="0" collapsed="false">
      <c r="B3111" s="233" t="n">
        <f aca="false">B3110+D3111-C3111</f>
        <v>54103.95</v>
      </c>
      <c r="C3111" s="127" t="n">
        <f aca="false">405+195+3312+1000+500+200+400+1000</f>
        <v>7012</v>
      </c>
      <c r="E3111" s="147" t="s">
        <v>675</v>
      </c>
      <c r="F3111" s="147" t="str">
        <f aca="false">IFERROR(VLOOKUP(H3111,$AD$1:$AE$301,2,0),"")</f>
        <v/>
      </c>
      <c r="G3111" s="147" t="str">
        <f aca="false">IFERROR(VLOOKUP(F3111,$AE$2:$AF$290,2, 0),"")</f>
        <v/>
      </c>
      <c r="H3111" s="212" t="s">
        <v>393</v>
      </c>
      <c r="I3111" s="246" t="n">
        <f aca="false">SUM(K3111:R3111)</f>
        <v>0</v>
      </c>
      <c r="J3111" s="182" t="n">
        <v>46266</v>
      </c>
      <c r="S3111" s="192" t="n">
        <f aca="false">(K3111+O3111+Q3111)*24 /1130+(L3111+M3111+P3111+R3111)*12/1130+(N3111*30)/1130</f>
        <v>0</v>
      </c>
    </row>
    <row r="3112" customFormat="false" ht="15" hidden="true" customHeight="true" outlineLevel="0" collapsed="false">
      <c r="B3112" s="233" t="n">
        <f aca="false">B3111+D3112-C3112</f>
        <v>52093.95</v>
      </c>
      <c r="C3112" s="127" t="n">
        <f aca="false">130+220+2+136+56+130+2+80+130+72+150+135+105+430+92+140</f>
        <v>2010</v>
      </c>
      <c r="E3112" s="147" t="s">
        <v>675</v>
      </c>
      <c r="F3112" s="147" t="str">
        <f aca="false">IFERROR(VLOOKUP(H3112,$AD$1:$AE$301,2,0),"")</f>
        <v/>
      </c>
      <c r="G3112" s="147" t="str">
        <f aca="false">IFERROR(VLOOKUP(F3112,$AE$2:$AF$290,2, 0),"")</f>
        <v/>
      </c>
      <c r="H3112" s="212" t="s">
        <v>393</v>
      </c>
      <c r="I3112" s="246" t="n">
        <f aca="false">SUM(K3112:R3112)</f>
        <v>0</v>
      </c>
      <c r="J3112" s="182" t="n">
        <v>46267</v>
      </c>
      <c r="S3112" s="192" t="n">
        <f aca="false">(K3112+O3112+Q3112)*24 /1130+(L3112+M3112+P3112+R3112)*12/1130+(N3112*30)/1130</f>
        <v>0</v>
      </c>
    </row>
    <row r="3113" customFormat="false" ht="15" hidden="true" customHeight="true" outlineLevel="0" collapsed="false">
      <c r="B3113" s="233" t="n">
        <f aca="false">B3112+D3113-C3113</f>
        <v>49713.95</v>
      </c>
      <c r="C3113" s="127" t="n">
        <f aca="false">180+1000+1200</f>
        <v>2380</v>
      </c>
      <c r="E3113" s="147" t="s">
        <v>675</v>
      </c>
      <c r="F3113" s="147" t="str">
        <f aca="false">IFERROR(VLOOKUP(H3113,$AD$1:$AE$301,2,0),"")</f>
        <v/>
      </c>
      <c r="G3113" s="147" t="str">
        <f aca="false">IFERROR(VLOOKUP(F3113,$AE$2:$AF$290,2, 0),"")</f>
        <v/>
      </c>
      <c r="H3113" s="212" t="s">
        <v>393</v>
      </c>
      <c r="I3113" s="246" t="n">
        <f aca="false">SUM(K3113:R3113)</f>
        <v>0</v>
      </c>
      <c r="J3113" s="182" t="n">
        <v>46267</v>
      </c>
      <c r="S3113" s="192" t="n">
        <f aca="false">(K3113+O3113+Q3113)*24 /1130+(L3113+M3113+P3113+R3113)*12/1130+(N3113*30)/1130</f>
        <v>0</v>
      </c>
    </row>
    <row r="3114" customFormat="false" ht="15" hidden="true" customHeight="true" outlineLevel="0" collapsed="false">
      <c r="B3114" s="233" t="n">
        <f aca="false">B3113+D3114-C3114</f>
        <v>46979.95</v>
      </c>
      <c r="C3114" s="127" t="n">
        <f aca="false">2622+112</f>
        <v>2734</v>
      </c>
      <c r="E3114" s="147" t="s">
        <v>675</v>
      </c>
      <c r="F3114" s="147" t="str">
        <f aca="false">IFERROR(VLOOKUP(H3114,$AD$1:$AE$301,2,0),"")</f>
        <v/>
      </c>
      <c r="G3114" s="147" t="str">
        <f aca="false">IFERROR(VLOOKUP(F3114,$AE$2:$AF$290,2, 0),"")</f>
        <v/>
      </c>
      <c r="H3114" s="212" t="s">
        <v>393</v>
      </c>
      <c r="I3114" s="246" t="n">
        <f aca="false">SUM(K3114:R3114)</f>
        <v>0</v>
      </c>
      <c r="J3114" s="182" t="n">
        <v>46267</v>
      </c>
      <c r="S3114" s="192" t="n">
        <f aca="false">(K3114+O3114+Q3114)*24 /1130+(L3114+M3114+P3114+R3114)*12/1130+(N3114*30)/1130</f>
        <v>0</v>
      </c>
    </row>
    <row r="3115" customFormat="false" ht="15" hidden="true" customHeight="true" outlineLevel="0" collapsed="false">
      <c r="B3115" s="233" t="n">
        <f aca="false">B3114+D3115-C3115</f>
        <v>38041.95</v>
      </c>
      <c r="C3115" s="127" t="n">
        <f aca="false">317+8621</f>
        <v>8938</v>
      </c>
      <c r="E3115" s="147" t="s">
        <v>677</v>
      </c>
      <c r="F3115" s="147" t="str">
        <f aca="false">IFERROR(VLOOKUP(H3115,$AD$1:$AE$301,2,0),"")</f>
        <v/>
      </c>
      <c r="G3115" s="147" t="str">
        <f aca="false">IFERROR(VLOOKUP(F3115,$AE$2:$AF$290,2, 0),"")</f>
        <v/>
      </c>
      <c r="H3115" s="212" t="s">
        <v>393</v>
      </c>
      <c r="I3115" s="246" t="n">
        <f aca="false">SUM(K3115:R3115)</f>
        <v>0</v>
      </c>
      <c r="J3115" s="182" t="n">
        <v>46267</v>
      </c>
      <c r="S3115" s="192" t="n">
        <f aca="false">(K3115+O3115+Q3115)*24 /1130+(L3115+M3115+P3115+R3115)*12/1130+(N3115*30)/1130</f>
        <v>0</v>
      </c>
    </row>
    <row r="3116" customFormat="false" ht="15" hidden="true" customHeight="true" outlineLevel="0" collapsed="false">
      <c r="B3116" s="233" t="n">
        <f aca="false">B3115+D3116-C3116</f>
        <v>32493.95</v>
      </c>
      <c r="C3116" s="127" t="n">
        <v>5548</v>
      </c>
      <c r="E3116" s="147" t="s">
        <v>677</v>
      </c>
      <c r="F3116" s="147" t="str">
        <f aca="false">IFERROR(VLOOKUP(H3116,$AD$1:$AE$301,2,0),"")</f>
        <v/>
      </c>
      <c r="G3116" s="147" t="str">
        <f aca="false">IFERROR(VLOOKUP(F3116,$AE$2:$AF$290,2, 0),"")</f>
        <v/>
      </c>
      <c r="H3116" s="212" t="s">
        <v>393</v>
      </c>
      <c r="I3116" s="246" t="n">
        <f aca="false">SUM(K3116:R3116)</f>
        <v>0</v>
      </c>
      <c r="J3116" s="182" t="n">
        <v>46267</v>
      </c>
      <c r="S3116" s="192" t="n">
        <f aca="false">(K3116+O3116+Q3116)*24 /1130+(L3116+M3116+P3116+R3116)*12/1130+(N3116*30)/1130</f>
        <v>0</v>
      </c>
    </row>
    <row r="3117" customFormat="false" ht="15" hidden="true" customHeight="true" outlineLevel="0" collapsed="false">
      <c r="B3117" s="233" t="n">
        <f aca="false">B3116+D3117-C3117</f>
        <v>29475.45</v>
      </c>
      <c r="C3117" s="127" t="n">
        <f aca="false">500+1000+200+100+1218.5</f>
        <v>3018.5</v>
      </c>
      <c r="E3117" s="147" t="s">
        <v>675</v>
      </c>
      <c r="F3117" s="147" t="str">
        <f aca="false">IFERROR(VLOOKUP(H3117,$AD$1:$AE$301,2,0),"")</f>
        <v/>
      </c>
      <c r="G3117" s="147" t="str">
        <f aca="false">IFERROR(VLOOKUP(F3117,$AE$2:$AF$290,2, 0),"")</f>
        <v/>
      </c>
      <c r="H3117" s="212" t="s">
        <v>393</v>
      </c>
      <c r="I3117" s="246" t="n">
        <f aca="false">SUM(K3117:R3117)</f>
        <v>0</v>
      </c>
      <c r="J3117" s="182" t="n">
        <v>46268</v>
      </c>
      <c r="S3117" s="192" t="n">
        <f aca="false">(K3117+O3117+Q3117)*24 /1130+(L3117+M3117+P3117+R3117)*12/1130+(N3117*30)/1130</f>
        <v>0</v>
      </c>
    </row>
    <row r="3118" customFormat="false" ht="15" hidden="true" customHeight="true" outlineLevel="0" collapsed="false">
      <c r="B3118" s="233" t="n">
        <f aca="false">B3117+D3118-C3118</f>
        <v>28625.45</v>
      </c>
      <c r="C3118" s="127" t="n">
        <f aca="false">250+175+185+165+50+25</f>
        <v>850</v>
      </c>
      <c r="E3118" s="147" t="s">
        <v>680</v>
      </c>
      <c r="F3118" s="147" t="str">
        <f aca="false">IFERROR(VLOOKUP(H3118,$AD$1:$AE$301,2,0),"")</f>
        <v/>
      </c>
      <c r="G3118" s="147" t="str">
        <f aca="false">IFERROR(VLOOKUP(F3118,$AE$2:$AF$290,2, 0),"")</f>
        <v/>
      </c>
      <c r="H3118" s="212" t="s">
        <v>393</v>
      </c>
      <c r="I3118" s="246" t="n">
        <f aca="false">SUM(K3118:R3118)</f>
        <v>0</v>
      </c>
      <c r="J3118" s="182" t="n">
        <v>46269</v>
      </c>
      <c r="S3118" s="192" t="n">
        <f aca="false">(K3118+O3118+Q3118)*24 /1130+(L3118+M3118+P3118+R3118)*12/1130+(N3118*30)/1130</f>
        <v>0</v>
      </c>
    </row>
    <row r="3119" customFormat="false" ht="15" hidden="true" customHeight="true" outlineLevel="0" collapsed="false">
      <c r="B3119" s="233" t="n">
        <f aca="false">B3118+D3119-C3119</f>
        <v>20146.45</v>
      </c>
      <c r="C3119" s="127" t="n">
        <f aca="false">600+150+500+200+506+293+2500+3700+30</f>
        <v>8479</v>
      </c>
      <c r="E3119" s="147" t="s">
        <v>680</v>
      </c>
      <c r="F3119" s="147" t="str">
        <f aca="false">IFERROR(VLOOKUP(H3119,$AD$1:$AE$301,2,0),"")</f>
        <v/>
      </c>
      <c r="G3119" s="147" t="str">
        <f aca="false">IFERROR(VLOOKUP(F3119,$AE$2:$AF$290,2, 0),"")</f>
        <v/>
      </c>
      <c r="H3119" s="212" t="s">
        <v>393</v>
      </c>
      <c r="I3119" s="246" t="n">
        <f aca="false">SUM(K3119:R3119)</f>
        <v>0</v>
      </c>
      <c r="J3119" s="182" t="n">
        <v>46269</v>
      </c>
      <c r="S3119" s="192" t="n">
        <f aca="false">(K3119+O3119+Q3119)*24 /1130+(L3119+M3119+P3119+R3119)*12/1130+(N3119*30)/1130</f>
        <v>0</v>
      </c>
    </row>
    <row r="3120" customFormat="false" ht="15" hidden="true" customHeight="true" outlineLevel="0" collapsed="false">
      <c r="B3120" s="233" t="n">
        <f aca="false">B3119+D3120-C3120</f>
        <v>13003.85</v>
      </c>
      <c r="C3120" s="127" t="n">
        <f aca="false">1173+1269.6+900+300+800+2700</f>
        <v>7142.6</v>
      </c>
      <c r="E3120" s="147" t="s">
        <v>681</v>
      </c>
      <c r="F3120" s="147" t="str">
        <f aca="false">IFERROR(VLOOKUP(H3120,$AD$1:$AE$301,2,0),"")</f>
        <v/>
      </c>
      <c r="G3120" s="147" t="str">
        <f aca="false">IFERROR(VLOOKUP(F3120,$AE$2:$AF$290,2, 0),"")</f>
        <v/>
      </c>
      <c r="H3120" s="212" t="s">
        <v>393</v>
      </c>
      <c r="I3120" s="246" t="n">
        <f aca="false">SUM(K3120:R3120)</f>
        <v>0</v>
      </c>
      <c r="J3120" s="182" t="n">
        <v>46271</v>
      </c>
      <c r="S3120" s="192" t="n">
        <f aca="false">(K3120+O3120+Q3120)*24 /1130+(L3120+M3120+P3120+R3120)*12/1130+(N3120*30)/1130</f>
        <v>0</v>
      </c>
    </row>
    <row r="3121" customFormat="false" ht="15" hidden="true" customHeight="true" outlineLevel="0" collapsed="false">
      <c r="B3121" s="233" t="n">
        <f aca="false">B3120+D3121-C3121</f>
        <v>7733.84999999998</v>
      </c>
      <c r="C3121" s="127" t="n">
        <f aca="false">1270+4000</f>
        <v>5270</v>
      </c>
      <c r="E3121" s="147" t="s">
        <v>681</v>
      </c>
      <c r="F3121" s="147" t="str">
        <f aca="false">IFERROR(VLOOKUP(H3121,$AD$1:$AE$301,2,0),"")</f>
        <v/>
      </c>
      <c r="G3121" s="147" t="str">
        <f aca="false">IFERROR(VLOOKUP(F3121,$AE$2:$AF$290,2, 0),"")</f>
        <v/>
      </c>
      <c r="H3121" s="212" t="s">
        <v>393</v>
      </c>
      <c r="I3121" s="246" t="n">
        <f aca="false">SUM(K3121:R3121)</f>
        <v>0</v>
      </c>
      <c r="J3121" s="182" t="n">
        <v>46272</v>
      </c>
      <c r="S3121" s="192" t="n">
        <f aca="false">(K3121+O3121+Q3121)*24 /1130+(L3121+M3121+P3121+R3121)*12/1130+(N3121*30)/1130</f>
        <v>0</v>
      </c>
    </row>
    <row r="3122" customFormat="false" ht="15" hidden="true" customHeight="true" outlineLevel="0" collapsed="false">
      <c r="B3122" s="233" t="n">
        <f aca="false">B3121+D3122-C3122</f>
        <v>4812.84999999998</v>
      </c>
      <c r="C3122" s="127" t="n">
        <f aca="false">400+285+295+1441+500</f>
        <v>2921</v>
      </c>
      <c r="E3122" s="147" t="s">
        <v>675</v>
      </c>
      <c r="F3122" s="147" t="str">
        <f aca="false">IFERROR(VLOOKUP(H3122,$AD$1:$AE$301,2,0),"")</f>
        <v/>
      </c>
      <c r="G3122" s="147" t="str">
        <f aca="false">IFERROR(VLOOKUP(F3122,$AE$2:$AF$290,2, 0),"")</f>
        <v/>
      </c>
      <c r="H3122" s="212" t="s">
        <v>393</v>
      </c>
      <c r="I3122" s="246" t="n">
        <f aca="false">SUM(K3122:R3122)</f>
        <v>0</v>
      </c>
      <c r="J3122" s="182" t="n">
        <v>46273</v>
      </c>
      <c r="S3122" s="192" t="n">
        <f aca="false">(K3122+O3122+Q3122)*24 /1130+(L3122+M3122+P3122+R3122)*12/1130+(N3122*30)/1130</f>
        <v>0</v>
      </c>
    </row>
    <row r="3123" customFormat="false" ht="15" hidden="true" customHeight="true" outlineLevel="0" collapsed="false">
      <c r="B3123" s="233" t="n">
        <f aca="false">B3122+D3123-C3123</f>
        <v>3500.84999999998</v>
      </c>
      <c r="C3123" s="127" t="n">
        <v>1312</v>
      </c>
      <c r="E3123" s="147" t="s">
        <v>675</v>
      </c>
      <c r="F3123" s="147" t="str">
        <f aca="false">IFERROR(VLOOKUP(H3123,$AD$1:$AE$301,2,0),"")</f>
        <v/>
      </c>
      <c r="G3123" s="147" t="str">
        <f aca="false">IFERROR(VLOOKUP(F3123,$AE$2:$AF$290,2, 0),"")</f>
        <v/>
      </c>
      <c r="H3123" s="212" t="s">
        <v>393</v>
      </c>
      <c r="I3123" s="246" t="n">
        <f aca="false">SUM(K3123:R3123)</f>
        <v>0</v>
      </c>
      <c r="J3123" s="182" t="n">
        <v>46273</v>
      </c>
      <c r="S3123" s="192" t="n">
        <f aca="false">(K3123+O3123+Q3123)*24 /1130+(L3123+M3123+P3123+R3123)*12/1130+(N3123*30)/1130</f>
        <v>0</v>
      </c>
    </row>
    <row r="3124" customFormat="false" ht="15" hidden="true" customHeight="true" outlineLevel="0" collapsed="false">
      <c r="B3124" s="233" t="n">
        <f aca="false">B3123+D3124-C3124</f>
        <v>3661.84999999998</v>
      </c>
      <c r="D3124" s="146" t="n">
        <v>161</v>
      </c>
      <c r="E3124" s="147" t="n">
        <v>53002360</v>
      </c>
      <c r="F3124" s="147" t="n">
        <f aca="false">IFERROR(VLOOKUP(H3124,$AD$1:$AE$301,2,0),"")</f>
        <v>1008269</v>
      </c>
      <c r="G3124" s="147" t="str">
        <f aca="false">IFERROR(VLOOKUP(F3124,$AE$2:$AF$290,2, 0),"")</f>
        <v>تبوك</v>
      </c>
      <c r="H3124" s="212" t="s">
        <v>166</v>
      </c>
      <c r="I3124" s="246" t="n">
        <f aca="false">SUM(K3124:R3124)</f>
        <v>1</v>
      </c>
      <c r="J3124" s="182" t="n">
        <v>46273</v>
      </c>
      <c r="Q3124" s="154" t="n">
        <v>1</v>
      </c>
      <c r="S3124" s="192" t="n">
        <f aca="false">(K3124+O3124+Q3124)*24 /1130+(L3124+M3124+P3124+R3124)*12/1130+(N3124*30)/1130</f>
        <v>0.0212389380530973</v>
      </c>
    </row>
    <row r="3125" customFormat="false" ht="15" hidden="true" customHeight="true" outlineLevel="0" collapsed="false">
      <c r="B3125" s="233" t="n">
        <f aca="false">B3124+D3125-C3125</f>
        <v>4931.44999999998</v>
      </c>
      <c r="D3125" s="146" t="n">
        <f aca="false">1269.6</f>
        <v>1269.6</v>
      </c>
      <c r="E3125" s="147" t="n">
        <v>53002361</v>
      </c>
      <c r="F3125" s="147" t="n">
        <f aca="false">IFERROR(VLOOKUP(H3125,$AD$1:$AE$301,2,0),"")</f>
        <v>1224</v>
      </c>
      <c r="G3125" s="147" t="str">
        <f aca="false">IFERROR(VLOOKUP(F3125,$AE$2:$AF$290,2, 0),"")</f>
        <v>تبوك</v>
      </c>
      <c r="H3125" s="212" t="s">
        <v>203</v>
      </c>
      <c r="I3125" s="246" t="n">
        <f aca="false">SUM(K3125:R3125)</f>
        <v>4</v>
      </c>
      <c r="J3125" s="182" t="n">
        <v>46273</v>
      </c>
      <c r="K3125" s="148" t="n">
        <v>4</v>
      </c>
      <c r="S3125" s="192" t="n">
        <f aca="false">(K3125+O3125+Q3125)*24 /1130+(L3125+M3125+P3125+R3125)*12/1130+(N3125*30)/1130</f>
        <v>0.0849557522123894</v>
      </c>
    </row>
    <row r="3126" customFormat="false" ht="15" hidden="true" customHeight="true" outlineLevel="0" collapsed="false">
      <c r="B3126" s="233" t="n">
        <f aca="false">B3125+D3126-C3126</f>
        <v>5736.44999999998</v>
      </c>
      <c r="D3126" s="146" t="n">
        <v>805</v>
      </c>
      <c r="E3126" s="147" t="n">
        <v>53002362</v>
      </c>
      <c r="F3126" s="147" t="n">
        <f aca="false">IFERROR(VLOOKUP(H3126,$AD$1:$AE$301,2,0),"")</f>
        <v>636</v>
      </c>
      <c r="G3126" s="147" t="str">
        <f aca="false">IFERROR(VLOOKUP(F3126,$AE$2:$AF$290,2, 0),"")</f>
        <v>تبوك</v>
      </c>
      <c r="H3126" s="212" t="s">
        <v>134</v>
      </c>
      <c r="I3126" s="246" t="n">
        <f aca="false">SUM(K3126:R3126)</f>
        <v>5</v>
      </c>
      <c r="J3126" s="182" t="n">
        <v>46273</v>
      </c>
      <c r="Q3126" s="154" t="n">
        <v>5</v>
      </c>
      <c r="S3126" s="192" t="n">
        <f aca="false">(K3126+O3126+Q3126)*24 /1130+(L3126+M3126+P3126+R3126)*12/1130+(N3126*30)/1130</f>
        <v>0.106194690265487</v>
      </c>
    </row>
    <row r="3127" customFormat="false" ht="15" hidden="true" customHeight="true" outlineLevel="0" collapsed="false">
      <c r="B3127" s="233" t="n">
        <f aca="false">B3126+D3127-C3127</f>
        <v>4916.44999999998</v>
      </c>
      <c r="C3127" s="127" t="n">
        <f aca="false">20+300+500</f>
        <v>820</v>
      </c>
      <c r="E3127" s="147" t="s">
        <v>675</v>
      </c>
      <c r="F3127" s="147" t="str">
        <f aca="false">IFERROR(VLOOKUP(H3127,$AD$1:$AE$301,2,0),"")</f>
        <v/>
      </c>
      <c r="G3127" s="147" t="str">
        <f aca="false">IFERROR(VLOOKUP(F3127,$AE$2:$AF$290,2, 0),"")</f>
        <v/>
      </c>
      <c r="H3127" s="212" t="s">
        <v>393</v>
      </c>
      <c r="I3127" s="246" t="n">
        <f aca="false">SUM(K3127:R3127)</f>
        <v>0</v>
      </c>
      <c r="J3127" s="182" t="n">
        <v>46273</v>
      </c>
      <c r="S3127" s="192" t="n">
        <f aca="false">(K3127+O3127+Q3127)*24 /1130+(L3127+M3127+P3127+R3127)*12/1130+(N3127*30)/1130</f>
        <v>0</v>
      </c>
    </row>
    <row r="3128" customFormat="false" ht="15" hidden="true" customHeight="true" outlineLevel="0" collapsed="false">
      <c r="B3128" s="233" t="n">
        <f aca="false">B3127+D3128-C3128</f>
        <v>5916.94999999998</v>
      </c>
      <c r="D3128" s="146" t="n">
        <v>1000.5</v>
      </c>
      <c r="E3128" s="147" t="n">
        <v>53002363</v>
      </c>
      <c r="F3128" s="147" t="n">
        <f aca="false">IFERROR(VLOOKUP(H3128,$AD$1:$AE$301,2,0),"")</f>
        <v>1282</v>
      </c>
      <c r="G3128" s="147" t="str">
        <f aca="false">IFERROR(VLOOKUP(F3128,$AE$2:$AF$290,2, 0),"")</f>
        <v>تبوك</v>
      </c>
      <c r="H3128" s="212" t="s">
        <v>207</v>
      </c>
      <c r="I3128" s="246" t="n">
        <f aca="false">SUM(K3128:R3128)</f>
        <v>3</v>
      </c>
      <c r="J3128" s="182" t="n">
        <v>46275</v>
      </c>
      <c r="N3128" s="151" t="n">
        <v>3</v>
      </c>
      <c r="S3128" s="192" t="n">
        <f aca="false">(K3128+O3128+Q3128)*24 /1130+(L3128+M3128+P3128+R3128)*12/1130+(N3128*30)/1130</f>
        <v>0.079646017699115</v>
      </c>
    </row>
    <row r="3129" customFormat="false" ht="15" hidden="true" customHeight="true" outlineLevel="0" collapsed="false">
      <c r="B3129" s="233" t="n">
        <f aca="false">B3128+D3129-C3129</f>
        <v>7186.54999999998</v>
      </c>
      <c r="D3129" s="146" t="n">
        <v>1269.6</v>
      </c>
      <c r="E3129" s="147" t="n">
        <v>53002364</v>
      </c>
      <c r="F3129" s="147" t="n">
        <f aca="false">IFERROR(VLOOKUP(H3129,$AD$1:$AE$301,2,0),"")</f>
        <v>1002949</v>
      </c>
      <c r="G3129" s="147" t="str">
        <f aca="false">IFERROR(VLOOKUP(F3129,$AE$2:$AF$290,2, 0),"")</f>
        <v>تبوك</v>
      </c>
      <c r="H3129" s="212" t="s">
        <v>155</v>
      </c>
      <c r="I3129" s="246" t="n">
        <f aca="false">SUM(K3129:R3129)</f>
        <v>4</v>
      </c>
      <c r="J3129" s="182" t="n">
        <v>46275</v>
      </c>
      <c r="K3129" s="148" t="n">
        <v>4</v>
      </c>
      <c r="S3129" s="192" t="n">
        <f aca="false">(K3129+O3129+Q3129)*24 /1130+(L3129+M3129+P3129+R3129)*12/1130+(N3129*30)/1130</f>
        <v>0.0849557522123894</v>
      </c>
    </row>
    <row r="3130" customFormat="false" ht="15" hidden="true" customHeight="true" outlineLevel="0" collapsed="false">
      <c r="B3130" s="233" t="n">
        <f aca="false">B3129+D3130-C3130</f>
        <v>7692.54999999998</v>
      </c>
      <c r="D3130" s="146" t="n">
        <v>506</v>
      </c>
      <c r="E3130" s="147" t="n">
        <v>53002365</v>
      </c>
      <c r="F3130" s="147" t="n">
        <f aca="false">IFERROR(VLOOKUP(H3130,$AD$1:$AE$301,2,0),"")</f>
        <v>1004</v>
      </c>
      <c r="G3130" s="147" t="str">
        <f aca="false">IFERROR(VLOOKUP(F3130,$AE$2:$AF$290,2, 0),"")</f>
        <v>تبوك</v>
      </c>
      <c r="H3130" s="212" t="s">
        <v>181</v>
      </c>
      <c r="I3130" s="246" t="n">
        <f aca="false">SUM(K3130:R3130)</f>
        <v>2</v>
      </c>
      <c r="J3130" s="182" t="n">
        <v>46275</v>
      </c>
      <c r="L3130" s="149" t="n">
        <v>2</v>
      </c>
      <c r="S3130" s="192" t="n">
        <f aca="false">(K3130+O3130+Q3130)*24 /1130+(L3130+M3130+P3130+R3130)*12/1130+(N3130*30)/1130</f>
        <v>0.0212389380530973</v>
      </c>
    </row>
    <row r="3131" customFormat="false" ht="15" hidden="true" customHeight="true" outlineLevel="0" collapsed="false">
      <c r="B3131" s="233" t="n">
        <f aca="false">B3130+D3131-C3131</f>
        <v>6592.54999999998</v>
      </c>
      <c r="C3131" s="127" t="n">
        <f aca="false">500+600</f>
        <v>1100</v>
      </c>
      <c r="E3131" s="147" t="s">
        <v>675</v>
      </c>
      <c r="F3131" s="147" t="str">
        <f aca="false">IFERROR(VLOOKUP(H3131,$AD$1:$AE$301,2,0),"")</f>
        <v/>
      </c>
      <c r="G3131" s="147" t="str">
        <f aca="false">IFERROR(VLOOKUP(F3131,$AE$2:$AF$290,2, 0),"")</f>
        <v/>
      </c>
      <c r="H3131" s="212" t="s">
        <v>393</v>
      </c>
      <c r="I3131" s="246" t="n">
        <f aca="false">SUM(K3131:R3131)</f>
        <v>0</v>
      </c>
      <c r="J3131" s="182" t="n">
        <v>46276</v>
      </c>
      <c r="S3131" s="192" t="n">
        <f aca="false">(K3131+O3131+Q3131)*24 /1130+(L3131+M3131+P3131+R3131)*12/1130+(N3131*30)/1130</f>
        <v>0</v>
      </c>
    </row>
    <row r="3132" customFormat="false" ht="15" hidden="true" customHeight="true" outlineLevel="0" collapsed="false">
      <c r="B3132" s="233" t="n">
        <f aca="false">B3131+D3132-C3132</f>
        <v>4123.54999999998</v>
      </c>
      <c r="C3132" s="127" t="n">
        <f aca="false">540+98+100+70+520+280+661+100+100</f>
        <v>2469</v>
      </c>
      <c r="E3132" s="147" t="s">
        <v>675</v>
      </c>
      <c r="F3132" s="147" t="str">
        <f aca="false">IFERROR(VLOOKUP(H3132,$AD$1:$AE$301,2,0),"")</f>
        <v/>
      </c>
      <c r="G3132" s="147" t="str">
        <f aca="false">IFERROR(VLOOKUP(F3132,$AE$2:$AF$290,2, 0),"")</f>
        <v/>
      </c>
      <c r="H3132" s="212" t="s">
        <v>393</v>
      </c>
      <c r="I3132" s="246" t="n">
        <f aca="false">SUM(K3132:R3132)</f>
        <v>0</v>
      </c>
      <c r="J3132" s="182" t="n">
        <v>46276</v>
      </c>
      <c r="S3132" s="192" t="n">
        <f aca="false">(K3132+O3132+Q3132)*24 /1130+(L3132+M3132+P3132+R3132)*12/1130+(N3132*30)/1130</f>
        <v>0</v>
      </c>
    </row>
    <row r="3133" customFormat="false" ht="15" hidden="true" customHeight="true" outlineLevel="0" collapsed="false">
      <c r="B3133" s="233" t="n">
        <f aca="false">B3132+D3133-C3133</f>
        <v>4296.04999999998</v>
      </c>
      <c r="D3133" s="146" t="n">
        <v>172.5</v>
      </c>
      <c r="E3133" s="147" t="n">
        <v>53002366</v>
      </c>
      <c r="F3133" s="147" t="n">
        <f aca="false">IFERROR(VLOOKUP(H3133,$AD$1:$AE$301,2,0),"")</f>
        <v>1002897</v>
      </c>
      <c r="G3133" s="147" t="str">
        <f aca="false">IFERROR(VLOOKUP(F3133,$AE$2:$AF$290,2, 0),"")</f>
        <v>تبوك</v>
      </c>
      <c r="H3133" s="212" t="s">
        <v>172</v>
      </c>
      <c r="I3133" s="246" t="n">
        <f aca="false">SUM(K3133:R3133)</f>
        <v>1</v>
      </c>
      <c r="J3133" s="182" t="n">
        <v>46279</v>
      </c>
      <c r="R3133" s="155" t="n">
        <v>1</v>
      </c>
      <c r="S3133" s="192" t="n">
        <f aca="false">(K3133+O3133+Q3133)*24 /1130+(L3133+M3133+P3133+R3133)*12/1130+(N3133*30)/1130</f>
        <v>0.0106194690265487</v>
      </c>
    </row>
    <row r="3134" customFormat="false" ht="15" hidden="true" customHeight="true" outlineLevel="0" collapsed="false">
      <c r="B3134" s="233" t="n">
        <f aca="false">B3133+D3134-C3134</f>
        <v>5899.14999999998</v>
      </c>
      <c r="D3134" s="146" t="n">
        <v>1603.1</v>
      </c>
      <c r="E3134" s="147" t="n">
        <v>53002367</v>
      </c>
      <c r="F3134" s="147" t="n">
        <f aca="false">IFERROR(VLOOKUP(H3134,$AD$1:$AE$301,2,0),"")</f>
        <v>1002896</v>
      </c>
      <c r="G3134" s="147" t="str">
        <f aca="false">IFERROR(VLOOKUP(F3134,$AE$2:$AF$290,2, 0),"")</f>
        <v>تبوك</v>
      </c>
      <c r="H3134" s="212" t="s">
        <v>523</v>
      </c>
      <c r="I3134" s="246" t="n">
        <f aca="false">SUM(K3134:R3134)</f>
        <v>6</v>
      </c>
      <c r="J3134" s="182" t="n">
        <v>46279</v>
      </c>
      <c r="K3134" s="148" t="n">
        <v>4</v>
      </c>
      <c r="Q3134" s="154" t="n">
        <v>1</v>
      </c>
      <c r="R3134" s="155" t="n">
        <v>1</v>
      </c>
      <c r="S3134" s="192" t="n">
        <f aca="false">(K3134+O3134+Q3134)*24 /1130+(L3134+M3134+P3134+R3134)*12/1130+(N3134*30)/1130</f>
        <v>0.116814159292035</v>
      </c>
    </row>
    <row r="3135" customFormat="false" ht="15" hidden="true" customHeight="true" outlineLevel="0" collapsed="false">
      <c r="B3135" s="233" t="n">
        <f aca="false">B3134+D3135-C3135</f>
        <v>6071.64999999998</v>
      </c>
      <c r="D3135" s="146" t="n">
        <v>172.5</v>
      </c>
      <c r="E3135" s="147" t="n">
        <v>53002368</v>
      </c>
      <c r="F3135" s="147" t="n">
        <f aca="false">IFERROR(VLOOKUP(H3135,$AD$1:$AE$301,2,0),"")</f>
        <v>543</v>
      </c>
      <c r="G3135" s="147" t="str">
        <f aca="false">IFERROR(VLOOKUP(F3135,$AE$2:$AF$290,2, 0),"")</f>
        <v>تبوك</v>
      </c>
      <c r="H3135" s="212" t="s">
        <v>164</v>
      </c>
      <c r="I3135" s="246" t="n">
        <f aca="false">SUM(K3135:R3135)</f>
        <v>1</v>
      </c>
      <c r="J3135" s="182" t="n">
        <v>46279</v>
      </c>
      <c r="R3135" s="155" t="n">
        <v>1</v>
      </c>
      <c r="S3135" s="192" t="n">
        <f aca="false">(K3135+O3135+Q3135)*24 /1130+(L3135+M3135+P3135+R3135)*12/1130+(N3135*30)/1130</f>
        <v>0.0106194690265487</v>
      </c>
    </row>
    <row r="3136" customFormat="false" ht="15" hidden="true" customHeight="true" outlineLevel="0" collapsed="false">
      <c r="B3136" s="233" t="n">
        <f aca="false">B3135+D3136-C3136</f>
        <v>5401.64999999998</v>
      </c>
      <c r="C3136" s="127" t="n">
        <v>670</v>
      </c>
      <c r="E3136" s="147" t="s">
        <v>675</v>
      </c>
      <c r="F3136" s="147" t="str">
        <f aca="false">IFERROR(VLOOKUP(H3136,$AD$1:$AE$301,2,0),"")</f>
        <v/>
      </c>
      <c r="G3136" s="147" t="str">
        <f aca="false">IFERROR(VLOOKUP(F3136,$AE$2:$AF$290,2, 0),"")</f>
        <v/>
      </c>
      <c r="H3136" s="212" t="s">
        <v>393</v>
      </c>
      <c r="I3136" s="246" t="n">
        <f aca="false">SUM(K3136:R3136)</f>
        <v>0</v>
      </c>
      <c r="J3136" s="182" t="n">
        <v>46279</v>
      </c>
      <c r="S3136" s="192" t="n">
        <f aca="false">(K3136+O3136+Q3136)*24 /1130+(L3136+M3136+P3136+R3136)*12/1130+(N3136*30)/1130</f>
        <v>0</v>
      </c>
    </row>
    <row r="3137" customFormat="false" ht="15" hidden="true" customHeight="true" outlineLevel="0" collapsed="false">
      <c r="B3137" s="233" t="n">
        <f aca="false">B3136+D3137-C3137</f>
        <v>3879.14999999998</v>
      </c>
      <c r="C3137" s="127" t="n">
        <f aca="false">1269.5+253</f>
        <v>1522.5</v>
      </c>
      <c r="E3137" s="147" t="s">
        <v>677</v>
      </c>
      <c r="F3137" s="147" t="str">
        <f aca="false">IFERROR(VLOOKUP(H3137,$AD$1:$AE$301,2,0),"")</f>
        <v/>
      </c>
      <c r="G3137" s="147" t="str">
        <f aca="false">IFERROR(VLOOKUP(F3137,$AE$2:$AF$290,2, 0),"")</f>
        <v/>
      </c>
      <c r="H3137" s="212" t="s">
        <v>393</v>
      </c>
      <c r="I3137" s="246" t="n">
        <f aca="false">SUM(K3137:R3137)</f>
        <v>0</v>
      </c>
      <c r="J3137" s="182" t="n">
        <v>46279</v>
      </c>
      <c r="S3137" s="192" t="n">
        <f aca="false">(K3137+O3137+Q3137)*24 /1130+(L3137+M3137+P3137+R3137)*12/1130+(N3137*30)/1130</f>
        <v>0</v>
      </c>
    </row>
    <row r="3138" customFormat="false" ht="15" hidden="true" customHeight="true" outlineLevel="0" collapsed="false">
      <c r="B3138" s="233" t="n">
        <f aca="false">B3137+D3138-C3138</f>
        <v>5148.74999999998</v>
      </c>
      <c r="D3138" s="146" t="n">
        <v>1269.6</v>
      </c>
      <c r="E3138" s="147" t="n">
        <v>53002369</v>
      </c>
      <c r="F3138" s="147" t="n">
        <f aca="false">IFERROR(VLOOKUP(H3138,$AD$1:$AE$301,2,0),"")</f>
        <v>1008260</v>
      </c>
      <c r="G3138" s="147" t="str">
        <f aca="false">IFERROR(VLOOKUP(F3138,$AE$2:$AF$290,2, 0),"")</f>
        <v>تبوك</v>
      </c>
      <c r="H3138" s="212" t="s">
        <v>184</v>
      </c>
      <c r="I3138" s="246" t="n">
        <f aca="false">SUM(K3138:R3138)</f>
        <v>4</v>
      </c>
      <c r="J3138" s="182" t="n">
        <v>46279</v>
      </c>
      <c r="K3138" s="148" t="n">
        <v>4</v>
      </c>
      <c r="S3138" s="192" t="n">
        <f aca="false">(K3138+O3138+Q3138)*24 /1130+(L3138+M3138+P3138+R3138)*12/1130+(N3138*30)/1130</f>
        <v>0.0849557522123894</v>
      </c>
    </row>
    <row r="3139" customFormat="false" ht="15" hidden="true" customHeight="true" outlineLevel="0" collapsed="false">
      <c r="B3139" s="233" t="n">
        <f aca="false">B3138+D3139-C3139</f>
        <v>5390.24999999998</v>
      </c>
      <c r="D3139" s="146" t="n">
        <v>241.5</v>
      </c>
      <c r="E3139" s="147" t="n">
        <v>53002370</v>
      </c>
      <c r="F3139" s="147" t="n">
        <f aca="false">IFERROR(VLOOKUP(H3139,$AD$1:$AE$301,2,0),"")</f>
        <v>1008260</v>
      </c>
      <c r="G3139" s="147" t="str">
        <f aca="false">IFERROR(VLOOKUP(F3139,$AE$2:$AF$290,2, 0),"")</f>
        <v>تبوك</v>
      </c>
      <c r="H3139" s="212" t="s">
        <v>184</v>
      </c>
      <c r="I3139" s="246" t="n">
        <f aca="false">SUM(K3139:R3139)</f>
        <v>1</v>
      </c>
      <c r="J3139" s="182" t="n">
        <v>46279</v>
      </c>
      <c r="M3139" s="150" t="n">
        <v>1</v>
      </c>
      <c r="S3139" s="192" t="n">
        <f aca="false">(K3139+O3139+Q3139)*24 /1130+(L3139+M3139+P3139+R3139)*12/1130+(N3139*30)/1130</f>
        <v>0.0106194690265487</v>
      </c>
    </row>
    <row r="3140" customFormat="false" ht="15" hidden="true" customHeight="true" outlineLevel="0" collapsed="false">
      <c r="B3140" s="233" t="n">
        <f aca="false">B3139+D3140-C3140</f>
        <v>7281.99999999998</v>
      </c>
      <c r="D3140" s="146" t="n">
        <v>1891.75</v>
      </c>
      <c r="E3140" s="147" t="n">
        <v>53002371</v>
      </c>
      <c r="F3140" s="147" t="n">
        <f aca="false">IFERROR(VLOOKUP(H3140,$AD$1:$AE$301,2,0),"")</f>
        <v>1008276</v>
      </c>
      <c r="G3140" s="147" t="str">
        <f aca="false">IFERROR(VLOOKUP(F3140,$AE$2:$AF$290,2, 0),"")</f>
        <v>تبوك</v>
      </c>
      <c r="H3140" s="212" t="s">
        <v>145</v>
      </c>
      <c r="I3140" s="246" t="n">
        <f aca="false">SUM(K3140:R3140)</f>
        <v>7</v>
      </c>
      <c r="J3140" s="182" t="n">
        <v>46279</v>
      </c>
      <c r="M3140" s="150" t="n">
        <v>7</v>
      </c>
      <c r="S3140" s="192" t="n">
        <f aca="false">(K3140+O3140+Q3140)*24 /1130+(L3140+M3140+P3140+R3140)*12/1130+(N3140*30)/1130</f>
        <v>0.0743362831858407</v>
      </c>
    </row>
    <row r="3141" customFormat="false" ht="15" hidden="true" customHeight="true" outlineLevel="0" collapsed="false">
      <c r="B3141" s="233" t="n">
        <f aca="false">B3140+D3141-C3141</f>
        <v>10881.5</v>
      </c>
      <c r="D3141" s="146" t="n">
        <v>3599.5</v>
      </c>
      <c r="E3141" s="147" t="n">
        <v>53002372</v>
      </c>
      <c r="F3141" s="147" t="n">
        <f aca="false">IFERROR(VLOOKUP(H3141,$AD$1:$AE$301,2,0),"")</f>
        <v>1293</v>
      </c>
      <c r="G3141" s="147" t="str">
        <f aca="false">IFERROR(VLOOKUP(F3141,$AE$2:$AF$290,2, 0),"")</f>
        <v>تبوك</v>
      </c>
      <c r="H3141" s="212" t="s">
        <v>560</v>
      </c>
      <c r="I3141" s="246" t="n">
        <f aca="false">SUM(K3141:R3141)</f>
        <v>13</v>
      </c>
      <c r="J3141" s="182" t="n">
        <v>46279</v>
      </c>
      <c r="M3141" s="150" t="n">
        <v>12</v>
      </c>
      <c r="N3141" s="151" t="n">
        <v>1</v>
      </c>
      <c r="S3141" s="192" t="n">
        <f aca="false">(K3141+O3141+Q3141)*24 /1130+(L3141+M3141+P3141+R3141)*12/1130+(N3141*30)/1130</f>
        <v>0.153982300884956</v>
      </c>
    </row>
    <row r="3142" customFormat="false" ht="15" hidden="true" customHeight="true" outlineLevel="0" collapsed="false">
      <c r="B3142" s="233" t="n">
        <f aca="false">B3141+D3142-C3142</f>
        <v>13593.2</v>
      </c>
      <c r="D3142" s="146" t="n">
        <v>2711.7</v>
      </c>
      <c r="E3142" s="147" t="n">
        <v>53002373</v>
      </c>
      <c r="F3142" s="147" t="n">
        <f aca="false">IFERROR(VLOOKUP(H3142,$AD$1:$AE$301,2,0),"")</f>
        <v>1002879</v>
      </c>
      <c r="G3142" s="147" t="str">
        <f aca="false">IFERROR(VLOOKUP(F3142,$AE$2:$AF$290,2, 0),"")</f>
        <v>تبوك</v>
      </c>
      <c r="H3142" s="212" t="s">
        <v>537</v>
      </c>
      <c r="I3142" s="246" t="n">
        <f aca="false">SUM(K3142:R3142)</f>
        <v>9</v>
      </c>
      <c r="J3142" s="182" t="n">
        <v>46279</v>
      </c>
      <c r="K3142" s="148" t="n">
        <v>8</v>
      </c>
      <c r="R3142" s="155" t="n">
        <v>1</v>
      </c>
      <c r="S3142" s="192" t="n">
        <f aca="false">(K3142+O3142+Q3142)*24 /1130+(L3142+M3142+P3142+R3142)*12/1130+(N3142*30)/1130</f>
        <v>0.180530973451327</v>
      </c>
    </row>
    <row r="3143" customFormat="false" ht="15" hidden="true" customHeight="true" outlineLevel="0" collapsed="false">
      <c r="B3143" s="233" t="n">
        <f aca="false">B3142+D3143-C3143</f>
        <v>12012.6</v>
      </c>
      <c r="C3143" s="127" t="n">
        <f aca="false">1269.6+211+100</f>
        <v>1580.6</v>
      </c>
      <c r="E3143" s="147" t="s">
        <v>680</v>
      </c>
      <c r="F3143" s="147" t="str">
        <f aca="false">IFERROR(VLOOKUP(H3143,$AD$1:$AE$301,2,0),"")</f>
        <v/>
      </c>
      <c r="G3143" s="147" t="str">
        <f aca="false">IFERROR(VLOOKUP(F3143,$AE$2:$AF$290,2, 0),"")</f>
        <v/>
      </c>
      <c r="H3143" s="212" t="s">
        <v>393</v>
      </c>
      <c r="I3143" s="246" t="n">
        <f aca="false">SUM(K3143:R3143)</f>
        <v>0</v>
      </c>
      <c r="J3143" s="182" t="n">
        <v>46279</v>
      </c>
      <c r="S3143" s="192" t="n">
        <f aca="false">(K3143+O3143+Q3143)*24 /1130+(L3143+M3143+P3143+R3143)*12/1130+(N3143*30)/1130</f>
        <v>0</v>
      </c>
    </row>
    <row r="3144" customFormat="false" ht="15" hidden="true" customHeight="true" outlineLevel="0" collapsed="false">
      <c r="B3144" s="233" t="n">
        <f aca="false">B3143+D3144-C3144</f>
        <v>4612.49999999998</v>
      </c>
      <c r="C3144" s="127" t="n">
        <v>7400</v>
      </c>
      <c r="D3144" s="146" t="n">
        <v>-0.1</v>
      </c>
      <c r="E3144" s="147" t="s">
        <v>668</v>
      </c>
      <c r="F3144" s="147" t="str">
        <f aca="false">IFERROR(VLOOKUP(H3144,$AD$1:$AE$301,2,0),"")</f>
        <v/>
      </c>
      <c r="G3144" s="147" t="str">
        <f aca="false">IFERROR(VLOOKUP(F3144,$AE$2:$AF$290,2, 0),"")</f>
        <v/>
      </c>
      <c r="H3144" s="212" t="s">
        <v>393</v>
      </c>
      <c r="I3144" s="246" t="n">
        <f aca="false">SUM(K3144:R3144)</f>
        <v>0</v>
      </c>
      <c r="J3144" s="182" t="n">
        <v>46279</v>
      </c>
      <c r="S3144" s="192" t="n">
        <f aca="false">(K3144+O3144+Q3144)*24 /1130+(L3144+M3144+P3144+R3144)*12/1130+(N3144*30)/1130</f>
        <v>0</v>
      </c>
    </row>
    <row r="3145" customFormat="false" ht="15" hidden="true" customHeight="true" outlineLevel="0" collapsed="false">
      <c r="B3145" s="233" t="n">
        <f aca="false">B3144+D3145-C3145</f>
        <v>5032.24999999998</v>
      </c>
      <c r="D3145" s="146" t="n">
        <v>419.75</v>
      </c>
      <c r="E3145" s="147" t="n">
        <v>53002374</v>
      </c>
      <c r="F3145" s="147" t="n">
        <f aca="false">IFERROR(VLOOKUP(H3145,$AD$1:$AE$301,2,0),"")</f>
        <v>1007988</v>
      </c>
      <c r="G3145" s="147" t="str">
        <f aca="false">IFERROR(VLOOKUP(F3145,$AE$2:$AF$290,2, 0),"")</f>
        <v>ضباء</v>
      </c>
      <c r="H3145" s="212" t="s">
        <v>89</v>
      </c>
      <c r="I3145" s="246" t="n">
        <f aca="false">SUM(K3145:R3145)</f>
        <v>1</v>
      </c>
      <c r="J3145" s="182" t="n">
        <v>46280</v>
      </c>
      <c r="N3145" s="151" t="n">
        <v>1</v>
      </c>
      <c r="S3145" s="192" t="n">
        <f aca="false">(K3145+O3145+Q3145)*24 /1130+(L3145+M3145+P3145+R3145)*12/1130+(N3145*30)/1130</f>
        <v>0.0265486725663717</v>
      </c>
    </row>
    <row r="3146" customFormat="false" ht="15" hidden="true" customHeight="true" outlineLevel="0" collapsed="false">
      <c r="B3146" s="233" t="n">
        <f aca="false">B3145+D3146-C3146</f>
        <v>6301.84999999998</v>
      </c>
      <c r="D3146" s="146" t="n">
        <v>1269.6</v>
      </c>
      <c r="E3146" s="147" t="n">
        <v>53002375</v>
      </c>
      <c r="F3146" s="147" t="n">
        <f aca="false">IFERROR(VLOOKUP(H3146,$AD$1:$AE$301,2,0),"")</f>
        <v>1008044</v>
      </c>
      <c r="G3146" s="147" t="str">
        <f aca="false">IFERROR(VLOOKUP(F3146,$AE$2:$AF$290,2, 0),"")</f>
        <v>الوجه</v>
      </c>
      <c r="H3146" s="212" t="s">
        <v>106</v>
      </c>
      <c r="I3146" s="246" t="n">
        <f aca="false">SUM(K3146:R3146)</f>
        <v>4</v>
      </c>
      <c r="J3146" s="182" t="n">
        <v>46280</v>
      </c>
      <c r="K3146" s="148" t="n">
        <v>4</v>
      </c>
      <c r="S3146" s="192" t="n">
        <f aca="false">(K3146+O3146+Q3146)*24 /1130+(L3146+M3146+P3146+R3146)*12/1130+(N3146*30)/1130</f>
        <v>0.0849557522123894</v>
      </c>
    </row>
    <row r="3147" customFormat="false" ht="15" hidden="true" customHeight="true" outlineLevel="0" collapsed="false">
      <c r="B3147" s="233" t="n">
        <f aca="false">B3146+D3147-C3147</f>
        <v>7571.44999999998</v>
      </c>
      <c r="D3147" s="146" t="n">
        <v>1269.6</v>
      </c>
      <c r="E3147" s="147" t="n">
        <v>53002376</v>
      </c>
      <c r="F3147" s="147" t="n">
        <f aca="false">IFERROR(VLOOKUP(H3147,$AD$1:$AE$301,2,0),"")</f>
        <v>1008051</v>
      </c>
      <c r="G3147" s="147" t="str">
        <f aca="false">IFERROR(VLOOKUP(F3147,$AE$2:$AF$290,2, 0),"")</f>
        <v>الوجه</v>
      </c>
      <c r="H3147" s="212" t="s">
        <v>113</v>
      </c>
      <c r="I3147" s="246" t="n">
        <f aca="false">SUM(K3147:R3147)</f>
        <v>4</v>
      </c>
      <c r="J3147" s="182" t="n">
        <v>46280</v>
      </c>
      <c r="K3147" s="148" t="n">
        <v>4</v>
      </c>
      <c r="S3147" s="192" t="n">
        <f aca="false">(K3147+O3147+Q3147)*24 /1130+(L3147+M3147+P3147+R3147)*12/1130+(N3147*30)/1130</f>
        <v>0.0849557522123894</v>
      </c>
    </row>
    <row r="3148" customFormat="false" ht="15" hidden="true" customHeight="true" outlineLevel="0" collapsed="false">
      <c r="B3148" s="233" t="n">
        <f aca="false">B3147+D3148-C3148</f>
        <v>9082.54999999998</v>
      </c>
      <c r="D3148" s="146" t="n">
        <f aca="false">1269.6+241.5</f>
        <v>1511.1</v>
      </c>
      <c r="E3148" s="147" t="n">
        <v>53002377</v>
      </c>
      <c r="F3148" s="147" t="n">
        <f aca="false">IFERROR(VLOOKUP(H3148,$AD$1:$AE$301,2,0),"")</f>
        <v>1008045</v>
      </c>
      <c r="G3148" s="147" t="str">
        <f aca="false">IFERROR(VLOOKUP(F3148,$AE$2:$AF$290,2, 0),"")</f>
        <v>الوجه</v>
      </c>
      <c r="H3148" s="212" t="s">
        <v>107</v>
      </c>
      <c r="I3148" s="246" t="n">
        <f aca="false">SUM(K3148:R3148)</f>
        <v>5</v>
      </c>
      <c r="J3148" s="182" t="n">
        <v>46280</v>
      </c>
      <c r="K3148" s="148" t="n">
        <v>4</v>
      </c>
      <c r="M3148" s="150" t="n">
        <v>1</v>
      </c>
      <c r="S3148" s="192" t="n">
        <f aca="false">(K3148+O3148+Q3148)*24 /1130+(L3148+M3148+P3148+R3148)*12/1130+(N3148*30)/1130</f>
        <v>0.0955752212389381</v>
      </c>
    </row>
    <row r="3149" customFormat="false" ht="15" hidden="true" customHeight="true" outlineLevel="0" collapsed="false">
      <c r="B3149" s="233" t="n">
        <f aca="false">B3148+D3149-C3149</f>
        <v>11943.75</v>
      </c>
      <c r="D3149" s="146" t="n">
        <v>2861.2</v>
      </c>
      <c r="E3149" s="147" t="n">
        <v>53002378</v>
      </c>
      <c r="F3149" s="147" t="n">
        <f aca="false">IFERROR(VLOOKUP(H3149,$AD$1:$AE$301,2,0),"")</f>
        <v>1008047</v>
      </c>
      <c r="G3149" s="147" t="str">
        <f aca="false">IFERROR(VLOOKUP(F3149,$AE$2:$AF$290,2, 0),"")</f>
        <v>الوجه</v>
      </c>
      <c r="H3149" s="212" t="s">
        <v>422</v>
      </c>
      <c r="I3149" s="246" t="n">
        <f aca="false">SUM(K3149:R3149)</f>
        <v>10</v>
      </c>
      <c r="J3149" s="182" t="n">
        <v>46280</v>
      </c>
      <c r="K3149" s="148" t="n">
        <v>8</v>
      </c>
      <c r="Q3149" s="154" t="n">
        <v>2</v>
      </c>
      <c r="S3149" s="192" t="n">
        <f aca="false">(K3149+O3149+Q3149)*24 /1130+(L3149+M3149+P3149+R3149)*12/1130+(N3149*30)/1130</f>
        <v>0.212389380530973</v>
      </c>
    </row>
    <row r="3150" customFormat="false" ht="15" hidden="true" customHeight="true" outlineLevel="0" collapsed="false">
      <c r="B3150" s="233" t="n">
        <f aca="false">B3149+D3150-C3150</f>
        <v>13461.75</v>
      </c>
      <c r="D3150" s="146" t="n">
        <v>1518</v>
      </c>
      <c r="E3150" s="147" t="n">
        <v>53002379</v>
      </c>
      <c r="F3150" s="147" t="n">
        <f aca="false">IFERROR(VLOOKUP(H3150,$AD$1:$AE$301,2,0),"")</f>
        <v>1008047</v>
      </c>
      <c r="G3150" s="147" t="str">
        <f aca="false">IFERROR(VLOOKUP(F3150,$AE$2:$AF$290,2, 0),"")</f>
        <v>الوجه</v>
      </c>
      <c r="H3150" s="212" t="s">
        <v>422</v>
      </c>
      <c r="I3150" s="246" t="n">
        <f aca="false">SUM(K3150:R3150)</f>
        <v>7</v>
      </c>
      <c r="J3150" s="182" t="n">
        <v>46280</v>
      </c>
      <c r="M3150" s="150" t="n">
        <v>7</v>
      </c>
      <c r="S3150" s="192" t="n">
        <f aca="false">(K3150+O3150+Q3150)*24 /1130+(L3150+M3150+P3150+R3150)*12/1130+(N3150*30)/1130</f>
        <v>0.0743362831858407</v>
      </c>
    </row>
    <row r="3151" customFormat="false" ht="15" hidden="true" customHeight="true" outlineLevel="0" collapsed="false">
      <c r="B3151" s="233" t="n">
        <f aca="false">B3150+D3151-C3151</f>
        <v>10979.75</v>
      </c>
      <c r="C3151" s="127" t="n">
        <f aca="false">300+390+1792</f>
        <v>2482</v>
      </c>
      <c r="E3151" s="147" t="s">
        <v>680</v>
      </c>
      <c r="F3151" s="147" t="str">
        <f aca="false">IFERROR(VLOOKUP(H3151,$AD$1:$AE$301,2,0),"")</f>
        <v/>
      </c>
      <c r="G3151" s="147" t="str">
        <f aca="false">IFERROR(VLOOKUP(F3151,$AE$2:$AF$290,2, 0),"")</f>
        <v/>
      </c>
      <c r="H3151" s="212" t="s">
        <v>393</v>
      </c>
      <c r="I3151" s="246" t="n">
        <f aca="false">SUM(K3151:R3151)</f>
        <v>0</v>
      </c>
      <c r="J3151" s="182" t="n">
        <v>46280</v>
      </c>
      <c r="S3151" s="192" t="n">
        <f aca="false">(K3151+O3151+Q3151)*24 /1130+(L3151+M3151+P3151+R3151)*12/1130+(N3151*30)/1130</f>
        <v>0</v>
      </c>
    </row>
    <row r="3152" customFormat="false" ht="15" hidden="true" customHeight="true" outlineLevel="0" collapsed="false">
      <c r="B3152" s="233" t="n">
        <f aca="false">B3151+D3152-C3152</f>
        <v>12249.35</v>
      </c>
      <c r="D3152" s="439" t="n">
        <v>1269.6</v>
      </c>
      <c r="E3152" s="147" t="n">
        <v>53002380</v>
      </c>
      <c r="F3152" s="147" t="n">
        <f aca="false">IFERROR(VLOOKUP(H3152,$AD$1:$AE$301,2,0),"")</f>
        <v>1002949</v>
      </c>
      <c r="G3152" s="147" t="str">
        <f aca="false">IFERROR(VLOOKUP(F3152,$AE$2:$AF$290,2, 0),"")</f>
        <v>تبوك</v>
      </c>
      <c r="H3152" s="212" t="s">
        <v>155</v>
      </c>
      <c r="I3152" s="246" t="n">
        <f aca="false">SUM(K3152:R3152)</f>
        <v>4</v>
      </c>
      <c r="J3152" s="182" t="n">
        <v>46280</v>
      </c>
      <c r="K3152" s="148" t="n">
        <v>4</v>
      </c>
      <c r="S3152" s="192" t="n">
        <f aca="false">(K3152+O3152+Q3152)*24 /1130+(L3152+M3152+P3152+R3152)*12/1130+(N3152*30)/1130</f>
        <v>0.0849557522123894</v>
      </c>
    </row>
    <row r="3153" customFormat="false" ht="15" hidden="true" customHeight="true" outlineLevel="0" collapsed="false">
      <c r="B3153" s="233" t="n">
        <f aca="false">B3152+D3153-C3153</f>
        <v>12490.85</v>
      </c>
      <c r="D3153" s="146" t="n">
        <v>241.5</v>
      </c>
      <c r="E3153" s="147" t="n">
        <v>53002381</v>
      </c>
      <c r="F3153" s="147" t="n">
        <f aca="false">IFERROR(VLOOKUP(H3153,$AD$1:$AE$301,2,0),"")</f>
        <v>1002949</v>
      </c>
      <c r="G3153" s="147" t="str">
        <f aca="false">IFERROR(VLOOKUP(F3153,$AE$2:$AF$290,2, 0),"")</f>
        <v>تبوك</v>
      </c>
      <c r="H3153" s="212" t="s">
        <v>169</v>
      </c>
      <c r="I3153" s="246" t="n">
        <f aca="false">SUM(K3153:R3153)</f>
        <v>1</v>
      </c>
      <c r="J3153" s="182" t="n">
        <v>46280</v>
      </c>
      <c r="M3153" s="150" t="n">
        <v>1</v>
      </c>
      <c r="S3153" s="192" t="n">
        <f aca="false">(K3153+O3153+Q3153)*24 /1130+(L3153+M3153+P3153+R3153)*12/1130+(N3153*30)/1130</f>
        <v>0.0106194690265487</v>
      </c>
    </row>
    <row r="3154" customFormat="false" ht="15" hidden="true" customHeight="true" outlineLevel="0" collapsed="false">
      <c r="B3154" s="233" t="n">
        <f aca="false">B3153+D3154-C3154</f>
        <v>9612.84999999998</v>
      </c>
      <c r="C3154" s="127" t="n">
        <f aca="false">750+440+1488+200</f>
        <v>2878</v>
      </c>
      <c r="E3154" s="147" t="s">
        <v>680</v>
      </c>
      <c r="F3154" s="147" t="str">
        <f aca="false">IFERROR(VLOOKUP(H3154,$AD$1:$AE$301,2,0),"")</f>
        <v/>
      </c>
      <c r="G3154" s="147" t="str">
        <f aca="false">IFERROR(VLOOKUP(F3154,$AE$2:$AF$290,2, 0),"")</f>
        <v/>
      </c>
      <c r="H3154" s="212" t="s">
        <v>393</v>
      </c>
      <c r="I3154" s="246" t="n">
        <f aca="false">SUM(K3154:R3154)</f>
        <v>0</v>
      </c>
      <c r="J3154" s="182" t="n">
        <v>46280</v>
      </c>
      <c r="S3154" s="192" t="n">
        <f aca="false">(K3154+O3154+Q3154)*24 /1130+(L3154+M3154+P3154+R3154)*12/1130+(N3154*30)/1130</f>
        <v>0</v>
      </c>
    </row>
    <row r="3155" customFormat="false" ht="15" hidden="true" customHeight="true" outlineLevel="0" collapsed="false">
      <c r="B3155" s="233" t="n">
        <f aca="false">B3154+D3155-C3155</f>
        <v>10734.1</v>
      </c>
      <c r="D3155" s="146" t="n">
        <v>1121.25</v>
      </c>
      <c r="E3155" s="147" t="n">
        <v>53002382</v>
      </c>
      <c r="F3155" s="147" t="n">
        <f aca="false">IFERROR(VLOOKUP(H3155,$AD$1:$AE$301,2,0),"")</f>
        <v>1002910</v>
      </c>
      <c r="G3155" s="147" t="str">
        <f aca="false">IFERROR(VLOOKUP(F3155,$AE$2:$AF$290,2, 0),"")</f>
        <v>تبوك</v>
      </c>
      <c r="H3155" s="212" t="s">
        <v>197</v>
      </c>
      <c r="I3155" s="246" t="n">
        <f aca="false">SUM(K3155:R3155)</f>
        <v>6</v>
      </c>
      <c r="J3155" s="182" t="n">
        <v>46283</v>
      </c>
      <c r="L3155" s="149" t="n">
        <v>4</v>
      </c>
      <c r="O3155" s="152" t="n">
        <v>1</v>
      </c>
      <c r="Q3155" s="154" t="n">
        <v>1</v>
      </c>
      <c r="S3155" s="192" t="n">
        <f aca="false">(K3155+O3155+Q3155)*24 /1130+(L3155+M3155+P3155+R3155)*12/1130+(N3155*30)/1130</f>
        <v>0.0849557522123894</v>
      </c>
    </row>
    <row r="3156" customFormat="false" ht="15" hidden="true" customHeight="true" outlineLevel="0" collapsed="false">
      <c r="B3156" s="233" t="n">
        <f aca="false">B3155+D3156-C3156</f>
        <v>12176.2</v>
      </c>
      <c r="D3156" s="146" t="n">
        <v>1442.1</v>
      </c>
      <c r="E3156" s="147" t="n">
        <v>53002383</v>
      </c>
      <c r="F3156" s="147" t="n">
        <f aca="false">IFERROR(VLOOKUP(H3156,$AD$1:$AE$301,2,0),"")</f>
        <v>1002883</v>
      </c>
      <c r="G3156" s="147" t="str">
        <f aca="false">IFERROR(VLOOKUP(F3156,$AE$2:$AF$290,2, 0),"")</f>
        <v>تبوك</v>
      </c>
      <c r="H3156" s="212" t="s">
        <v>198</v>
      </c>
      <c r="I3156" s="246" t="n">
        <f aca="false">SUM(K3156:R3156)</f>
        <v>5</v>
      </c>
      <c r="J3156" s="182" t="n">
        <v>46283</v>
      </c>
      <c r="K3156" s="148" t="n">
        <v>4</v>
      </c>
      <c r="R3156" s="155" t="n">
        <v>1</v>
      </c>
      <c r="S3156" s="192" t="n">
        <f aca="false">(K3156+O3156+Q3156)*24 /1130+(L3156+M3156+P3156+R3156)*12/1130+(N3156*30)/1130</f>
        <v>0.0955752212389381</v>
      </c>
    </row>
    <row r="3157" customFormat="false" ht="15" hidden="true" customHeight="true" outlineLevel="0" collapsed="false">
      <c r="B3157" s="233" t="n">
        <f aca="false">B3156+D3157-C3157</f>
        <v>13843.7</v>
      </c>
      <c r="D3157" s="146" t="n">
        <v>1667.5</v>
      </c>
      <c r="E3157" s="147" t="n">
        <v>53002384</v>
      </c>
      <c r="F3157" s="147" t="n">
        <f aca="false">IFERROR(VLOOKUP(H3157,$AD$1:$AE$301,2,0),"")</f>
        <v>1002919</v>
      </c>
      <c r="G3157" s="147" t="str">
        <f aca="false">IFERROR(VLOOKUP(F3157,$AE$2:$AF$290,2, 0),"")</f>
        <v>تبوك</v>
      </c>
      <c r="H3157" s="212" t="s">
        <v>139</v>
      </c>
      <c r="I3157" s="246" t="n">
        <f aca="false">SUM(K3157:R3157)</f>
        <v>7</v>
      </c>
      <c r="J3157" s="182" t="n">
        <v>46285</v>
      </c>
      <c r="M3157" s="150" t="n">
        <v>7</v>
      </c>
      <c r="S3157" s="192" t="n">
        <f aca="false">(K3157+O3157+Q3157)*24 /1130+(L3157+M3157+P3157+R3157)*12/1130+(N3157*30)/1130</f>
        <v>0.0743362831858407</v>
      </c>
    </row>
    <row r="3158" customFormat="false" ht="15" hidden="true" customHeight="true" outlineLevel="0" collapsed="false">
      <c r="B3158" s="233" t="n">
        <f aca="false">B3157+D3158-C3158</f>
        <v>12943.7</v>
      </c>
      <c r="C3158" s="127" t="n">
        <f aca="false">90+170+100+440+100</f>
        <v>900</v>
      </c>
      <c r="E3158" s="147" t="s">
        <v>680</v>
      </c>
      <c r="F3158" s="147" t="str">
        <f aca="false">IFERROR(VLOOKUP(H3158,$AD$1:$AE$301,2,0),"")</f>
        <v/>
      </c>
      <c r="G3158" s="147" t="str">
        <f aca="false">IFERROR(VLOOKUP(F3158,$AE$2:$AF$290,2, 0),"")</f>
        <v/>
      </c>
      <c r="H3158" s="212" t="s">
        <v>393</v>
      </c>
      <c r="I3158" s="246" t="n">
        <f aca="false">SUM(K3158:R3158)</f>
        <v>0</v>
      </c>
      <c r="J3158" s="182" t="n">
        <v>46286</v>
      </c>
      <c r="S3158" s="192" t="n">
        <f aca="false">(K3158+O3158+Q3158)*24 /1130+(L3158+M3158+P3158+R3158)*12/1130+(N3158*30)/1130</f>
        <v>0</v>
      </c>
    </row>
    <row r="3159" customFormat="false" ht="15" hidden="true" customHeight="true" outlineLevel="0" collapsed="false">
      <c r="B3159" s="233" t="n">
        <f aca="false">B3158+D3159-C3159</f>
        <v>9593.69999999998</v>
      </c>
      <c r="C3159" s="127" t="n">
        <v>3350</v>
      </c>
      <c r="E3159" s="147" t="s">
        <v>668</v>
      </c>
      <c r="F3159" s="147" t="str">
        <f aca="false">IFERROR(VLOOKUP(H3159,$AD$1:$AE$301,2,0),"")</f>
        <v/>
      </c>
      <c r="G3159" s="147" t="str">
        <f aca="false">IFERROR(VLOOKUP(F3159,$AE$2:$AF$290,2, 0),"")</f>
        <v/>
      </c>
      <c r="H3159" s="212" t="s">
        <v>393</v>
      </c>
      <c r="I3159" s="246" t="n">
        <f aca="false">SUM(K3159:R3159)</f>
        <v>0</v>
      </c>
      <c r="J3159" s="182" t="n">
        <v>46286</v>
      </c>
      <c r="S3159" s="192" t="n">
        <f aca="false">(K3159+O3159+Q3159)*24 /1130+(L3159+M3159+P3159+R3159)*12/1130+(N3159*30)/1130</f>
        <v>0</v>
      </c>
    </row>
    <row r="3160" customFormat="false" ht="15" hidden="true" customHeight="true" outlineLevel="0" collapsed="false">
      <c r="B3160" s="233" t="n">
        <f aca="false">B3159+D3160-C3160</f>
        <v>9915.69999999998</v>
      </c>
      <c r="D3160" s="146" t="n">
        <v>322</v>
      </c>
      <c r="E3160" s="147" t="n">
        <v>53002385</v>
      </c>
      <c r="F3160" s="147" t="n">
        <f aca="false">IFERROR(VLOOKUP(H3160,$AD$1:$AE$301,2,0),"")</f>
        <v>1283</v>
      </c>
      <c r="G3160" s="147" t="str">
        <f aca="false">IFERROR(VLOOKUP(F3160,$AE$2:$AF$290,2, 0),"")</f>
        <v>تيماء</v>
      </c>
      <c r="H3160" s="212" t="s">
        <v>209</v>
      </c>
      <c r="I3160" s="246" t="n">
        <f aca="false">SUM(K3160:R3160)</f>
        <v>2</v>
      </c>
      <c r="J3160" s="182" t="n">
        <v>46286</v>
      </c>
      <c r="Q3160" s="154" t="n">
        <v>2</v>
      </c>
      <c r="S3160" s="192" t="n">
        <f aca="false">(K3160+O3160+Q3160)*24 /1130+(L3160+M3160+P3160+R3160)*12/1130+(N3160*30)/1130</f>
        <v>0.0424778761061947</v>
      </c>
    </row>
    <row r="3161" customFormat="false" ht="15" hidden="true" customHeight="true" outlineLevel="0" collapsed="false">
      <c r="B3161" s="233" t="n">
        <f aca="false">B3160+D3161-C3161</f>
        <v>11185.3</v>
      </c>
      <c r="D3161" s="146" t="n">
        <v>1269.6</v>
      </c>
      <c r="E3161" s="147" t="n">
        <v>53002386</v>
      </c>
      <c r="F3161" s="147" t="n">
        <f aca="false">IFERROR(VLOOKUP(H3161,$AD$1:$AE$301,2,0),"")</f>
        <v>1292</v>
      </c>
      <c r="G3161" s="147" t="str">
        <f aca="false">IFERROR(VLOOKUP(F3161,$AE$2:$AF$290,2, 0),"")</f>
        <v>تيماء</v>
      </c>
      <c r="H3161" s="212" t="s">
        <v>214</v>
      </c>
      <c r="I3161" s="246" t="n">
        <f aca="false">SUM(K3161:R3161)</f>
        <v>4</v>
      </c>
      <c r="J3161" s="182" t="n">
        <v>46286</v>
      </c>
      <c r="K3161" s="148" t="n">
        <v>4</v>
      </c>
      <c r="S3161" s="192" t="n">
        <f aca="false">(K3161+O3161+Q3161)*24 /1130+(L3161+M3161+P3161+R3161)*12/1130+(N3161*30)/1130</f>
        <v>0.0849557522123894</v>
      </c>
    </row>
    <row r="3162" customFormat="false" ht="15" hidden="true" customHeight="true" outlineLevel="0" collapsed="false">
      <c r="B3162" s="233" t="n">
        <f aca="false">B3161+D3162-C3162</f>
        <v>12312.3</v>
      </c>
      <c r="D3162" s="146" t="n">
        <v>1127</v>
      </c>
      <c r="E3162" s="147" t="n">
        <v>53002387</v>
      </c>
      <c r="F3162" s="147" t="n">
        <f aca="false">IFERROR(VLOOKUP(H3162,$AD$1:$AE$301,2,0),"")</f>
        <v>1286</v>
      </c>
      <c r="G3162" s="147" t="str">
        <f aca="false">IFERROR(VLOOKUP(F3162,$AE$2:$AF$290,2, 0),"")</f>
        <v>تيماء</v>
      </c>
      <c r="H3162" s="212" t="s">
        <v>213</v>
      </c>
      <c r="I3162" s="246" t="n">
        <f aca="false">SUM(K3162:R3162)</f>
        <v>7</v>
      </c>
      <c r="J3162" s="182" t="n">
        <v>46286</v>
      </c>
      <c r="Q3162" s="154" t="n">
        <v>7</v>
      </c>
      <c r="S3162" s="192" t="n">
        <f aca="false">(K3162+O3162+Q3162)*24 /1130+(L3162+M3162+P3162+R3162)*12/1130+(N3162*30)/1130</f>
        <v>0.148672566371681</v>
      </c>
    </row>
    <row r="3163" customFormat="false" ht="15" hidden="true" customHeight="true" outlineLevel="0" collapsed="false">
      <c r="B3163" s="233" t="n">
        <f aca="false">B3162+D3163-C3163</f>
        <v>8503.49999999998</v>
      </c>
      <c r="C3163" s="127" t="n">
        <v>3808.8</v>
      </c>
      <c r="E3163" s="147" t="s">
        <v>681</v>
      </c>
      <c r="F3163" s="147" t="str">
        <f aca="false">IFERROR(VLOOKUP(H3163,$AD$1:$AE$301,2,0),"")</f>
        <v/>
      </c>
      <c r="G3163" s="147" t="str">
        <f aca="false">IFERROR(VLOOKUP(F3163,$AE$2:$AF$290,2, 0),"")</f>
        <v/>
      </c>
      <c r="H3163" s="212" t="s">
        <v>393</v>
      </c>
      <c r="I3163" s="246" t="n">
        <f aca="false">SUM(K3163:R3163)</f>
        <v>0</v>
      </c>
      <c r="J3163" s="182" t="n">
        <v>46286</v>
      </c>
      <c r="S3163" s="192" t="n">
        <f aca="false">(K3163+O3163+Q3163)*24 /1130+(L3163+M3163+P3163+R3163)*12/1130+(N3163*30)/1130</f>
        <v>0</v>
      </c>
    </row>
    <row r="3164" customFormat="false" ht="15" hidden="true" customHeight="true" outlineLevel="0" collapsed="false">
      <c r="B3164" s="233" t="n">
        <f aca="false">B3163+D3164-C3164</f>
        <v>9773.09999999998</v>
      </c>
      <c r="D3164" s="146" t="n">
        <v>1269.6</v>
      </c>
      <c r="E3164" s="147" t="n">
        <v>53002388</v>
      </c>
      <c r="F3164" s="147" t="n">
        <f aca="false">IFERROR(VLOOKUP(H3164,$AD$1:$AE$301,2,0),"")</f>
        <v>1002938</v>
      </c>
      <c r="G3164" s="147" t="str">
        <f aca="false">IFERROR(VLOOKUP(F3164,$AE$2:$AF$290,2, 0),"")</f>
        <v>تبوك</v>
      </c>
      <c r="H3164" s="212" t="s">
        <v>175</v>
      </c>
      <c r="I3164" s="246" t="n">
        <f aca="false">SUM(K3164:R3164)</f>
        <v>4</v>
      </c>
      <c r="J3164" s="182" t="n">
        <v>46287</v>
      </c>
      <c r="K3164" s="148" t="n">
        <v>4</v>
      </c>
      <c r="S3164" s="192" t="n">
        <f aca="false">(K3164+O3164+Q3164)*24 /1130+(L3164+M3164+P3164+R3164)*12/1130+(N3164*30)/1130</f>
        <v>0.0849557522123894</v>
      </c>
    </row>
    <row r="3165" customFormat="false" ht="15" hidden="true" customHeight="true" outlineLevel="0" collapsed="false">
      <c r="B3165" s="233" t="n">
        <f aca="false">B3164+D3165-C3165</f>
        <v>14320.2</v>
      </c>
      <c r="D3165" s="146" t="n">
        <f aca="false">3277.5+1269.6</f>
        <v>4547.1</v>
      </c>
      <c r="E3165" s="147" t="n">
        <v>53002389</v>
      </c>
      <c r="F3165" s="147" t="n">
        <f aca="false">IFERROR(VLOOKUP(H3165,$AD$1:$AE$301,2,0),"")</f>
        <v>1293</v>
      </c>
      <c r="G3165" s="147" t="str">
        <f aca="false">IFERROR(VLOOKUP(F3165,$AE$2:$AF$290,2, 0),"")</f>
        <v>تبوك</v>
      </c>
      <c r="H3165" s="212" t="s">
        <v>560</v>
      </c>
      <c r="I3165" s="246" t="n">
        <f aca="false">SUM(K3165:R3165)</f>
        <v>24</v>
      </c>
      <c r="J3165" s="182" t="n">
        <v>46287</v>
      </c>
      <c r="K3165" s="148" t="n">
        <v>4</v>
      </c>
      <c r="L3165" s="149" t="n">
        <v>20</v>
      </c>
      <c r="S3165" s="192" t="n">
        <f aca="false">(K3165+O3165+Q3165)*24 /1130+(L3165+M3165+P3165+R3165)*12/1130+(N3165*30)/1130</f>
        <v>0.297345132743363</v>
      </c>
    </row>
    <row r="3166" customFormat="false" ht="15" hidden="true" customHeight="true" outlineLevel="0" collapsed="false">
      <c r="B3166" s="233" t="n">
        <f aca="false">B3165+D3166-C3166</f>
        <v>14739.95</v>
      </c>
      <c r="D3166" s="146" t="n">
        <v>419.75</v>
      </c>
      <c r="E3166" s="147" t="n">
        <v>53002390</v>
      </c>
      <c r="F3166" s="147" t="n">
        <f aca="false">IFERROR(VLOOKUP(H3166,$AD$1:$AE$301,2,0),"")</f>
        <v>1071</v>
      </c>
      <c r="G3166" s="147" t="str">
        <f aca="false">IFERROR(VLOOKUP(F3166,$AE$2:$AF$290,2, 0),"")</f>
        <v>تبوك</v>
      </c>
      <c r="H3166" s="212" t="s">
        <v>135</v>
      </c>
      <c r="I3166" s="246" t="n">
        <f aca="false">SUM(K3166:R3166)</f>
        <v>1</v>
      </c>
      <c r="J3166" s="182" t="n">
        <v>46287</v>
      </c>
      <c r="N3166" s="151" t="n">
        <v>1</v>
      </c>
      <c r="S3166" s="192" t="n">
        <f aca="false">(K3166+O3166+Q3166)*24 /1130+(L3166+M3166+P3166+R3166)*12/1130+(N3166*30)/1130</f>
        <v>0.0265486725663717</v>
      </c>
    </row>
    <row r="3167" customFormat="false" ht="15" hidden="true" customHeight="true" outlineLevel="0" collapsed="false">
      <c r="B3167" s="233" t="n">
        <f aca="false">B3166+D3167-C3167</f>
        <v>12828.95</v>
      </c>
      <c r="C3167" s="127" t="n">
        <f aca="false">1711+200</f>
        <v>1911</v>
      </c>
      <c r="E3167" s="147" t="s">
        <v>680</v>
      </c>
      <c r="F3167" s="147" t="str">
        <f aca="false">IFERROR(VLOOKUP(H3167,$AD$1:$AE$301,2,0),"")</f>
        <v/>
      </c>
      <c r="G3167" s="147" t="str">
        <f aca="false">IFERROR(VLOOKUP(F3167,$AE$2:$AF$290,2, 0),"")</f>
        <v/>
      </c>
      <c r="H3167" s="212" t="s">
        <v>393</v>
      </c>
      <c r="I3167" s="246" t="n">
        <f aca="false">SUM(K3167:R3167)</f>
        <v>0</v>
      </c>
      <c r="J3167" s="182" t="n">
        <v>46287</v>
      </c>
      <c r="S3167" s="192" t="n">
        <f aca="false">(K3167+O3167+Q3167)*24 /1130+(L3167+M3167+P3167+R3167)*12/1130+(N3167*30)/1130</f>
        <v>0</v>
      </c>
    </row>
    <row r="3168" customFormat="false" ht="15" hidden="true" customHeight="true" outlineLevel="0" collapsed="false">
      <c r="B3168" s="233" t="n">
        <f aca="false">B3167+D3168-C3168</f>
        <v>14098.55</v>
      </c>
      <c r="D3168" s="146" t="n">
        <v>1269.6</v>
      </c>
      <c r="E3168" s="147" t="n">
        <v>53002391</v>
      </c>
      <c r="F3168" s="147" t="n">
        <f aca="false">IFERROR(VLOOKUP(H3168,$AD$1:$AE$301,2,0),"")</f>
        <v>1008025</v>
      </c>
      <c r="G3168" s="147" t="str">
        <f aca="false">IFERROR(VLOOKUP(F3168,$AE$2:$AF$290,2, 0),"")</f>
        <v>ضباء</v>
      </c>
      <c r="H3168" s="212" t="s">
        <v>97</v>
      </c>
      <c r="I3168" s="246" t="n">
        <f aca="false">SUM(K3168:R3168)</f>
        <v>4</v>
      </c>
      <c r="J3168" s="182" t="n">
        <v>46289</v>
      </c>
      <c r="K3168" s="148" t="n">
        <v>4</v>
      </c>
      <c r="S3168" s="192" t="n">
        <f aca="false">(K3168+O3168+Q3168)*24 /1130+(L3168+M3168+P3168+R3168)*12/1130+(N3168*30)/1130</f>
        <v>0.0849557522123894</v>
      </c>
    </row>
    <row r="3169" customFormat="false" ht="15" hidden="true" customHeight="true" outlineLevel="0" collapsed="false">
      <c r="B3169" s="233" t="n">
        <f aca="false">B3168+D3169-C3169</f>
        <v>15368.15</v>
      </c>
      <c r="D3169" s="146" t="n">
        <v>1269.6</v>
      </c>
      <c r="E3169" s="147" t="n">
        <v>53002392</v>
      </c>
      <c r="F3169" s="147" t="n">
        <f aca="false">IFERROR(VLOOKUP(H3169,$AD$1:$AE$301,2,0),"")</f>
        <v>1008054</v>
      </c>
      <c r="G3169" s="147" t="str">
        <f aca="false">IFERROR(VLOOKUP(F3169,$AE$2:$AF$290,2, 0),"")</f>
        <v>الوجه</v>
      </c>
      <c r="H3169" s="212" t="s">
        <v>112</v>
      </c>
      <c r="I3169" s="246" t="n">
        <f aca="false">SUM(K3169:R3169)</f>
        <v>4</v>
      </c>
      <c r="J3169" s="182" t="n">
        <v>46289</v>
      </c>
      <c r="K3169" s="148" t="n">
        <v>4</v>
      </c>
      <c r="S3169" s="192" t="n">
        <f aca="false">(K3169+O3169+Q3169)*24 /1130+(L3169+M3169+P3169+R3169)*12/1130+(N3169*30)/1130</f>
        <v>0.0849557522123894</v>
      </c>
    </row>
    <row r="3170" customFormat="false" ht="15" hidden="true" customHeight="true" outlineLevel="0" collapsed="false">
      <c r="B3170" s="233" t="n">
        <f aca="false">B3169+D3170-C3170</f>
        <v>16637.75</v>
      </c>
      <c r="D3170" s="146" t="n">
        <v>1269.6</v>
      </c>
      <c r="E3170" s="147" t="n">
        <v>53002393</v>
      </c>
      <c r="F3170" s="147" t="n">
        <f aca="false">IFERROR(VLOOKUP(H3170,$AD$1:$AE$301,2,0),"")</f>
        <v>1008043</v>
      </c>
      <c r="G3170" s="147" t="str">
        <f aca="false">IFERROR(VLOOKUP(F3170,$AE$2:$AF$290,2, 0),"")</f>
        <v>الوجه</v>
      </c>
      <c r="H3170" s="212" t="s">
        <v>104</v>
      </c>
      <c r="I3170" s="246" t="n">
        <f aca="false">SUM(K3170:R3170)</f>
        <v>4</v>
      </c>
      <c r="J3170" s="182" t="n">
        <v>46289</v>
      </c>
      <c r="K3170" s="148" t="n">
        <v>4</v>
      </c>
      <c r="S3170" s="192" t="n">
        <f aca="false">(K3170+O3170+Q3170)*24 /1130+(L3170+M3170+P3170+R3170)*12/1130+(N3170*30)/1130</f>
        <v>0.0849557522123894</v>
      </c>
    </row>
    <row r="3171" customFormat="false" ht="15" hidden="true" customHeight="true" outlineLevel="0" collapsed="false">
      <c r="B3171" s="233" t="n">
        <f aca="false">B3170+D3171-C3171</f>
        <v>17907.35</v>
      </c>
      <c r="D3171" s="146" t="n">
        <v>1269.6</v>
      </c>
      <c r="E3171" s="147" t="n">
        <v>53002394</v>
      </c>
      <c r="F3171" s="147" t="n">
        <f aca="false">IFERROR(VLOOKUP(H3171,$AD$1:$AE$301,2,0),"")</f>
        <v>1002</v>
      </c>
      <c r="G3171" s="147" t="str">
        <f aca="false">IFERROR(VLOOKUP(F3171,$AE$2:$AF$290,2, 0),"")</f>
        <v>الوجه</v>
      </c>
      <c r="H3171" s="212" t="s">
        <v>116</v>
      </c>
      <c r="I3171" s="246" t="n">
        <f aca="false">SUM(K3171:R3171)</f>
        <v>4</v>
      </c>
      <c r="J3171" s="182" t="n">
        <v>46289</v>
      </c>
      <c r="K3171" s="148" t="n">
        <v>4</v>
      </c>
      <c r="S3171" s="192" t="n">
        <f aca="false">(K3171+O3171+Q3171)*24 /1130+(L3171+M3171+P3171+R3171)*12/1130+(N3171*30)/1130</f>
        <v>0.0849557522123894</v>
      </c>
    </row>
    <row r="3172" customFormat="false" ht="15" hidden="true" customHeight="true" outlineLevel="0" collapsed="false">
      <c r="B3172" s="233" t="n">
        <f aca="false">B3171+D3172-C3172</f>
        <v>18907.85</v>
      </c>
      <c r="D3172" s="146" t="n">
        <v>1000.5</v>
      </c>
      <c r="E3172" s="147" t="n">
        <v>53002395</v>
      </c>
      <c r="F3172" s="147" t="n">
        <f aca="false">IFERROR(VLOOKUP(H3172,$AD$1:$AE$301,2,0),"")</f>
        <v>1033</v>
      </c>
      <c r="G3172" s="147" t="str">
        <f aca="false">IFERROR(VLOOKUP(F3172,$AE$2:$AF$290,2, 0),"")</f>
        <v>الوجه</v>
      </c>
      <c r="H3172" s="212" t="s">
        <v>117</v>
      </c>
      <c r="I3172" s="246" t="n">
        <f aca="false">SUM(K3172:R3172)</f>
        <v>3</v>
      </c>
      <c r="J3172" s="182" t="n">
        <v>46289</v>
      </c>
      <c r="N3172" s="151" t="n">
        <v>3</v>
      </c>
      <c r="S3172" s="192" t="n">
        <f aca="false">(K3172+O3172+Q3172)*24 /1130+(L3172+M3172+P3172+R3172)*12/1130+(N3172*30)/1130</f>
        <v>0.079646017699115</v>
      </c>
    </row>
    <row r="3173" customFormat="false" ht="15" hidden="true" customHeight="true" outlineLevel="0" collapsed="false">
      <c r="B3173" s="233" t="n">
        <f aca="false">B3172+D3173-C3173</f>
        <v>20832.95</v>
      </c>
      <c r="D3173" s="146" t="n">
        <v>1925.1</v>
      </c>
      <c r="E3173" s="147" t="n">
        <v>53002396</v>
      </c>
      <c r="F3173" s="147" t="n">
        <f aca="false">IFERROR(VLOOKUP(H3173,$AD$1:$AE$301,2,0),"")</f>
        <v>1008045</v>
      </c>
      <c r="G3173" s="147" t="str">
        <f aca="false">IFERROR(VLOOKUP(F3173,$AE$2:$AF$290,2, 0),"")</f>
        <v>الوجه</v>
      </c>
      <c r="H3173" s="212" t="s">
        <v>107</v>
      </c>
      <c r="I3173" s="246" t="n">
        <f aca="false">SUM(K3173:R3173)</f>
        <v>8</v>
      </c>
      <c r="J3173" s="182" t="n">
        <v>46289</v>
      </c>
      <c r="K3173" s="148" t="n">
        <v>4</v>
      </c>
      <c r="L3173" s="149" t="n">
        <v>4</v>
      </c>
      <c r="S3173" s="192" t="n">
        <f aca="false">(K3173+O3173+Q3173)*24 /1130+(L3173+M3173+P3173+R3173)*12/1130+(N3173*30)/1130</f>
        <v>0.127433628318584</v>
      </c>
    </row>
    <row r="3174" customFormat="false" ht="15" hidden="true" customHeight="true" outlineLevel="0" collapsed="false">
      <c r="B3174" s="233" t="n">
        <f aca="false">B3173+D3174-C3174</f>
        <v>22102.55</v>
      </c>
      <c r="D3174" s="146" t="n">
        <v>1269.6</v>
      </c>
      <c r="E3174" s="147" t="n">
        <v>53002397</v>
      </c>
      <c r="F3174" s="147" t="n">
        <f aca="false">IFERROR(VLOOKUP(H3174,$AD$1:$AE$301,2,0),"")</f>
        <v>1008046</v>
      </c>
      <c r="G3174" s="147" t="str">
        <f aca="false">IFERROR(VLOOKUP(F3174,$AE$2:$AF$290,2, 0),"")</f>
        <v>الوجه</v>
      </c>
      <c r="H3174" s="212" t="s">
        <v>108</v>
      </c>
      <c r="I3174" s="246" t="n">
        <f aca="false">SUM(K3174:R3174)</f>
        <v>4</v>
      </c>
      <c r="J3174" s="182" t="n">
        <v>46289</v>
      </c>
      <c r="K3174" s="148" t="n">
        <v>4</v>
      </c>
      <c r="S3174" s="192" t="n">
        <f aca="false">(K3174+O3174+Q3174)*24 /1130+(L3174+M3174+P3174+R3174)*12/1130+(N3174*30)/1130</f>
        <v>0.0849557522123894</v>
      </c>
    </row>
    <row r="3175" customFormat="false" ht="15" hidden="true" customHeight="true" outlineLevel="0" collapsed="false">
      <c r="B3175" s="233" t="n">
        <f aca="false">B3174+D3175-C3175</f>
        <v>23372.15</v>
      </c>
      <c r="D3175" s="146" t="n">
        <v>1269.6</v>
      </c>
      <c r="E3175" s="147" t="n">
        <v>53002398</v>
      </c>
      <c r="F3175" s="147" t="n">
        <f aca="false">IFERROR(VLOOKUP(H3175,$AD$1:$AE$301,2,0),"")</f>
        <v>1008267</v>
      </c>
      <c r="G3175" s="147" t="str">
        <f aca="false">IFERROR(VLOOKUP(F3175,$AE$2:$AF$290,2, 0),"")</f>
        <v>الوجه</v>
      </c>
      <c r="H3175" s="212" t="s">
        <v>114</v>
      </c>
      <c r="I3175" s="246" t="n">
        <f aca="false">SUM(K3175:R3175)</f>
        <v>4</v>
      </c>
      <c r="J3175" s="182" t="n">
        <v>46289</v>
      </c>
      <c r="K3175" s="148" t="n">
        <v>4</v>
      </c>
      <c r="S3175" s="192" t="n">
        <f aca="false">(K3175+O3175+Q3175)*24 /1130+(L3175+M3175+P3175+R3175)*12/1130+(N3175*30)/1130</f>
        <v>0.0849557522123894</v>
      </c>
    </row>
    <row r="3176" customFormat="false" ht="15" hidden="true" customHeight="true" outlineLevel="0" collapsed="false">
      <c r="B3176" s="233" t="n">
        <f aca="false">B3175+D3176-C3176</f>
        <v>27180.95</v>
      </c>
      <c r="D3176" s="146" t="n">
        <v>3808.8</v>
      </c>
      <c r="E3176" s="147" t="n">
        <v>53002399</v>
      </c>
      <c r="F3176" s="147" t="n">
        <f aca="false">IFERROR(VLOOKUP(H3176,$AD$1:$AE$301,2,0),"")</f>
        <v>1008048</v>
      </c>
      <c r="G3176" s="147" t="str">
        <f aca="false">IFERROR(VLOOKUP(F3176,$AE$2:$AF$290,2, 0),"")</f>
        <v>الوجه</v>
      </c>
      <c r="H3176" s="212" t="s">
        <v>110</v>
      </c>
      <c r="I3176" s="246" t="n">
        <f aca="false">SUM(K3176:R3176)</f>
        <v>12</v>
      </c>
      <c r="J3176" s="182" t="n">
        <v>46289</v>
      </c>
      <c r="K3176" s="148" t="n">
        <v>12</v>
      </c>
      <c r="S3176" s="192" t="n">
        <f aca="false">(K3176+O3176+Q3176)*24 /1130+(L3176+M3176+P3176+R3176)*12/1130+(N3176*30)/1130</f>
        <v>0.254867256637168</v>
      </c>
    </row>
    <row r="3177" customFormat="false" ht="15" hidden="true" customHeight="true" outlineLevel="0" collapsed="false">
      <c r="B3177" s="233" t="n">
        <f aca="false">B3176+D3177-C3177</f>
        <v>27600.7</v>
      </c>
      <c r="D3177" s="146" t="n">
        <v>419.75</v>
      </c>
      <c r="E3177" s="147" t="n">
        <v>53002400</v>
      </c>
      <c r="F3177" s="147" t="n">
        <f aca="false">IFERROR(VLOOKUP(H3177,$AD$1:$AE$301,2,0),"")</f>
        <v>1008048</v>
      </c>
      <c r="G3177" s="147" t="str">
        <f aca="false">IFERROR(VLOOKUP(F3177,$AE$2:$AF$290,2, 0),"")</f>
        <v>الوجه</v>
      </c>
      <c r="H3177" s="212" t="s">
        <v>110</v>
      </c>
      <c r="I3177" s="246" t="n">
        <f aca="false">SUM(K3177:R3177)</f>
        <v>1</v>
      </c>
      <c r="J3177" s="182" t="n">
        <v>46289</v>
      </c>
      <c r="N3177" s="151" t="n">
        <v>1</v>
      </c>
      <c r="S3177" s="192" t="n">
        <f aca="false">(K3177+O3177+Q3177)*24 /1130+(L3177+M3177+P3177+R3177)*12/1130+(N3177*30)/1130</f>
        <v>0.0265486725663717</v>
      </c>
    </row>
    <row r="3178" customFormat="false" ht="15" hidden="true" customHeight="true" outlineLevel="0" collapsed="false">
      <c r="B3178" s="233" t="n">
        <f aca="false">B3177+D3178-C3178</f>
        <v>28870.3</v>
      </c>
      <c r="D3178" s="146" t="n">
        <v>1269.6</v>
      </c>
      <c r="E3178" s="147" t="n">
        <v>53002401</v>
      </c>
      <c r="F3178" s="147" t="n">
        <f aca="false">IFERROR(VLOOKUP(H3178,$AD$1:$AE$301,2,0),"")</f>
        <v>1008032</v>
      </c>
      <c r="G3178" s="147" t="str">
        <f aca="false">IFERROR(VLOOKUP(F3178,$AE$2:$AF$290,2, 0),"")</f>
        <v>ضباء</v>
      </c>
      <c r="H3178" s="212" t="s">
        <v>101</v>
      </c>
      <c r="I3178" s="246" t="n">
        <f aca="false">SUM(K3178:R3178)</f>
        <v>4</v>
      </c>
      <c r="J3178" s="182" t="n">
        <v>46290</v>
      </c>
      <c r="K3178" s="148" t="n">
        <v>4</v>
      </c>
      <c r="S3178" s="192" t="n">
        <f aca="false">(K3178+O3178+Q3178)*24 /1130+(L3178+M3178+P3178+R3178)*12/1130+(N3178*30)/1130</f>
        <v>0.0849557522123894</v>
      </c>
    </row>
    <row r="3179" customFormat="false" ht="15" hidden="true" customHeight="true" outlineLevel="0" collapsed="false">
      <c r="B3179" s="233" t="n">
        <f aca="false">B3178+D3179-C3179</f>
        <v>33376</v>
      </c>
      <c r="D3179" s="146" t="n">
        <f aca="false">1269.6*2+1966.5</f>
        <v>4505.7</v>
      </c>
      <c r="E3179" s="147" t="n">
        <v>53002402</v>
      </c>
      <c r="F3179" s="147" t="n">
        <f aca="false">IFERROR(VLOOKUP(H3179,$AD$1:$AE$301,2,0),"")</f>
        <v>1301</v>
      </c>
      <c r="G3179" s="147" t="str">
        <f aca="false">IFERROR(VLOOKUP(F3179,$AE$2:$AF$290,2, 0),"")</f>
        <v>ضباء</v>
      </c>
      <c r="H3179" s="212" t="s">
        <v>98</v>
      </c>
      <c r="I3179" s="246" t="n">
        <f aca="false">SUM(K3179:R3179)</f>
        <v>15</v>
      </c>
      <c r="J3179" s="182" t="n">
        <v>46290</v>
      </c>
      <c r="K3179" s="148" t="n">
        <v>8</v>
      </c>
      <c r="M3179" s="150" t="n">
        <v>7</v>
      </c>
      <c r="S3179" s="192" t="n">
        <f aca="false">(K3179+O3179+Q3179)*24 /1130+(L3179+M3179+P3179+R3179)*12/1130+(N3179*30)/1130</f>
        <v>0.244247787610619</v>
      </c>
    </row>
    <row r="3180" customFormat="false" ht="15" hidden="true" customHeight="true" outlineLevel="0" collapsed="false">
      <c r="B3180" s="233" t="n">
        <f aca="false">B3179+D3180-C3180</f>
        <v>36612.1</v>
      </c>
      <c r="D3180" s="146" t="n">
        <f aca="false">1966.5+1269.6</f>
        <v>3236.1</v>
      </c>
      <c r="E3180" s="147" t="n">
        <v>53002403</v>
      </c>
      <c r="F3180" s="147" t="n">
        <f aca="false">IFERROR(VLOOKUP(H3180,$AD$1:$AE$301,2,0),"")</f>
        <v>1301</v>
      </c>
      <c r="G3180" s="147" t="str">
        <f aca="false">IFERROR(VLOOKUP(F3180,$AE$2:$AF$290,2, 0),"")</f>
        <v>ضباء</v>
      </c>
      <c r="H3180" s="212" t="s">
        <v>98</v>
      </c>
      <c r="I3180" s="246" t="n">
        <f aca="false">SUM(K3180:R3180)</f>
        <v>11</v>
      </c>
      <c r="J3180" s="182" t="n">
        <v>46290</v>
      </c>
      <c r="K3180" s="148" t="n">
        <v>4</v>
      </c>
      <c r="M3180" s="150" t="n">
        <v>7</v>
      </c>
      <c r="S3180" s="192" t="n">
        <f aca="false">(K3180+O3180+Q3180)*24 /1130+(L3180+M3180+P3180+R3180)*12/1130+(N3180*30)/1130</f>
        <v>0.15929203539823</v>
      </c>
    </row>
    <row r="3181" customFormat="false" ht="15" hidden="true" customHeight="true" outlineLevel="0" collapsed="false">
      <c r="B3181" s="233" t="n">
        <f aca="false">B3180+D3181-C3181</f>
        <v>37881.7</v>
      </c>
      <c r="D3181" s="146" t="n">
        <v>1269.6</v>
      </c>
      <c r="E3181" s="147" t="n">
        <v>53002404</v>
      </c>
      <c r="F3181" s="147" t="n">
        <f aca="false">IFERROR(VLOOKUP(H3181,$AD$1:$AE$301,2,0),"")</f>
        <v>1002947</v>
      </c>
      <c r="G3181" s="147" t="str">
        <f aca="false">IFERROR(VLOOKUP(F3181,$AE$2:$AF$290,2, 0),"")</f>
        <v>تبوك</v>
      </c>
      <c r="H3181" s="212" t="s">
        <v>174</v>
      </c>
      <c r="I3181" s="246" t="n">
        <f aca="false">SUM(K3181:R3181)</f>
        <v>4</v>
      </c>
      <c r="J3181" s="182" t="n">
        <v>46290</v>
      </c>
      <c r="K3181" s="148" t="n">
        <v>4</v>
      </c>
      <c r="S3181" s="192" t="n">
        <f aca="false">(K3181+O3181+Q3181)*24 /1130+(L3181+M3181+P3181+R3181)*12/1130+(N3181*30)/1130</f>
        <v>0.0849557522123894</v>
      </c>
    </row>
    <row r="3182" customFormat="false" ht="15" hidden="true" customHeight="true" outlineLevel="0" collapsed="false">
      <c r="B3182" s="233" t="n">
        <f aca="false">B3181+D3182-C3182</f>
        <v>30281.7</v>
      </c>
      <c r="C3182" s="127" t="n">
        <f aca="false">7600</f>
        <v>7600</v>
      </c>
      <c r="E3182" s="147" t="s">
        <v>681</v>
      </c>
      <c r="F3182" s="147" t="str">
        <f aca="false">IFERROR(VLOOKUP(H3182,$AD$1:$AE$301,2,0),"")</f>
        <v/>
      </c>
      <c r="G3182" s="147" t="str">
        <f aca="false">IFERROR(VLOOKUP(F3182,$AE$2:$AF$290,2, 0),"")</f>
        <v/>
      </c>
      <c r="H3182" s="212" t="s">
        <v>393</v>
      </c>
      <c r="I3182" s="246" t="n">
        <f aca="false">SUM(K3182:R3182)</f>
        <v>0</v>
      </c>
      <c r="J3182" s="182" t="n">
        <v>46290</v>
      </c>
      <c r="S3182" s="192" t="n">
        <f aca="false">(K3182+O3182+Q3182)*24 /1130+(L3182+M3182+P3182+R3182)*12/1130+(N3182*30)/1130</f>
        <v>0</v>
      </c>
    </row>
    <row r="3183" customFormat="false" ht="15" hidden="true" customHeight="true" outlineLevel="0" collapsed="false">
      <c r="B3183" s="233" t="n">
        <f aca="false">B3182+D3183-C3183</f>
        <v>28684.44</v>
      </c>
      <c r="C3183" s="441" t="n">
        <f aca="false">200+350+200+167+19.75+333.5+90+237+0.01</f>
        <v>1597.26</v>
      </c>
      <c r="D3183" s="127"/>
      <c r="E3183" s="147" t="s">
        <v>675</v>
      </c>
      <c r="F3183" s="147" t="str">
        <f aca="false">IFERROR(VLOOKUP(H3183,$AD$1:$AE$301,2,0),"")</f>
        <v/>
      </c>
      <c r="G3183" s="147" t="str">
        <f aca="false">IFERROR(VLOOKUP(F3183,$AE$2:$AF$290,2, 0),"")</f>
        <v/>
      </c>
      <c r="H3183" s="212" t="s">
        <v>393</v>
      </c>
      <c r="I3183" s="246" t="n">
        <f aca="false">SUM(K3183:R3183)</f>
        <v>0</v>
      </c>
      <c r="J3183" s="182" t="n">
        <v>46293</v>
      </c>
      <c r="S3183" s="192" t="n">
        <f aca="false">(K3183+O3183+Q3183)*24 /1130+(L3183+M3183+P3183+R3183)*12/1130+(N3183*30)/1130</f>
        <v>0</v>
      </c>
    </row>
    <row r="3184" customFormat="false" ht="15" hidden="true" customHeight="true" outlineLevel="0" collapsed="false">
      <c r="B3184" s="233" t="n">
        <f aca="false">B3183+D3184-C3184</f>
        <v>26747.44</v>
      </c>
      <c r="C3184" s="443" t="n">
        <v>1937</v>
      </c>
      <c r="D3184" s="127"/>
      <c r="E3184" s="147" t="s">
        <v>675</v>
      </c>
      <c r="F3184" s="147" t="str">
        <f aca="false">IFERROR(VLOOKUP(H3184,$AD$1:$AE$301,2,0),"")</f>
        <v/>
      </c>
      <c r="G3184" s="147" t="str">
        <f aca="false">IFERROR(VLOOKUP(F3184,$AE$2:$AF$290,2, 0),"")</f>
        <v/>
      </c>
      <c r="H3184" s="212" t="s">
        <v>393</v>
      </c>
      <c r="I3184" s="246" t="n">
        <f aca="false">SUM(K3184:R3184)</f>
        <v>0</v>
      </c>
      <c r="J3184" s="182" t="n">
        <v>46293</v>
      </c>
      <c r="S3184" s="192" t="n">
        <f aca="false">(K3184+O3184+Q3184)*24 /1130+(L3184+M3184+P3184+R3184)*12/1130+(N3184*30)/1130</f>
        <v>0</v>
      </c>
    </row>
    <row r="3185" customFormat="false" ht="15" hidden="true" customHeight="true" outlineLevel="0" collapsed="false">
      <c r="B3185" s="233" t="n">
        <f aca="false">B3184+D3185-C3185</f>
        <v>28017.04</v>
      </c>
      <c r="D3185" s="146" t="n">
        <v>1269.6</v>
      </c>
      <c r="E3185" s="147" t="n">
        <v>53002405</v>
      </c>
      <c r="F3185" s="147" t="n">
        <f aca="false">IFERROR(VLOOKUP(H3185,$AD$1:$AE$301,2,0),"")</f>
        <v>1008272</v>
      </c>
      <c r="G3185" s="147" t="str">
        <f aca="false">IFERROR(VLOOKUP(F3185,$AE$2:$AF$290,2, 0),"")</f>
        <v>تبوك</v>
      </c>
      <c r="H3185" s="212" t="s">
        <v>143</v>
      </c>
      <c r="I3185" s="246" t="n">
        <f aca="false">SUM(K3185:R3185)</f>
        <v>4</v>
      </c>
      <c r="J3185" s="182" t="n">
        <v>46294</v>
      </c>
      <c r="K3185" s="148" t="n">
        <v>4</v>
      </c>
      <c r="S3185" s="192" t="n">
        <f aca="false">(K3185+O3185+Q3185)*24 /1130+(L3185+M3185+P3185+R3185)*12/1130+(N3185*30)/1130</f>
        <v>0.0849557522123894</v>
      </c>
    </row>
    <row r="3186" customFormat="false" ht="15" hidden="true" customHeight="true" outlineLevel="0" collapsed="false">
      <c r="B3186" s="233" t="n">
        <f aca="false">B3185+D3186-C3186</f>
        <v>29224.54</v>
      </c>
      <c r="D3186" s="146" t="n">
        <v>1207.5</v>
      </c>
      <c r="E3186" s="147" t="n">
        <v>53002406</v>
      </c>
      <c r="F3186" s="147" t="n">
        <f aca="false">IFERROR(VLOOKUP(H3186,$AD$1:$AE$301,2,0),"")</f>
        <v>721</v>
      </c>
      <c r="G3186" s="147" t="str">
        <f aca="false">IFERROR(VLOOKUP(F3186,$AE$2:$AF$290,2, 0),"")</f>
        <v>تبوك</v>
      </c>
      <c r="H3186" s="212" t="s">
        <v>183</v>
      </c>
      <c r="I3186" s="246" t="n">
        <f aca="false">SUM(K3186:R3186)</f>
        <v>5</v>
      </c>
      <c r="J3186" s="182" t="n">
        <v>46294</v>
      </c>
      <c r="L3186" s="149" t="n">
        <v>2</v>
      </c>
      <c r="Q3186" s="154" t="n">
        <v>2</v>
      </c>
      <c r="R3186" s="155" t="n">
        <v>1</v>
      </c>
      <c r="S3186" s="192" t="n">
        <f aca="false">(K3186+O3186+Q3186)*24 /1130+(L3186+M3186+P3186+R3186)*12/1130+(N3186*30)/1130</f>
        <v>0.0743362831858407</v>
      </c>
    </row>
    <row r="3187" customFormat="false" ht="15" hidden="false" customHeight="true" outlineLevel="0" collapsed="false">
      <c r="B3187" s="233" t="n">
        <f aca="false">B3186+D3187-C3187</f>
        <v>29335.54</v>
      </c>
      <c r="C3187" s="127" t="n">
        <v>3500</v>
      </c>
      <c r="D3187" s="146" t="n">
        <v>3611</v>
      </c>
      <c r="E3187" s="147" t="n">
        <v>53002407</v>
      </c>
      <c r="F3187" s="147" t="n">
        <f aca="false">IFERROR(VLOOKUP(H3187,$AD$1:$AE$301,2,0),"")</f>
        <v>1063</v>
      </c>
      <c r="G3187" s="147" t="str">
        <f aca="false">IFERROR(VLOOKUP(F3187,$AE$2:$AF$290,2, 0),"")</f>
        <v>تبوك</v>
      </c>
      <c r="H3187" s="212" t="s">
        <v>158</v>
      </c>
      <c r="I3187" s="246" t="n">
        <f aca="false">SUM(K3187:R3187)</f>
        <v>12</v>
      </c>
      <c r="J3187" s="182" t="n">
        <v>46294</v>
      </c>
      <c r="M3187" s="150" t="n">
        <f aca="false">7</f>
        <v>7</v>
      </c>
      <c r="R3187" s="155" t="n">
        <v>5</v>
      </c>
      <c r="S3187" s="192" t="n">
        <f aca="false">(K3187+O3187+Q3187)*24 /1130+(L3187+M3187+P3187+R3187)*12/1130+(N3187*30)/1130</f>
        <v>0.127433628318584</v>
      </c>
    </row>
    <row r="3188" customFormat="false" ht="15" hidden="false" customHeight="true" outlineLevel="0" collapsed="false">
      <c r="B3188" s="233" t="n">
        <f aca="false">B3187+D3188-C3188</f>
        <v>39168.04</v>
      </c>
      <c r="D3188" s="146" t="n">
        <v>9832.5</v>
      </c>
      <c r="E3188" s="147" t="n">
        <v>53002408</v>
      </c>
      <c r="F3188" s="147" t="n">
        <f aca="false">IFERROR(VLOOKUP(H3188,$AD$1:$AE$301,2,0),"")</f>
        <v>1063</v>
      </c>
      <c r="G3188" s="147" t="str">
        <f aca="false">IFERROR(VLOOKUP(F3188,$AE$2:$AF$290,2, 0),"")</f>
        <v>تبوك</v>
      </c>
      <c r="H3188" s="212" t="s">
        <v>158</v>
      </c>
      <c r="I3188" s="246" t="n">
        <f aca="false">SUM(K3188:R3188)</f>
        <v>35</v>
      </c>
      <c r="J3188" s="182" t="n">
        <v>46294</v>
      </c>
      <c r="M3188" s="150" t="n">
        <v>35</v>
      </c>
      <c r="S3188" s="192" t="n">
        <f aca="false">(K3188+O3188+Q3188)*24 /1130+(L3188+M3188+P3188+R3188)*12/1130+(N3188*30)/1130</f>
        <v>0.371681415929204</v>
      </c>
    </row>
    <row r="3189" customFormat="false" ht="15" hidden="false" customHeight="true" outlineLevel="0" collapsed="false">
      <c r="B3189" s="233" t="n">
        <f aca="false">B3188+D3189-C3189</f>
        <v>40598.64</v>
      </c>
      <c r="D3189" s="146" t="n">
        <v>1430.6</v>
      </c>
      <c r="E3189" s="147" t="n">
        <v>53002409</v>
      </c>
      <c r="F3189" s="147" t="n">
        <f aca="false">IFERROR(VLOOKUP(H3189,$AD$1:$AE$301,2,0),"")</f>
        <v>982</v>
      </c>
      <c r="G3189" s="147" t="str">
        <f aca="false">IFERROR(VLOOKUP(F3189,$AE$2:$AF$290,2, 0),"")</f>
        <v>تبوك</v>
      </c>
      <c r="H3189" s="212" t="s">
        <v>154</v>
      </c>
      <c r="I3189" s="246" t="n">
        <f aca="false">SUM(K3189:R3189)</f>
        <v>5</v>
      </c>
      <c r="J3189" s="182" t="n">
        <v>46294</v>
      </c>
      <c r="K3189" s="148" t="n">
        <v>4</v>
      </c>
      <c r="Q3189" s="154" t="n">
        <v>1</v>
      </c>
      <c r="S3189" s="192" t="n">
        <f aca="false">(K3189+O3189+Q3189)*24 /1130+(L3189+M3189+P3189+R3189)*12/1130+(N3189*30)/1130</f>
        <v>0.106194690265487</v>
      </c>
    </row>
    <row r="3190" customFormat="false" ht="15" hidden="false" customHeight="true" outlineLevel="0" collapsed="false">
      <c r="B3190" s="233" t="n">
        <f aca="false">B3189+D3190-C3190</f>
        <v>42201.74</v>
      </c>
      <c r="D3190" s="146" t="n">
        <v>1603.1</v>
      </c>
      <c r="E3190" s="147" t="n">
        <v>53002410</v>
      </c>
      <c r="F3190" s="147" t="n">
        <f aca="false">IFERROR(VLOOKUP(H3190,$AD$1:$AE$301,2,0),"")</f>
        <v>566</v>
      </c>
      <c r="G3190" s="147" t="str">
        <f aca="false">IFERROR(VLOOKUP(F3190,$AE$2:$AF$290,2, 0),"")</f>
        <v>تبوك</v>
      </c>
      <c r="H3190" s="212" t="s">
        <v>168</v>
      </c>
      <c r="I3190" s="246" t="n">
        <f aca="false">SUM(K3190:R3190)</f>
        <v>5</v>
      </c>
      <c r="J3190" s="182" t="n">
        <v>46294</v>
      </c>
      <c r="K3190" s="148" t="n">
        <v>4</v>
      </c>
      <c r="R3190" s="155" t="n">
        <v>1</v>
      </c>
      <c r="S3190" s="192" t="n">
        <f aca="false">(K3190+O3190+Q3190)*24 /1130+(L3190+M3190+P3190+R3190)*12/1130+(N3190*30)/1130</f>
        <v>0.0955752212389381</v>
      </c>
    </row>
    <row r="3191" customFormat="false" ht="15" hidden="false" customHeight="true" outlineLevel="0" collapsed="false">
      <c r="B3191" s="233" t="n">
        <f aca="false">B3190+D3191-C3191</f>
        <v>44472.99</v>
      </c>
      <c r="D3191" s="146" t="n">
        <v>2271.25</v>
      </c>
      <c r="E3191" s="147" t="n">
        <v>53002411</v>
      </c>
      <c r="F3191" s="147" t="n">
        <f aca="false">IFERROR(VLOOKUP(H3191,$AD$1:$AE$301,2,0),"")</f>
        <v>1002898</v>
      </c>
      <c r="G3191" s="147" t="str">
        <f aca="false">IFERROR(VLOOKUP(F3191,$AE$2:$AF$290,2, 0),"")</f>
        <v>تبوك</v>
      </c>
      <c r="H3191" s="212" t="s">
        <v>195</v>
      </c>
      <c r="I3191" s="246" t="n">
        <f aca="false">SUM(K3191:R3191)</f>
        <v>8</v>
      </c>
      <c r="J3191" s="182" t="n">
        <v>46294</v>
      </c>
      <c r="M3191" s="150" t="n">
        <v>7</v>
      </c>
      <c r="O3191" s="152" t="n">
        <v>1</v>
      </c>
      <c r="S3191" s="192" t="n">
        <f aca="false">(K3191+O3191+Q3191)*24 /1130+(L3191+M3191+P3191+R3191)*12/1130+(N3191*30)/1130</f>
        <v>0.0955752212389381</v>
      </c>
    </row>
    <row r="3192" customFormat="false" ht="15" hidden="false" customHeight="true" outlineLevel="0" collapsed="false">
      <c r="B3192" s="233" t="n">
        <f aca="false">B3191+D3192-C3192</f>
        <v>45105.49</v>
      </c>
      <c r="D3192" s="146" t="n">
        <v>632.5</v>
      </c>
      <c r="E3192" s="147" t="n">
        <v>53002412</v>
      </c>
      <c r="F3192" s="147" t="n">
        <f aca="false">IFERROR(VLOOKUP(H3192,$AD$1:$AE$301,2,0),"")</f>
        <v>1004</v>
      </c>
      <c r="G3192" s="147" t="str">
        <f aca="false">IFERROR(VLOOKUP(F3192,$AE$2:$AF$290,2, 0),"")</f>
        <v>تبوك</v>
      </c>
      <c r="H3192" s="212" t="s">
        <v>181</v>
      </c>
      <c r="I3192" s="246" t="n">
        <f aca="false">SUM(K3192:R3192)</f>
        <v>3</v>
      </c>
      <c r="J3192" s="182" t="n">
        <v>46294</v>
      </c>
      <c r="Q3192" s="154" t="n">
        <v>1</v>
      </c>
      <c r="R3192" s="155" t="n">
        <f aca="false">1+1</f>
        <v>2</v>
      </c>
      <c r="S3192" s="192" t="n">
        <f aca="false">(K3192+O3192+Q3192)*24 /1130+(L3192+M3192+P3192+R3192)*12/1130+(N3192*30)/1130</f>
        <v>0.0424778761061947</v>
      </c>
    </row>
    <row r="3193" customFormat="false" ht="15" hidden="false" customHeight="true" outlineLevel="0" collapsed="false">
      <c r="B3193" s="233" t="n">
        <f aca="false">B3192+D3193-C3193</f>
        <v>46375.09</v>
      </c>
      <c r="D3193" s="146" t="n">
        <v>1269.6</v>
      </c>
      <c r="E3193" s="147" t="n">
        <v>53002413</v>
      </c>
      <c r="F3193" s="147" t="n">
        <f aca="false">IFERROR(VLOOKUP(H3193,$AD$1:$AE$301,2,0),"")</f>
        <v>1316</v>
      </c>
      <c r="G3193" s="147" t="str">
        <f aca="false">IFERROR(VLOOKUP(F3193,$AE$2:$AF$290,2, 0),"")</f>
        <v>تبوك</v>
      </c>
      <c r="H3193" s="212" t="s">
        <v>217</v>
      </c>
      <c r="I3193" s="246" t="n">
        <f aca="false">SUM(K3193:R3193)</f>
        <v>4</v>
      </c>
      <c r="J3193" s="182" t="n">
        <v>46294</v>
      </c>
      <c r="K3193" s="148" t="n">
        <v>4</v>
      </c>
      <c r="S3193" s="192" t="n">
        <f aca="false">(K3193+O3193+Q3193)*24 /1130+(L3193+M3193+P3193+R3193)*12/1130+(N3193*30)/1130</f>
        <v>0.0849557522123894</v>
      </c>
    </row>
    <row r="3194" customFormat="false" ht="15" hidden="false" customHeight="true" outlineLevel="0" collapsed="false">
      <c r="B3194" s="233" t="n">
        <f aca="false">B3193+D3194-C3194</f>
        <v>48611.84</v>
      </c>
      <c r="D3194" s="146" t="n">
        <v>2236.75</v>
      </c>
      <c r="E3194" s="147" t="n">
        <v>53002414</v>
      </c>
      <c r="F3194" s="147" t="n">
        <f aca="false">IFERROR(VLOOKUP(H3194,$AD$1:$AE$301,2,0),"")</f>
        <v>1002891</v>
      </c>
      <c r="G3194" s="147" t="str">
        <f aca="false">IFERROR(VLOOKUP(F3194,$AE$2:$AF$290,2, 0),"")</f>
        <v>تبوك</v>
      </c>
      <c r="H3194" s="212" t="s">
        <v>201</v>
      </c>
      <c r="I3194" s="246" t="n">
        <f aca="false">SUM(K3194:R3194)</f>
        <v>8</v>
      </c>
      <c r="J3194" s="182" t="n">
        <v>46294</v>
      </c>
      <c r="M3194" s="150" t="n">
        <v>7</v>
      </c>
      <c r="Q3194" s="154" t="n">
        <v>1</v>
      </c>
      <c r="S3194" s="192" t="n">
        <f aca="false">(K3194+O3194+Q3194)*24 /1130+(L3194+M3194+P3194+R3194)*12/1130+(N3194*30)/1130</f>
        <v>0.0955752212389381</v>
      </c>
    </row>
    <row r="3195" customFormat="false" ht="15" hidden="false" customHeight="true" outlineLevel="0" collapsed="false">
      <c r="B3195" s="233" t="n">
        <f aca="false">B3194+D3195-C3195</f>
        <v>49881.44</v>
      </c>
      <c r="D3195" s="146" t="n">
        <v>1269.6</v>
      </c>
      <c r="E3195" s="147" t="n">
        <v>53002415</v>
      </c>
      <c r="F3195" s="147" t="n">
        <f aca="false">IFERROR(VLOOKUP(H3195,$AD$1:$AE$301,2,0),"")</f>
        <v>1002930</v>
      </c>
      <c r="G3195" s="147" t="str">
        <f aca="false">IFERROR(VLOOKUP(F3195,$AE$2:$AF$290,2, 0),"")</f>
        <v>تبوك</v>
      </c>
      <c r="H3195" s="212" t="s">
        <v>171</v>
      </c>
      <c r="I3195" s="246" t="n">
        <f aca="false">SUM(K3195:R3195)</f>
        <v>4</v>
      </c>
      <c r="J3195" s="182" t="n">
        <v>46294</v>
      </c>
      <c r="K3195" s="148" t="n">
        <v>4</v>
      </c>
      <c r="S3195" s="192" t="n">
        <f aca="false">(K3195+O3195+Q3195)*24 /1130+(L3195+M3195+P3195+R3195)*12/1130+(N3195*30)/1130</f>
        <v>0.0849557522123894</v>
      </c>
    </row>
    <row r="3196" customFormat="false" ht="15" hidden="false" customHeight="true" outlineLevel="0" collapsed="false">
      <c r="B3196" s="233" t="n">
        <f aca="false">B3195+D3196-C3196</f>
        <v>53883.44</v>
      </c>
      <c r="D3196" s="146" t="n">
        <v>4002</v>
      </c>
      <c r="E3196" s="147" t="n">
        <v>53002416</v>
      </c>
      <c r="F3196" s="147" t="n">
        <f aca="false">IFERROR(VLOOKUP(H3196,$AD$1:$AE$301,2,0),"")</f>
        <v>1008048</v>
      </c>
      <c r="G3196" s="147" t="str">
        <f aca="false">IFERROR(VLOOKUP(F3196,$AE$2:$AF$290,2, 0),"")</f>
        <v>الوجه</v>
      </c>
      <c r="H3196" s="212" t="s">
        <v>110</v>
      </c>
      <c r="I3196" s="246" t="n">
        <f aca="false">SUM(K3196:R3196)</f>
        <v>12</v>
      </c>
      <c r="J3196" s="182" t="n">
        <v>46294</v>
      </c>
      <c r="N3196" s="151" t="n">
        <f aca="false">4+4+4</f>
        <v>12</v>
      </c>
      <c r="S3196" s="192" t="n">
        <f aca="false">(K3196+O3196+Q3196)*24 /1130+(L3196+M3196+P3196+R3196)*12/1130+(N3196*30)/1130</f>
        <v>0.31858407079646</v>
      </c>
    </row>
    <row r="3197" customFormat="false" ht="15" hidden="false" customHeight="true" outlineLevel="0" collapsed="false">
      <c r="B3197" s="233" t="n">
        <f aca="false">B3196+D3197-C3197</f>
        <v>54124.94</v>
      </c>
      <c r="D3197" s="146" t="n">
        <v>241.5</v>
      </c>
      <c r="E3197" s="147" t="n">
        <v>53002417</v>
      </c>
      <c r="F3197" s="147" t="n">
        <f aca="false">IFERROR(VLOOKUP(H3197,$AD$1:$AE$301,2,0),"")</f>
        <v>575</v>
      </c>
      <c r="G3197" s="147" t="str">
        <f aca="false">IFERROR(VLOOKUP(F3197,$AE$2:$AF$290,2, 0),"")</f>
        <v>تبوك</v>
      </c>
      <c r="H3197" s="212" t="s">
        <v>132</v>
      </c>
      <c r="I3197" s="246" t="n">
        <f aca="false">SUM(K3197:R3197)</f>
        <v>1</v>
      </c>
      <c r="J3197" s="182" t="n">
        <v>46294</v>
      </c>
      <c r="M3197" s="150" t="n">
        <v>1</v>
      </c>
      <c r="S3197" s="192" t="n">
        <f aca="false">(K3197+O3197+Q3197)*24 /1130+(L3197+M3197+P3197+R3197)*12/1130+(N3197*30)/1130</f>
        <v>0.0106194690265487</v>
      </c>
    </row>
    <row r="3198" customFormat="false" ht="15" hidden="false" customHeight="true" outlineLevel="0" collapsed="false">
      <c r="B3198" s="233" t="n">
        <f aca="false">B3197+D3198-C3198</f>
        <v>55394.54</v>
      </c>
      <c r="D3198" s="146" t="n">
        <v>1269.6</v>
      </c>
      <c r="E3198" s="147" t="n">
        <v>53002418</v>
      </c>
      <c r="F3198" s="147" t="n">
        <f aca="false">IFERROR(VLOOKUP(H3198,$AD$1:$AE$301,2,0),"")</f>
        <v>636</v>
      </c>
      <c r="G3198" s="147" t="str">
        <f aca="false">IFERROR(VLOOKUP(F3198,$AE$2:$AF$290,2, 0),"")</f>
        <v>تبوك</v>
      </c>
      <c r="H3198" s="212" t="s">
        <v>134</v>
      </c>
      <c r="I3198" s="246" t="n">
        <f aca="false">SUM(K3198:R3198)</f>
        <v>4</v>
      </c>
      <c r="J3198" s="182" t="n">
        <v>46294</v>
      </c>
      <c r="K3198" s="148" t="n">
        <v>4</v>
      </c>
      <c r="S3198" s="192" t="n">
        <f aca="false">(K3198+O3198+Q3198)*24 /1130+(L3198+M3198+P3198+R3198)*12/1130+(N3198*30)/1130</f>
        <v>0.0849557522123894</v>
      </c>
    </row>
    <row r="3199" customFormat="false" ht="15" hidden="false" customHeight="true" outlineLevel="0" collapsed="false">
      <c r="B3199" s="233" t="n">
        <f aca="false">B3198+D3199-C3199</f>
        <v>57933.74</v>
      </c>
      <c r="D3199" s="146" t="n">
        <f aca="false">1269.6*2</f>
        <v>2539.2</v>
      </c>
      <c r="E3199" s="147" t="n">
        <v>53002419</v>
      </c>
      <c r="F3199" s="147" t="n">
        <f aca="false">IFERROR(VLOOKUP(H3199,$AD$1:$AE$301,2,0),"")</f>
        <v>1008261</v>
      </c>
      <c r="G3199" s="147" t="str">
        <f aca="false">IFERROR(VLOOKUP(F3199,$AE$2:$AF$290,2, 0),"")</f>
        <v>تبوك</v>
      </c>
      <c r="H3199" s="212" t="s">
        <v>440</v>
      </c>
      <c r="I3199" s="246" t="n">
        <f aca="false">SUM(K3199:R3199)</f>
        <v>8</v>
      </c>
      <c r="J3199" s="182" t="n">
        <v>46294</v>
      </c>
      <c r="K3199" s="148" t="n">
        <v>8</v>
      </c>
      <c r="S3199" s="192" t="n">
        <f aca="false">(K3199+O3199+Q3199)*24 /1130+(L3199+M3199+P3199+R3199)*12/1130+(N3199*30)/1130</f>
        <v>0.169911504424779</v>
      </c>
    </row>
    <row r="3200" customFormat="false" ht="15" hidden="false" customHeight="true" outlineLevel="0" collapsed="false">
      <c r="B3200" s="233" t="n">
        <f aca="false">B3199+D3200-C3200</f>
        <v>59203.34</v>
      </c>
      <c r="D3200" s="146" t="n">
        <v>1269.6</v>
      </c>
      <c r="E3200" s="147" t="n">
        <v>53002420</v>
      </c>
      <c r="F3200" s="147" t="n">
        <f aca="false">IFERROR(VLOOKUP(H3200,$AD$1:$AE$301,2,0),"")</f>
        <v>1002851</v>
      </c>
      <c r="G3200" s="147" t="str">
        <f aca="false">IFERROR(VLOOKUP(F3200,$AE$2:$AF$290,2, 0),"")</f>
        <v>تبوك</v>
      </c>
      <c r="H3200" s="212" t="s">
        <v>220</v>
      </c>
      <c r="I3200" s="246" t="n">
        <f aca="false">SUM(K3200:R3200)</f>
        <v>4</v>
      </c>
      <c r="J3200" s="182" t="n">
        <v>46294</v>
      </c>
      <c r="K3200" s="148" t="n">
        <v>4</v>
      </c>
      <c r="S3200" s="192" t="n">
        <f aca="false">(K3200+O3200+Q3200)*24 /1130+(L3200+M3200+P3200+R3200)*12/1130+(N3200*30)/1130</f>
        <v>0.0849557522123894</v>
      </c>
    </row>
    <row r="3201" customFormat="false" ht="15" hidden="false" customHeight="true" outlineLevel="0" collapsed="false">
      <c r="B3201" s="233" t="n">
        <f aca="false">B3200+D3201-C3201</f>
        <v>60472.94</v>
      </c>
      <c r="D3201" s="146" t="n">
        <v>1269.6</v>
      </c>
      <c r="E3201" s="147" t="n">
        <v>53002421</v>
      </c>
      <c r="F3201" s="147" t="n">
        <f aca="false">IFERROR(VLOOKUP(H3201,$AD$1:$AE$301,2,0),"")</f>
        <v>1315</v>
      </c>
      <c r="G3201" s="147" t="str">
        <f aca="false">IFERROR(VLOOKUP(F3201,$AE$2:$AF$290,2, 0),"")</f>
        <v>تبوك</v>
      </c>
      <c r="H3201" s="212" t="s">
        <v>218</v>
      </c>
      <c r="I3201" s="246" t="n">
        <f aca="false">SUM(K3201:R3201)</f>
        <v>4</v>
      </c>
      <c r="J3201" s="182" t="n">
        <v>46294</v>
      </c>
      <c r="K3201" s="148" t="n">
        <v>4</v>
      </c>
      <c r="S3201" s="192" t="n">
        <f aca="false">(K3201+O3201+Q3201)*24 /1130+(L3201+M3201+P3201+R3201)*12/1130+(N3201*30)/1130</f>
        <v>0.0849557522123894</v>
      </c>
    </row>
    <row r="3202" customFormat="false" ht="15" hidden="false" customHeight="true" outlineLevel="0" collapsed="false">
      <c r="B3202" s="233" t="n">
        <f aca="false">B3201+D3202-C3202</f>
        <v>60633.94</v>
      </c>
      <c r="D3202" s="146" t="n">
        <v>161</v>
      </c>
      <c r="E3202" s="147" t="n">
        <v>53002422</v>
      </c>
      <c r="F3202" s="147" t="n">
        <f aca="false">IFERROR(VLOOKUP(H3202,$AD$1:$AE$301,2,0),"")</f>
        <v>1002895</v>
      </c>
      <c r="G3202" s="147" t="str">
        <f aca="false">IFERROR(VLOOKUP(F3202,$AE$2:$AF$290,2, 0),"")</f>
        <v>تبوك</v>
      </c>
      <c r="H3202" s="212" t="s">
        <v>173</v>
      </c>
      <c r="I3202" s="246" t="n">
        <f aca="false">SUM(K3202:R3202)</f>
        <v>1</v>
      </c>
      <c r="J3202" s="182" t="n">
        <v>46294</v>
      </c>
      <c r="Q3202" s="154" t="n">
        <v>1</v>
      </c>
      <c r="S3202" s="192" t="n">
        <f aca="false">(K3202+O3202+Q3202)*24 /1130+(L3202+M3202+P3202+R3202)*12/1130+(N3202*30)/1130</f>
        <v>0.0212389380530973</v>
      </c>
    </row>
    <row r="3203" customFormat="false" ht="15" hidden="false" customHeight="true" outlineLevel="0" collapsed="false">
      <c r="B3203" s="233" t="n">
        <f aca="false">B3202+D3203-C3203</f>
        <v>63173.14</v>
      </c>
      <c r="D3203" s="146" t="n">
        <f aca="false">1269.6*2</f>
        <v>2539.2</v>
      </c>
      <c r="E3203" s="147" t="n">
        <v>53002423</v>
      </c>
      <c r="F3203" s="147" t="n">
        <f aca="false">IFERROR(VLOOKUP(H3203,$AD$1:$AE$301,2,0),"")</f>
        <v>1002907</v>
      </c>
      <c r="G3203" s="147" t="str">
        <f aca="false">IFERROR(VLOOKUP(F3203,$AE$2:$AF$290,2, 0),"")</f>
        <v>تبوك</v>
      </c>
      <c r="H3203" s="212" t="s">
        <v>189</v>
      </c>
      <c r="I3203" s="246" t="n">
        <f aca="false">SUM(K3203:R3203)</f>
        <v>8</v>
      </c>
      <c r="J3203" s="182" t="n">
        <v>46294</v>
      </c>
      <c r="K3203" s="148" t="n">
        <v>8</v>
      </c>
      <c r="S3203" s="192" t="n">
        <f aca="false">(K3203+O3203+Q3203)*24 /1130+(L3203+M3203+P3203+R3203)*12/1130+(N3203*30)/1130</f>
        <v>0.169911504424779</v>
      </c>
    </row>
    <row r="3204" customFormat="false" ht="15" hidden="false" customHeight="true" outlineLevel="0" collapsed="false">
      <c r="B3204" s="233" t="n">
        <f aca="false">B3203+D3204-C3204</f>
        <v>69532.64</v>
      </c>
      <c r="D3204" s="146" t="n">
        <v>6359.5</v>
      </c>
      <c r="E3204" s="147" t="n">
        <v>53002424</v>
      </c>
      <c r="F3204" s="147" t="n">
        <f aca="false">IFERROR(VLOOKUP(H3204,$AD$1:$AE$301,2,0),"")</f>
        <v>1002907</v>
      </c>
      <c r="G3204" s="147" t="str">
        <f aca="false">IFERROR(VLOOKUP(F3204,$AE$2:$AF$290,2, 0),"")</f>
        <v>تبوك</v>
      </c>
      <c r="H3204" s="212" t="s">
        <v>189</v>
      </c>
      <c r="I3204" s="246" t="n">
        <f aca="false">SUM(K3204:R3204)</f>
        <v>22</v>
      </c>
      <c r="J3204" s="182" t="n">
        <v>46294</v>
      </c>
      <c r="M3204" s="150" t="n">
        <f aca="false">1+6+1+4+2+1+7</f>
        <v>22</v>
      </c>
      <c r="S3204" s="192" t="n">
        <f aca="false">(K3204+O3204+Q3204)*24 /1130+(L3204+M3204+P3204+R3204)*12/1130+(N3204*30)/1130</f>
        <v>0.233628318584071</v>
      </c>
    </row>
    <row r="3205" customFormat="false" ht="15" hidden="false" customHeight="true" outlineLevel="0" collapsed="false">
      <c r="B3205" s="233" t="n">
        <f aca="false">B3204+D3205-C3205</f>
        <v>64031.64</v>
      </c>
      <c r="C3205" s="127" t="n">
        <f aca="false">62+1500+400+100+1194+513+190+1084+100+150+8+200</f>
        <v>5501</v>
      </c>
      <c r="E3205" s="147" t="s">
        <v>675</v>
      </c>
      <c r="F3205" s="147" t="str">
        <f aca="false">IFERROR(VLOOKUP(H3205,$AD$1:$AE$301,2,0),"")</f>
        <v/>
      </c>
      <c r="G3205" s="147" t="str">
        <f aca="false">IFERROR(VLOOKUP(F3205,$AE$2:$AF$290,2, 0),"")</f>
        <v/>
      </c>
      <c r="H3205" s="212" t="s">
        <v>393</v>
      </c>
      <c r="I3205" s="246" t="n">
        <f aca="false">SUM(K3205:R3205)</f>
        <v>0</v>
      </c>
      <c r="J3205" s="182" t="n">
        <v>46295</v>
      </c>
      <c r="S3205" s="192" t="n">
        <f aca="false">(K3205+O3205+Q3205)*24 /1130+(L3205+M3205+P3205+R3205)*12/1130+(N3205*30)/1130</f>
        <v>0</v>
      </c>
    </row>
    <row r="3206" customFormat="false" ht="15" hidden="false" customHeight="true" outlineLevel="0" collapsed="false">
      <c r="B3206" s="233" t="n">
        <f aca="false">B3205+D3206-C3206</f>
        <v>60531.64</v>
      </c>
      <c r="C3206" s="127" t="n">
        <v>3500</v>
      </c>
      <c r="E3206" s="147" t="s">
        <v>681</v>
      </c>
      <c r="F3206" s="147" t="str">
        <f aca="false">IFERROR(VLOOKUP(H3206,$AD$1:$AE$301,2,0),"")</f>
        <v/>
      </c>
      <c r="G3206" s="147" t="str">
        <f aca="false">IFERROR(VLOOKUP(F3206,$AE$2:$AF$290,2, 0),"")</f>
        <v/>
      </c>
      <c r="H3206" s="212" t="s">
        <v>393</v>
      </c>
      <c r="I3206" s="246" t="n">
        <f aca="false">SUM(K3206:R3206)</f>
        <v>0</v>
      </c>
      <c r="J3206" s="182" t="n">
        <v>46295</v>
      </c>
      <c r="S3206" s="192" t="n">
        <f aca="false">(K3206+O3206+Q3206)*24 /1130+(L3206+M3206+P3206+R3206)*12/1130+(N3206*30)/1130</f>
        <v>0</v>
      </c>
    </row>
    <row r="3207" customFormat="false" ht="15" hidden="false" customHeight="true" outlineLevel="0" collapsed="false">
      <c r="B3207" s="233" t="n">
        <f aca="false">B3206+D3207-C3207</f>
        <v>50588.14</v>
      </c>
      <c r="C3207" s="441" t="n">
        <v>9943.5</v>
      </c>
      <c r="E3207" s="147" t="s">
        <v>681</v>
      </c>
      <c r="F3207" s="147" t="str">
        <f aca="false">IFERROR(VLOOKUP(H3207,$AD$1:$AE$301,2,0),"")</f>
        <v/>
      </c>
      <c r="G3207" s="147" t="str">
        <f aca="false">IFERROR(VLOOKUP(F3207,$AE$2:$AF$290,2, 0),"")</f>
        <v/>
      </c>
      <c r="H3207" s="212" t="s">
        <v>393</v>
      </c>
      <c r="I3207" s="246" t="n">
        <f aca="false">SUM(K3207:R3207)</f>
        <v>0</v>
      </c>
      <c r="J3207" s="182" t="n">
        <v>46295</v>
      </c>
      <c r="S3207" s="192" t="n">
        <f aca="false">(K3207+O3207+Q3207)*24 /1130+(L3207+M3207+P3207+R3207)*12/1130+(N3207*30)/1130</f>
        <v>0</v>
      </c>
    </row>
    <row r="3208" customFormat="false" ht="15" hidden="false" customHeight="true" outlineLevel="0" collapsed="false">
      <c r="B3208" s="233" t="n">
        <f aca="false">B3207+D3208-C3208</f>
        <v>48177.14</v>
      </c>
      <c r="C3208" s="443" t="n">
        <f aca="false">225+90+165+96+180+200+205+190+95+80+125+133+117+160+210+140</f>
        <v>2411</v>
      </c>
      <c r="E3208" s="147" t="s">
        <v>680</v>
      </c>
      <c r="F3208" s="147" t="str">
        <f aca="false">IFERROR(VLOOKUP(H3208,$AD$1:$AE$301,2,0),"")</f>
        <v/>
      </c>
      <c r="G3208" s="147" t="str">
        <f aca="false">IFERROR(VLOOKUP(F3208,$AE$2:$AF$290,2, 0),"")</f>
        <v/>
      </c>
      <c r="H3208" s="212" t="s">
        <v>393</v>
      </c>
      <c r="I3208" s="246" t="n">
        <f aca="false">SUM(K3208:R3208)</f>
        <v>0</v>
      </c>
      <c r="J3208" s="182" t="n">
        <v>46295</v>
      </c>
      <c r="S3208" s="192" t="n">
        <f aca="false">(K3208+O3208+Q3208)*24 /1130+(L3208+M3208+P3208+R3208)*12/1130+(N3208*30)/1130</f>
        <v>0</v>
      </c>
    </row>
    <row r="3209" customFormat="false" ht="15" hidden="false" customHeight="true" outlineLevel="0" collapsed="false">
      <c r="B3209" s="233" t="n">
        <f aca="false">B3208+D3209-C3209</f>
        <v>49446.74</v>
      </c>
      <c r="D3209" s="146" t="n">
        <v>1269.6</v>
      </c>
      <c r="E3209" s="147" t="n">
        <v>53002425</v>
      </c>
      <c r="F3209" s="147" t="n">
        <f aca="false">IFERROR(VLOOKUP(H3209,$AD$1:$AE$301,2,0),"")</f>
        <v>1002949</v>
      </c>
      <c r="G3209" s="147" t="str">
        <f aca="false">IFERROR(VLOOKUP(F3209,$AE$2:$AF$290,2, 0),"")</f>
        <v>تبوك</v>
      </c>
      <c r="H3209" s="212" t="s">
        <v>155</v>
      </c>
      <c r="I3209" s="246" t="n">
        <f aca="false">SUM(K3209:R3209)</f>
        <v>4</v>
      </c>
      <c r="J3209" s="182" t="n">
        <v>46295</v>
      </c>
      <c r="K3209" s="148" t="n">
        <v>4</v>
      </c>
      <c r="S3209" s="192" t="n">
        <f aca="false">(K3209+O3209+Q3209)*24 /1130+(L3209+M3209+P3209+R3209)*12/1130+(N3209*30)/1130</f>
        <v>0.0849557522123894</v>
      </c>
    </row>
    <row r="3210" customFormat="false" ht="15" hidden="false" customHeight="true" outlineLevel="0" collapsed="false">
      <c r="B3210" s="233" t="n">
        <f aca="false">B3209+D3210-C3210</f>
        <v>50895.74</v>
      </c>
      <c r="D3210" s="146" t="n">
        <v>1449</v>
      </c>
      <c r="E3210" s="147" t="n">
        <v>53002426</v>
      </c>
      <c r="F3210" s="147" t="n">
        <f aca="false">IFERROR(VLOOKUP(H3210,$AD$1:$AE$301,2,0),"")</f>
        <v>636</v>
      </c>
      <c r="G3210" s="147" t="str">
        <f aca="false">IFERROR(VLOOKUP(F3210,$AE$2:$AF$290,2, 0),"")</f>
        <v>تبوك</v>
      </c>
      <c r="H3210" s="212" t="s">
        <v>134</v>
      </c>
      <c r="I3210" s="246" t="n">
        <f aca="false">SUM(K3210:R3210)</f>
        <v>9</v>
      </c>
      <c r="J3210" s="182" t="n">
        <v>46295</v>
      </c>
      <c r="Q3210" s="154" t="n">
        <v>9</v>
      </c>
      <c r="S3210" s="192" t="n">
        <f aca="false">(K3210+O3210+Q3210)*24 /1130+(L3210+M3210+P3210+R3210)*12/1130+(N3210*30)/1130</f>
        <v>0.191150442477876</v>
      </c>
    </row>
    <row r="3211" customFormat="false" ht="15" hidden="false" customHeight="true" outlineLevel="0" collapsed="false">
      <c r="B3211" s="233" t="n">
        <f aca="false">B3210+D3211-C3211</f>
        <v>54012.24</v>
      </c>
      <c r="D3211" s="146" t="n">
        <v>3116.5</v>
      </c>
      <c r="E3211" s="147" t="n">
        <v>53002427</v>
      </c>
      <c r="F3211" s="147" t="n">
        <f aca="false">IFERROR(VLOOKUP(H3211,$AD$1:$AE$301,2,0),"")</f>
        <v>855</v>
      </c>
      <c r="G3211" s="147" t="str">
        <f aca="false">IFERROR(VLOOKUP(F3211,$AE$2:$AF$290,2, 0),"")</f>
        <v>تبوك</v>
      </c>
      <c r="H3211" s="212" t="s">
        <v>141</v>
      </c>
      <c r="I3211" s="246" t="n">
        <f aca="false">SUM(K3211:R3211)</f>
        <v>12</v>
      </c>
      <c r="J3211" s="182" t="n">
        <v>46295</v>
      </c>
      <c r="M3211" s="150" t="n">
        <v>7</v>
      </c>
      <c r="R3211" s="155" t="n">
        <f aca="false">3+2</f>
        <v>5</v>
      </c>
      <c r="S3211" s="192" t="n">
        <f aca="false">(K3211+O3211+Q3211)*24 /1130+(L3211+M3211+P3211+R3211)*12/1130+(N3211*30)/1130</f>
        <v>0.127433628318584</v>
      </c>
    </row>
    <row r="3212" customFormat="false" ht="15" hidden="false" customHeight="true" outlineLevel="0" collapsed="false">
      <c r="B3212" s="233" t="n">
        <f aca="false">B3211+D3212-C3212</f>
        <v>54851.74</v>
      </c>
      <c r="D3212" s="146" t="n">
        <v>839.5</v>
      </c>
      <c r="E3212" s="147" t="n">
        <v>53002428</v>
      </c>
      <c r="F3212" s="147" t="n">
        <f aca="false">IFERROR(VLOOKUP(H3212,$AD$1:$AE$301,2,0),"")</f>
        <v>721</v>
      </c>
      <c r="G3212" s="147" t="str">
        <f aca="false">IFERROR(VLOOKUP(F3212,$AE$2:$AF$290,2, 0),"")</f>
        <v>تبوك</v>
      </c>
      <c r="H3212" s="212" t="s">
        <v>183</v>
      </c>
      <c r="I3212" s="246" t="n">
        <f aca="false">SUM(K3212:R3212)</f>
        <v>2</v>
      </c>
      <c r="J3212" s="182" t="n">
        <v>46295</v>
      </c>
      <c r="N3212" s="151" t="n">
        <f aca="false">2</f>
        <v>2</v>
      </c>
      <c r="S3212" s="192" t="n">
        <f aca="false">(K3212+O3212+Q3212)*24 /1130+(L3212+M3212+P3212+R3212)*12/1130+(N3212*30)/1130</f>
        <v>0.0530973451327434</v>
      </c>
    </row>
    <row r="3213" customFormat="false" ht="15" hidden="false" customHeight="true" outlineLevel="0" collapsed="false">
      <c r="B3213" s="233" t="n">
        <f aca="false">B3212+D3213-C3213</f>
        <v>52110.74</v>
      </c>
      <c r="C3213" s="127" t="n">
        <f aca="false">200+672+200+400+1269</f>
        <v>2741</v>
      </c>
      <c r="E3213" s="147" t="s">
        <v>680</v>
      </c>
      <c r="F3213" s="147" t="str">
        <f aca="false">IFERROR(VLOOKUP(H3213,$AD$1:$AE$301,2,0),"")</f>
        <v/>
      </c>
      <c r="G3213" s="147" t="str">
        <f aca="false">IFERROR(VLOOKUP(F3213,$AE$2:$AF$290,2, 0),"")</f>
        <v/>
      </c>
      <c r="H3213" s="212" t="s">
        <v>393</v>
      </c>
      <c r="I3213" s="246" t="n">
        <f aca="false">SUM(K3213:R3213)</f>
        <v>0</v>
      </c>
      <c r="J3213" s="182" t="n">
        <v>46295</v>
      </c>
      <c r="S3213" s="192" t="n">
        <f aca="false">(K3213+O3213+Q3213)*24 /1130+(L3213+M3213+P3213+R3213)*12/1130+(N3213*30)/1130</f>
        <v>0</v>
      </c>
    </row>
    <row r="3214" customFormat="false" ht="15" hidden="false" customHeight="true" outlineLevel="0" collapsed="false">
      <c r="B3214" s="233" t="n">
        <f aca="false">B3213+D3214-C3214</f>
        <v>49975.74</v>
      </c>
      <c r="C3214" s="127" t="n">
        <f aca="false">90+2045</f>
        <v>2135</v>
      </c>
      <c r="E3214" s="147" t="s">
        <v>681</v>
      </c>
      <c r="F3214" s="147" t="str">
        <f aca="false">IFERROR(VLOOKUP(H3214,$AD$1:$AE$301,2,0),"")</f>
        <v/>
      </c>
      <c r="G3214" s="147" t="str">
        <f aca="false">IFERROR(VLOOKUP(F3214,$AE$2:$AF$290,2, 0),"")</f>
        <v/>
      </c>
      <c r="H3214" s="212" t="s">
        <v>393</v>
      </c>
      <c r="I3214" s="246" t="n">
        <f aca="false">SUM(K3214:R3214)</f>
        <v>0</v>
      </c>
      <c r="J3214" s="182" t="n">
        <v>46295</v>
      </c>
      <c r="S3214" s="192" t="n">
        <f aca="false">(K3214+O3214+Q3214)*24 /1130+(L3214+M3214+P3214+R3214)*12/1130+(N3214*30)/1130</f>
        <v>0</v>
      </c>
    </row>
    <row r="3215" customFormat="false" ht="15" hidden="false" customHeight="true" outlineLevel="0" collapsed="false">
      <c r="B3215" s="233" t="n">
        <f aca="false">B3214+D3215-C3215</f>
        <v>46663.54</v>
      </c>
      <c r="C3215" s="441" t="n">
        <f aca="false">500+1269+1039.2+504</f>
        <v>3312.2</v>
      </c>
      <c r="E3215" s="147" t="s">
        <v>677</v>
      </c>
      <c r="F3215" s="147" t="str">
        <f aca="false">IFERROR(VLOOKUP(H3215,$AD$1:$AE$301,2,0),"")</f>
        <v/>
      </c>
      <c r="G3215" s="147" t="str">
        <f aca="false">IFERROR(VLOOKUP(F3215,$AE$2:$AF$290,2, 0),"")</f>
        <v/>
      </c>
      <c r="H3215" s="212" t="s">
        <v>393</v>
      </c>
      <c r="I3215" s="246" t="n">
        <f aca="false">SUM(K3215:R3215)</f>
        <v>0</v>
      </c>
      <c r="J3215" s="182" t="n">
        <v>46296</v>
      </c>
      <c r="S3215" s="192" t="n">
        <f aca="false">(K3215+O3215+Q3215)*24 /1130+(L3215+M3215+P3215+R3215)*12/1130+(N3215*30)/1130</f>
        <v>0</v>
      </c>
    </row>
    <row r="3216" customFormat="false" ht="15" hidden="false" customHeight="true" outlineLevel="0" collapsed="false">
      <c r="B3216" s="233" t="n">
        <f aca="false">B3215+D3216-C3216</f>
        <v>36035.54</v>
      </c>
      <c r="C3216" s="442" t="n">
        <f aca="false">6000+318+1000+1025+580+200+1505</f>
        <v>10628</v>
      </c>
      <c r="E3216" s="147" t="s">
        <v>675</v>
      </c>
      <c r="F3216" s="147" t="str">
        <f aca="false">IFERROR(VLOOKUP(H3216,$AD$1:$AE$301,2,0),"")</f>
        <v/>
      </c>
      <c r="G3216" s="147" t="str">
        <f aca="false">IFERROR(VLOOKUP(F3216,$AE$2:$AF$290,2, 0),"")</f>
        <v/>
      </c>
      <c r="H3216" s="212" t="s">
        <v>393</v>
      </c>
      <c r="I3216" s="246" t="n">
        <f aca="false">SUM(K3216:R3216)</f>
        <v>0</v>
      </c>
      <c r="J3216" s="182" t="n">
        <v>46297</v>
      </c>
      <c r="S3216" s="192" t="n">
        <f aca="false">(K3216+O3216+Q3216)*24 /1130+(L3216+M3216+P3216+R3216)*12/1130+(N3216*30)/1130</f>
        <v>0</v>
      </c>
    </row>
    <row r="3217" customFormat="false" ht="15" hidden="false" customHeight="true" outlineLevel="0" collapsed="false">
      <c r="B3217" s="233" t="n">
        <f aca="false">B3216+D3217-C3217</f>
        <v>33686.54</v>
      </c>
      <c r="C3217" s="443" t="n">
        <f aca="false">117+120+55+160+100+150+105+108+128+45+5+75+240+5+100+134+165+25+165+72+137+138</f>
        <v>2349</v>
      </c>
      <c r="E3217" s="147" t="s">
        <v>675</v>
      </c>
      <c r="F3217" s="147" t="str">
        <f aca="false">IFERROR(VLOOKUP(H3217,$AD$1:$AE$301,2,0),"")</f>
        <v/>
      </c>
      <c r="G3217" s="147" t="str">
        <f aca="false">IFERROR(VLOOKUP(F3217,$AE$2:$AF$290,2, 0),"")</f>
        <v/>
      </c>
      <c r="H3217" s="212" t="s">
        <v>393</v>
      </c>
      <c r="I3217" s="246" t="n">
        <f aca="false">SUM(K3217:R3217)</f>
        <v>0</v>
      </c>
      <c r="J3217" s="182" t="n">
        <v>46297</v>
      </c>
      <c r="S3217" s="192" t="n">
        <f aca="false">(K3217+O3217+Q3217)*24 /1130+(L3217+M3217+P3217+R3217)*12/1130+(N3217*30)/1130</f>
        <v>0</v>
      </c>
    </row>
    <row r="3218" customFormat="false" ht="15" hidden="false" customHeight="true" outlineLevel="0" collapsed="false">
      <c r="B3218" s="233" t="n">
        <f aca="false">B3217+D3218-C3218</f>
        <v>28800.94</v>
      </c>
      <c r="C3218" s="442" t="n">
        <f aca="false">1500+385.6+3000</f>
        <v>4885.6</v>
      </c>
      <c r="E3218" s="147" t="s">
        <v>681</v>
      </c>
      <c r="F3218" s="147" t="str">
        <f aca="false">IFERROR(VLOOKUP(H3218,$AD$1:$AE$301,2,0),"")</f>
        <v/>
      </c>
      <c r="G3218" s="147" t="str">
        <f aca="false">IFERROR(VLOOKUP(F3218,$AE$2:$AF$290,2, 0),"")</f>
        <v/>
      </c>
      <c r="H3218" s="212" t="s">
        <v>393</v>
      </c>
      <c r="I3218" s="246" t="n">
        <f aca="false">SUM(K3218:R3218)</f>
        <v>0</v>
      </c>
      <c r="J3218" s="182" t="n">
        <v>46299</v>
      </c>
      <c r="S3218" s="192" t="n">
        <f aca="false">(K3218+O3218+Q3218)*24 /1130+(L3218+M3218+P3218+R3218)*12/1130+(N3218*30)/1130</f>
        <v>0</v>
      </c>
    </row>
    <row r="3219" customFormat="false" ht="15" hidden="false" customHeight="true" outlineLevel="0" collapsed="false">
      <c r="B3219" s="233" t="n">
        <f aca="false">B3218+D3219-C3219</f>
        <v>18013.94</v>
      </c>
      <c r="C3219" s="443" t="n">
        <f aca="false">200+1610+1000+770+64+1088+1900+315+3840</f>
        <v>10787</v>
      </c>
      <c r="E3219" s="147" t="s">
        <v>680</v>
      </c>
      <c r="F3219" s="147" t="str">
        <f aca="false">IFERROR(VLOOKUP(H3219,$AD$1:$AE$301,2,0),"")</f>
        <v/>
      </c>
      <c r="G3219" s="147" t="str">
        <f aca="false">IFERROR(VLOOKUP(F3219,$AE$2:$AF$290,2, 0),"")</f>
        <v/>
      </c>
      <c r="H3219" s="212" t="s">
        <v>393</v>
      </c>
      <c r="I3219" s="246" t="n">
        <f aca="false">SUM(K3219:R3219)</f>
        <v>0</v>
      </c>
      <c r="J3219" s="182" t="n">
        <v>46299</v>
      </c>
      <c r="S3219" s="192" t="n">
        <f aca="false">(K3219+O3219+Q3219)*24 /1130+(L3219+M3219+P3219+R3219)*12/1130+(N3219*30)/1130</f>
        <v>0</v>
      </c>
    </row>
    <row r="3220" customFormat="false" ht="15" hidden="false" customHeight="true" outlineLevel="0" collapsed="false">
      <c r="B3220" s="233" t="n">
        <f aca="false">B3219+D3220-C3220</f>
        <v>17188.94</v>
      </c>
      <c r="C3220" s="233" t="n">
        <f aca="false">825</f>
        <v>825</v>
      </c>
      <c r="E3220" s="147" t="s">
        <v>677</v>
      </c>
      <c r="F3220" s="147" t="str">
        <f aca="false">IFERROR(VLOOKUP(H3220,$AD$1:$AE$301,2,0),"")</f>
        <v/>
      </c>
      <c r="G3220" s="147" t="str">
        <f aca="false">IFERROR(VLOOKUP(F3220,$AE$2:$AF$290,2, 0),"")</f>
        <v/>
      </c>
      <c r="H3220" s="212" t="s">
        <v>393</v>
      </c>
      <c r="I3220" s="246" t="n">
        <f aca="false">SUM(K3220:R3220)</f>
        <v>0</v>
      </c>
      <c r="J3220" s="182" t="n">
        <v>46300</v>
      </c>
      <c r="S3220" s="192" t="n">
        <f aca="false">(K3220+O3220+Q3220)*24 /1130+(L3220+M3220+P3220+R3220)*12/1130+(N3220*30)/1130</f>
        <v>0</v>
      </c>
    </row>
    <row r="3221" customFormat="false" ht="15" hidden="false" customHeight="true" outlineLevel="0" collapsed="false">
      <c r="B3221" s="233" t="n">
        <f aca="false">B3220+D3221-C3221</f>
        <v>14888.94</v>
      </c>
      <c r="C3221" s="127" t="n">
        <v>2300</v>
      </c>
      <c r="E3221" s="147" t="s">
        <v>680</v>
      </c>
      <c r="F3221" s="147" t="str">
        <f aca="false">IFERROR(VLOOKUP(H3221,$AD$1:$AE$301,2,0),"")</f>
        <v/>
      </c>
      <c r="G3221" s="147" t="str">
        <f aca="false">IFERROR(VLOOKUP(F3221,$AE$2:$AF$290,2, 0),"")</f>
        <v/>
      </c>
      <c r="H3221" s="212" t="s">
        <v>393</v>
      </c>
      <c r="I3221" s="246" t="n">
        <f aca="false">SUM(K3221:R3221)</f>
        <v>0</v>
      </c>
      <c r="J3221" s="182" t="n">
        <v>46300</v>
      </c>
      <c r="S3221" s="192" t="n">
        <f aca="false">(K3221+O3221+Q3221)*24 /1130+(L3221+M3221+P3221+R3221)*12/1130+(N3221*30)/1130</f>
        <v>0</v>
      </c>
    </row>
    <row r="3222" customFormat="false" ht="15" hidden="false" customHeight="true" outlineLevel="0" collapsed="false">
      <c r="B3222" s="233" t="n">
        <f aca="false">B3221+D3222-C3222</f>
        <v>13206.94</v>
      </c>
      <c r="C3222" s="233" t="n">
        <f aca="false">147+130+90+125+120+228+215+15+100+250+145+25+92</f>
        <v>1682</v>
      </c>
      <c r="E3222" s="147" t="s">
        <v>680</v>
      </c>
      <c r="F3222" s="147" t="str">
        <f aca="false">IFERROR(VLOOKUP(H3222,$AD$1:$AE$301,2,0),"")</f>
        <v/>
      </c>
      <c r="G3222" s="147" t="str">
        <f aca="false">IFERROR(VLOOKUP(F3222,$AE$2:$AF$290,2, 0),"")</f>
        <v/>
      </c>
      <c r="H3222" s="212" t="s">
        <v>393</v>
      </c>
      <c r="I3222" s="246" t="n">
        <f aca="false">SUM(K3222:R3222)</f>
        <v>0</v>
      </c>
      <c r="J3222" s="182" t="n">
        <v>46300</v>
      </c>
      <c r="S3222" s="192" t="n">
        <f aca="false">(K3222+O3222+Q3222)*24 /1130+(L3222+M3222+P3222+R3222)*12/1130+(N3222*30)/1130</f>
        <v>0</v>
      </c>
    </row>
    <row r="3223" customFormat="false" ht="15" hidden="false" customHeight="true" outlineLevel="0" collapsed="false">
      <c r="B3223" s="233" t="n">
        <f aca="false">B3222+D3223-C3223</f>
        <v>11506.94</v>
      </c>
      <c r="C3223" s="127" t="n">
        <f aca="false">1000+700</f>
        <v>1700</v>
      </c>
      <c r="E3223" s="147" t="s">
        <v>681</v>
      </c>
      <c r="F3223" s="147" t="str">
        <f aca="false">IFERROR(VLOOKUP(H3223,$AD$1:$AE$301,2,0),"")</f>
        <v/>
      </c>
      <c r="G3223" s="147" t="str">
        <f aca="false">IFERROR(VLOOKUP(F3223,$AE$2:$AF$290,2, 0),"")</f>
        <v/>
      </c>
      <c r="H3223" s="212" t="s">
        <v>393</v>
      </c>
      <c r="I3223" s="246" t="n">
        <f aca="false">SUM(K3223:R3223)</f>
        <v>0</v>
      </c>
      <c r="J3223" s="182" t="n">
        <v>46300</v>
      </c>
      <c r="S3223" s="192" t="n">
        <f aca="false">(K3223+O3223+Q3223)*24 /1130+(L3223+M3223+P3223+R3223)*12/1130+(N3223*30)/1130</f>
        <v>0</v>
      </c>
    </row>
    <row r="3224" customFormat="false" ht="15" hidden="false" customHeight="true" outlineLevel="0" collapsed="false">
      <c r="B3224" s="233" t="n">
        <f aca="false">B3223+D3224-C3224</f>
        <v>10271.94</v>
      </c>
      <c r="C3224" s="127" t="n">
        <f aca="false">150+285+300+200+300</f>
        <v>1235</v>
      </c>
      <c r="E3224" s="147" t="s">
        <v>675</v>
      </c>
      <c r="F3224" s="147" t="str">
        <f aca="false">IFERROR(VLOOKUP(H3224,$AD$1:$AE$301,2,0),"")</f>
        <v/>
      </c>
      <c r="G3224" s="147" t="str">
        <f aca="false">IFERROR(VLOOKUP(F3224,$AE$2:$AF$290,2, 0),"")</f>
        <v/>
      </c>
      <c r="H3224" s="212" t="s">
        <v>393</v>
      </c>
      <c r="I3224" s="246" t="n">
        <f aca="false">SUM(K3224:R3224)</f>
        <v>0</v>
      </c>
      <c r="J3224" s="182" t="n">
        <v>46300</v>
      </c>
      <c r="S3224" s="192" t="n">
        <f aca="false">(K3224+O3224+Q3224)*24 /1130+(L3224+M3224+P3224+R3224)*12/1130+(N3224*30)/1130</f>
        <v>0</v>
      </c>
    </row>
    <row r="3225" customFormat="false" ht="15" hidden="false" customHeight="true" outlineLevel="0" collapsed="false">
      <c r="B3225" s="233" t="n">
        <f aca="false">B3224+D3225-C3225</f>
        <v>9018.93999999996</v>
      </c>
      <c r="C3225" s="127" t="n">
        <f aca="false">950+113+190</f>
        <v>1253</v>
      </c>
      <c r="E3225" s="147" t="s">
        <v>675</v>
      </c>
      <c r="F3225" s="147" t="str">
        <f aca="false">IFERROR(VLOOKUP(H3225,$AD$1:$AE$301,2,0),"")</f>
        <v/>
      </c>
      <c r="G3225" s="147" t="str">
        <f aca="false">IFERROR(VLOOKUP(F3225,$AE$2:$AF$290,2, 0),"")</f>
        <v/>
      </c>
      <c r="H3225" s="212" t="s">
        <v>393</v>
      </c>
      <c r="I3225" s="246" t="n">
        <f aca="false">SUM(K3225:R3225)</f>
        <v>0</v>
      </c>
      <c r="J3225" s="182" t="n">
        <v>46300</v>
      </c>
      <c r="S3225" s="192" t="n">
        <f aca="false">(K3225+O3225+Q3225)*24 /1130+(L3225+M3225+P3225+R3225)*12/1130+(N3225*30)/1130</f>
        <v>0</v>
      </c>
    </row>
    <row r="3226" customFormat="false" ht="15" hidden="false" customHeight="true" outlineLevel="0" collapsed="false">
      <c r="B3226" s="233" t="n">
        <f aca="false">B3225+D3226-C3226</f>
        <v>6180.93999999996</v>
      </c>
      <c r="C3226" s="127" t="n">
        <f aca="false">310+18+140+220+155+72+250+230+395+30+310+140+10+175+143+210+30</f>
        <v>2838</v>
      </c>
      <c r="E3226" s="147" t="s">
        <v>675</v>
      </c>
      <c r="F3226" s="147" t="str">
        <f aca="false">IFERROR(VLOOKUP(H3226,$AD$1:$AE$301,2,0),"")</f>
        <v/>
      </c>
      <c r="G3226" s="147" t="str">
        <f aca="false">IFERROR(VLOOKUP(F3226,$AE$2:$AF$290,2, 0),"")</f>
        <v/>
      </c>
      <c r="H3226" s="212" t="s">
        <v>393</v>
      </c>
      <c r="I3226" s="246" t="n">
        <f aca="false">SUM(K3226:R3226)</f>
        <v>0</v>
      </c>
      <c r="J3226" s="182" t="n">
        <v>46300</v>
      </c>
      <c r="S3226" s="192" t="n">
        <f aca="false">(K3226+O3226+Q3226)*24 /1130+(L3226+M3226+P3226+R3226)*12/1130+(N3226*30)/1130</f>
        <v>0</v>
      </c>
    </row>
    <row r="3227" customFormat="false" ht="15" hidden="false" customHeight="true" outlineLevel="0" collapsed="false">
      <c r="B3227" s="233" t="n">
        <f aca="false">B3226+D3227-C3227</f>
        <v>5343.93999999996</v>
      </c>
      <c r="C3227" s="127" t="n">
        <f aca="false">90+145+200+205+197</f>
        <v>837</v>
      </c>
      <c r="E3227" s="147" t="s">
        <v>675</v>
      </c>
      <c r="F3227" s="147" t="str">
        <f aca="false">IFERROR(VLOOKUP(H3227,$AD$1:$AE$301,2,0),"")</f>
        <v/>
      </c>
      <c r="G3227" s="147" t="str">
        <f aca="false">IFERROR(VLOOKUP(F3227,$AE$2:$AF$290,2, 0),"")</f>
        <v/>
      </c>
      <c r="H3227" s="212" t="s">
        <v>393</v>
      </c>
      <c r="I3227" s="246" t="n">
        <f aca="false">SUM(K3227:R3227)</f>
        <v>0</v>
      </c>
      <c r="J3227" s="182" t="n">
        <v>46300</v>
      </c>
      <c r="S3227" s="192" t="n">
        <f aca="false">(K3227+O3227+Q3227)*24 /1130+(L3227+M3227+P3227+R3227)*12/1130+(N3227*30)/1130</f>
        <v>0</v>
      </c>
    </row>
    <row r="3228" customFormat="false" ht="15" hidden="false" customHeight="true" outlineLevel="0" collapsed="false">
      <c r="B3228" s="233" t="n">
        <f aca="false">B3227+D3228-C3228</f>
        <v>2943.99999999996</v>
      </c>
      <c r="C3228" s="127" t="n">
        <f aca="false">2000+400</f>
        <v>2400</v>
      </c>
      <c r="D3228" s="146" t="n">
        <v>0.06</v>
      </c>
      <c r="E3228" s="147" t="s">
        <v>677</v>
      </c>
      <c r="F3228" s="147" t="str">
        <f aca="false">IFERROR(VLOOKUP(H3228,$AD$1:$AE$301,2,0),"")</f>
        <v/>
      </c>
      <c r="G3228" s="147" t="str">
        <f aca="false">IFERROR(VLOOKUP(F3228,$AE$2:$AF$290,2, 0),"")</f>
        <v/>
      </c>
      <c r="H3228" s="212" t="s">
        <v>393</v>
      </c>
      <c r="I3228" s="246" t="n">
        <f aca="false">SUM(K3228:R3228)</f>
        <v>0</v>
      </c>
      <c r="J3228" s="182" t="n">
        <v>46300</v>
      </c>
      <c r="S3228" s="192" t="n">
        <f aca="false">(K3228+O3228+Q3228)*24 /1130+(L3228+M3228+P3228+R3228)*12/1130+(N3228*30)/1130</f>
        <v>0</v>
      </c>
    </row>
    <row r="3229" customFormat="false" ht="15" hidden="false" customHeight="true" outlineLevel="0" collapsed="false">
      <c r="B3229" s="233" t="n">
        <f aca="false">B3228+D3229-C3229</f>
        <v>-4.09272615797818E-011</v>
      </c>
      <c r="C3229" s="127" t="n">
        <f aca="false">2310+634</f>
        <v>2944</v>
      </c>
      <c r="E3229" s="147" t="s">
        <v>675</v>
      </c>
      <c r="F3229" s="147" t="str">
        <f aca="false">IFERROR(VLOOKUP(H3229,$AD$1:$AE$301,2,0),"")</f>
        <v/>
      </c>
      <c r="G3229" s="147" t="str">
        <f aca="false">IFERROR(VLOOKUP(F3229,$AE$2:$AF$290,2, 0),"")</f>
        <v/>
      </c>
      <c r="H3229" s="212" t="s">
        <v>393</v>
      </c>
      <c r="I3229" s="246" t="n">
        <f aca="false">SUM(K3229:R3229)</f>
        <v>0</v>
      </c>
      <c r="J3229" s="182" t="n">
        <v>46300</v>
      </c>
      <c r="S3229" s="192" t="n">
        <f aca="false">(K3229+O3229+Q3229)*24 /1130+(L3229+M3229+P3229+R3229)*12/1130+(N3229*30)/1130</f>
        <v>0</v>
      </c>
    </row>
    <row r="3230" customFormat="false" ht="15" hidden="false" customHeight="true" outlineLevel="0" collapsed="false">
      <c r="B3230" s="233" t="n">
        <f aca="false">B3229+D3230-C3230</f>
        <v>4254.99999999996</v>
      </c>
      <c r="D3230" s="146" t="n">
        <f aca="false">25*170.2</f>
        <v>4255</v>
      </c>
      <c r="E3230" s="147" t="n">
        <v>53002429</v>
      </c>
      <c r="F3230" s="147" t="n">
        <f aca="false">IFERROR(VLOOKUP(H3230,$AD$1:$AE$301,2,0),"")</f>
        <v>1293</v>
      </c>
      <c r="G3230" s="147" t="str">
        <f aca="false">IFERROR(VLOOKUP(F3230,$AE$2:$AF$290,2, 0),"")</f>
        <v>تبوك</v>
      </c>
      <c r="H3230" s="212" t="s">
        <v>560</v>
      </c>
      <c r="I3230" s="246" t="n">
        <f aca="false">SUM(K3230:R3230)</f>
        <v>25</v>
      </c>
      <c r="J3230" s="182" t="n">
        <v>46307</v>
      </c>
      <c r="L3230" s="149" t="n">
        <v>25</v>
      </c>
      <c r="S3230" s="192" t="n">
        <f aca="false">(K3230+O3230+Q3230)*24 /1130+(L3230+M3230+P3230+R3230)*12/1130+(N3230*30)/1130</f>
        <v>0.265486725663717</v>
      </c>
    </row>
    <row r="3231" customFormat="false" ht="15" hidden="false" customHeight="true" outlineLevel="0" collapsed="false">
      <c r="B3231" s="233" t="n">
        <f aca="false">B3230+D3231-C3231</f>
        <v>6525.09999999996</v>
      </c>
      <c r="D3231" s="146" t="n">
        <v>2270.1</v>
      </c>
      <c r="E3231" s="147" t="n">
        <v>53002430</v>
      </c>
      <c r="F3231" s="147" t="n">
        <f aca="false">IFERROR(VLOOKUP(H3231,$AD$1:$AE$301,2,0),"")</f>
        <v>1297</v>
      </c>
      <c r="G3231" s="147" t="str">
        <f aca="false">IFERROR(VLOOKUP(F3231,$AE$2:$AF$290,2, 0),"")</f>
        <v>تبوك</v>
      </c>
      <c r="H3231" s="212" t="s">
        <v>556</v>
      </c>
      <c r="I3231" s="246" t="n">
        <f aca="false">SUM(K3231:R3231)</f>
        <v>7</v>
      </c>
      <c r="J3231" s="182" t="n">
        <v>46307</v>
      </c>
      <c r="K3231" s="148" t="n">
        <v>4</v>
      </c>
      <c r="N3231" s="151" t="n">
        <v>3</v>
      </c>
      <c r="S3231" s="192" t="n">
        <f aca="false">(K3231+O3231+Q3231)*24 /1130+(L3231+M3231+P3231+R3231)*12/1130+(N3231*30)/1130</f>
        <v>0.164601769911504</v>
      </c>
    </row>
    <row r="3232" customFormat="false" ht="15" hidden="false" customHeight="true" outlineLevel="0" collapsed="false">
      <c r="B3232" s="233" t="n">
        <f aca="false">B3231+D3232-C3232</f>
        <v>5523.09999999996</v>
      </c>
      <c r="C3232" s="127" t="n">
        <f aca="false">113+165+135+190+114+160+25+100</f>
        <v>1002</v>
      </c>
      <c r="E3232" s="147" t="s">
        <v>675</v>
      </c>
      <c r="F3232" s="147" t="str">
        <f aca="false">IFERROR(VLOOKUP(H3232,$AD$1:$AE$301,2,0),"")</f>
        <v/>
      </c>
      <c r="G3232" s="147" t="str">
        <f aca="false">IFERROR(VLOOKUP(F3232,$AE$2:$AF$290,2, 0),"")</f>
        <v/>
      </c>
      <c r="H3232" s="212" t="s">
        <v>393</v>
      </c>
      <c r="I3232" s="246" t="n">
        <f aca="false">SUM(K3232:R3232)</f>
        <v>0</v>
      </c>
      <c r="J3232" s="182" t="n">
        <v>46307</v>
      </c>
      <c r="S3232" s="192" t="n">
        <f aca="false">(K3232+O3232+Q3232)*24 /1130+(L3232+M3232+P3232+R3232)*12/1130+(N3232*30)/1130</f>
        <v>0</v>
      </c>
    </row>
    <row r="3233" customFormat="false" ht="15" hidden="false" customHeight="true" outlineLevel="0" collapsed="false">
      <c r="B3233" s="233" t="n">
        <f aca="false">B3232+D3233-C3233</f>
        <v>4165.09999999996</v>
      </c>
      <c r="C3233" s="127" t="n">
        <f aca="false">140+135+138+530+285+130</f>
        <v>1358</v>
      </c>
      <c r="E3233" s="147" t="s">
        <v>675</v>
      </c>
      <c r="F3233" s="147" t="str">
        <f aca="false">IFERROR(VLOOKUP(H3233,$AD$1:$AE$301,2,0),"")</f>
        <v/>
      </c>
      <c r="G3233" s="147" t="str">
        <f aca="false">IFERROR(VLOOKUP(F3233,$AE$2:$AF$290,2, 0),"")</f>
        <v/>
      </c>
      <c r="H3233" s="212" t="s">
        <v>393</v>
      </c>
      <c r="I3233" s="246" t="n">
        <f aca="false">SUM(K3233:R3233)</f>
        <v>0</v>
      </c>
      <c r="J3233" s="182" t="n">
        <v>46307</v>
      </c>
      <c r="S3233" s="192" t="n">
        <f aca="false">(K3233+O3233+Q3233)*24 /1130+(L3233+M3233+P3233+R3233)*12/1130+(N3233*30)/1130</f>
        <v>0</v>
      </c>
    </row>
    <row r="3234" customFormat="false" ht="15" hidden="false" customHeight="true" outlineLevel="0" collapsed="false">
      <c r="B3234" s="233" t="n">
        <f aca="false">B3233+D3234-C3234</f>
        <v>5165.59999999996</v>
      </c>
      <c r="D3234" s="146" t="n">
        <f aca="false">1000.5</f>
        <v>1000.5</v>
      </c>
      <c r="E3234" s="147" t="n">
        <v>53002431</v>
      </c>
      <c r="F3234" s="147" t="n">
        <f aca="false">IFERROR(VLOOKUP(H3234,$AD$1:$AE$301,2,0),"")</f>
        <v>1033</v>
      </c>
      <c r="G3234" s="147" t="str">
        <f aca="false">IFERROR(VLOOKUP(F3234,$AE$2:$AF$290,2, 0),"")</f>
        <v>الوجه</v>
      </c>
      <c r="H3234" s="212" t="s">
        <v>117</v>
      </c>
      <c r="I3234" s="246" t="n">
        <f aca="false">SUM(K3234:R3234)</f>
        <v>3</v>
      </c>
      <c r="J3234" s="182" t="n">
        <v>46308</v>
      </c>
      <c r="N3234" s="151" t="n">
        <v>3</v>
      </c>
      <c r="S3234" s="192" t="n">
        <f aca="false">(K3234+O3234+Q3234)*24 /1130+(L3234+M3234+P3234+R3234)*12/1130+(N3234*30)/1130</f>
        <v>0.079646017699115</v>
      </c>
    </row>
    <row r="3235" customFormat="false" ht="15" hidden="false" customHeight="true" outlineLevel="0" collapsed="false">
      <c r="B3235" s="233" t="n">
        <f aca="false">B3234+D3235-C3235</f>
        <v>8026.79999999996</v>
      </c>
      <c r="D3235" s="146" t="n">
        <v>2861.2</v>
      </c>
      <c r="E3235" s="147" t="n">
        <v>53002432</v>
      </c>
      <c r="F3235" s="147" t="n">
        <f aca="false">IFERROR(VLOOKUP(H3235,$AD$1:$AE$301,2,0),"")</f>
        <v>1008047</v>
      </c>
      <c r="G3235" s="147" t="str">
        <f aca="false">IFERROR(VLOOKUP(F3235,$AE$2:$AF$290,2, 0),"")</f>
        <v>الوجه</v>
      </c>
      <c r="H3235" s="212" t="s">
        <v>422</v>
      </c>
      <c r="I3235" s="246" t="n">
        <f aca="false">SUM(K3235:R3235)</f>
        <v>10</v>
      </c>
      <c r="J3235" s="182" t="n">
        <v>46308</v>
      </c>
      <c r="K3235" s="148" t="n">
        <v>8</v>
      </c>
      <c r="Q3235" s="154" t="n">
        <v>2</v>
      </c>
      <c r="S3235" s="192" t="n">
        <f aca="false">(K3235+O3235+Q3235)*24 /1130+(L3235+M3235+P3235+R3235)*12/1130+(N3235*30)/1130</f>
        <v>0.212389380530973</v>
      </c>
    </row>
    <row r="3236" customFormat="false" ht="15" hidden="false" customHeight="true" outlineLevel="0" collapsed="false">
      <c r="B3236" s="233" t="n">
        <f aca="false">B3235+D3236-C3236</f>
        <v>10579.8</v>
      </c>
      <c r="D3236" s="146" t="n">
        <v>2553</v>
      </c>
      <c r="E3236" s="147" t="n">
        <v>53002433</v>
      </c>
      <c r="F3236" s="147" t="n">
        <f aca="false">IFERROR(VLOOKUP(H3236,$AD$1:$AE$301,2,0),"")</f>
        <v>1008045</v>
      </c>
      <c r="G3236" s="147" t="str">
        <f aca="false">IFERROR(VLOOKUP(F3236,$AE$2:$AF$290,2, 0),"")</f>
        <v>الوجه</v>
      </c>
      <c r="H3236" s="212" t="s">
        <v>107</v>
      </c>
      <c r="I3236" s="246" t="n">
        <f aca="false">SUM(K3236:R3236)</f>
        <v>15</v>
      </c>
      <c r="J3236" s="182" t="n">
        <v>46308</v>
      </c>
      <c r="L3236" s="149" t="n">
        <v>15</v>
      </c>
      <c r="S3236" s="192" t="n">
        <f aca="false">(K3236+O3236+Q3236)*24 /1130+(L3236+M3236+P3236+R3236)*12/1130+(N3236*30)/1130</f>
        <v>0.15929203539823</v>
      </c>
    </row>
    <row r="3237" customFormat="false" ht="15" hidden="false" customHeight="true" outlineLevel="0" collapsed="false">
      <c r="B3237" s="233" t="n">
        <f aca="false">B3236+D3237-C3237</f>
        <v>11849.4</v>
      </c>
      <c r="D3237" s="146" t="n">
        <v>1269.6</v>
      </c>
      <c r="E3237" s="147" t="n">
        <v>53002434</v>
      </c>
      <c r="F3237" s="147" t="n">
        <f aca="false">IFERROR(VLOOKUP(H3237,$AD$1:$AE$301,2,0),"")</f>
        <v>1008044</v>
      </c>
      <c r="G3237" s="147" t="str">
        <f aca="false">IFERROR(VLOOKUP(F3237,$AE$2:$AF$290,2, 0),"")</f>
        <v>الوجه</v>
      </c>
      <c r="H3237" s="212" t="s">
        <v>106</v>
      </c>
      <c r="I3237" s="246" t="n">
        <f aca="false">SUM(K3237:R3237)</f>
        <v>4</v>
      </c>
      <c r="J3237" s="182" t="n">
        <v>46308</v>
      </c>
      <c r="K3237" s="148" t="n">
        <v>4</v>
      </c>
      <c r="S3237" s="192" t="n">
        <f aca="false">(K3237+O3237+Q3237)*24 /1130+(L3237+M3237+P3237+R3237)*12/1130+(N3237*30)/1130</f>
        <v>0.0849557522123894</v>
      </c>
    </row>
    <row r="3238" customFormat="false" ht="15" hidden="false" customHeight="true" outlineLevel="0" collapsed="false">
      <c r="B3238" s="233" t="n">
        <f aca="false">B3237+D3238-C3238</f>
        <v>5170.39999999996</v>
      </c>
      <c r="C3238" s="127" t="n">
        <f aca="false">624+635+2667+200+2553</f>
        <v>6679</v>
      </c>
      <c r="E3238" s="147" t="s">
        <v>680</v>
      </c>
      <c r="F3238" s="147" t="str">
        <f aca="false">IFERROR(VLOOKUP(H3238,$AD$1:$AE$301,2,0),"")</f>
        <v/>
      </c>
      <c r="G3238" s="147" t="str">
        <f aca="false">IFERROR(VLOOKUP(F3238,$AE$2:$AF$290,2, 0),"")</f>
        <v/>
      </c>
      <c r="H3238" s="212" t="s">
        <v>393</v>
      </c>
      <c r="I3238" s="246" t="n">
        <f aca="false">SUM(K3238:R3238)</f>
        <v>0</v>
      </c>
      <c r="J3238" s="182" t="n">
        <v>46308</v>
      </c>
      <c r="S3238" s="192" t="n">
        <f aca="false">(K3238+O3238+Q3238)*24 /1130+(L3238+M3238+P3238+R3238)*12/1130+(N3238*30)/1130</f>
        <v>0</v>
      </c>
    </row>
    <row r="3239" customFormat="false" ht="15" hidden="false" customHeight="true" outlineLevel="0" collapsed="false">
      <c r="B3239" s="233" t="n">
        <f aca="false">B3238+D3239-C3239</f>
        <v>4370.39999999996</v>
      </c>
      <c r="C3239" s="127" t="n">
        <v>800</v>
      </c>
      <c r="E3239" s="147" t="s">
        <v>681</v>
      </c>
      <c r="F3239" s="147" t="str">
        <f aca="false">IFERROR(VLOOKUP(H3239,$AD$1:$AE$301,2,0),"")</f>
        <v/>
      </c>
      <c r="G3239" s="147" t="str">
        <f aca="false">IFERROR(VLOOKUP(F3239,$AE$2:$AF$290,2, 0),"")</f>
        <v/>
      </c>
      <c r="H3239" s="212" t="s">
        <v>393</v>
      </c>
      <c r="I3239" s="246" t="n">
        <f aca="false">SUM(K3239:R3239)</f>
        <v>0</v>
      </c>
      <c r="J3239" s="182" t="n">
        <v>46308</v>
      </c>
      <c r="S3239" s="192" t="n">
        <f aca="false">(K3239+O3239+Q3239)*24 /1130+(L3239+M3239+P3239+R3239)*12/1130+(N3239*30)/1130</f>
        <v>0</v>
      </c>
    </row>
    <row r="3240" customFormat="false" ht="15" hidden="false" customHeight="true" outlineLevel="0" collapsed="false">
      <c r="B3240" s="233" t="n">
        <f aca="false">B3239+D3240-C3240</f>
        <v>4887.89999999996</v>
      </c>
      <c r="D3240" s="146" t="n">
        <f aca="false">172.5*3</f>
        <v>517.5</v>
      </c>
      <c r="E3240" s="147" t="n">
        <v>53002435</v>
      </c>
      <c r="F3240" s="147" t="n">
        <f aca="false">IFERROR(VLOOKUP(H3240,$AD$1:$AE$301,2,0),"")</f>
        <v>1008260</v>
      </c>
      <c r="G3240" s="147" t="str">
        <f aca="false">IFERROR(VLOOKUP(F3240,$AE$2:$AF$290,2, 0),"")</f>
        <v>تبوك</v>
      </c>
      <c r="H3240" s="212" t="s">
        <v>184</v>
      </c>
      <c r="I3240" s="246" t="n">
        <f aca="false">SUM(K3240:R3240)</f>
        <v>0</v>
      </c>
      <c r="J3240" s="182" t="n">
        <v>46309</v>
      </c>
      <c r="S3240" s="192" t="n">
        <f aca="false">(K3240+O3240+Q3240)*24 /1130+(L3240+M3240+P3240+R3240)*12/1130+(N3240*30)/1130</f>
        <v>0</v>
      </c>
    </row>
    <row r="3241" customFormat="false" ht="15" hidden="false" customHeight="true" outlineLevel="0" collapsed="false">
      <c r="B3241" s="233" t="n">
        <f aca="false">B3240+D3241-C3241</f>
        <v>6157.49999999996</v>
      </c>
      <c r="D3241" s="146" t="n">
        <f aca="false">1269.6</f>
        <v>1269.6</v>
      </c>
      <c r="E3241" s="147" t="n">
        <v>53002436</v>
      </c>
      <c r="F3241" s="147" t="n">
        <f aca="false">IFERROR(VLOOKUP(H3241,$AD$1:$AE$301,2,0),"")</f>
        <v>1002906</v>
      </c>
      <c r="G3241" s="147" t="str">
        <f aca="false">IFERROR(VLOOKUP(F3241,$AE$2:$AF$290,2, 0),"")</f>
        <v>تبوك</v>
      </c>
      <c r="H3241" s="212" t="s">
        <v>138</v>
      </c>
      <c r="I3241" s="246" t="n">
        <f aca="false">SUM(K3241:R3241)</f>
        <v>0</v>
      </c>
      <c r="J3241" s="182" t="n">
        <v>46309</v>
      </c>
      <c r="S3241" s="192" t="n">
        <f aca="false">(K3241+O3241+Q3241)*24 /1130+(L3241+M3241+P3241+R3241)*12/1130+(N3241*30)/1130</f>
        <v>0</v>
      </c>
    </row>
    <row r="3242" customFormat="false" ht="15" hidden="false" customHeight="true" outlineLevel="0" collapsed="false">
      <c r="B3242" s="233" t="n">
        <f aca="false">B3241+D3242-C3242</f>
        <v>2687.49999999996</v>
      </c>
      <c r="C3242" s="127" t="n">
        <f aca="false">120+200+3000+22+114+14</f>
        <v>3470</v>
      </c>
      <c r="E3242" s="147" t="s">
        <v>680</v>
      </c>
      <c r="F3242" s="147" t="str">
        <f aca="false">IFERROR(VLOOKUP(H3242,$AD$1:$AE$301,2,0),"")</f>
        <v/>
      </c>
      <c r="G3242" s="147" t="str">
        <f aca="false">IFERROR(VLOOKUP(F3242,$AE$2:$AF$290,2, 0),"")</f>
        <v/>
      </c>
      <c r="H3242" s="212" t="s">
        <v>393</v>
      </c>
      <c r="I3242" s="246" t="n">
        <f aca="false">SUM(K3242:R3242)</f>
        <v>0</v>
      </c>
      <c r="J3242" s="182" t="n">
        <v>46309</v>
      </c>
      <c r="S3242" s="192" t="n">
        <f aca="false">(K3242+O3242+Q3242)*24 /1130+(L3242+M3242+P3242+R3242)*12/1130+(N3242*30)/1130</f>
        <v>0</v>
      </c>
    </row>
    <row r="3243" customFormat="false" ht="15" hidden="false" customHeight="true" outlineLevel="0" collapsed="false">
      <c r="B3243" s="233" t="n">
        <f aca="false">B3242+D3243-C3243</f>
        <v>3957.09999999996</v>
      </c>
      <c r="D3243" s="146" t="n">
        <v>1269.6</v>
      </c>
      <c r="E3243" s="147" t="n">
        <v>53002437</v>
      </c>
      <c r="F3243" s="147" t="n">
        <f aca="false">IFERROR(VLOOKUP(H3243,$AD$1:$AE$301,2,0),"")</f>
        <v>1002949</v>
      </c>
      <c r="G3243" s="147" t="str">
        <f aca="false">IFERROR(VLOOKUP(F3243,$AE$2:$AF$290,2, 0),"")</f>
        <v>تبوك</v>
      </c>
      <c r="H3243" s="212" t="s">
        <v>155</v>
      </c>
      <c r="I3243" s="246" t="n">
        <f aca="false">SUM(K3243:R3243)</f>
        <v>4</v>
      </c>
      <c r="J3243" s="182" t="n">
        <v>46310</v>
      </c>
      <c r="K3243" s="148" t="n">
        <v>4</v>
      </c>
      <c r="S3243" s="192" t="n">
        <f aca="false">(K3243+O3243+Q3243)*24 /1130+(L3243+M3243+P3243+R3243)*12/1130+(N3243*30)/1130</f>
        <v>0.0849557522123894</v>
      </c>
    </row>
    <row r="3244" customFormat="false" ht="15" hidden="false" customHeight="true" outlineLevel="0" collapsed="false">
      <c r="B3244" s="233" t="n">
        <f aca="false">B3243+D3244-C3244</f>
        <v>4808.09999999996</v>
      </c>
      <c r="D3244" s="146" t="n">
        <f aca="false">170.2*5</f>
        <v>851</v>
      </c>
      <c r="E3244" s="147" t="n">
        <v>53002438</v>
      </c>
      <c r="F3244" s="147" t="n">
        <f aca="false">IFERROR(VLOOKUP(H3244,$AD$1:$AE$301,2,0),"")</f>
        <v>1002947</v>
      </c>
      <c r="G3244" s="147" t="str">
        <f aca="false">IFERROR(VLOOKUP(F3244,$AE$2:$AF$290,2, 0),"")</f>
        <v>تبوك</v>
      </c>
      <c r="H3244" s="212" t="s">
        <v>174</v>
      </c>
      <c r="I3244" s="246" t="n">
        <f aca="false">SUM(K3244:R3244)</f>
        <v>5</v>
      </c>
      <c r="J3244" s="182" t="n">
        <v>46310</v>
      </c>
      <c r="L3244" s="149" t="n">
        <v>5</v>
      </c>
      <c r="S3244" s="192" t="n">
        <f aca="false">(K3244+O3244+Q3244)*24 /1130+(L3244+M3244+P3244+R3244)*12/1130+(N3244*30)/1130</f>
        <v>0.0530973451327434</v>
      </c>
    </row>
    <row r="3245" customFormat="false" ht="15" hidden="false" customHeight="true" outlineLevel="0" collapsed="false">
      <c r="B3245" s="233" t="n">
        <f aca="false">B3244+D3245-C3245</f>
        <v>1690.09999999996</v>
      </c>
      <c r="C3245" s="127" t="n">
        <f aca="false">400+366+1100+1252</f>
        <v>3118</v>
      </c>
      <c r="E3245" s="147" t="s">
        <v>680</v>
      </c>
      <c r="F3245" s="147" t="str">
        <f aca="false">IFERROR(VLOOKUP(H3245,$AD$1:$AE$301,2,0),"")</f>
        <v/>
      </c>
      <c r="G3245" s="147" t="str">
        <f aca="false">IFERROR(VLOOKUP(F3245,$AE$2:$AF$290,2, 0),"")</f>
        <v/>
      </c>
      <c r="H3245" s="212" t="s">
        <v>393</v>
      </c>
      <c r="I3245" s="246" t="n">
        <f aca="false">SUM(K3245:R3245)</f>
        <v>0</v>
      </c>
      <c r="J3245" s="182" t="n">
        <v>46313</v>
      </c>
      <c r="S3245" s="192" t="n">
        <f aca="false">(K3245+O3245+Q3245)*24 /1130+(L3245+M3245+P3245+R3245)*12/1130+(N3245*30)/1130</f>
        <v>0</v>
      </c>
    </row>
    <row r="3246" customFormat="false" ht="15" hidden="false" customHeight="true" outlineLevel="0" collapsed="false">
      <c r="B3246" s="233" t="n">
        <f aca="false">B3245+D3246-C3246</f>
        <v>2959.69999999996</v>
      </c>
      <c r="D3246" s="146" t="n">
        <v>1269.6</v>
      </c>
      <c r="E3246" s="147" t="n">
        <v>53002439</v>
      </c>
      <c r="F3246" s="147" t="n">
        <f aca="false">IFERROR(VLOOKUP(H3246,$AD$1:$AE$301,2,0),"")</f>
        <v>1002949</v>
      </c>
      <c r="G3246" s="147" t="str">
        <f aca="false">IFERROR(VLOOKUP(F3246,$AE$2:$AF$290,2, 0),"")</f>
        <v>تبوك</v>
      </c>
      <c r="H3246" s="212" t="s">
        <v>155</v>
      </c>
      <c r="I3246" s="246" t="n">
        <f aca="false">SUM(K3246:R3246)</f>
        <v>4</v>
      </c>
      <c r="J3246" s="182" t="n">
        <v>46313</v>
      </c>
      <c r="K3246" s="148" t="n">
        <v>4</v>
      </c>
      <c r="S3246" s="192" t="n">
        <f aca="false">(K3246+O3246+Q3246)*24 /1130+(L3246+M3246+P3246+R3246)*12/1130+(N3246*30)/1130</f>
        <v>0.0849557522123894</v>
      </c>
    </row>
    <row r="3247" customFormat="false" ht="15" hidden="false" customHeight="true" outlineLevel="0" collapsed="false">
      <c r="B3247" s="233" t="n">
        <f aca="false">B3246+D3247-C3247</f>
        <v>4229.29999999996</v>
      </c>
      <c r="D3247" s="146" t="n">
        <v>1269.6</v>
      </c>
      <c r="E3247" s="147" t="n">
        <v>53002440</v>
      </c>
      <c r="F3247" s="147" t="n">
        <f aca="false">IFERROR(VLOOKUP(H3247,$AD$1:$AE$301,2,0),"")</f>
        <v>1002949</v>
      </c>
      <c r="G3247" s="147" t="str">
        <f aca="false">IFERROR(VLOOKUP(F3247,$AE$2:$AF$290,2, 0),"")</f>
        <v>تبوك</v>
      </c>
      <c r="H3247" s="212" t="s">
        <v>155</v>
      </c>
      <c r="I3247" s="246" t="n">
        <f aca="false">SUM(K3247:R3247)</f>
        <v>4</v>
      </c>
      <c r="J3247" s="182" t="n">
        <v>46313</v>
      </c>
      <c r="K3247" s="148" t="n">
        <v>4</v>
      </c>
      <c r="S3247" s="192" t="n">
        <f aca="false">(K3247+O3247+Q3247)*24 /1130+(L3247+M3247+P3247+R3247)*12/1130+(N3247*30)/1130</f>
        <v>0.0849557522123894</v>
      </c>
    </row>
    <row r="3248" customFormat="false" ht="15" hidden="false" customHeight="true" outlineLevel="0" collapsed="false">
      <c r="B3248" s="233" t="n">
        <f aca="false">B3247+D3248-C3248</f>
        <v>839.09999999996</v>
      </c>
      <c r="C3248" s="127" t="n">
        <f aca="false">300+200+2539.2+281+70</f>
        <v>3390.2</v>
      </c>
      <c r="F3248" s="147" t="str">
        <f aca="false">IFERROR(VLOOKUP(H3248,$AD$1:$AE$301,2,0),"")</f>
        <v/>
      </c>
      <c r="G3248" s="147" t="str">
        <f aca="false">IFERROR(VLOOKUP(F3248,$AE$2:$AF$290,2, 0),"")</f>
        <v/>
      </c>
      <c r="H3248" s="212" t="s">
        <v>393</v>
      </c>
      <c r="I3248" s="246" t="n">
        <f aca="false">SUM(K3248:R3248)</f>
        <v>0</v>
      </c>
      <c r="J3248" s="182" t="n">
        <v>46313</v>
      </c>
      <c r="S3248" s="192" t="n">
        <f aca="false">(K3248+O3248+Q3248)*24 /1130+(L3248+M3248+P3248+R3248)*12/1130+(N3248*30)/1130</f>
        <v>0</v>
      </c>
    </row>
    <row r="3249" customFormat="false" ht="15" hidden="false" customHeight="true" outlineLevel="0" collapsed="false">
      <c r="B3249" s="233" t="n">
        <f aca="false">B3248+D3249-C3249</f>
        <v>2281.19999999996</v>
      </c>
      <c r="D3249" s="146" t="n">
        <f aca="false">1269.6+172.5</f>
        <v>1442.1</v>
      </c>
      <c r="E3249" s="147" t="n">
        <v>53002441</v>
      </c>
      <c r="F3249" s="147" t="n">
        <f aca="false">IFERROR(VLOOKUP(H3249,$AD$1:$AE$301,2,0),"")</f>
        <v>1002897</v>
      </c>
      <c r="G3249" s="147" t="str">
        <f aca="false">IFERROR(VLOOKUP(F3249,$AE$2:$AF$290,2, 0),"")</f>
        <v>تبوك</v>
      </c>
      <c r="H3249" s="212" t="s">
        <v>172</v>
      </c>
      <c r="I3249" s="246" t="n">
        <f aca="false">SUM(K3249:R3249)</f>
        <v>5</v>
      </c>
      <c r="J3249" s="182" t="n">
        <v>46314</v>
      </c>
      <c r="K3249" s="148" t="n">
        <v>4</v>
      </c>
      <c r="R3249" s="155" t="n">
        <v>1</v>
      </c>
      <c r="S3249" s="192" t="n">
        <f aca="false">(K3249+O3249+Q3249)*24 /1130+(L3249+M3249+P3249+R3249)*12/1130+(N3249*30)/1130</f>
        <v>0.0955752212389381</v>
      </c>
    </row>
    <row r="3250" customFormat="false" ht="15" hidden="false" customHeight="true" outlineLevel="0" collapsed="false">
      <c r="B3250" s="233" t="n">
        <f aca="false">B3249+D3250-C3250</f>
        <v>3776.19999999996</v>
      </c>
      <c r="D3250" s="146" t="n">
        <v>1495</v>
      </c>
      <c r="E3250" s="147" t="n">
        <v>53002442</v>
      </c>
      <c r="F3250" s="147" t="n">
        <f aca="false">IFERROR(VLOOKUP(H3250,$AD$1:$AE$301,2,0),"")</f>
        <v>1002875</v>
      </c>
      <c r="G3250" s="147" t="str">
        <f aca="false">IFERROR(VLOOKUP(F3250,$AE$2:$AF$290,2, 0),"")</f>
        <v>تبوك</v>
      </c>
      <c r="H3250" s="212" t="s">
        <v>161</v>
      </c>
      <c r="I3250" s="246" t="n">
        <f aca="false">SUM(K3250:R3250)</f>
        <v>5</v>
      </c>
      <c r="J3250" s="182" t="n">
        <v>46314</v>
      </c>
      <c r="R3250" s="155" t="n">
        <v>5</v>
      </c>
      <c r="S3250" s="192" t="n">
        <f aca="false">(K3250+O3250+Q3250)*24 /1130+(L3250+M3250+P3250+R3250)*12/1130+(N3250*30)/1130</f>
        <v>0.0530973451327434</v>
      </c>
    </row>
    <row r="3251" customFormat="false" ht="15" hidden="false" customHeight="true" outlineLevel="0" collapsed="false">
      <c r="B3251" s="233" t="n">
        <f aca="false">B3250+D3251-C3251</f>
        <v>2576.19999999996</v>
      </c>
      <c r="C3251" s="127" t="n">
        <f aca="false">1200</f>
        <v>1200</v>
      </c>
      <c r="E3251" s="147" t="s">
        <v>680</v>
      </c>
      <c r="F3251" s="147" t="str">
        <f aca="false">IFERROR(VLOOKUP(H3251,$AD$1:$AE$301,2,0),"")</f>
        <v/>
      </c>
      <c r="G3251" s="147" t="str">
        <f aca="false">IFERROR(VLOOKUP(F3251,$AE$2:$AF$290,2, 0),"")</f>
        <v/>
      </c>
      <c r="H3251" s="212" t="s">
        <v>393</v>
      </c>
      <c r="I3251" s="246" t="n">
        <f aca="false">SUM(K3251:R3251)</f>
        <v>0</v>
      </c>
      <c r="J3251" s="182" t="n">
        <v>46314</v>
      </c>
      <c r="S3251" s="192" t="n">
        <f aca="false">(K3251+O3251+Q3251)*24 /1130+(L3251+M3251+P3251+R3251)*12/1130+(N3251*30)/1130</f>
        <v>0</v>
      </c>
    </row>
    <row r="3252" customFormat="false" ht="15" hidden="false" customHeight="true" outlineLevel="0" collapsed="false">
      <c r="B3252" s="233" t="n">
        <f aca="false">B3251+D3252-C3252</f>
        <v>2176.19999999996</v>
      </c>
      <c r="C3252" s="127" t="n">
        <f aca="false">400</f>
        <v>400</v>
      </c>
      <c r="E3252" s="147" t="s">
        <v>681</v>
      </c>
      <c r="F3252" s="147" t="str">
        <f aca="false">IFERROR(VLOOKUP(H3252,$AD$1:$AE$301,2,0),"")</f>
        <v/>
      </c>
      <c r="G3252" s="147" t="str">
        <f aca="false">IFERROR(VLOOKUP(F3252,$AE$2:$AF$290,2, 0),"")</f>
        <v/>
      </c>
      <c r="H3252" s="212" t="s">
        <v>393</v>
      </c>
      <c r="I3252" s="246" t="n">
        <f aca="false">SUM(K3252:R3252)</f>
        <v>0</v>
      </c>
      <c r="J3252" s="182" t="n">
        <v>46314</v>
      </c>
      <c r="S3252" s="192" t="n">
        <f aca="false">(K3252+O3252+Q3252)*24 /1130+(L3252+M3252+P3252+R3252)*12/1130+(N3252*30)/1130</f>
        <v>0</v>
      </c>
    </row>
    <row r="3253" customFormat="false" ht="15" hidden="false" customHeight="true" outlineLevel="0" collapsed="false">
      <c r="B3253" s="233" t="n">
        <f aca="false">B3252+D3253-C3253</f>
        <v>3411.29999999996</v>
      </c>
      <c r="D3253" s="146" t="n">
        <v>1235.1</v>
      </c>
      <c r="E3253" s="147" t="n">
        <v>53002443</v>
      </c>
      <c r="F3253" s="147" t="n">
        <f aca="false">IFERROR(VLOOKUP(H3253,$AD$1:$AE$301,2,0),"")</f>
        <v>1224</v>
      </c>
      <c r="G3253" s="147" t="str">
        <f aca="false">IFERROR(VLOOKUP(F3253,$AE$2:$AF$290,2, 0),"")</f>
        <v>تبوك</v>
      </c>
      <c r="H3253" s="212" t="s">
        <v>203</v>
      </c>
      <c r="I3253" s="246" t="n">
        <f aca="false">SUM(K3253:R3253)</f>
        <v>4</v>
      </c>
      <c r="J3253" s="182" t="n">
        <v>46315</v>
      </c>
      <c r="K3253" s="148" t="n">
        <v>4</v>
      </c>
      <c r="S3253" s="192" t="n">
        <f aca="false">(K3253+O3253+Q3253)*24 /1130+(L3253+M3253+P3253+R3253)*12/1130+(N3253*30)/1130</f>
        <v>0.0849557522123894</v>
      </c>
    </row>
    <row r="3254" customFormat="false" ht="15" hidden="false" customHeight="true" outlineLevel="0" collapsed="false">
      <c r="B3254" s="233" t="n">
        <f aca="false">B3253+D3254-C3254</f>
        <v>3733.29999999996</v>
      </c>
      <c r="D3254" s="146" t="n">
        <v>322</v>
      </c>
      <c r="E3254" s="147" t="n">
        <v>53002444</v>
      </c>
      <c r="F3254" s="147" t="n">
        <f aca="false">IFERROR(VLOOKUP(H3254,$AD$1:$AE$301,2,0),"")</f>
        <v>1293</v>
      </c>
      <c r="G3254" s="147" t="str">
        <f aca="false">IFERROR(VLOOKUP(F3254,$AE$2:$AF$290,2, 0),"")</f>
        <v>تبوك</v>
      </c>
      <c r="H3254" s="212" t="s">
        <v>560</v>
      </c>
      <c r="I3254" s="246" t="n">
        <f aca="false">SUM(K3254:R3254)</f>
        <v>2</v>
      </c>
      <c r="J3254" s="182" t="n">
        <v>46315</v>
      </c>
      <c r="Q3254" s="154" t="n">
        <v>2</v>
      </c>
      <c r="S3254" s="192" t="n">
        <f aca="false">(K3254+O3254+Q3254)*24 /1130+(L3254+M3254+P3254+R3254)*12/1130+(N3254*30)/1130</f>
        <v>0.0424778761061947</v>
      </c>
    </row>
    <row r="3255" customFormat="false" ht="15" hidden="false" customHeight="true" outlineLevel="0" collapsed="false">
      <c r="B3255" s="233" t="n">
        <f aca="false">B3254+D3255-C3255</f>
        <v>5267.39999999996</v>
      </c>
      <c r="D3255" s="146" t="n">
        <v>1534.1</v>
      </c>
      <c r="E3255" s="147" t="n">
        <v>53002445</v>
      </c>
      <c r="F3255" s="147" t="n">
        <f aca="false">IFERROR(VLOOKUP(H3255,$AD$1:$AE$301,2,0),"")</f>
        <v>721</v>
      </c>
      <c r="G3255" s="147" t="str">
        <f aca="false">IFERROR(VLOOKUP(F3255,$AE$2:$AF$290,2, 0),"")</f>
        <v>تبوك</v>
      </c>
      <c r="H3255" s="212" t="s">
        <v>183</v>
      </c>
      <c r="I3255" s="246" t="n">
        <f aca="false">SUM(K3255:R3255)</f>
        <v>5</v>
      </c>
      <c r="J3255" s="182" t="n">
        <v>46315</v>
      </c>
      <c r="K3255" s="148" t="n">
        <v>4</v>
      </c>
      <c r="R3255" s="155" t="n">
        <v>1</v>
      </c>
      <c r="S3255" s="192" t="n">
        <f aca="false">(K3255+O3255+Q3255)*24 /1130+(L3255+M3255+P3255+R3255)*12/1130+(N3255*30)/1130</f>
        <v>0.0955752212389381</v>
      </c>
    </row>
    <row r="3256" customFormat="false" ht="15" hidden="false" customHeight="true" outlineLevel="0" collapsed="false">
      <c r="B3256" s="233" t="n">
        <f aca="false">B3255+D3256-C3256</f>
        <v>6502.49999999996</v>
      </c>
      <c r="D3256" s="146" t="n">
        <v>1235.1</v>
      </c>
      <c r="E3256" s="147" t="n">
        <v>53002446</v>
      </c>
      <c r="F3256" s="147" t="n">
        <f aca="false">IFERROR(VLOOKUP(H3256,$AD$1:$AE$301,2,0),"")</f>
        <v>1002883</v>
      </c>
      <c r="G3256" s="147" t="str">
        <f aca="false">IFERROR(VLOOKUP(F3256,$AE$2:$AF$290,2, 0),"")</f>
        <v>تبوك</v>
      </c>
      <c r="H3256" s="212" t="s">
        <v>198</v>
      </c>
      <c r="I3256" s="246" t="n">
        <f aca="false">SUM(K3256:R3256)</f>
        <v>4</v>
      </c>
      <c r="J3256" s="182" t="n">
        <v>46316</v>
      </c>
      <c r="K3256" s="148" t="n">
        <v>4</v>
      </c>
      <c r="S3256" s="192" t="n">
        <f aca="false">(K3256+O3256+Q3256)*24 /1130+(L3256+M3256+P3256+R3256)*12/1130+(N3256*30)/1130</f>
        <v>0.0849557522123894</v>
      </c>
    </row>
    <row r="3257" customFormat="false" ht="15" hidden="false" customHeight="true" outlineLevel="0" collapsed="false">
      <c r="B3257" s="233" t="n">
        <f aca="false">B3256+D3257-C3257</f>
        <v>7353.49999999996</v>
      </c>
      <c r="D3257" s="146" t="n">
        <v>851</v>
      </c>
      <c r="E3257" s="147" t="n">
        <v>53002447</v>
      </c>
      <c r="F3257" s="147" t="n">
        <f aca="false">IFERROR(VLOOKUP(H3257,$AD$1:$AE$301,2,0),"")</f>
        <v>1002938</v>
      </c>
      <c r="G3257" s="147" t="str">
        <f aca="false">IFERROR(VLOOKUP(F3257,$AE$2:$AF$290,2, 0),"")</f>
        <v>تبوك</v>
      </c>
      <c r="H3257" s="212" t="s">
        <v>175</v>
      </c>
      <c r="I3257" s="246" t="n">
        <f aca="false">SUM(K3257:R3257)</f>
        <v>5</v>
      </c>
      <c r="J3257" s="182" t="n">
        <v>46316</v>
      </c>
      <c r="L3257" s="149" t="n">
        <v>5</v>
      </c>
      <c r="S3257" s="192" t="n">
        <f aca="false">(K3257+O3257+Q3257)*24 /1130+(L3257+M3257+P3257+R3257)*12/1130+(N3257*30)/1130</f>
        <v>0.0530973451327434</v>
      </c>
    </row>
    <row r="3258" customFormat="false" ht="15" hidden="false" customHeight="true" outlineLevel="0" collapsed="false">
      <c r="B3258" s="233" t="n">
        <f aca="false">B3257+D3258-C3258</f>
        <v>5853.49999999996</v>
      </c>
      <c r="C3258" s="127" t="n">
        <f aca="false">1000+500</f>
        <v>1500</v>
      </c>
      <c r="E3258" s="147" t="s">
        <v>680</v>
      </c>
      <c r="F3258" s="147" t="str">
        <f aca="false">IFERROR(VLOOKUP(H3258,$AD$1:$AE$301,2,0),"")</f>
        <v/>
      </c>
      <c r="G3258" s="147" t="str">
        <f aca="false">IFERROR(VLOOKUP(F3258,$AE$2:$AF$290,2, 0),"")</f>
        <v/>
      </c>
      <c r="H3258" s="212" t="s">
        <v>393</v>
      </c>
      <c r="I3258" s="246" t="n">
        <f aca="false">SUM(K3258:R3258)</f>
        <v>0</v>
      </c>
      <c r="J3258" s="182" t="n">
        <v>46316</v>
      </c>
      <c r="S3258" s="192" t="n">
        <f aca="false">(K3258+O3258+Q3258)*24 /1130+(L3258+M3258+P3258+R3258)*12/1130+(N3258*30)/1130</f>
        <v>0</v>
      </c>
    </row>
    <row r="3259" customFormat="false" ht="15" hidden="false" customHeight="true" outlineLevel="0" collapsed="false">
      <c r="B3259" s="233" t="n">
        <f aca="false">B3258+D3259-C3259</f>
        <v>5233.49999999996</v>
      </c>
      <c r="C3259" s="127" t="n">
        <f aca="false">500+120</f>
        <v>620</v>
      </c>
      <c r="E3259" s="147" t="s">
        <v>680</v>
      </c>
      <c r="F3259" s="147" t="str">
        <f aca="false">IFERROR(VLOOKUP(H3259,$AD$1:$AE$301,2,0),"")</f>
        <v/>
      </c>
      <c r="G3259" s="147" t="str">
        <f aca="false">IFERROR(VLOOKUP(F3259,$AE$2:$AF$290,2, 0),"")</f>
        <v/>
      </c>
      <c r="H3259" s="212" t="s">
        <v>393</v>
      </c>
      <c r="I3259" s="246" t="n">
        <f aca="false">SUM(K3259:R3259)</f>
        <v>0</v>
      </c>
      <c r="J3259" s="182" t="n">
        <v>46316</v>
      </c>
      <c r="S3259" s="192" t="n">
        <f aca="false">(K3259+O3259+Q3259)*24 /1130+(L3259+M3259+P3259+R3259)*12/1130+(N3259*30)/1130</f>
        <v>0</v>
      </c>
    </row>
    <row r="3260" customFormat="false" ht="15" hidden="false" customHeight="true" outlineLevel="0" collapsed="false">
      <c r="B3260" s="233" t="n">
        <f aca="false">B3259+D3260-C3260</f>
        <v>6468.59999999996</v>
      </c>
      <c r="D3260" s="146" t="n">
        <v>1235.1</v>
      </c>
      <c r="E3260" s="147" t="n">
        <v>53002450</v>
      </c>
      <c r="F3260" s="147" t="n">
        <f aca="false">IFERROR(VLOOKUP(H3260,$AD$1:$AE$301,2,0),"")</f>
        <v>1008260</v>
      </c>
      <c r="G3260" s="147" t="str">
        <f aca="false">IFERROR(VLOOKUP(F3260,$AE$2:$AF$290,2, 0),"")</f>
        <v>تبوك</v>
      </c>
      <c r="H3260" s="212" t="s">
        <v>184</v>
      </c>
      <c r="I3260" s="246" t="n">
        <f aca="false">SUM(K3260:R3260)</f>
        <v>4</v>
      </c>
      <c r="J3260" s="182" t="n">
        <v>46317</v>
      </c>
      <c r="K3260" s="148" t="n">
        <v>4</v>
      </c>
      <c r="S3260" s="192" t="n">
        <f aca="false">(K3260+O3260+Q3260)*24 /1130+(L3260+M3260+P3260+R3260)*12/1130+(N3260*30)/1130</f>
        <v>0.0849557522123894</v>
      </c>
    </row>
    <row r="3261" customFormat="false" ht="15" hidden="false" customHeight="true" outlineLevel="0" collapsed="false">
      <c r="B3261" s="233" t="n">
        <f aca="false">B3260+D3261-C3261</f>
        <v>7703.69999999996</v>
      </c>
      <c r="D3261" s="146" t="n">
        <v>1235.1</v>
      </c>
      <c r="E3261" s="147" t="n">
        <v>53002449</v>
      </c>
      <c r="F3261" s="147" t="n">
        <f aca="false">IFERROR(VLOOKUP(H3261,$AD$1:$AE$301,2,0),"")</f>
        <v>1008276</v>
      </c>
      <c r="G3261" s="147" t="str">
        <f aca="false">IFERROR(VLOOKUP(F3261,$AE$2:$AF$290,2, 0),"")</f>
        <v>تبوك</v>
      </c>
      <c r="H3261" s="212" t="s">
        <v>145</v>
      </c>
      <c r="I3261" s="246" t="n">
        <f aca="false">SUM(K3261:R3261)</f>
        <v>4</v>
      </c>
      <c r="J3261" s="182" t="n">
        <v>46317</v>
      </c>
      <c r="K3261" s="148" t="n">
        <v>4</v>
      </c>
      <c r="S3261" s="192" t="n">
        <f aca="false">(K3261+O3261+Q3261)*24 /1130+(L3261+M3261+P3261+R3261)*12/1130+(N3261*30)/1130</f>
        <v>0.0849557522123894</v>
      </c>
    </row>
    <row r="3262" customFormat="false" ht="15" hidden="false" customHeight="true" outlineLevel="0" collapsed="false">
      <c r="B3262" s="233" t="n">
        <f aca="false">B3261+D3262-C3262</f>
        <v>9168.79999999996</v>
      </c>
      <c r="D3262" s="146" t="n">
        <v>1465.1</v>
      </c>
      <c r="E3262" s="147" t="n">
        <v>53002450</v>
      </c>
      <c r="F3262" s="147" t="n">
        <f aca="false">IFERROR(VLOOKUP(H3262,$AD$1:$AE$301,2,0),"")</f>
        <v>1002891</v>
      </c>
      <c r="G3262" s="147" t="str">
        <f aca="false">IFERROR(VLOOKUP(F3262,$AE$2:$AF$290,2, 0),"")</f>
        <v>تبوك</v>
      </c>
      <c r="H3262" s="212" t="s">
        <v>201</v>
      </c>
      <c r="I3262" s="246" t="n">
        <f aca="false">SUM(K3262:R3262)</f>
        <v>6</v>
      </c>
      <c r="J3262" s="182" t="n">
        <v>46317</v>
      </c>
      <c r="K3262" s="148" t="n">
        <v>5</v>
      </c>
      <c r="R3262" s="155" t="n">
        <v>1</v>
      </c>
      <c r="S3262" s="192" t="n">
        <f aca="false">(K3262+O3262+Q3262)*24 /1130+(L3262+M3262+P3262+R3262)*12/1130+(N3262*30)/1130</f>
        <v>0.116814159292035</v>
      </c>
    </row>
    <row r="3263" customFormat="false" ht="15" hidden="false" customHeight="true" outlineLevel="0" collapsed="false">
      <c r="B3263" s="233" t="n">
        <f aca="false">B3262+D3263-C3263</f>
        <v>5118.79999999996</v>
      </c>
      <c r="C3263" s="127" t="n">
        <f aca="false">3550+500</f>
        <v>4050</v>
      </c>
      <c r="E3263" s="147" t="s">
        <v>675</v>
      </c>
      <c r="F3263" s="147" t="str">
        <f aca="false">IFERROR(VLOOKUP(H3263,$AD$1:$AE$301,2,0),"")</f>
        <v/>
      </c>
      <c r="G3263" s="147" t="str">
        <f aca="false">IFERROR(VLOOKUP(F3263,$AE$2:$AF$290,2, 0),"")</f>
        <v/>
      </c>
      <c r="H3263" s="212" t="s">
        <v>393</v>
      </c>
      <c r="I3263" s="246" t="n">
        <f aca="false">SUM(K3263:R3263)</f>
        <v>0</v>
      </c>
      <c r="J3263" s="182" t="n">
        <v>46316</v>
      </c>
      <c r="S3263" s="192" t="n">
        <f aca="false">(K3263+O3263+Q3263)*24 /1130+(L3263+M3263+P3263+R3263)*12/1130+(N3263*30)/1130</f>
        <v>0</v>
      </c>
    </row>
    <row r="3264" customFormat="false" ht="15" hidden="false" customHeight="true" outlineLevel="0" collapsed="false">
      <c r="B3264" s="233" t="n">
        <f aca="false">B3263+D3264-C3264</f>
        <v>4175.79999999996</v>
      </c>
      <c r="C3264" s="127" t="n">
        <f aca="false">285+140+50+90+120+115+18+125</f>
        <v>943</v>
      </c>
      <c r="E3264" s="147" t="s">
        <v>675</v>
      </c>
      <c r="F3264" s="147" t="str">
        <f aca="false">IFERROR(VLOOKUP(H3264,$AD$1:$AE$301,2,0),"")</f>
        <v/>
      </c>
      <c r="G3264" s="147" t="str">
        <f aca="false">IFERROR(VLOOKUP(F3264,$AE$2:$AF$290,2, 0),"")</f>
        <v/>
      </c>
      <c r="H3264" s="212" t="s">
        <v>393</v>
      </c>
      <c r="I3264" s="246" t="n">
        <f aca="false">SUM(K3264:R3264)</f>
        <v>0</v>
      </c>
      <c r="J3264" s="182" t="n">
        <v>46316</v>
      </c>
      <c r="S3264" s="192" t="n">
        <f aca="false">(K3264+O3264+Q3264)*24 /1130+(L3264+M3264+P3264+R3264)*12/1130+(N3264*30)/1130</f>
        <v>0</v>
      </c>
    </row>
    <row r="3265" customFormat="false" ht="15" hidden="false" customHeight="true" outlineLevel="0" collapsed="false">
      <c r="B3265" s="233" t="n">
        <f aca="false">B3264+D3265-C3265</f>
        <v>5410.89999999996</v>
      </c>
      <c r="D3265" s="146" t="n">
        <v>1235.1</v>
      </c>
      <c r="E3265" s="147" t="n">
        <v>53002451</v>
      </c>
      <c r="F3265" s="147" t="n">
        <f aca="false">IFERROR(VLOOKUP(H3265,$AD$1:$AE$301,2,0),"")</f>
        <v>1002914</v>
      </c>
      <c r="G3265" s="147" t="str">
        <f aca="false">IFERROR(VLOOKUP(F3265,$AE$2:$AF$290,2, 0),"")</f>
        <v>تبوك</v>
      </c>
      <c r="H3265" s="212" t="s">
        <v>162</v>
      </c>
      <c r="I3265" s="246" t="n">
        <f aca="false">SUM(K3265:R3265)</f>
        <v>4</v>
      </c>
      <c r="J3265" s="182" t="n">
        <v>46321</v>
      </c>
      <c r="K3265" s="148" t="n">
        <v>4</v>
      </c>
      <c r="S3265" s="192" t="n">
        <f aca="false">(K3265+O3265+Q3265)*24 /1130+(L3265+M3265+P3265+R3265)*12/1130+(N3265*30)/1130</f>
        <v>0.0849557522123894</v>
      </c>
    </row>
    <row r="3266" customFormat="false" ht="15" hidden="false" customHeight="true" outlineLevel="0" collapsed="false">
      <c r="B3266" s="233" t="n">
        <f aca="false">B3265+D3266-C3266</f>
        <v>6020.39999999996</v>
      </c>
      <c r="D3266" s="146" t="n">
        <v>609.5</v>
      </c>
      <c r="E3266" s="147" t="n">
        <v>53002452</v>
      </c>
      <c r="F3266" s="147" t="n">
        <f aca="false">IFERROR(VLOOKUP(H3266,$AD$1:$AE$301,2,0),"")</f>
        <v>1002949</v>
      </c>
      <c r="G3266" s="147" t="str">
        <f aca="false">IFERROR(VLOOKUP(F3266,$AE$2:$AF$290,2, 0),"")</f>
        <v>تبوك</v>
      </c>
      <c r="H3266" s="212" t="s">
        <v>169</v>
      </c>
      <c r="I3266" s="246" t="n">
        <f aca="false">SUM(K3266:R3266)</f>
        <v>2</v>
      </c>
      <c r="J3266" s="182" t="n">
        <v>46321</v>
      </c>
      <c r="O3266" s="152" t="n">
        <v>2</v>
      </c>
      <c r="S3266" s="192" t="n">
        <f aca="false">(K3266+O3266+Q3266)*24 /1130+(L3266+M3266+P3266+R3266)*12/1130+(N3266*30)/1130</f>
        <v>0.0424778761061947</v>
      </c>
    </row>
    <row r="3267" customFormat="false" ht="15" hidden="false" customHeight="true" outlineLevel="0" collapsed="false">
      <c r="B3267" s="233" t="n">
        <f aca="false">B3266+D3267-C3267</f>
        <v>7255.49999999996</v>
      </c>
      <c r="D3267" s="146" t="n">
        <v>1235.1</v>
      </c>
      <c r="E3267" s="147" t="n">
        <v>53002453</v>
      </c>
      <c r="F3267" s="147" t="n">
        <f aca="false">IFERROR(VLOOKUP(H3267,$AD$1:$AE$301,2,0),"")</f>
        <v>1350</v>
      </c>
      <c r="G3267" s="147" t="str">
        <f aca="false">IFERROR(VLOOKUP(F3267,$AE$2:$AF$290,2, 0),"")</f>
        <v>تبوك</v>
      </c>
      <c r="H3267" s="212" t="s">
        <v>186</v>
      </c>
      <c r="I3267" s="246" t="n">
        <f aca="false">SUM(K3267:R3267)</f>
        <v>4</v>
      </c>
      <c r="J3267" s="182" t="n">
        <v>46321</v>
      </c>
      <c r="K3267" s="148" t="n">
        <v>4</v>
      </c>
      <c r="S3267" s="192" t="n">
        <f aca="false">(K3267+O3267+Q3267)*24 /1130+(L3267+M3267+P3267+R3267)*12/1130+(N3267*30)/1130</f>
        <v>0.0849557522123894</v>
      </c>
    </row>
    <row r="3268" customFormat="false" ht="15" hidden="false" customHeight="true" outlineLevel="0" collapsed="false">
      <c r="B3268" s="233" t="n">
        <f aca="false">B3267+D3268-C3268</f>
        <v>5755.49999999996</v>
      </c>
      <c r="C3268" s="127" t="n">
        <v>1500</v>
      </c>
      <c r="E3268" s="147" t="s">
        <v>681</v>
      </c>
      <c r="F3268" s="147" t="str">
        <f aca="false">IFERROR(VLOOKUP(H3268,$AD$1:$AE$301,2,0),"")</f>
        <v/>
      </c>
      <c r="G3268" s="147" t="str">
        <f aca="false">IFERROR(VLOOKUP(F3268,$AE$2:$AF$290,2, 0),"")</f>
        <v/>
      </c>
      <c r="H3268" s="212" t="s">
        <v>393</v>
      </c>
      <c r="I3268" s="246" t="n">
        <f aca="false">SUM(K3268:R3268)</f>
        <v>0</v>
      </c>
      <c r="J3268" s="182" t="n">
        <v>46321</v>
      </c>
      <c r="S3268" s="192" t="n">
        <f aca="false">(K3268+O3268+Q3268)*24 /1130+(L3268+M3268+P3268+R3268)*12/1130+(N3268*30)/1130</f>
        <v>0</v>
      </c>
    </row>
    <row r="3269" customFormat="false" ht="15" hidden="false" customHeight="true" outlineLevel="0" collapsed="false">
      <c r="B3269" s="233" t="n">
        <f aca="false">B3268+D3269-C3269</f>
        <v>5095.49999999996</v>
      </c>
      <c r="C3269" s="127" t="n">
        <v>660</v>
      </c>
      <c r="E3269" s="147" t="s">
        <v>680</v>
      </c>
      <c r="F3269" s="147" t="str">
        <f aca="false">IFERROR(VLOOKUP(H3269,$AD$1:$AE$301,2,0),"")</f>
        <v/>
      </c>
      <c r="G3269" s="147" t="str">
        <f aca="false">IFERROR(VLOOKUP(F3269,$AE$2:$AF$290,2, 0),"")</f>
        <v/>
      </c>
      <c r="H3269" s="212" t="s">
        <v>393</v>
      </c>
      <c r="I3269" s="246" t="n">
        <f aca="false">SUM(K3269:R3269)</f>
        <v>0</v>
      </c>
      <c r="J3269" s="182" t="n">
        <v>46321</v>
      </c>
      <c r="S3269" s="192" t="n">
        <f aca="false">(K3269+O3269+Q3269)*24 /1130+(L3269+M3269+P3269+R3269)*12/1130+(N3269*30)/1130</f>
        <v>0</v>
      </c>
    </row>
    <row r="3270" customFormat="false" ht="15" hidden="false" customHeight="true" outlineLevel="0" collapsed="false">
      <c r="B3270" s="233" t="n">
        <f aca="false">B3269+D3270-C3270</f>
        <v>5095.49999999996</v>
      </c>
      <c r="F3270" s="147" t="str">
        <f aca="false">IFERROR(VLOOKUP(H3270,$AD$1:$AE$301,2,0),"")</f>
        <v/>
      </c>
      <c r="G3270" s="147" t="str">
        <f aca="false">IFERROR(VLOOKUP(F3270,$AE$2:$AF$290,2, 0),"")</f>
        <v/>
      </c>
      <c r="I3270" s="246" t="n">
        <f aca="false">SUM(K3270:R3270)</f>
        <v>0</v>
      </c>
      <c r="J3270" s="182" t="n">
        <v>46321</v>
      </c>
      <c r="S3270" s="192" t="n">
        <f aca="false">(K3270+O3270+Q3270)*24 /1130+(L3270+M3270+P3270+R3270)*12/1130+(N3270*30)/1130</f>
        <v>0</v>
      </c>
    </row>
    <row r="3271" customFormat="false" ht="15" hidden="false" customHeight="true" outlineLevel="0" collapsed="false">
      <c r="B3271" s="233" t="n">
        <f aca="false">B3270+D3271-C3271</f>
        <v>5095.49999999996</v>
      </c>
      <c r="F3271" s="147" t="str">
        <f aca="false">IFERROR(VLOOKUP(H3271,$AD$1:$AE$301,2,0),"")</f>
        <v/>
      </c>
      <c r="G3271" s="147" t="str">
        <f aca="false">IFERROR(VLOOKUP(F3271,$AE$2:$AF$290,2, 0),"")</f>
        <v/>
      </c>
      <c r="I3271" s="246" t="n">
        <f aca="false">SUM(K3271:R3271)</f>
        <v>0</v>
      </c>
      <c r="J3271" s="182" t="n">
        <v>46321</v>
      </c>
      <c r="S3271" s="192" t="n">
        <f aca="false">(K3271+O3271+Q3271)*24 /1130+(L3271+M3271+P3271+R3271)*12/1130+(N3271*30)/1130</f>
        <v>0</v>
      </c>
    </row>
    <row r="3272" customFormat="false" ht="15" hidden="false" customHeight="true" outlineLevel="0" collapsed="false">
      <c r="B3272" s="233" t="n">
        <f aca="false">B3271+D3272-C3272</f>
        <v>5095.49999999996</v>
      </c>
      <c r="F3272" s="147" t="str">
        <f aca="false">IFERROR(VLOOKUP(H3272,$AD$1:$AE$301,2,0),"")</f>
        <v/>
      </c>
      <c r="G3272" s="147" t="str">
        <f aca="false">IFERROR(VLOOKUP(F3272,$AE$2:$AF$290,2, 0),"")</f>
        <v/>
      </c>
      <c r="I3272" s="246" t="n">
        <f aca="false">SUM(K3272:R3272)</f>
        <v>0</v>
      </c>
      <c r="J3272" s="182" t="n">
        <v>46321</v>
      </c>
      <c r="S3272" s="192" t="n">
        <f aca="false">(K3272+O3272+Q3272)*24 /1130+(L3272+M3272+P3272+R3272)*12/1130+(N3272*30)/1130</f>
        <v>0</v>
      </c>
    </row>
    <row r="3273" customFormat="false" ht="15" hidden="false" customHeight="true" outlineLevel="0" collapsed="false">
      <c r="B3273" s="233" t="n">
        <f aca="false">B3272+D3273-C3273</f>
        <v>5095.49999999996</v>
      </c>
      <c r="F3273" s="147" t="str">
        <f aca="false">IFERROR(VLOOKUP(H3273,$AD$1:$AE$301,2,0),"")</f>
        <v/>
      </c>
      <c r="G3273" s="147" t="str">
        <f aca="false">IFERROR(VLOOKUP(F3273,$AE$2:$AF$290,2, 0),"")</f>
        <v/>
      </c>
      <c r="I3273" s="246" t="n">
        <f aca="false">SUM(K3273:R3273)</f>
        <v>0</v>
      </c>
      <c r="J3273" s="182" t="n">
        <v>46321</v>
      </c>
      <c r="S3273" s="192" t="n">
        <f aca="false">(K3273+O3273+Q3273)*24 /1130+(L3273+M3273+P3273+R3273)*12/1130+(N3273*30)/1130</f>
        <v>0</v>
      </c>
    </row>
    <row r="3274" customFormat="false" ht="15" hidden="false" customHeight="true" outlineLevel="0" collapsed="false">
      <c r="B3274" s="233" t="n">
        <f aca="false">B3273+D3274-C3274</f>
        <v>5095.49999999996</v>
      </c>
      <c r="F3274" s="147" t="str">
        <f aca="false">IFERROR(VLOOKUP(H3274,$AD$1:$AE$301,2,0),"")</f>
        <v/>
      </c>
      <c r="G3274" s="147" t="str">
        <f aca="false">IFERROR(VLOOKUP(F3274,$AE$2:$AF$290,2, 0),"")</f>
        <v/>
      </c>
      <c r="I3274" s="246" t="n">
        <f aca="false">SUM(K3274:R3274)</f>
        <v>0</v>
      </c>
      <c r="J3274" s="182" t="n">
        <v>46321</v>
      </c>
      <c r="S3274" s="192" t="n">
        <f aca="false">(K3274+O3274+Q3274)*24 /1130+(L3274+M3274+P3274+R3274)*12/1130+(N3274*30)/1130</f>
        <v>0</v>
      </c>
    </row>
    <row r="3275" customFormat="false" ht="15" hidden="false" customHeight="true" outlineLevel="0" collapsed="false">
      <c r="B3275" s="233" t="n">
        <f aca="false">B3274+D3275-C3275</f>
        <v>5095.49999999996</v>
      </c>
      <c r="F3275" s="147" t="str">
        <f aca="false">IFERROR(VLOOKUP(H3275,$AD$1:$AE$301,2,0),"")</f>
        <v/>
      </c>
      <c r="G3275" s="147" t="str">
        <f aca="false">IFERROR(VLOOKUP(F3275,$AE$2:$AF$290,2, 0),"")</f>
        <v/>
      </c>
      <c r="I3275" s="246" t="n">
        <f aca="false">SUM(K3275:R3275)</f>
        <v>0</v>
      </c>
      <c r="J3275" s="182" t="n">
        <v>46321</v>
      </c>
      <c r="S3275" s="192" t="n">
        <f aca="false">(K3275+O3275+Q3275)*24 /1130+(L3275+M3275+P3275+R3275)*12/1130+(N3275*30)/1130</f>
        <v>0</v>
      </c>
    </row>
    <row r="3276" customFormat="false" ht="15" hidden="false" customHeight="true" outlineLevel="0" collapsed="false">
      <c r="B3276" s="233" t="n">
        <f aca="false">B3275+D3276-C3276</f>
        <v>5095.49999999996</v>
      </c>
      <c r="F3276" s="147" t="str">
        <f aca="false">IFERROR(VLOOKUP(H3276,$AD$1:$AE$301,2,0),"")</f>
        <v/>
      </c>
      <c r="G3276" s="147" t="str">
        <f aca="false">IFERROR(VLOOKUP(F3276,$AE$2:$AF$290,2, 0),"")</f>
        <v/>
      </c>
      <c r="I3276" s="246" t="n">
        <f aca="false">SUM(K3276:R3276)</f>
        <v>0</v>
      </c>
      <c r="J3276" s="182" t="n">
        <v>46321</v>
      </c>
      <c r="S3276" s="192" t="n">
        <f aca="false">(K3276+O3276+Q3276)*24 /1130+(L3276+M3276+P3276+R3276)*12/1130+(N3276*30)/1130</f>
        <v>0</v>
      </c>
    </row>
    <row r="3277" customFormat="false" ht="15" hidden="false" customHeight="true" outlineLevel="0" collapsed="false">
      <c r="B3277" s="233" t="n">
        <f aca="false">B3276+D3277-C3277</f>
        <v>5095.49999999996</v>
      </c>
      <c r="F3277" s="147" t="str">
        <f aca="false">IFERROR(VLOOKUP(H3277,$AD$1:$AE$301,2,0),"")</f>
        <v/>
      </c>
      <c r="G3277" s="147" t="str">
        <f aca="false">IFERROR(VLOOKUP(F3277,$AE$2:$AF$290,2, 0),"")</f>
        <v/>
      </c>
      <c r="I3277" s="246" t="n">
        <f aca="false">SUM(K3277:R3277)</f>
        <v>0</v>
      </c>
      <c r="J3277" s="182" t="n">
        <v>46321</v>
      </c>
      <c r="S3277" s="192" t="n">
        <f aca="false">(K3277+O3277+Q3277)*24 /1130+(L3277+M3277+P3277+R3277)*12/1130+(N3277*30)/1130</f>
        <v>0</v>
      </c>
    </row>
    <row r="3278" customFormat="false" ht="15" hidden="false" customHeight="true" outlineLevel="0" collapsed="false">
      <c r="B3278" s="233" t="n">
        <f aca="false">B3277+D3278-C3278</f>
        <v>5095.49999999996</v>
      </c>
      <c r="F3278" s="147" t="str">
        <f aca="false">IFERROR(VLOOKUP(H3278,$AD$1:$AE$301,2,0),"")</f>
        <v/>
      </c>
      <c r="G3278" s="147" t="str">
        <f aca="false">IFERROR(VLOOKUP(F3278,$AE$2:$AF$290,2, 0),"")</f>
        <v/>
      </c>
      <c r="I3278" s="246" t="n">
        <f aca="false">SUM(K3278:R3278)</f>
        <v>0</v>
      </c>
      <c r="J3278" s="182" t="n">
        <v>46321</v>
      </c>
      <c r="S3278" s="192" t="n">
        <f aca="false">(K3278+O3278+Q3278)*24 /1130+(L3278+M3278+P3278+R3278)*12/1130+(N3278*30)/1130</f>
        <v>0</v>
      </c>
    </row>
    <row r="3279" customFormat="false" ht="15" hidden="false" customHeight="true" outlineLevel="0" collapsed="false">
      <c r="B3279" s="233" t="n">
        <f aca="false">B3278+D3279-C3279</f>
        <v>5095.49999999996</v>
      </c>
      <c r="F3279" s="147" t="str">
        <f aca="false">IFERROR(VLOOKUP(H3279,$AD$1:$AE$301,2,0),"")</f>
        <v/>
      </c>
      <c r="G3279" s="147" t="str">
        <f aca="false">IFERROR(VLOOKUP(F3279,$AE$2:$AF$290,2, 0),"")</f>
        <v/>
      </c>
      <c r="I3279" s="246" t="n">
        <f aca="false">SUM(K3279:R3279)</f>
        <v>0</v>
      </c>
      <c r="J3279" s="182" t="n">
        <v>46321</v>
      </c>
      <c r="S3279" s="192" t="n">
        <f aca="false">(K3279+O3279+Q3279)*24 /1130+(L3279+M3279+P3279+R3279)*12/1130+(N3279*30)/1130</f>
        <v>0</v>
      </c>
    </row>
    <row r="3280" customFormat="false" ht="15" hidden="false" customHeight="true" outlineLevel="0" collapsed="false">
      <c r="B3280" s="233" t="n">
        <f aca="false">B3279+D3280-C3280</f>
        <v>5095.49999999996</v>
      </c>
      <c r="F3280" s="147" t="str">
        <f aca="false">IFERROR(VLOOKUP(H3280,$AD$1:$AE$301,2,0),"")</f>
        <v/>
      </c>
      <c r="G3280" s="147" t="str">
        <f aca="false">IFERROR(VLOOKUP(F3280,$AE$2:$AF$290,2, 0),"")</f>
        <v/>
      </c>
      <c r="I3280" s="246" t="n">
        <f aca="false">SUM(K3280:R3280)</f>
        <v>0</v>
      </c>
      <c r="J3280" s="182" t="n">
        <v>46321</v>
      </c>
      <c r="S3280" s="192" t="n">
        <f aca="false">(K3280+O3280+Q3280)*24 /1130+(L3280+M3280+P3280+R3280)*12/1130+(N3280*30)/1130</f>
        <v>0</v>
      </c>
    </row>
  </sheetData>
  <mergeCells count="145">
    <mergeCell ref="U292:W292"/>
    <mergeCell ref="X292:AB292"/>
    <mergeCell ref="AC292:AD292"/>
    <mergeCell ref="U293:V293"/>
    <mergeCell ref="X293:AA293"/>
    <mergeCell ref="U294:V294"/>
    <mergeCell ref="X294:AA294"/>
    <mergeCell ref="U295:V295"/>
    <mergeCell ref="X295:AA295"/>
    <mergeCell ref="U296:V296"/>
    <mergeCell ref="X296:AA296"/>
    <mergeCell ref="T297:U297"/>
    <mergeCell ref="W297:Y297"/>
    <mergeCell ref="Z297:AA297"/>
    <mergeCell ref="AB297:AC297"/>
    <mergeCell ref="T298:U298"/>
    <mergeCell ref="W298:Y298"/>
    <mergeCell ref="Z298:AA298"/>
    <mergeCell ref="AB298:AC298"/>
    <mergeCell ref="T299:U299"/>
    <mergeCell ref="W299:Y299"/>
    <mergeCell ref="Z299:AA299"/>
    <mergeCell ref="AB299:AC299"/>
    <mergeCell ref="T300:U300"/>
    <mergeCell ref="W300:Y300"/>
    <mergeCell ref="Z300:AA300"/>
    <mergeCell ref="AB300:AC300"/>
    <mergeCell ref="T301:U301"/>
    <mergeCell ref="W301:Y301"/>
    <mergeCell ref="Z301:AA301"/>
    <mergeCell ref="AB301:AC301"/>
    <mergeCell ref="W304:Y304"/>
    <mergeCell ref="W305:Y305"/>
    <mergeCell ref="W308:Y308"/>
    <mergeCell ref="W310:Y310"/>
    <mergeCell ref="W313:Y313"/>
    <mergeCell ref="W315:Y315"/>
    <mergeCell ref="W318:Y318"/>
    <mergeCell ref="W320:Y320"/>
    <mergeCell ref="W323:Y323"/>
    <mergeCell ref="W325:Y325"/>
    <mergeCell ref="W328:Y328"/>
    <mergeCell ref="W330:Y330"/>
    <mergeCell ref="W333:Y333"/>
    <mergeCell ref="W335:Y335"/>
    <mergeCell ref="W338:Y338"/>
    <mergeCell ref="W340:Y340"/>
    <mergeCell ref="W343:Y343"/>
    <mergeCell ref="W345:Y345"/>
    <mergeCell ref="W348:Y348"/>
    <mergeCell ref="W350:Y350"/>
    <mergeCell ref="W353:Y353"/>
    <mergeCell ref="W355:Y355"/>
    <mergeCell ref="W358:Y358"/>
    <mergeCell ref="W360:Y360"/>
    <mergeCell ref="W363:Y363"/>
    <mergeCell ref="W365:Y365"/>
    <mergeCell ref="W368:Y368"/>
    <mergeCell ref="W370:Y370"/>
    <mergeCell ref="W373:Y373"/>
    <mergeCell ref="W375:Y375"/>
    <mergeCell ref="W378:Y378"/>
    <mergeCell ref="W380:Y380"/>
    <mergeCell ref="W383:Y383"/>
    <mergeCell ref="W385:Y385"/>
    <mergeCell ref="W388:Y388"/>
    <mergeCell ref="W390:Y390"/>
    <mergeCell ref="Z392:AA392"/>
    <mergeCell ref="W393:Y393"/>
    <mergeCell ref="Z393:AA393"/>
    <mergeCell ref="Z394:AA394"/>
    <mergeCell ref="W395:Y395"/>
    <mergeCell ref="Z395:AA395"/>
    <mergeCell ref="Z397:AA397"/>
    <mergeCell ref="W398:Y398"/>
    <mergeCell ref="Z398:AA398"/>
    <mergeCell ref="Z399:AA399"/>
    <mergeCell ref="W400:Y400"/>
    <mergeCell ref="Z400:AA400"/>
    <mergeCell ref="Z402:AA402"/>
    <mergeCell ref="W403:Y403"/>
    <mergeCell ref="Z403:AA403"/>
    <mergeCell ref="Z404:AA404"/>
    <mergeCell ref="W405:Y405"/>
    <mergeCell ref="Z405:AA405"/>
    <mergeCell ref="Z407:AA407"/>
    <mergeCell ref="W408:Y408"/>
    <mergeCell ref="Z408:AA408"/>
    <mergeCell ref="Z409:AA409"/>
    <mergeCell ref="W410:Y410"/>
    <mergeCell ref="Z410:AA410"/>
    <mergeCell ref="Z412:AA412"/>
    <mergeCell ref="W413:Y413"/>
    <mergeCell ref="Z413:AA413"/>
    <mergeCell ref="Z414:AA414"/>
    <mergeCell ref="W415:Y415"/>
    <mergeCell ref="Z415:AA415"/>
    <mergeCell ref="Z417:AA417"/>
    <mergeCell ref="W418:Y418"/>
    <mergeCell ref="Z418:AA418"/>
    <mergeCell ref="Z419:AA419"/>
    <mergeCell ref="W420:Y420"/>
    <mergeCell ref="Z420:AA420"/>
    <mergeCell ref="Z422:AA422"/>
    <mergeCell ref="W423:Y423"/>
    <mergeCell ref="Z423:AA423"/>
    <mergeCell ref="Z424:AA424"/>
    <mergeCell ref="W425:Y425"/>
    <mergeCell ref="Z425:AA425"/>
    <mergeCell ref="Z427:AA427"/>
    <mergeCell ref="W428:Y428"/>
    <mergeCell ref="Z428:AA428"/>
    <mergeCell ref="Z429:AA429"/>
    <mergeCell ref="W430:Y430"/>
    <mergeCell ref="Z430:AA430"/>
    <mergeCell ref="Z432:AA432"/>
    <mergeCell ref="W433:Y433"/>
    <mergeCell ref="Z433:AA433"/>
    <mergeCell ref="Z434:AA434"/>
    <mergeCell ref="W435:Y435"/>
    <mergeCell ref="Z435:AA435"/>
    <mergeCell ref="Z437:AA437"/>
    <mergeCell ref="W438:Y438"/>
    <mergeCell ref="Z438:AA438"/>
    <mergeCell ref="Z439:AA439"/>
    <mergeCell ref="W440:Y440"/>
    <mergeCell ref="Z440:AA440"/>
    <mergeCell ref="Z442:AA442"/>
    <mergeCell ref="W443:Y443"/>
    <mergeCell ref="Z443:AA443"/>
    <mergeCell ref="Z444:AA444"/>
    <mergeCell ref="W445:Y445"/>
    <mergeCell ref="Z445:AA445"/>
    <mergeCell ref="Z447:AA447"/>
    <mergeCell ref="W448:Y448"/>
    <mergeCell ref="Z448:AA448"/>
    <mergeCell ref="Z449:AA449"/>
    <mergeCell ref="W450:Y450"/>
    <mergeCell ref="Z450:AA450"/>
    <mergeCell ref="Z452:AA452"/>
    <mergeCell ref="W453:Y453"/>
    <mergeCell ref="Z453:AA453"/>
    <mergeCell ref="Z454:AA454"/>
    <mergeCell ref="W455:Y455"/>
    <mergeCell ref="Z455:AA455"/>
  </mergeCells>
  <conditionalFormatting sqref="I1668">
    <cfRule type="duplicateValues" priority="2" aboveAverage="0" equalAverage="0" bottom="0" percent="0" rank="0" text="" dxfId="4"/>
    <cfRule type="duplicateValues" priority="3" aboveAverage="0" equalAverage="0" bottom="0" percent="0" rank="0" text="" dxfId="4"/>
    <cfRule type="duplicateValues" priority="4" aboveAverage="0" equalAverage="0" bottom="0" percent="0" rank="0" text="" dxfId="4"/>
  </conditionalFormatting>
  <conditionalFormatting sqref="I1667">
    <cfRule type="duplicateValues" priority="5" aboveAverage="0" equalAverage="0" bottom="0" percent="0" rank="0" text="" dxfId="4"/>
    <cfRule type="duplicateValues" priority="6" aboveAverage="0" equalAverage="0" bottom="0" percent="0" rank="0" text="" dxfId="4"/>
    <cfRule type="duplicateValues" priority="7" aboveAverage="0" equalAverage="0" bottom="0" percent="0" rank="0" text="" dxfId="4"/>
  </conditionalFormatting>
  <conditionalFormatting sqref="I1664">
    <cfRule type="duplicateValues" priority="8" aboveAverage="0" equalAverage="0" bottom="0" percent="0" rank="0" text="" dxfId="4"/>
    <cfRule type="duplicateValues" priority="9" aboveAverage="0" equalAverage="0" bottom="0" percent="0" rank="0" text="" dxfId="4"/>
    <cfRule type="duplicateValues" priority="10" aboveAverage="0" equalAverage="0" bottom="0" percent="0" rank="0" text="" dxfId="4"/>
  </conditionalFormatting>
  <conditionalFormatting sqref="E2:E12 E14:E15 E17:E18 E20:E63 E69:E229">
    <cfRule type="duplicateValues" priority="11" aboveAverage="0" equalAverage="0" bottom="0" percent="0" rank="0" text="" dxfId="4"/>
    <cfRule type="duplicateValues" priority="12" aboveAverage="0" equalAverage="0" bottom="0" percent="0" rank="0" text="" dxfId="4"/>
    <cfRule type="duplicateValues" priority="13" aboveAverage="0" equalAverage="0" bottom="0" percent="0" rank="0" text="" dxfId="4"/>
  </conditionalFormatting>
  <conditionalFormatting sqref="I3281:I1048576">
    <cfRule type="duplicateValues" priority="14" aboveAverage="0" equalAverage="0" bottom="0" percent="0" rank="0" text="" dxfId="4"/>
    <cfRule type="duplicateValues" priority="15" aboveAverage="0" equalAverage="0" bottom="0" percent="0" rank="0" text="" dxfId="4"/>
    <cfRule type="duplicateValues" priority="16" aboveAverage="0" equalAverage="0" bottom="0" percent="0" rank="0" text="" dxfId="4"/>
  </conditionalFormatting>
  <printOptions headings="false" gridLines="false" gridLinesSet="true" horizontalCentered="false" verticalCentered="false"/>
  <pageMargins left="0.7" right="0.7" top="0.763888888888889" bottom="0.75" header="0.3" footer="0.511811023622047"/>
  <pageSetup paperSize="9" scale="37" fitToWidth="1" fitToHeight="1" pageOrder="downThenOver" orientation="portrait" blackAndWhite="false" draft="false" cellComments="none" horizontalDpi="300" verticalDpi="300" copies="1"/>
  <headerFooter differentFirst="false" differentOddEven="false">
    <oddHeader>&amp;L&amp;1 &amp;K317100 Classification: Tasnee - Public Information#</oddHeader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11.70703125" defaultRowHeight="15.75" zeroHeight="false" outlineLevelRow="0" outlineLevelCol="0"/>
  <cols>
    <col collapsed="false" customWidth="true" hidden="false" outlineLevel="0" max="1" min="1" style="450" width="9.28"/>
    <col collapsed="false" customWidth="true" hidden="false" outlineLevel="0" max="2" min="2" style="451" width="5.65"/>
    <col collapsed="false" customWidth="true" hidden="false" outlineLevel="0" max="3" min="3" style="452" width="7.11"/>
    <col collapsed="false" customWidth="true" hidden="false" outlineLevel="0" max="4" min="4" style="453" width="48.3"/>
    <col collapsed="false" customWidth="true" hidden="true" outlineLevel="0" max="5" min="5" style="453" width="5.65"/>
    <col collapsed="false" customWidth="true" hidden="false" outlineLevel="0" max="6" min="6" style="454" width="8.34"/>
    <col collapsed="false" customWidth="true" hidden="false" outlineLevel="0" max="7" min="7" style="455" width="8.74"/>
    <col collapsed="false" customWidth="true" hidden="false" outlineLevel="0" max="8" min="8" style="454" width="13.03"/>
    <col collapsed="false" customWidth="true" hidden="false" outlineLevel="0" max="9" min="9" style="454" width="6.99"/>
    <col collapsed="false" customWidth="true" hidden="false" outlineLevel="0" max="10" min="10" style="454" width="7.53"/>
    <col collapsed="false" customWidth="true" hidden="false" outlineLevel="0" max="11" min="11" style="450" width="2.96"/>
    <col collapsed="false" customWidth="true" hidden="false" outlineLevel="0" max="13" min="12" style="450" width="13.03"/>
    <col collapsed="false" customWidth="false" hidden="false" outlineLevel="0" max="16384" min="14" style="450" width="11.7"/>
  </cols>
  <sheetData>
    <row r="1" customFormat="false" ht="30" hidden="false" customHeight="true" outlineLevel="0" collapsed="false">
      <c r="A1" s="456" t="s">
        <v>682</v>
      </c>
      <c r="B1" s="456"/>
      <c r="C1" s="456"/>
      <c r="D1" s="456"/>
      <c r="E1" s="456"/>
      <c r="F1" s="456"/>
      <c r="G1" s="456"/>
      <c r="H1" s="456"/>
      <c r="I1" s="456"/>
      <c r="J1" s="456"/>
      <c r="K1" s="456"/>
    </row>
    <row r="2" customFormat="false" ht="18" hidden="false" customHeight="true" outlineLevel="0" collapsed="false">
      <c r="A2" s="457"/>
      <c r="B2" s="458" t="s">
        <v>683</v>
      </c>
      <c r="C2" s="459" t="s">
        <v>684</v>
      </c>
      <c r="D2" s="460" t="s">
        <v>685</v>
      </c>
      <c r="E2" s="460" t="s">
        <v>686</v>
      </c>
      <c r="F2" s="459" t="s">
        <v>687</v>
      </c>
      <c r="G2" s="461" t="s">
        <v>688</v>
      </c>
      <c r="H2" s="462" t="s">
        <v>689</v>
      </c>
      <c r="I2" s="463" t="s">
        <v>690</v>
      </c>
      <c r="J2" s="459" t="s">
        <v>40</v>
      </c>
      <c r="K2" s="464" t="n">
        <f aca="true">NOW()</f>
        <v>46321.3372138838</v>
      </c>
    </row>
    <row r="3" customFormat="false" ht="15.75" hidden="false" customHeight="true" outlineLevel="0" collapsed="false">
      <c r="A3" s="465" t="s">
        <v>691</v>
      </c>
      <c r="B3" s="466" t="n">
        <v>47.143</v>
      </c>
      <c r="C3" s="467" t="n">
        <v>220818</v>
      </c>
      <c r="D3" s="468" t="s">
        <v>692</v>
      </c>
      <c r="E3" s="469" t="s">
        <v>693</v>
      </c>
      <c r="F3" s="470" t="n">
        <v>330</v>
      </c>
      <c r="G3" s="471" t="n">
        <f aca="false">F3-B3</f>
        <v>282.857</v>
      </c>
      <c r="H3" s="471" t="n">
        <f aca="false">G3*(1+$H$56)</f>
        <v>325.28555</v>
      </c>
      <c r="I3" s="472"/>
      <c r="J3" s="473" t="n">
        <f aca="false">I3*G3</f>
        <v>0</v>
      </c>
      <c r="K3" s="464"/>
    </row>
    <row r="4" customFormat="false" ht="15.75" hidden="false" customHeight="true" outlineLevel="0" collapsed="false">
      <c r="A4" s="465"/>
      <c r="B4" s="466" t="n">
        <v>47.143</v>
      </c>
      <c r="C4" s="474" t="n">
        <v>220819</v>
      </c>
      <c r="D4" s="475" t="s">
        <v>694</v>
      </c>
      <c r="E4" s="476" t="s">
        <v>693</v>
      </c>
      <c r="F4" s="470" t="n">
        <v>330</v>
      </c>
      <c r="G4" s="471" t="n">
        <f aca="false">F4-B4</f>
        <v>282.857</v>
      </c>
      <c r="H4" s="477" t="n">
        <f aca="false">G4*(1+$H$56)</f>
        <v>325.28555</v>
      </c>
      <c r="I4" s="478"/>
      <c r="J4" s="479" t="n">
        <f aca="false">I4*G4</f>
        <v>0</v>
      </c>
      <c r="K4" s="464"/>
      <c r="L4" s="480"/>
    </row>
    <row r="5" customFormat="false" ht="15.75" hidden="true" customHeight="true" outlineLevel="0" collapsed="false">
      <c r="A5" s="465"/>
      <c r="B5" s="481"/>
      <c r="C5" s="482" t="n">
        <v>220826</v>
      </c>
      <c r="D5" s="483" t="s">
        <v>695</v>
      </c>
      <c r="E5" s="484"/>
      <c r="F5" s="470" t="n">
        <v>280</v>
      </c>
      <c r="G5" s="471" t="n">
        <f aca="false">F5-B5</f>
        <v>280</v>
      </c>
      <c r="H5" s="477" t="n">
        <f aca="false">G5*(1+$H$56)</f>
        <v>322</v>
      </c>
      <c r="I5" s="478"/>
      <c r="J5" s="479" t="n">
        <f aca="false">I5*G5</f>
        <v>0</v>
      </c>
      <c r="K5" s="464"/>
    </row>
    <row r="6" customFormat="false" ht="15.75" hidden="false" customHeight="true" outlineLevel="0" collapsed="false">
      <c r="A6" s="465"/>
      <c r="B6" s="485" t="n">
        <v>25</v>
      </c>
      <c r="C6" s="486" t="n">
        <v>228995</v>
      </c>
      <c r="D6" s="487" t="s">
        <v>696</v>
      </c>
      <c r="E6" s="488" t="s">
        <v>697</v>
      </c>
      <c r="F6" s="489" t="n">
        <v>175</v>
      </c>
      <c r="G6" s="471" t="n">
        <f aca="false">F6-B6</f>
        <v>150</v>
      </c>
      <c r="H6" s="490" t="n">
        <f aca="false">G6*(1+$H$56)</f>
        <v>172.5</v>
      </c>
      <c r="I6" s="491"/>
      <c r="J6" s="492" t="n">
        <f aca="false">I6*G6</f>
        <v>0</v>
      </c>
      <c r="K6" s="464"/>
      <c r="L6" s="493"/>
    </row>
    <row r="7" customFormat="false" ht="15.75" hidden="false" customHeight="true" outlineLevel="0" collapsed="false">
      <c r="A7" s="494" t="s">
        <v>698</v>
      </c>
      <c r="B7" s="495" t="n">
        <v>40.714</v>
      </c>
      <c r="C7" s="496" t="n">
        <v>220839</v>
      </c>
      <c r="D7" s="497" t="s">
        <v>699</v>
      </c>
      <c r="E7" s="498" t="s">
        <v>700</v>
      </c>
      <c r="F7" s="499" t="n">
        <v>280</v>
      </c>
      <c r="G7" s="500" t="n">
        <f aca="false">F7-B7</f>
        <v>239.286</v>
      </c>
      <c r="H7" s="500" t="n">
        <f aca="false">G7*(1+$H$56)</f>
        <v>275.1789</v>
      </c>
      <c r="I7" s="501"/>
      <c r="J7" s="502" t="n">
        <f aca="false">I7*G7</f>
        <v>0</v>
      </c>
      <c r="K7" s="464"/>
      <c r="L7" s="493"/>
    </row>
    <row r="8" customFormat="false" ht="15.75" hidden="false" customHeight="true" outlineLevel="0" collapsed="false">
      <c r="A8" s="494"/>
      <c r="B8" s="503" t="n">
        <v>0</v>
      </c>
      <c r="C8" s="504" t="n">
        <v>216917</v>
      </c>
      <c r="D8" s="505" t="s">
        <v>701</v>
      </c>
      <c r="E8" s="506" t="s">
        <v>697</v>
      </c>
      <c r="F8" s="507" t="n">
        <v>220</v>
      </c>
      <c r="G8" s="500" t="n">
        <f aca="false">F8-B8</f>
        <v>220</v>
      </c>
      <c r="H8" s="500" t="n">
        <f aca="false">G8*(1+$H$56)</f>
        <v>253</v>
      </c>
      <c r="I8" s="508"/>
      <c r="J8" s="502" t="n">
        <f aca="false">I8*G8</f>
        <v>0</v>
      </c>
      <c r="K8" s="464"/>
    </row>
    <row r="9" customFormat="false" ht="15.75" hidden="false" customHeight="true" outlineLevel="0" collapsed="false">
      <c r="A9" s="494"/>
      <c r="B9" s="503" t="n">
        <v>0</v>
      </c>
      <c r="C9" s="504" t="n">
        <v>225508</v>
      </c>
      <c r="D9" s="505" t="s">
        <v>702</v>
      </c>
      <c r="E9" s="506" t="s">
        <v>703</v>
      </c>
      <c r="F9" s="507" t="n">
        <v>350</v>
      </c>
      <c r="G9" s="500" t="n">
        <f aca="false">F9-B9</f>
        <v>350</v>
      </c>
      <c r="H9" s="500" t="n">
        <f aca="false">G9*(1+$H$56)</f>
        <v>402.5</v>
      </c>
      <c r="I9" s="508"/>
      <c r="J9" s="502" t="n">
        <f aca="false">I9*G9</f>
        <v>0</v>
      </c>
      <c r="K9" s="464"/>
    </row>
    <row r="10" customFormat="false" ht="15.75" hidden="false" customHeight="true" outlineLevel="0" collapsed="false">
      <c r="A10" s="494"/>
      <c r="B10" s="503"/>
      <c r="C10" s="509" t="n">
        <v>220837</v>
      </c>
      <c r="D10" s="510" t="s">
        <v>704</v>
      </c>
      <c r="E10" s="511"/>
      <c r="F10" s="512" t="n">
        <v>230</v>
      </c>
      <c r="G10" s="500" t="n">
        <f aca="false">F10-B10</f>
        <v>230</v>
      </c>
      <c r="H10" s="500" t="n">
        <f aca="false">G10*(1+$H$56)</f>
        <v>264.5</v>
      </c>
      <c r="I10" s="513"/>
      <c r="J10" s="514" t="n">
        <f aca="false">I10*G10</f>
        <v>0</v>
      </c>
      <c r="K10" s="464"/>
    </row>
    <row r="11" customFormat="false" ht="15.75" hidden="false" customHeight="true" outlineLevel="0" collapsed="false">
      <c r="A11" s="494"/>
      <c r="B11" s="495" t="n">
        <v>35</v>
      </c>
      <c r="C11" s="509" t="n">
        <v>227264</v>
      </c>
      <c r="D11" s="510" t="s">
        <v>705</v>
      </c>
      <c r="E11" s="511" t="s">
        <v>700</v>
      </c>
      <c r="F11" s="512" t="n">
        <v>245</v>
      </c>
      <c r="G11" s="500" t="n">
        <f aca="false">F11-B11</f>
        <v>210</v>
      </c>
      <c r="H11" s="500" t="n">
        <f aca="false">G11*(1+$H$56)</f>
        <v>241.5</v>
      </c>
      <c r="I11" s="513"/>
      <c r="J11" s="514" t="n">
        <f aca="false">I11*G11</f>
        <v>0</v>
      </c>
      <c r="K11" s="464"/>
    </row>
    <row r="12" customFormat="false" ht="15.75" hidden="false" customHeight="true" outlineLevel="0" collapsed="false">
      <c r="A12" s="494"/>
      <c r="B12" s="495" t="n">
        <v>40.714</v>
      </c>
      <c r="C12" s="509" t="n">
        <v>226873</v>
      </c>
      <c r="D12" s="510" t="s">
        <v>706</v>
      </c>
      <c r="E12" s="511" t="s">
        <v>703</v>
      </c>
      <c r="F12" s="512" t="n">
        <v>220</v>
      </c>
      <c r="G12" s="500" t="n">
        <f aca="false">F12-B12</f>
        <v>179.286</v>
      </c>
      <c r="H12" s="500" t="n">
        <f aca="false">G12*(1+$H$56)</f>
        <v>206.1789</v>
      </c>
      <c r="I12" s="513"/>
      <c r="J12" s="514" t="n">
        <f aca="false">I12*G12</f>
        <v>0</v>
      </c>
      <c r="K12" s="464"/>
      <c r="L12" s="450" t="n">
        <v>2104.5</v>
      </c>
      <c r="M12" s="493"/>
    </row>
    <row r="13" customFormat="false" ht="15.75" hidden="false" customHeight="true" outlineLevel="0" collapsed="false">
      <c r="A13" s="494"/>
      <c r="B13" s="515"/>
      <c r="C13" s="509" t="n">
        <v>227263</v>
      </c>
      <c r="D13" s="510" t="s">
        <v>707</v>
      </c>
      <c r="E13" s="511" t="s">
        <v>703</v>
      </c>
      <c r="F13" s="512" t="n">
        <v>255</v>
      </c>
      <c r="G13" s="500" t="n">
        <f aca="false">F13-B13</f>
        <v>255</v>
      </c>
      <c r="H13" s="500" t="n">
        <f aca="false">G13*(1+$H$56)</f>
        <v>293.25</v>
      </c>
      <c r="I13" s="513"/>
      <c r="J13" s="514" t="n">
        <f aca="false">I13*G13</f>
        <v>0</v>
      </c>
      <c r="K13" s="464"/>
      <c r="L13" s="450" t="n">
        <f aca="false">L12/6</f>
        <v>350.75</v>
      </c>
      <c r="M13" s="493" t="n">
        <f aca="false">I57-L12</f>
        <v>0.00230000000010477</v>
      </c>
    </row>
    <row r="14" customFormat="false" ht="15.75" hidden="false" customHeight="true" outlineLevel="0" collapsed="false">
      <c r="A14" s="494"/>
      <c r="B14" s="495" t="n">
        <v>40.714</v>
      </c>
      <c r="C14" s="516" t="n">
        <v>229646</v>
      </c>
      <c r="D14" s="510" t="s">
        <v>708</v>
      </c>
      <c r="E14" s="511"/>
      <c r="F14" s="512" t="n">
        <v>285</v>
      </c>
      <c r="G14" s="500" t="n">
        <f aca="false">F14-B14</f>
        <v>244.286</v>
      </c>
      <c r="H14" s="500" t="n">
        <f aca="false">G14*(1+$H$56)</f>
        <v>280.9289</v>
      </c>
      <c r="I14" s="513" t="n">
        <v>1</v>
      </c>
      <c r="J14" s="514" t="n">
        <f aca="false">I14*G14</f>
        <v>244.286</v>
      </c>
      <c r="K14" s="464"/>
      <c r="L14" s="450" t="n">
        <f aca="false">L13/6</f>
        <v>58.4583333333333</v>
      </c>
    </row>
    <row r="15" customFormat="false" ht="15.75" hidden="false" customHeight="true" outlineLevel="0" collapsed="false">
      <c r="A15" s="494"/>
      <c r="B15" s="495" t="n">
        <v>40.714</v>
      </c>
      <c r="C15" s="509" t="n">
        <v>236673</v>
      </c>
      <c r="D15" s="517" t="s">
        <v>709</v>
      </c>
      <c r="E15" s="511"/>
      <c r="F15" s="512" t="n">
        <v>285</v>
      </c>
      <c r="G15" s="500" t="n">
        <f aca="false">F15-B15</f>
        <v>244.286</v>
      </c>
      <c r="H15" s="500" t="n">
        <f aca="false">G15*(1+$H$56)</f>
        <v>280.9289</v>
      </c>
      <c r="I15" s="513"/>
      <c r="J15" s="514" t="n">
        <f aca="false">I15*G15</f>
        <v>0</v>
      </c>
      <c r="K15" s="464"/>
    </row>
    <row r="16" customFormat="false" ht="15.75" hidden="false" customHeight="true" outlineLevel="0" collapsed="false">
      <c r="A16" s="494"/>
      <c r="B16" s="495" t="n">
        <v>40.714</v>
      </c>
      <c r="C16" s="509" t="n">
        <v>237510</v>
      </c>
      <c r="D16" s="510" t="s">
        <v>710</v>
      </c>
      <c r="E16" s="511"/>
      <c r="F16" s="512" t="n">
        <v>285</v>
      </c>
      <c r="G16" s="500" t="n">
        <f aca="false">F16-B16</f>
        <v>244.286</v>
      </c>
      <c r="H16" s="500" t="n">
        <f aca="false">G16*(1+$H$56)</f>
        <v>280.9289</v>
      </c>
      <c r="I16" s="513"/>
      <c r="J16" s="514" t="n">
        <f aca="false">I16*G16</f>
        <v>0</v>
      </c>
      <c r="K16" s="464"/>
    </row>
    <row r="17" customFormat="false" ht="15.75" hidden="false" customHeight="true" outlineLevel="0" collapsed="false">
      <c r="A17" s="494"/>
      <c r="B17" s="495" t="n">
        <v>40.714</v>
      </c>
      <c r="C17" s="509" t="n">
        <v>229984</v>
      </c>
      <c r="D17" s="510" t="s">
        <v>711</v>
      </c>
      <c r="E17" s="511" t="s">
        <v>712</v>
      </c>
      <c r="F17" s="512" t="n">
        <v>285</v>
      </c>
      <c r="G17" s="500" t="n">
        <f aca="false">F17-B17</f>
        <v>244.286</v>
      </c>
      <c r="H17" s="500" t="n">
        <f aca="false">G17*(1+$H$56)</f>
        <v>280.9289</v>
      </c>
      <c r="I17" s="513"/>
      <c r="J17" s="514" t="n">
        <f aca="false">I17*G17</f>
        <v>0</v>
      </c>
      <c r="K17" s="464"/>
    </row>
    <row r="18" customFormat="false" ht="15.75" hidden="false" customHeight="true" outlineLevel="0" collapsed="false">
      <c r="A18" s="494"/>
      <c r="B18" s="495"/>
      <c r="C18" s="509" t="n">
        <v>214316</v>
      </c>
      <c r="D18" s="510" t="s">
        <v>713</v>
      </c>
      <c r="E18" s="511"/>
      <c r="F18" s="512" t="n">
        <v>425</v>
      </c>
      <c r="G18" s="500" t="n">
        <f aca="false">F18-B18</f>
        <v>425</v>
      </c>
      <c r="H18" s="500" t="n">
        <f aca="false">G18*(1+$H$56)</f>
        <v>488.75</v>
      </c>
      <c r="I18" s="513"/>
      <c r="J18" s="514" t="n">
        <f aca="false">I18*G18</f>
        <v>0</v>
      </c>
      <c r="K18" s="464"/>
    </row>
    <row r="19" customFormat="false" ht="15.75" hidden="false" customHeight="true" outlineLevel="0" collapsed="false">
      <c r="A19" s="494"/>
      <c r="B19" s="515" t="n">
        <v>0</v>
      </c>
      <c r="C19" s="509" t="n">
        <v>232868</v>
      </c>
      <c r="D19" s="510" t="s">
        <v>714</v>
      </c>
      <c r="E19" s="511" t="s">
        <v>715</v>
      </c>
      <c r="F19" s="512" t="n">
        <v>425</v>
      </c>
      <c r="G19" s="500" t="n">
        <f aca="false">F19-B19</f>
        <v>425</v>
      </c>
      <c r="H19" s="500" t="n">
        <f aca="false">G19*(1+$H$56)</f>
        <v>488.75</v>
      </c>
      <c r="I19" s="513"/>
      <c r="J19" s="514" t="n">
        <f aca="false">I19*G19</f>
        <v>0</v>
      </c>
      <c r="K19" s="464"/>
    </row>
    <row r="20" customFormat="false" ht="15.75" hidden="false" customHeight="true" outlineLevel="0" collapsed="false">
      <c r="A20" s="494"/>
      <c r="B20" s="495" t="n">
        <v>40.714</v>
      </c>
      <c r="C20" s="509" t="n">
        <v>216914</v>
      </c>
      <c r="D20" s="510" t="s">
        <v>716</v>
      </c>
      <c r="E20" s="511" t="s">
        <v>715</v>
      </c>
      <c r="F20" s="518" t="n">
        <v>380</v>
      </c>
      <c r="G20" s="500" t="n">
        <f aca="false">F20-B20</f>
        <v>339.286</v>
      </c>
      <c r="H20" s="500" t="n">
        <f aca="false">G20*(1+$H$56)</f>
        <v>390.1789</v>
      </c>
      <c r="I20" s="513"/>
      <c r="J20" s="514" t="n">
        <f aca="false">I20*G20</f>
        <v>0</v>
      </c>
      <c r="K20" s="519" t="s">
        <v>717</v>
      </c>
    </row>
    <row r="21" customFormat="false" ht="15.75" hidden="false" customHeight="true" outlineLevel="0" collapsed="false">
      <c r="A21" s="494"/>
      <c r="B21" s="495" t="n">
        <v>40.71</v>
      </c>
      <c r="C21" s="509" t="n">
        <v>236219</v>
      </c>
      <c r="D21" s="510" t="s">
        <v>718</v>
      </c>
      <c r="E21" s="511"/>
      <c r="F21" s="518" t="n">
        <v>305</v>
      </c>
      <c r="G21" s="500" t="n">
        <f aca="false">F21-B21</f>
        <v>264.29</v>
      </c>
      <c r="H21" s="500" t="n">
        <f aca="false">G21*(1+$H$56)</f>
        <v>303.9335</v>
      </c>
      <c r="I21" s="513"/>
      <c r="J21" s="514" t="n">
        <f aca="false">I21*G21</f>
        <v>0</v>
      </c>
      <c r="K21" s="519"/>
    </row>
    <row r="22" customFormat="false" ht="15.75" hidden="false" customHeight="true" outlineLevel="0" collapsed="false">
      <c r="A22" s="494"/>
      <c r="B22" s="495" t="n">
        <v>40.714</v>
      </c>
      <c r="C22" s="509" t="n">
        <v>226869</v>
      </c>
      <c r="D22" s="510" t="s">
        <v>719</v>
      </c>
      <c r="E22" s="511" t="s">
        <v>703</v>
      </c>
      <c r="F22" s="512" t="n">
        <v>285</v>
      </c>
      <c r="G22" s="500" t="n">
        <f aca="false">F22-B22</f>
        <v>244.286</v>
      </c>
      <c r="H22" s="500" t="n">
        <f aca="false">G22*(1+$H$56)</f>
        <v>280.9289</v>
      </c>
      <c r="I22" s="513"/>
      <c r="J22" s="514" t="n">
        <f aca="false">I22*G22</f>
        <v>0</v>
      </c>
      <c r="K22" s="519"/>
      <c r="L22" s="493"/>
    </row>
    <row r="23" customFormat="false" ht="15.75" hidden="false" customHeight="true" outlineLevel="0" collapsed="false">
      <c r="A23" s="494"/>
      <c r="B23" s="495" t="n">
        <v>40.714</v>
      </c>
      <c r="C23" s="520" t="n">
        <v>236286</v>
      </c>
      <c r="D23" s="521" t="s">
        <v>720</v>
      </c>
      <c r="E23" s="522" t="s">
        <v>712</v>
      </c>
      <c r="F23" s="523" t="n">
        <v>305</v>
      </c>
      <c r="G23" s="500" t="n">
        <f aca="false">F23-B23</f>
        <v>264.286</v>
      </c>
      <c r="H23" s="500" t="n">
        <f aca="false">G23*(1+$H$56)</f>
        <v>303.9289</v>
      </c>
      <c r="I23" s="524"/>
      <c r="J23" s="514" t="n">
        <f aca="false">I23*G23</f>
        <v>0</v>
      </c>
      <c r="K23" s="519"/>
      <c r="L23" s="493"/>
    </row>
    <row r="24" customFormat="false" ht="15.75" hidden="false" customHeight="true" outlineLevel="0" collapsed="false">
      <c r="A24" s="494"/>
      <c r="B24" s="495" t="n">
        <v>40.714</v>
      </c>
      <c r="C24" s="520" t="n">
        <v>236939</v>
      </c>
      <c r="D24" s="521" t="s">
        <v>721</v>
      </c>
      <c r="E24" s="522"/>
      <c r="F24" s="523" t="n">
        <v>305</v>
      </c>
      <c r="G24" s="500" t="n">
        <f aca="false">F24-B24</f>
        <v>264.286</v>
      </c>
      <c r="H24" s="500" t="n">
        <f aca="false">G24*(1+$H$56)</f>
        <v>303.9289</v>
      </c>
      <c r="I24" s="524" t="n">
        <v>6</v>
      </c>
      <c r="J24" s="514" t="n">
        <f aca="false">I24*G24</f>
        <v>1585.716</v>
      </c>
      <c r="K24" s="519"/>
    </row>
    <row r="25" customFormat="false" ht="15.75" hidden="false" customHeight="true" outlineLevel="0" collapsed="false">
      <c r="A25" s="494"/>
      <c r="B25" s="495" t="n">
        <v>40.714</v>
      </c>
      <c r="C25" s="520" t="n">
        <v>226865</v>
      </c>
      <c r="D25" s="521" t="s">
        <v>722</v>
      </c>
      <c r="E25" s="522" t="s">
        <v>703</v>
      </c>
      <c r="F25" s="523" t="n">
        <v>285</v>
      </c>
      <c r="G25" s="500" t="n">
        <f aca="false">F25-B25</f>
        <v>244.286</v>
      </c>
      <c r="H25" s="500" t="n">
        <f aca="false">G25*(1+$H$56)</f>
        <v>280.9289</v>
      </c>
      <c r="I25" s="524"/>
      <c r="J25" s="514" t="n">
        <f aca="false">I25*G25</f>
        <v>0</v>
      </c>
      <c r="K25" s="519"/>
    </row>
    <row r="26" customFormat="false" ht="15.75" hidden="false" customHeight="true" outlineLevel="0" collapsed="false">
      <c r="A26" s="525" t="s">
        <v>723</v>
      </c>
      <c r="B26" s="466" t="n">
        <v>42.5</v>
      </c>
      <c r="C26" s="526" t="n">
        <v>220836</v>
      </c>
      <c r="D26" s="527" t="s">
        <v>724</v>
      </c>
      <c r="E26" s="528" t="s">
        <v>725</v>
      </c>
      <c r="F26" s="529" t="n">
        <v>340</v>
      </c>
      <c r="G26" s="530" t="n">
        <f aca="false">F26-B26</f>
        <v>297.5</v>
      </c>
      <c r="H26" s="530" t="n">
        <f aca="false">G26*(1+$H$56)</f>
        <v>342.125</v>
      </c>
      <c r="I26" s="531"/>
      <c r="J26" s="532" t="n">
        <f aca="false">I26*G26</f>
        <v>0</v>
      </c>
      <c r="K26" s="519"/>
      <c r="L26" s="493"/>
    </row>
    <row r="27" customFormat="false" ht="15.75" hidden="false" customHeight="true" outlineLevel="0" collapsed="false">
      <c r="A27" s="525"/>
      <c r="B27" s="466" t="n">
        <v>15</v>
      </c>
      <c r="C27" s="533" t="n">
        <v>220844</v>
      </c>
      <c r="D27" s="534" t="s">
        <v>726</v>
      </c>
      <c r="E27" s="535" t="s">
        <v>725</v>
      </c>
      <c r="F27" s="536" t="n">
        <v>280</v>
      </c>
      <c r="G27" s="530" t="n">
        <f aca="false">F27-B27</f>
        <v>265</v>
      </c>
      <c r="H27" s="537" t="n">
        <f aca="false">G27*(1+$H$56)</f>
        <v>304.75</v>
      </c>
      <c r="I27" s="538"/>
      <c r="J27" s="539" t="n">
        <f aca="false">I27*G27</f>
        <v>0</v>
      </c>
      <c r="K27" s="519"/>
      <c r="L27" s="493"/>
    </row>
    <row r="28" customFormat="false" ht="15.75" hidden="false" customHeight="true" outlineLevel="0" collapsed="false">
      <c r="A28" s="525"/>
      <c r="B28" s="466" t="n">
        <v>15</v>
      </c>
      <c r="C28" s="533" t="n">
        <v>232131</v>
      </c>
      <c r="D28" s="534" t="s">
        <v>727</v>
      </c>
      <c r="E28" s="535" t="s">
        <v>725</v>
      </c>
      <c r="F28" s="536" t="n">
        <v>280</v>
      </c>
      <c r="G28" s="530" t="n">
        <f aca="false">F28-B28</f>
        <v>265</v>
      </c>
      <c r="H28" s="537" t="n">
        <f aca="false">G28*(1+$H$56)</f>
        <v>304.75</v>
      </c>
      <c r="I28" s="538"/>
      <c r="J28" s="539" t="n">
        <f aca="false">I28*G28</f>
        <v>0</v>
      </c>
      <c r="K28" s="519"/>
    </row>
    <row r="29" customFormat="false" ht="15.75" hidden="false" customHeight="true" outlineLevel="0" collapsed="false">
      <c r="A29" s="525"/>
      <c r="B29" s="540"/>
      <c r="C29" s="533" t="n">
        <v>232130</v>
      </c>
      <c r="D29" s="534" t="s">
        <v>728</v>
      </c>
      <c r="E29" s="535" t="s">
        <v>725</v>
      </c>
      <c r="F29" s="536" t="n">
        <v>340</v>
      </c>
      <c r="G29" s="530" t="n">
        <f aca="false">F29-B29</f>
        <v>340</v>
      </c>
      <c r="H29" s="537" t="n">
        <f aca="false">G29*(1+$H$56)</f>
        <v>391</v>
      </c>
      <c r="I29" s="538"/>
      <c r="J29" s="539" t="n">
        <f aca="false">I29*G29</f>
        <v>0</v>
      </c>
      <c r="K29" s="519"/>
    </row>
    <row r="30" customFormat="false" ht="15.75" hidden="false" customHeight="true" outlineLevel="0" collapsed="false">
      <c r="A30" s="525"/>
      <c r="B30" s="466" t="n">
        <v>42.5</v>
      </c>
      <c r="C30" s="533" t="n">
        <v>220848</v>
      </c>
      <c r="D30" s="534" t="s">
        <v>729</v>
      </c>
      <c r="E30" s="535" t="s">
        <v>725</v>
      </c>
      <c r="F30" s="536" t="n">
        <v>340</v>
      </c>
      <c r="G30" s="530" t="n">
        <f aca="false">F30-B30</f>
        <v>297.5</v>
      </c>
      <c r="H30" s="537" t="n">
        <f aca="false">G30*(1+$H$56)</f>
        <v>342.125</v>
      </c>
      <c r="I30" s="538"/>
      <c r="J30" s="539" t="n">
        <f aca="false">I30*G30</f>
        <v>0</v>
      </c>
      <c r="K30" s="519"/>
    </row>
    <row r="31" customFormat="false" ht="15.75" hidden="false" customHeight="true" outlineLevel="0" collapsed="false">
      <c r="A31" s="525"/>
      <c r="B31" s="540" t="n">
        <v>15</v>
      </c>
      <c r="C31" s="541" t="n">
        <v>220849</v>
      </c>
      <c r="D31" s="542" t="s">
        <v>730</v>
      </c>
      <c r="E31" s="543" t="s">
        <v>725</v>
      </c>
      <c r="F31" s="536" t="n">
        <v>280</v>
      </c>
      <c r="G31" s="530" t="n">
        <f aca="false">F31-B31</f>
        <v>265</v>
      </c>
      <c r="H31" s="537" t="n">
        <f aca="false">G31*(1+$H$56)</f>
        <v>304.75</v>
      </c>
      <c r="I31" s="538"/>
      <c r="J31" s="539" t="n">
        <f aca="false">I31*G31</f>
        <v>0</v>
      </c>
      <c r="K31" s="519"/>
    </row>
    <row r="32" customFormat="false" ht="15.75" hidden="false" customHeight="true" outlineLevel="0" collapsed="false">
      <c r="A32" s="525"/>
      <c r="B32" s="540" t="n">
        <v>0</v>
      </c>
      <c r="C32" s="541" t="n">
        <v>229301</v>
      </c>
      <c r="D32" s="542" t="s">
        <v>731</v>
      </c>
      <c r="E32" s="543" t="s">
        <v>725</v>
      </c>
      <c r="F32" s="536" t="n">
        <v>125</v>
      </c>
      <c r="G32" s="530" t="n">
        <f aca="false">F32-B32</f>
        <v>125</v>
      </c>
      <c r="H32" s="537" t="n">
        <f aca="false">G32*(1+$H$56)</f>
        <v>143.75</v>
      </c>
      <c r="I32" s="538"/>
      <c r="J32" s="539" t="n">
        <f aca="false">I32*G32</f>
        <v>0</v>
      </c>
      <c r="K32" s="519"/>
    </row>
    <row r="33" customFormat="false" ht="15.75" hidden="false" customHeight="true" outlineLevel="0" collapsed="false">
      <c r="A33" s="525"/>
      <c r="B33" s="540" t="n">
        <v>35</v>
      </c>
      <c r="C33" s="544" t="n">
        <v>236667</v>
      </c>
      <c r="D33" s="545" t="s">
        <v>732</v>
      </c>
      <c r="E33" s="546" t="s">
        <v>733</v>
      </c>
      <c r="F33" s="547" t="n">
        <v>400</v>
      </c>
      <c r="G33" s="530" t="n">
        <f aca="false">F33-B33</f>
        <v>365</v>
      </c>
      <c r="H33" s="537" t="n">
        <f aca="false">G33*(1+$H$56)</f>
        <v>419.75</v>
      </c>
      <c r="I33" s="548"/>
      <c r="J33" s="539" t="n">
        <f aca="false">I33*G33</f>
        <v>0</v>
      </c>
      <c r="K33" s="519"/>
    </row>
    <row r="34" customFormat="false" ht="15.75" hidden="false" customHeight="true" outlineLevel="0" collapsed="false">
      <c r="A34" s="525"/>
      <c r="B34" s="540" t="n">
        <v>34.375</v>
      </c>
      <c r="C34" s="544" t="n">
        <v>220814</v>
      </c>
      <c r="D34" s="549" t="s">
        <v>734</v>
      </c>
      <c r="E34" s="550" t="s">
        <v>735</v>
      </c>
      <c r="F34" s="547" t="n">
        <v>290</v>
      </c>
      <c r="G34" s="530" t="n">
        <f aca="false">F34-B34</f>
        <v>255.625</v>
      </c>
      <c r="H34" s="537" t="n">
        <f aca="false">G34*(1+$H$56)</f>
        <v>293.96875</v>
      </c>
      <c r="I34" s="548"/>
      <c r="J34" s="539" t="n">
        <f aca="false">I34*G34</f>
        <v>0</v>
      </c>
      <c r="K34" s="519"/>
      <c r="L34" s="493"/>
    </row>
    <row r="35" customFormat="false" ht="15.75" hidden="false" customHeight="true" outlineLevel="0" collapsed="false">
      <c r="A35" s="551" t="s">
        <v>736</v>
      </c>
      <c r="B35" s="552" t="n">
        <v>15</v>
      </c>
      <c r="C35" s="553" t="n">
        <v>220834</v>
      </c>
      <c r="D35" s="554" t="s">
        <v>737</v>
      </c>
      <c r="E35" s="555"/>
      <c r="F35" s="556" t="n">
        <v>225</v>
      </c>
      <c r="G35" s="557" t="n">
        <f aca="false">F35-B35</f>
        <v>210</v>
      </c>
      <c r="H35" s="557" t="n">
        <f aca="false">G35*(1+$H$56)</f>
        <v>241.5</v>
      </c>
      <c r="I35" s="558"/>
      <c r="J35" s="559" t="n">
        <f aca="false">I35*G35</f>
        <v>0</v>
      </c>
      <c r="K35" s="519"/>
    </row>
    <row r="36" customFormat="false" ht="15.75" hidden="false" customHeight="true" outlineLevel="0" collapsed="false">
      <c r="A36" s="551"/>
      <c r="B36" s="560" t="n">
        <v>15</v>
      </c>
      <c r="C36" s="561" t="n">
        <v>220835</v>
      </c>
      <c r="D36" s="562" t="s">
        <v>738</v>
      </c>
      <c r="E36" s="563"/>
      <c r="F36" s="564" t="n">
        <v>225</v>
      </c>
      <c r="G36" s="565" t="n">
        <f aca="false">F36-B36</f>
        <v>210</v>
      </c>
      <c r="H36" s="557" t="n">
        <f aca="false">G36*(1+$H$56)</f>
        <v>241.5</v>
      </c>
      <c r="I36" s="566"/>
      <c r="J36" s="567" t="n">
        <f aca="false">I36*G36</f>
        <v>0</v>
      </c>
      <c r="K36" s="519"/>
    </row>
    <row r="37" customFormat="false" ht="15.75" hidden="false" customHeight="true" outlineLevel="0" collapsed="false">
      <c r="A37" s="551"/>
      <c r="B37" s="560" t="n">
        <v>0</v>
      </c>
      <c r="C37" s="568" t="n">
        <v>214244</v>
      </c>
      <c r="D37" s="569" t="s">
        <v>739</v>
      </c>
      <c r="E37" s="570"/>
      <c r="F37" s="571" t="n">
        <v>300</v>
      </c>
      <c r="G37" s="572" t="n">
        <f aca="false">F37-B37</f>
        <v>300</v>
      </c>
      <c r="H37" s="557" t="n">
        <f aca="false">G37*(1+$H$56)</f>
        <v>345</v>
      </c>
      <c r="I37" s="573"/>
      <c r="J37" s="574" t="n">
        <f aca="false">I37*G37</f>
        <v>0</v>
      </c>
      <c r="K37" s="519"/>
    </row>
    <row r="38" customFormat="false" ht="15.75" hidden="false" customHeight="true" outlineLevel="0" collapsed="false">
      <c r="A38" s="494" t="s">
        <v>740</v>
      </c>
      <c r="B38" s="515" t="n">
        <v>0</v>
      </c>
      <c r="C38" s="575" t="n">
        <v>220841</v>
      </c>
      <c r="D38" s="497" t="s">
        <v>741</v>
      </c>
      <c r="E38" s="498"/>
      <c r="F38" s="499" t="n">
        <v>160</v>
      </c>
      <c r="G38" s="500" t="n">
        <f aca="false">F38-B38</f>
        <v>160</v>
      </c>
      <c r="H38" s="500" t="n">
        <f aca="false">G38*(1+$H$56)</f>
        <v>184</v>
      </c>
      <c r="I38" s="576"/>
      <c r="J38" s="502" t="n">
        <f aca="false">I38*G38</f>
        <v>0</v>
      </c>
      <c r="K38" s="519"/>
    </row>
    <row r="39" customFormat="false" ht="15.75" hidden="false" customHeight="true" outlineLevel="0" collapsed="false">
      <c r="A39" s="494"/>
      <c r="B39" s="515" t="n">
        <v>0</v>
      </c>
      <c r="C39" s="577" t="n">
        <v>228631</v>
      </c>
      <c r="D39" s="578" t="s">
        <v>742</v>
      </c>
      <c r="E39" s="579"/>
      <c r="F39" s="512" t="n">
        <v>260</v>
      </c>
      <c r="G39" s="580" t="n">
        <f aca="false">F39-B39</f>
        <v>260</v>
      </c>
      <c r="H39" s="500" t="n">
        <f aca="false">G39*(1+$H$56)</f>
        <v>299</v>
      </c>
      <c r="I39" s="581"/>
      <c r="J39" s="514" t="n">
        <f aca="false">I39*G39</f>
        <v>0</v>
      </c>
      <c r="K39" s="519"/>
    </row>
    <row r="40" customFormat="false" ht="15.75" hidden="false" customHeight="true" outlineLevel="0" collapsed="false">
      <c r="A40" s="494"/>
      <c r="B40" s="515" t="n">
        <v>0</v>
      </c>
      <c r="C40" s="577" t="n">
        <v>233120</v>
      </c>
      <c r="D40" s="578" t="s">
        <v>743</v>
      </c>
      <c r="E40" s="579"/>
      <c r="F40" s="512" t="n">
        <v>270</v>
      </c>
      <c r="G40" s="580" t="n">
        <f aca="false">F40-B40</f>
        <v>270</v>
      </c>
      <c r="H40" s="500" t="n">
        <f aca="false">G40*(1+$H$56)</f>
        <v>310.5</v>
      </c>
      <c r="I40" s="581"/>
      <c r="J40" s="514" t="n">
        <f aca="false">I40*G40</f>
        <v>0</v>
      </c>
      <c r="K40" s="519"/>
    </row>
    <row r="41" customFormat="false" ht="15.75" hidden="true" customHeight="true" outlineLevel="0" collapsed="false">
      <c r="A41" s="494"/>
      <c r="B41" s="515" t="n">
        <v>0</v>
      </c>
      <c r="C41" s="577" t="n">
        <v>216497</v>
      </c>
      <c r="D41" s="578" t="s">
        <v>744</v>
      </c>
      <c r="E41" s="579"/>
      <c r="F41" s="518" t="n">
        <v>230</v>
      </c>
      <c r="G41" s="580" t="n">
        <f aca="false">F41-B41</f>
        <v>230</v>
      </c>
      <c r="H41" s="500" t="n">
        <f aca="false">G41*(1+$H$56)</f>
        <v>264.5</v>
      </c>
      <c r="I41" s="581"/>
      <c r="J41" s="514" t="n">
        <f aca="false">I41*G41</f>
        <v>0</v>
      </c>
      <c r="K41" s="519"/>
    </row>
    <row r="42" customFormat="false" ht="15.75" hidden="true" customHeight="true" outlineLevel="0" collapsed="false">
      <c r="A42" s="494"/>
      <c r="B42" s="515" t="n">
        <v>0</v>
      </c>
      <c r="C42" s="577" t="n">
        <v>214027</v>
      </c>
      <c r="D42" s="578" t="s">
        <v>745</v>
      </c>
      <c r="E42" s="579"/>
      <c r="F42" s="512" t="n">
        <v>260</v>
      </c>
      <c r="G42" s="580" t="n">
        <f aca="false">F42-B42</f>
        <v>260</v>
      </c>
      <c r="H42" s="500" t="n">
        <f aca="false">G42*(1+$H$56)</f>
        <v>299</v>
      </c>
      <c r="I42" s="581"/>
      <c r="J42" s="514" t="n">
        <f aca="false">I42*G42</f>
        <v>0</v>
      </c>
      <c r="K42" s="519"/>
    </row>
    <row r="43" customFormat="false" ht="15.75" hidden="false" customHeight="true" outlineLevel="0" collapsed="false">
      <c r="A43" s="494"/>
      <c r="B43" s="515" t="n">
        <v>0</v>
      </c>
      <c r="C43" s="582" t="n">
        <v>214012</v>
      </c>
      <c r="D43" s="583" t="s">
        <v>746</v>
      </c>
      <c r="E43" s="584"/>
      <c r="F43" s="523" t="n">
        <v>290</v>
      </c>
      <c r="G43" s="585" t="n">
        <f aca="false">F43-B43</f>
        <v>290</v>
      </c>
      <c r="H43" s="586" t="n">
        <f aca="false">G43*(1+$H$56)</f>
        <v>333.5</v>
      </c>
      <c r="I43" s="587"/>
      <c r="J43" s="588" t="n">
        <f aca="false">I43*G43</f>
        <v>0</v>
      </c>
      <c r="K43" s="519"/>
    </row>
    <row r="44" customFormat="false" ht="15.75" hidden="false" customHeight="true" outlineLevel="0" collapsed="false">
      <c r="A44" s="589" t="s">
        <v>747</v>
      </c>
      <c r="B44" s="590" t="n">
        <v>15</v>
      </c>
      <c r="C44" s="591" t="n">
        <v>220830</v>
      </c>
      <c r="D44" s="592" t="s">
        <v>748</v>
      </c>
      <c r="E44" s="593"/>
      <c r="F44" s="594" t="n">
        <v>185</v>
      </c>
      <c r="G44" s="595" t="n">
        <f aca="false">F44-B44</f>
        <v>170</v>
      </c>
      <c r="H44" s="595" t="n">
        <f aca="false">G44*(1+$H$56)</f>
        <v>195.5</v>
      </c>
      <c r="I44" s="596"/>
      <c r="J44" s="597" t="n">
        <f aca="false">I44*G44</f>
        <v>0</v>
      </c>
      <c r="K44" s="519"/>
    </row>
    <row r="45" customFormat="false" ht="15.75" hidden="false" customHeight="true" outlineLevel="0" collapsed="false">
      <c r="A45" s="589"/>
      <c r="B45" s="560" t="n">
        <v>15</v>
      </c>
      <c r="C45" s="598" t="n">
        <v>220831</v>
      </c>
      <c r="D45" s="599" t="s">
        <v>749</v>
      </c>
      <c r="E45" s="600"/>
      <c r="F45" s="601" t="n">
        <v>185</v>
      </c>
      <c r="G45" s="602" t="n">
        <f aca="false">F45-B45</f>
        <v>170</v>
      </c>
      <c r="H45" s="602" t="n">
        <f aca="false">G45*(1+$H$56)</f>
        <v>195.5</v>
      </c>
      <c r="I45" s="603"/>
      <c r="J45" s="604" t="n">
        <f aca="false">I45*G45</f>
        <v>0</v>
      </c>
      <c r="K45" s="519"/>
    </row>
    <row r="46" customFormat="false" ht="15.75" hidden="false" customHeight="true" outlineLevel="0" collapsed="false">
      <c r="A46" s="605" t="s">
        <v>750</v>
      </c>
      <c r="B46" s="606" t="n">
        <v>0</v>
      </c>
      <c r="C46" s="607" t="n">
        <v>220822</v>
      </c>
      <c r="D46" s="608" t="s">
        <v>751</v>
      </c>
      <c r="E46" s="609"/>
      <c r="F46" s="610" t="n">
        <v>120</v>
      </c>
      <c r="G46" s="611" t="n">
        <f aca="false">F46-B46</f>
        <v>120</v>
      </c>
      <c r="H46" s="611" t="n">
        <f aca="false">G46*(1+$H$56)</f>
        <v>138</v>
      </c>
      <c r="I46" s="612"/>
      <c r="J46" s="613" t="n">
        <f aca="false">I46*G46</f>
        <v>0</v>
      </c>
      <c r="K46" s="519"/>
    </row>
    <row r="47" customFormat="false" ht="15.75" hidden="false" customHeight="true" outlineLevel="0" collapsed="false">
      <c r="A47" s="605"/>
      <c r="B47" s="606" t="n">
        <v>0</v>
      </c>
      <c r="C47" s="607" t="n">
        <v>237219</v>
      </c>
      <c r="D47" s="608" t="s">
        <v>752</v>
      </c>
      <c r="E47" s="609"/>
      <c r="F47" s="610" t="n">
        <v>150</v>
      </c>
      <c r="G47" s="611" t="n">
        <f aca="false">F47-B47</f>
        <v>150</v>
      </c>
      <c r="H47" s="611" t="n">
        <f aca="false">G47*(1+$H$56)</f>
        <v>172.5</v>
      </c>
      <c r="I47" s="612"/>
      <c r="J47" s="613" t="n">
        <f aca="false">I47*G47</f>
        <v>0</v>
      </c>
      <c r="K47" s="519"/>
    </row>
    <row r="48" customFormat="false" ht="15.75" hidden="false" customHeight="true" outlineLevel="0" collapsed="false">
      <c r="A48" s="605"/>
      <c r="B48" s="606" t="n">
        <v>0</v>
      </c>
      <c r="C48" s="607" t="n">
        <v>237487</v>
      </c>
      <c r="D48" s="608" t="s">
        <v>753</v>
      </c>
      <c r="E48" s="609"/>
      <c r="F48" s="610" t="n">
        <v>180</v>
      </c>
      <c r="G48" s="611" t="n">
        <f aca="false">F48-B48</f>
        <v>180</v>
      </c>
      <c r="H48" s="611" t="n">
        <f aca="false">G48*(1+$H$56)</f>
        <v>207</v>
      </c>
      <c r="I48" s="612"/>
      <c r="J48" s="613" t="n">
        <f aca="false">I48*G48</f>
        <v>0</v>
      </c>
      <c r="K48" s="519"/>
    </row>
    <row r="49" customFormat="false" ht="15.75" hidden="false" customHeight="true" outlineLevel="0" collapsed="false">
      <c r="A49" s="605"/>
      <c r="B49" s="606" t="n">
        <v>0</v>
      </c>
      <c r="C49" s="607" t="n">
        <v>237391</v>
      </c>
      <c r="D49" s="608" t="s">
        <v>754</v>
      </c>
      <c r="E49" s="609"/>
      <c r="F49" s="610" t="n">
        <v>160</v>
      </c>
      <c r="G49" s="611" t="n">
        <f aca="false">F49-B49</f>
        <v>160</v>
      </c>
      <c r="H49" s="611" t="n">
        <f aca="false">G49*(1+$H$56)</f>
        <v>184</v>
      </c>
      <c r="I49" s="612"/>
      <c r="J49" s="613" t="n">
        <f aca="false">I49*G49</f>
        <v>0</v>
      </c>
      <c r="K49" s="519"/>
    </row>
    <row r="50" customFormat="false" ht="15.75" hidden="false" customHeight="true" outlineLevel="0" collapsed="false">
      <c r="A50" s="614" t="s">
        <v>755</v>
      </c>
      <c r="B50" s="560" t="n">
        <v>15</v>
      </c>
      <c r="C50" s="615" t="n">
        <v>211522</v>
      </c>
      <c r="D50" s="616" t="s">
        <v>756</v>
      </c>
      <c r="E50" s="617"/>
      <c r="F50" s="618" t="n">
        <v>230</v>
      </c>
      <c r="G50" s="619" t="n">
        <f aca="false">F50-B50</f>
        <v>215</v>
      </c>
      <c r="H50" s="619" t="n">
        <f aca="false">G50*(1+$H$56)</f>
        <v>247.25</v>
      </c>
      <c r="I50" s="620"/>
      <c r="J50" s="621" t="n">
        <f aca="false">I50*G50</f>
        <v>0</v>
      </c>
      <c r="K50" s="519"/>
    </row>
    <row r="51" customFormat="false" ht="15.75" hidden="false" customHeight="true" outlineLevel="0" collapsed="false">
      <c r="A51" s="614"/>
      <c r="B51" s="560" t="n">
        <v>0</v>
      </c>
      <c r="C51" s="598" t="n">
        <v>211510</v>
      </c>
      <c r="D51" s="616" t="s">
        <v>757</v>
      </c>
      <c r="E51" s="622"/>
      <c r="F51" s="623" t="n">
        <v>300</v>
      </c>
      <c r="G51" s="619" t="n">
        <f aca="false">F51-B51</f>
        <v>300</v>
      </c>
      <c r="H51" s="619" t="n">
        <f aca="false">G51*(1+$H$56)</f>
        <v>345</v>
      </c>
      <c r="I51" s="624"/>
      <c r="J51" s="621" t="n">
        <f aca="false">I51*G51</f>
        <v>0</v>
      </c>
      <c r="K51" s="519"/>
    </row>
    <row r="52" customFormat="false" ht="15.75" hidden="false" customHeight="true" outlineLevel="0" collapsed="false">
      <c r="A52" s="614"/>
      <c r="B52" s="560" t="n">
        <v>0</v>
      </c>
      <c r="C52" s="598" t="n">
        <v>211508</v>
      </c>
      <c r="D52" s="616" t="s">
        <v>758</v>
      </c>
      <c r="E52" s="622"/>
      <c r="F52" s="623" t="n">
        <v>300</v>
      </c>
      <c r="G52" s="619" t="n">
        <f aca="false">F52-B52</f>
        <v>300</v>
      </c>
      <c r="H52" s="619" t="n">
        <f aca="false">G52*(1+$H$56)</f>
        <v>345</v>
      </c>
      <c r="I52" s="624"/>
      <c r="J52" s="621" t="n">
        <f aca="false">I52*G52</f>
        <v>0</v>
      </c>
      <c r="K52" s="519"/>
    </row>
    <row r="53" customFormat="false" ht="15.75" hidden="false" customHeight="true" outlineLevel="0" collapsed="false">
      <c r="A53" s="614" t="s">
        <v>759</v>
      </c>
      <c r="B53" s="560" t="n">
        <v>10</v>
      </c>
      <c r="C53" s="598" t="n">
        <v>234428</v>
      </c>
      <c r="D53" s="625" t="s">
        <v>760</v>
      </c>
      <c r="E53" s="622"/>
      <c r="F53" s="623" t="n">
        <v>60</v>
      </c>
      <c r="G53" s="619" t="n">
        <f aca="false">F53-B53</f>
        <v>50</v>
      </c>
      <c r="H53" s="619" t="n">
        <f aca="false">G53*(1+$H$56)</f>
        <v>57.5</v>
      </c>
      <c r="I53" s="624"/>
      <c r="J53" s="621" t="n">
        <f aca="false">I53*G53</f>
        <v>0</v>
      </c>
      <c r="K53" s="519"/>
      <c r="L53" s="493"/>
    </row>
    <row r="54" customFormat="false" ht="15.75" hidden="false" customHeight="true" outlineLevel="0" collapsed="false">
      <c r="A54" s="626" t="s">
        <v>761</v>
      </c>
      <c r="B54" s="626"/>
      <c r="C54" s="627" t="n">
        <v>216474</v>
      </c>
      <c r="D54" s="628" t="s">
        <v>762</v>
      </c>
      <c r="E54" s="629"/>
      <c r="F54" s="630" t="n">
        <v>200</v>
      </c>
      <c r="G54" s="631" t="n">
        <f aca="false">F54-B54</f>
        <v>200</v>
      </c>
      <c r="H54" s="631" t="n">
        <f aca="false">G54*(1+$H$56)</f>
        <v>230</v>
      </c>
      <c r="I54" s="632"/>
      <c r="J54" s="633" t="n">
        <f aca="false">I54*G54</f>
        <v>0</v>
      </c>
      <c r="K54" s="519"/>
    </row>
    <row r="55" customFormat="false" ht="18" hidden="false" customHeight="true" outlineLevel="0" collapsed="false">
      <c r="A55" s="454"/>
      <c r="B55" s="634"/>
      <c r="C55" s="454"/>
      <c r="D55" s="635"/>
      <c r="E55" s="635"/>
      <c r="F55" s="244"/>
      <c r="G55" s="636" t="s">
        <v>763</v>
      </c>
      <c r="H55" s="636"/>
      <c r="I55" s="637" t="n">
        <f aca="false">SUM(J3:J54)</f>
        <v>1830.002</v>
      </c>
      <c r="J55" s="637"/>
      <c r="K55" s="637"/>
    </row>
    <row r="56" customFormat="false" ht="20.25" hidden="false" customHeight="true" outlineLevel="0" collapsed="false">
      <c r="A56" s="638" t="s">
        <v>764</v>
      </c>
      <c r="B56" s="638"/>
      <c r="C56" s="639"/>
      <c r="D56" s="640"/>
      <c r="E56" s="640"/>
      <c r="F56" s="640"/>
      <c r="G56" s="641" t="s">
        <v>765</v>
      </c>
      <c r="H56" s="642" t="n">
        <v>0.15</v>
      </c>
      <c r="I56" s="643" t="n">
        <f aca="false">I55*(+H56)</f>
        <v>274.5003</v>
      </c>
      <c r="J56" s="643"/>
      <c r="K56" s="643"/>
      <c r="L56" s="493"/>
    </row>
    <row r="57" customFormat="false" ht="18" hidden="false" customHeight="true" outlineLevel="0" collapsed="false">
      <c r="B57" s="644"/>
      <c r="C57" s="639"/>
      <c r="D57" s="640"/>
      <c r="E57" s="640"/>
      <c r="F57" s="640"/>
      <c r="G57" s="645" t="s">
        <v>766</v>
      </c>
      <c r="H57" s="645"/>
      <c r="I57" s="643" t="n">
        <f aca="false">I55+I56</f>
        <v>2104.5023</v>
      </c>
      <c r="J57" s="643"/>
      <c r="K57" s="643"/>
    </row>
    <row r="58" customFormat="false" ht="18" hidden="false" customHeight="true" outlineLevel="0" collapsed="false">
      <c r="B58" s="644"/>
      <c r="C58" s="646"/>
      <c r="D58" s="640"/>
      <c r="E58" s="640"/>
      <c r="F58" s="640"/>
      <c r="G58" s="647" t="s">
        <v>767</v>
      </c>
      <c r="H58" s="647"/>
      <c r="I58" s="648" t="n">
        <f aca="false">SUM(I3:I54)</f>
        <v>7</v>
      </c>
      <c r="J58" s="648"/>
      <c r="K58" s="648"/>
      <c r="L58" s="493"/>
    </row>
    <row r="59" customFormat="false" ht="29.25" hidden="false" customHeight="true" outlineLevel="0" collapsed="false">
      <c r="G59" s="649"/>
      <c r="H59" s="649"/>
      <c r="I59" s="649"/>
      <c r="J59" s="650"/>
      <c r="L59" s="493"/>
    </row>
    <row r="60" customFormat="false" ht="15.75" hidden="false" customHeight="true" outlineLevel="0" collapsed="false">
      <c r="I60" s="651"/>
      <c r="J60" s="455"/>
    </row>
    <row r="62" customFormat="false" ht="15.75" hidden="false" customHeight="true" outlineLevel="0" collapsed="false">
      <c r="K62" s="454"/>
    </row>
  </sheetData>
  <mergeCells count="22">
    <mergeCell ref="A1:K1"/>
    <mergeCell ref="K2:K19"/>
    <mergeCell ref="A3:A6"/>
    <mergeCell ref="A7:A25"/>
    <mergeCell ref="K20:K54"/>
    <mergeCell ref="A26:A34"/>
    <mergeCell ref="A35:A37"/>
    <mergeCell ref="A38:A43"/>
    <mergeCell ref="A44:A45"/>
    <mergeCell ref="A46:A49"/>
    <mergeCell ref="A50:A52"/>
    <mergeCell ref="A54:B54"/>
    <mergeCell ref="G55:H55"/>
    <mergeCell ref="I55:K55"/>
    <mergeCell ref="A56:B56"/>
    <mergeCell ref="D56:F58"/>
    <mergeCell ref="I56:K56"/>
    <mergeCell ref="G57:H57"/>
    <mergeCell ref="I57:K57"/>
    <mergeCell ref="G58:H58"/>
    <mergeCell ref="I58:K58"/>
    <mergeCell ref="G59:I59"/>
  </mergeCells>
  <dataValidations count="2">
    <dataValidation allowBlank="true" errorStyle="stop" operator="between" showDropDown="false" showErrorMessage="true" showInputMessage="true" sqref="H56" type="list">
      <formula1>"5%,15%"</formula1>
      <formula2>0</formula2>
    </dataValidation>
    <dataValidation allowBlank="true" errorStyle="stop" operator="between" showDropDown="false" showErrorMessage="true" showInputMessage="true" sqref="B3:C43 A44:C44 B45:C45 A46:B46 B47:B52 A50:A51 B53 A54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26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6" min="4" style="0" width="11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10" min="9" style="0" width="15"/>
    <col collapsed="false" customWidth="true" hidden="false" outlineLevel="0" max="14" min="11" style="0" width="11"/>
    <col collapsed="false" customWidth="true" hidden="false" outlineLevel="0" max="15" min="15" style="0" width="12"/>
    <col collapsed="false" customWidth="true" hidden="false" outlineLevel="0" max="16" min="16" style="0" width="13"/>
  </cols>
  <sheetData>
    <row r="1" customFormat="false" ht="28.35" hidden="false" customHeight="false" outlineLevel="0" collapsed="false">
      <c r="A1" s="122" t="s">
        <v>358</v>
      </c>
      <c r="B1" s="122" t="s">
        <v>353</v>
      </c>
      <c r="C1" s="122" t="s">
        <v>356</v>
      </c>
      <c r="D1" s="122" t="s">
        <v>355</v>
      </c>
      <c r="E1" s="122" t="s">
        <v>352</v>
      </c>
      <c r="F1" s="122" t="s">
        <v>351</v>
      </c>
      <c r="G1" s="121" t="s">
        <v>350</v>
      </c>
      <c r="H1" s="121" t="s">
        <v>349</v>
      </c>
      <c r="I1" s="122" t="s">
        <v>359</v>
      </c>
      <c r="J1" s="122" t="s">
        <v>360</v>
      </c>
      <c r="K1" s="122" t="s">
        <v>361</v>
      </c>
      <c r="L1" s="122" t="s">
        <v>362</v>
      </c>
      <c r="M1" s="122" t="s">
        <v>768</v>
      </c>
      <c r="N1" s="122" t="s">
        <v>15</v>
      </c>
      <c r="O1" s="122" t="s">
        <v>21</v>
      </c>
      <c r="P1" s="122" t="s">
        <v>365</v>
      </c>
    </row>
    <row r="2" customFormat="false" ht="15" hidden="false" customHeight="false" outlineLevel="0" collapsed="false">
      <c r="A2" s="652" t="n">
        <v>45434</v>
      </c>
      <c r="B2" s="123" t="n">
        <v>13</v>
      </c>
      <c r="C2" s="124" t="s">
        <v>311</v>
      </c>
      <c r="D2" s="124" t="s">
        <v>301</v>
      </c>
      <c r="E2" s="653" t="n">
        <v>155.25</v>
      </c>
      <c r="G2" s="653" t="n">
        <v>155.25</v>
      </c>
      <c r="P2" s="123" t="n">
        <v>1</v>
      </c>
    </row>
    <row r="3" customFormat="false" ht="15" hidden="false" customHeight="false" outlineLevel="0" collapsed="false">
      <c r="A3" s="652" t="n">
        <v>45435</v>
      </c>
      <c r="B3" s="123" t="n">
        <v>14</v>
      </c>
      <c r="C3" s="124" t="s">
        <v>318</v>
      </c>
      <c r="D3" s="124" t="s">
        <v>224</v>
      </c>
      <c r="E3" s="653" t="n">
        <v>787.75</v>
      </c>
      <c r="G3" s="123" t="n">
        <v>943</v>
      </c>
      <c r="I3" s="123" t="n">
        <v>2</v>
      </c>
      <c r="P3" s="123" t="n">
        <v>1</v>
      </c>
    </row>
    <row r="4" customFormat="false" ht="15" hidden="false" customHeight="false" outlineLevel="0" collapsed="false">
      <c r="A4" s="652" t="n">
        <v>45435</v>
      </c>
      <c r="B4" s="123" t="n">
        <v>16</v>
      </c>
      <c r="C4" s="124" t="s">
        <v>317</v>
      </c>
      <c r="D4" s="124" t="s">
        <v>224</v>
      </c>
      <c r="E4" s="653" t="n">
        <v>316.25</v>
      </c>
      <c r="G4" s="653" t="n">
        <v>1259.25</v>
      </c>
      <c r="I4" s="123" t="n">
        <v>1</v>
      </c>
    </row>
    <row r="5" customFormat="false" ht="15" hidden="false" customHeight="false" outlineLevel="0" collapsed="false">
      <c r="A5" s="652" t="n">
        <v>45435</v>
      </c>
      <c r="B5" s="123" t="n">
        <v>15</v>
      </c>
      <c r="C5" s="124" t="s">
        <v>317</v>
      </c>
      <c r="D5" s="124" t="s">
        <v>224</v>
      </c>
      <c r="E5" s="653" t="n">
        <v>1581.25</v>
      </c>
      <c r="G5" s="653" t="n">
        <v>2840.5</v>
      </c>
      <c r="I5" s="123" t="n">
        <v>5</v>
      </c>
    </row>
    <row r="6" customFormat="false" ht="15" hidden="false" customHeight="false" outlineLevel="0" collapsed="false">
      <c r="A6" s="652" t="n">
        <v>45435</v>
      </c>
      <c r="B6" s="123" t="n">
        <v>17</v>
      </c>
      <c r="C6" s="124" t="s">
        <v>320</v>
      </c>
      <c r="D6" s="124" t="s">
        <v>224</v>
      </c>
      <c r="E6" s="653" t="n">
        <v>316.25</v>
      </c>
      <c r="G6" s="653" t="n">
        <v>3156.75</v>
      </c>
      <c r="I6" s="123" t="n">
        <v>1</v>
      </c>
    </row>
    <row r="7" customFormat="false" ht="15" hidden="false" customHeight="false" outlineLevel="0" collapsed="false">
      <c r="A7" s="652" t="n">
        <v>45434</v>
      </c>
      <c r="B7" s="123" t="n">
        <v>9</v>
      </c>
      <c r="C7" s="124" t="s">
        <v>295</v>
      </c>
      <c r="D7" s="124" t="s">
        <v>286</v>
      </c>
      <c r="E7" s="653" t="n">
        <v>569.25</v>
      </c>
      <c r="G7" s="123" t="n">
        <v>3726</v>
      </c>
      <c r="I7" s="123" t="n">
        <v>1</v>
      </c>
      <c r="K7" s="123" t="n">
        <v>1</v>
      </c>
    </row>
    <row r="8" customFormat="false" ht="15" hidden="false" customHeight="false" outlineLevel="0" collapsed="false">
      <c r="A8" s="652" t="n">
        <v>45434</v>
      </c>
      <c r="B8" s="123" t="n">
        <v>10</v>
      </c>
      <c r="C8" s="124" t="s">
        <v>290</v>
      </c>
      <c r="D8" s="124" t="s">
        <v>286</v>
      </c>
      <c r="E8" s="653" t="n">
        <v>632.5</v>
      </c>
      <c r="G8" s="653" t="n">
        <v>4358.5</v>
      </c>
      <c r="I8" s="123" t="n">
        <v>2</v>
      </c>
    </row>
    <row r="9" customFormat="false" ht="15" hidden="false" customHeight="false" outlineLevel="0" collapsed="false">
      <c r="A9" s="652" t="n">
        <v>45434</v>
      </c>
      <c r="B9" s="123" t="n">
        <v>11</v>
      </c>
      <c r="C9" s="124" t="s">
        <v>291</v>
      </c>
      <c r="D9" s="124" t="s">
        <v>286</v>
      </c>
      <c r="E9" s="123" t="n">
        <v>552</v>
      </c>
      <c r="G9" s="653" t="n">
        <v>4910.5</v>
      </c>
      <c r="O9" s="123" t="n">
        <v>4</v>
      </c>
    </row>
    <row r="10" customFormat="false" ht="15" hidden="false" customHeight="false" outlineLevel="0" collapsed="false">
      <c r="A10" s="652" t="n">
        <v>45434</v>
      </c>
      <c r="B10" s="123" t="n">
        <v>12</v>
      </c>
      <c r="C10" s="124" t="s">
        <v>316</v>
      </c>
      <c r="D10" s="124" t="s">
        <v>301</v>
      </c>
      <c r="E10" s="123" t="n">
        <v>943</v>
      </c>
      <c r="G10" s="653" t="n">
        <v>5853.5</v>
      </c>
      <c r="I10" s="123" t="n">
        <v>2</v>
      </c>
      <c r="P10" s="123" t="n">
        <v>2</v>
      </c>
    </row>
    <row r="11" customFormat="false" ht="15" hidden="false" customHeight="false" outlineLevel="0" collapsed="false">
      <c r="A11" s="652" t="n">
        <v>45428</v>
      </c>
      <c r="B11" s="123" t="n">
        <v>4</v>
      </c>
      <c r="C11" s="124" t="s">
        <v>122</v>
      </c>
      <c r="D11" s="124" t="s">
        <v>119</v>
      </c>
      <c r="E11" s="123" t="n">
        <v>575</v>
      </c>
      <c r="G11" s="653" t="n">
        <v>6428.5</v>
      </c>
      <c r="I11" s="123" t="n">
        <v>1</v>
      </c>
      <c r="M11" s="123" t="n">
        <v>1</v>
      </c>
    </row>
    <row r="12" customFormat="false" ht="15" hidden="false" customHeight="false" outlineLevel="0" collapsed="false">
      <c r="A12" s="652" t="n">
        <v>45428</v>
      </c>
      <c r="B12" s="123" t="n">
        <v>3</v>
      </c>
      <c r="C12" s="124" t="s">
        <v>126</v>
      </c>
      <c r="D12" s="124" t="s">
        <v>127</v>
      </c>
      <c r="E12" s="653" t="n">
        <v>891.23</v>
      </c>
      <c r="G12" s="653" t="n">
        <v>7319.73</v>
      </c>
      <c r="I12" s="123" t="n">
        <v>2</v>
      </c>
      <c r="M12" s="123" t="n">
        <v>1</v>
      </c>
    </row>
    <row r="13" customFormat="false" ht="15" hidden="false" customHeight="false" outlineLevel="0" collapsed="false">
      <c r="A13" s="652" t="n">
        <v>45428</v>
      </c>
      <c r="B13" s="124" t="s">
        <v>392</v>
      </c>
      <c r="C13" s="124" t="s">
        <v>393</v>
      </c>
      <c r="F13" s="123" t="n">
        <v>868</v>
      </c>
      <c r="G13" s="653" t="n">
        <v>6451.73</v>
      </c>
    </row>
    <row r="14" customFormat="false" ht="15" hidden="false" customHeight="false" outlineLevel="0" collapsed="false">
      <c r="A14" s="652" t="n">
        <v>45427</v>
      </c>
      <c r="B14" s="123" t="n">
        <v>2</v>
      </c>
      <c r="C14" s="124" t="s">
        <v>309</v>
      </c>
      <c r="D14" s="124" t="s">
        <v>301</v>
      </c>
      <c r="E14" s="653" t="n">
        <v>517.5</v>
      </c>
      <c r="G14" s="653" t="n">
        <v>6969.23</v>
      </c>
      <c r="O14" s="123" t="n">
        <v>2</v>
      </c>
    </row>
    <row r="15" customFormat="false" ht="15" hidden="false" customHeight="false" outlineLevel="0" collapsed="false">
      <c r="A15" s="652" t="n">
        <v>45427</v>
      </c>
      <c r="B15" s="123" t="n">
        <v>1</v>
      </c>
      <c r="C15" s="124" t="s">
        <v>307</v>
      </c>
      <c r="D15" s="124" t="s">
        <v>301</v>
      </c>
      <c r="E15" s="653" t="n">
        <v>350.75</v>
      </c>
      <c r="G15" s="653" t="n">
        <v>7319.98</v>
      </c>
      <c r="O15" s="123" t="n">
        <v>2</v>
      </c>
    </row>
    <row r="16" customFormat="false" ht="15" hidden="false" customHeight="false" outlineLevel="0" collapsed="false">
      <c r="A16" s="652" t="n">
        <v>45431</v>
      </c>
      <c r="B16" s="124" t="s">
        <v>392</v>
      </c>
      <c r="C16" s="124" t="s">
        <v>393</v>
      </c>
      <c r="F16" s="123" t="n">
        <v>1466</v>
      </c>
      <c r="G16" s="653" t="n">
        <v>5853.98</v>
      </c>
    </row>
    <row r="17" customFormat="false" ht="15" hidden="false" customHeight="false" outlineLevel="0" collapsed="false">
      <c r="A17" s="652" t="n">
        <v>45431</v>
      </c>
      <c r="B17" s="123" t="n">
        <v>5</v>
      </c>
      <c r="C17" s="124" t="s">
        <v>74</v>
      </c>
      <c r="D17" s="124" t="s">
        <v>75</v>
      </c>
      <c r="E17" s="653" t="n">
        <v>517.5</v>
      </c>
      <c r="G17" s="653" t="n">
        <v>6371.48</v>
      </c>
      <c r="M17" s="123" t="n">
        <v>2</v>
      </c>
    </row>
    <row r="18" customFormat="false" ht="15" hidden="false" customHeight="false" outlineLevel="0" collapsed="false">
      <c r="A18" s="652" t="n">
        <v>45431</v>
      </c>
      <c r="B18" s="123" t="n">
        <v>6</v>
      </c>
      <c r="C18" s="124" t="s">
        <v>80</v>
      </c>
      <c r="D18" s="124" t="s">
        <v>75</v>
      </c>
      <c r="E18" s="653" t="n">
        <v>632.5</v>
      </c>
      <c r="G18" s="653" t="n">
        <v>7003.98</v>
      </c>
      <c r="L18" s="123" t="n">
        <v>2</v>
      </c>
    </row>
    <row r="19" customFormat="false" ht="15" hidden="false" customHeight="false" outlineLevel="0" collapsed="false">
      <c r="A19" s="652" t="n">
        <v>45432</v>
      </c>
      <c r="B19" s="124" t="s">
        <v>392</v>
      </c>
      <c r="C19" s="124" t="s">
        <v>393</v>
      </c>
      <c r="F19" s="123" t="n">
        <v>1150</v>
      </c>
      <c r="G19" s="653" t="n">
        <v>5853.98</v>
      </c>
    </row>
    <row r="20" customFormat="false" ht="15" hidden="false" customHeight="false" outlineLevel="0" collapsed="false">
      <c r="A20" s="652" t="n">
        <v>45433</v>
      </c>
      <c r="B20" s="123" t="n">
        <v>7</v>
      </c>
      <c r="C20" s="124" t="s">
        <v>80</v>
      </c>
      <c r="D20" s="124" t="s">
        <v>75</v>
      </c>
      <c r="E20" s="653" t="n">
        <v>316.25</v>
      </c>
      <c r="G20" s="653" t="n">
        <v>6170.23</v>
      </c>
      <c r="L20" s="123" t="n">
        <v>1</v>
      </c>
    </row>
    <row r="21" customFormat="false" ht="15" hidden="false" customHeight="false" outlineLevel="0" collapsed="false">
      <c r="A21" s="652" t="n">
        <v>45433</v>
      </c>
      <c r="B21" s="123" t="n">
        <v>8</v>
      </c>
      <c r="C21" s="124" t="s">
        <v>89</v>
      </c>
      <c r="D21" s="124" t="s">
        <v>75</v>
      </c>
      <c r="E21" s="653" t="n">
        <v>569.25</v>
      </c>
      <c r="G21" s="653" t="n">
        <v>6739.48</v>
      </c>
      <c r="I21" s="123" t="n">
        <v>1</v>
      </c>
      <c r="K21" s="123" t="n">
        <v>1</v>
      </c>
    </row>
    <row r="22" customFormat="false" ht="15" hidden="false" customHeight="false" outlineLevel="0" collapsed="false">
      <c r="A22" s="652" t="n">
        <v>45431</v>
      </c>
      <c r="B22" s="124" t="s">
        <v>399</v>
      </c>
      <c r="C22" s="124" t="s">
        <v>393</v>
      </c>
      <c r="F22" s="653" t="n">
        <v>885.5</v>
      </c>
      <c r="G22" s="653" t="n">
        <v>5853.98</v>
      </c>
    </row>
    <row r="23" customFormat="false" ht="15" hidden="false" customHeight="false" outlineLevel="0" collapsed="false">
      <c r="A23" s="652" t="n">
        <v>45431</v>
      </c>
      <c r="B23" s="124" t="s">
        <v>392</v>
      </c>
      <c r="C23" s="124" t="s">
        <v>393</v>
      </c>
      <c r="F23" s="123" t="n">
        <v>5853</v>
      </c>
      <c r="G23" s="653" t="n">
        <v>0.00999999999956347</v>
      </c>
    </row>
    <row r="24" customFormat="false" ht="15" hidden="false" customHeight="false" outlineLevel="0" collapsed="false">
      <c r="A24" s="652" t="n">
        <v>45439</v>
      </c>
      <c r="B24" s="123" t="n">
        <v>21</v>
      </c>
      <c r="C24" s="124" t="s">
        <v>99</v>
      </c>
      <c r="D24" s="124" t="s">
        <v>75</v>
      </c>
      <c r="E24" s="653" t="n">
        <v>764.75</v>
      </c>
      <c r="G24" s="653" t="n">
        <v>764.76</v>
      </c>
      <c r="I24" s="123" t="n">
        <v>1</v>
      </c>
      <c r="K24" s="123" t="n">
        <v>1</v>
      </c>
      <c r="P24" s="123" t="n">
        <v>1</v>
      </c>
    </row>
    <row r="25" customFormat="false" ht="15" hidden="false" customHeight="false" outlineLevel="0" collapsed="false">
      <c r="A25" s="652" t="n">
        <v>45439</v>
      </c>
      <c r="B25" s="123" t="n">
        <v>20</v>
      </c>
      <c r="C25" s="124" t="s">
        <v>100</v>
      </c>
      <c r="D25" s="124" t="s">
        <v>75</v>
      </c>
      <c r="E25" s="653" t="n">
        <v>316.25</v>
      </c>
      <c r="G25" s="653" t="n">
        <v>1081.01</v>
      </c>
      <c r="I25" s="123" t="n">
        <v>1</v>
      </c>
    </row>
    <row r="26" customFormat="false" ht="15" hidden="false" customHeight="false" outlineLevel="0" collapsed="false">
      <c r="A26" s="652" t="n">
        <v>45439</v>
      </c>
      <c r="B26" s="123" t="n">
        <v>19</v>
      </c>
      <c r="C26" s="124" t="s">
        <v>89</v>
      </c>
      <c r="D26" s="124" t="s">
        <v>75</v>
      </c>
      <c r="E26" s="123" t="n">
        <v>966</v>
      </c>
      <c r="G26" s="653" t="n">
        <v>2047.01</v>
      </c>
      <c r="K26" s="123" t="n">
        <v>4</v>
      </c>
    </row>
    <row r="27" customFormat="false" ht="15" hidden="false" customHeight="false" outlineLevel="0" collapsed="false">
      <c r="A27" s="652" t="n">
        <v>45439</v>
      </c>
      <c r="B27" s="123" t="n">
        <v>18</v>
      </c>
      <c r="C27" s="124" t="s">
        <v>97</v>
      </c>
      <c r="D27" s="124" t="s">
        <v>75</v>
      </c>
      <c r="E27" s="653" t="n">
        <v>845.25</v>
      </c>
      <c r="G27" s="653" t="n">
        <v>2892.26</v>
      </c>
      <c r="I27" s="123" t="n">
        <v>1</v>
      </c>
      <c r="K27" s="123" t="n">
        <v>1</v>
      </c>
      <c r="M27" s="123" t="n">
        <v>1</v>
      </c>
    </row>
    <row r="28" customFormat="false" ht="15" hidden="false" customHeight="false" outlineLevel="0" collapsed="false">
      <c r="A28" s="652" t="n">
        <v>45439</v>
      </c>
      <c r="B28" s="124" t="s">
        <v>410</v>
      </c>
      <c r="C28" s="124" t="s">
        <v>393</v>
      </c>
      <c r="F28" s="123" t="n">
        <v>2892</v>
      </c>
      <c r="G28" s="653" t="n">
        <v>0.259999999999309</v>
      </c>
    </row>
    <row r="29" customFormat="false" ht="15" hidden="false" customHeight="false" outlineLevel="0" collapsed="false">
      <c r="A29" s="652" t="n">
        <v>45440</v>
      </c>
      <c r="B29" s="123" t="n">
        <v>22</v>
      </c>
      <c r="C29" s="124" t="s">
        <v>294</v>
      </c>
      <c r="D29" s="124" t="s">
        <v>286</v>
      </c>
      <c r="E29" s="653" t="n">
        <v>316.25</v>
      </c>
      <c r="G29" s="653" t="n">
        <v>316.509999999999</v>
      </c>
      <c r="I29" s="123" t="n">
        <v>1</v>
      </c>
    </row>
    <row r="30" customFormat="false" ht="15" hidden="false" customHeight="false" outlineLevel="0" collapsed="false">
      <c r="A30" s="652" t="n">
        <v>45440</v>
      </c>
      <c r="B30" s="123" t="n">
        <v>23</v>
      </c>
      <c r="C30" s="124" t="s">
        <v>298</v>
      </c>
      <c r="D30" s="124" t="s">
        <v>286</v>
      </c>
      <c r="E30" s="653" t="n">
        <v>718.75</v>
      </c>
      <c r="G30" s="653" t="n">
        <v>1035.26</v>
      </c>
      <c r="J30" s="123" t="n">
        <v>1</v>
      </c>
      <c r="K30" s="123" t="n">
        <v>1</v>
      </c>
      <c r="M30" s="123" t="n">
        <v>1</v>
      </c>
    </row>
    <row r="31" customFormat="false" ht="15" hidden="false" customHeight="false" outlineLevel="0" collapsed="false">
      <c r="A31" s="652" t="n">
        <v>45440</v>
      </c>
      <c r="B31" s="123" t="n">
        <v>24</v>
      </c>
      <c r="C31" s="124" t="s">
        <v>305</v>
      </c>
      <c r="D31" s="124" t="s">
        <v>301</v>
      </c>
      <c r="E31" s="653" t="n">
        <v>517.5</v>
      </c>
      <c r="G31" s="653" t="n">
        <v>1552.76</v>
      </c>
      <c r="M31" s="123" t="n">
        <v>2</v>
      </c>
    </row>
    <row r="32" customFormat="false" ht="15" hidden="false" customHeight="false" outlineLevel="0" collapsed="false">
      <c r="A32" s="652" t="n">
        <v>45440</v>
      </c>
      <c r="B32" s="123" t="n">
        <v>25</v>
      </c>
      <c r="C32" s="124" t="s">
        <v>305</v>
      </c>
      <c r="D32" s="124" t="s">
        <v>301</v>
      </c>
      <c r="E32" s="653" t="n">
        <v>155.25</v>
      </c>
      <c r="G32" s="653" t="n">
        <v>1708.01</v>
      </c>
      <c r="P32" s="123" t="n">
        <v>1</v>
      </c>
    </row>
    <row r="33" customFormat="false" ht="15" hidden="false" customHeight="false" outlineLevel="0" collapsed="false">
      <c r="A33" s="652" t="n">
        <v>45440</v>
      </c>
      <c r="B33" s="123" t="n">
        <v>27</v>
      </c>
      <c r="C33" s="124" t="s">
        <v>315</v>
      </c>
      <c r="D33" s="124" t="s">
        <v>301</v>
      </c>
      <c r="E33" s="653" t="n">
        <v>316.25</v>
      </c>
      <c r="G33" s="653" t="n">
        <v>2024.26</v>
      </c>
      <c r="I33" s="123" t="n">
        <v>1</v>
      </c>
    </row>
    <row r="34" customFormat="false" ht="15" hidden="false" customHeight="false" outlineLevel="0" collapsed="false">
      <c r="A34" s="652" t="n">
        <v>45440</v>
      </c>
      <c r="B34" s="123" t="n">
        <v>26</v>
      </c>
      <c r="C34" s="124" t="s">
        <v>309</v>
      </c>
      <c r="D34" s="124" t="s">
        <v>301</v>
      </c>
      <c r="E34" s="653" t="n">
        <v>155.25</v>
      </c>
      <c r="G34" s="653" t="n">
        <v>2179.51</v>
      </c>
      <c r="P34" s="123" t="n">
        <v>1</v>
      </c>
    </row>
    <row r="35" customFormat="false" ht="15" hidden="false" customHeight="false" outlineLevel="0" collapsed="false">
      <c r="A35" s="652" t="n">
        <v>45440</v>
      </c>
      <c r="B35" s="123" t="n">
        <v>28</v>
      </c>
      <c r="C35" s="124" t="s">
        <v>300</v>
      </c>
      <c r="D35" s="124" t="s">
        <v>301</v>
      </c>
      <c r="E35" s="653" t="n">
        <v>316.25</v>
      </c>
      <c r="G35" s="653" t="n">
        <v>2495.76</v>
      </c>
      <c r="I35" s="123" t="n">
        <v>1</v>
      </c>
    </row>
    <row r="36" customFormat="false" ht="15" hidden="false" customHeight="false" outlineLevel="0" collapsed="false">
      <c r="A36" s="652" t="n">
        <v>45440</v>
      </c>
      <c r="B36" s="123" t="n">
        <v>29</v>
      </c>
      <c r="C36" s="124" t="s">
        <v>302</v>
      </c>
      <c r="D36" s="124" t="s">
        <v>301</v>
      </c>
      <c r="E36" s="653" t="n">
        <v>293.25</v>
      </c>
      <c r="G36" s="653" t="n">
        <v>2789.01</v>
      </c>
      <c r="K36" s="123" t="n">
        <v>1</v>
      </c>
    </row>
    <row r="37" customFormat="false" ht="15" hidden="false" customHeight="false" outlineLevel="0" collapsed="false">
      <c r="A37" s="652" t="n">
        <v>45441</v>
      </c>
      <c r="B37" s="124" t="s">
        <v>392</v>
      </c>
      <c r="C37" s="124" t="s">
        <v>393</v>
      </c>
      <c r="F37" s="123" t="n">
        <v>2788</v>
      </c>
      <c r="G37" s="653" t="n">
        <v>1.00999999999931</v>
      </c>
    </row>
    <row r="38" customFormat="false" ht="15" hidden="false" customHeight="false" outlineLevel="0" collapsed="false">
      <c r="A38" s="652" t="n">
        <v>45447</v>
      </c>
      <c r="B38" s="123" t="n">
        <v>30</v>
      </c>
      <c r="C38" s="124" t="s">
        <v>80</v>
      </c>
      <c r="D38" s="124" t="s">
        <v>75</v>
      </c>
      <c r="E38" s="653" t="n">
        <v>4105.5</v>
      </c>
      <c r="G38" s="653" t="n">
        <v>4106.51</v>
      </c>
      <c r="L38" s="123" t="n">
        <v>10</v>
      </c>
      <c r="M38" s="123" t="n">
        <v>3</v>
      </c>
    </row>
    <row r="39" customFormat="false" ht="15" hidden="false" customHeight="false" outlineLevel="0" collapsed="false">
      <c r="A39" s="652" t="n">
        <v>45447</v>
      </c>
      <c r="B39" s="123" t="n">
        <v>32</v>
      </c>
      <c r="C39" s="124" t="s">
        <v>322</v>
      </c>
      <c r="D39" s="124" t="s">
        <v>224</v>
      </c>
      <c r="E39" s="123" t="n">
        <v>3588</v>
      </c>
      <c r="G39" s="653" t="n">
        <v>7694.51</v>
      </c>
      <c r="M39" s="123" t="n">
        <v>13</v>
      </c>
    </row>
    <row r="40" customFormat="false" ht="15" hidden="false" customHeight="false" outlineLevel="0" collapsed="false">
      <c r="A40" s="652" t="n">
        <v>45447</v>
      </c>
      <c r="B40" s="123" t="n">
        <v>31</v>
      </c>
      <c r="C40" s="124" t="s">
        <v>319</v>
      </c>
      <c r="D40" s="124" t="s">
        <v>224</v>
      </c>
      <c r="E40" s="653" t="n">
        <v>3950.25</v>
      </c>
      <c r="G40" s="653" t="n">
        <v>11644.76</v>
      </c>
      <c r="L40" s="123" t="n">
        <v>7</v>
      </c>
      <c r="M40" s="123" t="n">
        <v>6</v>
      </c>
    </row>
    <row r="41" customFormat="false" ht="15" hidden="false" customHeight="false" outlineLevel="0" collapsed="false">
      <c r="A41" s="652" t="n">
        <v>45447</v>
      </c>
      <c r="B41" s="124" t="s">
        <v>392</v>
      </c>
      <c r="C41" s="124" t="s">
        <v>393</v>
      </c>
      <c r="F41" s="123" t="n">
        <v>11127</v>
      </c>
      <c r="G41" s="653" t="n">
        <v>517.759999999998</v>
      </c>
    </row>
    <row r="42" customFormat="false" ht="15" hidden="false" customHeight="false" outlineLevel="0" collapsed="false">
      <c r="A42" s="652" t="n">
        <v>45448</v>
      </c>
      <c r="B42" s="124" t="s">
        <v>435</v>
      </c>
      <c r="C42" s="124" t="s">
        <v>393</v>
      </c>
      <c r="F42" s="123" t="n">
        <v>517</v>
      </c>
      <c r="G42" s="653" t="n">
        <v>0.759999999998399</v>
      </c>
    </row>
    <row r="43" customFormat="false" ht="15" hidden="false" customHeight="false" outlineLevel="0" collapsed="false">
      <c r="A43" s="652" t="n">
        <v>45448</v>
      </c>
      <c r="B43" s="123" t="n">
        <v>34</v>
      </c>
      <c r="C43" s="124" t="s">
        <v>298</v>
      </c>
      <c r="D43" s="124" t="s">
        <v>286</v>
      </c>
      <c r="E43" s="123" t="n">
        <v>316</v>
      </c>
      <c r="G43" s="653" t="n">
        <v>316.759999999998</v>
      </c>
      <c r="I43" s="123" t="n">
        <v>1</v>
      </c>
    </row>
    <row r="44" customFormat="false" ht="15" hidden="false" customHeight="false" outlineLevel="0" collapsed="false">
      <c r="A44" s="652" t="n">
        <v>45448</v>
      </c>
      <c r="B44" s="123" t="n">
        <v>33</v>
      </c>
      <c r="C44" s="124" t="s">
        <v>285</v>
      </c>
      <c r="D44" s="124" t="s">
        <v>286</v>
      </c>
      <c r="E44" s="653" t="n">
        <v>212.75</v>
      </c>
      <c r="G44" s="653" t="n">
        <v>529.509999999998</v>
      </c>
      <c r="O44" s="123" t="n">
        <v>1</v>
      </c>
    </row>
    <row r="45" customFormat="false" ht="15" hidden="false" customHeight="false" outlineLevel="0" collapsed="false">
      <c r="A45" s="652" t="n">
        <v>45448</v>
      </c>
      <c r="B45" s="123" t="n">
        <v>35</v>
      </c>
      <c r="C45" s="124" t="s">
        <v>312</v>
      </c>
      <c r="D45" s="124" t="s">
        <v>301</v>
      </c>
      <c r="E45" s="123" t="n">
        <v>1219</v>
      </c>
      <c r="G45" s="653" t="n">
        <v>1748.51</v>
      </c>
      <c r="I45" s="123" t="n">
        <v>2</v>
      </c>
      <c r="K45" s="123" t="n">
        <v>2</v>
      </c>
    </row>
    <row r="46" customFormat="false" ht="15" hidden="false" customHeight="false" outlineLevel="0" collapsed="false">
      <c r="A46" s="652" t="n">
        <v>45448</v>
      </c>
      <c r="B46" s="123" t="n">
        <v>36</v>
      </c>
      <c r="C46" s="124" t="s">
        <v>316</v>
      </c>
      <c r="D46" s="124" t="s">
        <v>301</v>
      </c>
      <c r="E46" s="123" t="n">
        <v>1150</v>
      </c>
      <c r="G46" s="653" t="n">
        <v>2898.51</v>
      </c>
      <c r="K46" s="123" t="n">
        <v>4</v>
      </c>
    </row>
    <row r="47" customFormat="false" ht="15" hidden="false" customHeight="false" outlineLevel="0" collapsed="false">
      <c r="A47" s="652" t="n">
        <v>45448</v>
      </c>
      <c r="B47" s="123" t="n">
        <v>37</v>
      </c>
      <c r="C47" s="124" t="s">
        <v>300</v>
      </c>
      <c r="D47" s="124" t="s">
        <v>301</v>
      </c>
      <c r="E47" s="653" t="n">
        <v>293.25</v>
      </c>
      <c r="G47" s="653" t="n">
        <v>3191.76</v>
      </c>
      <c r="K47" s="123" t="n">
        <v>1</v>
      </c>
    </row>
    <row r="48" customFormat="false" ht="15" hidden="false" customHeight="false" outlineLevel="0" collapsed="false">
      <c r="A48" s="652" t="n">
        <v>45448</v>
      </c>
      <c r="B48" s="123" t="n">
        <v>38</v>
      </c>
      <c r="C48" s="124" t="s">
        <v>306</v>
      </c>
      <c r="D48" s="124" t="s">
        <v>301</v>
      </c>
      <c r="E48" s="653" t="n">
        <v>212.75</v>
      </c>
      <c r="G48" s="653" t="n">
        <v>3404.51</v>
      </c>
      <c r="O48" s="123" t="n">
        <v>1</v>
      </c>
    </row>
    <row r="49" customFormat="false" ht="15" hidden="false" customHeight="false" outlineLevel="0" collapsed="false">
      <c r="A49" s="652" t="n">
        <v>45449</v>
      </c>
      <c r="B49" s="124" t="s">
        <v>392</v>
      </c>
      <c r="C49" s="124" t="s">
        <v>393</v>
      </c>
      <c r="F49" s="123" t="n">
        <v>3404</v>
      </c>
      <c r="G49" s="653" t="n">
        <v>0.509999999998399</v>
      </c>
    </row>
    <row r="50" customFormat="false" ht="15" hidden="false" customHeight="false" outlineLevel="0" collapsed="false">
      <c r="A50" s="652" t="n">
        <v>45449</v>
      </c>
      <c r="B50" s="123" t="n">
        <v>42</v>
      </c>
      <c r="C50" s="124" t="s">
        <v>89</v>
      </c>
      <c r="D50" s="124" t="s">
        <v>75</v>
      </c>
      <c r="E50" s="123" t="n">
        <v>1380</v>
      </c>
      <c r="G50" s="653" t="n">
        <v>1380.51</v>
      </c>
      <c r="K50" s="123" t="n">
        <v>5</v>
      </c>
    </row>
    <row r="51" customFormat="false" ht="15" hidden="false" customHeight="false" outlineLevel="0" collapsed="false">
      <c r="A51" s="652" t="n">
        <v>45449</v>
      </c>
      <c r="B51" s="123" t="n">
        <v>41</v>
      </c>
      <c r="C51" s="124" t="s">
        <v>96</v>
      </c>
      <c r="D51" s="124" t="s">
        <v>75</v>
      </c>
      <c r="E51" s="653" t="n">
        <v>632.5</v>
      </c>
      <c r="G51" s="653" t="n">
        <v>2013.01</v>
      </c>
      <c r="I51" s="123" t="n">
        <v>2</v>
      </c>
    </row>
    <row r="52" customFormat="false" ht="15" hidden="false" customHeight="false" outlineLevel="0" collapsed="false">
      <c r="A52" s="652" t="n">
        <v>45449</v>
      </c>
      <c r="B52" s="123" t="n">
        <v>40</v>
      </c>
      <c r="C52" s="124" t="s">
        <v>122</v>
      </c>
      <c r="D52" s="124" t="s">
        <v>119</v>
      </c>
      <c r="E52" s="653" t="n">
        <v>316.25</v>
      </c>
      <c r="G52" s="653" t="n">
        <v>2329.26</v>
      </c>
      <c r="I52" s="123" t="n">
        <v>1</v>
      </c>
    </row>
    <row r="53" customFormat="false" ht="15" hidden="false" customHeight="false" outlineLevel="0" collapsed="false">
      <c r="A53" s="652" t="n">
        <v>45449</v>
      </c>
      <c r="B53" s="123" t="n">
        <v>43</v>
      </c>
      <c r="C53" s="124" t="s">
        <v>94</v>
      </c>
      <c r="D53" s="124" t="s">
        <v>75</v>
      </c>
      <c r="E53" s="123" t="n">
        <v>943</v>
      </c>
      <c r="G53" s="653" t="n">
        <v>3272.26</v>
      </c>
      <c r="I53" s="123" t="n">
        <v>2</v>
      </c>
      <c r="P53" s="123" t="n">
        <v>2</v>
      </c>
    </row>
    <row r="54" customFormat="false" ht="15" hidden="false" customHeight="false" outlineLevel="0" collapsed="false">
      <c r="A54" s="652" t="n">
        <v>45452</v>
      </c>
      <c r="B54" s="124" t="s">
        <v>392</v>
      </c>
      <c r="C54" s="124" t="s">
        <v>393</v>
      </c>
      <c r="F54" s="123" t="n">
        <v>3271</v>
      </c>
      <c r="G54" s="653" t="n">
        <v>1.2599999999984</v>
      </c>
    </row>
    <row r="55" customFormat="false" ht="15" hidden="false" customHeight="false" outlineLevel="0" collapsed="false">
      <c r="A55" s="652" t="n">
        <v>45452</v>
      </c>
      <c r="B55" s="123" t="n">
        <v>44</v>
      </c>
      <c r="C55" s="124" t="s">
        <v>298</v>
      </c>
      <c r="D55" s="124" t="s">
        <v>286</v>
      </c>
      <c r="E55" s="123" t="n">
        <v>4002</v>
      </c>
      <c r="G55" s="653" t="n">
        <v>4003.26</v>
      </c>
      <c r="L55" s="123" t="n">
        <v>8</v>
      </c>
      <c r="M55" s="123" t="n">
        <v>5</v>
      </c>
    </row>
    <row r="56" customFormat="false" ht="15" hidden="false" customHeight="false" outlineLevel="0" collapsed="false">
      <c r="A56" s="652" t="n">
        <v>45452</v>
      </c>
      <c r="B56" s="123" t="n">
        <v>47</v>
      </c>
      <c r="C56" s="124" t="s">
        <v>120</v>
      </c>
      <c r="D56" s="124" t="s">
        <v>119</v>
      </c>
      <c r="E56" s="123" t="n">
        <v>253</v>
      </c>
      <c r="G56" s="653" t="n">
        <v>4256.26</v>
      </c>
      <c r="K56" s="123" t="n">
        <v>1</v>
      </c>
    </row>
    <row r="57" customFormat="false" ht="15" hidden="false" customHeight="false" outlineLevel="0" collapsed="false">
      <c r="A57" s="652" t="n">
        <v>45452</v>
      </c>
      <c r="B57" s="123" t="n">
        <v>46</v>
      </c>
      <c r="C57" s="124" t="s">
        <v>295</v>
      </c>
      <c r="D57" s="124" t="s">
        <v>286</v>
      </c>
      <c r="E57" s="653" t="n">
        <v>316.25</v>
      </c>
      <c r="G57" s="653" t="n">
        <v>4572.51</v>
      </c>
      <c r="I57" s="123" t="n">
        <v>1</v>
      </c>
    </row>
    <row r="58" customFormat="false" ht="15" hidden="false" customHeight="false" outlineLevel="0" collapsed="false">
      <c r="A58" s="652" t="n">
        <v>45452</v>
      </c>
      <c r="B58" s="123" t="n">
        <v>45</v>
      </c>
      <c r="C58" s="124" t="s">
        <v>290</v>
      </c>
      <c r="D58" s="124" t="s">
        <v>286</v>
      </c>
      <c r="E58" s="653" t="n">
        <v>833.75</v>
      </c>
      <c r="G58" s="653" t="n">
        <v>5406.26</v>
      </c>
      <c r="I58" s="123" t="n">
        <v>1</v>
      </c>
      <c r="M58" s="123" t="n">
        <v>2</v>
      </c>
    </row>
    <row r="59" customFormat="false" ht="15" hidden="false" customHeight="false" outlineLevel="0" collapsed="false">
      <c r="A59" s="652" t="n">
        <v>45453</v>
      </c>
      <c r="B59" s="124" t="s">
        <v>392</v>
      </c>
      <c r="C59" s="124" t="s">
        <v>393</v>
      </c>
      <c r="F59" s="123" t="n">
        <v>4405</v>
      </c>
      <c r="G59" s="653" t="n">
        <v>1001.26</v>
      </c>
    </row>
    <row r="60" customFormat="false" ht="15" hidden="false" customHeight="false" outlineLevel="0" collapsed="false">
      <c r="A60" s="652" t="n">
        <v>45453</v>
      </c>
      <c r="B60" s="124" t="s">
        <v>399</v>
      </c>
      <c r="C60" s="124" t="s">
        <v>393</v>
      </c>
      <c r="F60" s="123" t="n">
        <v>1000</v>
      </c>
      <c r="G60" s="653" t="n">
        <v>1.2599999999984</v>
      </c>
    </row>
    <row r="61" customFormat="false" ht="15" hidden="false" customHeight="false" outlineLevel="0" collapsed="false">
      <c r="A61" s="652" t="n">
        <v>45453</v>
      </c>
      <c r="B61" s="123" t="n">
        <v>50</v>
      </c>
      <c r="C61" s="124" t="s">
        <v>322</v>
      </c>
      <c r="D61" s="124" t="s">
        <v>224</v>
      </c>
      <c r="E61" s="653" t="n">
        <v>4686.25</v>
      </c>
      <c r="G61" s="653" t="n">
        <v>4687.51</v>
      </c>
      <c r="L61" s="123" t="n">
        <v>13</v>
      </c>
      <c r="O61" s="123" t="n">
        <v>2</v>
      </c>
    </row>
    <row r="62" customFormat="false" ht="15" hidden="false" customHeight="false" outlineLevel="0" collapsed="false">
      <c r="A62" s="652" t="n">
        <v>45453</v>
      </c>
      <c r="B62" s="123" t="n">
        <v>51</v>
      </c>
      <c r="C62" s="124" t="s">
        <v>327</v>
      </c>
      <c r="D62" s="124" t="s">
        <v>224</v>
      </c>
      <c r="E62" s="653" t="n">
        <v>270.25</v>
      </c>
      <c r="G62" s="653" t="n">
        <v>4957.76</v>
      </c>
      <c r="K62" s="123" t="n">
        <v>1</v>
      </c>
    </row>
    <row r="63" customFormat="false" ht="15" hidden="false" customHeight="false" outlineLevel="0" collapsed="false">
      <c r="A63" s="652" t="n">
        <v>45453</v>
      </c>
      <c r="B63" s="123" t="n">
        <v>48</v>
      </c>
      <c r="C63" s="124" t="s">
        <v>292</v>
      </c>
      <c r="D63" s="124" t="s">
        <v>286</v>
      </c>
      <c r="E63" s="653" t="n">
        <v>402.5</v>
      </c>
      <c r="G63" s="653" t="n">
        <v>5360.26</v>
      </c>
      <c r="M63" s="123" t="n">
        <v>1</v>
      </c>
      <c r="N63" s="123" t="n">
        <v>1</v>
      </c>
    </row>
    <row r="64" customFormat="false" ht="15" hidden="false" customHeight="false" outlineLevel="0" collapsed="false">
      <c r="A64" s="652" t="n">
        <v>45453</v>
      </c>
      <c r="B64" s="123" t="n">
        <v>49</v>
      </c>
      <c r="C64" s="124" t="s">
        <v>320</v>
      </c>
      <c r="D64" s="124" t="s">
        <v>224</v>
      </c>
      <c r="E64" s="653" t="n">
        <v>316.25</v>
      </c>
      <c r="G64" s="653" t="n">
        <v>5676.51</v>
      </c>
      <c r="I64" s="123" t="n">
        <v>1</v>
      </c>
    </row>
    <row r="65" customFormat="false" ht="15" hidden="false" customHeight="false" outlineLevel="0" collapsed="false">
      <c r="A65" s="652" t="n">
        <v>45454</v>
      </c>
      <c r="B65" s="124" t="s">
        <v>399</v>
      </c>
      <c r="C65" s="124" t="s">
        <v>393</v>
      </c>
      <c r="F65" s="123" t="n">
        <v>400</v>
      </c>
      <c r="G65" s="653" t="n">
        <v>5276.51</v>
      </c>
    </row>
    <row r="66" customFormat="false" ht="15" hidden="false" customHeight="false" outlineLevel="0" collapsed="false">
      <c r="A66" s="652" t="n">
        <v>45454</v>
      </c>
      <c r="B66" s="124" t="s">
        <v>392</v>
      </c>
      <c r="C66" s="124" t="s">
        <v>393</v>
      </c>
      <c r="F66" s="123" t="n">
        <v>5276</v>
      </c>
      <c r="G66" s="653" t="n">
        <v>0.509999999998399</v>
      </c>
    </row>
    <row r="67" customFormat="false" ht="15" hidden="false" customHeight="false" outlineLevel="0" collapsed="false">
      <c r="A67" s="652" t="n">
        <v>45454</v>
      </c>
      <c r="B67" s="123" t="n">
        <v>53</v>
      </c>
      <c r="C67" s="124" t="s">
        <v>305</v>
      </c>
      <c r="D67" s="124" t="s">
        <v>301</v>
      </c>
      <c r="E67" s="653" t="n">
        <v>454.25</v>
      </c>
      <c r="G67" s="653" t="n">
        <v>454.759999999998</v>
      </c>
      <c r="I67" s="123" t="n">
        <v>1</v>
      </c>
      <c r="O67" s="123" t="n">
        <v>1</v>
      </c>
    </row>
    <row r="68" customFormat="false" ht="15" hidden="false" customHeight="false" outlineLevel="0" collapsed="false">
      <c r="A68" s="652" t="n">
        <v>45454</v>
      </c>
      <c r="B68" s="123" t="n">
        <v>52</v>
      </c>
      <c r="C68" s="124" t="s">
        <v>325</v>
      </c>
      <c r="D68" s="124" t="s">
        <v>224</v>
      </c>
      <c r="E68" s="123" t="n">
        <v>3588</v>
      </c>
      <c r="G68" s="653" t="n">
        <v>4042.76</v>
      </c>
      <c r="M68" s="123" t="n">
        <v>13</v>
      </c>
    </row>
    <row r="69" customFormat="false" ht="15" hidden="false" customHeight="false" outlineLevel="0" collapsed="false">
      <c r="A69" s="652" t="n">
        <v>45454</v>
      </c>
      <c r="B69" s="123" t="n">
        <v>54</v>
      </c>
      <c r="C69" s="124" t="s">
        <v>298</v>
      </c>
      <c r="D69" s="124" t="s">
        <v>286</v>
      </c>
      <c r="E69" s="653" t="n">
        <v>316.25</v>
      </c>
      <c r="G69" s="653" t="n">
        <v>4359.01</v>
      </c>
      <c r="I69" s="123" t="n">
        <v>1</v>
      </c>
    </row>
    <row r="70" customFormat="false" ht="15" hidden="false" customHeight="false" outlineLevel="0" collapsed="false">
      <c r="A70" s="652" t="n">
        <v>45455</v>
      </c>
      <c r="B70" s="124" t="s">
        <v>410</v>
      </c>
      <c r="C70" s="124" t="s">
        <v>393</v>
      </c>
      <c r="F70" s="123" t="n">
        <v>4358</v>
      </c>
      <c r="G70" s="653" t="n">
        <v>1.0099999999984</v>
      </c>
    </row>
    <row r="71" customFormat="false" ht="15" hidden="false" customHeight="false" outlineLevel="0" collapsed="false">
      <c r="A71" s="652" t="n">
        <v>45455</v>
      </c>
      <c r="B71" s="123" t="n">
        <v>55</v>
      </c>
      <c r="C71" s="124" t="s">
        <v>102</v>
      </c>
      <c r="D71" s="124" t="s">
        <v>75</v>
      </c>
      <c r="E71" s="653" t="n">
        <v>4260.75</v>
      </c>
      <c r="G71" s="653" t="n">
        <v>4261.76</v>
      </c>
      <c r="L71" s="123" t="n">
        <v>13</v>
      </c>
    </row>
    <row r="72" customFormat="false" ht="15" hidden="false" customHeight="false" outlineLevel="0" collapsed="false">
      <c r="A72" s="652" t="n">
        <v>45455</v>
      </c>
      <c r="B72" s="123" t="n">
        <v>56</v>
      </c>
      <c r="C72" s="124" t="s">
        <v>101</v>
      </c>
      <c r="D72" s="124" t="s">
        <v>75</v>
      </c>
      <c r="E72" s="653" t="n">
        <v>316.25</v>
      </c>
      <c r="G72" s="653" t="n">
        <v>4578.01</v>
      </c>
      <c r="I72" s="123" t="n">
        <v>1</v>
      </c>
    </row>
    <row r="73" customFormat="false" ht="15" hidden="false" customHeight="false" outlineLevel="0" collapsed="false">
      <c r="A73" s="652" t="n">
        <v>45455</v>
      </c>
      <c r="B73" s="123" t="n">
        <v>57</v>
      </c>
      <c r="C73" s="124" t="s">
        <v>89</v>
      </c>
      <c r="D73" s="124" t="s">
        <v>75</v>
      </c>
      <c r="E73" s="123" t="n">
        <v>1397</v>
      </c>
      <c r="G73" s="653" t="n">
        <v>5975.01</v>
      </c>
      <c r="K73" s="123" t="n">
        <v>5</v>
      </c>
    </row>
    <row r="74" customFormat="false" ht="15" hidden="false" customHeight="false" outlineLevel="0" collapsed="false">
      <c r="A74" s="652" t="n">
        <v>45455</v>
      </c>
      <c r="B74" s="123" t="n">
        <v>58</v>
      </c>
      <c r="C74" s="124" t="s">
        <v>94</v>
      </c>
      <c r="D74" s="124" t="s">
        <v>75</v>
      </c>
      <c r="E74" s="123" t="n">
        <v>3795</v>
      </c>
      <c r="G74" s="653" t="n">
        <v>9770.01</v>
      </c>
      <c r="L74" s="123" t="n">
        <v>4</v>
      </c>
      <c r="M74" s="123" t="n">
        <v>9</v>
      </c>
    </row>
    <row r="75" customFormat="false" ht="15" hidden="false" customHeight="false" outlineLevel="0" collapsed="false">
      <c r="A75" s="652" t="n">
        <v>45455</v>
      </c>
      <c r="B75" s="123" t="n">
        <v>59</v>
      </c>
      <c r="C75" s="124" t="s">
        <v>82</v>
      </c>
      <c r="D75" s="124" t="s">
        <v>75</v>
      </c>
      <c r="E75" s="653" t="n">
        <v>316.25</v>
      </c>
      <c r="G75" s="653" t="n">
        <v>10086.26</v>
      </c>
      <c r="I75" s="123" t="n">
        <v>1</v>
      </c>
    </row>
    <row r="76" customFormat="false" ht="15" hidden="false" customHeight="false" outlineLevel="0" collapsed="false">
      <c r="A76" s="652" t="n">
        <v>45456</v>
      </c>
      <c r="B76" s="124" t="s">
        <v>392</v>
      </c>
      <c r="C76" s="124" t="s">
        <v>393</v>
      </c>
      <c r="F76" s="123" t="n">
        <v>7290</v>
      </c>
      <c r="G76" s="653" t="n">
        <v>2796.26</v>
      </c>
    </row>
    <row r="77" customFormat="false" ht="15" hidden="false" customHeight="false" outlineLevel="0" collapsed="false">
      <c r="A77" s="652" t="n">
        <v>45456</v>
      </c>
      <c r="B77" s="124" t="s">
        <v>470</v>
      </c>
      <c r="C77" s="124" t="s">
        <v>393</v>
      </c>
      <c r="E77" s="653" t="n">
        <v>-1.26</v>
      </c>
      <c r="F77" s="123" t="n">
        <v>2795</v>
      </c>
      <c r="G77" s="123" t="n">
        <v>0</v>
      </c>
    </row>
    <row r="78" customFormat="false" ht="15" hidden="false" customHeight="false" outlineLevel="0" collapsed="false">
      <c r="A78" s="652" t="n">
        <v>45456</v>
      </c>
      <c r="B78" s="123" t="n">
        <v>62</v>
      </c>
      <c r="C78" s="124" t="s">
        <v>295</v>
      </c>
      <c r="D78" s="124" t="s">
        <v>286</v>
      </c>
      <c r="E78" s="123" t="n">
        <v>391</v>
      </c>
      <c r="G78" s="123" t="n">
        <v>391</v>
      </c>
      <c r="K78" s="123" t="n">
        <v>1</v>
      </c>
      <c r="O78" s="123" t="n">
        <v>1</v>
      </c>
    </row>
    <row r="79" customFormat="false" ht="15" hidden="false" customHeight="false" outlineLevel="0" collapsed="false">
      <c r="A79" s="652" t="n">
        <v>45456</v>
      </c>
      <c r="B79" s="124" t="s">
        <v>471</v>
      </c>
      <c r="C79" s="124" t="s">
        <v>393</v>
      </c>
      <c r="F79" s="123" t="n">
        <v>391</v>
      </c>
      <c r="G79" s="123" t="n">
        <v>0</v>
      </c>
    </row>
    <row r="80" customFormat="false" ht="15" hidden="false" customHeight="false" outlineLevel="0" collapsed="false">
      <c r="A80" s="652" t="n">
        <v>45456</v>
      </c>
      <c r="B80" s="123" t="n">
        <v>61</v>
      </c>
      <c r="C80" s="124" t="s">
        <v>297</v>
      </c>
      <c r="D80" s="124" t="s">
        <v>286</v>
      </c>
      <c r="E80" s="653" t="n">
        <v>316.25</v>
      </c>
      <c r="G80" s="653" t="n">
        <v>316.25</v>
      </c>
      <c r="I80" s="123" t="n">
        <v>1</v>
      </c>
    </row>
    <row r="81" customFormat="false" ht="15" hidden="false" customHeight="false" outlineLevel="0" collapsed="false">
      <c r="A81" s="652" t="n">
        <v>45456</v>
      </c>
      <c r="B81" s="123" t="n">
        <v>60</v>
      </c>
      <c r="C81" s="124" t="s">
        <v>294</v>
      </c>
      <c r="D81" s="124" t="s">
        <v>286</v>
      </c>
      <c r="E81" s="123" t="n">
        <v>529</v>
      </c>
      <c r="G81" s="653" t="n">
        <v>845.25</v>
      </c>
      <c r="I81" s="123" t="n">
        <v>1</v>
      </c>
      <c r="O81" s="123" t="n">
        <v>1</v>
      </c>
    </row>
    <row r="82" customFormat="false" ht="15" hidden="false" customHeight="false" outlineLevel="0" collapsed="false">
      <c r="A82" s="652" t="n">
        <v>45456</v>
      </c>
      <c r="B82" s="124" t="s">
        <v>474</v>
      </c>
      <c r="C82" s="124" t="s">
        <v>393</v>
      </c>
      <c r="F82" s="123" t="n">
        <v>200</v>
      </c>
      <c r="G82" s="653" t="n">
        <v>645.25</v>
      </c>
    </row>
    <row r="83" customFormat="false" ht="15" hidden="false" customHeight="false" outlineLevel="0" collapsed="false">
      <c r="A83" s="652" t="n">
        <v>45466</v>
      </c>
      <c r="B83" s="124" t="s">
        <v>470</v>
      </c>
      <c r="C83" s="124" t="s">
        <v>393</v>
      </c>
      <c r="F83" s="123" t="n">
        <v>200</v>
      </c>
      <c r="G83" s="653" t="n">
        <v>445.25</v>
      </c>
    </row>
    <row r="84" customFormat="false" ht="15" hidden="false" customHeight="false" outlineLevel="0" collapsed="false">
      <c r="A84" s="652" t="n">
        <v>45456</v>
      </c>
      <c r="B84" s="124" t="s">
        <v>392</v>
      </c>
      <c r="C84" s="124" t="s">
        <v>393</v>
      </c>
      <c r="F84" s="123" t="n">
        <v>445</v>
      </c>
      <c r="G84" s="653" t="n">
        <v>0.25</v>
      </c>
    </row>
    <row r="85" customFormat="false" ht="15" hidden="false" customHeight="false" outlineLevel="0" collapsed="false">
      <c r="A85" s="652" t="n">
        <v>45457</v>
      </c>
      <c r="B85" s="123" t="n">
        <v>66</v>
      </c>
      <c r="C85" s="124" t="s">
        <v>314</v>
      </c>
      <c r="D85" s="124" t="s">
        <v>301</v>
      </c>
      <c r="E85" s="123" t="n">
        <v>316</v>
      </c>
      <c r="G85" s="653" t="n">
        <v>316.25</v>
      </c>
      <c r="I85" s="123" t="n">
        <v>1</v>
      </c>
    </row>
    <row r="86" customFormat="false" ht="15" hidden="false" customHeight="false" outlineLevel="0" collapsed="false">
      <c r="A86" s="652" t="n">
        <v>45457</v>
      </c>
      <c r="B86" s="123" t="n">
        <v>65</v>
      </c>
      <c r="C86" s="124" t="s">
        <v>302</v>
      </c>
      <c r="D86" s="124" t="s">
        <v>301</v>
      </c>
      <c r="E86" s="653" t="n">
        <v>166.75</v>
      </c>
      <c r="G86" s="123" t="n">
        <v>483</v>
      </c>
      <c r="J86" s="123" t="n">
        <v>1</v>
      </c>
    </row>
    <row r="87" customFormat="false" ht="15" hidden="false" customHeight="false" outlineLevel="0" collapsed="false">
      <c r="A87" s="652" t="n">
        <v>45457</v>
      </c>
      <c r="B87" s="123" t="n">
        <v>64</v>
      </c>
      <c r="C87" s="124" t="s">
        <v>316</v>
      </c>
      <c r="D87" s="124" t="s">
        <v>301</v>
      </c>
      <c r="E87" s="653" t="n">
        <v>471.5</v>
      </c>
      <c r="G87" s="653" t="n">
        <v>954.5</v>
      </c>
      <c r="J87" s="123" t="n">
        <v>2</v>
      </c>
      <c r="O87" s="123" t="n">
        <v>1</v>
      </c>
    </row>
    <row r="88" customFormat="false" ht="15" hidden="false" customHeight="false" outlineLevel="0" collapsed="false">
      <c r="A88" s="652" t="n">
        <v>45457</v>
      </c>
      <c r="B88" s="123" t="n">
        <v>63</v>
      </c>
      <c r="C88" s="124" t="s">
        <v>312</v>
      </c>
      <c r="D88" s="124" t="s">
        <v>301</v>
      </c>
      <c r="E88" s="123" t="n">
        <v>851</v>
      </c>
      <c r="G88" s="653" t="n">
        <v>1805.5</v>
      </c>
      <c r="O88" s="123" t="n">
        <v>4</v>
      </c>
    </row>
    <row r="89" customFormat="false" ht="15" hidden="false" customHeight="false" outlineLevel="0" collapsed="false">
      <c r="A89" s="652" t="n">
        <v>45457</v>
      </c>
      <c r="B89" s="123" t="n">
        <v>72</v>
      </c>
      <c r="C89" s="124" t="s">
        <v>295</v>
      </c>
      <c r="D89" s="124" t="s">
        <v>286</v>
      </c>
      <c r="E89" s="653" t="n">
        <v>638.25</v>
      </c>
      <c r="G89" s="653" t="n">
        <v>2443.75</v>
      </c>
      <c r="O89" s="123" t="n">
        <v>3</v>
      </c>
    </row>
    <row r="90" customFormat="false" ht="15" hidden="false" customHeight="false" outlineLevel="0" collapsed="false">
      <c r="A90" s="652" t="n">
        <v>45457</v>
      </c>
      <c r="B90" s="124" t="s">
        <v>470</v>
      </c>
      <c r="C90" s="124" t="s">
        <v>393</v>
      </c>
      <c r="F90" s="653" t="n">
        <v>3535.75</v>
      </c>
      <c r="G90" s="123" t="n">
        <v>-1092</v>
      </c>
    </row>
    <row r="91" customFormat="false" ht="15" hidden="false" customHeight="false" outlineLevel="0" collapsed="false">
      <c r="A91" s="652" t="n">
        <v>45457</v>
      </c>
      <c r="B91" s="123" t="n">
        <v>67</v>
      </c>
      <c r="C91" s="124" t="s">
        <v>317</v>
      </c>
      <c r="D91" s="124" t="s">
        <v>224</v>
      </c>
      <c r="E91" s="653" t="n">
        <v>2052.75</v>
      </c>
      <c r="G91" s="653" t="n">
        <v>960.75</v>
      </c>
      <c r="J91" s="123" t="n">
        <v>6</v>
      </c>
      <c r="K91" s="123" t="n">
        <v>4</v>
      </c>
    </row>
    <row r="92" customFormat="false" ht="15" hidden="false" customHeight="false" outlineLevel="0" collapsed="false">
      <c r="A92" s="652" t="n">
        <v>45457</v>
      </c>
      <c r="B92" s="123" t="n">
        <v>68</v>
      </c>
      <c r="C92" s="124" t="s">
        <v>320</v>
      </c>
      <c r="D92" s="124" t="s">
        <v>224</v>
      </c>
      <c r="E92" s="653" t="n">
        <v>632.5</v>
      </c>
      <c r="G92" s="653" t="n">
        <v>1593.25</v>
      </c>
      <c r="I92" s="123" t="n">
        <v>2</v>
      </c>
    </row>
    <row r="93" customFormat="false" ht="15" hidden="false" customHeight="false" outlineLevel="0" collapsed="false">
      <c r="A93" s="652" t="n">
        <v>45457</v>
      </c>
      <c r="B93" s="123" t="n">
        <v>71</v>
      </c>
      <c r="C93" s="124" t="s">
        <v>293</v>
      </c>
      <c r="D93" s="124" t="s">
        <v>286</v>
      </c>
      <c r="E93" s="653" t="n">
        <v>1581.25</v>
      </c>
      <c r="G93" s="653" t="n">
        <v>3174.5</v>
      </c>
      <c r="I93" s="123" t="n">
        <v>5</v>
      </c>
    </row>
    <row r="94" customFormat="false" ht="15" hidden="false" customHeight="false" outlineLevel="0" collapsed="false">
      <c r="A94" s="652" t="n">
        <v>45457</v>
      </c>
      <c r="B94" s="123" t="n">
        <v>70</v>
      </c>
      <c r="C94" s="124" t="s">
        <v>292</v>
      </c>
      <c r="D94" s="124" t="s">
        <v>286</v>
      </c>
      <c r="E94" s="653" t="n">
        <v>316.25</v>
      </c>
      <c r="G94" s="653" t="n">
        <v>3490.75</v>
      </c>
      <c r="I94" s="123" t="n">
        <v>1</v>
      </c>
    </row>
    <row r="95" customFormat="false" ht="15" hidden="false" customHeight="false" outlineLevel="0" collapsed="false">
      <c r="A95" s="652" t="n">
        <v>45457</v>
      </c>
      <c r="B95" s="123" t="n">
        <v>69</v>
      </c>
      <c r="C95" s="124" t="s">
        <v>329</v>
      </c>
      <c r="D95" s="124" t="s">
        <v>224</v>
      </c>
      <c r="E95" s="653" t="n">
        <v>155.25</v>
      </c>
      <c r="G95" s="123" t="n">
        <v>3646</v>
      </c>
      <c r="P95" s="123" t="n">
        <v>1</v>
      </c>
    </row>
    <row r="96" customFormat="false" ht="15" hidden="false" customHeight="false" outlineLevel="0" collapsed="false">
      <c r="A96" s="652" t="n">
        <v>45457</v>
      </c>
      <c r="B96" s="124" t="s">
        <v>392</v>
      </c>
      <c r="C96" s="124" t="s">
        <v>393</v>
      </c>
      <c r="F96" s="123" t="n">
        <v>3646</v>
      </c>
      <c r="G96" s="123" t="n">
        <v>0</v>
      </c>
    </row>
    <row r="97" customFormat="false" ht="15" hidden="false" customHeight="false" outlineLevel="0" collapsed="false">
      <c r="A97" s="652" t="n">
        <v>45469</v>
      </c>
      <c r="B97" s="123" t="n">
        <v>73</v>
      </c>
      <c r="C97" s="124" t="s">
        <v>96</v>
      </c>
      <c r="D97" s="124" t="s">
        <v>75</v>
      </c>
      <c r="E97" s="653" t="n">
        <v>1029.25</v>
      </c>
      <c r="G97" s="653" t="n">
        <v>1029.25</v>
      </c>
      <c r="J97" s="123" t="n">
        <v>2</v>
      </c>
      <c r="K97" s="123" t="n">
        <v>2</v>
      </c>
      <c r="P97" s="123" t="n">
        <v>1</v>
      </c>
    </row>
    <row r="98" customFormat="false" ht="15" hidden="false" customHeight="false" outlineLevel="0" collapsed="false">
      <c r="A98" s="652" t="n">
        <v>45469</v>
      </c>
      <c r="B98" s="123" t="n">
        <v>74</v>
      </c>
      <c r="C98" s="124" t="s">
        <v>101</v>
      </c>
      <c r="D98" s="124" t="s">
        <v>75</v>
      </c>
      <c r="E98" s="123" t="n">
        <v>713</v>
      </c>
      <c r="G98" s="653" t="n">
        <v>1742.25</v>
      </c>
      <c r="J98" s="123" t="n">
        <v>1</v>
      </c>
      <c r="K98" s="123" t="n">
        <v>2</v>
      </c>
    </row>
    <row r="99" customFormat="false" ht="15" hidden="false" customHeight="false" outlineLevel="0" collapsed="false">
      <c r="A99" s="652" t="n">
        <v>45469</v>
      </c>
      <c r="B99" s="123" t="n">
        <v>75</v>
      </c>
      <c r="C99" s="124" t="s">
        <v>89</v>
      </c>
      <c r="D99" s="124" t="s">
        <v>75</v>
      </c>
      <c r="E99" s="653" t="n">
        <v>1420.25</v>
      </c>
      <c r="G99" s="653" t="n">
        <v>3162.5</v>
      </c>
      <c r="K99" s="123" t="n">
        <v>5</v>
      </c>
    </row>
    <row r="100" customFormat="false" ht="15" hidden="false" customHeight="false" outlineLevel="0" collapsed="false">
      <c r="A100" s="652" t="n">
        <v>45469</v>
      </c>
      <c r="B100" s="124" t="s">
        <v>470</v>
      </c>
      <c r="C100" s="124" t="s">
        <v>393</v>
      </c>
      <c r="F100" s="123" t="n">
        <v>4369</v>
      </c>
      <c r="G100" s="653" t="n">
        <v>-1206.5</v>
      </c>
    </row>
    <row r="101" customFormat="false" ht="15" hidden="false" customHeight="false" outlineLevel="0" collapsed="false">
      <c r="A101" s="652" t="n">
        <v>45469</v>
      </c>
      <c r="B101" s="123" t="n">
        <v>76</v>
      </c>
      <c r="C101" s="124" t="s">
        <v>100</v>
      </c>
      <c r="D101" s="124" t="s">
        <v>75</v>
      </c>
      <c r="E101" s="653" t="n">
        <v>1207.5</v>
      </c>
      <c r="G101" s="123" t="n">
        <v>1</v>
      </c>
      <c r="I101" s="123" t="n">
        <v>2</v>
      </c>
      <c r="L101" s="123" t="n">
        <v>1</v>
      </c>
      <c r="M101" s="123" t="n">
        <v>1</v>
      </c>
    </row>
    <row r="102" customFormat="false" ht="15" hidden="false" customHeight="false" outlineLevel="0" collapsed="false">
      <c r="A102" s="652" t="n">
        <v>45470</v>
      </c>
      <c r="B102" s="124" t="s">
        <v>399</v>
      </c>
      <c r="C102" s="124" t="s">
        <v>393</v>
      </c>
      <c r="G102" s="123" t="n">
        <v>1</v>
      </c>
    </row>
    <row r="103" customFormat="false" ht="15" hidden="false" customHeight="false" outlineLevel="0" collapsed="false">
      <c r="A103" s="652" t="n">
        <v>45470</v>
      </c>
      <c r="B103" s="123" t="n">
        <v>77</v>
      </c>
      <c r="C103" s="124" t="s">
        <v>81</v>
      </c>
      <c r="D103" s="124" t="s">
        <v>75</v>
      </c>
      <c r="E103" s="653" t="n">
        <v>316.25</v>
      </c>
      <c r="G103" s="653" t="n">
        <v>317.25</v>
      </c>
      <c r="I103" s="123" t="n">
        <v>1</v>
      </c>
    </row>
    <row r="104" customFormat="false" ht="15" hidden="false" customHeight="false" outlineLevel="0" collapsed="false">
      <c r="A104" s="652" t="n">
        <v>45470</v>
      </c>
      <c r="B104" s="123" t="n">
        <v>78</v>
      </c>
      <c r="C104" s="124" t="s">
        <v>81</v>
      </c>
      <c r="D104" s="124" t="s">
        <v>75</v>
      </c>
      <c r="E104" s="653" t="n">
        <v>316.25</v>
      </c>
      <c r="G104" s="653" t="n">
        <v>633.5</v>
      </c>
      <c r="L104" s="123" t="n">
        <v>1</v>
      </c>
    </row>
    <row r="105" customFormat="false" ht="15" hidden="false" customHeight="false" outlineLevel="0" collapsed="false">
      <c r="A105" s="652" t="n">
        <v>45470</v>
      </c>
      <c r="B105" s="124" t="s">
        <v>470</v>
      </c>
      <c r="C105" s="124" t="s">
        <v>393</v>
      </c>
      <c r="E105" s="123" t="n">
        <v>-1</v>
      </c>
      <c r="F105" s="653" t="n">
        <v>632.5</v>
      </c>
      <c r="G105" s="123" t="n">
        <v>0</v>
      </c>
    </row>
    <row r="106" customFormat="false" ht="15" hidden="false" customHeight="false" outlineLevel="0" collapsed="false">
      <c r="A106" s="652" t="n">
        <v>45474</v>
      </c>
      <c r="B106" s="123" t="n">
        <v>81</v>
      </c>
      <c r="C106" s="124" t="s">
        <v>309</v>
      </c>
      <c r="D106" s="124" t="s">
        <v>301</v>
      </c>
      <c r="E106" s="653" t="n">
        <v>264.5</v>
      </c>
      <c r="G106" s="653" t="n">
        <v>264.5</v>
      </c>
      <c r="P106" s="123" t="n">
        <v>1</v>
      </c>
    </row>
    <row r="107" customFormat="false" ht="15" hidden="false" customHeight="false" outlineLevel="0" collapsed="false">
      <c r="A107" s="652" t="n">
        <v>45474</v>
      </c>
      <c r="B107" s="123" t="n">
        <v>80</v>
      </c>
      <c r="C107" s="124" t="s">
        <v>302</v>
      </c>
      <c r="D107" s="124" t="s">
        <v>301</v>
      </c>
      <c r="E107" s="653" t="n">
        <v>155.25</v>
      </c>
      <c r="G107" s="653" t="n">
        <v>419.75</v>
      </c>
      <c r="P107" s="123" t="n">
        <v>1</v>
      </c>
    </row>
    <row r="108" customFormat="false" ht="15" hidden="false" customHeight="false" outlineLevel="0" collapsed="false">
      <c r="A108" s="652" t="n">
        <v>45474</v>
      </c>
      <c r="B108" s="123" t="n">
        <v>79</v>
      </c>
      <c r="C108" s="124" t="s">
        <v>312</v>
      </c>
      <c r="D108" s="124" t="s">
        <v>301</v>
      </c>
      <c r="E108" s="653" t="n">
        <v>212.75</v>
      </c>
      <c r="G108" s="653" t="n">
        <v>632.5</v>
      </c>
      <c r="O108" s="123" t="n">
        <v>1</v>
      </c>
    </row>
    <row r="109" customFormat="false" ht="15" hidden="false" customHeight="false" outlineLevel="0" collapsed="false">
      <c r="A109" s="652" t="n">
        <v>45474</v>
      </c>
      <c r="B109" s="123" t="n">
        <v>85</v>
      </c>
      <c r="C109" s="124" t="s">
        <v>317</v>
      </c>
      <c r="D109" s="124" t="s">
        <v>224</v>
      </c>
      <c r="E109" s="653" t="n">
        <v>327.75</v>
      </c>
      <c r="G109" s="653" t="n">
        <v>960.25</v>
      </c>
      <c r="I109" s="123" t="n">
        <v>1</v>
      </c>
    </row>
    <row r="110" customFormat="false" ht="15" hidden="false" customHeight="false" outlineLevel="0" collapsed="false">
      <c r="A110" s="652" t="n">
        <v>45474</v>
      </c>
      <c r="B110" s="124" t="s">
        <v>470</v>
      </c>
      <c r="C110" s="124" t="s">
        <v>393</v>
      </c>
      <c r="F110" s="653" t="n">
        <v>1940.5</v>
      </c>
      <c r="G110" s="653" t="n">
        <v>-980.25</v>
      </c>
    </row>
    <row r="111" customFormat="false" ht="15" hidden="false" customHeight="false" outlineLevel="0" collapsed="false">
      <c r="A111" s="652" t="n">
        <v>45474</v>
      </c>
      <c r="B111" s="123" t="n">
        <v>82</v>
      </c>
      <c r="C111" s="124" t="s">
        <v>316</v>
      </c>
      <c r="D111" s="124" t="s">
        <v>301</v>
      </c>
      <c r="E111" s="653" t="n">
        <v>1592.75</v>
      </c>
      <c r="G111" s="653" t="n">
        <v>612.5</v>
      </c>
      <c r="J111" s="123" t="n">
        <v>2</v>
      </c>
      <c r="L111" s="123" t="n">
        <v>1</v>
      </c>
      <c r="M111" s="123" t="n">
        <v>3</v>
      </c>
      <c r="N111" s="123" t="n">
        <v>1</v>
      </c>
    </row>
    <row r="112" customFormat="false" ht="15" hidden="false" customHeight="false" outlineLevel="0" collapsed="false">
      <c r="A112" s="652" t="n">
        <v>45474</v>
      </c>
      <c r="B112" s="123" t="n">
        <v>83</v>
      </c>
      <c r="C112" s="124" t="s">
        <v>303</v>
      </c>
      <c r="D112" s="124" t="s">
        <v>301</v>
      </c>
      <c r="E112" s="653" t="n">
        <v>327.75</v>
      </c>
      <c r="G112" s="653" t="n">
        <v>940.25</v>
      </c>
      <c r="I112" s="123" t="n">
        <v>1</v>
      </c>
    </row>
    <row r="113" customFormat="false" ht="15" hidden="false" customHeight="false" outlineLevel="0" collapsed="false">
      <c r="A113" s="652" t="n">
        <v>45474</v>
      </c>
      <c r="B113" s="123" t="n">
        <v>84</v>
      </c>
      <c r="C113" s="124" t="s">
        <v>311</v>
      </c>
      <c r="D113" s="124" t="s">
        <v>301</v>
      </c>
      <c r="E113" s="123" t="n">
        <v>1104</v>
      </c>
      <c r="G113" s="653" t="n">
        <v>2044.25</v>
      </c>
      <c r="I113" s="123" t="n">
        <v>2</v>
      </c>
      <c r="K113" s="123" t="n">
        <v>1</v>
      </c>
      <c r="P113" s="123" t="n">
        <v>1</v>
      </c>
    </row>
    <row r="114" customFormat="false" ht="15" hidden="false" customHeight="false" outlineLevel="0" collapsed="false">
      <c r="A114" s="652" t="n">
        <v>45474</v>
      </c>
      <c r="B114" s="123" t="n">
        <v>86</v>
      </c>
      <c r="C114" s="124" t="s">
        <v>327</v>
      </c>
      <c r="D114" s="124" t="s">
        <v>224</v>
      </c>
      <c r="E114" s="653" t="n">
        <v>293.25</v>
      </c>
      <c r="G114" s="653" t="n">
        <v>2337.5</v>
      </c>
      <c r="O114" s="123" t="n">
        <v>1</v>
      </c>
      <c r="P114" s="123" t="n">
        <v>1</v>
      </c>
    </row>
    <row r="115" customFormat="false" ht="15" hidden="false" customHeight="false" outlineLevel="0" collapsed="false">
      <c r="A115" s="652" t="n">
        <v>45474</v>
      </c>
      <c r="B115" s="123" t="n">
        <v>87</v>
      </c>
      <c r="C115" s="124" t="s">
        <v>282</v>
      </c>
      <c r="D115" s="124" t="s">
        <v>127</v>
      </c>
      <c r="E115" s="123" t="n">
        <v>6325</v>
      </c>
      <c r="G115" s="653" t="n">
        <v>8662.5</v>
      </c>
      <c r="L115" s="123" t="n">
        <v>20</v>
      </c>
    </row>
    <row r="116" customFormat="false" ht="15" hidden="false" customHeight="false" outlineLevel="0" collapsed="false">
      <c r="A116" s="652" t="n">
        <v>45476</v>
      </c>
      <c r="B116" s="124" t="s">
        <v>526</v>
      </c>
      <c r="C116" s="124" t="s">
        <v>393</v>
      </c>
      <c r="F116" s="123" t="n">
        <v>6325</v>
      </c>
      <c r="G116" s="653" t="n">
        <v>2337.5</v>
      </c>
    </row>
    <row r="117" customFormat="false" ht="15" hidden="false" customHeight="false" outlineLevel="0" collapsed="false">
      <c r="A117" s="652" t="n">
        <v>45476</v>
      </c>
      <c r="B117" s="124" t="s">
        <v>529</v>
      </c>
      <c r="C117" s="124" t="s">
        <v>393</v>
      </c>
      <c r="F117" s="123" t="n">
        <v>2337</v>
      </c>
      <c r="G117" s="653" t="n">
        <v>0.5</v>
      </c>
    </row>
    <row r="118" customFormat="false" ht="15" hidden="false" customHeight="false" outlineLevel="0" collapsed="false">
      <c r="A118" s="652" t="n">
        <v>45476</v>
      </c>
      <c r="B118" s="123" t="n">
        <v>88</v>
      </c>
      <c r="C118" s="124" t="s">
        <v>97</v>
      </c>
      <c r="D118" s="124" t="s">
        <v>75</v>
      </c>
      <c r="E118" s="653" t="n">
        <v>327.75</v>
      </c>
      <c r="G118" s="653" t="n">
        <v>328.25</v>
      </c>
      <c r="I118" s="123" t="n">
        <v>1</v>
      </c>
    </row>
    <row r="119" customFormat="false" ht="15" hidden="false" customHeight="false" outlineLevel="0" collapsed="false">
      <c r="A119" s="652" t="n">
        <v>45476</v>
      </c>
      <c r="B119" s="123" t="n">
        <v>90</v>
      </c>
      <c r="C119" s="124" t="s">
        <v>94</v>
      </c>
      <c r="D119" s="124" t="s">
        <v>75</v>
      </c>
      <c r="E119" s="123" t="n">
        <v>1127</v>
      </c>
      <c r="G119" s="653" t="n">
        <v>1455.25</v>
      </c>
      <c r="K119" s="123" t="n">
        <v>4</v>
      </c>
    </row>
    <row r="120" customFormat="false" ht="15" hidden="false" customHeight="false" outlineLevel="0" collapsed="false">
      <c r="A120" s="652" t="n">
        <v>45476</v>
      </c>
      <c r="B120" s="123" t="n">
        <v>91</v>
      </c>
      <c r="C120" s="124" t="s">
        <v>99</v>
      </c>
      <c r="D120" s="124" t="s">
        <v>75</v>
      </c>
      <c r="E120" s="653" t="n">
        <v>655.5</v>
      </c>
      <c r="G120" s="653" t="n">
        <v>2110.75</v>
      </c>
      <c r="I120" s="123" t="n">
        <v>2</v>
      </c>
    </row>
    <row r="121" customFormat="false" ht="15" hidden="false" customHeight="false" outlineLevel="0" collapsed="false">
      <c r="A121" s="652" t="n">
        <v>45476</v>
      </c>
      <c r="B121" s="123" t="n">
        <v>89</v>
      </c>
      <c r="C121" s="124" t="s">
        <v>90</v>
      </c>
      <c r="D121" s="124" t="s">
        <v>75</v>
      </c>
      <c r="E121" s="653" t="n">
        <v>914.25</v>
      </c>
      <c r="G121" s="123" t="n">
        <v>3025</v>
      </c>
      <c r="I121" s="123" t="n">
        <v>2</v>
      </c>
      <c r="M121" s="123" t="n">
        <v>1</v>
      </c>
    </row>
    <row r="122" customFormat="false" ht="15" hidden="false" customHeight="false" outlineLevel="0" collapsed="false">
      <c r="A122" s="652" t="n">
        <v>45476</v>
      </c>
      <c r="B122" s="124" t="s">
        <v>470</v>
      </c>
      <c r="C122" s="124" t="s">
        <v>393</v>
      </c>
      <c r="F122" s="653" t="n">
        <v>6572.25</v>
      </c>
      <c r="G122" s="653" t="n">
        <v>-3547.25</v>
      </c>
    </row>
    <row r="123" customFormat="false" ht="15" hidden="false" customHeight="false" outlineLevel="0" collapsed="false">
      <c r="A123" s="652" t="n">
        <v>45476</v>
      </c>
      <c r="B123" s="123" t="n">
        <v>92</v>
      </c>
      <c r="C123" s="124" t="s">
        <v>101</v>
      </c>
      <c r="D123" s="124" t="s">
        <v>75</v>
      </c>
      <c r="E123" s="653" t="n">
        <v>327.75</v>
      </c>
      <c r="G123" s="653" t="n">
        <v>-3219.5</v>
      </c>
      <c r="I123" s="123" t="n">
        <v>1</v>
      </c>
    </row>
    <row r="124" customFormat="false" ht="15" hidden="false" customHeight="false" outlineLevel="0" collapsed="false">
      <c r="A124" s="652" t="n">
        <v>45476</v>
      </c>
      <c r="B124" s="123" t="n">
        <v>93</v>
      </c>
      <c r="C124" s="124" t="s">
        <v>107</v>
      </c>
      <c r="D124" s="124" t="s">
        <v>105</v>
      </c>
      <c r="E124" s="653" t="n">
        <v>655.5</v>
      </c>
      <c r="G124" s="123" t="n">
        <v>-2564</v>
      </c>
      <c r="I124" s="123" t="n">
        <v>2</v>
      </c>
    </row>
    <row r="125" customFormat="false" ht="15" hidden="false" customHeight="false" outlineLevel="0" collapsed="false">
      <c r="A125" s="652" t="n">
        <v>45476</v>
      </c>
      <c r="B125" s="123" t="n">
        <v>94</v>
      </c>
      <c r="C125" s="124" t="s">
        <v>109</v>
      </c>
      <c r="D125" s="124" t="s">
        <v>105</v>
      </c>
      <c r="E125" s="653" t="n">
        <v>1581.25</v>
      </c>
      <c r="G125" s="653" t="n">
        <v>-982.75</v>
      </c>
      <c r="I125" s="123" t="n">
        <v>4</v>
      </c>
      <c r="K125" s="123" t="n">
        <v>1</v>
      </c>
    </row>
    <row r="126" customFormat="false" ht="15" hidden="false" customHeight="false" outlineLevel="0" collapsed="false">
      <c r="A126" s="652" t="n">
        <v>45476</v>
      </c>
      <c r="B126" s="123" t="n">
        <v>95</v>
      </c>
      <c r="C126" s="124" t="s">
        <v>89</v>
      </c>
      <c r="D126" s="124" t="s">
        <v>75</v>
      </c>
      <c r="E126" s="653" t="n">
        <v>828.25</v>
      </c>
      <c r="G126" s="653" t="n">
        <v>-154.5</v>
      </c>
      <c r="I126" s="123" t="n">
        <v>1</v>
      </c>
      <c r="K126" s="123" t="n">
        <v>2</v>
      </c>
    </row>
    <row r="127" customFormat="false" ht="15" hidden="false" customHeight="false" outlineLevel="0" collapsed="false">
      <c r="A127" s="652" t="n">
        <v>45476</v>
      </c>
      <c r="B127" s="123" t="n">
        <v>96</v>
      </c>
      <c r="C127" s="124" t="s">
        <v>81</v>
      </c>
      <c r="D127" s="124" t="s">
        <v>75</v>
      </c>
      <c r="E127" s="123" t="n">
        <v>155</v>
      </c>
      <c r="G127" s="653" t="n">
        <v>0.5</v>
      </c>
      <c r="P127" s="123" t="n">
        <v>1</v>
      </c>
    </row>
    <row r="128" customFormat="false" ht="15" hidden="false" customHeight="false" outlineLevel="0" collapsed="false">
      <c r="A128" s="652" t="n">
        <v>45477</v>
      </c>
      <c r="B128" s="123" t="n">
        <v>97</v>
      </c>
      <c r="C128" s="124" t="s">
        <v>298</v>
      </c>
      <c r="D128" s="124" t="s">
        <v>286</v>
      </c>
      <c r="E128" s="653" t="n">
        <v>356.5</v>
      </c>
      <c r="G128" s="123" t="n">
        <v>357</v>
      </c>
      <c r="J128" s="123" t="n">
        <v>2</v>
      </c>
    </row>
    <row r="129" customFormat="false" ht="15" hidden="false" customHeight="false" outlineLevel="0" collapsed="false">
      <c r="A129" s="652" t="n">
        <v>45477</v>
      </c>
      <c r="B129" s="123" t="n">
        <v>98</v>
      </c>
      <c r="C129" s="124" t="s">
        <v>289</v>
      </c>
      <c r="D129" s="124" t="s">
        <v>286</v>
      </c>
      <c r="E129" s="653" t="n">
        <v>327.75</v>
      </c>
      <c r="G129" s="653" t="n">
        <v>684.75</v>
      </c>
      <c r="I129" s="123" t="n">
        <v>1</v>
      </c>
    </row>
    <row r="130" customFormat="false" ht="15" hidden="false" customHeight="false" outlineLevel="0" collapsed="false">
      <c r="A130" s="652" t="n">
        <v>45477</v>
      </c>
      <c r="B130" s="124" t="s">
        <v>470</v>
      </c>
      <c r="C130" s="124" t="s">
        <v>393</v>
      </c>
      <c r="E130" s="653" t="n">
        <v>-0.5</v>
      </c>
      <c r="F130" s="653" t="n">
        <v>683.5</v>
      </c>
      <c r="G130" s="653" t="n">
        <v>0.75</v>
      </c>
    </row>
    <row r="131" customFormat="false" ht="15" hidden="false" customHeight="false" outlineLevel="0" collapsed="false">
      <c r="A131" s="652" t="n">
        <v>45480</v>
      </c>
      <c r="B131" s="123" t="n">
        <v>100</v>
      </c>
      <c r="C131" s="124" t="s">
        <v>296</v>
      </c>
      <c r="D131" s="124" t="s">
        <v>286</v>
      </c>
      <c r="E131" s="653" t="n">
        <v>2127.5</v>
      </c>
      <c r="G131" s="653" t="n">
        <v>2128.25</v>
      </c>
      <c r="O131" s="123" t="n">
        <v>10</v>
      </c>
    </row>
    <row r="132" customFormat="false" ht="15" hidden="false" customHeight="false" outlineLevel="0" collapsed="false">
      <c r="A132" s="652" t="n">
        <v>45480</v>
      </c>
      <c r="B132" s="123" t="n">
        <v>99</v>
      </c>
      <c r="C132" s="124" t="s">
        <v>290</v>
      </c>
      <c r="D132" s="124" t="s">
        <v>286</v>
      </c>
      <c r="E132" s="653" t="n">
        <v>655.5</v>
      </c>
      <c r="G132" s="653" t="n">
        <v>2783.75</v>
      </c>
      <c r="I132" s="123" t="n">
        <v>2</v>
      </c>
    </row>
    <row r="133" customFormat="false" ht="15" hidden="false" customHeight="false" outlineLevel="0" collapsed="false">
      <c r="A133" s="652" t="n">
        <v>45480</v>
      </c>
      <c r="B133" s="123" t="n">
        <v>101</v>
      </c>
      <c r="C133" s="124" t="s">
        <v>298</v>
      </c>
      <c r="D133" s="124" t="s">
        <v>286</v>
      </c>
      <c r="E133" s="653" t="n">
        <v>327.75</v>
      </c>
      <c r="G133" s="653" t="n">
        <v>3111.5</v>
      </c>
      <c r="I133" s="123" t="n">
        <v>1</v>
      </c>
    </row>
    <row r="134" customFormat="false" ht="15" hidden="false" customHeight="false" outlineLevel="0" collapsed="false">
      <c r="A134" s="652" t="n">
        <v>45481</v>
      </c>
      <c r="B134" s="124" t="s">
        <v>529</v>
      </c>
      <c r="C134" s="124" t="s">
        <v>393</v>
      </c>
      <c r="F134" s="123" t="n">
        <v>3111</v>
      </c>
      <c r="G134" s="653" t="n">
        <v>0.5</v>
      </c>
    </row>
    <row r="135" customFormat="false" ht="15" hidden="false" customHeight="false" outlineLevel="0" collapsed="false">
      <c r="A135" s="652" t="n">
        <v>45481</v>
      </c>
      <c r="B135" s="123" t="n">
        <v>105</v>
      </c>
      <c r="C135" s="124" t="s">
        <v>305</v>
      </c>
      <c r="D135" s="124" t="s">
        <v>301</v>
      </c>
      <c r="E135" s="653" t="n">
        <v>155.25</v>
      </c>
      <c r="G135" s="653" t="n">
        <v>155.75</v>
      </c>
      <c r="P135" s="123" t="n">
        <v>1</v>
      </c>
    </row>
    <row r="136" customFormat="false" ht="15" hidden="false" customHeight="false" outlineLevel="0" collapsed="false">
      <c r="A136" s="652" t="n">
        <v>45481</v>
      </c>
      <c r="B136" s="123" t="n">
        <v>104</v>
      </c>
      <c r="C136" s="124" t="s">
        <v>315</v>
      </c>
      <c r="D136" s="124" t="s">
        <v>301</v>
      </c>
      <c r="E136" s="653" t="n">
        <v>327.75</v>
      </c>
      <c r="G136" s="653" t="n">
        <v>483.5</v>
      </c>
      <c r="I136" s="123" t="n">
        <v>1</v>
      </c>
    </row>
    <row r="137" customFormat="false" ht="15" hidden="false" customHeight="false" outlineLevel="0" collapsed="false">
      <c r="A137" s="652" t="n">
        <v>45481</v>
      </c>
      <c r="B137" s="123" t="n">
        <v>103</v>
      </c>
      <c r="C137" s="124" t="s">
        <v>316</v>
      </c>
      <c r="D137" s="124" t="s">
        <v>301</v>
      </c>
      <c r="E137" s="653" t="n">
        <v>500.25</v>
      </c>
      <c r="G137" s="653" t="n">
        <v>983.75</v>
      </c>
      <c r="J137" s="123" t="n">
        <v>2</v>
      </c>
      <c r="N137" s="123" t="n">
        <v>1</v>
      </c>
    </row>
    <row r="138" customFormat="false" ht="15" hidden="false" customHeight="false" outlineLevel="0" collapsed="false">
      <c r="A138" s="652" t="n">
        <v>45481</v>
      </c>
      <c r="B138" s="123" t="n">
        <v>102</v>
      </c>
      <c r="C138" s="124" t="s">
        <v>312</v>
      </c>
      <c r="D138" s="124" t="s">
        <v>301</v>
      </c>
      <c r="E138" s="123" t="n">
        <v>851</v>
      </c>
      <c r="G138" s="653" t="n">
        <v>1834.75</v>
      </c>
      <c r="O138" s="123" t="n">
        <v>4</v>
      </c>
    </row>
    <row r="139" customFormat="false" ht="15" hidden="false" customHeight="false" outlineLevel="0" collapsed="false">
      <c r="A139" s="652" t="n">
        <v>45481</v>
      </c>
      <c r="B139" s="124" t="s">
        <v>470</v>
      </c>
      <c r="C139" s="124" t="s">
        <v>393</v>
      </c>
      <c r="F139" s="123" t="n">
        <v>1406</v>
      </c>
      <c r="G139" s="653" t="n">
        <v>428.75</v>
      </c>
    </row>
    <row r="140" customFormat="false" ht="15" hidden="false" customHeight="false" outlineLevel="0" collapsed="false">
      <c r="A140" s="652" t="n">
        <v>45481</v>
      </c>
      <c r="B140" s="123" t="n">
        <v>108</v>
      </c>
      <c r="C140" s="124" t="s">
        <v>296</v>
      </c>
      <c r="D140" s="124" t="s">
        <v>286</v>
      </c>
      <c r="E140" s="653" t="n">
        <v>2127.5</v>
      </c>
      <c r="G140" s="653" t="n">
        <v>2556.25</v>
      </c>
      <c r="O140" s="123" t="n">
        <v>10</v>
      </c>
    </row>
    <row r="141" customFormat="false" ht="15" hidden="false" customHeight="false" outlineLevel="0" collapsed="false">
      <c r="A141" s="652" t="n">
        <v>45481</v>
      </c>
      <c r="B141" s="123" t="n">
        <v>107</v>
      </c>
      <c r="C141" s="124" t="s">
        <v>292</v>
      </c>
      <c r="D141" s="124" t="s">
        <v>286</v>
      </c>
      <c r="E141" s="653" t="n">
        <v>327.75</v>
      </c>
      <c r="G141" s="123" t="n">
        <v>2884</v>
      </c>
      <c r="I141" s="123" t="n">
        <v>1</v>
      </c>
    </row>
    <row r="142" customFormat="false" ht="15" hidden="false" customHeight="false" outlineLevel="0" collapsed="false">
      <c r="A142" s="652" t="n">
        <v>45481</v>
      </c>
      <c r="B142" s="123" t="n">
        <v>106</v>
      </c>
      <c r="C142" s="124" t="s">
        <v>317</v>
      </c>
      <c r="D142" s="124" t="s">
        <v>224</v>
      </c>
      <c r="E142" s="123" t="n">
        <v>1150</v>
      </c>
      <c r="G142" s="123" t="n">
        <v>4034</v>
      </c>
      <c r="L142" s="123" t="n">
        <v>2</v>
      </c>
      <c r="M142" s="123" t="n">
        <v>2</v>
      </c>
    </row>
    <row r="143" customFormat="false" ht="15" hidden="false" customHeight="false" outlineLevel="0" collapsed="false">
      <c r="A143" s="652" t="n">
        <v>45482</v>
      </c>
      <c r="B143" s="124" t="s">
        <v>392</v>
      </c>
      <c r="C143" s="124" t="s">
        <v>393</v>
      </c>
      <c r="E143" s="123" t="n">
        <v>-1</v>
      </c>
      <c r="F143" s="123" t="n">
        <v>4033</v>
      </c>
      <c r="G143" s="123" t="n">
        <v>0</v>
      </c>
    </row>
    <row r="144" customFormat="false" ht="15" hidden="false" customHeight="false" outlineLevel="0" collapsed="false">
      <c r="A144" s="652" t="n">
        <v>45483</v>
      </c>
      <c r="B144" s="123" t="n">
        <v>110</v>
      </c>
      <c r="C144" s="124" t="s">
        <v>89</v>
      </c>
      <c r="D144" s="124" t="s">
        <v>75</v>
      </c>
      <c r="E144" s="653" t="n">
        <v>1644.5</v>
      </c>
      <c r="G144" s="653" t="n">
        <v>1644.5</v>
      </c>
      <c r="K144" s="123" t="n">
        <v>4</v>
      </c>
      <c r="M144" s="123" t="n">
        <v>2</v>
      </c>
    </row>
    <row r="145" customFormat="false" ht="15" hidden="false" customHeight="false" outlineLevel="0" collapsed="false">
      <c r="A145" s="652" t="n">
        <v>45483</v>
      </c>
      <c r="B145" s="123" t="n">
        <v>109</v>
      </c>
      <c r="C145" s="124" t="s">
        <v>96</v>
      </c>
      <c r="D145" s="124" t="s">
        <v>75</v>
      </c>
      <c r="E145" s="653" t="n">
        <v>465.75</v>
      </c>
      <c r="F145" s="653" t="n">
        <v>4317.5</v>
      </c>
      <c r="G145" s="653" t="n">
        <v>-2207.25</v>
      </c>
      <c r="P145" s="123" t="n">
        <v>3</v>
      </c>
    </row>
    <row r="146" customFormat="false" ht="15" hidden="false" customHeight="false" outlineLevel="0" collapsed="false">
      <c r="A146" s="652" t="n">
        <v>45483</v>
      </c>
      <c r="B146" s="123" t="n">
        <v>112</v>
      </c>
      <c r="C146" s="124" t="s">
        <v>101</v>
      </c>
      <c r="D146" s="124" t="s">
        <v>75</v>
      </c>
      <c r="E146" s="653" t="n">
        <v>356.5</v>
      </c>
      <c r="G146" s="653" t="n">
        <v>-1850.75</v>
      </c>
      <c r="J146" s="123" t="n">
        <v>2</v>
      </c>
    </row>
    <row r="147" customFormat="false" ht="15" hidden="false" customHeight="false" outlineLevel="0" collapsed="false">
      <c r="A147" s="652" t="n">
        <v>45483</v>
      </c>
      <c r="B147" s="123" t="n">
        <v>113</v>
      </c>
      <c r="C147" s="124" t="s">
        <v>101</v>
      </c>
      <c r="D147" s="124" t="s">
        <v>75</v>
      </c>
      <c r="E147" s="653" t="n">
        <v>270.25</v>
      </c>
      <c r="G147" s="653" t="n">
        <v>-1580.5</v>
      </c>
      <c r="K147" s="123" t="n">
        <v>1</v>
      </c>
    </row>
    <row r="148" customFormat="false" ht="15" hidden="false" customHeight="false" outlineLevel="0" collapsed="false">
      <c r="A148" s="652" t="n">
        <v>45483</v>
      </c>
      <c r="B148" s="123" t="n">
        <v>111</v>
      </c>
      <c r="C148" s="124" t="s">
        <v>97</v>
      </c>
      <c r="D148" s="124" t="s">
        <v>75</v>
      </c>
      <c r="E148" s="653" t="n">
        <v>310.5</v>
      </c>
      <c r="G148" s="123" t="n">
        <v>-1270</v>
      </c>
      <c r="P148" s="123" t="n">
        <v>2</v>
      </c>
    </row>
    <row r="149" customFormat="false" ht="15" hidden="false" customHeight="false" outlineLevel="0" collapsed="false">
      <c r="A149" s="652" t="n">
        <v>45483</v>
      </c>
      <c r="B149" s="123" t="n">
        <v>114</v>
      </c>
      <c r="C149" s="124" t="s">
        <v>92</v>
      </c>
      <c r="D149" s="124" t="s">
        <v>75</v>
      </c>
      <c r="E149" s="653" t="n">
        <v>258.75</v>
      </c>
      <c r="G149" s="653" t="n">
        <v>-1011.25</v>
      </c>
      <c r="M149" s="123" t="n">
        <v>1</v>
      </c>
    </row>
    <row r="150" customFormat="false" ht="15" hidden="false" customHeight="false" outlineLevel="0" collapsed="false">
      <c r="A150" s="652" t="n">
        <v>45483</v>
      </c>
      <c r="B150" s="123" t="n">
        <v>115</v>
      </c>
      <c r="C150" s="124" t="s">
        <v>113</v>
      </c>
      <c r="D150" s="124" t="s">
        <v>105</v>
      </c>
      <c r="E150" s="653" t="n">
        <v>327.75</v>
      </c>
      <c r="G150" s="653" t="n">
        <v>-683.5</v>
      </c>
      <c r="I150" s="123" t="n">
        <v>1</v>
      </c>
    </row>
    <row r="151" customFormat="false" ht="15" hidden="false" customHeight="false" outlineLevel="0" collapsed="false">
      <c r="A151" s="652" t="n">
        <v>45483</v>
      </c>
      <c r="B151" s="123" t="n">
        <v>117</v>
      </c>
      <c r="C151" s="124" t="s">
        <v>104</v>
      </c>
      <c r="D151" s="124" t="s">
        <v>105</v>
      </c>
      <c r="E151" s="653" t="n">
        <v>356.5</v>
      </c>
      <c r="G151" s="123" t="n">
        <v>-327</v>
      </c>
      <c r="J151" s="123" t="n">
        <v>2</v>
      </c>
    </row>
    <row r="152" customFormat="false" ht="15" hidden="false" customHeight="false" outlineLevel="0" collapsed="false">
      <c r="A152" s="652" t="n">
        <v>45483</v>
      </c>
      <c r="B152" s="123" t="n">
        <v>116</v>
      </c>
      <c r="C152" s="124" t="s">
        <v>107</v>
      </c>
      <c r="D152" s="124" t="s">
        <v>105</v>
      </c>
      <c r="E152" s="653" t="n">
        <v>327.75</v>
      </c>
      <c r="G152" s="653" t="n">
        <v>0.75</v>
      </c>
      <c r="I152" s="123" t="n">
        <v>1</v>
      </c>
    </row>
    <row r="153" customFormat="false" ht="15" hidden="false" customHeight="false" outlineLevel="0" collapsed="false">
      <c r="A153" s="652" t="n">
        <v>45483</v>
      </c>
      <c r="B153" s="123" t="n">
        <v>118</v>
      </c>
      <c r="C153" s="124" t="s">
        <v>298</v>
      </c>
      <c r="D153" s="124" t="s">
        <v>286</v>
      </c>
      <c r="E153" s="653" t="n">
        <v>327.75</v>
      </c>
      <c r="G153" s="653" t="n">
        <v>328.5</v>
      </c>
      <c r="I153" s="123" t="n">
        <v>1</v>
      </c>
    </row>
    <row r="154" customFormat="false" ht="15" hidden="false" customHeight="false" outlineLevel="0" collapsed="false">
      <c r="A154" s="652" t="n">
        <v>45483</v>
      </c>
      <c r="B154" s="123" t="n">
        <v>119</v>
      </c>
      <c r="C154" s="124" t="s">
        <v>295</v>
      </c>
      <c r="D154" s="124" t="s">
        <v>286</v>
      </c>
      <c r="E154" s="123" t="n">
        <v>138</v>
      </c>
      <c r="G154" s="653" t="n">
        <v>466.5</v>
      </c>
      <c r="O154" s="123" t="n">
        <v>1</v>
      </c>
    </row>
    <row r="155" customFormat="false" ht="15" hidden="false" customHeight="false" outlineLevel="0" collapsed="false">
      <c r="A155" s="652" t="n">
        <v>45483</v>
      </c>
      <c r="B155" s="124" t="s">
        <v>470</v>
      </c>
      <c r="C155" s="124" t="s">
        <v>393</v>
      </c>
      <c r="F155" s="653" t="n">
        <v>465.75</v>
      </c>
      <c r="G155" s="653" t="n">
        <v>0.75</v>
      </c>
    </row>
    <row r="156" customFormat="false" ht="15" hidden="false" customHeight="false" outlineLevel="0" collapsed="false">
      <c r="A156" s="652" t="n">
        <v>45488</v>
      </c>
      <c r="B156" s="123" t="n">
        <v>120</v>
      </c>
      <c r="C156" s="124" t="s">
        <v>320</v>
      </c>
      <c r="D156" s="124" t="s">
        <v>224</v>
      </c>
      <c r="E156" s="653" t="n">
        <v>327.75</v>
      </c>
      <c r="G156" s="653" t="n">
        <v>328.5</v>
      </c>
      <c r="I156" s="123" t="n">
        <v>1</v>
      </c>
    </row>
    <row r="157" customFormat="false" ht="15" hidden="false" customHeight="false" outlineLevel="0" collapsed="false">
      <c r="A157" s="652" t="n">
        <v>45488</v>
      </c>
      <c r="B157" s="124" t="s">
        <v>470</v>
      </c>
      <c r="C157" s="124" t="s">
        <v>393</v>
      </c>
      <c r="F157" s="653" t="n">
        <v>1810.75</v>
      </c>
      <c r="G157" s="653" t="n">
        <v>-1482.25</v>
      </c>
    </row>
    <row r="158" customFormat="false" ht="15" hidden="false" customHeight="false" outlineLevel="0" collapsed="false">
      <c r="A158" s="652" t="n">
        <v>45488</v>
      </c>
      <c r="B158" s="123" t="n">
        <v>122</v>
      </c>
      <c r="C158" s="124" t="s">
        <v>318</v>
      </c>
      <c r="D158" s="124" t="s">
        <v>224</v>
      </c>
      <c r="E158" s="653" t="n">
        <v>632.5</v>
      </c>
      <c r="G158" s="653" t="n">
        <v>-849.75</v>
      </c>
      <c r="L158" s="123" t="n">
        <v>2</v>
      </c>
    </row>
    <row r="159" customFormat="false" ht="15" hidden="false" customHeight="false" outlineLevel="0" collapsed="false">
      <c r="A159" s="652" t="n">
        <v>45488</v>
      </c>
      <c r="B159" s="123" t="n">
        <v>123</v>
      </c>
      <c r="C159" s="124" t="s">
        <v>293</v>
      </c>
      <c r="D159" s="124" t="s">
        <v>286</v>
      </c>
      <c r="E159" s="653" t="n">
        <v>983.25</v>
      </c>
      <c r="G159" s="653" t="n">
        <v>133.5</v>
      </c>
      <c r="I159" s="123" t="n">
        <v>3</v>
      </c>
    </row>
    <row r="160" customFormat="false" ht="15" hidden="false" customHeight="false" outlineLevel="0" collapsed="false">
      <c r="A160" s="652" t="n">
        <v>45488</v>
      </c>
      <c r="B160" s="123" t="n">
        <v>121</v>
      </c>
      <c r="C160" s="124" t="s">
        <v>317</v>
      </c>
      <c r="D160" s="124" t="s">
        <v>224</v>
      </c>
      <c r="E160" s="653" t="n">
        <v>655.5</v>
      </c>
      <c r="G160" s="123" t="n">
        <v>789</v>
      </c>
      <c r="I160" s="123" t="n">
        <v>2</v>
      </c>
    </row>
    <row r="161" customFormat="false" ht="15" hidden="false" customHeight="false" outlineLevel="0" collapsed="false">
      <c r="A161" s="652" t="n">
        <v>45489</v>
      </c>
      <c r="B161" s="124" t="s">
        <v>529</v>
      </c>
      <c r="C161" s="124" t="s">
        <v>393</v>
      </c>
      <c r="F161" s="123" t="n">
        <v>789</v>
      </c>
      <c r="G161" s="123" t="n">
        <v>0</v>
      </c>
    </row>
    <row r="162" customFormat="false" ht="15" hidden="false" customHeight="false" outlineLevel="0" collapsed="false">
      <c r="A162" s="652" t="n">
        <v>45490</v>
      </c>
      <c r="B162" s="123" t="n">
        <v>127</v>
      </c>
      <c r="C162" s="124" t="s">
        <v>93</v>
      </c>
      <c r="D162" s="124" t="s">
        <v>75</v>
      </c>
      <c r="E162" s="653" t="n">
        <v>327.75</v>
      </c>
      <c r="G162" s="653" t="n">
        <v>327.75</v>
      </c>
      <c r="I162" s="123" t="n">
        <v>1</v>
      </c>
    </row>
    <row r="163" customFormat="false" ht="15" hidden="false" customHeight="false" outlineLevel="0" collapsed="false">
      <c r="A163" s="652" t="n">
        <v>45490</v>
      </c>
      <c r="B163" s="123" t="n">
        <v>126</v>
      </c>
      <c r="C163" s="124" t="s">
        <v>90</v>
      </c>
      <c r="D163" s="124" t="s">
        <v>75</v>
      </c>
      <c r="E163" s="123" t="n">
        <v>552</v>
      </c>
      <c r="G163" s="653" t="n">
        <v>879.75</v>
      </c>
      <c r="L163" s="123" t="n">
        <v>1</v>
      </c>
      <c r="M163" s="123" t="n">
        <v>1</v>
      </c>
    </row>
    <row r="164" customFormat="false" ht="15" hidden="false" customHeight="false" outlineLevel="0" collapsed="false">
      <c r="A164" s="652" t="n">
        <v>45490</v>
      </c>
      <c r="B164" s="123" t="n">
        <v>125</v>
      </c>
      <c r="C164" s="124" t="s">
        <v>94</v>
      </c>
      <c r="D164" s="124" t="s">
        <v>75</v>
      </c>
      <c r="E164" s="653" t="n">
        <v>925.75</v>
      </c>
      <c r="G164" s="653" t="n">
        <v>1805.5</v>
      </c>
      <c r="I164" s="123" t="n">
        <v>2</v>
      </c>
      <c r="K164" s="123" t="n">
        <v>1</v>
      </c>
    </row>
    <row r="165" customFormat="false" ht="15" hidden="false" customHeight="false" outlineLevel="0" collapsed="false">
      <c r="A165" s="652" t="n">
        <v>45490</v>
      </c>
      <c r="B165" s="123" t="n">
        <v>124</v>
      </c>
      <c r="C165" s="124" t="s">
        <v>100</v>
      </c>
      <c r="D165" s="124" t="s">
        <v>75</v>
      </c>
      <c r="E165" s="653" t="n">
        <v>655.5</v>
      </c>
      <c r="G165" s="123" t="n">
        <v>2461</v>
      </c>
      <c r="I165" s="123" t="n">
        <v>2</v>
      </c>
    </row>
    <row r="166" customFormat="false" ht="15" hidden="false" customHeight="false" outlineLevel="0" collapsed="false">
      <c r="A166" s="652" t="n">
        <v>45490</v>
      </c>
      <c r="B166" s="124" t="s">
        <v>470</v>
      </c>
      <c r="C166" s="124" t="s">
        <v>393</v>
      </c>
      <c r="F166" s="653" t="n">
        <v>4243.5</v>
      </c>
      <c r="G166" s="653" t="n">
        <v>-1782.5</v>
      </c>
    </row>
    <row r="167" customFormat="false" ht="15" hidden="false" customHeight="false" outlineLevel="0" collapsed="false">
      <c r="A167" s="652" t="n">
        <v>45490</v>
      </c>
      <c r="B167" s="123" t="n">
        <v>128</v>
      </c>
      <c r="C167" s="124" t="s">
        <v>109</v>
      </c>
      <c r="D167" s="124" t="s">
        <v>105</v>
      </c>
      <c r="E167" s="653" t="n">
        <v>983.25</v>
      </c>
      <c r="G167" s="653" t="n">
        <v>-799.25</v>
      </c>
      <c r="I167" s="123" t="n">
        <v>3</v>
      </c>
    </row>
    <row r="168" customFormat="false" ht="15" hidden="false" customHeight="false" outlineLevel="0" collapsed="false">
      <c r="A168" s="652" t="n">
        <v>45490</v>
      </c>
      <c r="B168" s="123" t="n">
        <v>129</v>
      </c>
      <c r="C168" s="124" t="s">
        <v>81</v>
      </c>
      <c r="D168" s="124" t="s">
        <v>75</v>
      </c>
      <c r="E168" s="653" t="n">
        <v>247.25</v>
      </c>
      <c r="G168" s="123" t="n">
        <v>-552</v>
      </c>
      <c r="M168" s="123" t="n">
        <v>1</v>
      </c>
    </row>
    <row r="169" customFormat="false" ht="15" hidden="false" customHeight="false" outlineLevel="0" collapsed="false">
      <c r="A169" s="652" t="n">
        <v>45490</v>
      </c>
      <c r="B169" s="123" t="n">
        <v>130</v>
      </c>
      <c r="C169" s="124" t="s">
        <v>74</v>
      </c>
      <c r="D169" s="124" t="s">
        <v>75</v>
      </c>
      <c r="E169" s="123" t="n">
        <v>552</v>
      </c>
      <c r="G169" s="123" t="n">
        <v>0</v>
      </c>
      <c r="L169" s="123" t="n">
        <v>1</v>
      </c>
      <c r="M169" s="123" t="n">
        <v>1</v>
      </c>
    </row>
    <row r="170" customFormat="false" ht="15" hidden="false" customHeight="false" outlineLevel="0" collapsed="false">
      <c r="A170" s="652" t="n">
        <v>45494</v>
      </c>
      <c r="B170" s="123" t="n">
        <v>131</v>
      </c>
      <c r="C170" s="124" t="s">
        <v>156</v>
      </c>
      <c r="D170" s="124" t="s">
        <v>127</v>
      </c>
      <c r="E170" s="653" t="n">
        <v>155.25</v>
      </c>
      <c r="G170" s="653" t="n">
        <v>155.25</v>
      </c>
      <c r="P170" s="123" t="n">
        <v>1</v>
      </c>
    </row>
    <row r="171" customFormat="false" ht="15" hidden="false" customHeight="false" outlineLevel="0" collapsed="false">
      <c r="A171" s="652" t="n">
        <v>45494</v>
      </c>
      <c r="B171" s="124" t="s">
        <v>470</v>
      </c>
      <c r="C171" s="124" t="s">
        <v>393</v>
      </c>
      <c r="E171" s="653" t="n">
        <v>-0.25</v>
      </c>
      <c r="F171" s="123" t="n">
        <v>155</v>
      </c>
      <c r="G171" s="123" t="n">
        <v>0</v>
      </c>
    </row>
    <row r="172" customFormat="false" ht="15" hidden="false" customHeight="false" outlineLevel="0" collapsed="false">
      <c r="A172" s="652" t="n">
        <v>45495</v>
      </c>
      <c r="B172" s="123" t="n">
        <v>133</v>
      </c>
      <c r="C172" s="124" t="s">
        <v>316</v>
      </c>
      <c r="D172" s="124" t="s">
        <v>301</v>
      </c>
      <c r="E172" s="123" t="n">
        <v>138</v>
      </c>
      <c r="G172" s="123" t="n">
        <v>138</v>
      </c>
      <c r="O172" s="123" t="n">
        <v>1</v>
      </c>
    </row>
    <row r="173" customFormat="false" ht="15" hidden="false" customHeight="false" outlineLevel="0" collapsed="false">
      <c r="A173" s="652" t="n">
        <v>45495</v>
      </c>
      <c r="B173" s="123" t="n">
        <v>132</v>
      </c>
      <c r="C173" s="124" t="s">
        <v>312</v>
      </c>
      <c r="D173" s="124" t="s">
        <v>301</v>
      </c>
      <c r="E173" s="653" t="n">
        <v>327.75</v>
      </c>
      <c r="G173" s="653" t="n">
        <v>465.75</v>
      </c>
      <c r="I173" s="123" t="n">
        <v>1</v>
      </c>
    </row>
    <row r="174" customFormat="false" ht="15" hidden="false" customHeight="false" outlineLevel="0" collapsed="false">
      <c r="A174" s="652" t="n">
        <v>45495</v>
      </c>
      <c r="B174" s="123" t="n">
        <v>134</v>
      </c>
      <c r="C174" s="124" t="s">
        <v>329</v>
      </c>
      <c r="D174" s="124" t="s">
        <v>224</v>
      </c>
      <c r="E174" s="123" t="n">
        <v>276</v>
      </c>
      <c r="G174" s="653" t="n">
        <v>741.75</v>
      </c>
      <c r="O174" s="123" t="n">
        <v>2</v>
      </c>
    </row>
    <row r="175" customFormat="false" ht="15" hidden="false" customHeight="false" outlineLevel="0" collapsed="false">
      <c r="A175" s="652" t="n">
        <v>45495</v>
      </c>
      <c r="B175" s="124" t="s">
        <v>470</v>
      </c>
      <c r="C175" s="124" t="s">
        <v>393</v>
      </c>
      <c r="F175" s="653" t="n">
        <v>869.5</v>
      </c>
      <c r="G175" s="653" t="n">
        <v>-127.75</v>
      </c>
    </row>
    <row r="176" customFormat="false" ht="15" hidden="false" customHeight="false" outlineLevel="0" collapsed="false">
      <c r="A176" s="652" t="n">
        <v>45495</v>
      </c>
      <c r="B176" s="123" t="n">
        <v>137</v>
      </c>
      <c r="C176" s="124" t="s">
        <v>295</v>
      </c>
      <c r="D176" s="124" t="s">
        <v>286</v>
      </c>
      <c r="E176" s="653" t="n">
        <v>327.75</v>
      </c>
      <c r="G176" s="123" t="n">
        <v>200</v>
      </c>
      <c r="I176" s="123" t="n">
        <v>1</v>
      </c>
    </row>
    <row r="177" customFormat="false" ht="15" hidden="false" customHeight="false" outlineLevel="0" collapsed="false">
      <c r="A177" s="652" t="n">
        <v>45495</v>
      </c>
      <c r="B177" s="123" t="n">
        <v>136</v>
      </c>
      <c r="C177" s="124" t="s">
        <v>296</v>
      </c>
      <c r="D177" s="124" t="s">
        <v>286</v>
      </c>
      <c r="E177" s="123" t="n">
        <v>552</v>
      </c>
      <c r="G177" s="123" t="n">
        <v>752</v>
      </c>
      <c r="L177" s="123" t="n">
        <v>1</v>
      </c>
      <c r="M177" s="123" t="n">
        <v>1</v>
      </c>
    </row>
    <row r="178" customFormat="false" ht="15" hidden="false" customHeight="false" outlineLevel="0" collapsed="false">
      <c r="A178" s="652" t="n">
        <v>45495</v>
      </c>
      <c r="B178" s="123" t="n">
        <v>135</v>
      </c>
      <c r="C178" s="124" t="s">
        <v>290</v>
      </c>
      <c r="D178" s="124" t="s">
        <v>286</v>
      </c>
      <c r="E178" s="653" t="n">
        <v>908.5</v>
      </c>
      <c r="G178" s="653" t="n">
        <v>1660.5</v>
      </c>
      <c r="I178" s="123" t="n">
        <v>1</v>
      </c>
      <c r="L178" s="123" t="n">
        <v>1</v>
      </c>
      <c r="M178" s="123" t="n">
        <v>1</v>
      </c>
    </row>
    <row r="179" customFormat="false" ht="15" hidden="false" customHeight="false" outlineLevel="0" collapsed="false">
      <c r="A179" s="652" t="n">
        <v>45496</v>
      </c>
      <c r="B179" s="124" t="s">
        <v>529</v>
      </c>
      <c r="C179" s="124" t="s">
        <v>393</v>
      </c>
      <c r="E179" s="653" t="n">
        <v>-0.5</v>
      </c>
      <c r="F179" s="123" t="n">
        <v>1660</v>
      </c>
      <c r="G179" s="123" t="n">
        <v>0</v>
      </c>
    </row>
    <row r="180" customFormat="false" ht="15" hidden="false" customHeight="false" outlineLevel="0" collapsed="false">
      <c r="A180" s="652" t="n">
        <v>45496</v>
      </c>
      <c r="B180" s="123" t="n">
        <v>141</v>
      </c>
      <c r="C180" s="124" t="s">
        <v>92</v>
      </c>
      <c r="D180" s="124" t="s">
        <v>75</v>
      </c>
      <c r="E180" s="653" t="n">
        <v>247.25</v>
      </c>
      <c r="G180" s="653" t="n">
        <v>247.25</v>
      </c>
      <c r="M180" s="123" t="n">
        <v>1</v>
      </c>
    </row>
    <row r="181" customFormat="false" ht="15" hidden="false" customHeight="false" outlineLevel="0" collapsed="false">
      <c r="A181" s="652" t="n">
        <v>45496</v>
      </c>
      <c r="B181" s="123" t="n">
        <v>140</v>
      </c>
      <c r="C181" s="124" t="s">
        <v>101</v>
      </c>
      <c r="D181" s="124" t="s">
        <v>75</v>
      </c>
      <c r="E181" s="653" t="n">
        <v>327.75</v>
      </c>
      <c r="F181" s="123" t="n">
        <v>3835</v>
      </c>
      <c r="G181" s="123" t="n">
        <v>-3260</v>
      </c>
      <c r="I181" s="123" t="n">
        <v>1</v>
      </c>
    </row>
    <row r="182" customFormat="false" ht="15" hidden="false" customHeight="false" outlineLevel="0" collapsed="false">
      <c r="A182" s="652" t="n">
        <v>45496</v>
      </c>
      <c r="B182" s="123" t="n">
        <v>139</v>
      </c>
      <c r="C182" s="124" t="s">
        <v>90</v>
      </c>
      <c r="D182" s="124" t="s">
        <v>75</v>
      </c>
      <c r="E182" s="653" t="n">
        <v>247.25</v>
      </c>
      <c r="G182" s="653" t="n">
        <v>-3012.75</v>
      </c>
      <c r="M182" s="123" t="n">
        <v>1</v>
      </c>
    </row>
    <row r="183" customFormat="false" ht="15" hidden="false" customHeight="false" outlineLevel="0" collapsed="false">
      <c r="A183" s="652" t="n">
        <v>45496</v>
      </c>
      <c r="B183" s="123" t="n">
        <v>138</v>
      </c>
      <c r="C183" s="124" t="s">
        <v>89</v>
      </c>
      <c r="D183" s="124" t="s">
        <v>75</v>
      </c>
      <c r="E183" s="653" t="n">
        <v>1443.25</v>
      </c>
      <c r="G183" s="653" t="n">
        <v>-1569.5</v>
      </c>
      <c r="I183" s="123" t="n">
        <v>2</v>
      </c>
      <c r="K183" s="123" t="n">
        <v>2</v>
      </c>
      <c r="M183" s="123" t="n">
        <v>1</v>
      </c>
    </row>
    <row r="184" customFormat="false" ht="15" hidden="false" customHeight="false" outlineLevel="0" collapsed="false">
      <c r="A184" s="652" t="n">
        <v>45496</v>
      </c>
      <c r="B184" s="123" t="n">
        <v>142</v>
      </c>
      <c r="C184" s="124" t="s">
        <v>109</v>
      </c>
      <c r="D184" s="124" t="s">
        <v>105</v>
      </c>
      <c r="E184" s="123" t="n">
        <v>1311</v>
      </c>
      <c r="G184" s="653" t="n">
        <v>-258.5</v>
      </c>
      <c r="I184" s="123" t="n">
        <v>4</v>
      </c>
    </row>
    <row r="185" customFormat="false" ht="15" hidden="false" customHeight="false" outlineLevel="0" collapsed="false">
      <c r="A185" s="652" t="n">
        <v>45496</v>
      </c>
      <c r="B185" s="123" t="n">
        <v>143</v>
      </c>
      <c r="C185" s="124" t="s">
        <v>81</v>
      </c>
      <c r="D185" s="124" t="s">
        <v>75</v>
      </c>
      <c r="E185" s="653" t="n">
        <v>258.75</v>
      </c>
      <c r="G185" s="653" t="n">
        <v>0.25</v>
      </c>
      <c r="O185" s="123" t="n">
        <v>1</v>
      </c>
    </row>
    <row r="186" customFormat="false" ht="15" hidden="false" customHeight="false" outlineLevel="0" collapsed="false">
      <c r="A186" s="652" t="n">
        <v>45496</v>
      </c>
      <c r="B186" s="123" t="n">
        <v>145</v>
      </c>
      <c r="C186" s="124" t="s">
        <v>254</v>
      </c>
      <c r="D186" s="124" t="s">
        <v>127</v>
      </c>
      <c r="E186" s="123" t="n">
        <v>690</v>
      </c>
      <c r="G186" s="653" t="n">
        <v>690.25</v>
      </c>
      <c r="O186" s="123" t="n">
        <v>5</v>
      </c>
    </row>
    <row r="187" customFormat="false" ht="15" hidden="false" customHeight="false" outlineLevel="0" collapsed="false">
      <c r="A187" s="652" t="n">
        <v>45496</v>
      </c>
      <c r="B187" s="123" t="n">
        <v>144</v>
      </c>
      <c r="C187" s="124" t="s">
        <v>251</v>
      </c>
      <c r="D187" s="124" t="s">
        <v>127</v>
      </c>
      <c r="E187" s="653" t="n">
        <v>793.5</v>
      </c>
      <c r="G187" s="653" t="n">
        <v>1483.75</v>
      </c>
      <c r="I187" s="123" t="n">
        <v>2</v>
      </c>
      <c r="O187" s="123" t="n">
        <v>1</v>
      </c>
    </row>
    <row r="188" customFormat="false" ht="15" hidden="false" customHeight="false" outlineLevel="0" collapsed="false">
      <c r="A188" s="652" t="n">
        <v>45496</v>
      </c>
      <c r="B188" s="124" t="s">
        <v>470</v>
      </c>
      <c r="C188" s="124" t="s">
        <v>393</v>
      </c>
      <c r="E188" s="653" t="n">
        <v>-0.25</v>
      </c>
      <c r="F188" s="653" t="n">
        <v>1483.5</v>
      </c>
      <c r="G188" s="123" t="n">
        <v>0</v>
      </c>
    </row>
    <row r="189" customFormat="false" ht="15" hidden="false" customHeight="false" outlineLevel="0" collapsed="false">
      <c r="A189" s="652" t="n">
        <v>45496</v>
      </c>
      <c r="B189" s="123" t="n">
        <v>148</v>
      </c>
      <c r="C189" s="124" t="s">
        <v>317</v>
      </c>
      <c r="D189" s="124" t="s">
        <v>224</v>
      </c>
      <c r="E189" s="653" t="n">
        <v>1782.5</v>
      </c>
      <c r="G189" s="653" t="n">
        <v>1782.5</v>
      </c>
      <c r="J189" s="123" t="n">
        <v>10</v>
      </c>
    </row>
    <row r="190" customFormat="false" ht="15" hidden="false" customHeight="false" outlineLevel="0" collapsed="false">
      <c r="A190" s="652" t="n">
        <v>45496</v>
      </c>
      <c r="B190" s="123" t="n">
        <v>147</v>
      </c>
      <c r="C190" s="124" t="s">
        <v>316</v>
      </c>
      <c r="D190" s="124" t="s">
        <v>301</v>
      </c>
      <c r="E190" s="653" t="n">
        <v>586.5</v>
      </c>
      <c r="G190" s="123" t="n">
        <v>2369</v>
      </c>
      <c r="K190" s="123" t="n">
        <v>2</v>
      </c>
    </row>
    <row r="191" customFormat="false" ht="15" hidden="false" customHeight="false" outlineLevel="0" collapsed="false">
      <c r="A191" s="652" t="n">
        <v>45496</v>
      </c>
      <c r="B191" s="123" t="n">
        <v>146</v>
      </c>
      <c r="C191" s="124" t="s">
        <v>316</v>
      </c>
      <c r="D191" s="124" t="s">
        <v>301</v>
      </c>
      <c r="E191" s="123" t="n">
        <v>276</v>
      </c>
      <c r="G191" s="123" t="n">
        <v>2645</v>
      </c>
      <c r="O191" s="123" t="n">
        <v>2</v>
      </c>
    </row>
    <row r="192" customFormat="false" ht="15" hidden="false" customHeight="false" outlineLevel="0" collapsed="false">
      <c r="A192" s="652" t="n">
        <v>45496</v>
      </c>
      <c r="B192" s="124" t="s">
        <v>470</v>
      </c>
      <c r="C192" s="124" t="s">
        <v>393</v>
      </c>
      <c r="F192" s="123" t="n">
        <v>3547</v>
      </c>
      <c r="G192" s="123" t="n">
        <v>-902</v>
      </c>
    </row>
    <row r="193" customFormat="false" ht="15" hidden="false" customHeight="false" outlineLevel="0" collapsed="false">
      <c r="A193" s="652" t="n">
        <v>45496</v>
      </c>
      <c r="B193" s="123" t="n">
        <v>149</v>
      </c>
      <c r="C193" s="124" t="s">
        <v>292</v>
      </c>
      <c r="D193" s="124" t="s">
        <v>286</v>
      </c>
      <c r="E193" s="653" t="n">
        <v>247.25</v>
      </c>
      <c r="G193" s="653" t="n">
        <v>-654.75</v>
      </c>
      <c r="M193" s="123" t="n">
        <v>1</v>
      </c>
    </row>
    <row r="194" customFormat="false" ht="15" hidden="false" customHeight="false" outlineLevel="0" collapsed="false">
      <c r="A194" s="652" t="n">
        <v>45496</v>
      </c>
      <c r="B194" s="123" t="n">
        <v>150</v>
      </c>
      <c r="C194" s="124" t="s">
        <v>155</v>
      </c>
      <c r="D194" s="124" t="s">
        <v>127</v>
      </c>
      <c r="E194" s="653" t="n">
        <v>655.5</v>
      </c>
      <c r="G194" s="653" t="n">
        <v>0.75</v>
      </c>
      <c r="I194" s="123" t="n">
        <v>2</v>
      </c>
      <c r="P194" s="123" t="n">
        <v>4</v>
      </c>
    </row>
    <row r="195" customFormat="false" ht="15" hidden="false" customHeight="false" outlineLevel="0" collapsed="false">
      <c r="A195" s="652" t="n">
        <v>45504</v>
      </c>
      <c r="B195" s="123" t="n">
        <v>151</v>
      </c>
      <c r="C195" s="124" t="s">
        <v>579</v>
      </c>
      <c r="E195" s="653" t="n">
        <v>793.5</v>
      </c>
      <c r="G195" s="653" t="n">
        <v>794.25</v>
      </c>
      <c r="I195" s="123" t="n">
        <v>2</v>
      </c>
      <c r="O195" s="123" t="n">
        <v>1</v>
      </c>
    </row>
    <row r="196" customFormat="false" ht="15" hidden="false" customHeight="false" outlineLevel="0" collapsed="false">
      <c r="A196" s="652" t="n">
        <v>45504</v>
      </c>
      <c r="B196" s="124" t="s">
        <v>470</v>
      </c>
      <c r="C196" s="124" t="s">
        <v>393</v>
      </c>
      <c r="F196" s="123" t="n">
        <v>794</v>
      </c>
      <c r="G196" s="653" t="n">
        <v>0.25</v>
      </c>
    </row>
    <row r="197" customFormat="false" ht="15" hidden="false" customHeight="false" outlineLevel="0" collapsed="false">
      <c r="A197" s="652" t="n">
        <v>45508</v>
      </c>
      <c r="B197" s="123" t="n">
        <v>156</v>
      </c>
      <c r="C197" s="124" t="s">
        <v>96</v>
      </c>
      <c r="D197" s="124" t="s">
        <v>75</v>
      </c>
      <c r="E197" s="653" t="n">
        <v>1489.25</v>
      </c>
      <c r="G197" s="653" t="n">
        <v>1489.5</v>
      </c>
      <c r="I197" s="123" t="n">
        <v>4</v>
      </c>
      <c r="J197" s="123" t="n">
        <v>1</v>
      </c>
    </row>
    <row r="198" customFormat="false" ht="15" hidden="false" customHeight="false" outlineLevel="0" collapsed="false">
      <c r="A198" s="652" t="n">
        <v>45508</v>
      </c>
      <c r="B198" s="123" t="n">
        <v>155</v>
      </c>
      <c r="C198" s="124" t="s">
        <v>94</v>
      </c>
      <c r="D198" s="124" t="s">
        <v>75</v>
      </c>
      <c r="E198" s="653" t="n">
        <v>580.75</v>
      </c>
      <c r="G198" s="653" t="n">
        <v>2070.25</v>
      </c>
      <c r="I198" s="123" t="n">
        <v>1</v>
      </c>
      <c r="K198" s="123" t="n">
        <v>1</v>
      </c>
    </row>
    <row r="199" customFormat="false" ht="15" hidden="false" customHeight="false" outlineLevel="0" collapsed="false">
      <c r="A199" s="652" t="n">
        <v>45508</v>
      </c>
      <c r="B199" s="123" t="n">
        <v>157</v>
      </c>
      <c r="C199" s="124" t="s">
        <v>97</v>
      </c>
      <c r="D199" s="124" t="s">
        <v>75</v>
      </c>
      <c r="E199" s="653" t="n">
        <v>327.75</v>
      </c>
      <c r="G199" s="123" t="n">
        <v>2398</v>
      </c>
      <c r="I199" s="123" t="n">
        <v>1</v>
      </c>
    </row>
    <row r="200" customFormat="false" ht="15" hidden="false" customHeight="false" outlineLevel="0" collapsed="false">
      <c r="A200" s="652" t="n">
        <v>45508</v>
      </c>
      <c r="C200" s="124" t="s">
        <v>393</v>
      </c>
      <c r="F200" s="653" t="n">
        <v>4697.75</v>
      </c>
      <c r="G200" s="653" t="n">
        <v>-2299.75</v>
      </c>
    </row>
    <row r="201" customFormat="false" ht="15" hidden="false" customHeight="false" outlineLevel="0" collapsed="false">
      <c r="A201" s="652" t="n">
        <v>45508</v>
      </c>
      <c r="B201" s="123" t="n">
        <v>158</v>
      </c>
      <c r="C201" s="124" t="s">
        <v>89</v>
      </c>
      <c r="D201" s="124" t="s">
        <v>75</v>
      </c>
      <c r="E201" s="123" t="n">
        <v>506</v>
      </c>
      <c r="G201" s="653" t="n">
        <v>-1793.75</v>
      </c>
      <c r="K201" s="123" t="n">
        <v>2</v>
      </c>
    </row>
    <row r="202" customFormat="false" ht="15" hidden="false" customHeight="false" outlineLevel="0" collapsed="false">
      <c r="A202" s="652" t="n">
        <v>45508</v>
      </c>
      <c r="B202" s="123" t="n">
        <v>154</v>
      </c>
      <c r="C202" s="124" t="s">
        <v>107</v>
      </c>
      <c r="D202" s="124" t="s">
        <v>105</v>
      </c>
      <c r="E202" s="653" t="n">
        <v>327.75</v>
      </c>
      <c r="G202" s="123" t="n">
        <v>-1466</v>
      </c>
      <c r="I202" s="123" t="n">
        <v>1</v>
      </c>
    </row>
    <row r="203" customFormat="false" ht="15" hidden="false" customHeight="false" outlineLevel="0" collapsed="false">
      <c r="A203" s="652" t="n">
        <v>45508</v>
      </c>
      <c r="B203" s="123" t="n">
        <v>152</v>
      </c>
      <c r="C203" s="124" t="s">
        <v>104</v>
      </c>
      <c r="D203" s="124" t="s">
        <v>105</v>
      </c>
      <c r="E203" s="653" t="n">
        <v>983.25</v>
      </c>
      <c r="G203" s="653" t="n">
        <v>-482.75</v>
      </c>
      <c r="I203" s="123" t="n">
        <v>3</v>
      </c>
    </row>
    <row r="204" customFormat="false" ht="15" hidden="false" customHeight="false" outlineLevel="0" collapsed="false">
      <c r="A204" s="652" t="n">
        <v>45508</v>
      </c>
      <c r="B204" s="123" t="n">
        <v>153</v>
      </c>
      <c r="C204" s="124" t="s">
        <v>113</v>
      </c>
      <c r="D204" s="124" t="s">
        <v>105</v>
      </c>
      <c r="E204" s="653" t="n">
        <v>327.75</v>
      </c>
      <c r="G204" s="123" t="n">
        <v>-155</v>
      </c>
      <c r="I204" s="123" t="n">
        <v>1</v>
      </c>
    </row>
    <row r="205" customFormat="false" ht="15" hidden="false" customHeight="false" outlineLevel="0" collapsed="false">
      <c r="A205" s="652" t="n">
        <v>45508</v>
      </c>
      <c r="B205" s="123" t="n">
        <v>159</v>
      </c>
      <c r="C205" s="124" t="s">
        <v>81</v>
      </c>
      <c r="D205" s="124" t="s">
        <v>75</v>
      </c>
      <c r="E205" s="123" t="n">
        <v>155</v>
      </c>
      <c r="G205" s="123" t="n">
        <v>0</v>
      </c>
      <c r="P205" s="123" t="n">
        <v>1</v>
      </c>
    </row>
    <row r="206" customFormat="false" ht="15" hidden="false" customHeight="false" outlineLevel="0" collapsed="false">
      <c r="A206" s="652" t="n">
        <v>45511</v>
      </c>
      <c r="B206" s="123" t="n">
        <v>163</v>
      </c>
      <c r="C206" s="124" t="s">
        <v>320</v>
      </c>
      <c r="D206" s="124" t="s">
        <v>224</v>
      </c>
      <c r="E206" s="653" t="n">
        <v>327.75</v>
      </c>
      <c r="G206" s="653" t="n">
        <v>327.75</v>
      </c>
      <c r="I206" s="123" t="n">
        <v>1</v>
      </c>
    </row>
    <row r="207" customFormat="false" ht="15" hidden="false" customHeight="false" outlineLevel="0" collapsed="false">
      <c r="A207" s="652" t="n">
        <v>45511</v>
      </c>
      <c r="B207" s="123" t="n">
        <v>164</v>
      </c>
      <c r="C207" s="124" t="s">
        <v>327</v>
      </c>
      <c r="D207" s="124" t="s">
        <v>224</v>
      </c>
      <c r="E207" s="653" t="n">
        <v>327.75</v>
      </c>
      <c r="G207" s="653" t="n">
        <v>655.5</v>
      </c>
      <c r="I207" s="123" t="n">
        <v>1</v>
      </c>
    </row>
    <row r="208" customFormat="false" ht="15" hidden="false" customHeight="false" outlineLevel="0" collapsed="false">
      <c r="A208" s="652" t="n">
        <v>45511</v>
      </c>
      <c r="B208" s="124" t="s">
        <v>470</v>
      </c>
      <c r="C208" s="124" t="s">
        <v>393</v>
      </c>
      <c r="F208" s="653" t="n">
        <v>2463.75</v>
      </c>
      <c r="G208" s="653" t="n">
        <v>-1808.25</v>
      </c>
    </row>
    <row r="209" customFormat="false" ht="15" hidden="false" customHeight="false" outlineLevel="0" collapsed="false">
      <c r="A209" s="652" t="n">
        <v>45511</v>
      </c>
      <c r="B209" s="123" t="n">
        <v>165</v>
      </c>
      <c r="C209" s="124" t="s">
        <v>290</v>
      </c>
      <c r="D209" s="124" t="s">
        <v>286</v>
      </c>
      <c r="E209" s="123" t="n">
        <v>529</v>
      </c>
      <c r="G209" s="653" t="n">
        <v>-1279.25</v>
      </c>
      <c r="M209" s="123" t="n">
        <v>2</v>
      </c>
    </row>
    <row r="210" customFormat="false" ht="15" hidden="false" customHeight="false" outlineLevel="0" collapsed="false">
      <c r="A210" s="652" t="n">
        <v>45511</v>
      </c>
      <c r="B210" s="123" t="n">
        <v>167</v>
      </c>
      <c r="C210" s="124" t="s">
        <v>298</v>
      </c>
      <c r="D210" s="124" t="s">
        <v>286</v>
      </c>
      <c r="E210" s="123" t="n">
        <v>276</v>
      </c>
      <c r="G210" s="653" t="n">
        <v>-1003.25</v>
      </c>
      <c r="K210" s="123" t="n">
        <v>1</v>
      </c>
    </row>
    <row r="211" customFormat="false" ht="15" hidden="false" customHeight="false" outlineLevel="0" collapsed="false">
      <c r="A211" s="652" t="n">
        <v>45511</v>
      </c>
      <c r="B211" s="123" t="n">
        <v>168</v>
      </c>
      <c r="C211" s="124" t="s">
        <v>298</v>
      </c>
      <c r="D211" s="124" t="s">
        <v>286</v>
      </c>
      <c r="E211" s="653" t="n">
        <v>327.75</v>
      </c>
      <c r="G211" s="653" t="n">
        <v>-675.5</v>
      </c>
      <c r="I211" s="123" t="n">
        <v>1</v>
      </c>
    </row>
    <row r="212" customFormat="false" ht="15" hidden="false" customHeight="false" outlineLevel="0" collapsed="false">
      <c r="A212" s="652" t="n">
        <v>45511</v>
      </c>
      <c r="B212" s="123" t="n">
        <v>166</v>
      </c>
      <c r="C212" s="124" t="s">
        <v>296</v>
      </c>
      <c r="D212" s="124" t="s">
        <v>286</v>
      </c>
      <c r="E212" s="123" t="n">
        <v>851</v>
      </c>
      <c r="G212" s="653" t="n">
        <v>175.5</v>
      </c>
      <c r="O212" s="123" t="n">
        <v>4</v>
      </c>
    </row>
    <row r="213" customFormat="false" ht="15" hidden="false" customHeight="false" outlineLevel="0" collapsed="false">
      <c r="A213" s="652" t="n">
        <v>45511</v>
      </c>
      <c r="B213" s="123" t="n">
        <v>162</v>
      </c>
      <c r="C213" s="124" t="s">
        <v>305</v>
      </c>
      <c r="D213" s="124" t="s">
        <v>301</v>
      </c>
      <c r="E213" s="123" t="n">
        <v>529</v>
      </c>
      <c r="G213" s="653" t="n">
        <v>704.5</v>
      </c>
      <c r="M213" s="123" t="n">
        <v>2</v>
      </c>
    </row>
    <row r="214" customFormat="false" ht="15" hidden="false" customHeight="false" outlineLevel="0" collapsed="false">
      <c r="A214" s="652" t="n">
        <v>45511</v>
      </c>
      <c r="B214" s="123" t="n">
        <v>160</v>
      </c>
      <c r="C214" s="124" t="s">
        <v>312</v>
      </c>
      <c r="D214" s="124" t="s">
        <v>301</v>
      </c>
      <c r="E214" s="653" t="n">
        <v>563.5</v>
      </c>
      <c r="G214" s="123" t="n">
        <v>1268</v>
      </c>
      <c r="I214" s="123" t="n">
        <v>1</v>
      </c>
      <c r="K214" s="123" t="n">
        <v>1</v>
      </c>
    </row>
    <row r="215" customFormat="false" ht="15" hidden="false" customHeight="false" outlineLevel="0" collapsed="false">
      <c r="A215" s="652" t="n">
        <v>45511</v>
      </c>
      <c r="B215" s="123" t="n">
        <v>161</v>
      </c>
      <c r="C215" s="124" t="s">
        <v>316</v>
      </c>
      <c r="D215" s="124" t="s">
        <v>301</v>
      </c>
      <c r="E215" s="123" t="n">
        <v>138</v>
      </c>
      <c r="G215" s="123" t="n">
        <v>1406</v>
      </c>
      <c r="O215" s="123" t="n">
        <v>1</v>
      </c>
    </row>
    <row r="216" customFormat="false" ht="15" hidden="false" customHeight="false" outlineLevel="0" collapsed="false">
      <c r="A216" s="652" t="n">
        <v>45512</v>
      </c>
      <c r="B216" s="124" t="s">
        <v>392</v>
      </c>
      <c r="C216" s="124" t="s">
        <v>393</v>
      </c>
      <c r="F216" s="123" t="n">
        <v>1406</v>
      </c>
      <c r="G216" s="123" t="n">
        <v>0</v>
      </c>
    </row>
    <row r="217" customFormat="false" ht="15" hidden="false" customHeight="false" outlineLevel="0" collapsed="false">
      <c r="A217" s="652" t="n">
        <v>45516</v>
      </c>
      <c r="B217" s="123" t="n">
        <v>169</v>
      </c>
      <c r="C217" s="124" t="s">
        <v>101</v>
      </c>
      <c r="D217" s="124" t="s">
        <v>75</v>
      </c>
      <c r="E217" s="653" t="n">
        <v>327.75</v>
      </c>
      <c r="G217" s="653" t="n">
        <v>327.75</v>
      </c>
      <c r="I217" s="123" t="n">
        <v>1</v>
      </c>
    </row>
    <row r="218" customFormat="false" ht="15" hidden="false" customHeight="false" outlineLevel="0" collapsed="false">
      <c r="A218" s="652" t="n">
        <v>45516</v>
      </c>
      <c r="B218" s="123" t="n">
        <v>172</v>
      </c>
      <c r="C218" s="124" t="s">
        <v>107</v>
      </c>
      <c r="D218" s="124" t="s">
        <v>105</v>
      </c>
      <c r="E218" s="653" t="n">
        <v>327.75</v>
      </c>
      <c r="G218" s="653" t="n">
        <v>655.5</v>
      </c>
      <c r="I218" s="123" t="n">
        <v>1</v>
      </c>
    </row>
    <row r="219" customFormat="false" ht="15" hidden="false" customHeight="false" outlineLevel="0" collapsed="false">
      <c r="A219" s="652" t="n">
        <v>45516</v>
      </c>
      <c r="B219" s="123" t="n">
        <v>171</v>
      </c>
      <c r="C219" s="124" t="s">
        <v>112</v>
      </c>
      <c r="D219" s="124" t="s">
        <v>105</v>
      </c>
      <c r="E219" s="653" t="n">
        <v>356.5</v>
      </c>
      <c r="G219" s="123" t="n">
        <v>1012</v>
      </c>
      <c r="J219" s="123" t="n">
        <v>2</v>
      </c>
    </row>
    <row r="220" customFormat="false" ht="15" hidden="false" customHeight="false" outlineLevel="0" collapsed="false">
      <c r="A220" s="652" t="n">
        <v>45516</v>
      </c>
      <c r="B220" s="123" t="n">
        <v>170</v>
      </c>
      <c r="C220" s="124" t="s">
        <v>104</v>
      </c>
      <c r="D220" s="124" t="s">
        <v>105</v>
      </c>
      <c r="E220" s="653" t="n">
        <v>356.5</v>
      </c>
      <c r="G220" s="653" t="n">
        <v>1368.5</v>
      </c>
      <c r="J220" s="123" t="n">
        <v>2</v>
      </c>
    </row>
    <row r="221" customFormat="false" ht="15" hidden="false" customHeight="false" outlineLevel="0" collapsed="false">
      <c r="A221" s="652" t="n">
        <v>45516</v>
      </c>
      <c r="B221" s="124" t="s">
        <v>470</v>
      </c>
      <c r="C221" s="124" t="s">
        <v>393</v>
      </c>
      <c r="F221" s="653" t="n">
        <v>4532.25</v>
      </c>
      <c r="G221" s="653" t="n">
        <v>-3163.75</v>
      </c>
    </row>
    <row r="222" customFormat="false" ht="15" hidden="false" customHeight="false" outlineLevel="0" collapsed="false">
      <c r="A222" s="652" t="n">
        <v>45516</v>
      </c>
      <c r="B222" s="123" t="n">
        <v>173</v>
      </c>
      <c r="C222" s="124" t="s">
        <v>109</v>
      </c>
      <c r="D222" s="124" t="s">
        <v>105</v>
      </c>
      <c r="E222" s="653" t="n">
        <v>983.25</v>
      </c>
      <c r="G222" s="653" t="n">
        <v>-2180.5</v>
      </c>
      <c r="I222" s="123" t="n">
        <v>3</v>
      </c>
    </row>
    <row r="223" customFormat="false" ht="15" hidden="false" customHeight="false" outlineLevel="0" collapsed="false">
      <c r="A223" s="652" t="n">
        <v>45516</v>
      </c>
      <c r="B223" s="123" t="n">
        <v>176</v>
      </c>
      <c r="C223" s="124" t="s">
        <v>90</v>
      </c>
      <c r="D223" s="124" t="s">
        <v>75</v>
      </c>
      <c r="E223" s="123" t="n">
        <v>552</v>
      </c>
      <c r="G223" s="653" t="n">
        <v>-1628.5</v>
      </c>
      <c r="L223" s="123" t="n">
        <v>1</v>
      </c>
      <c r="M223" s="123" t="n">
        <v>1</v>
      </c>
    </row>
    <row r="224" customFormat="false" ht="15" hidden="false" customHeight="false" outlineLevel="0" collapsed="false">
      <c r="A224" s="652" t="n">
        <v>45516</v>
      </c>
      <c r="B224" s="123" t="n">
        <v>175</v>
      </c>
      <c r="C224" s="124" t="s">
        <v>89</v>
      </c>
      <c r="D224" s="124" t="s">
        <v>75</v>
      </c>
      <c r="E224" s="123" t="n">
        <v>1058</v>
      </c>
      <c r="G224" s="653" t="n">
        <v>-570.5</v>
      </c>
      <c r="K224" s="123" t="n">
        <v>4</v>
      </c>
    </row>
    <row r="225" customFormat="false" ht="15" hidden="false" customHeight="false" outlineLevel="0" collapsed="false">
      <c r="A225" s="652" t="n">
        <v>45516</v>
      </c>
      <c r="B225" s="123" t="n">
        <v>174</v>
      </c>
      <c r="C225" s="124" t="s">
        <v>94</v>
      </c>
      <c r="D225" s="124" t="s">
        <v>75</v>
      </c>
      <c r="E225" s="653" t="n">
        <v>655.5</v>
      </c>
      <c r="G225" s="123" t="n">
        <v>85</v>
      </c>
      <c r="I225" s="123" t="n">
        <v>2</v>
      </c>
    </row>
    <row r="226" customFormat="false" ht="15" hidden="false" customHeight="false" outlineLevel="0" collapsed="false">
      <c r="A226" s="652" t="n">
        <v>45516</v>
      </c>
      <c r="B226" s="123" t="n">
        <v>177</v>
      </c>
      <c r="C226" s="124" t="s">
        <v>81</v>
      </c>
      <c r="D226" s="124" t="s">
        <v>75</v>
      </c>
      <c r="E226" s="653" t="n">
        <v>258.75</v>
      </c>
      <c r="G226" s="653" t="n">
        <v>343.75</v>
      </c>
      <c r="O226" s="123" t="n">
        <v>1</v>
      </c>
    </row>
    <row r="227" customFormat="false" ht="15" hidden="false" customHeight="false" outlineLevel="0" collapsed="false">
      <c r="A227" s="652" t="n">
        <v>45516</v>
      </c>
      <c r="B227" s="123" t="n">
        <v>178</v>
      </c>
      <c r="C227" s="124" t="s">
        <v>80</v>
      </c>
      <c r="D227" s="124" t="s">
        <v>75</v>
      </c>
      <c r="E227" s="653" t="n">
        <v>1523.75</v>
      </c>
      <c r="G227" s="653" t="n">
        <v>1867.5</v>
      </c>
      <c r="L227" s="123" t="n">
        <v>5</v>
      </c>
    </row>
    <row r="228" customFormat="false" ht="15" hidden="false" customHeight="false" outlineLevel="0" collapsed="false">
      <c r="A228" s="652" t="n">
        <v>45517</v>
      </c>
      <c r="B228" s="124" t="s">
        <v>392</v>
      </c>
      <c r="C228" s="124" t="s">
        <v>393</v>
      </c>
      <c r="E228" s="653" t="n">
        <v>-0.5</v>
      </c>
      <c r="F228" s="123" t="n">
        <v>1867</v>
      </c>
      <c r="G228" s="123" t="n">
        <v>0</v>
      </c>
    </row>
    <row r="229" customFormat="false" ht="15" hidden="false" customHeight="false" outlineLevel="0" collapsed="false">
      <c r="A229" s="652" t="n">
        <v>45518</v>
      </c>
      <c r="B229" s="123" t="n">
        <v>186</v>
      </c>
      <c r="C229" s="124" t="s">
        <v>295</v>
      </c>
      <c r="D229" s="124" t="s">
        <v>286</v>
      </c>
      <c r="E229" s="123" t="n">
        <v>552</v>
      </c>
      <c r="G229" s="123" t="n">
        <v>552</v>
      </c>
      <c r="L229" s="123" t="n">
        <v>1</v>
      </c>
      <c r="M229" s="123" t="n">
        <v>1</v>
      </c>
    </row>
    <row r="230" customFormat="false" ht="15" hidden="false" customHeight="false" outlineLevel="0" collapsed="false">
      <c r="A230" s="652" t="n">
        <v>45518</v>
      </c>
      <c r="B230" s="123" t="n">
        <v>182</v>
      </c>
      <c r="C230" s="124" t="s">
        <v>316</v>
      </c>
      <c r="D230" s="124" t="s">
        <v>301</v>
      </c>
      <c r="E230" s="653" t="n">
        <v>655.5</v>
      </c>
      <c r="G230" s="653" t="n">
        <v>1207.5</v>
      </c>
      <c r="I230" s="123" t="n">
        <v>2</v>
      </c>
    </row>
    <row r="231" customFormat="false" ht="15" hidden="false" customHeight="false" outlineLevel="0" collapsed="false">
      <c r="A231" s="652" t="n">
        <v>45518</v>
      </c>
      <c r="B231" s="123" t="n">
        <v>185</v>
      </c>
      <c r="C231" s="124" t="s">
        <v>322</v>
      </c>
      <c r="D231" s="124" t="s">
        <v>224</v>
      </c>
      <c r="E231" s="653" t="n">
        <v>1638.75</v>
      </c>
      <c r="G231" s="653" t="n">
        <v>2846.25</v>
      </c>
      <c r="I231" s="123" t="n">
        <v>5</v>
      </c>
    </row>
    <row r="232" customFormat="false" ht="15" hidden="false" customHeight="false" outlineLevel="0" collapsed="false">
      <c r="A232" s="652" t="n">
        <v>45518</v>
      </c>
      <c r="B232" s="123" t="n">
        <v>184</v>
      </c>
      <c r="C232" s="124" t="s">
        <v>317</v>
      </c>
      <c r="D232" s="124" t="s">
        <v>224</v>
      </c>
      <c r="E232" s="653" t="n">
        <v>655.5</v>
      </c>
      <c r="G232" s="653" t="n">
        <v>3501.75</v>
      </c>
      <c r="I232" s="123" t="n">
        <v>2</v>
      </c>
    </row>
    <row r="233" customFormat="false" ht="15" hidden="false" customHeight="false" outlineLevel="0" collapsed="false">
      <c r="A233" s="652" t="n">
        <v>45518</v>
      </c>
      <c r="B233" s="124" t="s">
        <v>470</v>
      </c>
      <c r="C233" s="124" t="s">
        <v>393</v>
      </c>
      <c r="F233" s="653" t="n">
        <v>2946.25</v>
      </c>
      <c r="G233" s="653" t="n">
        <v>555.5</v>
      </c>
    </row>
    <row r="234" customFormat="false" ht="15" hidden="false" customHeight="false" outlineLevel="0" collapsed="false">
      <c r="A234" s="652" t="n">
        <v>45518</v>
      </c>
      <c r="B234" s="123" t="n">
        <v>187</v>
      </c>
      <c r="C234" s="124" t="s">
        <v>296</v>
      </c>
      <c r="D234" s="124" t="s">
        <v>286</v>
      </c>
      <c r="E234" s="653" t="n">
        <v>1063.75</v>
      </c>
      <c r="G234" s="653" t="n">
        <v>1619.25</v>
      </c>
      <c r="O234" s="123" t="n">
        <v>5</v>
      </c>
    </row>
    <row r="235" customFormat="false" ht="15" hidden="false" customHeight="false" outlineLevel="0" collapsed="false">
      <c r="A235" s="652" t="n">
        <v>45518</v>
      </c>
      <c r="B235" s="123" t="n">
        <v>183</v>
      </c>
      <c r="C235" s="124" t="s">
        <v>309</v>
      </c>
      <c r="D235" s="124" t="s">
        <v>301</v>
      </c>
      <c r="E235" s="653" t="n">
        <v>264.5</v>
      </c>
      <c r="G235" s="653" t="n">
        <v>1883.75</v>
      </c>
      <c r="P235" s="123" t="n">
        <v>1</v>
      </c>
    </row>
    <row r="236" customFormat="false" ht="15" hidden="false" customHeight="false" outlineLevel="0" collapsed="false">
      <c r="A236" s="652" t="n">
        <v>45518</v>
      </c>
      <c r="B236" s="123" t="n">
        <v>181</v>
      </c>
      <c r="C236" s="124" t="s">
        <v>310</v>
      </c>
      <c r="D236" s="124" t="s">
        <v>301</v>
      </c>
      <c r="E236" s="653" t="n">
        <v>247.25</v>
      </c>
      <c r="G236" s="123" t="n">
        <v>2131</v>
      </c>
      <c r="M236" s="123" t="n">
        <v>1</v>
      </c>
    </row>
    <row r="237" customFormat="false" ht="15" hidden="false" customHeight="false" outlineLevel="0" collapsed="false">
      <c r="A237" s="652" t="n">
        <v>45518</v>
      </c>
      <c r="B237" s="123" t="n">
        <v>180</v>
      </c>
      <c r="C237" s="124" t="s">
        <v>310</v>
      </c>
      <c r="D237" s="124" t="s">
        <v>301</v>
      </c>
      <c r="E237" s="123" t="n">
        <v>276</v>
      </c>
      <c r="G237" s="123" t="n">
        <v>2407</v>
      </c>
      <c r="O237" s="123" t="n">
        <v>2</v>
      </c>
    </row>
    <row r="238" customFormat="false" ht="15" hidden="false" customHeight="false" outlineLevel="0" collapsed="false">
      <c r="A238" s="652" t="n">
        <v>45518</v>
      </c>
      <c r="B238" s="123" t="n">
        <v>179</v>
      </c>
      <c r="C238" s="124" t="s">
        <v>290</v>
      </c>
      <c r="D238" s="124" t="s">
        <v>286</v>
      </c>
      <c r="E238" s="653" t="n">
        <v>327.75</v>
      </c>
      <c r="G238" s="653" t="n">
        <v>2734.75</v>
      </c>
      <c r="I238" s="123" t="n">
        <v>1</v>
      </c>
    </row>
    <row r="239" customFormat="false" ht="15" hidden="false" customHeight="false" outlineLevel="0" collapsed="false">
      <c r="A239" s="652" t="n">
        <v>45518</v>
      </c>
      <c r="B239" s="124" t="s">
        <v>392</v>
      </c>
      <c r="C239" s="124" t="s">
        <v>393</v>
      </c>
      <c r="F239" s="123" t="n">
        <v>2734</v>
      </c>
      <c r="G239" s="653" t="n">
        <v>0.75</v>
      </c>
    </row>
    <row r="240" customFormat="false" ht="15" hidden="false" customHeight="false" outlineLevel="0" collapsed="false">
      <c r="A240" s="652" t="n">
        <v>45522</v>
      </c>
      <c r="B240" s="123" t="n">
        <v>188</v>
      </c>
      <c r="C240" s="124" t="s">
        <v>314</v>
      </c>
      <c r="D240" s="124" t="s">
        <v>301</v>
      </c>
      <c r="E240" s="653" t="n">
        <v>155.25</v>
      </c>
      <c r="G240" s="123" t="n">
        <v>156</v>
      </c>
      <c r="P240" s="123" t="n">
        <v>1</v>
      </c>
    </row>
    <row r="241" customFormat="false" ht="15" hidden="false" customHeight="false" outlineLevel="0" collapsed="false">
      <c r="A241" s="652" t="n">
        <v>45522</v>
      </c>
      <c r="B241" s="123" t="n">
        <v>189</v>
      </c>
      <c r="C241" s="124" t="s">
        <v>314</v>
      </c>
      <c r="D241" s="124" t="s">
        <v>301</v>
      </c>
      <c r="E241" s="123" t="n">
        <v>138</v>
      </c>
      <c r="G241" s="123" t="n">
        <v>294</v>
      </c>
      <c r="O241" s="123" t="n">
        <v>1</v>
      </c>
    </row>
    <row r="242" customFormat="false" ht="15" hidden="false" customHeight="false" outlineLevel="0" collapsed="false">
      <c r="A242" s="652" t="n">
        <v>45523</v>
      </c>
      <c r="B242" s="124" t="s">
        <v>470</v>
      </c>
      <c r="C242" s="124" t="s">
        <v>393</v>
      </c>
      <c r="F242" s="123" t="n">
        <v>294</v>
      </c>
      <c r="G242" s="123" t="n">
        <v>0</v>
      </c>
    </row>
    <row r="243" customFormat="false" ht="15" hidden="false" customHeight="false" outlineLevel="0" collapsed="false">
      <c r="A243" s="652" t="n">
        <v>45523</v>
      </c>
      <c r="B243" s="123" t="n">
        <v>215</v>
      </c>
      <c r="C243" s="124" t="s">
        <v>95</v>
      </c>
      <c r="D243" s="124" t="s">
        <v>75</v>
      </c>
      <c r="E243" s="123" t="n">
        <v>3450</v>
      </c>
      <c r="G243" s="123" t="n">
        <v>3450</v>
      </c>
      <c r="K243" s="123" t="n">
        <v>10</v>
      </c>
    </row>
    <row r="244" customFormat="false" ht="15" hidden="false" customHeight="false" outlineLevel="0" collapsed="false">
      <c r="A244" s="652" t="n">
        <v>45523</v>
      </c>
      <c r="B244" s="123" t="n">
        <v>192</v>
      </c>
      <c r="C244" s="124" t="s">
        <v>90</v>
      </c>
      <c r="D244" s="124" t="s">
        <v>75</v>
      </c>
      <c r="E244" s="653" t="n">
        <v>247.25</v>
      </c>
      <c r="G244" s="653" t="n">
        <v>3697.25</v>
      </c>
      <c r="M244" s="123" t="n">
        <v>1</v>
      </c>
    </row>
    <row r="245" customFormat="false" ht="15" hidden="false" customHeight="false" outlineLevel="0" collapsed="false">
      <c r="A245" s="652" t="n">
        <v>45523</v>
      </c>
      <c r="B245" s="123" t="n">
        <v>191</v>
      </c>
      <c r="C245" s="124" t="s">
        <v>90</v>
      </c>
      <c r="D245" s="124" t="s">
        <v>75</v>
      </c>
      <c r="E245" s="653" t="n">
        <v>609.5</v>
      </c>
      <c r="G245" s="653" t="n">
        <v>4306.75</v>
      </c>
      <c r="L245" s="123" t="n">
        <v>2</v>
      </c>
    </row>
    <row r="246" customFormat="false" ht="15" hidden="false" customHeight="false" outlineLevel="0" collapsed="false">
      <c r="A246" s="652" t="n">
        <v>45523</v>
      </c>
      <c r="B246" s="123" t="n">
        <v>190</v>
      </c>
      <c r="C246" s="124" t="s">
        <v>89</v>
      </c>
      <c r="D246" s="124" t="s">
        <v>75</v>
      </c>
      <c r="E246" s="653" t="n">
        <v>1098.25</v>
      </c>
      <c r="G246" s="123" t="n">
        <v>5405</v>
      </c>
      <c r="I246" s="123" t="n">
        <v>1</v>
      </c>
      <c r="K246" s="123" t="n">
        <v>1</v>
      </c>
      <c r="M246" s="123" t="n">
        <v>2</v>
      </c>
    </row>
    <row r="247" customFormat="false" ht="15" hidden="false" customHeight="false" outlineLevel="0" collapsed="false">
      <c r="A247" s="652" t="n">
        <v>45523</v>
      </c>
      <c r="B247" s="124" t="s">
        <v>470</v>
      </c>
      <c r="C247" s="124" t="s">
        <v>393</v>
      </c>
      <c r="F247" s="653" t="n">
        <v>3747.5</v>
      </c>
      <c r="G247" s="653" t="n">
        <v>1657.5</v>
      </c>
    </row>
    <row r="248" customFormat="false" ht="15" hidden="false" customHeight="false" outlineLevel="0" collapsed="false">
      <c r="A248" s="652" t="n">
        <v>45523</v>
      </c>
      <c r="B248" s="123" t="n">
        <v>194</v>
      </c>
      <c r="C248" s="124" t="s">
        <v>107</v>
      </c>
      <c r="D248" s="124" t="s">
        <v>105</v>
      </c>
      <c r="E248" s="653" t="n">
        <v>327.75</v>
      </c>
      <c r="G248" s="653" t="n">
        <v>1985.25</v>
      </c>
      <c r="I248" s="123" t="n">
        <v>1</v>
      </c>
    </row>
    <row r="249" customFormat="false" ht="15" hidden="false" customHeight="false" outlineLevel="0" collapsed="false">
      <c r="A249" s="652" t="n">
        <v>45523</v>
      </c>
      <c r="B249" s="123" t="n">
        <v>195</v>
      </c>
      <c r="C249" s="124" t="s">
        <v>92</v>
      </c>
      <c r="D249" s="124" t="s">
        <v>75</v>
      </c>
      <c r="E249" s="653" t="n">
        <v>327.75</v>
      </c>
      <c r="G249" s="123" t="n">
        <v>2313</v>
      </c>
      <c r="I249" s="123" t="n">
        <v>1</v>
      </c>
    </row>
    <row r="250" customFormat="false" ht="15" hidden="false" customHeight="false" outlineLevel="0" collapsed="false">
      <c r="A250" s="652" t="n">
        <v>45523</v>
      </c>
      <c r="B250" s="123" t="n">
        <v>196</v>
      </c>
      <c r="C250" s="124" t="s">
        <v>94</v>
      </c>
      <c r="D250" s="124" t="s">
        <v>75</v>
      </c>
      <c r="E250" s="123" t="n">
        <v>805</v>
      </c>
      <c r="G250" s="123" t="n">
        <v>3118</v>
      </c>
      <c r="K250" s="123" t="n">
        <v>3</v>
      </c>
    </row>
    <row r="251" customFormat="false" ht="15" hidden="false" customHeight="false" outlineLevel="0" collapsed="false">
      <c r="A251" s="652" t="n">
        <v>45523</v>
      </c>
      <c r="B251" s="123" t="n">
        <v>197</v>
      </c>
      <c r="C251" s="124" t="s">
        <v>81</v>
      </c>
      <c r="D251" s="124" t="s">
        <v>75</v>
      </c>
      <c r="E251" s="653" t="n">
        <v>327.75</v>
      </c>
      <c r="G251" s="653" t="n">
        <v>3445.75</v>
      </c>
      <c r="I251" s="123" t="n">
        <v>1</v>
      </c>
    </row>
    <row r="252" customFormat="false" ht="15" hidden="false" customHeight="false" outlineLevel="0" collapsed="false">
      <c r="A252" s="652" t="n">
        <v>45523</v>
      </c>
      <c r="B252" s="124" t="s">
        <v>392</v>
      </c>
      <c r="C252" s="124" t="s">
        <v>393</v>
      </c>
      <c r="F252" s="123" t="n">
        <v>3445</v>
      </c>
      <c r="G252" s="653" t="n">
        <v>0.75</v>
      </c>
    </row>
    <row r="253" customFormat="false" ht="15" hidden="false" customHeight="false" outlineLevel="0" collapsed="false">
      <c r="A253" s="652" t="n">
        <v>45523</v>
      </c>
      <c r="B253" s="123" t="n">
        <v>198</v>
      </c>
      <c r="C253" s="124" t="s">
        <v>242</v>
      </c>
      <c r="D253" s="124" t="s">
        <v>127</v>
      </c>
      <c r="E253" s="653" t="n">
        <v>603.75</v>
      </c>
      <c r="G253" s="653" t="n">
        <v>604.5</v>
      </c>
      <c r="I253" s="123" t="n">
        <v>1</v>
      </c>
      <c r="K253" s="123" t="n">
        <v>1</v>
      </c>
    </row>
    <row r="254" customFormat="false" ht="15" hidden="false" customHeight="false" outlineLevel="0" collapsed="false">
      <c r="A254" s="652" t="n">
        <v>45524</v>
      </c>
      <c r="B254" s="124" t="s">
        <v>470</v>
      </c>
      <c r="C254" s="124" t="s">
        <v>393</v>
      </c>
      <c r="E254" s="653" t="n">
        <v>-0.5</v>
      </c>
      <c r="F254" s="123" t="n">
        <v>604</v>
      </c>
      <c r="G254" s="123" t="n">
        <v>0</v>
      </c>
    </row>
    <row r="255" customFormat="false" ht="15" hidden="false" customHeight="false" outlineLevel="0" collapsed="false">
      <c r="A255" s="652" t="n">
        <v>45524</v>
      </c>
      <c r="B255" s="123" t="n">
        <v>199</v>
      </c>
      <c r="C255" s="124" t="s">
        <v>309</v>
      </c>
      <c r="D255" s="124" t="s">
        <v>301</v>
      </c>
      <c r="E255" s="123" t="n">
        <v>138</v>
      </c>
      <c r="G255" s="123" t="n">
        <v>138</v>
      </c>
      <c r="O255" s="123" t="n">
        <v>1</v>
      </c>
    </row>
    <row r="256" customFormat="false" ht="15" hidden="false" customHeight="false" outlineLevel="0" collapsed="false">
      <c r="A256" s="652" t="n">
        <v>45524</v>
      </c>
      <c r="B256" s="123" t="s">
        <v>598</v>
      </c>
      <c r="C256" s="124" t="s">
        <v>295</v>
      </c>
      <c r="D256" s="124" t="s">
        <v>286</v>
      </c>
      <c r="E256" s="123" t="n">
        <v>575</v>
      </c>
      <c r="G256" s="123" t="n">
        <v>713</v>
      </c>
      <c r="I256" s="123" t="n">
        <v>1</v>
      </c>
      <c r="M256" s="123" t="n">
        <v>1</v>
      </c>
    </row>
    <row r="257" customFormat="false" ht="15" hidden="false" customHeight="false" outlineLevel="0" collapsed="false">
      <c r="A257" s="652" t="n">
        <v>45524</v>
      </c>
      <c r="B257" s="123" t="n">
        <v>202</v>
      </c>
      <c r="C257" s="124" t="s">
        <v>292</v>
      </c>
      <c r="D257" s="124" t="s">
        <v>286</v>
      </c>
      <c r="E257" s="653" t="n">
        <v>327.75</v>
      </c>
      <c r="G257" s="653" t="n">
        <v>1040.75</v>
      </c>
      <c r="I257" s="123" t="n">
        <v>1</v>
      </c>
    </row>
    <row r="258" customFormat="false" ht="15" hidden="false" customHeight="false" outlineLevel="0" collapsed="false">
      <c r="A258" s="652" t="n">
        <v>45524</v>
      </c>
      <c r="B258" s="124" t="s">
        <v>470</v>
      </c>
      <c r="C258" s="124" t="s">
        <v>393</v>
      </c>
      <c r="F258" s="123" t="n">
        <v>1040</v>
      </c>
      <c r="G258" s="653" t="n">
        <v>0.75</v>
      </c>
    </row>
    <row r="259" customFormat="false" ht="15" hidden="false" customHeight="false" outlineLevel="0" collapsed="false">
      <c r="A259" s="652" t="n">
        <v>45523</v>
      </c>
      <c r="B259" s="123" t="n">
        <v>203</v>
      </c>
      <c r="C259" s="124" t="s">
        <v>129</v>
      </c>
      <c r="D259" s="124" t="s">
        <v>127</v>
      </c>
      <c r="E259" s="653" t="n">
        <v>327.75</v>
      </c>
      <c r="G259" s="653" t="n">
        <v>328.5</v>
      </c>
      <c r="I259" s="123" t="n">
        <v>1</v>
      </c>
    </row>
    <row r="260" customFormat="false" ht="15" hidden="false" customHeight="false" outlineLevel="0" collapsed="false">
      <c r="A260" s="652" t="n">
        <v>45526</v>
      </c>
      <c r="B260" s="123" t="n">
        <v>204</v>
      </c>
      <c r="C260" s="124" t="s">
        <v>578</v>
      </c>
      <c r="D260" s="124" t="s">
        <v>127</v>
      </c>
      <c r="E260" s="653" t="n">
        <v>356.5</v>
      </c>
      <c r="G260" s="123" t="n">
        <v>685</v>
      </c>
      <c r="J260" s="123" t="n">
        <v>2</v>
      </c>
    </row>
    <row r="261" customFormat="false" ht="15" hidden="false" customHeight="false" outlineLevel="0" collapsed="false">
      <c r="A261" s="652" t="n">
        <v>45527</v>
      </c>
      <c r="B261" s="124" t="s">
        <v>470</v>
      </c>
      <c r="C261" s="124" t="s">
        <v>393</v>
      </c>
      <c r="F261" s="123" t="n">
        <v>685</v>
      </c>
      <c r="G261" s="123" t="n">
        <v>0</v>
      </c>
    </row>
    <row r="262" customFormat="false" ht="15" hidden="false" customHeight="false" outlineLevel="0" collapsed="false">
      <c r="A262" s="652" t="n">
        <v>45530</v>
      </c>
      <c r="B262" s="123" t="n">
        <v>212</v>
      </c>
      <c r="C262" s="124" t="s">
        <v>81</v>
      </c>
      <c r="D262" s="124" t="s">
        <v>75</v>
      </c>
      <c r="E262" s="653" t="n">
        <v>258.75</v>
      </c>
      <c r="G262" s="653" t="n">
        <v>258.75</v>
      </c>
      <c r="O262" s="123" t="n">
        <v>1</v>
      </c>
    </row>
    <row r="263" customFormat="false" ht="15" hidden="false" customHeight="false" outlineLevel="0" collapsed="false">
      <c r="A263" s="652" t="n">
        <v>45530</v>
      </c>
      <c r="B263" s="123" t="n">
        <v>209</v>
      </c>
      <c r="C263" s="124" t="s">
        <v>109</v>
      </c>
      <c r="D263" s="124" t="s">
        <v>105</v>
      </c>
      <c r="E263" s="653" t="n">
        <v>983.25</v>
      </c>
      <c r="G263" s="123" t="n">
        <v>1242</v>
      </c>
      <c r="I263" s="123" t="n">
        <v>3</v>
      </c>
    </row>
    <row r="264" customFormat="false" ht="15" hidden="false" customHeight="false" outlineLevel="0" collapsed="false">
      <c r="A264" s="652" t="n">
        <v>45530</v>
      </c>
      <c r="B264" s="123" t="n">
        <v>206</v>
      </c>
      <c r="C264" s="124" t="s">
        <v>95</v>
      </c>
      <c r="D264" s="124" t="s">
        <v>75</v>
      </c>
      <c r="E264" s="123" t="n">
        <v>552</v>
      </c>
      <c r="G264" s="123" t="n">
        <v>1794</v>
      </c>
      <c r="O264" s="123" t="n">
        <v>4</v>
      </c>
    </row>
    <row r="265" customFormat="false" ht="15" hidden="false" customHeight="false" outlineLevel="0" collapsed="false">
      <c r="A265" s="652" t="n">
        <v>45530</v>
      </c>
      <c r="B265" s="123" t="n">
        <v>210</v>
      </c>
      <c r="C265" s="124" t="s">
        <v>92</v>
      </c>
      <c r="D265" s="124" t="s">
        <v>75</v>
      </c>
      <c r="E265" s="653" t="n">
        <v>327.75</v>
      </c>
      <c r="G265" s="653" t="n">
        <v>2121.75</v>
      </c>
      <c r="I265" s="123" t="n">
        <v>1</v>
      </c>
    </row>
    <row r="266" customFormat="false" ht="15" hidden="false" customHeight="false" outlineLevel="0" collapsed="false">
      <c r="A266" s="652" t="n">
        <v>45530</v>
      </c>
      <c r="B266" s="123" t="n">
        <v>207</v>
      </c>
      <c r="C266" s="124" t="s">
        <v>96</v>
      </c>
      <c r="D266" s="124" t="s">
        <v>75</v>
      </c>
      <c r="E266" s="653" t="n">
        <v>1391.5</v>
      </c>
      <c r="G266" s="653" t="n">
        <v>3513.25</v>
      </c>
      <c r="J266" s="123" t="n">
        <v>2</v>
      </c>
      <c r="K266" s="123" t="n">
        <v>4</v>
      </c>
    </row>
    <row r="267" customFormat="false" ht="15" hidden="false" customHeight="false" outlineLevel="0" collapsed="false">
      <c r="A267" s="652" t="n">
        <v>45530</v>
      </c>
      <c r="B267" s="123" t="n">
        <v>205</v>
      </c>
      <c r="C267" s="124" t="s">
        <v>100</v>
      </c>
      <c r="D267" s="124" t="s">
        <v>75</v>
      </c>
      <c r="E267" s="653" t="n">
        <v>902.75</v>
      </c>
      <c r="G267" s="123" t="n">
        <v>4416</v>
      </c>
      <c r="I267" s="123" t="n">
        <v>2</v>
      </c>
      <c r="M267" s="123" t="n">
        <v>1</v>
      </c>
    </row>
    <row r="268" customFormat="false" ht="15" hidden="false" customHeight="false" outlineLevel="0" collapsed="false">
      <c r="A268" s="652" t="n">
        <v>45530</v>
      </c>
      <c r="B268" s="123" t="n">
        <v>208</v>
      </c>
      <c r="C268" s="124" t="s">
        <v>107</v>
      </c>
      <c r="D268" s="124" t="s">
        <v>105</v>
      </c>
      <c r="E268" s="653" t="n">
        <v>327.75</v>
      </c>
      <c r="G268" s="653" t="n">
        <v>4743.75</v>
      </c>
      <c r="I268" s="123" t="n">
        <v>1</v>
      </c>
    </row>
    <row r="269" customFormat="false" ht="15" hidden="false" customHeight="false" outlineLevel="0" collapsed="false">
      <c r="A269" s="652" t="n">
        <v>45530</v>
      </c>
      <c r="B269" s="123" t="n">
        <v>211</v>
      </c>
      <c r="C269" s="124" t="s">
        <v>89</v>
      </c>
      <c r="D269" s="124" t="s">
        <v>75</v>
      </c>
      <c r="E269" s="123" t="n">
        <v>506</v>
      </c>
      <c r="G269" s="653" t="n">
        <v>5249.75</v>
      </c>
      <c r="K269" s="123" t="n">
        <v>2</v>
      </c>
    </row>
    <row r="270" customFormat="false" ht="15" hidden="false" customHeight="false" outlineLevel="0" collapsed="false">
      <c r="A270" s="652" t="n">
        <v>45530</v>
      </c>
      <c r="B270" s="124" t="s">
        <v>470</v>
      </c>
      <c r="C270" s="124" t="s">
        <v>393</v>
      </c>
      <c r="F270" s="653" t="n">
        <v>5249.5</v>
      </c>
      <c r="G270" s="653" t="n">
        <v>0.25</v>
      </c>
    </row>
    <row r="271" customFormat="false" ht="15" hidden="false" customHeight="false" outlineLevel="0" collapsed="false">
      <c r="A271" s="652" t="n">
        <v>45530</v>
      </c>
      <c r="B271" s="123" t="n">
        <v>214</v>
      </c>
      <c r="C271" s="124" t="s">
        <v>129</v>
      </c>
      <c r="D271" s="124" t="s">
        <v>127</v>
      </c>
      <c r="E271" s="653" t="n">
        <v>327.75</v>
      </c>
      <c r="G271" s="123" t="n">
        <v>328</v>
      </c>
      <c r="I271" s="123" t="n">
        <v>1</v>
      </c>
    </row>
    <row r="272" customFormat="false" ht="15" hidden="false" customHeight="false" outlineLevel="0" collapsed="false">
      <c r="A272" s="652" t="n">
        <v>45530</v>
      </c>
      <c r="B272" s="123" t="n">
        <v>213</v>
      </c>
      <c r="C272" s="124" t="s">
        <v>184</v>
      </c>
      <c r="D272" s="124" t="s">
        <v>127</v>
      </c>
      <c r="E272" s="653" t="n">
        <v>143.75</v>
      </c>
      <c r="G272" s="653" t="n">
        <v>471.75</v>
      </c>
      <c r="N272" s="123" t="n">
        <v>1</v>
      </c>
    </row>
    <row r="273" customFormat="false" ht="15" hidden="false" customHeight="false" outlineLevel="0" collapsed="false">
      <c r="A273" s="652" t="n">
        <v>45530</v>
      </c>
      <c r="C273" s="124" t="s">
        <v>393</v>
      </c>
      <c r="F273" s="123" t="n">
        <v>3818</v>
      </c>
      <c r="G273" s="653" t="n">
        <v>-3346.25</v>
      </c>
    </row>
    <row r="274" customFormat="false" ht="15" hidden="false" customHeight="false" outlineLevel="0" collapsed="false">
      <c r="A274" s="652" t="n">
        <v>45532</v>
      </c>
      <c r="B274" s="123" t="n">
        <v>216</v>
      </c>
      <c r="C274" s="124" t="s">
        <v>316</v>
      </c>
      <c r="D274" s="124" t="s">
        <v>301</v>
      </c>
      <c r="E274" s="653" t="n">
        <v>908.5</v>
      </c>
      <c r="G274" s="653" t="n">
        <v>-2437.75</v>
      </c>
      <c r="J274" s="123" t="n">
        <v>2</v>
      </c>
      <c r="L274" s="123" t="n">
        <v>1</v>
      </c>
      <c r="M274" s="123" t="n">
        <v>1</v>
      </c>
    </row>
    <row r="275" customFormat="false" ht="15" hidden="false" customHeight="false" outlineLevel="0" collapsed="false">
      <c r="A275" s="652" t="n">
        <v>45532</v>
      </c>
      <c r="B275" s="123" t="n">
        <v>217</v>
      </c>
      <c r="C275" s="124" t="s">
        <v>302</v>
      </c>
      <c r="D275" s="124" t="s">
        <v>301</v>
      </c>
      <c r="E275" s="653" t="n">
        <v>327.75</v>
      </c>
      <c r="G275" s="123" t="n">
        <v>-2110</v>
      </c>
      <c r="I275" s="123" t="n">
        <v>1</v>
      </c>
    </row>
    <row r="276" customFormat="false" ht="15" hidden="false" customHeight="false" outlineLevel="0" collapsed="false">
      <c r="A276" s="652" t="n">
        <v>45532</v>
      </c>
      <c r="B276" s="123" t="n">
        <v>223</v>
      </c>
      <c r="C276" s="124" t="s">
        <v>298</v>
      </c>
      <c r="D276" s="124" t="s">
        <v>286</v>
      </c>
      <c r="E276" s="653" t="n">
        <v>327.75</v>
      </c>
      <c r="G276" s="653" t="n">
        <v>-1782.25</v>
      </c>
      <c r="I276" s="123" t="n">
        <v>1</v>
      </c>
    </row>
    <row r="277" customFormat="false" ht="15" hidden="false" customHeight="false" outlineLevel="0" collapsed="false">
      <c r="A277" s="652" t="n">
        <v>45532</v>
      </c>
      <c r="B277" s="123" t="n">
        <v>218</v>
      </c>
      <c r="C277" s="124" t="s">
        <v>317</v>
      </c>
      <c r="D277" s="124" t="s">
        <v>224</v>
      </c>
      <c r="E277" s="653" t="n">
        <v>655.5</v>
      </c>
      <c r="G277" s="653" t="n">
        <v>-1126.75</v>
      </c>
      <c r="I277" s="123" t="n">
        <v>2</v>
      </c>
    </row>
    <row r="278" customFormat="false" ht="15" hidden="false" customHeight="false" outlineLevel="0" collapsed="false">
      <c r="A278" s="652" t="n">
        <v>45532</v>
      </c>
      <c r="B278" s="123" t="n">
        <v>220</v>
      </c>
      <c r="C278" s="124" t="s">
        <v>292</v>
      </c>
      <c r="D278" s="124" t="s">
        <v>286</v>
      </c>
      <c r="E278" s="653" t="n">
        <v>143.75</v>
      </c>
      <c r="G278" s="123" t="n">
        <v>-983</v>
      </c>
      <c r="N278" s="123" t="n">
        <v>1</v>
      </c>
    </row>
    <row r="279" customFormat="false" ht="15" hidden="false" customHeight="false" outlineLevel="0" collapsed="false">
      <c r="A279" s="652" t="n">
        <v>45532</v>
      </c>
      <c r="B279" s="123" t="n">
        <v>219</v>
      </c>
      <c r="C279" s="124" t="s">
        <v>293</v>
      </c>
      <c r="D279" s="124" t="s">
        <v>286</v>
      </c>
      <c r="E279" s="653" t="n">
        <v>327.75</v>
      </c>
      <c r="G279" s="653" t="n">
        <v>-655.25</v>
      </c>
      <c r="I279" s="123" t="n">
        <v>1</v>
      </c>
    </row>
    <row r="280" customFormat="false" ht="15" hidden="false" customHeight="false" outlineLevel="0" collapsed="false">
      <c r="A280" s="652" t="n">
        <v>45532</v>
      </c>
      <c r="B280" s="123" t="n">
        <v>222</v>
      </c>
      <c r="C280" s="124" t="s">
        <v>295</v>
      </c>
      <c r="D280" s="124" t="s">
        <v>286</v>
      </c>
      <c r="E280" s="653" t="n">
        <v>327.75</v>
      </c>
      <c r="G280" s="653" t="n">
        <v>-327.5</v>
      </c>
      <c r="I280" s="123" t="n">
        <v>1</v>
      </c>
    </row>
    <row r="281" customFormat="false" ht="15" hidden="false" customHeight="false" outlineLevel="0" collapsed="false">
      <c r="A281" s="652" t="n">
        <v>45532</v>
      </c>
      <c r="B281" s="123" t="n">
        <v>221</v>
      </c>
      <c r="C281" s="124" t="s">
        <v>290</v>
      </c>
      <c r="D281" s="124" t="s">
        <v>286</v>
      </c>
      <c r="E281" s="653" t="n">
        <v>327.75</v>
      </c>
      <c r="G281" s="653" t="n">
        <v>0.25</v>
      </c>
      <c r="I281" s="123" t="n">
        <v>1</v>
      </c>
    </row>
    <row r="282" customFormat="false" ht="15" hidden="false" customHeight="false" outlineLevel="0" collapsed="false">
      <c r="A282" s="652" t="n">
        <v>45532</v>
      </c>
      <c r="B282" s="123" t="n">
        <v>229</v>
      </c>
      <c r="C282" s="124" t="s">
        <v>176</v>
      </c>
      <c r="D282" s="124" t="s">
        <v>127</v>
      </c>
      <c r="E282" s="653" t="n">
        <v>563.5</v>
      </c>
      <c r="G282" s="653" t="n">
        <v>563.75</v>
      </c>
      <c r="I282" s="123" t="n">
        <v>1</v>
      </c>
      <c r="K282" s="123" t="n">
        <v>1</v>
      </c>
    </row>
    <row r="283" customFormat="false" ht="15" hidden="false" customHeight="false" outlineLevel="0" collapsed="false">
      <c r="A283" s="652" t="n">
        <v>45533</v>
      </c>
      <c r="B283" s="123" t="n">
        <v>225</v>
      </c>
      <c r="C283" s="124" t="s">
        <v>239</v>
      </c>
      <c r="D283" s="124" t="s">
        <v>127</v>
      </c>
      <c r="E283" s="653" t="n">
        <v>1063.75</v>
      </c>
      <c r="G283" s="653" t="n">
        <v>1627.5</v>
      </c>
      <c r="O283" s="123" t="n">
        <v>5</v>
      </c>
    </row>
    <row r="284" customFormat="false" ht="15" hidden="false" customHeight="false" outlineLevel="0" collapsed="false">
      <c r="A284" s="652" t="n">
        <v>45533</v>
      </c>
      <c r="B284" s="123" t="n">
        <v>224</v>
      </c>
      <c r="C284" s="124" t="s">
        <v>242</v>
      </c>
      <c r="D284" s="124" t="s">
        <v>127</v>
      </c>
      <c r="E284" s="653" t="n">
        <v>603.75</v>
      </c>
      <c r="G284" s="653" t="n">
        <v>2231.25</v>
      </c>
      <c r="I284" s="123" t="n">
        <v>1</v>
      </c>
      <c r="K284" s="123" t="n">
        <v>1</v>
      </c>
    </row>
    <row r="285" customFormat="false" ht="15" hidden="false" customHeight="false" outlineLevel="0" collapsed="false">
      <c r="A285" s="652" t="n">
        <v>45533</v>
      </c>
      <c r="B285" s="123" t="n">
        <v>226</v>
      </c>
      <c r="C285" s="124" t="s">
        <v>296</v>
      </c>
      <c r="D285" s="124" t="s">
        <v>286</v>
      </c>
      <c r="E285" s="653" t="n">
        <v>2127.5</v>
      </c>
      <c r="G285" s="653" t="n">
        <v>4358.75</v>
      </c>
      <c r="O285" s="123" t="n">
        <v>10</v>
      </c>
    </row>
    <row r="286" customFormat="false" ht="15" hidden="false" customHeight="false" outlineLevel="0" collapsed="false">
      <c r="A286" s="652" t="n">
        <v>45533</v>
      </c>
      <c r="B286" s="123" t="n">
        <v>227</v>
      </c>
      <c r="C286" s="124" t="s">
        <v>160</v>
      </c>
      <c r="D286" s="124" t="s">
        <v>127</v>
      </c>
      <c r="E286" s="653" t="n">
        <v>983.25</v>
      </c>
      <c r="G286" s="123" t="n">
        <v>5342</v>
      </c>
      <c r="H286" s="653" t="n">
        <v>-0.25</v>
      </c>
      <c r="I286" s="123" t="n">
        <v>3</v>
      </c>
    </row>
    <row r="287" customFormat="false" ht="15" hidden="false" customHeight="false" outlineLevel="0" collapsed="false">
      <c r="A287" s="652" t="n">
        <v>45533</v>
      </c>
      <c r="B287" s="124" t="s">
        <v>470</v>
      </c>
      <c r="C287" s="124" t="s">
        <v>393</v>
      </c>
      <c r="F287" s="653" t="n">
        <v>1617.5</v>
      </c>
      <c r="G287" s="653" t="n">
        <v>3724.5</v>
      </c>
    </row>
    <row r="288" customFormat="false" ht="15" hidden="false" customHeight="false" outlineLevel="0" collapsed="false">
      <c r="A288" s="652" t="n">
        <v>45533</v>
      </c>
      <c r="B288" s="123" t="n">
        <v>228</v>
      </c>
      <c r="C288" s="124" t="s">
        <v>160</v>
      </c>
      <c r="D288" s="124" t="s">
        <v>127</v>
      </c>
      <c r="E288" s="123" t="n">
        <v>276</v>
      </c>
      <c r="G288" s="653" t="n">
        <v>4000.5</v>
      </c>
      <c r="K288" s="123" t="n">
        <v>1</v>
      </c>
    </row>
    <row r="289" customFormat="false" ht="15" hidden="false" customHeight="false" outlineLevel="0" collapsed="false">
      <c r="A289" s="652" t="n">
        <v>45533</v>
      </c>
      <c r="B289" s="124" t="s">
        <v>392</v>
      </c>
      <c r="C289" s="124" t="s">
        <v>393</v>
      </c>
      <c r="F289" s="123" t="n">
        <v>4000</v>
      </c>
      <c r="G289" s="653" t="n">
        <v>0.5</v>
      </c>
    </row>
    <row r="290" customFormat="false" ht="15" hidden="false" customHeight="false" outlineLevel="0" collapsed="false">
      <c r="A290" s="652" t="n">
        <v>45536</v>
      </c>
      <c r="B290" s="123" t="n">
        <v>231</v>
      </c>
      <c r="C290" s="124" t="s">
        <v>114</v>
      </c>
      <c r="D290" s="124" t="s">
        <v>105</v>
      </c>
      <c r="E290" s="123" t="n">
        <v>1311</v>
      </c>
      <c r="G290" s="653" t="n">
        <v>1311.5</v>
      </c>
      <c r="I290" s="123" t="n">
        <v>4</v>
      </c>
      <c r="J290" s="123" t="n">
        <v>1</v>
      </c>
    </row>
    <row r="291" customFormat="false" ht="15" hidden="false" customHeight="false" outlineLevel="0" collapsed="false">
      <c r="A291" s="652" t="n">
        <v>45536</v>
      </c>
      <c r="B291" s="123" t="n">
        <v>230</v>
      </c>
      <c r="C291" s="124" t="s">
        <v>109</v>
      </c>
      <c r="D291" s="124" t="s">
        <v>105</v>
      </c>
      <c r="E291" s="123" t="n">
        <v>1311</v>
      </c>
      <c r="G291" s="653" t="n">
        <v>2622.5</v>
      </c>
      <c r="I291" s="123" t="n">
        <v>4</v>
      </c>
      <c r="J291" s="123" t="n">
        <v>1</v>
      </c>
    </row>
    <row r="292" customFormat="false" ht="15" hidden="false" customHeight="false" outlineLevel="0" collapsed="false">
      <c r="A292" s="652" t="n">
        <v>45536</v>
      </c>
      <c r="B292" s="123" t="n">
        <v>232</v>
      </c>
      <c r="C292" s="124" t="s">
        <v>90</v>
      </c>
      <c r="D292" s="124" t="s">
        <v>75</v>
      </c>
      <c r="E292" s="653" t="n">
        <v>258.75</v>
      </c>
      <c r="G292" s="653" t="n">
        <v>2881.25</v>
      </c>
      <c r="M292" s="123" t="n">
        <v>1</v>
      </c>
    </row>
    <row r="293" customFormat="false" ht="15" hidden="false" customHeight="false" outlineLevel="0" collapsed="false">
      <c r="A293" s="652" t="n">
        <v>45538</v>
      </c>
      <c r="C293" s="124" t="s">
        <v>393</v>
      </c>
      <c r="F293" s="653" t="n">
        <v>2213.75</v>
      </c>
      <c r="G293" s="653" t="n">
        <v>667.5</v>
      </c>
    </row>
    <row r="294" customFormat="false" ht="15" hidden="false" customHeight="false" outlineLevel="0" collapsed="false">
      <c r="A294" s="652" t="n">
        <v>45538</v>
      </c>
      <c r="B294" s="124" t="s">
        <v>392</v>
      </c>
      <c r="C294" s="124" t="s">
        <v>393</v>
      </c>
      <c r="F294" s="123" t="n">
        <v>667</v>
      </c>
      <c r="G294" s="653" t="n">
        <v>0.5</v>
      </c>
    </row>
    <row r="295" customFormat="false" ht="15" hidden="false" customHeight="false" outlineLevel="0" collapsed="false">
      <c r="A295" s="652" t="n">
        <v>45538</v>
      </c>
      <c r="B295" s="123" t="n">
        <v>234</v>
      </c>
      <c r="C295" s="124" t="s">
        <v>178</v>
      </c>
      <c r="D295" s="124" t="s">
        <v>127</v>
      </c>
      <c r="E295" s="123" t="n">
        <v>138</v>
      </c>
      <c r="G295" s="653" t="n">
        <v>138.5</v>
      </c>
      <c r="O295" s="123" t="n">
        <v>1</v>
      </c>
    </row>
    <row r="296" customFormat="false" ht="15" hidden="false" customHeight="false" outlineLevel="0" collapsed="false">
      <c r="A296" s="652" t="n">
        <v>45538</v>
      </c>
      <c r="B296" s="123" t="n">
        <v>233</v>
      </c>
      <c r="C296" s="124" t="s">
        <v>235</v>
      </c>
      <c r="D296" s="124" t="s">
        <v>127</v>
      </c>
      <c r="E296" s="653" t="n">
        <v>1897.5</v>
      </c>
      <c r="G296" s="123" t="n">
        <v>2036</v>
      </c>
      <c r="L296" s="123" t="n">
        <v>6</v>
      </c>
    </row>
    <row r="297" customFormat="false" ht="15" hidden="false" customHeight="false" outlineLevel="0" collapsed="false">
      <c r="A297" s="652" t="n">
        <v>45539</v>
      </c>
      <c r="B297" s="124" t="s">
        <v>392</v>
      </c>
      <c r="C297" s="124" t="s">
        <v>393</v>
      </c>
      <c r="F297" s="123" t="n">
        <v>2036</v>
      </c>
      <c r="G297" s="123" t="n">
        <v>0</v>
      </c>
    </row>
    <row r="298" customFormat="false" ht="15" hidden="false" customHeight="false" outlineLevel="0" collapsed="false">
      <c r="A298" s="652" t="n">
        <v>45539</v>
      </c>
      <c r="C298" s="124" t="s">
        <v>255</v>
      </c>
      <c r="D298" s="124" t="s">
        <v>127</v>
      </c>
      <c r="E298" s="123" t="n">
        <v>138</v>
      </c>
      <c r="G298" s="123" t="n">
        <v>138</v>
      </c>
      <c r="O298" s="123" t="n">
        <v>1</v>
      </c>
    </row>
    <row r="299" customFormat="false" ht="15" hidden="false" customHeight="false" outlineLevel="0" collapsed="false">
      <c r="A299" s="652" t="n">
        <v>45539</v>
      </c>
      <c r="B299" s="124" t="s">
        <v>470</v>
      </c>
      <c r="C299" s="124" t="s">
        <v>393</v>
      </c>
      <c r="F299" s="123" t="n">
        <v>138</v>
      </c>
      <c r="G299" s="123" t="n">
        <v>0</v>
      </c>
    </row>
    <row r="300" customFormat="false" ht="15" hidden="false" customHeight="false" outlineLevel="0" collapsed="false">
      <c r="A300" s="652" t="n">
        <v>45539</v>
      </c>
      <c r="B300" s="123" t="n">
        <v>236</v>
      </c>
      <c r="C300" s="124" t="s">
        <v>146</v>
      </c>
      <c r="D300" s="124" t="s">
        <v>127</v>
      </c>
      <c r="E300" s="123" t="n">
        <v>1311</v>
      </c>
      <c r="G300" s="123" t="n">
        <v>1311</v>
      </c>
      <c r="I300" s="123" t="n">
        <v>4</v>
      </c>
      <c r="J300" s="123" t="n">
        <v>1</v>
      </c>
    </row>
    <row r="301" customFormat="false" ht="15" hidden="false" customHeight="false" outlineLevel="0" collapsed="false">
      <c r="A301" s="652" t="n">
        <v>45539</v>
      </c>
      <c r="B301" s="123" t="n">
        <v>237</v>
      </c>
      <c r="C301" s="124" t="s">
        <v>184</v>
      </c>
      <c r="D301" s="124" t="s">
        <v>127</v>
      </c>
      <c r="E301" s="123" t="n">
        <v>155</v>
      </c>
      <c r="G301" s="123" t="n">
        <v>1466</v>
      </c>
      <c r="P301" s="123" t="n">
        <v>1</v>
      </c>
    </row>
    <row r="302" customFormat="false" ht="15" hidden="false" customHeight="false" outlineLevel="0" collapsed="false">
      <c r="A302" s="652" t="n">
        <v>45539</v>
      </c>
      <c r="B302" s="124" t="s">
        <v>470</v>
      </c>
      <c r="C302" s="124" t="s">
        <v>393</v>
      </c>
      <c r="F302" s="123" t="n">
        <v>1466</v>
      </c>
      <c r="G302" s="123" t="n">
        <v>0</v>
      </c>
    </row>
    <row r="303" customFormat="false" ht="15" hidden="false" customHeight="false" outlineLevel="0" collapsed="false">
      <c r="A303" s="652" t="n">
        <v>45543</v>
      </c>
      <c r="B303" s="123" t="n">
        <v>238</v>
      </c>
      <c r="C303" s="124" t="s">
        <v>143</v>
      </c>
      <c r="D303" s="124" t="s">
        <v>127</v>
      </c>
      <c r="E303" s="123" t="n">
        <v>1311</v>
      </c>
      <c r="G303" s="123" t="n">
        <v>1311</v>
      </c>
      <c r="I303" s="123" t="n">
        <v>4</v>
      </c>
      <c r="J303" s="123" t="n">
        <v>1</v>
      </c>
    </row>
    <row r="304" customFormat="false" ht="15" hidden="false" customHeight="false" outlineLevel="0" collapsed="false">
      <c r="A304" s="652" t="n">
        <v>45543</v>
      </c>
      <c r="B304" s="123" t="n">
        <v>239</v>
      </c>
      <c r="C304" s="124" t="s">
        <v>147</v>
      </c>
      <c r="D304" s="124" t="s">
        <v>127</v>
      </c>
      <c r="E304" s="123" t="n">
        <v>1564</v>
      </c>
      <c r="G304" s="123" t="n">
        <v>2875</v>
      </c>
      <c r="I304" s="123" t="n">
        <v>4</v>
      </c>
      <c r="J304" s="123" t="n">
        <v>1</v>
      </c>
      <c r="K304" s="123" t="n">
        <v>1</v>
      </c>
    </row>
    <row r="305" customFormat="false" ht="15" hidden="false" customHeight="false" outlineLevel="0" collapsed="false">
      <c r="A305" s="652" t="n">
        <v>45543</v>
      </c>
      <c r="B305" s="124" t="s">
        <v>470</v>
      </c>
      <c r="C305" s="124" t="s">
        <v>393</v>
      </c>
      <c r="F305" s="123" t="n">
        <v>2875</v>
      </c>
      <c r="G305" s="123" t="n">
        <v>0</v>
      </c>
    </row>
    <row r="306" customFormat="false" ht="15" hidden="false" customHeight="false" outlineLevel="0" collapsed="false">
      <c r="A306" s="652" t="n">
        <v>45544</v>
      </c>
      <c r="B306" s="123" t="n">
        <v>240</v>
      </c>
      <c r="C306" s="124" t="s">
        <v>325</v>
      </c>
      <c r="D306" s="124" t="s">
        <v>224</v>
      </c>
      <c r="E306" s="123" t="n">
        <v>1311</v>
      </c>
      <c r="G306" s="123" t="n">
        <v>1311</v>
      </c>
      <c r="I306" s="123" t="n">
        <v>4</v>
      </c>
      <c r="J306" s="123" t="n">
        <v>1</v>
      </c>
    </row>
    <row r="307" customFormat="false" ht="15" hidden="false" customHeight="false" outlineLevel="0" collapsed="false">
      <c r="A307" s="652" t="n">
        <v>45544</v>
      </c>
      <c r="B307" s="123" t="n">
        <v>241</v>
      </c>
      <c r="C307" s="124" t="s">
        <v>318</v>
      </c>
      <c r="D307" s="124" t="s">
        <v>224</v>
      </c>
      <c r="E307" s="653" t="n">
        <v>155.25</v>
      </c>
      <c r="G307" s="653" t="n">
        <v>1466.25</v>
      </c>
      <c r="P307" s="123" t="n">
        <v>1</v>
      </c>
    </row>
    <row r="308" customFormat="false" ht="15" hidden="false" customHeight="false" outlineLevel="0" collapsed="false">
      <c r="A308" s="652" t="n">
        <v>45544</v>
      </c>
      <c r="B308" s="123" t="n">
        <v>242</v>
      </c>
      <c r="C308" s="124" t="s">
        <v>292</v>
      </c>
      <c r="D308" s="124" t="s">
        <v>286</v>
      </c>
      <c r="E308" s="653" t="n">
        <v>1454.75</v>
      </c>
      <c r="G308" s="123" t="n">
        <v>2921</v>
      </c>
      <c r="I308" s="123" t="n">
        <v>4</v>
      </c>
      <c r="J308" s="123" t="n">
        <v>1</v>
      </c>
      <c r="N308" s="123" t="n">
        <v>1</v>
      </c>
    </row>
    <row r="309" customFormat="false" ht="15" hidden="false" customHeight="false" outlineLevel="0" collapsed="false">
      <c r="A309" s="652" t="n">
        <v>45544</v>
      </c>
      <c r="B309" s="123" t="n">
        <v>243</v>
      </c>
      <c r="C309" s="124" t="s">
        <v>295</v>
      </c>
      <c r="D309" s="124" t="s">
        <v>286</v>
      </c>
      <c r="E309" s="653" t="n">
        <v>948.75</v>
      </c>
      <c r="G309" s="653" t="n">
        <v>3869.75</v>
      </c>
      <c r="L309" s="123" t="n">
        <v>3</v>
      </c>
    </row>
    <row r="310" customFormat="false" ht="15" hidden="false" customHeight="false" outlineLevel="0" collapsed="false">
      <c r="A310" s="652" t="n">
        <v>45544</v>
      </c>
      <c r="B310" s="123" t="n">
        <v>244</v>
      </c>
      <c r="C310" s="124" t="s">
        <v>295</v>
      </c>
      <c r="D310" s="124" t="s">
        <v>286</v>
      </c>
      <c r="E310" s="123" t="n">
        <v>1311</v>
      </c>
      <c r="G310" s="653" t="n">
        <v>5180.75</v>
      </c>
      <c r="I310" s="123" t="n">
        <v>4</v>
      </c>
      <c r="J310" s="123" t="n">
        <v>1</v>
      </c>
    </row>
    <row r="311" customFormat="false" ht="15" hidden="false" customHeight="false" outlineLevel="0" collapsed="false">
      <c r="A311" s="652" t="n">
        <v>45545</v>
      </c>
      <c r="B311" s="124" t="s">
        <v>470</v>
      </c>
      <c r="C311" s="124" t="s">
        <v>393</v>
      </c>
      <c r="F311" s="653" t="n">
        <v>5180.25</v>
      </c>
      <c r="G311" s="653" t="n">
        <v>0.5</v>
      </c>
    </row>
    <row r="312" customFormat="false" ht="15" hidden="false" customHeight="false" outlineLevel="0" collapsed="false">
      <c r="A312" s="652" t="n">
        <v>45545</v>
      </c>
      <c r="B312" s="123" t="n">
        <v>245</v>
      </c>
      <c r="C312" s="124" t="s">
        <v>166</v>
      </c>
      <c r="D312" s="124" t="s">
        <v>127</v>
      </c>
      <c r="E312" s="123" t="n">
        <v>1311</v>
      </c>
      <c r="G312" s="653" t="n">
        <v>1311.5</v>
      </c>
      <c r="I312" s="123" t="n">
        <v>4</v>
      </c>
      <c r="J312" s="123" t="n">
        <v>1</v>
      </c>
    </row>
    <row r="313" customFormat="false" ht="15" hidden="false" customHeight="false" outlineLevel="0" collapsed="false">
      <c r="A313" s="652" t="n">
        <v>45545</v>
      </c>
      <c r="B313" s="123" t="n">
        <v>246</v>
      </c>
      <c r="C313" s="124" t="s">
        <v>178</v>
      </c>
      <c r="D313" s="124" t="s">
        <v>127</v>
      </c>
      <c r="E313" s="123" t="n">
        <v>1311</v>
      </c>
      <c r="G313" s="653" t="n">
        <v>2622.5</v>
      </c>
      <c r="I313" s="123" t="n">
        <v>4</v>
      </c>
      <c r="J313" s="123" t="n">
        <v>1</v>
      </c>
    </row>
    <row r="314" customFormat="false" ht="15" hidden="false" customHeight="false" outlineLevel="0" collapsed="false">
      <c r="A314" s="652" t="n">
        <v>45545</v>
      </c>
      <c r="B314" s="124" t="s">
        <v>470</v>
      </c>
      <c r="C314" s="124" t="s">
        <v>393</v>
      </c>
      <c r="F314" s="123" t="n">
        <v>2622</v>
      </c>
      <c r="G314" s="653" t="n">
        <v>0.5</v>
      </c>
    </row>
    <row r="315" customFormat="false" ht="15" hidden="false" customHeight="false" outlineLevel="0" collapsed="false">
      <c r="A315" s="652" t="n">
        <v>45544</v>
      </c>
      <c r="B315" s="123" t="n">
        <v>247</v>
      </c>
      <c r="C315" s="124" t="s">
        <v>144</v>
      </c>
      <c r="D315" s="124" t="s">
        <v>127</v>
      </c>
      <c r="E315" s="123" t="n">
        <v>1311</v>
      </c>
      <c r="G315" s="653" t="n">
        <v>1311.5</v>
      </c>
      <c r="I315" s="123" t="n">
        <v>4</v>
      </c>
      <c r="J315" s="123" t="n">
        <v>1</v>
      </c>
    </row>
    <row r="316" customFormat="false" ht="15" hidden="false" customHeight="false" outlineLevel="0" collapsed="false">
      <c r="A316" s="652" t="n">
        <v>45547</v>
      </c>
      <c r="B316" s="124" t="s">
        <v>470</v>
      </c>
      <c r="C316" s="124" t="s">
        <v>393</v>
      </c>
      <c r="F316" s="123" t="n">
        <v>1311</v>
      </c>
      <c r="G316" s="653" t="n">
        <v>0.5</v>
      </c>
    </row>
    <row r="317" customFormat="false" ht="15" hidden="false" customHeight="false" outlineLevel="0" collapsed="false">
      <c r="A317" s="652" t="n">
        <v>45547</v>
      </c>
      <c r="B317" s="123" t="n">
        <v>248</v>
      </c>
      <c r="C317" s="124" t="s">
        <v>96</v>
      </c>
      <c r="D317" s="124" t="s">
        <v>75</v>
      </c>
      <c r="E317" s="123" t="n">
        <v>1311</v>
      </c>
      <c r="G317" s="653" t="n">
        <v>1311.5</v>
      </c>
      <c r="I317" s="123" t="n">
        <v>4</v>
      </c>
      <c r="J317" s="123" t="n">
        <v>1</v>
      </c>
    </row>
    <row r="318" customFormat="false" ht="15" hidden="false" customHeight="false" outlineLevel="0" collapsed="false">
      <c r="A318" s="652" t="n">
        <v>45547</v>
      </c>
      <c r="B318" s="123" t="n">
        <v>249</v>
      </c>
      <c r="C318" s="124" t="s">
        <v>104</v>
      </c>
      <c r="D318" s="124" t="s">
        <v>105</v>
      </c>
      <c r="E318" s="123" t="n">
        <v>1311</v>
      </c>
      <c r="G318" s="653" t="n">
        <v>2622.5</v>
      </c>
      <c r="I318" s="123" t="n">
        <v>4</v>
      </c>
      <c r="J318" s="123" t="n">
        <v>1</v>
      </c>
    </row>
    <row r="319" customFormat="false" ht="15" hidden="false" customHeight="false" outlineLevel="0" collapsed="false">
      <c r="A319" s="652" t="n">
        <v>45547</v>
      </c>
      <c r="B319" s="123" t="n">
        <v>253</v>
      </c>
      <c r="C319" s="124" t="s">
        <v>101</v>
      </c>
      <c r="D319" s="124" t="s">
        <v>75</v>
      </c>
      <c r="E319" s="653" t="n">
        <v>327.75</v>
      </c>
      <c r="G319" s="653" t="n">
        <v>2950.25</v>
      </c>
      <c r="I319" s="123" t="n">
        <v>1</v>
      </c>
    </row>
    <row r="320" customFormat="false" ht="15" hidden="false" customHeight="false" outlineLevel="0" collapsed="false">
      <c r="A320" s="652" t="n">
        <v>45547</v>
      </c>
      <c r="B320" s="123" t="n">
        <v>252</v>
      </c>
      <c r="C320" s="124" t="s">
        <v>316</v>
      </c>
      <c r="D320" s="124" t="s">
        <v>301</v>
      </c>
      <c r="E320" s="123" t="n">
        <v>2806</v>
      </c>
      <c r="G320" s="653" t="n">
        <v>5756.25</v>
      </c>
      <c r="K320" s="123" t="n">
        <v>10</v>
      </c>
    </row>
    <row r="321" customFormat="false" ht="15" hidden="false" customHeight="false" outlineLevel="0" collapsed="false">
      <c r="A321" s="652" t="n">
        <v>45547</v>
      </c>
      <c r="B321" s="123" t="n">
        <v>251</v>
      </c>
      <c r="C321" s="124" t="s">
        <v>109</v>
      </c>
      <c r="D321" s="124" t="s">
        <v>105</v>
      </c>
      <c r="E321" s="123" t="n">
        <v>1311</v>
      </c>
      <c r="G321" s="653" t="n">
        <v>7067.25</v>
      </c>
      <c r="I321" s="123" t="n">
        <v>4</v>
      </c>
      <c r="J321" s="123" t="n">
        <v>1</v>
      </c>
    </row>
    <row r="322" customFormat="false" ht="15" hidden="false" customHeight="false" outlineLevel="0" collapsed="false">
      <c r="A322" s="652" t="n">
        <v>45547</v>
      </c>
      <c r="B322" s="123" t="n">
        <v>250</v>
      </c>
      <c r="C322" s="124" t="s">
        <v>107</v>
      </c>
      <c r="D322" s="124" t="s">
        <v>105</v>
      </c>
      <c r="E322" s="123" t="n">
        <v>1311</v>
      </c>
      <c r="G322" s="653" t="n">
        <v>8378.25</v>
      </c>
      <c r="I322" s="123" t="n">
        <v>4</v>
      </c>
      <c r="J322" s="123" t="n">
        <v>1</v>
      </c>
    </row>
    <row r="323" customFormat="false" ht="15" hidden="false" customHeight="false" outlineLevel="0" collapsed="false">
      <c r="A323" s="652" t="n">
        <v>45547</v>
      </c>
      <c r="B323" s="123" t="n">
        <v>254</v>
      </c>
      <c r="C323" s="124" t="s">
        <v>81</v>
      </c>
      <c r="D323" s="124" t="s">
        <v>75</v>
      </c>
      <c r="E323" s="653" t="n">
        <v>327.75</v>
      </c>
      <c r="G323" s="123" t="n">
        <v>8706</v>
      </c>
      <c r="I323" s="123" t="n">
        <v>1</v>
      </c>
    </row>
    <row r="324" customFormat="false" ht="15" hidden="false" customHeight="false" outlineLevel="0" collapsed="false">
      <c r="A324" s="652" t="n">
        <v>45547</v>
      </c>
      <c r="B324" s="123" t="n">
        <v>255</v>
      </c>
      <c r="C324" s="124" t="s">
        <v>166</v>
      </c>
      <c r="D324" s="124" t="s">
        <v>127</v>
      </c>
      <c r="E324" s="123" t="n">
        <v>138</v>
      </c>
      <c r="G324" s="123" t="n">
        <v>8844</v>
      </c>
      <c r="O324" s="123" t="n">
        <v>1</v>
      </c>
    </row>
    <row r="325" customFormat="false" ht="15" hidden="false" customHeight="false" outlineLevel="0" collapsed="false">
      <c r="A325" s="652" t="n">
        <v>45547</v>
      </c>
      <c r="B325" s="124" t="s">
        <v>470</v>
      </c>
      <c r="C325" s="124" t="s">
        <v>393</v>
      </c>
      <c r="F325" s="653" t="n">
        <v>3638.75</v>
      </c>
      <c r="G325" s="653" t="n">
        <v>5205.25</v>
      </c>
    </row>
    <row r="326" customFormat="false" ht="15" hidden="false" customHeight="false" outlineLevel="0" collapsed="false">
      <c r="A326" s="652" t="n">
        <v>45551</v>
      </c>
      <c r="B326" s="124" t="s">
        <v>392</v>
      </c>
      <c r="C326" s="124" t="s">
        <v>393</v>
      </c>
      <c r="E326" s="653" t="n">
        <v>0.25</v>
      </c>
      <c r="F326" s="123" t="n">
        <v>5205</v>
      </c>
      <c r="G326" s="653" t="n">
        <v>0.5</v>
      </c>
    </row>
    <row r="327" customFormat="false" ht="15" hidden="false" customHeight="false" outlineLevel="0" collapsed="false">
      <c r="A327" s="652" t="n">
        <v>45551</v>
      </c>
      <c r="B327" s="123" t="n">
        <v>256</v>
      </c>
      <c r="C327" s="124" t="s">
        <v>312</v>
      </c>
      <c r="D327" s="124" t="s">
        <v>301</v>
      </c>
      <c r="E327" s="123" t="n">
        <v>1311</v>
      </c>
      <c r="G327" s="653" t="n">
        <v>1311.5</v>
      </c>
      <c r="I327" s="123" t="n">
        <v>4</v>
      </c>
      <c r="J327" s="123" t="n">
        <v>1</v>
      </c>
    </row>
    <row r="328" customFormat="false" ht="15" hidden="false" customHeight="false" outlineLevel="0" collapsed="false">
      <c r="A328" s="652" t="n">
        <v>45551</v>
      </c>
      <c r="B328" s="123" t="n">
        <v>257</v>
      </c>
      <c r="C328" s="124" t="s">
        <v>305</v>
      </c>
      <c r="D328" s="124" t="s">
        <v>301</v>
      </c>
      <c r="E328" s="653" t="n">
        <v>293.25</v>
      </c>
      <c r="G328" s="653" t="n">
        <v>1604.75</v>
      </c>
      <c r="O328" s="123" t="n">
        <v>1</v>
      </c>
      <c r="P328" s="123" t="n">
        <v>1</v>
      </c>
    </row>
    <row r="329" customFormat="false" ht="15" hidden="false" customHeight="false" outlineLevel="0" collapsed="false">
      <c r="A329" s="652" t="n">
        <v>45551</v>
      </c>
      <c r="B329" s="123" t="n">
        <v>258</v>
      </c>
      <c r="C329" s="124" t="s">
        <v>317</v>
      </c>
      <c r="D329" s="124" t="s">
        <v>224</v>
      </c>
      <c r="E329" s="123" t="n">
        <v>1311</v>
      </c>
      <c r="G329" s="653" t="n">
        <v>2915.75</v>
      </c>
      <c r="I329" s="123" t="n">
        <v>4</v>
      </c>
      <c r="J329" s="123" t="n">
        <v>1</v>
      </c>
    </row>
    <row r="330" customFormat="false" ht="15" hidden="false" customHeight="false" outlineLevel="0" collapsed="false">
      <c r="A330" s="652" t="n">
        <v>45551</v>
      </c>
      <c r="B330" s="124" t="s">
        <v>470</v>
      </c>
      <c r="C330" s="124" t="s">
        <v>393</v>
      </c>
      <c r="F330" s="653" t="n">
        <v>3052.5</v>
      </c>
      <c r="G330" s="653" t="n">
        <v>-136.75</v>
      </c>
    </row>
    <row r="331" customFormat="false" ht="15" hidden="false" customHeight="false" outlineLevel="0" collapsed="false">
      <c r="A331" s="652" t="n">
        <v>45552</v>
      </c>
      <c r="B331" s="123" t="n">
        <v>260</v>
      </c>
      <c r="C331" s="124" t="s">
        <v>296</v>
      </c>
      <c r="D331" s="124" t="s">
        <v>286</v>
      </c>
      <c r="E331" s="653" t="n">
        <v>1063.75</v>
      </c>
      <c r="G331" s="123" t="n">
        <v>927</v>
      </c>
      <c r="O331" s="123" t="n">
        <v>5</v>
      </c>
    </row>
    <row r="332" customFormat="false" ht="15" hidden="false" customHeight="false" outlineLevel="0" collapsed="false">
      <c r="A332" s="652" t="n">
        <v>45552</v>
      </c>
      <c r="B332" s="123" t="n">
        <v>259</v>
      </c>
      <c r="C332" s="124" t="s">
        <v>296</v>
      </c>
      <c r="D332" s="124" t="s">
        <v>286</v>
      </c>
      <c r="E332" s="123" t="n">
        <v>1311</v>
      </c>
      <c r="G332" s="123" t="n">
        <v>2238</v>
      </c>
      <c r="I332" s="123" t="n">
        <v>4</v>
      </c>
      <c r="J332" s="123" t="n">
        <v>1</v>
      </c>
    </row>
    <row r="333" customFormat="false" ht="15" hidden="false" customHeight="false" outlineLevel="0" collapsed="false">
      <c r="A333" s="652" t="n">
        <v>45552</v>
      </c>
      <c r="B333" s="123" t="n">
        <v>261</v>
      </c>
      <c r="C333" s="124" t="s">
        <v>236</v>
      </c>
      <c r="D333" s="124" t="s">
        <v>127</v>
      </c>
      <c r="E333" s="653" t="n">
        <v>143.75</v>
      </c>
      <c r="G333" s="653" t="n">
        <v>2381.75</v>
      </c>
      <c r="N333" s="123" t="n">
        <v>1</v>
      </c>
    </row>
    <row r="334" customFormat="false" ht="15" hidden="false" customHeight="false" outlineLevel="0" collapsed="false">
      <c r="A334" s="652" t="n">
        <v>45552</v>
      </c>
      <c r="B334" s="124" t="s">
        <v>470</v>
      </c>
      <c r="C334" s="124" t="s">
        <v>393</v>
      </c>
      <c r="F334" s="653" t="n">
        <v>2381.75</v>
      </c>
      <c r="G334" s="123" t="n">
        <v>0</v>
      </c>
    </row>
    <row r="335" customFormat="false" ht="15" hidden="false" customHeight="false" outlineLevel="0" collapsed="false">
      <c r="A335" s="652" t="n">
        <v>45553</v>
      </c>
      <c r="B335" s="123" t="n">
        <v>262</v>
      </c>
      <c r="C335" s="124" t="s">
        <v>100</v>
      </c>
      <c r="D335" s="124" t="s">
        <v>75</v>
      </c>
      <c r="E335" s="653" t="n">
        <v>258.75</v>
      </c>
      <c r="G335" s="653" t="n">
        <v>258.75</v>
      </c>
      <c r="M335" s="123" t="n">
        <v>1</v>
      </c>
    </row>
    <row r="336" customFormat="false" ht="15" hidden="false" customHeight="false" outlineLevel="0" collapsed="false">
      <c r="A336" s="652" t="n">
        <v>45553</v>
      </c>
      <c r="B336" s="123" t="n">
        <v>263</v>
      </c>
      <c r="C336" s="124" t="s">
        <v>94</v>
      </c>
      <c r="D336" s="124" t="s">
        <v>75</v>
      </c>
      <c r="E336" s="123" t="n">
        <v>1311</v>
      </c>
      <c r="G336" s="653" t="n">
        <v>1569.75</v>
      </c>
      <c r="I336" s="123" t="n">
        <v>4</v>
      </c>
      <c r="J336" s="123" t="n">
        <v>1</v>
      </c>
    </row>
    <row r="337" customFormat="false" ht="15" hidden="false" customHeight="false" outlineLevel="0" collapsed="false">
      <c r="A337" s="652" t="n">
        <v>45553</v>
      </c>
      <c r="B337" s="123" t="n">
        <v>264</v>
      </c>
      <c r="C337" s="124" t="s">
        <v>89</v>
      </c>
      <c r="D337" s="124" t="s">
        <v>75</v>
      </c>
      <c r="E337" s="123" t="n">
        <v>3979</v>
      </c>
      <c r="G337" s="653" t="n">
        <v>5548.75</v>
      </c>
      <c r="I337" s="123" t="n">
        <v>1</v>
      </c>
      <c r="K337" s="123" t="n">
        <v>10</v>
      </c>
      <c r="L337" s="123" t="n">
        <v>1</v>
      </c>
      <c r="M337" s="123" t="n">
        <v>2</v>
      </c>
    </row>
    <row r="338" customFormat="false" ht="15" hidden="false" customHeight="false" outlineLevel="0" collapsed="false">
      <c r="A338" s="652" t="n">
        <v>45553</v>
      </c>
      <c r="B338" s="123" t="n">
        <v>267</v>
      </c>
      <c r="C338" s="124" t="s">
        <v>96</v>
      </c>
      <c r="D338" s="124" t="s">
        <v>75</v>
      </c>
      <c r="E338" s="653" t="n">
        <v>2794.5</v>
      </c>
      <c r="G338" s="653" t="n">
        <v>8343.25</v>
      </c>
      <c r="K338" s="123" t="n">
        <v>10</v>
      </c>
    </row>
    <row r="339" customFormat="false" ht="15" hidden="false" customHeight="false" outlineLevel="0" collapsed="false">
      <c r="A339" s="652" t="n">
        <v>45553</v>
      </c>
      <c r="B339" s="124" t="s">
        <v>470</v>
      </c>
      <c r="C339" s="124" t="s">
        <v>393</v>
      </c>
      <c r="F339" s="123" t="n">
        <v>6911</v>
      </c>
      <c r="G339" s="653" t="n">
        <v>1432.25</v>
      </c>
    </row>
    <row r="340" customFormat="false" ht="15" hidden="false" customHeight="false" outlineLevel="0" collapsed="false">
      <c r="A340" s="652" t="n">
        <v>45553</v>
      </c>
      <c r="B340" s="123" t="n">
        <v>266</v>
      </c>
      <c r="C340" s="124" t="s">
        <v>113</v>
      </c>
      <c r="D340" s="124" t="s">
        <v>105</v>
      </c>
      <c r="E340" s="123" t="n">
        <v>1311</v>
      </c>
      <c r="G340" s="653" t="n">
        <v>2743.25</v>
      </c>
      <c r="I340" s="123" t="n">
        <v>4</v>
      </c>
      <c r="J340" s="123" t="n">
        <v>1</v>
      </c>
    </row>
    <row r="341" customFormat="false" ht="15" hidden="false" customHeight="false" outlineLevel="0" collapsed="false">
      <c r="A341" s="652" t="n">
        <v>45553</v>
      </c>
      <c r="B341" s="123" t="n">
        <v>265</v>
      </c>
      <c r="C341" s="124" t="s">
        <v>111</v>
      </c>
      <c r="D341" s="124" t="s">
        <v>105</v>
      </c>
      <c r="E341" s="653" t="n">
        <v>327.75</v>
      </c>
      <c r="G341" s="123" t="n">
        <v>3071</v>
      </c>
      <c r="I341" s="123" t="n">
        <v>1</v>
      </c>
    </row>
    <row r="342" customFormat="false" ht="15" hidden="false" customHeight="false" outlineLevel="0" collapsed="false">
      <c r="A342" s="652" t="n">
        <v>45554</v>
      </c>
      <c r="B342" s="124" t="s">
        <v>392</v>
      </c>
      <c r="C342" s="124" t="s">
        <v>393</v>
      </c>
      <c r="F342" s="123" t="n">
        <v>3071</v>
      </c>
      <c r="G342" s="123" t="n">
        <v>0</v>
      </c>
    </row>
    <row r="343" customFormat="false" ht="15" hidden="false" customHeight="false" outlineLevel="0" collapsed="false">
      <c r="A343" s="652" t="n">
        <v>45554</v>
      </c>
      <c r="B343" s="123" t="n">
        <v>268</v>
      </c>
      <c r="C343" s="124" t="s">
        <v>176</v>
      </c>
      <c r="D343" s="124" t="s">
        <v>127</v>
      </c>
      <c r="E343" s="123" t="n">
        <v>1311</v>
      </c>
      <c r="G343" s="123" t="n">
        <v>1311</v>
      </c>
      <c r="H343" s="123" t="n">
        <v>0</v>
      </c>
      <c r="I343" s="123" t="n">
        <v>4</v>
      </c>
      <c r="J343" s="123" t="n">
        <v>1</v>
      </c>
    </row>
    <row r="344" customFormat="false" ht="15" hidden="false" customHeight="false" outlineLevel="0" collapsed="false">
      <c r="A344" s="652" t="n">
        <v>45554</v>
      </c>
      <c r="B344" s="124" t="s">
        <v>470</v>
      </c>
      <c r="C344" s="124" t="s">
        <v>393</v>
      </c>
      <c r="F344" s="123" t="n">
        <v>2578</v>
      </c>
      <c r="G344" s="123" t="n">
        <v>-1267</v>
      </c>
    </row>
    <row r="345" customFormat="false" ht="15" hidden="false" customHeight="false" outlineLevel="0" collapsed="false">
      <c r="A345" s="652" t="n">
        <v>45554</v>
      </c>
      <c r="B345" s="124" t="s">
        <v>638</v>
      </c>
      <c r="C345" s="124" t="s">
        <v>393</v>
      </c>
      <c r="E345" s="653" t="n">
        <v>-0.5</v>
      </c>
      <c r="F345" s="123" t="n">
        <v>400</v>
      </c>
      <c r="G345" s="653" t="n">
        <v>-1667.5</v>
      </c>
    </row>
    <row r="346" customFormat="false" ht="15" hidden="false" customHeight="false" outlineLevel="0" collapsed="false">
      <c r="A346" s="652" t="n">
        <v>45554</v>
      </c>
      <c r="B346" s="123" t="n">
        <v>269</v>
      </c>
      <c r="C346" s="124" t="s">
        <v>242</v>
      </c>
      <c r="D346" s="124" t="s">
        <v>127</v>
      </c>
      <c r="E346" s="123" t="n">
        <v>1311</v>
      </c>
      <c r="G346" s="653" t="n">
        <v>-356.5</v>
      </c>
      <c r="I346" s="123" t="n">
        <v>4</v>
      </c>
      <c r="J346" s="123" t="n">
        <v>1</v>
      </c>
    </row>
    <row r="347" customFormat="false" ht="15" hidden="false" customHeight="false" outlineLevel="0" collapsed="false">
      <c r="A347" s="652" t="n">
        <v>45552</v>
      </c>
      <c r="B347" s="123" t="n">
        <v>270</v>
      </c>
      <c r="C347" s="124" t="s">
        <v>261</v>
      </c>
      <c r="D347" s="124" t="s">
        <v>127</v>
      </c>
      <c r="E347" s="653" t="n">
        <v>356.5</v>
      </c>
      <c r="G347" s="123" t="n">
        <v>0</v>
      </c>
      <c r="J347" s="123" t="n">
        <v>2</v>
      </c>
    </row>
    <row r="348" customFormat="false" ht="15" hidden="false" customHeight="false" outlineLevel="0" collapsed="false">
      <c r="A348" s="652" t="n">
        <v>45558</v>
      </c>
      <c r="B348" s="123" t="n">
        <v>271</v>
      </c>
      <c r="C348" s="124" t="s">
        <v>130</v>
      </c>
      <c r="D348" s="124" t="s">
        <v>127</v>
      </c>
      <c r="E348" s="123" t="n">
        <v>1449</v>
      </c>
      <c r="G348" s="123" t="n">
        <v>1449</v>
      </c>
      <c r="I348" s="123" t="n">
        <v>4</v>
      </c>
      <c r="J348" s="123" t="n">
        <v>1</v>
      </c>
      <c r="O348" s="123" t="n">
        <v>1</v>
      </c>
    </row>
    <row r="349" customFormat="false" ht="15" hidden="false" customHeight="false" outlineLevel="0" collapsed="false">
      <c r="A349" s="652" t="n">
        <v>45558</v>
      </c>
      <c r="B349" s="124" t="s">
        <v>470</v>
      </c>
      <c r="C349" s="124" t="s">
        <v>393</v>
      </c>
      <c r="F349" s="123" t="n">
        <v>1449</v>
      </c>
      <c r="G349" s="123" t="n">
        <v>0</v>
      </c>
    </row>
    <row r="350" customFormat="false" ht="15" hidden="false" customHeight="false" outlineLevel="0" collapsed="false">
      <c r="A350" s="652" t="n">
        <v>45560</v>
      </c>
      <c r="B350" s="124" t="s">
        <v>470</v>
      </c>
      <c r="C350" s="124" t="s">
        <v>393</v>
      </c>
      <c r="F350" s="653" t="n">
        <v>5427.7</v>
      </c>
      <c r="G350" s="653" t="n">
        <v>-5427.7</v>
      </c>
    </row>
    <row r="351" customFormat="false" ht="15" hidden="false" customHeight="false" outlineLevel="0" collapsed="false">
      <c r="A351" s="652" t="n">
        <v>45560</v>
      </c>
      <c r="B351" s="123" t="n">
        <v>272</v>
      </c>
      <c r="C351" s="124" t="s">
        <v>94</v>
      </c>
      <c r="D351" s="124" t="s">
        <v>75</v>
      </c>
      <c r="E351" s="653" t="n">
        <v>2610.5</v>
      </c>
      <c r="G351" s="653" t="n">
        <v>-2817.2</v>
      </c>
      <c r="K351" s="123" t="n">
        <v>10</v>
      </c>
    </row>
    <row r="352" customFormat="false" ht="15" hidden="false" customHeight="false" outlineLevel="0" collapsed="false">
      <c r="A352" s="652" t="n">
        <v>45560</v>
      </c>
      <c r="B352" s="123" t="n">
        <v>274</v>
      </c>
      <c r="C352" s="124" t="s">
        <v>112</v>
      </c>
      <c r="D352" s="124" t="s">
        <v>105</v>
      </c>
      <c r="E352" s="123" t="n">
        <v>1311</v>
      </c>
      <c r="G352" s="653" t="n">
        <v>-1506.2</v>
      </c>
      <c r="I352" s="123" t="n">
        <v>4</v>
      </c>
      <c r="J352" s="123" t="n">
        <v>1</v>
      </c>
    </row>
    <row r="353" customFormat="false" ht="15" hidden="false" customHeight="false" outlineLevel="0" collapsed="false">
      <c r="A353" s="652" t="n">
        <v>45560</v>
      </c>
      <c r="B353" s="123" t="n">
        <v>277</v>
      </c>
      <c r="C353" s="124" t="s">
        <v>108</v>
      </c>
      <c r="D353" s="124" t="s">
        <v>105</v>
      </c>
      <c r="E353" s="123" t="n">
        <v>1311</v>
      </c>
      <c r="G353" s="653" t="n">
        <v>-195.2</v>
      </c>
      <c r="I353" s="123" t="n">
        <v>4</v>
      </c>
      <c r="J353" s="123" t="n">
        <v>1</v>
      </c>
    </row>
    <row r="354" customFormat="false" ht="15" hidden="false" customHeight="false" outlineLevel="0" collapsed="false">
      <c r="A354" s="652" t="n">
        <v>45560</v>
      </c>
      <c r="B354" s="123" t="n">
        <v>273</v>
      </c>
      <c r="C354" s="124" t="s">
        <v>104</v>
      </c>
      <c r="D354" s="124" t="s">
        <v>105</v>
      </c>
      <c r="E354" s="123" t="n">
        <v>1311</v>
      </c>
      <c r="G354" s="653" t="n">
        <v>1115.8</v>
      </c>
      <c r="I354" s="123" t="n">
        <v>4</v>
      </c>
      <c r="J354" s="123" t="n">
        <v>1</v>
      </c>
    </row>
    <row r="355" customFormat="false" ht="15" hidden="false" customHeight="false" outlineLevel="0" collapsed="false">
      <c r="A355" s="652" t="n">
        <v>45560</v>
      </c>
      <c r="B355" s="123" t="n">
        <v>276</v>
      </c>
      <c r="C355" s="124" t="s">
        <v>110</v>
      </c>
      <c r="D355" s="124" t="s">
        <v>105</v>
      </c>
      <c r="E355" s="123" t="n">
        <v>2622</v>
      </c>
      <c r="G355" s="653" t="n">
        <v>3737.8</v>
      </c>
      <c r="I355" s="123" t="n">
        <v>8</v>
      </c>
      <c r="J355" s="123" t="n">
        <v>2</v>
      </c>
    </row>
    <row r="356" customFormat="false" ht="15" hidden="false" customHeight="false" outlineLevel="0" collapsed="false">
      <c r="A356" s="652" t="n">
        <v>45560</v>
      </c>
      <c r="B356" s="123" t="n">
        <v>275</v>
      </c>
      <c r="C356" s="124" t="s">
        <v>111</v>
      </c>
      <c r="D356" s="124" t="s">
        <v>105</v>
      </c>
      <c r="E356" s="653" t="n">
        <v>327.75</v>
      </c>
      <c r="G356" s="653" t="n">
        <v>4065.55</v>
      </c>
      <c r="I356" s="123" t="n">
        <v>1</v>
      </c>
    </row>
    <row r="357" customFormat="false" ht="15" hidden="false" customHeight="false" outlineLevel="0" collapsed="false">
      <c r="A357" s="652" t="n">
        <v>45550</v>
      </c>
      <c r="B357" s="123" t="n">
        <v>278</v>
      </c>
      <c r="C357" s="124" t="s">
        <v>97</v>
      </c>
      <c r="D357" s="124" t="s">
        <v>75</v>
      </c>
      <c r="E357" s="123" t="n">
        <v>1311</v>
      </c>
      <c r="G357" s="653" t="n">
        <v>5376.55</v>
      </c>
      <c r="H357" s="653" t="n">
        <v>0.5</v>
      </c>
      <c r="I357" s="123" t="n">
        <v>4</v>
      </c>
      <c r="J357" s="123" t="n">
        <v>1</v>
      </c>
    </row>
    <row r="358" customFormat="false" ht="15" hidden="false" customHeight="false" outlineLevel="0" collapsed="false">
      <c r="A358" s="652" t="n">
        <v>45550</v>
      </c>
      <c r="B358" s="124" t="s">
        <v>392</v>
      </c>
      <c r="C358" s="124" t="s">
        <v>393</v>
      </c>
      <c r="F358" s="123" t="n">
        <v>5376</v>
      </c>
      <c r="G358" s="653" t="n">
        <v>0.550000000000182</v>
      </c>
    </row>
    <row r="359" customFormat="false" ht="15" hidden="false" customHeight="false" outlineLevel="0" collapsed="false">
      <c r="A359" s="652" t="n">
        <v>45552</v>
      </c>
      <c r="B359" s="123" t="n">
        <v>279</v>
      </c>
      <c r="C359" s="124" t="s">
        <v>151</v>
      </c>
      <c r="D359" s="124" t="s">
        <v>127</v>
      </c>
      <c r="E359" s="123" t="n">
        <v>1311</v>
      </c>
      <c r="G359" s="653" t="n">
        <v>1311.55</v>
      </c>
      <c r="I359" s="123" t="n">
        <v>4</v>
      </c>
      <c r="J359" s="123" t="n">
        <v>1</v>
      </c>
    </row>
    <row r="360" customFormat="false" ht="15" hidden="false" customHeight="false" outlineLevel="0" collapsed="false">
      <c r="A360" s="652" t="n">
        <v>45552</v>
      </c>
      <c r="B360" s="123" t="n">
        <v>280</v>
      </c>
      <c r="C360" s="124" t="s">
        <v>150</v>
      </c>
      <c r="D360" s="124" t="s">
        <v>127</v>
      </c>
      <c r="E360" s="123" t="n">
        <v>1311</v>
      </c>
      <c r="G360" s="653" t="n">
        <v>2622.55</v>
      </c>
      <c r="H360" s="123" t="n">
        <v>0</v>
      </c>
      <c r="I360" s="123" t="n">
        <v>4</v>
      </c>
      <c r="J360" s="123" t="n">
        <v>1</v>
      </c>
    </row>
    <row r="361" customFormat="false" ht="15" hidden="false" customHeight="false" outlineLevel="0" collapsed="false">
      <c r="A361" s="652" t="n">
        <v>45552</v>
      </c>
      <c r="B361" s="123" t="n">
        <v>281</v>
      </c>
      <c r="C361" s="124" t="s">
        <v>179</v>
      </c>
      <c r="D361" s="124" t="s">
        <v>127</v>
      </c>
      <c r="E361" s="123" t="n">
        <v>2622</v>
      </c>
      <c r="G361" s="653" t="n">
        <v>5244.55</v>
      </c>
      <c r="I361" s="123" t="n">
        <v>8</v>
      </c>
      <c r="J361" s="123" t="n">
        <v>2</v>
      </c>
    </row>
    <row r="362" customFormat="false" ht="15" hidden="false" customHeight="false" outlineLevel="0" collapsed="false">
      <c r="A362" s="652" t="n">
        <v>45558</v>
      </c>
      <c r="B362" s="124" t="s">
        <v>638</v>
      </c>
      <c r="C362" s="124" t="s">
        <v>393</v>
      </c>
      <c r="F362" s="123" t="n">
        <v>3277</v>
      </c>
      <c r="G362" s="653" t="n">
        <v>1967.55</v>
      </c>
    </row>
    <row r="363" customFormat="false" ht="15" hidden="false" customHeight="false" outlineLevel="0" collapsed="false">
      <c r="A363" s="652" t="n">
        <v>45547</v>
      </c>
      <c r="B363" s="124" t="s">
        <v>470</v>
      </c>
      <c r="C363" s="124" t="s">
        <v>393</v>
      </c>
      <c r="F363" s="123" t="n">
        <v>3278</v>
      </c>
      <c r="G363" s="653" t="n">
        <v>-1310.45</v>
      </c>
    </row>
    <row r="364" customFormat="false" ht="15" hidden="false" customHeight="false" outlineLevel="0" collapsed="false">
      <c r="A364" s="652" t="n">
        <v>45562</v>
      </c>
      <c r="B364" s="123" t="n">
        <v>282</v>
      </c>
      <c r="C364" s="124" t="s">
        <v>160</v>
      </c>
      <c r="D364" s="124" t="s">
        <v>127</v>
      </c>
      <c r="E364" s="123" t="n">
        <v>1311</v>
      </c>
      <c r="G364" s="653" t="n">
        <v>0.550000000000182</v>
      </c>
      <c r="H364" s="123" t="n">
        <v>1</v>
      </c>
      <c r="I364" s="123" t="n">
        <v>4</v>
      </c>
      <c r="J364" s="123" t="n">
        <v>1</v>
      </c>
    </row>
    <row r="365" customFormat="false" ht="15" hidden="false" customHeight="false" outlineLevel="0" collapsed="false">
      <c r="A365" s="652" t="n">
        <v>45564</v>
      </c>
      <c r="B365" s="123" t="n">
        <v>285</v>
      </c>
      <c r="C365" s="124" t="s">
        <v>292</v>
      </c>
      <c r="D365" s="124" t="s">
        <v>286</v>
      </c>
      <c r="E365" s="653" t="n">
        <v>833.75</v>
      </c>
      <c r="G365" s="653" t="n">
        <v>834.3</v>
      </c>
      <c r="L365" s="123" t="n">
        <v>1</v>
      </c>
      <c r="M365" s="123" t="n">
        <v>2</v>
      </c>
    </row>
    <row r="366" customFormat="false" ht="15" hidden="false" customHeight="false" outlineLevel="0" collapsed="false">
      <c r="A366" s="652" t="n">
        <v>45564</v>
      </c>
      <c r="B366" s="123" t="n">
        <v>289</v>
      </c>
      <c r="C366" s="124" t="s">
        <v>145</v>
      </c>
      <c r="D366" s="124" t="s">
        <v>127</v>
      </c>
      <c r="E366" s="123" t="n">
        <v>1311</v>
      </c>
      <c r="G366" s="653" t="n">
        <v>2145.3</v>
      </c>
      <c r="I366" s="123" t="n">
        <v>4</v>
      </c>
      <c r="J366" s="123" t="n">
        <v>1</v>
      </c>
    </row>
    <row r="367" customFormat="false" ht="15" hidden="false" customHeight="false" outlineLevel="0" collapsed="false">
      <c r="A367" s="652" t="n">
        <v>45564</v>
      </c>
      <c r="B367" s="123" t="n">
        <v>290</v>
      </c>
      <c r="C367" s="124" t="s">
        <v>253</v>
      </c>
      <c r="D367" s="124" t="s">
        <v>127</v>
      </c>
      <c r="E367" s="123" t="n">
        <v>483</v>
      </c>
      <c r="G367" s="653" t="n">
        <v>2628.3</v>
      </c>
      <c r="K367" s="123" t="n">
        <v>2</v>
      </c>
    </row>
    <row r="368" customFormat="false" ht="15" hidden="false" customHeight="false" outlineLevel="0" collapsed="false">
      <c r="A368" s="652" t="n">
        <v>45564</v>
      </c>
      <c r="B368" s="123" t="n">
        <v>283</v>
      </c>
      <c r="C368" s="124" t="s">
        <v>316</v>
      </c>
      <c r="D368" s="124" t="s">
        <v>301</v>
      </c>
      <c r="E368" s="123" t="n">
        <v>1449</v>
      </c>
      <c r="G368" s="653" t="n">
        <v>4077.3</v>
      </c>
      <c r="I368" s="123" t="n">
        <v>4</v>
      </c>
      <c r="J368" s="123" t="n">
        <v>1</v>
      </c>
      <c r="O368" s="123" t="n">
        <v>1</v>
      </c>
    </row>
    <row r="369" customFormat="false" ht="15" hidden="false" customHeight="false" outlineLevel="0" collapsed="false">
      <c r="A369" s="652" t="n">
        <v>45564</v>
      </c>
      <c r="B369" s="123" t="n">
        <v>288</v>
      </c>
      <c r="C369" s="124" t="s">
        <v>236</v>
      </c>
      <c r="D369" s="124" t="s">
        <v>127</v>
      </c>
      <c r="E369" s="653" t="n">
        <v>155.25</v>
      </c>
      <c r="G369" s="653" t="n">
        <v>4232.55</v>
      </c>
      <c r="P369" s="123" t="n">
        <v>1</v>
      </c>
    </row>
    <row r="370" customFormat="false" ht="15" hidden="false" customHeight="false" outlineLevel="0" collapsed="false">
      <c r="A370" s="652" t="n">
        <v>45564</v>
      </c>
      <c r="B370" s="123" t="n">
        <v>284</v>
      </c>
      <c r="C370" s="124" t="s">
        <v>303</v>
      </c>
      <c r="D370" s="124" t="s">
        <v>301</v>
      </c>
      <c r="E370" s="653" t="n">
        <v>327.75</v>
      </c>
      <c r="G370" s="653" t="n">
        <v>4560.3</v>
      </c>
      <c r="I370" s="123" t="n">
        <v>1</v>
      </c>
    </row>
    <row r="371" customFormat="false" ht="15" hidden="false" customHeight="false" outlineLevel="0" collapsed="false">
      <c r="A371" s="652" t="n">
        <v>45564</v>
      </c>
      <c r="B371" s="124" t="s">
        <v>470</v>
      </c>
      <c r="C371" s="124" t="s">
        <v>393</v>
      </c>
      <c r="F371" s="653" t="n">
        <v>2930.25</v>
      </c>
      <c r="G371" s="653" t="n">
        <v>1630.05</v>
      </c>
    </row>
    <row r="372" customFormat="false" ht="15" hidden="false" customHeight="false" outlineLevel="0" collapsed="false">
      <c r="A372" s="652" t="n">
        <v>45564</v>
      </c>
      <c r="B372" s="123" t="n">
        <v>286</v>
      </c>
      <c r="C372" s="124" t="s">
        <v>295</v>
      </c>
      <c r="D372" s="124" t="s">
        <v>286</v>
      </c>
      <c r="E372" s="653" t="n">
        <v>327.75</v>
      </c>
      <c r="G372" s="653" t="n">
        <v>1957.8</v>
      </c>
      <c r="I372" s="123" t="n">
        <v>1</v>
      </c>
    </row>
    <row r="373" customFormat="false" ht="15" hidden="false" customHeight="false" outlineLevel="0" collapsed="false">
      <c r="A373" s="652" t="n">
        <v>45564</v>
      </c>
      <c r="B373" s="123" t="n">
        <v>287</v>
      </c>
      <c r="C373" s="124" t="s">
        <v>296</v>
      </c>
      <c r="D373" s="124" t="s">
        <v>286</v>
      </c>
      <c r="E373" s="653" t="n">
        <v>2127.5</v>
      </c>
      <c r="G373" s="653" t="n">
        <v>4085.3</v>
      </c>
      <c r="O373" s="123" t="n">
        <v>10</v>
      </c>
    </row>
    <row r="374" customFormat="false" ht="15" hidden="false" customHeight="false" outlineLevel="0" collapsed="false">
      <c r="A374" s="652" t="n">
        <v>45565</v>
      </c>
      <c r="B374" s="124" t="s">
        <v>392</v>
      </c>
      <c r="C374" s="124" t="s">
        <v>393</v>
      </c>
      <c r="F374" s="123" t="n">
        <v>4085</v>
      </c>
      <c r="G374" s="653" t="n">
        <v>0.300000000000182</v>
      </c>
    </row>
    <row r="375" customFormat="false" ht="15" hidden="false" customHeight="false" outlineLevel="0" collapsed="false">
      <c r="A375" s="652" t="n">
        <v>45568</v>
      </c>
      <c r="B375" s="123" t="n">
        <v>294</v>
      </c>
      <c r="C375" s="124" t="s">
        <v>233</v>
      </c>
      <c r="D375" s="124" t="s">
        <v>127</v>
      </c>
      <c r="E375" s="653" t="n">
        <v>264.5</v>
      </c>
      <c r="G375" s="653" t="n">
        <v>264.8</v>
      </c>
      <c r="H375" s="123" t="n">
        <v>0</v>
      </c>
      <c r="K375" s="123" t="n">
        <v>1</v>
      </c>
    </row>
    <row r="376" customFormat="false" ht="15" hidden="false" customHeight="false" outlineLevel="0" collapsed="false">
      <c r="A376" s="652" t="n">
        <v>45568</v>
      </c>
      <c r="B376" s="123" t="n">
        <v>292</v>
      </c>
      <c r="C376" s="124" t="s">
        <v>133</v>
      </c>
      <c r="D376" s="124" t="s">
        <v>127</v>
      </c>
      <c r="E376" s="653" t="n">
        <v>155.25</v>
      </c>
      <c r="G376" s="653" t="n">
        <v>420.05</v>
      </c>
      <c r="P376" s="123" t="n">
        <v>1</v>
      </c>
    </row>
    <row r="377" customFormat="false" ht="15" hidden="false" customHeight="false" outlineLevel="0" collapsed="false">
      <c r="A377" s="652" t="n">
        <v>45568</v>
      </c>
      <c r="B377" s="123" t="n">
        <v>293</v>
      </c>
      <c r="C377" s="124" t="s">
        <v>238</v>
      </c>
      <c r="D377" s="124" t="s">
        <v>127</v>
      </c>
      <c r="E377" s="653" t="n">
        <v>264.5</v>
      </c>
      <c r="G377" s="653" t="n">
        <v>684.55</v>
      </c>
      <c r="K377" s="123" t="n">
        <v>1</v>
      </c>
    </row>
    <row r="378" customFormat="false" ht="15" hidden="false" customHeight="false" outlineLevel="0" collapsed="false">
      <c r="A378" s="652" t="n">
        <v>45568</v>
      </c>
      <c r="B378" s="123" t="n">
        <v>291</v>
      </c>
      <c r="C378" s="124" t="s">
        <v>261</v>
      </c>
      <c r="D378" s="124" t="s">
        <v>127</v>
      </c>
      <c r="E378" s="653" t="n">
        <v>264.5</v>
      </c>
      <c r="G378" s="653" t="n">
        <v>949.05</v>
      </c>
      <c r="H378" s="123" t="n">
        <v>0</v>
      </c>
      <c r="K378" s="123" t="n">
        <v>1</v>
      </c>
    </row>
    <row r="379" customFormat="false" ht="15" hidden="false" customHeight="false" outlineLevel="0" collapsed="false">
      <c r="A379" s="652" t="n">
        <v>45570</v>
      </c>
      <c r="B379" s="124" t="s">
        <v>470</v>
      </c>
      <c r="C379" s="124" t="s">
        <v>393</v>
      </c>
      <c r="F379" s="653" t="n">
        <v>244.5</v>
      </c>
      <c r="G379" s="653" t="n">
        <v>704.55</v>
      </c>
    </row>
    <row r="380" customFormat="false" ht="15" hidden="false" customHeight="false" outlineLevel="0" collapsed="false">
      <c r="A380" s="652" t="n">
        <v>45570</v>
      </c>
      <c r="B380" s="124" t="s">
        <v>392</v>
      </c>
      <c r="C380" s="124" t="s">
        <v>393</v>
      </c>
      <c r="E380" s="653" t="n">
        <v>0.45</v>
      </c>
      <c r="F380" s="123" t="n">
        <v>705</v>
      </c>
      <c r="G380" s="123" t="n">
        <v>0</v>
      </c>
    </row>
    <row r="381" customFormat="false" ht="15" hidden="false" customHeight="false" outlineLevel="0" collapsed="false">
      <c r="A381" s="652" t="n">
        <v>45571</v>
      </c>
      <c r="B381" s="123" t="n">
        <v>295</v>
      </c>
      <c r="C381" s="124" t="s">
        <v>237</v>
      </c>
      <c r="D381" s="124" t="s">
        <v>127</v>
      </c>
      <c r="E381" s="123" t="n">
        <v>690</v>
      </c>
      <c r="G381" s="123" t="n">
        <v>690</v>
      </c>
      <c r="K381" s="123" t="n">
        <v>2</v>
      </c>
    </row>
    <row r="382" customFormat="false" ht="15" hidden="false" customHeight="false" outlineLevel="0" collapsed="false">
      <c r="A382" s="652" t="n">
        <v>45571</v>
      </c>
      <c r="B382" s="124" t="s">
        <v>470</v>
      </c>
      <c r="C382" s="124" t="s">
        <v>393</v>
      </c>
      <c r="F382" s="123" t="n">
        <v>690</v>
      </c>
      <c r="G382" s="123" t="n">
        <v>0</v>
      </c>
    </row>
    <row r="383" customFormat="false" ht="15" hidden="false" customHeight="false" outlineLevel="0" collapsed="false">
      <c r="A383" s="652" t="n">
        <v>45572</v>
      </c>
      <c r="B383" s="123" t="n">
        <v>297</v>
      </c>
      <c r="C383" s="124" t="s">
        <v>167</v>
      </c>
      <c r="D383" s="124" t="s">
        <v>127</v>
      </c>
      <c r="E383" s="653" t="n">
        <v>402.5</v>
      </c>
      <c r="G383" s="653" t="n">
        <v>402.5</v>
      </c>
      <c r="K383" s="123" t="n">
        <v>1</v>
      </c>
      <c r="O383" s="123" t="n">
        <v>1</v>
      </c>
    </row>
    <row r="384" customFormat="false" ht="15" hidden="false" customHeight="false" outlineLevel="0" collapsed="false">
      <c r="A384" s="652" t="n">
        <v>45572</v>
      </c>
      <c r="B384" s="123" t="n">
        <v>296</v>
      </c>
      <c r="C384" s="124" t="s">
        <v>236</v>
      </c>
      <c r="D384" s="124" t="s">
        <v>127</v>
      </c>
      <c r="E384" s="653" t="n">
        <v>155.25</v>
      </c>
      <c r="G384" s="653" t="n">
        <v>557.75</v>
      </c>
      <c r="H384" s="653" t="n">
        <v>0.25</v>
      </c>
      <c r="P384" s="123" t="n">
        <v>1</v>
      </c>
    </row>
    <row r="385" customFormat="false" ht="15" hidden="false" customHeight="false" outlineLevel="0" collapsed="false">
      <c r="A385" s="652" t="n">
        <v>45572</v>
      </c>
      <c r="B385" s="124" t="s">
        <v>470</v>
      </c>
      <c r="C385" s="124" t="s">
        <v>393</v>
      </c>
      <c r="F385" s="653" t="n">
        <v>557.5</v>
      </c>
      <c r="G385" s="653" t="n">
        <v>0.25</v>
      </c>
    </row>
    <row r="386" customFormat="false" ht="15" hidden="false" customHeight="false" outlineLevel="0" collapsed="false">
      <c r="A386" s="652" t="n">
        <v>45573</v>
      </c>
      <c r="B386" s="123" t="n">
        <v>298</v>
      </c>
      <c r="C386" s="124" t="s">
        <v>144</v>
      </c>
      <c r="D386" s="124" t="s">
        <v>127</v>
      </c>
      <c r="E386" s="123" t="n">
        <v>1265</v>
      </c>
      <c r="G386" s="653" t="n">
        <v>1265.25</v>
      </c>
      <c r="H386" s="123" t="n">
        <v>0</v>
      </c>
      <c r="L386" s="123" t="n">
        <v>1</v>
      </c>
      <c r="M386" s="123" t="n">
        <v>2</v>
      </c>
      <c r="O386" s="123" t="n">
        <v>2</v>
      </c>
      <c r="P386" s="123" t="n">
        <v>1</v>
      </c>
    </row>
    <row r="387" customFormat="false" ht="15" hidden="false" customHeight="false" outlineLevel="0" collapsed="false">
      <c r="A387" s="652" t="n">
        <v>45573</v>
      </c>
      <c r="B387" s="124" t="s">
        <v>470</v>
      </c>
      <c r="C387" s="124" t="s">
        <v>393</v>
      </c>
      <c r="F387" s="653" t="n">
        <v>1264.5</v>
      </c>
      <c r="G387" s="653" t="n">
        <v>0.75</v>
      </c>
      <c r="H387" s="123" t="n">
        <v>0</v>
      </c>
    </row>
    <row r="388" customFormat="false" ht="15" hidden="false" customHeight="false" outlineLevel="0" collapsed="false">
      <c r="A388" s="652" t="n">
        <v>45574</v>
      </c>
      <c r="B388" s="123" t="n">
        <v>299</v>
      </c>
      <c r="C388" s="124" t="s">
        <v>95</v>
      </c>
      <c r="D388" s="124" t="s">
        <v>75</v>
      </c>
      <c r="E388" s="123" t="n">
        <v>3450</v>
      </c>
      <c r="G388" s="653" t="n">
        <v>3450.75</v>
      </c>
      <c r="K388" s="123" t="n">
        <v>10</v>
      </c>
    </row>
    <row r="389" customFormat="false" ht="15" hidden="false" customHeight="false" outlineLevel="0" collapsed="false">
      <c r="A389" s="652" t="n">
        <v>45574</v>
      </c>
      <c r="B389" s="123" t="n">
        <v>300</v>
      </c>
      <c r="C389" s="124" t="s">
        <v>101</v>
      </c>
      <c r="D389" s="124" t="s">
        <v>75</v>
      </c>
      <c r="E389" s="653" t="n">
        <v>327.75</v>
      </c>
      <c r="G389" s="653" t="n">
        <v>3778.5</v>
      </c>
      <c r="I389" s="123" t="n">
        <v>1</v>
      </c>
    </row>
    <row r="390" customFormat="false" ht="15" hidden="false" customHeight="false" outlineLevel="0" collapsed="false">
      <c r="A390" s="652" t="n">
        <v>45574</v>
      </c>
      <c r="B390" s="124" t="s">
        <v>470</v>
      </c>
      <c r="C390" s="124" t="s">
        <v>393</v>
      </c>
      <c r="F390" s="653" t="n">
        <v>3830.5</v>
      </c>
      <c r="G390" s="123" t="n">
        <v>-52</v>
      </c>
    </row>
    <row r="391" customFormat="false" ht="15" hidden="false" customHeight="false" outlineLevel="0" collapsed="false">
      <c r="A391" s="652" t="n">
        <v>45574</v>
      </c>
      <c r="B391" s="123" t="n">
        <v>301</v>
      </c>
      <c r="C391" s="124" t="s">
        <v>111</v>
      </c>
      <c r="D391" s="124" t="s">
        <v>105</v>
      </c>
      <c r="E391" s="653" t="n">
        <v>327.75</v>
      </c>
      <c r="G391" s="653" t="n">
        <v>275.75</v>
      </c>
      <c r="I391" s="123" t="n">
        <v>1</v>
      </c>
    </row>
    <row r="392" customFormat="false" ht="15" hidden="false" customHeight="false" outlineLevel="0" collapsed="false">
      <c r="A392" s="652" t="n">
        <v>45574</v>
      </c>
      <c r="B392" s="123" t="n">
        <v>305</v>
      </c>
      <c r="C392" s="124" t="s">
        <v>96</v>
      </c>
      <c r="D392" s="124" t="s">
        <v>75</v>
      </c>
      <c r="E392" s="123" t="n">
        <v>1495</v>
      </c>
      <c r="G392" s="653" t="n">
        <v>1770.75</v>
      </c>
      <c r="K392" s="123" t="n">
        <v>6</v>
      </c>
    </row>
    <row r="393" customFormat="false" ht="15" hidden="false" customHeight="false" outlineLevel="0" collapsed="false">
      <c r="A393" s="652" t="n">
        <v>45574</v>
      </c>
      <c r="B393" s="123" t="n">
        <v>304</v>
      </c>
      <c r="C393" s="124" t="s">
        <v>94</v>
      </c>
      <c r="D393" s="124" t="s">
        <v>75</v>
      </c>
      <c r="E393" s="653" t="n">
        <v>310.5</v>
      </c>
      <c r="G393" s="653" t="n">
        <v>2081.25</v>
      </c>
      <c r="P393" s="123" t="n">
        <v>2</v>
      </c>
    </row>
    <row r="394" customFormat="false" ht="15" hidden="false" customHeight="false" outlineLevel="0" collapsed="false">
      <c r="A394" s="652" t="n">
        <v>45574</v>
      </c>
      <c r="B394" s="123" t="n">
        <v>303</v>
      </c>
      <c r="C394" s="124" t="s">
        <v>90</v>
      </c>
      <c r="D394" s="124" t="s">
        <v>75</v>
      </c>
      <c r="E394" s="653" t="n">
        <v>517.5</v>
      </c>
      <c r="G394" s="653" t="n">
        <v>2598.75</v>
      </c>
      <c r="M394" s="123" t="n">
        <v>2</v>
      </c>
    </row>
    <row r="395" customFormat="false" ht="15" hidden="false" customHeight="false" outlineLevel="0" collapsed="false">
      <c r="A395" s="652" t="n">
        <v>45574</v>
      </c>
      <c r="B395" s="123" t="n">
        <v>302</v>
      </c>
      <c r="C395" s="124" t="s">
        <v>97</v>
      </c>
      <c r="D395" s="124" t="s">
        <v>75</v>
      </c>
      <c r="E395" s="653" t="n">
        <v>776.25</v>
      </c>
      <c r="G395" s="123" t="n">
        <v>3375</v>
      </c>
      <c r="M395" s="123" t="n">
        <v>3</v>
      </c>
    </row>
    <row r="396" customFormat="false" ht="15" hidden="false" customHeight="false" outlineLevel="0" collapsed="false">
      <c r="A396" s="652" t="n">
        <v>45575</v>
      </c>
      <c r="B396" s="124" t="s">
        <v>392</v>
      </c>
      <c r="C396" s="124" t="s">
        <v>393</v>
      </c>
      <c r="F396" s="123" t="n">
        <v>3375</v>
      </c>
      <c r="G396" s="123" t="n">
        <v>0</v>
      </c>
    </row>
    <row r="397" customFormat="false" ht="15" hidden="false" customHeight="false" outlineLevel="0" collapsed="false">
      <c r="A397" s="652" t="n">
        <v>45576</v>
      </c>
      <c r="B397" s="123" t="n">
        <v>306</v>
      </c>
      <c r="C397" s="124" t="s">
        <v>160</v>
      </c>
      <c r="D397" s="124" t="s">
        <v>127</v>
      </c>
      <c r="E397" s="123" t="n">
        <v>138</v>
      </c>
      <c r="G397" s="123" t="n">
        <v>138</v>
      </c>
      <c r="O397" s="123" t="n">
        <v>1</v>
      </c>
    </row>
    <row r="398" customFormat="false" ht="15" hidden="false" customHeight="false" outlineLevel="0" collapsed="false">
      <c r="A398" s="652" t="n">
        <v>45576</v>
      </c>
      <c r="B398" s="123" t="n">
        <v>307</v>
      </c>
      <c r="C398" s="124" t="s">
        <v>160</v>
      </c>
      <c r="D398" s="124" t="s">
        <v>127</v>
      </c>
      <c r="E398" s="653" t="n">
        <v>776.25</v>
      </c>
      <c r="G398" s="653" t="n">
        <v>914.25</v>
      </c>
      <c r="H398" s="653" t="n">
        <v>0.25</v>
      </c>
      <c r="M398" s="123" t="n">
        <v>3</v>
      </c>
    </row>
    <row r="399" customFormat="false" ht="15" hidden="false" customHeight="false" outlineLevel="0" collapsed="false">
      <c r="A399" s="652" t="n">
        <v>45576</v>
      </c>
      <c r="B399" s="123" t="n">
        <v>308</v>
      </c>
      <c r="C399" s="124" t="s">
        <v>254</v>
      </c>
      <c r="D399" s="124" t="s">
        <v>127</v>
      </c>
      <c r="E399" s="653" t="n">
        <v>718.75</v>
      </c>
      <c r="G399" s="123" t="n">
        <v>1633</v>
      </c>
      <c r="H399" s="653" t="n">
        <v>-0.25</v>
      </c>
      <c r="P399" s="123" t="n">
        <v>3</v>
      </c>
    </row>
    <row r="400" customFormat="false" ht="15" hidden="false" customHeight="false" outlineLevel="0" collapsed="false">
      <c r="A400" s="652" t="n">
        <v>45576</v>
      </c>
      <c r="B400" s="124" t="s">
        <v>470</v>
      </c>
      <c r="C400" s="124" t="s">
        <v>393</v>
      </c>
      <c r="F400" s="653" t="n">
        <v>1632.5</v>
      </c>
      <c r="G400" s="653" t="n">
        <v>0.5</v>
      </c>
    </row>
    <row r="401" customFormat="false" ht="15" hidden="false" customHeight="false" outlineLevel="0" collapsed="false">
      <c r="A401" s="652" t="n">
        <v>45578</v>
      </c>
      <c r="B401" s="123" t="n">
        <v>309</v>
      </c>
      <c r="C401" s="124" t="s">
        <v>234</v>
      </c>
      <c r="D401" s="124" t="s">
        <v>127</v>
      </c>
      <c r="E401" s="123" t="n">
        <v>1311</v>
      </c>
      <c r="G401" s="653" t="n">
        <v>1311.5</v>
      </c>
      <c r="H401" s="123" t="n">
        <v>0</v>
      </c>
      <c r="I401" s="123" t="n">
        <v>4</v>
      </c>
      <c r="J401" s="123" t="n">
        <v>1</v>
      </c>
    </row>
    <row r="402" customFormat="false" ht="15" hidden="false" customHeight="false" outlineLevel="0" collapsed="false">
      <c r="A402" s="652" t="n">
        <v>45578</v>
      </c>
      <c r="B402" s="123" t="n">
        <v>310</v>
      </c>
      <c r="C402" s="124" t="s">
        <v>262</v>
      </c>
      <c r="D402" s="124" t="s">
        <v>127</v>
      </c>
      <c r="E402" s="123" t="n">
        <v>1311</v>
      </c>
      <c r="G402" s="653" t="n">
        <v>2622.5</v>
      </c>
      <c r="H402" s="123" t="n">
        <v>1</v>
      </c>
      <c r="I402" s="123" t="n">
        <v>4</v>
      </c>
      <c r="J402" s="123" t="n">
        <v>1</v>
      </c>
    </row>
    <row r="403" customFormat="false" ht="15" hidden="false" customHeight="false" outlineLevel="0" collapsed="false">
      <c r="A403" s="652" t="n">
        <v>45578</v>
      </c>
      <c r="B403" s="123" t="n">
        <v>312</v>
      </c>
      <c r="C403" s="124" t="s">
        <v>233</v>
      </c>
      <c r="D403" s="124" t="s">
        <v>127</v>
      </c>
      <c r="E403" s="123" t="n">
        <v>1311</v>
      </c>
      <c r="G403" s="653" t="n">
        <v>3933.5</v>
      </c>
      <c r="H403" s="653" t="n">
        <v>0.5</v>
      </c>
      <c r="I403" s="123" t="n">
        <v>4</v>
      </c>
      <c r="J403" s="123" t="n">
        <v>1</v>
      </c>
    </row>
    <row r="404" customFormat="false" ht="15" hidden="false" customHeight="false" outlineLevel="0" collapsed="false">
      <c r="A404" s="652" t="n">
        <v>45578</v>
      </c>
      <c r="B404" s="123" t="n">
        <v>313</v>
      </c>
      <c r="C404" s="124" t="s">
        <v>167</v>
      </c>
      <c r="D404" s="124" t="s">
        <v>127</v>
      </c>
      <c r="E404" s="123" t="n">
        <v>1311</v>
      </c>
      <c r="G404" s="653" t="n">
        <v>5244.5</v>
      </c>
      <c r="H404" s="653" t="n">
        <v>0.25</v>
      </c>
      <c r="I404" s="123" t="n">
        <v>4</v>
      </c>
      <c r="J404" s="123" t="n">
        <v>1</v>
      </c>
    </row>
    <row r="405" customFormat="false" ht="15" hidden="false" customHeight="false" outlineLevel="0" collapsed="false">
      <c r="A405" s="652" t="n">
        <v>45578</v>
      </c>
      <c r="B405" s="123" t="n">
        <v>314</v>
      </c>
      <c r="C405" s="124" t="s">
        <v>133</v>
      </c>
      <c r="D405" s="124" t="s">
        <v>127</v>
      </c>
      <c r="E405" s="123" t="n">
        <v>1311</v>
      </c>
      <c r="G405" s="653" t="n">
        <v>6555.5</v>
      </c>
      <c r="H405" s="123" t="n">
        <v>0</v>
      </c>
      <c r="I405" s="123" t="n">
        <v>4</v>
      </c>
      <c r="J405" s="123" t="n">
        <v>1</v>
      </c>
    </row>
    <row r="406" customFormat="false" ht="15" hidden="false" customHeight="false" outlineLevel="0" collapsed="false">
      <c r="A406" s="652" t="n">
        <v>45578</v>
      </c>
      <c r="B406" s="123" t="n">
        <v>311</v>
      </c>
      <c r="C406" s="124" t="s">
        <v>236</v>
      </c>
      <c r="D406" s="124" t="s">
        <v>127</v>
      </c>
      <c r="E406" s="653" t="n">
        <v>155.25</v>
      </c>
      <c r="G406" s="653" t="n">
        <v>6710.75</v>
      </c>
      <c r="H406" s="653" t="n">
        <v>0.25</v>
      </c>
      <c r="P406" s="123" t="n">
        <v>1</v>
      </c>
    </row>
    <row r="407" customFormat="false" ht="15" hidden="false" customHeight="false" outlineLevel="0" collapsed="false">
      <c r="A407" s="652" t="n">
        <v>45578</v>
      </c>
      <c r="B407" s="124" t="s">
        <v>470</v>
      </c>
      <c r="C407" s="124" t="s">
        <v>393</v>
      </c>
      <c r="F407" s="653" t="n">
        <v>3105.5</v>
      </c>
      <c r="G407" s="653" t="n">
        <v>3605.25</v>
      </c>
    </row>
    <row r="408" customFormat="false" ht="15" hidden="false" customHeight="false" outlineLevel="0" collapsed="false">
      <c r="A408" s="652" t="n">
        <v>45579</v>
      </c>
      <c r="B408" s="124" t="s">
        <v>392</v>
      </c>
      <c r="C408" s="124" t="s">
        <v>393</v>
      </c>
      <c r="F408" s="123" t="n">
        <v>3605</v>
      </c>
      <c r="G408" s="653" t="n">
        <v>0.25</v>
      </c>
    </row>
    <row r="409" customFormat="false" ht="15" hidden="false" customHeight="false" outlineLevel="0" collapsed="false">
      <c r="A409" s="652" t="n">
        <v>45579</v>
      </c>
      <c r="B409" s="123" t="n">
        <v>315</v>
      </c>
      <c r="C409" s="124" t="s">
        <v>312</v>
      </c>
      <c r="D409" s="124" t="s">
        <v>301</v>
      </c>
      <c r="E409" s="123" t="n">
        <v>1311</v>
      </c>
      <c r="G409" s="653" t="n">
        <v>1311.25</v>
      </c>
      <c r="I409" s="123" t="n">
        <v>4</v>
      </c>
      <c r="J409" s="123" t="n">
        <v>1</v>
      </c>
    </row>
    <row r="410" customFormat="false" ht="15" hidden="false" customHeight="false" outlineLevel="0" collapsed="false">
      <c r="A410" s="652" t="n">
        <v>45579</v>
      </c>
      <c r="B410" s="123" t="n">
        <v>316</v>
      </c>
      <c r="C410" s="124" t="s">
        <v>310</v>
      </c>
      <c r="D410" s="124" t="s">
        <v>301</v>
      </c>
      <c r="E410" s="123" t="n">
        <v>3070</v>
      </c>
      <c r="G410" s="653" t="n">
        <v>4381.25</v>
      </c>
      <c r="I410" s="123" t="n">
        <v>4</v>
      </c>
      <c r="J410" s="123" t="n">
        <v>1</v>
      </c>
      <c r="L410" s="123" t="n">
        <v>3</v>
      </c>
      <c r="M410" s="123" t="n">
        <v>3</v>
      </c>
    </row>
    <row r="411" customFormat="false" ht="15" hidden="false" customHeight="false" outlineLevel="0" collapsed="false">
      <c r="A411" s="652" t="n">
        <v>45579</v>
      </c>
      <c r="B411" s="123" t="n">
        <v>317</v>
      </c>
      <c r="C411" s="124" t="s">
        <v>309</v>
      </c>
      <c r="D411" s="124" t="s">
        <v>301</v>
      </c>
      <c r="E411" s="123" t="n">
        <v>138</v>
      </c>
      <c r="G411" s="653" t="n">
        <v>4519.25</v>
      </c>
      <c r="O411" s="123" t="n">
        <v>1</v>
      </c>
    </row>
    <row r="412" customFormat="false" ht="15" hidden="false" customHeight="false" outlineLevel="0" collapsed="false">
      <c r="A412" s="652" t="n">
        <v>45579</v>
      </c>
      <c r="B412" s="123" t="n">
        <v>318</v>
      </c>
      <c r="C412" s="124" t="s">
        <v>317</v>
      </c>
      <c r="D412" s="124" t="s">
        <v>224</v>
      </c>
      <c r="E412" s="123" t="n">
        <v>1311</v>
      </c>
      <c r="G412" s="653" t="n">
        <v>5830.25</v>
      </c>
      <c r="H412" s="123" t="n">
        <v>1</v>
      </c>
      <c r="I412" s="123" t="n">
        <v>4</v>
      </c>
      <c r="J412" s="123" t="n">
        <v>1</v>
      </c>
    </row>
    <row r="413" customFormat="false" ht="15" hidden="false" customHeight="false" outlineLevel="0" collapsed="false">
      <c r="A413" s="652" t="n">
        <v>45579</v>
      </c>
      <c r="B413" s="123" t="n">
        <v>319</v>
      </c>
      <c r="C413" s="124" t="s">
        <v>320</v>
      </c>
      <c r="D413" s="124" t="s">
        <v>224</v>
      </c>
      <c r="E413" s="123" t="n">
        <v>1311</v>
      </c>
      <c r="G413" s="653" t="n">
        <v>7141.25</v>
      </c>
      <c r="I413" s="123" t="n">
        <v>4</v>
      </c>
      <c r="J413" s="123" t="n">
        <v>1</v>
      </c>
    </row>
    <row r="414" customFormat="false" ht="15" hidden="false" customHeight="false" outlineLevel="0" collapsed="false">
      <c r="A414" s="652" t="n">
        <v>45579</v>
      </c>
      <c r="B414" s="123" t="n">
        <v>320</v>
      </c>
      <c r="C414" s="124" t="s">
        <v>329</v>
      </c>
      <c r="D414" s="124" t="s">
        <v>224</v>
      </c>
      <c r="E414" s="653" t="n">
        <v>1224.75</v>
      </c>
      <c r="G414" s="123" t="n">
        <v>8366</v>
      </c>
      <c r="H414" s="653" t="n">
        <v>-0.25</v>
      </c>
      <c r="L414" s="123" t="n">
        <v>3</v>
      </c>
      <c r="O414" s="123" t="n">
        <v>2</v>
      </c>
    </row>
    <row r="415" customFormat="false" ht="15" hidden="false" customHeight="false" outlineLevel="0" collapsed="false">
      <c r="A415" s="652" t="n">
        <v>45579</v>
      </c>
      <c r="B415" s="123" t="n">
        <v>321</v>
      </c>
      <c r="C415" s="124" t="s">
        <v>293</v>
      </c>
      <c r="D415" s="124" t="s">
        <v>286</v>
      </c>
      <c r="E415" s="123" t="n">
        <v>1311</v>
      </c>
      <c r="G415" s="123" t="n">
        <v>9677</v>
      </c>
      <c r="I415" s="123" t="n">
        <v>4</v>
      </c>
      <c r="J415" s="123" t="n">
        <v>1</v>
      </c>
    </row>
    <row r="416" customFormat="false" ht="15" hidden="false" customHeight="false" outlineLevel="0" collapsed="false">
      <c r="A416" s="652" t="n">
        <v>45579</v>
      </c>
      <c r="B416" s="123" t="n">
        <v>322</v>
      </c>
      <c r="C416" s="124" t="s">
        <v>295</v>
      </c>
      <c r="D416" s="124" t="s">
        <v>286</v>
      </c>
      <c r="E416" s="653" t="n">
        <v>833.75</v>
      </c>
      <c r="G416" s="653" t="n">
        <v>10510.75</v>
      </c>
      <c r="L416" s="123" t="n">
        <v>1</v>
      </c>
      <c r="M416" s="123" t="n">
        <v>2</v>
      </c>
    </row>
    <row r="417" customFormat="false" ht="15" hidden="false" customHeight="false" outlineLevel="0" collapsed="false">
      <c r="A417" s="652" t="n">
        <v>45579</v>
      </c>
      <c r="B417" s="123" t="n">
        <v>323</v>
      </c>
      <c r="C417" s="124" t="s">
        <v>298</v>
      </c>
      <c r="D417" s="124" t="s">
        <v>286</v>
      </c>
      <c r="E417" s="653" t="n">
        <v>264.5</v>
      </c>
      <c r="G417" s="653" t="n">
        <v>10775.25</v>
      </c>
      <c r="K417" s="123" t="n">
        <v>1</v>
      </c>
    </row>
    <row r="418" customFormat="false" ht="15" hidden="false" customHeight="false" outlineLevel="0" collapsed="false">
      <c r="A418" s="652" t="n">
        <v>45579</v>
      </c>
      <c r="B418" s="124" t="s">
        <v>470</v>
      </c>
      <c r="C418" s="124" t="s">
        <v>393</v>
      </c>
      <c r="F418" s="653" t="n">
        <v>4541.25</v>
      </c>
      <c r="G418" s="123" t="n">
        <v>6234</v>
      </c>
    </row>
    <row r="419" customFormat="false" ht="15" hidden="false" customHeight="false" outlineLevel="0" collapsed="false">
      <c r="A419" s="652" t="n">
        <v>45580</v>
      </c>
      <c r="B419" s="124" t="s">
        <v>392</v>
      </c>
      <c r="C419" s="124" t="s">
        <v>393</v>
      </c>
      <c r="F419" s="123" t="n">
        <v>6234</v>
      </c>
      <c r="G419" s="123" t="n">
        <v>0</v>
      </c>
    </row>
    <row r="420" customFormat="false" ht="15" hidden="false" customHeight="false" outlineLevel="0" collapsed="false">
      <c r="A420" s="652" t="n">
        <v>45578</v>
      </c>
      <c r="B420" s="123" t="n">
        <v>325</v>
      </c>
      <c r="C420" s="124" t="s">
        <v>168</v>
      </c>
      <c r="D420" s="124" t="s">
        <v>127</v>
      </c>
      <c r="E420" s="123" t="n">
        <v>1311</v>
      </c>
      <c r="G420" s="123" t="n">
        <v>1311</v>
      </c>
      <c r="I420" s="123" t="n">
        <v>4</v>
      </c>
      <c r="J420" s="123" t="n">
        <v>1</v>
      </c>
    </row>
    <row r="421" customFormat="false" ht="15" hidden="false" customHeight="false" outlineLevel="0" collapsed="false">
      <c r="A421" s="652" t="n">
        <v>45580</v>
      </c>
      <c r="B421" s="123" t="n">
        <v>324</v>
      </c>
      <c r="C421" s="124" t="s">
        <v>167</v>
      </c>
      <c r="D421" s="124" t="s">
        <v>127</v>
      </c>
      <c r="E421" s="653" t="n">
        <v>155.25</v>
      </c>
      <c r="G421" s="653" t="n">
        <v>1466.25</v>
      </c>
      <c r="P421" s="123" t="n">
        <v>1</v>
      </c>
    </row>
    <row r="422" customFormat="false" ht="15" hidden="false" customHeight="false" outlineLevel="0" collapsed="false">
      <c r="A422" s="652" t="n">
        <v>45580</v>
      </c>
      <c r="B422" s="124" t="s">
        <v>470</v>
      </c>
      <c r="C422" s="124" t="s">
        <v>393</v>
      </c>
      <c r="E422" s="653" t="n">
        <v>-0.25</v>
      </c>
      <c r="F422" s="123" t="n">
        <v>1466</v>
      </c>
      <c r="G422" s="123" t="n">
        <v>0</v>
      </c>
    </row>
    <row r="423" customFormat="false" ht="15" hidden="false" customHeight="false" outlineLevel="0" collapsed="false">
      <c r="A423" s="652" t="n">
        <v>45581</v>
      </c>
      <c r="B423" s="123" t="n">
        <v>326</v>
      </c>
      <c r="C423" s="124" t="s">
        <v>96</v>
      </c>
      <c r="D423" s="124" t="s">
        <v>75</v>
      </c>
      <c r="E423" s="653" t="n">
        <v>2144.75</v>
      </c>
      <c r="G423" s="653" t="n">
        <v>2144.75</v>
      </c>
      <c r="I423" s="123" t="n">
        <v>4</v>
      </c>
      <c r="J423" s="123" t="n">
        <v>1</v>
      </c>
      <c r="L423" s="123" t="n">
        <v>1</v>
      </c>
      <c r="M423" s="123" t="n">
        <v>2</v>
      </c>
    </row>
    <row r="424" customFormat="false" ht="15" hidden="false" customHeight="false" outlineLevel="0" collapsed="false">
      <c r="A424" s="652" t="n">
        <v>45581</v>
      </c>
      <c r="B424" s="123" t="n">
        <v>328</v>
      </c>
      <c r="C424" s="124" t="s">
        <v>112</v>
      </c>
      <c r="D424" s="124" t="s">
        <v>105</v>
      </c>
      <c r="E424" s="653" t="n">
        <v>224.25</v>
      </c>
      <c r="G424" s="123" t="n">
        <v>2369</v>
      </c>
      <c r="K424" s="123" t="n">
        <v>1</v>
      </c>
    </row>
    <row r="425" customFormat="false" ht="15" hidden="false" customHeight="false" outlineLevel="0" collapsed="false">
      <c r="A425" s="652" t="n">
        <v>45581</v>
      </c>
      <c r="B425" s="123" t="n">
        <v>332</v>
      </c>
      <c r="C425" s="124" t="s">
        <v>110</v>
      </c>
      <c r="D425" s="124" t="s">
        <v>105</v>
      </c>
      <c r="E425" s="123" t="n">
        <v>6555</v>
      </c>
      <c r="G425" s="123" t="n">
        <v>8924</v>
      </c>
      <c r="I425" s="123" t="n">
        <v>20</v>
      </c>
      <c r="J425" s="123" t="n">
        <v>5</v>
      </c>
    </row>
    <row r="426" customFormat="false" ht="15" hidden="false" customHeight="false" outlineLevel="0" collapsed="false">
      <c r="A426" s="652" t="n">
        <v>45581</v>
      </c>
      <c r="B426" s="124" t="s">
        <v>470</v>
      </c>
      <c r="C426" s="124" t="s">
        <v>393</v>
      </c>
      <c r="F426" s="653" t="n">
        <v>5465.75</v>
      </c>
      <c r="G426" s="653" t="n">
        <v>3458.25</v>
      </c>
    </row>
    <row r="427" customFormat="false" ht="15" hidden="false" customHeight="false" outlineLevel="0" collapsed="false">
      <c r="A427" s="652" t="n">
        <v>45581</v>
      </c>
      <c r="B427" s="123" t="n">
        <v>329</v>
      </c>
      <c r="C427" s="124" t="s">
        <v>107</v>
      </c>
      <c r="D427" s="124" t="s">
        <v>105</v>
      </c>
      <c r="E427" s="123" t="n">
        <v>2622</v>
      </c>
      <c r="G427" s="653" t="n">
        <v>6080.25</v>
      </c>
      <c r="I427" s="123" t="n">
        <v>8</v>
      </c>
      <c r="J427" s="123" t="n">
        <v>2</v>
      </c>
    </row>
    <row r="428" customFormat="false" ht="15" hidden="false" customHeight="false" outlineLevel="0" collapsed="false">
      <c r="A428" s="652" t="n">
        <v>45581</v>
      </c>
      <c r="B428" s="123" t="n">
        <v>331</v>
      </c>
      <c r="C428" s="124" t="s">
        <v>109</v>
      </c>
      <c r="D428" s="124" t="s">
        <v>105</v>
      </c>
      <c r="E428" s="123" t="n">
        <v>3933</v>
      </c>
      <c r="G428" s="653" t="n">
        <v>10013.25</v>
      </c>
      <c r="I428" s="123" t="n">
        <v>12</v>
      </c>
      <c r="J428" s="123" t="n">
        <v>3</v>
      </c>
    </row>
    <row r="429" customFormat="false" ht="15" hidden="false" customHeight="false" outlineLevel="0" collapsed="false">
      <c r="A429" s="652" t="n">
        <v>45581</v>
      </c>
      <c r="B429" s="123" t="n">
        <v>330</v>
      </c>
      <c r="C429" s="124" t="s">
        <v>108</v>
      </c>
      <c r="D429" s="124" t="s">
        <v>105</v>
      </c>
      <c r="E429" s="123" t="n">
        <v>1311</v>
      </c>
      <c r="G429" s="653" t="n">
        <v>11324.25</v>
      </c>
      <c r="I429" s="123" t="n">
        <v>4</v>
      </c>
      <c r="J429" s="123" t="n">
        <v>1</v>
      </c>
    </row>
    <row r="430" customFormat="false" ht="15" hidden="false" customHeight="false" outlineLevel="0" collapsed="false">
      <c r="A430" s="652" t="n">
        <v>45581</v>
      </c>
      <c r="B430" s="123" t="n">
        <v>327</v>
      </c>
      <c r="C430" s="124" t="s">
        <v>106</v>
      </c>
      <c r="D430" s="124" t="s">
        <v>105</v>
      </c>
      <c r="E430" s="123" t="n">
        <v>1311</v>
      </c>
      <c r="G430" s="653" t="n">
        <v>12635.25</v>
      </c>
      <c r="I430" s="123" t="n">
        <v>4</v>
      </c>
      <c r="J430" s="123" t="n">
        <v>1</v>
      </c>
    </row>
    <row r="431" customFormat="false" ht="15" hidden="false" customHeight="false" outlineLevel="0" collapsed="false">
      <c r="A431" s="652" t="n">
        <v>45581</v>
      </c>
      <c r="B431" s="123" t="n">
        <v>333</v>
      </c>
      <c r="C431" s="124" t="s">
        <v>96</v>
      </c>
      <c r="D431" s="124" t="s">
        <v>75</v>
      </c>
      <c r="E431" s="653" t="n">
        <v>310.5</v>
      </c>
      <c r="G431" s="653" t="n">
        <v>12945.75</v>
      </c>
      <c r="P431" s="123" t="n">
        <v>2</v>
      </c>
    </row>
    <row r="432" customFormat="false" ht="15" hidden="false" customHeight="false" outlineLevel="0" collapsed="false">
      <c r="A432" s="652" t="n">
        <v>45581</v>
      </c>
      <c r="B432" s="123" t="n">
        <v>334</v>
      </c>
      <c r="C432" s="124" t="s">
        <v>81</v>
      </c>
      <c r="D432" s="124" t="s">
        <v>75</v>
      </c>
      <c r="E432" s="653" t="n">
        <v>258.75</v>
      </c>
      <c r="G432" s="653" t="n">
        <v>13204.5</v>
      </c>
      <c r="O432" s="123" t="n">
        <v>1</v>
      </c>
    </row>
    <row r="433" customFormat="false" ht="15" hidden="false" customHeight="false" outlineLevel="0" collapsed="false">
      <c r="A433" s="652" t="n">
        <v>45582</v>
      </c>
      <c r="B433" s="124" t="s">
        <v>392</v>
      </c>
      <c r="C433" s="124" t="s">
        <v>393</v>
      </c>
      <c r="F433" s="123" t="n">
        <v>13244</v>
      </c>
      <c r="G433" s="653" t="n">
        <v>-39.5</v>
      </c>
    </row>
    <row r="434" customFormat="false" ht="15" hidden="false" customHeight="false" outlineLevel="0" collapsed="false">
      <c r="A434" s="652" t="n">
        <v>45582</v>
      </c>
      <c r="B434" s="123" t="n">
        <v>336</v>
      </c>
      <c r="C434" s="124" t="s">
        <v>130</v>
      </c>
      <c r="D434" s="124" t="s">
        <v>127</v>
      </c>
      <c r="E434" s="653" t="n">
        <v>563.5</v>
      </c>
      <c r="G434" s="123" t="n">
        <v>524</v>
      </c>
      <c r="P434" s="123" t="n">
        <v>2</v>
      </c>
    </row>
    <row r="435" customFormat="false" ht="15" hidden="false" customHeight="false" outlineLevel="0" collapsed="false">
      <c r="A435" s="652" t="n">
        <v>45582</v>
      </c>
      <c r="B435" s="123" t="n">
        <v>335</v>
      </c>
      <c r="C435" s="124" t="s">
        <v>132</v>
      </c>
      <c r="D435" s="124" t="s">
        <v>127</v>
      </c>
      <c r="E435" s="123" t="n">
        <v>1311</v>
      </c>
      <c r="G435" s="123" t="n">
        <v>1835</v>
      </c>
      <c r="H435" s="123" t="n">
        <v>1</v>
      </c>
      <c r="I435" s="123" t="n">
        <v>4</v>
      </c>
      <c r="J435" s="123" t="n">
        <v>1</v>
      </c>
    </row>
    <row r="436" customFormat="false" ht="15" hidden="false" customHeight="false" outlineLevel="0" collapsed="false">
      <c r="A436" s="652" t="n">
        <v>45585</v>
      </c>
      <c r="B436" s="124" t="s">
        <v>470</v>
      </c>
      <c r="C436" s="124" t="s">
        <v>393</v>
      </c>
      <c r="F436" s="123" t="n">
        <v>735</v>
      </c>
      <c r="G436" s="123" t="n">
        <v>1100</v>
      </c>
    </row>
    <row r="437" customFormat="false" ht="15" hidden="false" customHeight="false" outlineLevel="0" collapsed="false">
      <c r="A437" s="652" t="n">
        <v>45585</v>
      </c>
      <c r="B437" s="124" t="s">
        <v>392</v>
      </c>
      <c r="C437" s="124" t="s">
        <v>393</v>
      </c>
      <c r="F437" s="123" t="n">
        <v>1100</v>
      </c>
      <c r="G437" s="123" t="n">
        <v>0</v>
      </c>
    </row>
    <row r="438" customFormat="false" ht="15" hidden="false" customHeight="false" outlineLevel="0" collapsed="false">
      <c r="A438" s="652" t="n">
        <v>45585</v>
      </c>
      <c r="B438" s="123" t="n">
        <v>338</v>
      </c>
      <c r="C438" s="124" t="s">
        <v>179</v>
      </c>
      <c r="D438" s="124" t="s">
        <v>127</v>
      </c>
      <c r="E438" s="653" t="n">
        <v>442.75</v>
      </c>
      <c r="G438" s="653" t="n">
        <v>442.75</v>
      </c>
      <c r="J438" s="123" t="n">
        <v>1</v>
      </c>
      <c r="K438" s="123" t="n">
        <v>1</v>
      </c>
    </row>
    <row r="439" customFormat="false" ht="15" hidden="false" customHeight="false" outlineLevel="0" collapsed="false">
      <c r="A439" s="652" t="n">
        <v>45585</v>
      </c>
      <c r="B439" s="123" t="n">
        <v>337</v>
      </c>
      <c r="C439" s="124" t="s">
        <v>179</v>
      </c>
      <c r="D439" s="124" t="s">
        <v>127</v>
      </c>
      <c r="E439" s="653" t="n">
        <v>356.5</v>
      </c>
      <c r="G439" s="653" t="n">
        <v>799.25</v>
      </c>
      <c r="J439" s="123" t="n">
        <v>2</v>
      </c>
    </row>
    <row r="440" customFormat="false" ht="15" hidden="false" customHeight="false" outlineLevel="0" collapsed="false">
      <c r="A440" s="652" t="n">
        <v>45585</v>
      </c>
      <c r="B440" s="124" t="s">
        <v>638</v>
      </c>
      <c r="C440" s="124" t="s">
        <v>393</v>
      </c>
      <c r="F440" s="653" t="n">
        <v>799.25</v>
      </c>
      <c r="G440" s="123" t="n">
        <v>0</v>
      </c>
    </row>
    <row r="441" customFormat="false" ht="15" hidden="false" customHeight="false" outlineLevel="0" collapsed="false">
      <c r="A441" s="652" t="n">
        <v>45586</v>
      </c>
      <c r="B441" s="123" t="n">
        <v>339</v>
      </c>
      <c r="C441" s="124" t="s">
        <v>316</v>
      </c>
      <c r="D441" s="124" t="s">
        <v>301</v>
      </c>
      <c r="E441" s="123" t="n">
        <v>276</v>
      </c>
      <c r="G441" s="123" t="n">
        <v>276</v>
      </c>
      <c r="O441" s="123" t="n">
        <v>2</v>
      </c>
    </row>
    <row r="442" customFormat="false" ht="15" hidden="false" customHeight="false" outlineLevel="0" collapsed="false">
      <c r="A442" s="652" t="n">
        <v>45586</v>
      </c>
      <c r="B442" s="123" t="n">
        <v>340</v>
      </c>
      <c r="C442" s="124" t="s">
        <v>310</v>
      </c>
      <c r="D442" s="124" t="s">
        <v>301</v>
      </c>
      <c r="E442" s="653" t="n">
        <v>224.25</v>
      </c>
      <c r="G442" s="653" t="n">
        <v>500.25</v>
      </c>
      <c r="K442" s="123" t="n">
        <v>1</v>
      </c>
    </row>
    <row r="443" customFormat="false" ht="15" hidden="false" customHeight="false" outlineLevel="0" collapsed="false">
      <c r="A443" s="652" t="n">
        <v>45586</v>
      </c>
      <c r="B443" s="123" t="n">
        <v>341</v>
      </c>
      <c r="C443" s="124" t="s">
        <v>255</v>
      </c>
      <c r="D443" s="124" t="s">
        <v>127</v>
      </c>
      <c r="E443" s="653" t="n">
        <v>155.25</v>
      </c>
      <c r="G443" s="653" t="n">
        <v>655.5</v>
      </c>
      <c r="P443" s="123" t="n">
        <v>1</v>
      </c>
    </row>
    <row r="444" customFormat="false" ht="15" hidden="false" customHeight="false" outlineLevel="0" collapsed="false">
      <c r="A444" s="652" t="n">
        <v>45586</v>
      </c>
      <c r="B444" s="124" t="s">
        <v>470</v>
      </c>
      <c r="C444" s="124" t="s">
        <v>393</v>
      </c>
      <c r="F444" s="653" t="n">
        <v>655.25</v>
      </c>
      <c r="G444" s="653" t="n">
        <v>0.25</v>
      </c>
    </row>
    <row r="445" customFormat="false" ht="15" hidden="false" customHeight="false" outlineLevel="0" collapsed="false">
      <c r="A445" s="652" t="n">
        <v>45585</v>
      </c>
      <c r="B445" s="123" t="n">
        <v>342</v>
      </c>
      <c r="C445" s="124" t="s">
        <v>256</v>
      </c>
      <c r="D445" s="124" t="s">
        <v>127</v>
      </c>
      <c r="E445" s="123" t="n">
        <v>276</v>
      </c>
      <c r="G445" s="653" t="n">
        <v>276.25</v>
      </c>
      <c r="H445" s="123" t="n">
        <v>0</v>
      </c>
      <c r="O445" s="123" t="n">
        <v>2</v>
      </c>
    </row>
    <row r="446" customFormat="false" ht="15" hidden="false" customHeight="false" outlineLevel="0" collapsed="false">
      <c r="A446" s="652" t="n">
        <v>45586</v>
      </c>
      <c r="B446" s="124" t="s">
        <v>470</v>
      </c>
      <c r="C446" s="124" t="s">
        <v>393</v>
      </c>
      <c r="E446" s="653" t="n">
        <v>-0.25</v>
      </c>
      <c r="F446" s="123" t="n">
        <v>276</v>
      </c>
      <c r="G446" s="123" t="n">
        <v>0</v>
      </c>
    </row>
    <row r="447" customFormat="false" ht="15" hidden="false" customHeight="false" outlineLevel="0" collapsed="false">
      <c r="A447" s="652" t="n">
        <v>45588</v>
      </c>
      <c r="B447" s="123" t="n">
        <v>343</v>
      </c>
      <c r="C447" s="124" t="s">
        <v>96</v>
      </c>
      <c r="D447" s="124" t="s">
        <v>75</v>
      </c>
      <c r="E447" s="653" t="n">
        <v>833.75</v>
      </c>
      <c r="G447" s="653" t="n">
        <v>833.75</v>
      </c>
      <c r="L447" s="123" t="n">
        <v>1</v>
      </c>
      <c r="M447" s="123" t="n">
        <v>2</v>
      </c>
    </row>
    <row r="448" customFormat="false" ht="15" hidden="false" customHeight="false" outlineLevel="0" collapsed="false">
      <c r="A448" s="652" t="n">
        <v>45588</v>
      </c>
      <c r="B448" s="123" t="n">
        <v>347</v>
      </c>
      <c r="C448" s="124" t="s">
        <v>95</v>
      </c>
      <c r="D448" s="124" t="s">
        <v>75</v>
      </c>
      <c r="E448" s="123" t="n">
        <v>1311</v>
      </c>
      <c r="G448" s="653" t="n">
        <v>2144.75</v>
      </c>
      <c r="I448" s="123" t="n">
        <v>4</v>
      </c>
      <c r="J448" s="123" t="n">
        <v>1</v>
      </c>
    </row>
    <row r="449" customFormat="false" ht="15" hidden="false" customHeight="false" outlineLevel="0" collapsed="false">
      <c r="A449" s="652" t="n">
        <v>45588</v>
      </c>
      <c r="B449" s="123" t="n">
        <v>346</v>
      </c>
      <c r="C449" s="124" t="s">
        <v>95</v>
      </c>
      <c r="D449" s="124" t="s">
        <v>75</v>
      </c>
      <c r="E449" s="123" t="n">
        <v>276</v>
      </c>
      <c r="G449" s="653" t="n">
        <v>2420.75</v>
      </c>
      <c r="M449" s="123" t="n">
        <v>2</v>
      </c>
    </row>
    <row r="450" customFormat="false" ht="15" hidden="false" customHeight="false" outlineLevel="0" collapsed="false">
      <c r="A450" s="652" t="n">
        <v>45588</v>
      </c>
      <c r="B450" s="123" t="n">
        <v>345</v>
      </c>
      <c r="C450" s="124" t="s">
        <v>89</v>
      </c>
      <c r="D450" s="124" t="s">
        <v>75</v>
      </c>
      <c r="E450" s="653" t="n">
        <v>1017.75</v>
      </c>
      <c r="G450" s="653" t="n">
        <v>3438.5</v>
      </c>
      <c r="K450" s="123" t="n">
        <v>1</v>
      </c>
      <c r="M450" s="123" t="n">
        <v>3</v>
      </c>
    </row>
    <row r="451" customFormat="false" ht="15" hidden="false" customHeight="false" outlineLevel="0" collapsed="false">
      <c r="A451" s="652" t="n">
        <v>45588</v>
      </c>
      <c r="B451" s="123" t="n">
        <v>344</v>
      </c>
      <c r="C451" s="124" t="s">
        <v>97</v>
      </c>
      <c r="D451" s="124" t="s">
        <v>75</v>
      </c>
      <c r="E451" s="123" t="n">
        <v>1311</v>
      </c>
      <c r="G451" s="653" t="n">
        <v>4749.5</v>
      </c>
      <c r="I451" s="123" t="n">
        <v>4</v>
      </c>
      <c r="J451" s="123" t="n">
        <v>1</v>
      </c>
    </row>
    <row r="452" customFormat="false" ht="15" hidden="false" customHeight="false" outlineLevel="0" collapsed="false">
      <c r="A452" s="652" t="n">
        <v>45588</v>
      </c>
      <c r="B452" s="124" t="s">
        <v>470</v>
      </c>
      <c r="C452" s="124" t="s">
        <v>393</v>
      </c>
      <c r="F452" s="123" t="n">
        <v>2219</v>
      </c>
      <c r="G452" s="653" t="n">
        <v>2530.5</v>
      </c>
    </row>
    <row r="453" customFormat="false" ht="15" hidden="false" customHeight="false" outlineLevel="0" collapsed="false">
      <c r="A453" s="652" t="n">
        <v>45588</v>
      </c>
      <c r="B453" s="124" t="s">
        <v>392</v>
      </c>
      <c r="C453" s="124" t="s">
        <v>393</v>
      </c>
      <c r="E453" s="653" t="n">
        <v>-0.5</v>
      </c>
      <c r="F453" s="123" t="n">
        <v>2530</v>
      </c>
      <c r="G453" s="123" t="n">
        <v>0</v>
      </c>
    </row>
    <row r="454" customFormat="false" ht="15" hidden="false" customHeight="false" outlineLevel="0" collapsed="false">
      <c r="A454" s="652" t="n">
        <v>45588</v>
      </c>
      <c r="B454" s="123" t="n">
        <v>349</v>
      </c>
      <c r="C454" s="124" t="s">
        <v>222</v>
      </c>
      <c r="D454" s="124" t="s">
        <v>127</v>
      </c>
      <c r="E454" s="123" t="n">
        <v>1311</v>
      </c>
      <c r="G454" s="123" t="n">
        <v>1311</v>
      </c>
      <c r="I454" s="123" t="n">
        <v>4</v>
      </c>
      <c r="J454" s="123" t="n">
        <v>1</v>
      </c>
    </row>
    <row r="455" customFormat="false" ht="15" hidden="false" customHeight="false" outlineLevel="0" collapsed="false">
      <c r="A455" s="652" t="n">
        <v>45588</v>
      </c>
      <c r="B455" s="123" t="n">
        <v>348</v>
      </c>
      <c r="C455" s="124" t="s">
        <v>130</v>
      </c>
      <c r="D455" s="124" t="s">
        <v>127</v>
      </c>
      <c r="E455" s="123" t="n">
        <v>138</v>
      </c>
      <c r="G455" s="123" t="n">
        <v>1449</v>
      </c>
      <c r="O455" s="123" t="n">
        <v>1</v>
      </c>
    </row>
    <row r="456" customFormat="false" ht="15" hidden="false" customHeight="false" outlineLevel="0" collapsed="false">
      <c r="A456" s="652" t="n">
        <v>45588</v>
      </c>
      <c r="B456" s="124" t="s">
        <v>470</v>
      </c>
      <c r="C456" s="124" t="s">
        <v>393</v>
      </c>
      <c r="F456" s="123" t="n">
        <v>749</v>
      </c>
      <c r="G456" s="123" t="n">
        <v>700</v>
      </c>
    </row>
    <row r="457" customFormat="false" ht="15" hidden="false" customHeight="false" outlineLevel="0" collapsed="false">
      <c r="A457" s="652" t="n">
        <v>45588</v>
      </c>
      <c r="B457" s="124" t="s">
        <v>392</v>
      </c>
      <c r="C457" s="124" t="s">
        <v>393</v>
      </c>
      <c r="F457" s="123" t="n">
        <v>700</v>
      </c>
      <c r="G457" s="123" t="n">
        <v>0</v>
      </c>
    </row>
    <row r="458" customFormat="false" ht="15" hidden="false" customHeight="false" outlineLevel="0" collapsed="false">
      <c r="A458" s="652" t="n">
        <v>45592</v>
      </c>
      <c r="B458" s="123" t="n">
        <v>350</v>
      </c>
      <c r="C458" s="124" t="s">
        <v>226</v>
      </c>
      <c r="D458" s="124" t="s">
        <v>127</v>
      </c>
      <c r="E458" s="653" t="n">
        <v>948.75</v>
      </c>
      <c r="G458" s="653" t="n">
        <v>948.75</v>
      </c>
      <c r="L458" s="123" t="n">
        <v>3</v>
      </c>
    </row>
    <row r="459" customFormat="false" ht="15" hidden="false" customHeight="false" outlineLevel="0" collapsed="false">
      <c r="A459" s="652" t="n">
        <v>45585</v>
      </c>
      <c r="B459" s="124" t="s">
        <v>392</v>
      </c>
      <c r="C459" s="124" t="s">
        <v>393</v>
      </c>
      <c r="F459" s="123" t="n">
        <v>948</v>
      </c>
      <c r="G459" s="653" t="n">
        <v>0.75</v>
      </c>
    </row>
    <row r="460" customFormat="false" ht="15" hidden="false" customHeight="false" outlineLevel="0" collapsed="false">
      <c r="A460" s="652" t="n">
        <v>45586</v>
      </c>
      <c r="B460" s="123" t="n">
        <v>352</v>
      </c>
      <c r="C460" s="124" t="s">
        <v>298</v>
      </c>
      <c r="D460" s="124" t="s">
        <v>286</v>
      </c>
      <c r="E460" s="653" t="n">
        <v>983.25</v>
      </c>
      <c r="G460" s="123" t="n">
        <v>984</v>
      </c>
      <c r="L460" s="123" t="n">
        <v>3</v>
      </c>
    </row>
    <row r="461" customFormat="false" ht="15" hidden="false" customHeight="false" outlineLevel="0" collapsed="false">
      <c r="A461" s="652" t="n">
        <v>45593</v>
      </c>
      <c r="B461" s="123" t="n">
        <v>351</v>
      </c>
      <c r="C461" s="124" t="s">
        <v>295</v>
      </c>
      <c r="D461" s="124" t="s">
        <v>286</v>
      </c>
      <c r="E461" s="653" t="n">
        <v>948.75</v>
      </c>
      <c r="G461" s="653" t="n">
        <v>1932.75</v>
      </c>
      <c r="L461" s="123" t="n">
        <v>3</v>
      </c>
    </row>
    <row r="462" customFormat="false" ht="15" hidden="false" customHeight="false" outlineLevel="0" collapsed="false">
      <c r="A462" s="652" t="n">
        <v>45593</v>
      </c>
      <c r="B462" s="123" t="n">
        <v>355</v>
      </c>
      <c r="C462" s="124" t="s">
        <v>316</v>
      </c>
      <c r="D462" s="124" t="s">
        <v>301</v>
      </c>
      <c r="E462" s="123" t="n">
        <v>1311</v>
      </c>
      <c r="G462" s="653" t="n">
        <v>3243.75</v>
      </c>
      <c r="I462" s="123" t="n">
        <v>4</v>
      </c>
      <c r="J462" s="123" t="n">
        <v>1</v>
      </c>
    </row>
    <row r="463" customFormat="false" ht="15" hidden="false" customHeight="false" outlineLevel="0" collapsed="false">
      <c r="A463" s="652" t="n">
        <v>45593</v>
      </c>
      <c r="B463" s="123" t="n">
        <v>353</v>
      </c>
      <c r="C463" s="124" t="s">
        <v>302</v>
      </c>
      <c r="D463" s="124" t="s">
        <v>301</v>
      </c>
      <c r="E463" s="123" t="n">
        <v>138</v>
      </c>
      <c r="G463" s="653" t="n">
        <v>3381.75</v>
      </c>
      <c r="O463" s="123" t="n">
        <v>1</v>
      </c>
    </row>
    <row r="464" customFormat="false" ht="15" hidden="false" customHeight="false" outlineLevel="0" collapsed="false">
      <c r="A464" s="652" t="n">
        <v>45593</v>
      </c>
      <c r="B464" s="123" t="n">
        <v>354</v>
      </c>
      <c r="C464" s="124" t="s">
        <v>310</v>
      </c>
      <c r="D464" s="124" t="s">
        <v>301</v>
      </c>
      <c r="E464" s="653" t="n">
        <v>224.25</v>
      </c>
      <c r="G464" s="123" t="n">
        <v>3606</v>
      </c>
      <c r="K464" s="123" t="n">
        <v>1</v>
      </c>
    </row>
    <row r="465" customFormat="false" ht="15" hidden="false" customHeight="false" outlineLevel="0" collapsed="false">
      <c r="A465" s="652" t="n">
        <v>45593</v>
      </c>
      <c r="B465" s="123" t="n">
        <v>356</v>
      </c>
      <c r="C465" s="124" t="s">
        <v>322</v>
      </c>
      <c r="D465" s="124" t="s">
        <v>224</v>
      </c>
      <c r="E465" s="123" t="n">
        <v>1311</v>
      </c>
      <c r="G465" s="123" t="n">
        <v>4917</v>
      </c>
      <c r="I465" s="123" t="n">
        <v>4</v>
      </c>
      <c r="J465" s="123" t="n">
        <v>1</v>
      </c>
    </row>
    <row r="466" customFormat="false" ht="15" hidden="false" customHeight="false" outlineLevel="0" collapsed="false">
      <c r="A466" s="652" t="n">
        <v>45593</v>
      </c>
      <c r="B466" s="123" t="n">
        <v>357</v>
      </c>
      <c r="C466" s="124" t="s">
        <v>296</v>
      </c>
      <c r="D466" s="124" t="s">
        <v>286</v>
      </c>
      <c r="E466" s="653" t="n">
        <v>655.5</v>
      </c>
      <c r="G466" s="653" t="n">
        <v>5572.5</v>
      </c>
      <c r="O466" s="123" t="n">
        <v>3</v>
      </c>
    </row>
    <row r="467" customFormat="false" ht="15" hidden="false" customHeight="false" outlineLevel="0" collapsed="false">
      <c r="A467" s="652" t="n">
        <v>45593</v>
      </c>
      <c r="B467" s="123" t="n">
        <v>358</v>
      </c>
      <c r="C467" s="124" t="s">
        <v>298</v>
      </c>
      <c r="D467" s="124" t="s">
        <v>286</v>
      </c>
      <c r="E467" s="123" t="n">
        <v>1311</v>
      </c>
      <c r="G467" s="653" t="n">
        <v>6883.5</v>
      </c>
      <c r="I467" s="123" t="n">
        <v>4</v>
      </c>
      <c r="J467" s="123" t="n">
        <v>1</v>
      </c>
    </row>
    <row r="468" customFormat="false" ht="15" hidden="false" customHeight="false" outlineLevel="0" collapsed="false">
      <c r="A468" s="652" t="n">
        <v>45593</v>
      </c>
      <c r="B468" s="124" t="s">
        <v>470</v>
      </c>
      <c r="C468" s="124" t="s">
        <v>393</v>
      </c>
      <c r="E468" s="653" t="n">
        <v>-0.5</v>
      </c>
      <c r="F468" s="123" t="n">
        <v>6883</v>
      </c>
      <c r="G468" s="123" t="n">
        <v>0</v>
      </c>
    </row>
    <row r="469" customFormat="false" ht="15" hidden="false" customHeight="false" outlineLevel="0" collapsed="false">
      <c r="A469" s="652" t="n">
        <v>45594</v>
      </c>
      <c r="B469" s="123" t="n">
        <v>361</v>
      </c>
      <c r="C469" s="124" t="s">
        <v>223</v>
      </c>
      <c r="D469" s="124" t="s">
        <v>224</v>
      </c>
      <c r="E469" s="123" t="n">
        <v>138</v>
      </c>
      <c r="G469" s="123" t="n">
        <v>138</v>
      </c>
      <c r="O469" s="123" t="n">
        <v>1</v>
      </c>
    </row>
    <row r="470" customFormat="false" ht="15" hidden="false" customHeight="false" outlineLevel="0" collapsed="false">
      <c r="A470" s="652" t="n">
        <v>45594</v>
      </c>
      <c r="B470" s="123" t="n">
        <v>360</v>
      </c>
      <c r="C470" s="124" t="s">
        <v>159</v>
      </c>
      <c r="D470" s="124" t="s">
        <v>127</v>
      </c>
      <c r="E470" s="123" t="n">
        <v>1311</v>
      </c>
      <c r="G470" s="123" t="n">
        <v>1449</v>
      </c>
      <c r="H470" s="653" t="n">
        <v>0.5</v>
      </c>
      <c r="I470" s="123" t="n">
        <v>4</v>
      </c>
      <c r="J470" s="123" t="n">
        <v>1</v>
      </c>
    </row>
    <row r="471" customFormat="false" ht="15" hidden="false" customHeight="false" outlineLevel="0" collapsed="false">
      <c r="A471" s="652" t="n">
        <v>45594</v>
      </c>
      <c r="B471" s="123" t="n">
        <v>362</v>
      </c>
      <c r="C471" s="124" t="s">
        <v>226</v>
      </c>
      <c r="D471" s="124" t="s">
        <v>127</v>
      </c>
      <c r="E471" s="653" t="n">
        <v>155.25</v>
      </c>
      <c r="G471" s="653" t="n">
        <v>1604.25</v>
      </c>
      <c r="P471" s="123" t="n">
        <v>1</v>
      </c>
    </row>
    <row r="472" customFormat="false" ht="15" hidden="false" customHeight="false" outlineLevel="0" collapsed="false">
      <c r="A472" s="652" t="n">
        <v>45594</v>
      </c>
      <c r="B472" s="123" t="n">
        <v>359</v>
      </c>
      <c r="C472" s="124" t="s">
        <v>296</v>
      </c>
      <c r="D472" s="124" t="s">
        <v>286</v>
      </c>
      <c r="E472" s="653" t="n">
        <v>1552.5</v>
      </c>
      <c r="G472" s="653" t="n">
        <v>3156.75</v>
      </c>
      <c r="O472" s="123" t="n">
        <v>6</v>
      </c>
    </row>
    <row r="473" customFormat="false" ht="15" hidden="false" customHeight="false" outlineLevel="0" collapsed="false">
      <c r="A473" s="652" t="n">
        <v>45594</v>
      </c>
      <c r="B473" s="123" t="n">
        <v>363</v>
      </c>
      <c r="C473" s="124" t="s">
        <v>176</v>
      </c>
      <c r="D473" s="124" t="s">
        <v>127</v>
      </c>
      <c r="E473" s="123" t="n">
        <v>1311</v>
      </c>
      <c r="G473" s="653" t="n">
        <v>4467.75</v>
      </c>
      <c r="H473" s="653" t="n">
        <v>0.5</v>
      </c>
      <c r="I473" s="123" t="n">
        <v>4</v>
      </c>
      <c r="J473" s="123" t="n">
        <v>1</v>
      </c>
    </row>
    <row r="474" customFormat="false" ht="15" hidden="false" customHeight="false" outlineLevel="0" collapsed="false">
      <c r="A474" s="652" t="n">
        <v>45594</v>
      </c>
      <c r="B474" s="124" t="s">
        <v>470</v>
      </c>
      <c r="C474" s="124" t="s">
        <v>393</v>
      </c>
      <c r="F474" s="653" t="n">
        <v>2317.5</v>
      </c>
      <c r="G474" s="653" t="n">
        <v>2150.25</v>
      </c>
    </row>
    <row r="475" customFormat="false" ht="15" hidden="false" customHeight="false" outlineLevel="0" collapsed="false">
      <c r="A475" s="652" t="n">
        <v>45595</v>
      </c>
      <c r="B475" s="124" t="s">
        <v>392</v>
      </c>
      <c r="C475" s="124" t="s">
        <v>393</v>
      </c>
      <c r="F475" s="123" t="n">
        <v>2150</v>
      </c>
      <c r="G475" s="653" t="n">
        <v>0.25</v>
      </c>
    </row>
    <row r="476" customFormat="false" ht="15" hidden="false" customHeight="false" outlineLevel="0" collapsed="false">
      <c r="A476" s="652" t="n">
        <v>45595</v>
      </c>
      <c r="B476" s="123" t="n">
        <v>365</v>
      </c>
      <c r="C476" s="124" t="s">
        <v>104</v>
      </c>
      <c r="D476" s="124" t="s">
        <v>105</v>
      </c>
      <c r="E476" s="123" t="n">
        <v>1311</v>
      </c>
      <c r="G476" s="653" t="n">
        <v>1311.25</v>
      </c>
      <c r="I476" s="123" t="n">
        <v>4</v>
      </c>
      <c r="J476" s="123" t="n">
        <v>1</v>
      </c>
    </row>
    <row r="477" customFormat="false" ht="15" hidden="false" customHeight="false" outlineLevel="0" collapsed="false">
      <c r="A477" s="652" t="n">
        <v>45595</v>
      </c>
      <c r="B477" s="123" t="n">
        <v>366</v>
      </c>
      <c r="C477" s="124" t="s">
        <v>109</v>
      </c>
      <c r="D477" s="124" t="s">
        <v>105</v>
      </c>
      <c r="E477" s="123" t="n">
        <v>1311</v>
      </c>
      <c r="G477" s="653" t="n">
        <v>2622.25</v>
      </c>
      <c r="I477" s="123" t="n">
        <v>4</v>
      </c>
      <c r="J477" s="123" t="n">
        <v>1</v>
      </c>
    </row>
    <row r="478" customFormat="false" ht="15" hidden="false" customHeight="false" outlineLevel="0" collapsed="false">
      <c r="A478" s="652" t="n">
        <v>45595</v>
      </c>
      <c r="B478" s="123" t="n">
        <v>364</v>
      </c>
      <c r="C478" s="124" t="s">
        <v>92</v>
      </c>
      <c r="D478" s="124" t="s">
        <v>75</v>
      </c>
      <c r="E478" s="123" t="n">
        <v>529</v>
      </c>
      <c r="G478" s="653" t="n">
        <v>3151.25</v>
      </c>
      <c r="K478" s="123" t="n">
        <v>2</v>
      </c>
    </row>
    <row r="479" customFormat="false" ht="15" hidden="false" customHeight="false" outlineLevel="0" collapsed="false">
      <c r="A479" s="652" t="n">
        <v>45595</v>
      </c>
      <c r="B479" s="123" t="n">
        <v>370</v>
      </c>
      <c r="C479" s="124" t="s">
        <v>96</v>
      </c>
      <c r="D479" s="124" t="s">
        <v>75</v>
      </c>
      <c r="E479" s="653" t="n">
        <v>833.75</v>
      </c>
      <c r="G479" s="123" t="n">
        <v>3985</v>
      </c>
      <c r="H479" s="123" t="n">
        <v>0</v>
      </c>
      <c r="L479" s="123" t="n">
        <v>1</v>
      </c>
      <c r="M479" s="123" t="n">
        <v>2</v>
      </c>
    </row>
    <row r="480" customFormat="false" ht="15" hidden="false" customHeight="false" outlineLevel="0" collapsed="false">
      <c r="A480" s="652" t="n">
        <v>45595</v>
      </c>
      <c r="B480" s="123" t="n">
        <v>369</v>
      </c>
      <c r="C480" s="124" t="s">
        <v>96</v>
      </c>
      <c r="D480" s="124" t="s">
        <v>75</v>
      </c>
      <c r="E480" s="653" t="n">
        <v>2518.5</v>
      </c>
      <c r="G480" s="653" t="n">
        <v>6503.5</v>
      </c>
      <c r="I480" s="123" t="n">
        <v>4</v>
      </c>
      <c r="J480" s="123" t="n">
        <v>1</v>
      </c>
      <c r="K480" s="123" t="n">
        <v>5</v>
      </c>
    </row>
    <row r="481" customFormat="false" ht="15" hidden="false" customHeight="false" outlineLevel="0" collapsed="false">
      <c r="A481" s="652" t="n">
        <v>45595</v>
      </c>
      <c r="B481" s="123" t="n">
        <v>368</v>
      </c>
      <c r="C481" s="124" t="s">
        <v>90</v>
      </c>
      <c r="D481" s="124" t="s">
        <v>75</v>
      </c>
      <c r="E481" s="653" t="n">
        <v>833.75</v>
      </c>
      <c r="G481" s="653" t="n">
        <v>7337.25</v>
      </c>
      <c r="L481" s="123" t="n">
        <v>1</v>
      </c>
      <c r="M481" s="123" t="n">
        <v>2</v>
      </c>
    </row>
    <row r="482" customFormat="false" ht="15" hidden="false" customHeight="false" outlineLevel="0" collapsed="false">
      <c r="A482" s="652" t="n">
        <v>45595</v>
      </c>
      <c r="B482" s="123" t="n">
        <v>367</v>
      </c>
      <c r="C482" s="124" t="s">
        <v>89</v>
      </c>
      <c r="D482" s="124" t="s">
        <v>75</v>
      </c>
      <c r="E482" s="653" t="n">
        <v>885.5</v>
      </c>
      <c r="G482" s="653" t="n">
        <v>8222.75</v>
      </c>
      <c r="K482" s="123" t="n">
        <v>4</v>
      </c>
    </row>
    <row r="483" customFormat="false" ht="15" hidden="false" customHeight="false" outlineLevel="0" collapsed="false">
      <c r="A483" s="652" t="n">
        <v>45595</v>
      </c>
      <c r="B483" s="124" t="s">
        <v>392</v>
      </c>
      <c r="C483" s="124" t="s">
        <v>393</v>
      </c>
      <c r="F483" s="123" t="n">
        <v>4400</v>
      </c>
      <c r="G483" s="653" t="n">
        <v>3822.75</v>
      </c>
    </row>
    <row r="484" customFormat="false" ht="15" hidden="false" customHeight="false" outlineLevel="0" collapsed="false">
      <c r="A484" s="652" t="n">
        <v>45595</v>
      </c>
      <c r="B484" s="124" t="s">
        <v>470</v>
      </c>
      <c r="C484" s="124" t="s">
        <v>393</v>
      </c>
      <c r="F484" s="653" t="n">
        <v>3822.75</v>
      </c>
      <c r="G484" s="123" t="n">
        <v>0</v>
      </c>
    </row>
    <row r="485" customFormat="false" ht="15" hidden="false" customHeight="false" outlineLevel="0" collapsed="false">
      <c r="A485" s="652" t="n">
        <v>45596</v>
      </c>
      <c r="B485" s="123" t="n">
        <v>371</v>
      </c>
      <c r="C485" s="124" t="s">
        <v>176</v>
      </c>
      <c r="D485" s="124" t="s">
        <v>127</v>
      </c>
      <c r="E485" s="123" t="n">
        <v>224</v>
      </c>
      <c r="G485" s="123" t="n">
        <v>224</v>
      </c>
      <c r="H485" s="123" t="n">
        <v>0</v>
      </c>
      <c r="K485" s="123" t="n">
        <v>1</v>
      </c>
    </row>
    <row r="486" customFormat="false" ht="15" hidden="false" customHeight="false" outlineLevel="0" collapsed="false">
      <c r="A486" s="652" t="n">
        <v>45596</v>
      </c>
      <c r="C486" s="124" t="s">
        <v>393</v>
      </c>
      <c r="F486" s="123" t="n">
        <v>224</v>
      </c>
      <c r="G486" s="123" t="n">
        <v>0</v>
      </c>
    </row>
    <row r="487" customFormat="false" ht="15" hidden="false" customHeight="false" outlineLevel="0" collapsed="false">
      <c r="A487" s="652" t="n">
        <v>45600</v>
      </c>
      <c r="B487" s="123" t="n">
        <v>372</v>
      </c>
      <c r="C487" s="124" t="s">
        <v>222</v>
      </c>
      <c r="D487" s="124" t="s">
        <v>127</v>
      </c>
      <c r="E487" s="653" t="n">
        <v>155.25</v>
      </c>
      <c r="G487" s="653" t="n">
        <v>155.25</v>
      </c>
      <c r="P487" s="123" t="n">
        <v>1</v>
      </c>
    </row>
    <row r="488" customFormat="false" ht="15" hidden="false" customHeight="false" outlineLevel="0" collapsed="false">
      <c r="A488" s="652" t="n">
        <v>45600</v>
      </c>
      <c r="B488" s="123" t="n">
        <v>373</v>
      </c>
      <c r="C488" s="124" t="s">
        <v>151</v>
      </c>
      <c r="D488" s="124" t="s">
        <v>127</v>
      </c>
      <c r="E488" s="123" t="n">
        <v>138</v>
      </c>
      <c r="G488" s="653" t="n">
        <v>293.25</v>
      </c>
      <c r="O488" s="123" t="n">
        <v>1</v>
      </c>
    </row>
    <row r="489" customFormat="false" ht="15" hidden="false" customHeight="false" outlineLevel="0" collapsed="false">
      <c r="A489" s="652" t="n">
        <v>45600</v>
      </c>
      <c r="B489" s="123" t="n">
        <v>374</v>
      </c>
      <c r="C489" s="124" t="s">
        <v>167</v>
      </c>
      <c r="D489" s="124" t="s">
        <v>127</v>
      </c>
      <c r="E489" s="123" t="n">
        <v>506</v>
      </c>
      <c r="G489" s="653" t="n">
        <v>799.25</v>
      </c>
      <c r="H489" s="653" t="n">
        <v>0.25</v>
      </c>
      <c r="K489" s="123" t="n">
        <v>2</v>
      </c>
    </row>
    <row r="490" customFormat="false" ht="15" hidden="false" customHeight="false" outlineLevel="0" collapsed="false">
      <c r="A490" s="652" t="n">
        <v>45600</v>
      </c>
      <c r="B490" s="124" t="s">
        <v>470</v>
      </c>
      <c r="C490" s="124" t="s">
        <v>393</v>
      </c>
      <c r="E490" s="653" t="n">
        <v>-0.25</v>
      </c>
      <c r="F490" s="123" t="n">
        <v>799</v>
      </c>
      <c r="G490" s="123" t="n">
        <v>0</v>
      </c>
    </row>
    <row r="491" customFormat="false" ht="15" hidden="false" customHeight="false" outlineLevel="0" collapsed="false">
      <c r="A491" s="652" t="n">
        <v>45600</v>
      </c>
      <c r="B491" s="123" t="n">
        <v>375</v>
      </c>
      <c r="C491" s="124" t="s">
        <v>133</v>
      </c>
      <c r="D491" s="124" t="s">
        <v>127</v>
      </c>
      <c r="E491" s="653" t="n">
        <v>419.75</v>
      </c>
      <c r="G491" s="653" t="n">
        <v>419.75</v>
      </c>
      <c r="P491" s="123" t="n">
        <v>2</v>
      </c>
    </row>
    <row r="492" customFormat="false" ht="15" hidden="false" customHeight="false" outlineLevel="0" collapsed="false">
      <c r="A492" s="652" t="n">
        <v>45600</v>
      </c>
      <c r="B492" s="124" t="s">
        <v>470</v>
      </c>
      <c r="C492" s="124" t="s">
        <v>393</v>
      </c>
      <c r="F492" s="123" t="n">
        <v>419</v>
      </c>
      <c r="G492" s="653" t="n">
        <v>0.75</v>
      </c>
    </row>
    <row r="493" customFormat="false" ht="15" hidden="false" customHeight="false" outlineLevel="0" collapsed="false">
      <c r="A493" s="652" t="n">
        <v>45602</v>
      </c>
      <c r="B493" s="123" t="n">
        <v>376</v>
      </c>
      <c r="C493" s="124" t="s">
        <v>259</v>
      </c>
      <c r="D493" s="124" t="s">
        <v>127</v>
      </c>
      <c r="E493" s="123" t="n">
        <v>506</v>
      </c>
      <c r="G493" s="653" t="n">
        <v>506.75</v>
      </c>
      <c r="K493" s="123" t="n">
        <v>2</v>
      </c>
    </row>
    <row r="494" customFormat="false" ht="15" hidden="false" customHeight="false" outlineLevel="0" collapsed="false">
      <c r="A494" s="652" t="n">
        <v>45603</v>
      </c>
      <c r="B494" s="124" t="s">
        <v>470</v>
      </c>
      <c r="C494" s="124" t="s">
        <v>393</v>
      </c>
      <c r="F494" s="123" t="n">
        <v>506</v>
      </c>
      <c r="G494" s="653" t="n">
        <v>0.75</v>
      </c>
    </row>
    <row r="495" customFormat="false" ht="15" hidden="false" customHeight="false" outlineLevel="0" collapsed="false">
      <c r="A495" s="652" t="n">
        <v>45603</v>
      </c>
      <c r="B495" s="123" t="n">
        <v>377</v>
      </c>
      <c r="C495" s="124" t="s">
        <v>201</v>
      </c>
      <c r="D495" s="124" t="s">
        <v>127</v>
      </c>
      <c r="E495" s="653" t="n">
        <v>224.25</v>
      </c>
      <c r="G495" s="123" t="n">
        <v>225</v>
      </c>
      <c r="H495" s="123" t="n">
        <v>0</v>
      </c>
      <c r="K495" s="123" t="n">
        <v>1</v>
      </c>
    </row>
    <row r="496" customFormat="false" ht="15" hidden="false" customHeight="false" outlineLevel="0" collapsed="false">
      <c r="A496" s="652" t="n">
        <v>45603</v>
      </c>
      <c r="B496" s="123" t="n">
        <v>378</v>
      </c>
      <c r="C496" s="124" t="s">
        <v>160</v>
      </c>
      <c r="D496" s="124" t="s">
        <v>127</v>
      </c>
      <c r="E496" s="123" t="n">
        <v>621</v>
      </c>
      <c r="G496" s="123" t="n">
        <v>846</v>
      </c>
      <c r="H496" s="123" t="n">
        <v>0</v>
      </c>
      <c r="I496" s="123" t="n">
        <v>2</v>
      </c>
    </row>
    <row r="497" customFormat="false" ht="15" hidden="false" customHeight="false" outlineLevel="0" collapsed="false">
      <c r="A497" s="652" t="n">
        <v>45603</v>
      </c>
      <c r="B497" s="123" t="n">
        <v>380</v>
      </c>
      <c r="C497" s="124" t="s">
        <v>144</v>
      </c>
      <c r="D497" s="124" t="s">
        <v>127</v>
      </c>
      <c r="E497" s="653" t="n">
        <v>833.75</v>
      </c>
      <c r="G497" s="653" t="n">
        <v>1679.75</v>
      </c>
      <c r="L497" s="123" t="n">
        <v>1</v>
      </c>
      <c r="M497" s="123" t="n">
        <v>2</v>
      </c>
    </row>
    <row r="498" customFormat="false" ht="15" hidden="false" customHeight="false" outlineLevel="0" collapsed="false">
      <c r="A498" s="652" t="n">
        <v>45603</v>
      </c>
      <c r="B498" s="123" t="n">
        <v>379</v>
      </c>
      <c r="C498" s="124" t="s">
        <v>143</v>
      </c>
      <c r="D498" s="124" t="s">
        <v>127</v>
      </c>
      <c r="E498" s="653" t="n">
        <v>534.75</v>
      </c>
      <c r="G498" s="653" t="n">
        <v>2214.5</v>
      </c>
      <c r="I498" s="123" t="n">
        <v>1</v>
      </c>
      <c r="K498" s="123" t="n">
        <v>1</v>
      </c>
    </row>
    <row r="499" customFormat="false" ht="15" hidden="false" customHeight="false" outlineLevel="0" collapsed="false">
      <c r="A499" s="652" t="n">
        <v>45603</v>
      </c>
      <c r="B499" s="123" t="n">
        <v>381</v>
      </c>
      <c r="C499" s="124" t="s">
        <v>178</v>
      </c>
      <c r="D499" s="124" t="s">
        <v>127</v>
      </c>
      <c r="E499" s="123" t="n">
        <v>138</v>
      </c>
      <c r="G499" s="653" t="n">
        <v>2352.5</v>
      </c>
      <c r="H499" s="123" t="n">
        <v>0</v>
      </c>
      <c r="O499" s="123" t="n">
        <v>1</v>
      </c>
    </row>
    <row r="500" customFormat="false" ht="15" hidden="false" customHeight="false" outlineLevel="0" collapsed="false">
      <c r="A500" s="652" t="n">
        <v>45603</v>
      </c>
      <c r="B500" s="123" t="n">
        <v>382</v>
      </c>
      <c r="C500" s="124" t="s">
        <v>178</v>
      </c>
      <c r="D500" s="124" t="s">
        <v>127</v>
      </c>
      <c r="E500" s="653" t="n">
        <v>310.5</v>
      </c>
      <c r="G500" s="123" t="n">
        <v>2663</v>
      </c>
      <c r="H500" s="123" t="n">
        <v>0</v>
      </c>
      <c r="I500" s="123" t="n">
        <v>1</v>
      </c>
    </row>
    <row r="501" customFormat="false" ht="15" hidden="false" customHeight="false" outlineLevel="0" collapsed="false">
      <c r="A501" s="652" t="n">
        <v>45603</v>
      </c>
      <c r="B501" s="123" t="n">
        <v>383</v>
      </c>
      <c r="C501" s="124" t="s">
        <v>151</v>
      </c>
      <c r="D501" s="124" t="s">
        <v>127</v>
      </c>
      <c r="E501" s="653" t="n">
        <v>155.25</v>
      </c>
      <c r="G501" s="653" t="n">
        <v>2818.25</v>
      </c>
      <c r="P501" s="123" t="n">
        <v>1</v>
      </c>
    </row>
    <row r="502" customFormat="false" ht="15" hidden="false" customHeight="false" outlineLevel="0" collapsed="false">
      <c r="A502" s="652" t="n">
        <v>45603</v>
      </c>
      <c r="B502" s="123" t="n">
        <v>384</v>
      </c>
      <c r="C502" s="124" t="s">
        <v>234</v>
      </c>
      <c r="D502" s="124" t="s">
        <v>127</v>
      </c>
      <c r="E502" s="123" t="n">
        <v>529</v>
      </c>
      <c r="G502" s="653" t="n">
        <v>3347.25</v>
      </c>
      <c r="H502" s="123" t="n">
        <v>-1</v>
      </c>
      <c r="K502" s="123" t="n">
        <v>2</v>
      </c>
    </row>
    <row r="503" customFormat="false" ht="15" hidden="false" customHeight="false" outlineLevel="0" collapsed="false">
      <c r="A503" s="652" t="n">
        <v>45603</v>
      </c>
      <c r="B503" s="123" t="n">
        <v>385</v>
      </c>
      <c r="C503" s="124" t="s">
        <v>233</v>
      </c>
      <c r="D503" s="124" t="s">
        <v>127</v>
      </c>
      <c r="E503" s="123" t="n">
        <v>138</v>
      </c>
      <c r="G503" s="653" t="n">
        <v>3485.25</v>
      </c>
      <c r="H503" s="123" t="n">
        <v>0</v>
      </c>
      <c r="O503" s="123" t="n">
        <v>1</v>
      </c>
    </row>
    <row r="504" customFormat="false" ht="15" hidden="false" customHeight="false" outlineLevel="0" collapsed="false">
      <c r="A504" s="652" t="n">
        <v>45606</v>
      </c>
      <c r="B504" s="123" t="n">
        <v>386</v>
      </c>
      <c r="C504" s="124" t="s">
        <v>238</v>
      </c>
      <c r="D504" s="124" t="s">
        <v>127</v>
      </c>
      <c r="E504" s="653" t="n">
        <v>264.5</v>
      </c>
      <c r="G504" s="653" t="n">
        <v>3749.75</v>
      </c>
      <c r="H504" s="653" t="n">
        <v>-0.5</v>
      </c>
      <c r="K504" s="123" t="n">
        <v>1</v>
      </c>
    </row>
    <row r="505" customFormat="false" ht="15" hidden="false" customHeight="false" outlineLevel="0" collapsed="false">
      <c r="A505" s="652" t="n">
        <v>45606</v>
      </c>
      <c r="B505" s="124" t="s">
        <v>470</v>
      </c>
      <c r="C505" s="124" t="s">
        <v>393</v>
      </c>
      <c r="F505" s="653" t="n">
        <v>3749.25</v>
      </c>
      <c r="G505" s="653" t="n">
        <v>0.5</v>
      </c>
    </row>
    <row r="506" customFormat="false" ht="15" hidden="false" customHeight="false" outlineLevel="0" collapsed="false">
      <c r="A506" s="652" t="n">
        <v>45606</v>
      </c>
      <c r="B506" s="123" t="n">
        <v>388</v>
      </c>
      <c r="C506" s="124" t="s">
        <v>153</v>
      </c>
      <c r="D506" s="124" t="s">
        <v>127</v>
      </c>
      <c r="E506" s="653" t="n">
        <v>1023.5</v>
      </c>
      <c r="G506" s="123" t="n">
        <v>1024</v>
      </c>
      <c r="H506" s="653" t="n">
        <v>1.5</v>
      </c>
      <c r="I506" s="123" t="n">
        <v>2</v>
      </c>
      <c r="K506" s="123" t="n">
        <v>1</v>
      </c>
      <c r="O506" s="123" t="n">
        <v>1</v>
      </c>
    </row>
    <row r="507" customFormat="false" ht="15" hidden="false" customHeight="false" outlineLevel="0" collapsed="false">
      <c r="A507" s="652" t="n">
        <v>45606</v>
      </c>
      <c r="B507" s="123" t="n">
        <v>387</v>
      </c>
      <c r="C507" s="124" t="s">
        <v>130</v>
      </c>
      <c r="D507" s="124" t="s">
        <v>127</v>
      </c>
      <c r="E507" s="123" t="n">
        <v>621</v>
      </c>
      <c r="G507" s="123" t="n">
        <v>1645</v>
      </c>
      <c r="I507" s="123" t="n">
        <v>2</v>
      </c>
    </row>
    <row r="508" customFormat="false" ht="15" hidden="false" customHeight="false" outlineLevel="0" collapsed="false">
      <c r="A508" s="652" t="n">
        <v>45606</v>
      </c>
      <c r="B508" s="123" t="n">
        <v>389</v>
      </c>
      <c r="C508" s="124" t="s">
        <v>150</v>
      </c>
      <c r="D508" s="124" t="s">
        <v>127</v>
      </c>
      <c r="E508" s="653" t="n">
        <v>155.25</v>
      </c>
      <c r="G508" s="653" t="n">
        <v>1800.25</v>
      </c>
      <c r="P508" s="123" t="n">
        <v>1</v>
      </c>
    </row>
    <row r="509" customFormat="false" ht="15" hidden="false" customHeight="false" outlineLevel="0" collapsed="false">
      <c r="A509" s="652" t="n">
        <v>45606</v>
      </c>
      <c r="C509" s="124" t="s">
        <v>393</v>
      </c>
      <c r="F509" s="653" t="n">
        <v>1800.25</v>
      </c>
      <c r="G509" s="123" t="n">
        <v>0</v>
      </c>
    </row>
    <row r="510" customFormat="false" ht="15" hidden="false" customHeight="false" outlineLevel="0" collapsed="false">
      <c r="A510" s="652" t="n">
        <v>45607</v>
      </c>
      <c r="B510" s="123" t="n">
        <v>390</v>
      </c>
      <c r="C510" s="124" t="s">
        <v>81</v>
      </c>
      <c r="D510" s="124" t="s">
        <v>75</v>
      </c>
      <c r="E510" s="653" t="n">
        <v>776.25</v>
      </c>
      <c r="G510" s="653" t="n">
        <v>776.25</v>
      </c>
      <c r="M510" s="123" t="n">
        <v>3</v>
      </c>
    </row>
    <row r="511" customFormat="false" ht="15" hidden="false" customHeight="false" outlineLevel="0" collapsed="false">
      <c r="A511" s="652" t="n">
        <v>45607</v>
      </c>
      <c r="B511" s="123" t="n">
        <v>394</v>
      </c>
      <c r="C511" s="124" t="s">
        <v>96</v>
      </c>
      <c r="D511" s="124" t="s">
        <v>75</v>
      </c>
      <c r="E511" s="123" t="n">
        <v>2231</v>
      </c>
      <c r="G511" s="653" t="n">
        <v>3007.25</v>
      </c>
      <c r="I511" s="123" t="n">
        <v>4</v>
      </c>
      <c r="K511" s="123" t="n">
        <v>4</v>
      </c>
    </row>
    <row r="512" customFormat="false" ht="15" hidden="false" customHeight="false" outlineLevel="0" collapsed="false">
      <c r="A512" s="652" t="n">
        <v>45607</v>
      </c>
      <c r="B512" s="123" t="n">
        <v>392</v>
      </c>
      <c r="C512" s="124" t="s">
        <v>95</v>
      </c>
      <c r="D512" s="124" t="s">
        <v>75</v>
      </c>
      <c r="E512" s="123" t="n">
        <v>1725</v>
      </c>
      <c r="G512" s="653" t="n">
        <v>4732.25</v>
      </c>
      <c r="K512" s="123" t="n">
        <v>5</v>
      </c>
    </row>
    <row r="513" customFormat="false" ht="15" hidden="false" customHeight="false" outlineLevel="0" collapsed="false">
      <c r="A513" s="652" t="n">
        <v>45607</v>
      </c>
      <c r="B513" s="123" t="n">
        <v>391</v>
      </c>
      <c r="C513" s="124" t="s">
        <v>77</v>
      </c>
      <c r="D513" s="124" t="s">
        <v>75</v>
      </c>
      <c r="E513" s="653" t="n">
        <v>310.5</v>
      </c>
      <c r="G513" s="653" t="n">
        <v>5042.75</v>
      </c>
      <c r="H513" s="653" t="n">
        <v>-0.5</v>
      </c>
      <c r="I513" s="123" t="n">
        <v>1</v>
      </c>
    </row>
    <row r="514" customFormat="false" ht="15" hidden="false" customHeight="false" outlineLevel="0" collapsed="false">
      <c r="A514" s="652" t="n">
        <v>45607</v>
      </c>
      <c r="B514" s="123" t="n">
        <v>393</v>
      </c>
      <c r="C514" s="124" t="s">
        <v>95</v>
      </c>
      <c r="D514" s="124" t="s">
        <v>75</v>
      </c>
      <c r="E514" s="653" t="n">
        <v>948.75</v>
      </c>
      <c r="G514" s="653" t="n">
        <v>5991.5</v>
      </c>
      <c r="L514" s="123" t="n">
        <v>3</v>
      </c>
    </row>
    <row r="515" customFormat="false" ht="15" hidden="false" customHeight="false" outlineLevel="0" collapsed="false">
      <c r="A515" s="652" t="n">
        <v>45607</v>
      </c>
      <c r="B515" s="123" t="n">
        <v>395</v>
      </c>
      <c r="C515" s="124" t="s">
        <v>97</v>
      </c>
      <c r="D515" s="124" t="s">
        <v>75</v>
      </c>
      <c r="E515" s="653" t="n">
        <v>310.5</v>
      </c>
      <c r="G515" s="123" t="n">
        <v>6302</v>
      </c>
      <c r="P515" s="123" t="n">
        <v>2</v>
      </c>
    </row>
    <row r="516" customFormat="false" ht="15" hidden="false" customHeight="false" outlineLevel="0" collapsed="false">
      <c r="A516" s="652" t="n">
        <v>45607</v>
      </c>
      <c r="B516" s="123" t="n">
        <v>396</v>
      </c>
      <c r="C516" s="124" t="s">
        <v>89</v>
      </c>
      <c r="D516" s="124" t="s">
        <v>75</v>
      </c>
      <c r="E516" s="123" t="n">
        <v>552</v>
      </c>
      <c r="G516" s="123" t="n">
        <v>6854</v>
      </c>
      <c r="I516" s="123" t="n">
        <v>1</v>
      </c>
      <c r="K516" s="123" t="n">
        <v>1</v>
      </c>
    </row>
    <row r="517" customFormat="false" ht="15" hidden="false" customHeight="false" outlineLevel="0" collapsed="false">
      <c r="A517" s="652" t="n">
        <v>45607</v>
      </c>
      <c r="B517" s="123" t="n">
        <v>397</v>
      </c>
      <c r="C517" s="124" t="s">
        <v>101</v>
      </c>
      <c r="D517" s="124" t="s">
        <v>75</v>
      </c>
      <c r="E517" s="653" t="n">
        <v>201.25</v>
      </c>
      <c r="G517" s="653" t="n">
        <v>7055.25</v>
      </c>
      <c r="K517" s="123" t="n">
        <v>1</v>
      </c>
    </row>
    <row r="518" customFormat="false" ht="15" hidden="false" customHeight="false" outlineLevel="0" collapsed="false">
      <c r="A518" s="652" t="n">
        <v>45607</v>
      </c>
      <c r="B518" s="123" t="n">
        <v>398</v>
      </c>
      <c r="C518" s="124" t="s">
        <v>109</v>
      </c>
      <c r="D518" s="124" t="s">
        <v>105</v>
      </c>
      <c r="E518" s="653" t="n">
        <v>2340.25</v>
      </c>
      <c r="G518" s="653" t="n">
        <v>9395.5</v>
      </c>
      <c r="I518" s="123" t="n">
        <v>4</v>
      </c>
      <c r="K518" s="123" t="n">
        <v>5</v>
      </c>
    </row>
    <row r="519" customFormat="false" ht="15" hidden="false" customHeight="false" outlineLevel="0" collapsed="false">
      <c r="A519" s="652" t="n">
        <v>45607</v>
      </c>
      <c r="B519" s="123" t="n">
        <v>399</v>
      </c>
      <c r="C519" s="124" t="s">
        <v>111</v>
      </c>
      <c r="D519" s="124" t="s">
        <v>105</v>
      </c>
      <c r="E519" s="653" t="n">
        <v>310.5</v>
      </c>
      <c r="G519" s="123" t="n">
        <v>9706</v>
      </c>
      <c r="I519" s="123" t="n">
        <v>1</v>
      </c>
    </row>
    <row r="520" customFormat="false" ht="15" hidden="false" customHeight="false" outlineLevel="0" collapsed="false">
      <c r="A520" s="652" t="n">
        <v>45607</v>
      </c>
      <c r="B520" s="124" t="s">
        <v>470</v>
      </c>
      <c r="C520" s="124" t="s">
        <v>393</v>
      </c>
      <c r="F520" s="123" t="n">
        <v>3444</v>
      </c>
      <c r="G520" s="123" t="n">
        <v>6262</v>
      </c>
      <c r="H520" s="123" t="n">
        <v>0</v>
      </c>
    </row>
    <row r="521" customFormat="false" ht="15" hidden="false" customHeight="false" outlineLevel="0" collapsed="false">
      <c r="A521" s="652" t="n">
        <v>45608</v>
      </c>
      <c r="B521" s="124" t="s">
        <v>392</v>
      </c>
      <c r="C521" s="124" t="s">
        <v>393</v>
      </c>
      <c r="F521" s="123" t="n">
        <v>6262</v>
      </c>
      <c r="G521" s="123" t="n">
        <v>0</v>
      </c>
    </row>
    <row r="522" customFormat="false" ht="15" hidden="false" customHeight="false" outlineLevel="0" collapsed="false">
      <c r="A522" s="652" t="n">
        <v>45608</v>
      </c>
      <c r="B522" s="123" t="n">
        <v>402</v>
      </c>
      <c r="C522" s="124" t="s">
        <v>322</v>
      </c>
      <c r="D522" s="124" t="s">
        <v>224</v>
      </c>
      <c r="E522" s="123" t="n">
        <v>3105</v>
      </c>
      <c r="G522" s="123" t="n">
        <v>3105</v>
      </c>
      <c r="I522" s="123" t="n">
        <v>10</v>
      </c>
    </row>
    <row r="523" customFormat="false" ht="15" hidden="false" customHeight="false" outlineLevel="0" collapsed="false">
      <c r="A523" s="652" t="n">
        <v>45608</v>
      </c>
      <c r="B523" s="123" t="n">
        <v>404</v>
      </c>
      <c r="C523" s="124" t="s">
        <v>317</v>
      </c>
      <c r="D523" s="124" t="s">
        <v>224</v>
      </c>
      <c r="E523" s="653" t="n">
        <v>534.75</v>
      </c>
      <c r="G523" s="653" t="n">
        <v>3639.75</v>
      </c>
      <c r="I523" s="123" t="n">
        <v>1</v>
      </c>
      <c r="K523" s="123" t="n">
        <v>1</v>
      </c>
    </row>
    <row r="524" customFormat="false" ht="15" hidden="false" customHeight="false" outlineLevel="0" collapsed="false">
      <c r="A524" s="652" t="n">
        <v>45608</v>
      </c>
      <c r="B524" s="123" t="n">
        <v>403</v>
      </c>
      <c r="C524" s="124" t="s">
        <v>327</v>
      </c>
      <c r="D524" s="124" t="s">
        <v>224</v>
      </c>
      <c r="E524" s="123" t="n">
        <v>575</v>
      </c>
      <c r="G524" s="653" t="n">
        <v>4214.75</v>
      </c>
      <c r="I524" s="123" t="n">
        <v>1</v>
      </c>
      <c r="K524" s="123" t="n">
        <v>1</v>
      </c>
    </row>
    <row r="525" customFormat="false" ht="15" hidden="false" customHeight="false" outlineLevel="0" collapsed="false">
      <c r="A525" s="652" t="n">
        <v>45608</v>
      </c>
      <c r="B525" s="123" t="n">
        <v>401</v>
      </c>
      <c r="C525" s="124" t="s">
        <v>90</v>
      </c>
      <c r="D525" s="124" t="s">
        <v>75</v>
      </c>
      <c r="E525" s="653" t="n">
        <v>264.5</v>
      </c>
      <c r="G525" s="653" t="n">
        <v>4479.25</v>
      </c>
      <c r="K525" s="123" t="n">
        <v>1</v>
      </c>
    </row>
    <row r="526" customFormat="false" ht="15" hidden="false" customHeight="false" outlineLevel="0" collapsed="false">
      <c r="A526" s="652" t="n">
        <v>45608</v>
      </c>
      <c r="B526" s="123" t="n">
        <v>400</v>
      </c>
      <c r="C526" s="124" t="s">
        <v>90</v>
      </c>
      <c r="D526" s="124" t="s">
        <v>75</v>
      </c>
      <c r="E526" s="653" t="n">
        <v>833.75</v>
      </c>
      <c r="G526" s="123" t="n">
        <v>5313</v>
      </c>
      <c r="L526" s="123" t="n">
        <v>1</v>
      </c>
      <c r="M526" s="123" t="n">
        <v>2</v>
      </c>
    </row>
    <row r="527" customFormat="false" ht="15" hidden="false" customHeight="false" outlineLevel="0" collapsed="false">
      <c r="A527" s="652" t="n">
        <v>45608</v>
      </c>
      <c r="B527" s="123" t="n">
        <v>406</v>
      </c>
      <c r="C527" s="124" t="s">
        <v>290</v>
      </c>
      <c r="D527" s="124" t="s">
        <v>286</v>
      </c>
      <c r="E527" s="123" t="n">
        <v>621</v>
      </c>
      <c r="G527" s="123" t="n">
        <v>5934</v>
      </c>
      <c r="I527" s="123" t="n">
        <v>2</v>
      </c>
    </row>
    <row r="528" customFormat="false" ht="15" hidden="false" customHeight="false" outlineLevel="0" collapsed="false">
      <c r="A528" s="652" t="n">
        <v>45608</v>
      </c>
      <c r="B528" s="123" t="n">
        <v>405</v>
      </c>
      <c r="C528" s="124" t="s">
        <v>292</v>
      </c>
      <c r="D528" s="124" t="s">
        <v>286</v>
      </c>
      <c r="E528" s="653" t="n">
        <v>143.75</v>
      </c>
      <c r="G528" s="653" t="n">
        <v>6077.75</v>
      </c>
      <c r="N528" s="123" t="n">
        <v>1</v>
      </c>
    </row>
    <row r="529" customFormat="false" ht="15" hidden="false" customHeight="false" outlineLevel="0" collapsed="false">
      <c r="A529" s="652" t="n">
        <v>45608</v>
      </c>
      <c r="B529" s="123" t="n">
        <v>407</v>
      </c>
      <c r="C529" s="124" t="s">
        <v>295</v>
      </c>
      <c r="D529" s="124" t="s">
        <v>286</v>
      </c>
      <c r="E529" s="653" t="n">
        <v>1086.75</v>
      </c>
      <c r="G529" s="653" t="n">
        <v>7164.5</v>
      </c>
      <c r="I529" s="123" t="n">
        <v>1</v>
      </c>
      <c r="M529" s="123" t="n">
        <v>3</v>
      </c>
    </row>
    <row r="530" customFormat="false" ht="15" hidden="false" customHeight="false" outlineLevel="0" collapsed="false">
      <c r="A530" s="652" t="n">
        <v>45608</v>
      </c>
      <c r="B530" s="123" t="n">
        <v>408</v>
      </c>
      <c r="C530" s="124" t="s">
        <v>296</v>
      </c>
      <c r="D530" s="124" t="s">
        <v>286</v>
      </c>
      <c r="E530" s="653" t="n">
        <v>2401.2</v>
      </c>
      <c r="G530" s="653" t="n">
        <v>9565.7</v>
      </c>
      <c r="O530" s="123" t="n">
        <v>12</v>
      </c>
    </row>
    <row r="531" customFormat="false" ht="15" hidden="false" customHeight="false" outlineLevel="0" collapsed="false">
      <c r="A531" s="652" t="n">
        <v>45608</v>
      </c>
      <c r="B531" s="123" t="n">
        <v>409</v>
      </c>
      <c r="C531" s="124" t="s">
        <v>298</v>
      </c>
      <c r="D531" s="124" t="s">
        <v>286</v>
      </c>
      <c r="E531" s="653" t="n">
        <v>264.5</v>
      </c>
      <c r="G531" s="653" t="n">
        <v>9830.2</v>
      </c>
      <c r="K531" s="123" t="n">
        <v>1</v>
      </c>
    </row>
    <row r="532" customFormat="false" ht="15" hidden="false" customHeight="false" outlineLevel="0" collapsed="false">
      <c r="A532" s="652" t="n">
        <v>45608</v>
      </c>
      <c r="B532" s="124" t="s">
        <v>470</v>
      </c>
      <c r="C532" s="124" t="s">
        <v>393</v>
      </c>
      <c r="F532" s="653" t="n">
        <v>7253.75</v>
      </c>
      <c r="G532" s="653" t="n">
        <v>2576.45</v>
      </c>
    </row>
    <row r="533" customFormat="false" ht="15" hidden="false" customHeight="false" outlineLevel="0" collapsed="false">
      <c r="A533" s="652" t="n">
        <v>45608</v>
      </c>
      <c r="B533" s="124" t="s">
        <v>392</v>
      </c>
      <c r="C533" s="124" t="s">
        <v>393</v>
      </c>
      <c r="F533" s="123" t="n">
        <v>2576</v>
      </c>
      <c r="G533" s="653" t="n">
        <v>0.450000000000728</v>
      </c>
    </row>
    <row r="534" customFormat="false" ht="15" hidden="false" customHeight="false" outlineLevel="0" collapsed="false">
      <c r="A534" s="652" t="n">
        <v>45609</v>
      </c>
      <c r="B534" s="123" t="n">
        <v>410</v>
      </c>
      <c r="C534" s="124" t="s">
        <v>167</v>
      </c>
      <c r="D534" s="124" t="s">
        <v>127</v>
      </c>
      <c r="E534" s="653" t="n">
        <v>310.5</v>
      </c>
      <c r="G534" s="653" t="n">
        <v>310.950000000001</v>
      </c>
      <c r="I534" s="123" t="n">
        <v>1</v>
      </c>
    </row>
    <row r="535" customFormat="false" ht="15" hidden="false" customHeight="false" outlineLevel="0" collapsed="false">
      <c r="A535" s="652" t="n">
        <v>45609</v>
      </c>
      <c r="B535" s="123" t="n">
        <v>411</v>
      </c>
      <c r="C535" s="124" t="s">
        <v>178</v>
      </c>
      <c r="D535" s="124" t="s">
        <v>127</v>
      </c>
      <c r="E535" s="653" t="n">
        <v>310.5</v>
      </c>
      <c r="G535" s="653" t="n">
        <v>621.450000000001</v>
      </c>
      <c r="I535" s="123" t="n">
        <v>1</v>
      </c>
    </row>
    <row r="536" customFormat="false" ht="15" hidden="false" customHeight="false" outlineLevel="0" collapsed="false">
      <c r="A536" s="652" t="n">
        <v>45609</v>
      </c>
      <c r="B536" s="123" t="n">
        <v>412</v>
      </c>
      <c r="C536" s="124" t="s">
        <v>295</v>
      </c>
      <c r="D536" s="124" t="s">
        <v>286</v>
      </c>
      <c r="E536" s="123" t="n">
        <v>621</v>
      </c>
      <c r="G536" s="653" t="n">
        <v>1242.45</v>
      </c>
      <c r="I536" s="123" t="n">
        <v>2</v>
      </c>
    </row>
    <row r="537" customFormat="false" ht="15" hidden="false" customHeight="false" outlineLevel="0" collapsed="false">
      <c r="A537" s="652" t="n">
        <v>45609</v>
      </c>
      <c r="B537" s="124" t="s">
        <v>470</v>
      </c>
      <c r="C537" s="124" t="s">
        <v>393</v>
      </c>
      <c r="E537" s="653" t="n">
        <v>-0.45</v>
      </c>
      <c r="F537" s="123" t="n">
        <v>1242</v>
      </c>
      <c r="G537" s="123" t="n">
        <v>0</v>
      </c>
    </row>
    <row r="538" customFormat="false" ht="15" hidden="false" customHeight="false" outlineLevel="0" collapsed="false">
      <c r="A538" s="652" t="n">
        <v>45610</v>
      </c>
      <c r="B538" s="123" t="n">
        <v>413</v>
      </c>
      <c r="C538" s="124" t="s">
        <v>259</v>
      </c>
      <c r="D538" s="124" t="s">
        <v>127</v>
      </c>
      <c r="E538" s="653" t="n">
        <v>868.25</v>
      </c>
      <c r="G538" s="653" t="n">
        <v>868.25</v>
      </c>
      <c r="H538" s="123" t="n">
        <v>0</v>
      </c>
      <c r="I538" s="123" t="n">
        <v>1</v>
      </c>
      <c r="K538" s="123" t="n">
        <v>1</v>
      </c>
      <c r="O538" s="123" t="n">
        <v>1</v>
      </c>
      <c r="P538" s="123" t="n">
        <v>1</v>
      </c>
    </row>
    <row r="539" customFormat="false" ht="15" hidden="false" customHeight="false" outlineLevel="0" collapsed="false">
      <c r="A539" s="652" t="n">
        <v>45610</v>
      </c>
      <c r="B539" s="123" t="n">
        <v>414</v>
      </c>
      <c r="C539" s="124" t="s">
        <v>150</v>
      </c>
      <c r="D539" s="124" t="s">
        <v>127</v>
      </c>
      <c r="E539" s="653" t="n">
        <v>609.5</v>
      </c>
      <c r="G539" s="653" t="n">
        <v>1477.75</v>
      </c>
      <c r="P539" s="123" t="n">
        <v>3</v>
      </c>
    </row>
    <row r="540" customFormat="false" ht="15" hidden="false" customHeight="false" outlineLevel="0" collapsed="false">
      <c r="A540" s="652" t="n">
        <v>45610</v>
      </c>
      <c r="B540" s="123" t="n">
        <v>417</v>
      </c>
      <c r="C540" s="124" t="s">
        <v>238</v>
      </c>
      <c r="D540" s="124" t="s">
        <v>127</v>
      </c>
      <c r="E540" s="123" t="n">
        <v>138</v>
      </c>
      <c r="G540" s="653" t="n">
        <v>1615.75</v>
      </c>
      <c r="M540" s="123" t="n">
        <v>1</v>
      </c>
      <c r="O540" s="123" t="n">
        <v>1</v>
      </c>
    </row>
    <row r="541" customFormat="false" ht="15" hidden="false" customHeight="false" outlineLevel="0" collapsed="false">
      <c r="A541" s="652" t="n">
        <v>45610</v>
      </c>
      <c r="B541" s="123" t="n">
        <v>418</v>
      </c>
      <c r="C541" s="124" t="s">
        <v>233</v>
      </c>
      <c r="D541" s="124" t="s">
        <v>127</v>
      </c>
      <c r="E541" s="653" t="n">
        <v>264.5</v>
      </c>
      <c r="G541" s="653" t="n">
        <v>1880.25</v>
      </c>
      <c r="H541" s="653" t="n">
        <v>-0.5</v>
      </c>
      <c r="K541" s="123" t="n">
        <v>1</v>
      </c>
    </row>
    <row r="542" customFormat="false" ht="15" hidden="false" customHeight="false" outlineLevel="0" collapsed="false">
      <c r="A542" s="652" t="n">
        <v>45610</v>
      </c>
      <c r="B542" s="123" t="n">
        <v>415</v>
      </c>
      <c r="C542" s="124" t="s">
        <v>151</v>
      </c>
      <c r="D542" s="124" t="s">
        <v>127</v>
      </c>
      <c r="E542" s="123" t="n">
        <v>621</v>
      </c>
      <c r="G542" s="653" t="n">
        <v>2501.25</v>
      </c>
      <c r="I542" s="123" t="n">
        <v>2</v>
      </c>
    </row>
    <row r="543" customFormat="false" ht="15" hidden="false" customHeight="false" outlineLevel="0" collapsed="false">
      <c r="A543" s="652" t="n">
        <v>45610</v>
      </c>
      <c r="B543" s="123" t="n">
        <v>420</v>
      </c>
      <c r="C543" s="124" t="s">
        <v>253</v>
      </c>
      <c r="D543" s="124" t="s">
        <v>127</v>
      </c>
      <c r="E543" s="123" t="n">
        <v>299</v>
      </c>
      <c r="G543" s="653" t="n">
        <v>2800.25</v>
      </c>
      <c r="P543" s="123" t="n">
        <v>1</v>
      </c>
    </row>
    <row r="544" customFormat="false" ht="15" hidden="false" customHeight="false" outlineLevel="0" collapsed="false">
      <c r="A544" s="652" t="n">
        <v>45610</v>
      </c>
      <c r="B544" s="123" t="n">
        <v>416</v>
      </c>
      <c r="C544" s="124" t="s">
        <v>159</v>
      </c>
      <c r="D544" s="124" t="s">
        <v>127</v>
      </c>
      <c r="E544" s="653" t="n">
        <v>718.75</v>
      </c>
      <c r="G544" s="123" t="n">
        <v>3519</v>
      </c>
      <c r="P544" s="123" t="n">
        <v>3</v>
      </c>
    </row>
    <row r="545" customFormat="false" ht="15" hidden="false" customHeight="false" outlineLevel="0" collapsed="false">
      <c r="A545" s="652" t="n">
        <v>45610</v>
      </c>
      <c r="B545" s="123" t="n">
        <v>421</v>
      </c>
      <c r="C545" s="124" t="s">
        <v>244</v>
      </c>
      <c r="D545" s="124" t="s">
        <v>127</v>
      </c>
      <c r="E545" s="653" t="n">
        <v>2449.5</v>
      </c>
      <c r="G545" s="653" t="n">
        <v>5968.5</v>
      </c>
      <c r="K545" s="123" t="n">
        <v>5</v>
      </c>
      <c r="P545" s="123" t="n">
        <v>4</v>
      </c>
    </row>
    <row r="546" customFormat="false" ht="15" hidden="false" customHeight="false" outlineLevel="0" collapsed="false">
      <c r="A546" s="652" t="n">
        <v>45610</v>
      </c>
      <c r="B546" s="123" t="n">
        <v>422</v>
      </c>
      <c r="C546" s="124" t="s">
        <v>244</v>
      </c>
      <c r="D546" s="124" t="s">
        <v>127</v>
      </c>
      <c r="E546" s="653" t="n">
        <v>310.5</v>
      </c>
      <c r="G546" s="123" t="n">
        <v>6279</v>
      </c>
      <c r="I546" s="123" t="n">
        <v>1</v>
      </c>
    </row>
    <row r="547" customFormat="false" ht="15" hidden="false" customHeight="false" outlineLevel="0" collapsed="false">
      <c r="A547" s="652" t="n">
        <v>45610</v>
      </c>
      <c r="B547" s="123" t="n">
        <v>419</v>
      </c>
      <c r="C547" s="124" t="s">
        <v>578</v>
      </c>
      <c r="D547" s="124" t="s">
        <v>127</v>
      </c>
      <c r="E547" s="653" t="n">
        <v>310.5</v>
      </c>
      <c r="G547" s="653" t="n">
        <v>6589.5</v>
      </c>
      <c r="I547" s="123" t="n">
        <v>1</v>
      </c>
    </row>
    <row r="548" customFormat="false" ht="15" hidden="false" customHeight="false" outlineLevel="0" collapsed="false">
      <c r="A548" s="652" t="n">
        <v>45610</v>
      </c>
      <c r="B548" s="124" t="s">
        <v>470</v>
      </c>
      <c r="C548" s="124" t="s">
        <v>393</v>
      </c>
      <c r="F548" s="653" t="n">
        <v>4856.5</v>
      </c>
      <c r="G548" s="123" t="n">
        <v>1733</v>
      </c>
    </row>
    <row r="549" customFormat="false" ht="15" hidden="false" customHeight="false" outlineLevel="0" collapsed="false">
      <c r="A549" s="652" t="n">
        <v>45613</v>
      </c>
      <c r="B549" s="124" t="s">
        <v>392</v>
      </c>
      <c r="C549" s="124" t="s">
        <v>393</v>
      </c>
      <c r="F549" s="123" t="n">
        <v>1733</v>
      </c>
      <c r="G549" s="123" t="n">
        <v>0</v>
      </c>
    </row>
    <row r="550" customFormat="false" ht="15" hidden="false" customHeight="false" outlineLevel="0" collapsed="false">
      <c r="A550" s="652" t="n">
        <v>45613</v>
      </c>
      <c r="B550" s="123" t="n">
        <v>423</v>
      </c>
      <c r="C550" s="124" t="s">
        <v>153</v>
      </c>
      <c r="D550" s="124" t="s">
        <v>127</v>
      </c>
      <c r="E550" s="123" t="n">
        <v>575</v>
      </c>
      <c r="G550" s="123" t="n">
        <v>575</v>
      </c>
      <c r="H550" s="123" t="n">
        <v>0</v>
      </c>
      <c r="I550" s="123" t="n">
        <v>1</v>
      </c>
      <c r="P550" s="123" t="n">
        <v>1</v>
      </c>
    </row>
    <row r="551" customFormat="false" ht="15" hidden="false" customHeight="false" outlineLevel="0" collapsed="false">
      <c r="A551" s="652" t="n">
        <v>45613</v>
      </c>
      <c r="B551" s="124" t="s">
        <v>470</v>
      </c>
      <c r="C551" s="124" t="s">
        <v>393</v>
      </c>
      <c r="F551" s="123" t="n">
        <v>575</v>
      </c>
      <c r="G551" s="123" t="n">
        <v>0</v>
      </c>
    </row>
    <row r="552" customFormat="false" ht="15" hidden="false" customHeight="false" outlineLevel="0" collapsed="false">
      <c r="A552" s="652" t="n">
        <v>45614</v>
      </c>
      <c r="B552" s="123" t="n">
        <v>424</v>
      </c>
      <c r="C552" s="124" t="s">
        <v>150</v>
      </c>
      <c r="D552" s="124" t="s">
        <v>127</v>
      </c>
      <c r="E552" s="653" t="n">
        <v>310.5</v>
      </c>
      <c r="G552" s="653" t="n">
        <v>310.5</v>
      </c>
      <c r="H552" s="123" t="n">
        <v>0</v>
      </c>
      <c r="I552" s="123" t="n">
        <v>1</v>
      </c>
    </row>
    <row r="553" customFormat="false" ht="15" hidden="false" customHeight="false" outlineLevel="0" collapsed="false">
      <c r="A553" s="652" t="n">
        <v>45614</v>
      </c>
      <c r="B553" s="123" t="n">
        <v>425</v>
      </c>
      <c r="C553" s="124" t="s">
        <v>178</v>
      </c>
      <c r="D553" s="124" t="s">
        <v>127</v>
      </c>
      <c r="E553" s="653" t="n">
        <v>264.5</v>
      </c>
      <c r="G553" s="123" t="n">
        <v>575</v>
      </c>
      <c r="H553" s="653" t="n">
        <v>-0.5</v>
      </c>
      <c r="K553" s="123" t="n">
        <v>1</v>
      </c>
    </row>
    <row r="554" customFormat="false" ht="15" hidden="false" customHeight="false" outlineLevel="0" collapsed="false">
      <c r="A554" s="652" t="n">
        <v>45614</v>
      </c>
      <c r="B554" s="124" t="s">
        <v>470</v>
      </c>
      <c r="C554" s="124" t="s">
        <v>393</v>
      </c>
      <c r="F554" s="123" t="n">
        <v>575</v>
      </c>
      <c r="G554" s="123" t="n">
        <v>0</v>
      </c>
    </row>
    <row r="555" customFormat="false" ht="15" hidden="false" customHeight="false" outlineLevel="0" collapsed="false">
      <c r="A555" s="652" t="n">
        <v>45615</v>
      </c>
      <c r="B555" s="123" t="n">
        <v>428</v>
      </c>
      <c r="C555" s="124" t="s">
        <v>96</v>
      </c>
      <c r="D555" s="124" t="s">
        <v>75</v>
      </c>
      <c r="E555" s="653" t="n">
        <v>948.75</v>
      </c>
      <c r="G555" s="653" t="n">
        <v>948.75</v>
      </c>
      <c r="L555" s="123" t="n">
        <v>3</v>
      </c>
    </row>
    <row r="556" customFormat="false" ht="15" hidden="false" customHeight="false" outlineLevel="0" collapsed="false">
      <c r="A556" s="652" t="n">
        <v>45615</v>
      </c>
      <c r="B556" s="123" t="n">
        <v>430</v>
      </c>
      <c r="C556" s="124" t="s">
        <v>101</v>
      </c>
      <c r="D556" s="124" t="s">
        <v>75</v>
      </c>
      <c r="E556" s="123" t="n">
        <v>621</v>
      </c>
      <c r="G556" s="653" t="n">
        <v>1569.75</v>
      </c>
      <c r="I556" s="123" t="n">
        <v>2</v>
      </c>
    </row>
    <row r="557" customFormat="false" ht="15" hidden="false" customHeight="false" outlineLevel="0" collapsed="false">
      <c r="A557" s="652" t="n">
        <v>45615</v>
      </c>
      <c r="B557" s="123" t="n">
        <v>429</v>
      </c>
      <c r="C557" s="124" t="s">
        <v>97</v>
      </c>
      <c r="D557" s="124" t="s">
        <v>75</v>
      </c>
      <c r="E557" s="123" t="n">
        <v>138</v>
      </c>
      <c r="G557" s="653" t="n">
        <v>1707.75</v>
      </c>
      <c r="O557" s="123" t="n">
        <v>1</v>
      </c>
    </row>
    <row r="558" customFormat="false" ht="15" hidden="false" customHeight="false" outlineLevel="0" collapsed="false">
      <c r="A558" s="652" t="n">
        <v>45615</v>
      </c>
      <c r="B558" s="123" t="n">
        <v>427</v>
      </c>
      <c r="C558" s="124" t="s">
        <v>309</v>
      </c>
      <c r="D558" s="124" t="s">
        <v>301</v>
      </c>
      <c r="E558" s="123" t="n">
        <v>299</v>
      </c>
      <c r="G558" s="653" t="n">
        <v>2006.75</v>
      </c>
      <c r="P558" s="123" t="n">
        <v>1</v>
      </c>
    </row>
    <row r="559" customFormat="false" ht="15" hidden="false" customHeight="false" outlineLevel="0" collapsed="false">
      <c r="A559" s="652" t="n">
        <v>45615</v>
      </c>
      <c r="B559" s="123" t="n">
        <v>426</v>
      </c>
      <c r="C559" s="124" t="s">
        <v>316</v>
      </c>
      <c r="D559" s="124" t="s">
        <v>301</v>
      </c>
      <c r="E559" s="123" t="n">
        <v>299</v>
      </c>
      <c r="G559" s="653" t="n">
        <v>2305.75</v>
      </c>
      <c r="P559" s="123" t="n">
        <v>1</v>
      </c>
    </row>
    <row r="560" customFormat="false" ht="15" hidden="false" customHeight="false" outlineLevel="0" collapsed="false">
      <c r="A560" s="652" t="n">
        <v>45615</v>
      </c>
      <c r="B560" s="123" t="n">
        <v>431</v>
      </c>
      <c r="C560" s="124" t="s">
        <v>107</v>
      </c>
      <c r="D560" s="124" t="s">
        <v>105</v>
      </c>
      <c r="E560" s="653" t="n">
        <v>1552.5</v>
      </c>
      <c r="G560" s="653" t="n">
        <v>3858.25</v>
      </c>
      <c r="I560" s="123" t="n">
        <v>5</v>
      </c>
    </row>
    <row r="561" customFormat="false" ht="15" hidden="false" customHeight="false" outlineLevel="0" collapsed="false">
      <c r="A561" s="652" t="n">
        <v>45615</v>
      </c>
      <c r="B561" s="124" t="s">
        <v>470</v>
      </c>
      <c r="C561" s="124" t="s">
        <v>393</v>
      </c>
      <c r="F561" s="653" t="n">
        <v>3858.25</v>
      </c>
      <c r="G561" s="123" t="n">
        <v>0</v>
      </c>
    </row>
    <row r="562" customFormat="false" ht="15" hidden="false" customHeight="false" outlineLevel="0" collapsed="false">
      <c r="A562" s="652" t="n">
        <v>45616</v>
      </c>
      <c r="B562" s="123" t="n">
        <v>432</v>
      </c>
      <c r="C562" s="124" t="s">
        <v>296</v>
      </c>
      <c r="D562" s="124" t="s">
        <v>286</v>
      </c>
      <c r="E562" s="653" t="n">
        <v>2401.2</v>
      </c>
      <c r="G562" s="653" t="n">
        <v>2401.2</v>
      </c>
      <c r="O562" s="123" t="n">
        <v>12</v>
      </c>
    </row>
    <row r="563" customFormat="false" ht="15" hidden="false" customHeight="false" outlineLevel="0" collapsed="false">
      <c r="A563" s="652" t="n">
        <v>45615</v>
      </c>
      <c r="B563" s="124" t="s">
        <v>392</v>
      </c>
      <c r="C563" s="124" t="s">
        <v>393</v>
      </c>
      <c r="F563" s="123" t="n">
        <v>2401</v>
      </c>
      <c r="G563" s="653" t="n">
        <v>0.199999999999818</v>
      </c>
    </row>
    <row r="564" customFormat="false" ht="15" hidden="false" customHeight="false" outlineLevel="0" collapsed="false">
      <c r="A564" s="652" t="n">
        <v>45617</v>
      </c>
      <c r="B564" s="123" t="n">
        <v>433</v>
      </c>
      <c r="C564" s="124" t="s">
        <v>266</v>
      </c>
      <c r="D564" s="124" t="s">
        <v>127</v>
      </c>
      <c r="E564" s="653" t="n">
        <v>1040.75</v>
      </c>
      <c r="G564" s="653" t="n">
        <v>1040.95</v>
      </c>
      <c r="H564" s="123" t="n">
        <v>0</v>
      </c>
      <c r="K564" s="123" t="n">
        <v>1</v>
      </c>
      <c r="M564" s="123" t="n">
        <v>3</v>
      </c>
    </row>
    <row r="565" customFormat="false" ht="15" hidden="false" customHeight="false" outlineLevel="0" collapsed="false">
      <c r="A565" s="652" t="n">
        <v>45617</v>
      </c>
      <c r="B565" s="123" t="n">
        <v>434</v>
      </c>
      <c r="C565" s="124" t="s">
        <v>160</v>
      </c>
      <c r="D565" s="124" t="s">
        <v>127</v>
      </c>
      <c r="E565" s="653" t="n">
        <v>448.5</v>
      </c>
      <c r="G565" s="653" t="n">
        <v>1489.45</v>
      </c>
      <c r="H565" s="653" t="n">
        <v>-1.5</v>
      </c>
      <c r="I565" s="123" t="n">
        <v>1</v>
      </c>
      <c r="O565" s="123" t="n">
        <v>1</v>
      </c>
    </row>
    <row r="566" customFormat="false" ht="15" hidden="false" customHeight="false" outlineLevel="0" collapsed="false">
      <c r="A566" s="652" t="n">
        <v>45617</v>
      </c>
      <c r="B566" s="123" t="n">
        <v>435</v>
      </c>
      <c r="C566" s="124" t="s">
        <v>159</v>
      </c>
      <c r="D566" s="124" t="s">
        <v>127</v>
      </c>
      <c r="E566" s="653" t="n">
        <v>448.5</v>
      </c>
      <c r="G566" s="653" t="n">
        <v>1937.95</v>
      </c>
      <c r="H566" s="653" t="n">
        <v>0.5</v>
      </c>
      <c r="I566" s="123" t="n">
        <v>1</v>
      </c>
      <c r="O566" s="123" t="n">
        <v>1</v>
      </c>
    </row>
    <row r="567" customFormat="false" ht="15" hidden="false" customHeight="false" outlineLevel="0" collapsed="false">
      <c r="A567" s="652" t="n">
        <v>45617</v>
      </c>
      <c r="B567" s="123" t="n">
        <v>436</v>
      </c>
      <c r="C567" s="124" t="s">
        <v>234</v>
      </c>
      <c r="D567" s="124" t="s">
        <v>127</v>
      </c>
      <c r="E567" s="123" t="n">
        <v>138</v>
      </c>
      <c r="G567" s="653" t="n">
        <v>2075.95</v>
      </c>
      <c r="H567" s="123" t="n">
        <v>0</v>
      </c>
      <c r="O567" s="123" t="n">
        <v>1</v>
      </c>
    </row>
    <row r="568" customFormat="false" ht="15" hidden="false" customHeight="false" outlineLevel="0" collapsed="false">
      <c r="A568" s="652" t="n">
        <v>45610</v>
      </c>
      <c r="B568" s="124" t="s">
        <v>470</v>
      </c>
      <c r="C568" s="124" t="s">
        <v>393</v>
      </c>
      <c r="F568" s="653" t="n">
        <v>2075.75</v>
      </c>
      <c r="G568" s="653" t="n">
        <v>0.199999999999818</v>
      </c>
    </row>
    <row r="569" customFormat="false" ht="15" hidden="false" customHeight="false" outlineLevel="0" collapsed="false">
      <c r="A569" s="652" t="n">
        <v>45620</v>
      </c>
      <c r="B569" s="123" t="n">
        <v>438</v>
      </c>
      <c r="C569" s="124" t="s">
        <v>167</v>
      </c>
      <c r="D569" s="124" t="s">
        <v>127</v>
      </c>
      <c r="E569" s="653" t="n">
        <v>738.3</v>
      </c>
      <c r="G569" s="653" t="n">
        <v>738.5</v>
      </c>
      <c r="O569" s="123" t="n">
        <v>3</v>
      </c>
    </row>
    <row r="570" customFormat="false" ht="15" hidden="false" customHeight="false" outlineLevel="0" collapsed="false">
      <c r="A570" s="652" t="n">
        <v>45620</v>
      </c>
      <c r="B570" s="123" t="n">
        <v>437</v>
      </c>
      <c r="C570" s="124" t="s">
        <v>234</v>
      </c>
      <c r="D570" s="124" t="s">
        <v>127</v>
      </c>
      <c r="E570" s="653" t="n">
        <v>155.25</v>
      </c>
      <c r="G570" s="653" t="n">
        <v>893.75</v>
      </c>
      <c r="H570" s="653" t="n">
        <v>0.25</v>
      </c>
      <c r="P570" s="123" t="n">
        <v>1</v>
      </c>
    </row>
    <row r="571" customFormat="false" ht="15" hidden="false" customHeight="false" outlineLevel="0" collapsed="false">
      <c r="A571" s="652" t="n">
        <v>45621</v>
      </c>
      <c r="B571" s="124" t="s">
        <v>638</v>
      </c>
      <c r="C571" s="124" t="s">
        <v>393</v>
      </c>
      <c r="F571" s="653" t="n">
        <v>893.5</v>
      </c>
      <c r="G571" s="653" t="n">
        <v>0.249999999999773</v>
      </c>
    </row>
    <row r="572" customFormat="false" ht="15" hidden="false" customHeight="false" outlineLevel="0" collapsed="false">
      <c r="A572" s="652" t="n">
        <v>45621</v>
      </c>
      <c r="B572" s="123" t="n">
        <v>439</v>
      </c>
      <c r="C572" s="124" t="s">
        <v>147</v>
      </c>
      <c r="D572" s="124" t="s">
        <v>127</v>
      </c>
      <c r="E572" s="123" t="n">
        <v>138</v>
      </c>
      <c r="G572" s="653" t="n">
        <v>138.25</v>
      </c>
      <c r="O572" s="123" t="n">
        <v>1</v>
      </c>
    </row>
    <row r="573" customFormat="false" ht="15" hidden="false" customHeight="false" outlineLevel="0" collapsed="false">
      <c r="A573" s="652" t="n">
        <v>45620</v>
      </c>
      <c r="B573" s="124" t="s">
        <v>651</v>
      </c>
      <c r="C573" s="124" t="s">
        <v>144</v>
      </c>
      <c r="D573" s="124" t="s">
        <v>127</v>
      </c>
      <c r="E573" s="653" t="n">
        <v>155.25</v>
      </c>
      <c r="G573" s="653" t="n">
        <v>293.5</v>
      </c>
      <c r="H573" s="653" t="n">
        <v>0.25</v>
      </c>
      <c r="P573" s="123" t="n">
        <v>1</v>
      </c>
    </row>
    <row r="574" customFormat="false" ht="15" hidden="false" customHeight="false" outlineLevel="0" collapsed="false">
      <c r="A574" s="652" t="n">
        <v>45620</v>
      </c>
      <c r="B574" s="123" t="n">
        <v>442</v>
      </c>
      <c r="C574" s="124" t="s">
        <v>178</v>
      </c>
      <c r="D574" s="124" t="s">
        <v>127</v>
      </c>
      <c r="E574" s="653" t="n">
        <v>178.25</v>
      </c>
      <c r="G574" s="653" t="n">
        <v>471.75</v>
      </c>
      <c r="H574" s="123" t="n">
        <v>0</v>
      </c>
      <c r="J574" s="123" t="n">
        <v>1</v>
      </c>
    </row>
    <row r="575" customFormat="false" ht="15" hidden="false" customHeight="false" outlineLevel="0" collapsed="false">
      <c r="A575" s="652" t="n">
        <v>45620</v>
      </c>
      <c r="B575" s="123" t="n">
        <v>443</v>
      </c>
      <c r="C575" s="124" t="s">
        <v>150</v>
      </c>
      <c r="D575" s="124" t="s">
        <v>127</v>
      </c>
      <c r="E575" s="653" t="n">
        <v>264.5</v>
      </c>
      <c r="G575" s="653" t="n">
        <v>736.25</v>
      </c>
      <c r="H575" s="123" t="n">
        <v>0</v>
      </c>
      <c r="P575" s="123" t="n">
        <v>1</v>
      </c>
    </row>
    <row r="576" customFormat="false" ht="15" hidden="false" customHeight="false" outlineLevel="0" collapsed="false">
      <c r="A576" s="652" t="n">
        <v>45621</v>
      </c>
      <c r="B576" s="123" t="n">
        <v>446</v>
      </c>
      <c r="C576" s="124" t="s">
        <v>237</v>
      </c>
      <c r="D576" s="124" t="s">
        <v>127</v>
      </c>
      <c r="E576" s="653" t="n">
        <v>310.5</v>
      </c>
      <c r="G576" s="653" t="n">
        <v>1046.75</v>
      </c>
      <c r="H576" s="653" t="n">
        <v>0.5</v>
      </c>
      <c r="I576" s="123" t="n">
        <v>1</v>
      </c>
    </row>
    <row r="577" customFormat="false" ht="15" hidden="false" customHeight="false" outlineLevel="0" collapsed="false">
      <c r="A577" s="652" t="n">
        <v>45621</v>
      </c>
      <c r="B577" s="123" t="n">
        <v>445</v>
      </c>
      <c r="C577" s="124" t="s">
        <v>153</v>
      </c>
      <c r="D577" s="124" t="s">
        <v>127</v>
      </c>
      <c r="E577" s="653" t="n">
        <v>264.5</v>
      </c>
      <c r="G577" s="653" t="n">
        <v>1311.25</v>
      </c>
      <c r="H577" s="653" t="n">
        <v>-0.5</v>
      </c>
      <c r="K577" s="123" t="n">
        <v>1</v>
      </c>
    </row>
    <row r="578" customFormat="false" ht="15" hidden="false" customHeight="false" outlineLevel="0" collapsed="false">
      <c r="A578" s="652" t="n">
        <v>45621</v>
      </c>
      <c r="B578" s="123" t="n">
        <v>444</v>
      </c>
      <c r="C578" s="124" t="s">
        <v>177</v>
      </c>
      <c r="D578" s="124" t="s">
        <v>127</v>
      </c>
      <c r="E578" s="653" t="n">
        <v>155.25</v>
      </c>
      <c r="G578" s="653" t="n">
        <v>1466.5</v>
      </c>
      <c r="H578" s="123" t="n">
        <v>0</v>
      </c>
      <c r="P578" s="123" t="n">
        <v>1</v>
      </c>
    </row>
    <row r="579" customFormat="false" ht="15" hidden="false" customHeight="false" outlineLevel="0" collapsed="false">
      <c r="A579" s="652" t="n">
        <v>45621</v>
      </c>
      <c r="B579" s="123" t="n">
        <v>447</v>
      </c>
      <c r="C579" s="124" t="s">
        <v>167</v>
      </c>
      <c r="D579" s="124" t="s">
        <v>127</v>
      </c>
      <c r="E579" s="653" t="n">
        <v>448.5</v>
      </c>
      <c r="G579" s="123" t="n">
        <v>1915</v>
      </c>
      <c r="H579" s="123" t="n">
        <v>0</v>
      </c>
      <c r="I579" s="123" t="n">
        <v>1</v>
      </c>
      <c r="O579" s="123" t="n">
        <v>1</v>
      </c>
    </row>
    <row r="580" customFormat="false" ht="15" hidden="false" customHeight="false" outlineLevel="0" collapsed="false">
      <c r="A580" s="652" t="n">
        <v>45621</v>
      </c>
      <c r="B580" s="123" t="n">
        <v>441</v>
      </c>
      <c r="C580" s="124" t="s">
        <v>132</v>
      </c>
      <c r="D580" s="124" t="s">
        <v>127</v>
      </c>
      <c r="E580" s="653" t="n">
        <v>155.25</v>
      </c>
      <c r="G580" s="653" t="n">
        <v>2070.25</v>
      </c>
      <c r="H580" s="653" t="n">
        <v>0.25</v>
      </c>
      <c r="P580" s="123" t="n">
        <v>1</v>
      </c>
    </row>
    <row r="581" customFormat="false" ht="15" hidden="false" customHeight="false" outlineLevel="0" collapsed="false">
      <c r="A581" s="652" t="n">
        <v>45622</v>
      </c>
      <c r="B581" s="124" t="s">
        <v>470</v>
      </c>
      <c r="C581" s="124" t="s">
        <v>393</v>
      </c>
      <c r="F581" s="123" t="n">
        <v>350</v>
      </c>
      <c r="G581" s="653" t="n">
        <v>1720.25</v>
      </c>
    </row>
    <row r="582" customFormat="false" ht="15" hidden="false" customHeight="false" outlineLevel="0" collapsed="false">
      <c r="A582" s="652" t="n">
        <v>45622</v>
      </c>
      <c r="B582" s="124" t="s">
        <v>392</v>
      </c>
      <c r="C582" s="124" t="s">
        <v>393</v>
      </c>
      <c r="F582" s="123" t="n">
        <v>1720</v>
      </c>
      <c r="G582" s="653" t="n">
        <v>0.25</v>
      </c>
    </row>
    <row r="583" customFormat="false" ht="15" hidden="false" customHeight="false" outlineLevel="0" collapsed="false">
      <c r="A583" s="652" t="n">
        <v>45622</v>
      </c>
      <c r="B583" s="123" t="n">
        <v>448</v>
      </c>
      <c r="C583" s="124" t="s">
        <v>81</v>
      </c>
      <c r="D583" s="124" t="s">
        <v>75</v>
      </c>
      <c r="E583" s="653" t="n">
        <v>155.25</v>
      </c>
      <c r="G583" s="653" t="n">
        <v>155.5</v>
      </c>
      <c r="P583" s="123" t="n">
        <v>1</v>
      </c>
    </row>
    <row r="584" customFormat="false" ht="15" hidden="false" customHeight="false" outlineLevel="0" collapsed="false">
      <c r="A584" s="652" t="n">
        <v>45622</v>
      </c>
      <c r="B584" s="123" t="n">
        <v>449</v>
      </c>
      <c r="C584" s="124" t="s">
        <v>81</v>
      </c>
      <c r="D584" s="124" t="s">
        <v>75</v>
      </c>
      <c r="E584" s="123" t="n">
        <v>138</v>
      </c>
      <c r="G584" s="653" t="n">
        <v>293.5</v>
      </c>
      <c r="O584" s="123" t="n">
        <v>1</v>
      </c>
    </row>
    <row r="585" customFormat="false" ht="15" hidden="false" customHeight="false" outlineLevel="0" collapsed="false">
      <c r="A585" s="652" t="n">
        <v>45622</v>
      </c>
      <c r="B585" s="123" t="n">
        <v>450</v>
      </c>
      <c r="C585" s="124" t="s">
        <v>77</v>
      </c>
      <c r="D585" s="124" t="s">
        <v>75</v>
      </c>
      <c r="E585" s="653" t="n">
        <v>465.75</v>
      </c>
      <c r="G585" s="653" t="n">
        <v>759.25</v>
      </c>
      <c r="I585" s="123" t="n">
        <v>1</v>
      </c>
      <c r="P585" s="123" t="n">
        <v>1</v>
      </c>
    </row>
    <row r="586" customFormat="false" ht="15" hidden="false" customHeight="false" outlineLevel="0" collapsed="false">
      <c r="A586" s="652" t="n">
        <v>45622</v>
      </c>
      <c r="B586" s="123" t="n">
        <v>451</v>
      </c>
      <c r="C586" s="124" t="s">
        <v>77</v>
      </c>
      <c r="D586" s="124" t="s">
        <v>75</v>
      </c>
      <c r="E586" s="123" t="n">
        <v>138</v>
      </c>
      <c r="G586" s="653" t="n">
        <v>897.25</v>
      </c>
      <c r="O586" s="123" t="n">
        <v>1</v>
      </c>
    </row>
    <row r="587" customFormat="false" ht="15" hidden="false" customHeight="false" outlineLevel="0" collapsed="false">
      <c r="A587" s="652" t="n">
        <v>45622</v>
      </c>
      <c r="B587" s="123" t="n">
        <v>452</v>
      </c>
      <c r="C587" s="124" t="s">
        <v>99</v>
      </c>
      <c r="D587" s="124" t="s">
        <v>75</v>
      </c>
      <c r="E587" s="653" t="n">
        <v>1098.25</v>
      </c>
      <c r="G587" s="653" t="n">
        <v>1995.5</v>
      </c>
      <c r="K587" s="123" t="n">
        <v>1</v>
      </c>
      <c r="L587" s="123" t="n">
        <v>1</v>
      </c>
      <c r="M587" s="123" t="n">
        <v>2</v>
      </c>
    </row>
    <row r="588" customFormat="false" ht="15" hidden="false" customHeight="false" outlineLevel="0" collapsed="false">
      <c r="A588" s="652" t="n">
        <v>45622</v>
      </c>
      <c r="B588" s="123" t="n">
        <v>453</v>
      </c>
      <c r="C588" s="124" t="s">
        <v>100</v>
      </c>
      <c r="D588" s="124" t="s">
        <v>75</v>
      </c>
      <c r="E588" s="653" t="n">
        <v>310.5</v>
      </c>
      <c r="G588" s="123" t="n">
        <v>2306</v>
      </c>
      <c r="I588" s="123" t="n">
        <v>1</v>
      </c>
    </row>
    <row r="589" customFormat="false" ht="15" hidden="false" customHeight="false" outlineLevel="0" collapsed="false">
      <c r="A589" s="652" t="n">
        <v>45622</v>
      </c>
      <c r="B589" s="123" t="n">
        <v>454</v>
      </c>
      <c r="C589" s="124" t="s">
        <v>112</v>
      </c>
      <c r="D589" s="124" t="s">
        <v>105</v>
      </c>
      <c r="E589" s="123" t="n">
        <v>621</v>
      </c>
      <c r="G589" s="123" t="n">
        <v>2927</v>
      </c>
      <c r="H589" s="123" t="n">
        <v>1</v>
      </c>
      <c r="I589" s="123" t="n">
        <v>2</v>
      </c>
    </row>
    <row r="590" customFormat="false" ht="15" hidden="false" customHeight="false" outlineLevel="0" collapsed="false">
      <c r="A590" s="652" t="n">
        <v>45622</v>
      </c>
      <c r="B590" s="123" t="n">
        <v>455</v>
      </c>
      <c r="C590" s="124" t="s">
        <v>108</v>
      </c>
      <c r="D590" s="124" t="s">
        <v>105</v>
      </c>
      <c r="E590" s="123" t="n">
        <v>1242</v>
      </c>
      <c r="G590" s="123" t="n">
        <v>4169</v>
      </c>
      <c r="I590" s="123" t="n">
        <v>4</v>
      </c>
    </row>
    <row r="591" customFormat="false" ht="15" hidden="false" customHeight="false" outlineLevel="0" collapsed="false">
      <c r="A591" s="652" t="n">
        <v>45622</v>
      </c>
      <c r="B591" s="123" t="n">
        <v>456</v>
      </c>
      <c r="C591" s="124" t="s">
        <v>111</v>
      </c>
      <c r="D591" s="124" t="s">
        <v>105</v>
      </c>
      <c r="E591" s="653" t="n">
        <v>310.5</v>
      </c>
      <c r="G591" s="653" t="n">
        <v>4479.5</v>
      </c>
      <c r="I591" s="123" t="n">
        <v>1</v>
      </c>
    </row>
    <row r="592" customFormat="false" ht="15" hidden="false" customHeight="false" outlineLevel="0" collapsed="false">
      <c r="A592" s="652" t="n">
        <v>45622</v>
      </c>
      <c r="B592" s="123" t="n">
        <v>457</v>
      </c>
      <c r="C592" s="124" t="s">
        <v>110</v>
      </c>
      <c r="D592" s="124" t="s">
        <v>105</v>
      </c>
      <c r="E592" s="123" t="n">
        <v>3726</v>
      </c>
      <c r="G592" s="653" t="n">
        <v>8205.5</v>
      </c>
      <c r="I592" s="123" t="n">
        <v>12</v>
      </c>
    </row>
    <row r="593" customFormat="false" ht="15" hidden="false" customHeight="false" outlineLevel="0" collapsed="false">
      <c r="A593" s="652" t="n">
        <v>45622</v>
      </c>
      <c r="B593" s="123" t="n">
        <v>458</v>
      </c>
      <c r="C593" s="124" t="s">
        <v>114</v>
      </c>
      <c r="D593" s="124" t="s">
        <v>105</v>
      </c>
      <c r="E593" s="653" t="n">
        <v>931.5</v>
      </c>
      <c r="G593" s="123" t="n">
        <v>9137</v>
      </c>
      <c r="I593" s="123" t="n">
        <v>3</v>
      </c>
    </row>
    <row r="594" customFormat="false" ht="15" hidden="false" customHeight="false" outlineLevel="0" collapsed="false">
      <c r="A594" s="652" t="n">
        <v>45622</v>
      </c>
      <c r="B594" s="123" t="n">
        <v>459</v>
      </c>
      <c r="C594" s="124" t="s">
        <v>109</v>
      </c>
      <c r="D594" s="124" t="s">
        <v>105</v>
      </c>
      <c r="E594" s="123" t="n">
        <v>2300</v>
      </c>
      <c r="G594" s="123" t="n">
        <v>11437</v>
      </c>
      <c r="H594" s="123" t="n">
        <v>0</v>
      </c>
      <c r="I594" s="123" t="n">
        <v>4</v>
      </c>
      <c r="K594" s="123" t="n">
        <v>4</v>
      </c>
    </row>
    <row r="595" customFormat="false" ht="15" hidden="false" customHeight="false" outlineLevel="0" collapsed="false">
      <c r="A595" s="652" t="n">
        <v>45622</v>
      </c>
      <c r="B595" s="123" t="n">
        <v>460</v>
      </c>
      <c r="C595" s="124" t="s">
        <v>109</v>
      </c>
      <c r="D595" s="124" t="s">
        <v>105</v>
      </c>
      <c r="E595" s="653" t="n">
        <v>310.5</v>
      </c>
      <c r="G595" s="653" t="n">
        <v>11747.5</v>
      </c>
      <c r="P595" s="123" t="n">
        <v>2</v>
      </c>
    </row>
    <row r="596" customFormat="false" ht="15" hidden="false" customHeight="false" outlineLevel="0" collapsed="false">
      <c r="A596" s="652" t="n">
        <v>45622</v>
      </c>
      <c r="B596" s="123" t="n">
        <v>463</v>
      </c>
      <c r="C596" s="124" t="s">
        <v>89</v>
      </c>
      <c r="D596" s="124" t="s">
        <v>75</v>
      </c>
      <c r="E596" s="653" t="n">
        <v>1857.25</v>
      </c>
      <c r="G596" s="653" t="n">
        <v>13604.75</v>
      </c>
      <c r="K596" s="123" t="n">
        <v>2</v>
      </c>
      <c r="L596" s="123" t="n">
        <v>2</v>
      </c>
      <c r="M596" s="123" t="n">
        <v>1</v>
      </c>
    </row>
    <row r="597" customFormat="false" ht="15" hidden="false" customHeight="false" outlineLevel="0" collapsed="false">
      <c r="A597" s="652" t="n">
        <v>45622</v>
      </c>
      <c r="B597" s="123" t="n">
        <v>462</v>
      </c>
      <c r="C597" s="124" t="s">
        <v>295</v>
      </c>
      <c r="D597" s="124" t="s">
        <v>286</v>
      </c>
      <c r="E597" s="653" t="n">
        <v>402.5</v>
      </c>
      <c r="G597" s="653" t="n">
        <v>14007.25</v>
      </c>
      <c r="H597" s="123" t="n">
        <v>0</v>
      </c>
      <c r="K597" s="123" t="n">
        <v>1</v>
      </c>
      <c r="O597" s="123" t="n">
        <v>1</v>
      </c>
    </row>
    <row r="598" customFormat="false" ht="15" hidden="false" customHeight="false" outlineLevel="0" collapsed="false">
      <c r="A598" s="652" t="n">
        <v>45622</v>
      </c>
      <c r="B598" s="123" t="n">
        <v>461</v>
      </c>
      <c r="C598" s="124" t="s">
        <v>101</v>
      </c>
      <c r="D598" s="124" t="s">
        <v>75</v>
      </c>
      <c r="E598" s="653" t="n">
        <v>310.5</v>
      </c>
      <c r="G598" s="653" t="n">
        <v>14317.75</v>
      </c>
      <c r="I598" s="123" t="n">
        <v>1</v>
      </c>
    </row>
    <row r="599" customFormat="false" ht="15" hidden="false" customHeight="false" outlineLevel="0" collapsed="false">
      <c r="A599" s="652" t="n">
        <v>45622</v>
      </c>
      <c r="B599" s="123" t="n">
        <v>465</v>
      </c>
      <c r="C599" s="124" t="s">
        <v>96</v>
      </c>
      <c r="D599" s="124" t="s">
        <v>75</v>
      </c>
      <c r="E599" s="653" t="n">
        <v>1707.75</v>
      </c>
      <c r="G599" s="653" t="n">
        <v>16025.5</v>
      </c>
      <c r="I599" s="123" t="n">
        <v>3</v>
      </c>
      <c r="M599" s="123" t="n">
        <v>3</v>
      </c>
    </row>
    <row r="600" customFormat="false" ht="15" hidden="false" customHeight="false" outlineLevel="0" collapsed="false">
      <c r="A600" s="652" t="n">
        <v>45622</v>
      </c>
      <c r="B600" s="123" t="n">
        <v>464</v>
      </c>
      <c r="C600" s="124" t="s">
        <v>90</v>
      </c>
      <c r="D600" s="124" t="s">
        <v>75</v>
      </c>
      <c r="E600" s="123" t="n">
        <v>529</v>
      </c>
      <c r="G600" s="653" t="n">
        <v>16554.5</v>
      </c>
      <c r="K600" s="123" t="n">
        <v>2</v>
      </c>
    </row>
    <row r="601" customFormat="false" ht="15" hidden="false" customHeight="false" outlineLevel="0" collapsed="false">
      <c r="A601" s="652" t="n">
        <v>45622</v>
      </c>
      <c r="B601" s="124" t="s">
        <v>470</v>
      </c>
      <c r="C601" s="124" t="s">
        <v>393</v>
      </c>
      <c r="F601" s="123" t="n">
        <v>7722</v>
      </c>
      <c r="G601" s="653" t="n">
        <v>8832.5</v>
      </c>
    </row>
    <row r="602" customFormat="false" ht="15" hidden="false" customHeight="false" outlineLevel="0" collapsed="false">
      <c r="A602" s="652" t="n">
        <v>45622</v>
      </c>
      <c r="B602" s="124" t="s">
        <v>392</v>
      </c>
      <c r="C602" s="124" t="s">
        <v>393</v>
      </c>
      <c r="F602" s="123" t="n">
        <v>8832</v>
      </c>
      <c r="G602" s="653" t="n">
        <v>0.5</v>
      </c>
    </row>
    <row r="603" customFormat="false" ht="15" hidden="false" customHeight="false" outlineLevel="0" collapsed="false">
      <c r="A603" s="652" t="n">
        <v>45623</v>
      </c>
      <c r="B603" s="123" t="n">
        <v>466</v>
      </c>
      <c r="C603" s="124" t="s">
        <v>176</v>
      </c>
      <c r="D603" s="124" t="s">
        <v>127</v>
      </c>
      <c r="E603" s="123" t="n">
        <v>138</v>
      </c>
      <c r="G603" s="653" t="n">
        <v>138.5</v>
      </c>
      <c r="H603" s="123" t="n">
        <v>0</v>
      </c>
      <c r="O603" s="123" t="n">
        <v>1</v>
      </c>
    </row>
    <row r="604" customFormat="false" ht="15" hidden="false" customHeight="false" outlineLevel="0" collapsed="false">
      <c r="A604" s="652" t="n">
        <v>45623</v>
      </c>
      <c r="B604" s="123" t="n">
        <v>467</v>
      </c>
      <c r="C604" s="124" t="s">
        <v>179</v>
      </c>
      <c r="D604" s="124" t="s">
        <v>127</v>
      </c>
      <c r="E604" s="653" t="n">
        <v>488.75</v>
      </c>
      <c r="G604" s="653" t="n">
        <v>627.25</v>
      </c>
      <c r="I604" s="123" t="n">
        <v>1</v>
      </c>
      <c r="J604" s="123" t="n">
        <v>1</v>
      </c>
    </row>
    <row r="605" customFormat="false" ht="15" hidden="false" customHeight="false" outlineLevel="0" collapsed="false">
      <c r="A605" s="652" t="n">
        <v>45623</v>
      </c>
      <c r="B605" s="123" t="n">
        <v>468</v>
      </c>
      <c r="C605" s="124" t="s">
        <v>178</v>
      </c>
      <c r="D605" s="124" t="s">
        <v>127</v>
      </c>
      <c r="E605" s="653" t="n">
        <v>310.5</v>
      </c>
      <c r="G605" s="653" t="n">
        <v>937.75</v>
      </c>
      <c r="H605" s="123" t="n">
        <v>0</v>
      </c>
      <c r="I605" s="123" t="n">
        <v>1</v>
      </c>
    </row>
    <row r="606" customFormat="false" ht="15" hidden="false" customHeight="false" outlineLevel="0" collapsed="false">
      <c r="A606" s="652" t="n">
        <v>45623</v>
      </c>
      <c r="B606" s="123" t="n">
        <v>469</v>
      </c>
      <c r="C606" s="124" t="s">
        <v>160</v>
      </c>
      <c r="D606" s="124" t="s">
        <v>127</v>
      </c>
      <c r="E606" s="123" t="n">
        <v>621</v>
      </c>
      <c r="G606" s="653" t="n">
        <v>1558.75</v>
      </c>
      <c r="H606" s="123" t="n">
        <v>0</v>
      </c>
      <c r="I606" s="123" t="n">
        <v>2</v>
      </c>
    </row>
    <row r="607" customFormat="false" ht="15" hidden="false" customHeight="false" outlineLevel="0" collapsed="false">
      <c r="A607" s="652" t="n">
        <v>45623</v>
      </c>
      <c r="B607" s="123" t="n">
        <v>470</v>
      </c>
      <c r="C607" s="124" t="s">
        <v>153</v>
      </c>
      <c r="D607" s="124" t="s">
        <v>127</v>
      </c>
      <c r="E607" s="653" t="n">
        <v>310.5</v>
      </c>
      <c r="G607" s="653" t="n">
        <v>1869.25</v>
      </c>
      <c r="I607" s="123" t="n">
        <v>1</v>
      </c>
    </row>
    <row r="608" customFormat="false" ht="15" hidden="false" customHeight="false" outlineLevel="0" collapsed="false">
      <c r="A608" s="652" t="n">
        <v>45624</v>
      </c>
      <c r="B608" s="123" t="n">
        <v>471</v>
      </c>
      <c r="C608" s="124" t="s">
        <v>237</v>
      </c>
      <c r="D608" s="124" t="s">
        <v>127</v>
      </c>
      <c r="E608" s="653" t="n">
        <v>293.25</v>
      </c>
      <c r="G608" s="653" t="n">
        <v>2162.5</v>
      </c>
      <c r="H608" s="653" t="n">
        <v>-0.25</v>
      </c>
      <c r="O608" s="123" t="n">
        <v>1</v>
      </c>
      <c r="P608" s="123" t="n">
        <v>1</v>
      </c>
    </row>
    <row r="609" customFormat="false" ht="15" hidden="false" customHeight="false" outlineLevel="0" collapsed="false">
      <c r="A609" s="652" t="n">
        <v>45624</v>
      </c>
      <c r="B609" s="123" t="n">
        <v>472</v>
      </c>
      <c r="C609" s="124" t="s">
        <v>242</v>
      </c>
      <c r="D609" s="124" t="s">
        <v>127</v>
      </c>
      <c r="E609" s="123" t="n">
        <v>138</v>
      </c>
      <c r="G609" s="653" t="n">
        <v>2300.5</v>
      </c>
      <c r="O609" s="123" t="n">
        <v>1</v>
      </c>
    </row>
    <row r="610" customFormat="false" ht="15" hidden="false" customHeight="false" outlineLevel="0" collapsed="false">
      <c r="A610" s="652" t="n">
        <v>45624</v>
      </c>
      <c r="B610" s="123" t="n">
        <v>473</v>
      </c>
      <c r="C610" s="124" t="s">
        <v>252</v>
      </c>
      <c r="D610" s="124" t="s">
        <v>127</v>
      </c>
      <c r="E610" s="123" t="n">
        <v>138</v>
      </c>
      <c r="G610" s="653" t="n">
        <v>2438.5</v>
      </c>
      <c r="H610" s="123" t="n">
        <v>0</v>
      </c>
      <c r="O610" s="123" t="n">
        <v>1</v>
      </c>
    </row>
    <row r="611" customFormat="false" ht="15" hidden="false" customHeight="false" outlineLevel="0" collapsed="false">
      <c r="A611" s="652" t="n">
        <v>45624</v>
      </c>
      <c r="B611" s="123" t="n">
        <v>474</v>
      </c>
      <c r="C611" s="124" t="s">
        <v>254</v>
      </c>
      <c r="D611" s="124" t="s">
        <v>127</v>
      </c>
      <c r="E611" s="653" t="n">
        <v>586.5</v>
      </c>
      <c r="G611" s="123" t="n">
        <v>3025</v>
      </c>
      <c r="H611" s="653" t="n">
        <v>1.5</v>
      </c>
      <c r="O611" s="123" t="n">
        <v>2</v>
      </c>
      <c r="P611" s="123" t="n">
        <v>2</v>
      </c>
    </row>
    <row r="612" customFormat="false" ht="15" hidden="false" customHeight="false" outlineLevel="0" collapsed="false">
      <c r="A612" s="652" t="n">
        <v>45624</v>
      </c>
      <c r="B612" s="124" t="s">
        <v>470</v>
      </c>
      <c r="C612" s="124" t="s">
        <v>393</v>
      </c>
      <c r="F612" s="653" t="n">
        <v>1824.75</v>
      </c>
      <c r="G612" s="653" t="n">
        <v>1200.25</v>
      </c>
    </row>
    <row r="613" customFormat="false" ht="15" hidden="false" customHeight="false" outlineLevel="0" collapsed="false">
      <c r="A613" s="652" t="n">
        <v>45624</v>
      </c>
      <c r="B613" s="124" t="s">
        <v>392</v>
      </c>
      <c r="C613" s="124" t="s">
        <v>393</v>
      </c>
      <c r="F613" s="123" t="n">
        <v>1200</v>
      </c>
      <c r="G613" s="653" t="n">
        <v>0.25</v>
      </c>
    </row>
    <row r="614" customFormat="false" ht="15" hidden="false" customHeight="false" outlineLevel="0" collapsed="false">
      <c r="A614" s="652" t="n">
        <v>45627</v>
      </c>
      <c r="B614" s="123" t="n">
        <v>476</v>
      </c>
      <c r="C614" s="124" t="s">
        <v>178</v>
      </c>
      <c r="D614" s="124" t="s">
        <v>127</v>
      </c>
      <c r="E614" s="653" t="n">
        <v>310.5</v>
      </c>
      <c r="G614" s="653" t="n">
        <v>310.75</v>
      </c>
      <c r="H614" s="123" t="n">
        <v>0</v>
      </c>
      <c r="I614" s="123" t="n">
        <v>1</v>
      </c>
    </row>
    <row r="615" customFormat="false" ht="15" hidden="false" customHeight="false" outlineLevel="0" collapsed="false">
      <c r="A615" s="652" t="n">
        <v>45628</v>
      </c>
      <c r="B615" s="123" t="n">
        <v>475</v>
      </c>
      <c r="C615" s="124" t="s">
        <v>126</v>
      </c>
      <c r="D615" s="124" t="s">
        <v>127</v>
      </c>
      <c r="E615" s="653" t="n">
        <v>310.5</v>
      </c>
      <c r="G615" s="653" t="n">
        <v>621.25</v>
      </c>
      <c r="I615" s="123" t="n">
        <v>1</v>
      </c>
    </row>
    <row r="616" customFormat="false" ht="15" hidden="false" customHeight="false" outlineLevel="0" collapsed="false">
      <c r="A616" s="652" t="n">
        <v>45629</v>
      </c>
      <c r="B616" s="124" t="s">
        <v>470</v>
      </c>
      <c r="C616" s="124" t="s">
        <v>393</v>
      </c>
      <c r="F616" s="123" t="n">
        <v>321</v>
      </c>
      <c r="G616" s="653" t="n">
        <v>300.25</v>
      </c>
    </row>
    <row r="617" customFormat="false" ht="15" hidden="false" customHeight="false" outlineLevel="0" collapsed="false">
      <c r="A617" s="652" t="n">
        <v>45630</v>
      </c>
      <c r="B617" s="124" t="s">
        <v>652</v>
      </c>
      <c r="C617" s="124" t="s">
        <v>393</v>
      </c>
      <c r="F617" s="123" t="n">
        <v>300</v>
      </c>
      <c r="G617" s="653" t="n">
        <v>0.25</v>
      </c>
    </row>
    <row r="618" customFormat="false" ht="15" hidden="false" customHeight="false" outlineLevel="0" collapsed="false">
      <c r="A618" s="652" t="n">
        <v>45631</v>
      </c>
      <c r="B618" s="123" t="n">
        <v>477</v>
      </c>
      <c r="C618" s="124" t="s">
        <v>296</v>
      </c>
      <c r="D618" s="124" t="s">
        <v>286</v>
      </c>
      <c r="E618" s="653" t="n">
        <v>2401.2</v>
      </c>
      <c r="G618" s="653" t="n">
        <v>2401.45</v>
      </c>
      <c r="O618" s="123" t="n">
        <v>12</v>
      </c>
    </row>
    <row r="619" customFormat="false" ht="15" hidden="false" customHeight="false" outlineLevel="0" collapsed="false">
      <c r="A619" s="652" t="n">
        <v>45632</v>
      </c>
      <c r="B619" s="123" t="n">
        <v>478</v>
      </c>
      <c r="C619" s="124" t="s">
        <v>295</v>
      </c>
      <c r="D619" s="124" t="s">
        <v>286</v>
      </c>
      <c r="E619" s="653" t="n">
        <v>258.75</v>
      </c>
      <c r="G619" s="653" t="n">
        <v>2660.2</v>
      </c>
      <c r="M619" s="123" t="n">
        <v>1</v>
      </c>
    </row>
    <row r="620" customFormat="false" ht="15" hidden="false" customHeight="false" outlineLevel="0" collapsed="false">
      <c r="A620" s="652" t="n">
        <v>45633</v>
      </c>
      <c r="B620" s="123" t="n">
        <v>479</v>
      </c>
      <c r="C620" s="124" t="s">
        <v>290</v>
      </c>
      <c r="D620" s="124" t="s">
        <v>286</v>
      </c>
      <c r="E620" s="653" t="n">
        <v>931.5</v>
      </c>
      <c r="G620" s="653" t="n">
        <v>3591.7</v>
      </c>
      <c r="I620" s="123" t="n">
        <v>3</v>
      </c>
    </row>
    <row r="621" customFormat="false" ht="15" hidden="false" customHeight="false" outlineLevel="0" collapsed="false">
      <c r="A621" s="652" t="n">
        <v>45628</v>
      </c>
      <c r="B621" s="123" t="n">
        <v>480</v>
      </c>
      <c r="C621" s="124" t="s">
        <v>298</v>
      </c>
      <c r="D621" s="124" t="s">
        <v>286</v>
      </c>
      <c r="E621" s="653" t="n">
        <v>310.5</v>
      </c>
      <c r="G621" s="653" t="n">
        <v>3902.2</v>
      </c>
      <c r="I621" s="123" t="n">
        <v>1</v>
      </c>
    </row>
    <row r="622" customFormat="false" ht="15" hidden="false" customHeight="false" outlineLevel="0" collapsed="false">
      <c r="A622" s="652" t="n">
        <v>45628</v>
      </c>
      <c r="B622" s="124" t="s">
        <v>470</v>
      </c>
      <c r="C622" s="124" t="s">
        <v>393</v>
      </c>
      <c r="F622" s="653" t="n">
        <v>2771.25</v>
      </c>
      <c r="G622" s="653" t="n">
        <v>1130.95</v>
      </c>
    </row>
    <row r="623" customFormat="false" ht="15" hidden="false" customHeight="false" outlineLevel="0" collapsed="false">
      <c r="A623" s="652" t="n">
        <v>45629</v>
      </c>
      <c r="B623" s="124" t="s">
        <v>392</v>
      </c>
      <c r="C623" s="124" t="s">
        <v>393</v>
      </c>
      <c r="E623" s="653" t="n">
        <v>0.05</v>
      </c>
      <c r="F623" s="123" t="n">
        <v>1131</v>
      </c>
      <c r="G623" s="123" t="n">
        <v>0</v>
      </c>
    </row>
    <row r="624" customFormat="false" ht="15" hidden="false" customHeight="false" outlineLevel="0" collapsed="false">
      <c r="A624" s="652" t="n">
        <v>45629</v>
      </c>
      <c r="B624" s="123" t="n">
        <v>481</v>
      </c>
      <c r="C624" s="124" t="s">
        <v>238</v>
      </c>
      <c r="D624" s="124" t="s">
        <v>127</v>
      </c>
      <c r="E624" s="653" t="n">
        <v>155.25</v>
      </c>
      <c r="G624" s="653" t="n">
        <v>155.25</v>
      </c>
      <c r="P624" s="123" t="n">
        <v>1</v>
      </c>
    </row>
    <row r="625" customFormat="false" ht="15" hidden="false" customHeight="false" outlineLevel="0" collapsed="false">
      <c r="A625" s="652" t="n">
        <v>45629</v>
      </c>
      <c r="B625" s="123" t="n">
        <v>482</v>
      </c>
      <c r="C625" s="124" t="s">
        <v>143</v>
      </c>
      <c r="D625" s="124" t="s">
        <v>127</v>
      </c>
      <c r="E625" s="653" t="n">
        <v>310.5</v>
      </c>
      <c r="G625" s="653" t="n">
        <v>465.75</v>
      </c>
      <c r="H625" s="123" t="n">
        <v>0</v>
      </c>
      <c r="I625" s="123" t="n">
        <v>1</v>
      </c>
    </row>
    <row r="626" customFormat="false" ht="15" hidden="false" customHeight="false" outlineLevel="0" collapsed="false">
      <c r="A626" s="652" t="n">
        <v>45629</v>
      </c>
      <c r="B626" s="123" t="n">
        <v>483</v>
      </c>
      <c r="C626" s="124" t="s">
        <v>144</v>
      </c>
      <c r="D626" s="124" t="s">
        <v>127</v>
      </c>
      <c r="E626" s="653" t="n">
        <v>310.5</v>
      </c>
      <c r="G626" s="653" t="n">
        <v>776.25</v>
      </c>
      <c r="I626" s="123" t="n">
        <v>1</v>
      </c>
    </row>
    <row r="627" customFormat="false" ht="15" hidden="false" customHeight="false" outlineLevel="0" collapsed="false">
      <c r="A627" s="652" t="n">
        <v>45629</v>
      </c>
      <c r="B627" s="124" t="s">
        <v>470</v>
      </c>
      <c r="C627" s="124" t="s">
        <v>393</v>
      </c>
      <c r="F627" s="653" t="n">
        <v>776.25</v>
      </c>
      <c r="G627" s="123" t="n">
        <v>0</v>
      </c>
    </row>
    <row r="628" customFormat="false" ht="15" hidden="false" customHeight="false" outlineLevel="0" collapsed="false">
      <c r="A628" s="652" t="n">
        <v>45630</v>
      </c>
      <c r="B628" s="123" t="n">
        <v>484</v>
      </c>
      <c r="C628" s="124" t="s">
        <v>94</v>
      </c>
      <c r="D628" s="124" t="s">
        <v>75</v>
      </c>
      <c r="E628" s="653" t="n">
        <v>310.5</v>
      </c>
      <c r="G628" s="653" t="n">
        <v>310.5</v>
      </c>
      <c r="I628" s="123" t="n">
        <v>1</v>
      </c>
    </row>
    <row r="629" customFormat="false" ht="15" hidden="false" customHeight="false" outlineLevel="0" collapsed="false">
      <c r="A629" s="652" t="n">
        <v>45630</v>
      </c>
      <c r="B629" s="123" t="n">
        <v>485</v>
      </c>
      <c r="C629" s="124" t="s">
        <v>90</v>
      </c>
      <c r="D629" s="124" t="s">
        <v>75</v>
      </c>
      <c r="E629" s="653" t="n">
        <v>258.75</v>
      </c>
      <c r="G629" s="653" t="n">
        <v>569.25</v>
      </c>
      <c r="M629" s="123" t="n">
        <v>1</v>
      </c>
    </row>
    <row r="630" customFormat="false" ht="15" hidden="false" customHeight="false" outlineLevel="0" collapsed="false">
      <c r="A630" s="652" t="n">
        <v>45630</v>
      </c>
      <c r="B630" s="123" t="n">
        <v>486</v>
      </c>
      <c r="C630" s="124" t="s">
        <v>92</v>
      </c>
      <c r="D630" s="124" t="s">
        <v>75</v>
      </c>
      <c r="E630" s="653" t="n">
        <v>356.5</v>
      </c>
      <c r="G630" s="653" t="n">
        <v>925.75</v>
      </c>
      <c r="J630" s="123" t="n">
        <v>2</v>
      </c>
    </row>
    <row r="631" customFormat="false" ht="15" hidden="false" customHeight="false" outlineLevel="0" collapsed="false">
      <c r="A631" s="652" t="n">
        <v>45630</v>
      </c>
      <c r="B631" s="123" t="n">
        <v>487</v>
      </c>
      <c r="C631" s="124" t="s">
        <v>92</v>
      </c>
      <c r="D631" s="124" t="s">
        <v>75</v>
      </c>
      <c r="E631" s="653" t="n">
        <v>310.5</v>
      </c>
      <c r="G631" s="653" t="n">
        <v>1236.25</v>
      </c>
      <c r="I631" s="123" t="n">
        <v>1</v>
      </c>
    </row>
    <row r="632" customFormat="false" ht="15" hidden="false" customHeight="false" outlineLevel="0" collapsed="false">
      <c r="A632" s="652" t="n">
        <v>45630</v>
      </c>
      <c r="B632" s="123" t="n">
        <v>488</v>
      </c>
      <c r="C632" s="124" t="s">
        <v>104</v>
      </c>
      <c r="D632" s="124" t="s">
        <v>105</v>
      </c>
      <c r="E632" s="123" t="n">
        <v>621</v>
      </c>
      <c r="G632" s="653" t="n">
        <v>1857.25</v>
      </c>
      <c r="I632" s="123" t="n">
        <v>2</v>
      </c>
    </row>
    <row r="633" customFormat="false" ht="15" hidden="false" customHeight="false" outlineLevel="0" collapsed="false">
      <c r="A633" s="652" t="n">
        <v>45630</v>
      </c>
      <c r="B633" s="123" t="n">
        <v>489</v>
      </c>
      <c r="C633" s="124" t="s">
        <v>104</v>
      </c>
      <c r="D633" s="124" t="s">
        <v>105</v>
      </c>
      <c r="E633" s="653" t="n">
        <v>155.25</v>
      </c>
      <c r="G633" s="653" t="n">
        <v>2012.5</v>
      </c>
      <c r="P633" s="123" t="n">
        <v>1</v>
      </c>
    </row>
    <row r="634" customFormat="false" ht="15" hidden="false" customHeight="false" outlineLevel="0" collapsed="false">
      <c r="A634" s="652" t="n">
        <v>45630</v>
      </c>
      <c r="B634" s="123" t="n">
        <v>492</v>
      </c>
      <c r="C634" s="124" t="s">
        <v>108</v>
      </c>
      <c r="D634" s="124" t="s">
        <v>105</v>
      </c>
      <c r="E634" s="653" t="n">
        <v>701.5</v>
      </c>
      <c r="G634" s="123" t="n">
        <v>2714</v>
      </c>
      <c r="J634" s="123" t="n">
        <v>2</v>
      </c>
      <c r="K634" s="123" t="n">
        <v>1</v>
      </c>
    </row>
    <row r="635" customFormat="false" ht="15" hidden="false" customHeight="false" outlineLevel="0" collapsed="false">
      <c r="A635" s="652" t="n">
        <v>45630</v>
      </c>
      <c r="B635" s="123" t="n">
        <v>493</v>
      </c>
      <c r="C635" s="124" t="s">
        <v>108</v>
      </c>
      <c r="D635" s="124" t="s">
        <v>105</v>
      </c>
      <c r="E635" s="653" t="n">
        <v>155.25</v>
      </c>
      <c r="G635" s="653" t="n">
        <v>2869.25</v>
      </c>
      <c r="P635" s="123" t="n">
        <v>1</v>
      </c>
    </row>
    <row r="636" customFormat="false" ht="15" hidden="false" customHeight="false" outlineLevel="0" collapsed="false">
      <c r="A636" s="652" t="n">
        <v>45630</v>
      </c>
      <c r="B636" s="123" t="n">
        <v>494</v>
      </c>
      <c r="C636" s="124" t="s">
        <v>109</v>
      </c>
      <c r="D636" s="124" t="s">
        <v>105</v>
      </c>
      <c r="E636" s="653" t="n">
        <v>1552.5</v>
      </c>
      <c r="G636" s="653" t="n">
        <v>4421.75</v>
      </c>
      <c r="I636" s="123" t="n">
        <v>5</v>
      </c>
    </row>
    <row r="637" customFormat="false" ht="15" hidden="false" customHeight="false" outlineLevel="0" collapsed="false">
      <c r="A637" s="652" t="n">
        <v>45627</v>
      </c>
      <c r="B637" s="123" t="n">
        <v>491</v>
      </c>
      <c r="C637" s="124" t="s">
        <v>107</v>
      </c>
      <c r="D637" s="124" t="s">
        <v>105</v>
      </c>
      <c r="E637" s="653" t="n">
        <v>1552.5</v>
      </c>
      <c r="G637" s="653" t="n">
        <v>5974.25</v>
      </c>
      <c r="I637" s="123" t="n">
        <v>5</v>
      </c>
    </row>
    <row r="638" customFormat="false" ht="15" hidden="false" customHeight="false" outlineLevel="0" collapsed="false">
      <c r="A638" s="652" t="n">
        <v>45627</v>
      </c>
      <c r="B638" s="123" t="n">
        <v>490</v>
      </c>
      <c r="C638" s="124" t="s">
        <v>113</v>
      </c>
      <c r="D638" s="124" t="s">
        <v>105</v>
      </c>
      <c r="E638" s="123" t="n">
        <v>621</v>
      </c>
      <c r="G638" s="653" t="n">
        <v>6595.25</v>
      </c>
      <c r="I638" s="123" t="n">
        <v>2</v>
      </c>
    </row>
    <row r="639" customFormat="false" ht="15" hidden="false" customHeight="false" outlineLevel="0" collapsed="false">
      <c r="A639" s="652" t="n">
        <v>45630</v>
      </c>
      <c r="B639" s="123" t="n">
        <v>496</v>
      </c>
      <c r="C639" s="124" t="s">
        <v>96</v>
      </c>
      <c r="D639" s="124" t="s">
        <v>75</v>
      </c>
      <c r="E639" s="653" t="n">
        <v>1414.5</v>
      </c>
      <c r="G639" s="653" t="n">
        <v>8009.75</v>
      </c>
      <c r="H639" s="123" t="n">
        <v>0</v>
      </c>
      <c r="I639" s="123" t="n">
        <v>3</v>
      </c>
      <c r="K639" s="123" t="n">
        <v>2</v>
      </c>
    </row>
    <row r="640" customFormat="false" ht="15" hidden="false" customHeight="false" outlineLevel="0" collapsed="false">
      <c r="A640" s="652" t="n">
        <v>45630</v>
      </c>
      <c r="B640" s="123" t="n">
        <v>495</v>
      </c>
      <c r="C640" s="124" t="s">
        <v>89</v>
      </c>
      <c r="D640" s="124" t="s">
        <v>75</v>
      </c>
      <c r="E640" s="123" t="n">
        <v>506</v>
      </c>
      <c r="G640" s="653" t="n">
        <v>8515.75</v>
      </c>
      <c r="H640" s="123" t="n">
        <v>0</v>
      </c>
      <c r="K640" s="123" t="n">
        <v>2</v>
      </c>
    </row>
    <row r="641" customFormat="false" ht="15" hidden="false" customHeight="false" outlineLevel="0" collapsed="false">
      <c r="A641" s="652" t="n">
        <v>45628</v>
      </c>
      <c r="B641" s="124" t="s">
        <v>470</v>
      </c>
      <c r="C641" s="124" t="s">
        <v>393</v>
      </c>
      <c r="F641" s="653" t="n">
        <v>3431.5</v>
      </c>
      <c r="G641" s="653" t="n">
        <v>5084.25</v>
      </c>
    </row>
    <row r="642" customFormat="false" ht="15" hidden="false" customHeight="false" outlineLevel="0" collapsed="false">
      <c r="A642" s="652" t="n">
        <v>45630</v>
      </c>
      <c r="B642" s="124" t="s">
        <v>392</v>
      </c>
      <c r="C642" s="124" t="s">
        <v>393</v>
      </c>
      <c r="F642" s="123" t="n">
        <v>5084</v>
      </c>
      <c r="G642" s="653" t="n">
        <v>0.25</v>
      </c>
    </row>
    <row r="643" customFormat="false" ht="15" hidden="false" customHeight="false" outlineLevel="0" collapsed="false">
      <c r="A643" s="652" t="n">
        <v>45631</v>
      </c>
      <c r="B643" s="123" t="n">
        <v>497</v>
      </c>
      <c r="C643" s="124" t="s">
        <v>230</v>
      </c>
      <c r="D643" s="124" t="s">
        <v>127</v>
      </c>
      <c r="E643" s="653" t="n">
        <v>385.25</v>
      </c>
      <c r="G643" s="653" t="n">
        <v>385.5</v>
      </c>
      <c r="H643" s="123" t="n">
        <v>0</v>
      </c>
      <c r="M643" s="123" t="n">
        <v>1</v>
      </c>
      <c r="O643" s="123" t="n">
        <v>1</v>
      </c>
    </row>
    <row r="644" customFormat="false" ht="15" hidden="false" customHeight="false" outlineLevel="0" collapsed="false">
      <c r="A644" s="652" t="n">
        <v>45631</v>
      </c>
      <c r="B644" s="123" t="n">
        <v>498</v>
      </c>
      <c r="C644" s="124" t="s">
        <v>226</v>
      </c>
      <c r="D644" s="124" t="s">
        <v>127</v>
      </c>
      <c r="E644" s="653" t="n">
        <v>454.25</v>
      </c>
      <c r="G644" s="653" t="n">
        <v>839.75</v>
      </c>
      <c r="L644" s="123" t="n">
        <v>1</v>
      </c>
      <c r="P644" s="123" t="n">
        <v>1</v>
      </c>
    </row>
    <row r="645" customFormat="false" ht="15" hidden="false" customHeight="false" outlineLevel="0" collapsed="false">
      <c r="A645" s="652" t="n">
        <v>45631</v>
      </c>
      <c r="B645" s="123" t="n">
        <v>499</v>
      </c>
      <c r="C645" s="124" t="s">
        <v>236</v>
      </c>
      <c r="D645" s="124" t="s">
        <v>127</v>
      </c>
      <c r="E645" s="653" t="n">
        <v>155.25</v>
      </c>
      <c r="G645" s="123" t="n">
        <v>995</v>
      </c>
      <c r="H645" s="653" t="n">
        <v>0.25</v>
      </c>
      <c r="P645" s="123" t="n">
        <v>1</v>
      </c>
    </row>
    <row r="646" customFormat="false" ht="15" hidden="false" customHeight="false" outlineLevel="0" collapsed="false">
      <c r="A646" s="652" t="n">
        <v>45631</v>
      </c>
      <c r="B646" s="123" t="n">
        <v>503</v>
      </c>
      <c r="C646" s="124" t="s">
        <v>159</v>
      </c>
      <c r="D646" s="124" t="s">
        <v>127</v>
      </c>
      <c r="E646" s="653" t="n">
        <v>264.5</v>
      </c>
      <c r="G646" s="653" t="n">
        <v>1259.5</v>
      </c>
      <c r="H646" s="123" t="n">
        <v>0</v>
      </c>
      <c r="K646" s="123" t="n">
        <v>1</v>
      </c>
    </row>
    <row r="647" customFormat="false" ht="15" hidden="false" customHeight="false" outlineLevel="0" collapsed="false">
      <c r="A647" s="652" t="n">
        <v>45631</v>
      </c>
      <c r="B647" s="123" t="n">
        <v>501</v>
      </c>
      <c r="C647" s="124" t="s">
        <v>178</v>
      </c>
      <c r="D647" s="124" t="s">
        <v>127</v>
      </c>
      <c r="E647" s="653" t="n">
        <v>178.25</v>
      </c>
      <c r="G647" s="653" t="n">
        <v>1437.75</v>
      </c>
      <c r="H647" s="123" t="n">
        <v>0</v>
      </c>
      <c r="J647" s="123" t="n">
        <v>1</v>
      </c>
    </row>
    <row r="648" customFormat="false" ht="15" hidden="false" customHeight="false" outlineLevel="0" collapsed="false">
      <c r="A648" s="652" t="n">
        <v>45631</v>
      </c>
      <c r="B648" s="123" t="n">
        <v>500</v>
      </c>
      <c r="C648" s="124" t="s">
        <v>134</v>
      </c>
      <c r="D648" s="124" t="s">
        <v>127</v>
      </c>
      <c r="E648" s="653" t="n">
        <v>264.5</v>
      </c>
      <c r="G648" s="653" t="n">
        <v>1702.25</v>
      </c>
      <c r="H648" s="123" t="n">
        <v>0</v>
      </c>
      <c r="K648" s="123" t="n">
        <v>1</v>
      </c>
    </row>
    <row r="649" customFormat="false" ht="15" hidden="false" customHeight="false" outlineLevel="0" collapsed="false">
      <c r="A649" s="652" t="n">
        <v>45631</v>
      </c>
      <c r="B649" s="123" t="n">
        <v>502</v>
      </c>
      <c r="C649" s="124" t="s">
        <v>153</v>
      </c>
      <c r="D649" s="124" t="s">
        <v>127</v>
      </c>
      <c r="E649" s="123" t="n">
        <v>138</v>
      </c>
      <c r="G649" s="653" t="n">
        <v>1840.25</v>
      </c>
      <c r="H649" s="123" t="n">
        <v>0</v>
      </c>
      <c r="O649" s="123" t="n">
        <v>1</v>
      </c>
    </row>
    <row r="650" customFormat="false" ht="15" hidden="false" customHeight="false" outlineLevel="0" collapsed="false">
      <c r="A650" s="652" t="n">
        <v>45631</v>
      </c>
      <c r="B650" s="124" t="s">
        <v>470</v>
      </c>
      <c r="C650" s="124" t="s">
        <v>393</v>
      </c>
      <c r="F650" s="123" t="n">
        <v>1342</v>
      </c>
      <c r="G650" s="653" t="n">
        <v>498.25</v>
      </c>
      <c r="H650" s="123" t="n">
        <v>0</v>
      </c>
    </row>
    <row r="651" customFormat="false" ht="15" hidden="false" customHeight="false" outlineLevel="0" collapsed="false">
      <c r="A651" s="652" t="n">
        <v>45634</v>
      </c>
      <c r="B651" s="124" t="s">
        <v>392</v>
      </c>
      <c r="C651" s="124" t="s">
        <v>393</v>
      </c>
      <c r="E651" s="653" t="n">
        <v>-0.25</v>
      </c>
      <c r="F651" s="123" t="n">
        <v>498</v>
      </c>
      <c r="G651" s="123" t="n">
        <v>0</v>
      </c>
      <c r="H651" s="653" t="n">
        <v>-0.25</v>
      </c>
    </row>
    <row r="652" customFormat="false" ht="15" hidden="false" customHeight="false" outlineLevel="0" collapsed="false">
      <c r="A652" s="652" t="n">
        <v>45634</v>
      </c>
      <c r="B652" s="123" t="n">
        <v>504</v>
      </c>
      <c r="C652" s="124" t="s">
        <v>238</v>
      </c>
      <c r="D652" s="124" t="s">
        <v>127</v>
      </c>
      <c r="E652" s="653" t="n">
        <v>155.25</v>
      </c>
      <c r="G652" s="653" t="n">
        <v>155.25</v>
      </c>
      <c r="P652" s="123" t="n">
        <v>1</v>
      </c>
    </row>
    <row r="653" customFormat="false" ht="15" hidden="false" customHeight="false" outlineLevel="0" collapsed="false">
      <c r="A653" s="652" t="n">
        <v>45634</v>
      </c>
      <c r="B653" s="123" t="n">
        <v>505</v>
      </c>
      <c r="C653" s="124" t="s">
        <v>157</v>
      </c>
      <c r="D653" s="124" t="s">
        <v>127</v>
      </c>
      <c r="E653" s="653" t="n">
        <v>310.5</v>
      </c>
      <c r="G653" s="653" t="n">
        <v>465.75</v>
      </c>
      <c r="H653" s="123" t="n">
        <v>0</v>
      </c>
      <c r="I653" s="123" t="n">
        <v>1</v>
      </c>
    </row>
    <row r="654" customFormat="false" ht="15" hidden="false" customHeight="false" outlineLevel="0" collapsed="false">
      <c r="A654" s="652" t="n">
        <v>45634</v>
      </c>
      <c r="B654" s="123" t="n">
        <v>506</v>
      </c>
      <c r="C654" s="124" t="s">
        <v>242</v>
      </c>
      <c r="D654" s="124" t="s">
        <v>127</v>
      </c>
      <c r="E654" s="123" t="n">
        <v>759</v>
      </c>
      <c r="G654" s="653" t="n">
        <v>1224.75</v>
      </c>
      <c r="H654" s="123" t="n">
        <v>0</v>
      </c>
      <c r="I654" s="123" t="n">
        <v>2</v>
      </c>
      <c r="P654" s="123" t="n">
        <v>1</v>
      </c>
    </row>
    <row r="655" customFormat="false" ht="15" hidden="false" customHeight="false" outlineLevel="0" collapsed="false">
      <c r="A655" s="652" t="n">
        <v>45634</v>
      </c>
      <c r="B655" s="124" t="s">
        <v>470</v>
      </c>
      <c r="C655" s="124" t="s">
        <v>393</v>
      </c>
      <c r="F655" s="653" t="n">
        <v>255.25</v>
      </c>
      <c r="G655" s="653" t="n">
        <v>969.5</v>
      </c>
    </row>
    <row r="656" customFormat="false" ht="15" hidden="false" customHeight="false" outlineLevel="0" collapsed="false">
      <c r="A656" s="652" t="n">
        <v>45634</v>
      </c>
      <c r="B656" s="124" t="s">
        <v>392</v>
      </c>
      <c r="C656" s="124" t="s">
        <v>393</v>
      </c>
      <c r="F656" s="123" t="n">
        <v>969</v>
      </c>
      <c r="G656" s="653" t="n">
        <v>0.5</v>
      </c>
    </row>
    <row r="657" customFormat="false" ht="15" hidden="false" customHeight="false" outlineLevel="0" collapsed="false">
      <c r="A657" s="652" t="n">
        <v>45635</v>
      </c>
      <c r="B657" s="123" t="n">
        <v>507</v>
      </c>
      <c r="C657" s="124" t="s">
        <v>134</v>
      </c>
      <c r="D657" s="124" t="s">
        <v>127</v>
      </c>
      <c r="E657" s="653" t="n">
        <v>155.25</v>
      </c>
      <c r="G657" s="653" t="n">
        <v>155.75</v>
      </c>
      <c r="H657" s="123" t="n">
        <v>0</v>
      </c>
      <c r="P657" s="123" t="n">
        <v>1</v>
      </c>
    </row>
    <row r="658" customFormat="false" ht="15" hidden="false" customHeight="false" outlineLevel="0" collapsed="false">
      <c r="A658" s="652" t="n">
        <v>45635</v>
      </c>
      <c r="B658" s="123" t="n">
        <v>508</v>
      </c>
      <c r="C658" s="124" t="s">
        <v>252</v>
      </c>
      <c r="D658" s="124" t="s">
        <v>127</v>
      </c>
      <c r="E658" s="123" t="n">
        <v>138</v>
      </c>
      <c r="G658" s="653" t="n">
        <v>293.75</v>
      </c>
      <c r="H658" s="123" t="n">
        <v>1</v>
      </c>
      <c r="P658" s="123" t="n">
        <v>1</v>
      </c>
    </row>
    <row r="659" customFormat="false" ht="15" hidden="false" customHeight="false" outlineLevel="0" collapsed="false">
      <c r="A659" s="652" t="n">
        <v>45636</v>
      </c>
      <c r="B659" s="124" t="s">
        <v>470</v>
      </c>
      <c r="C659" s="124" t="s">
        <v>393</v>
      </c>
      <c r="F659" s="123" t="n">
        <v>293</v>
      </c>
      <c r="G659" s="653" t="n">
        <v>0.75</v>
      </c>
    </row>
    <row r="660" customFormat="false" ht="15" hidden="false" customHeight="false" outlineLevel="0" collapsed="false">
      <c r="A660" s="652" t="n">
        <v>45636</v>
      </c>
      <c r="B660" s="123" t="n">
        <v>509</v>
      </c>
      <c r="C660" s="124" t="s">
        <v>295</v>
      </c>
      <c r="D660" s="124" t="s">
        <v>286</v>
      </c>
      <c r="E660" s="653" t="n">
        <v>494.5</v>
      </c>
      <c r="G660" s="653" t="n">
        <v>495.25</v>
      </c>
      <c r="M660" s="123" t="n">
        <v>2</v>
      </c>
    </row>
    <row r="661" customFormat="false" ht="15" hidden="false" customHeight="false" outlineLevel="0" collapsed="false">
      <c r="A661" s="652" t="n">
        <v>45636</v>
      </c>
      <c r="B661" s="123" t="n">
        <v>510</v>
      </c>
      <c r="C661" s="124" t="s">
        <v>294</v>
      </c>
      <c r="D661" s="124" t="s">
        <v>286</v>
      </c>
      <c r="E661" s="653" t="n">
        <v>310.5</v>
      </c>
      <c r="G661" s="653" t="n">
        <v>805.75</v>
      </c>
      <c r="I661" s="123" t="n">
        <v>1</v>
      </c>
    </row>
    <row r="662" customFormat="false" ht="15" hidden="false" customHeight="false" outlineLevel="0" collapsed="false">
      <c r="A662" s="652" t="n">
        <v>45636</v>
      </c>
      <c r="B662" s="123" t="n">
        <v>511</v>
      </c>
      <c r="C662" s="124" t="s">
        <v>289</v>
      </c>
      <c r="D662" s="124" t="s">
        <v>286</v>
      </c>
      <c r="E662" s="653" t="n">
        <v>310.5</v>
      </c>
      <c r="G662" s="653" t="n">
        <v>1116.25</v>
      </c>
      <c r="I662" s="123" t="n">
        <v>1</v>
      </c>
    </row>
    <row r="663" customFormat="false" ht="15" hidden="false" customHeight="false" outlineLevel="0" collapsed="false">
      <c r="A663" s="652" t="n">
        <v>45636</v>
      </c>
      <c r="B663" s="123" t="n">
        <v>512</v>
      </c>
      <c r="C663" s="124" t="s">
        <v>289</v>
      </c>
      <c r="D663" s="124" t="s">
        <v>286</v>
      </c>
      <c r="E663" s="653" t="n">
        <v>738.3</v>
      </c>
      <c r="G663" s="653" t="n">
        <v>1854.55</v>
      </c>
      <c r="O663" s="123" t="n">
        <v>3</v>
      </c>
    </row>
    <row r="664" customFormat="false" ht="15" hidden="false" customHeight="false" outlineLevel="0" collapsed="false">
      <c r="A664" s="652" t="n">
        <v>45636</v>
      </c>
      <c r="B664" s="123" t="n">
        <v>513</v>
      </c>
      <c r="C664" s="124" t="s">
        <v>289</v>
      </c>
      <c r="D664" s="124" t="s">
        <v>286</v>
      </c>
      <c r="E664" s="653" t="n">
        <v>310.5</v>
      </c>
      <c r="G664" s="653" t="n">
        <v>2165.05</v>
      </c>
      <c r="P664" s="123" t="n">
        <v>2</v>
      </c>
    </row>
    <row r="665" customFormat="false" ht="15" hidden="false" customHeight="false" outlineLevel="0" collapsed="false">
      <c r="A665" s="652" t="n">
        <v>45636</v>
      </c>
      <c r="B665" s="123" t="n">
        <v>514</v>
      </c>
      <c r="C665" s="124" t="s">
        <v>290</v>
      </c>
      <c r="D665" s="124" t="s">
        <v>286</v>
      </c>
      <c r="E665" s="653" t="n">
        <v>310.5</v>
      </c>
      <c r="G665" s="653" t="n">
        <v>2475.55</v>
      </c>
      <c r="I665" s="123" t="n">
        <v>1</v>
      </c>
    </row>
    <row r="666" customFormat="false" ht="15" hidden="false" customHeight="false" outlineLevel="0" collapsed="false">
      <c r="A666" s="652" t="n">
        <v>45636</v>
      </c>
      <c r="B666" s="123" t="n">
        <v>515</v>
      </c>
      <c r="C666" s="124" t="s">
        <v>292</v>
      </c>
      <c r="D666" s="124" t="s">
        <v>286</v>
      </c>
      <c r="E666" s="653" t="n">
        <v>310.5</v>
      </c>
      <c r="G666" s="653" t="n">
        <v>2786.05</v>
      </c>
      <c r="I666" s="123" t="n">
        <v>1</v>
      </c>
    </row>
    <row r="667" customFormat="false" ht="15" hidden="false" customHeight="false" outlineLevel="0" collapsed="false">
      <c r="A667" s="652" t="n">
        <v>45636</v>
      </c>
      <c r="B667" s="123" t="n">
        <v>516</v>
      </c>
      <c r="C667" s="124" t="s">
        <v>299</v>
      </c>
      <c r="D667" s="124" t="s">
        <v>286</v>
      </c>
      <c r="E667" s="653" t="n">
        <v>281.75</v>
      </c>
      <c r="G667" s="653" t="n">
        <v>3067.8</v>
      </c>
      <c r="N667" s="123" t="n">
        <v>1</v>
      </c>
      <c r="O667" s="123" t="n">
        <v>1</v>
      </c>
    </row>
    <row r="668" customFormat="false" ht="15" hidden="false" customHeight="false" outlineLevel="0" collapsed="false">
      <c r="A668" s="652" t="n">
        <v>45636</v>
      </c>
      <c r="B668" s="123" t="n">
        <v>517</v>
      </c>
      <c r="C668" s="124" t="s">
        <v>307</v>
      </c>
      <c r="D668" s="124" t="s">
        <v>301</v>
      </c>
      <c r="E668" s="123" t="n">
        <v>138</v>
      </c>
      <c r="G668" s="653" t="n">
        <v>3205.8</v>
      </c>
      <c r="O668" s="123" t="n">
        <v>1</v>
      </c>
    </row>
    <row r="669" customFormat="false" ht="15" hidden="false" customHeight="false" outlineLevel="0" collapsed="false">
      <c r="A669" s="652" t="n">
        <v>45636</v>
      </c>
      <c r="B669" s="123" t="n">
        <v>518</v>
      </c>
      <c r="C669" s="124" t="s">
        <v>312</v>
      </c>
      <c r="D669" s="124" t="s">
        <v>301</v>
      </c>
      <c r="E669" s="123" t="n">
        <v>1242</v>
      </c>
      <c r="G669" s="653" t="n">
        <v>4447.8</v>
      </c>
      <c r="I669" s="123" t="n">
        <v>4</v>
      </c>
    </row>
    <row r="670" customFormat="false" ht="15" hidden="false" customHeight="false" outlineLevel="0" collapsed="false">
      <c r="A670" s="652" t="n">
        <v>45636</v>
      </c>
      <c r="B670" s="124" t="s">
        <v>470</v>
      </c>
      <c r="C670" s="124" t="s">
        <v>393</v>
      </c>
      <c r="F670" s="653" t="n">
        <v>4447.5</v>
      </c>
      <c r="G670" s="653" t="n">
        <v>0.300000000000182</v>
      </c>
    </row>
    <row r="671" customFormat="false" ht="15" hidden="false" customHeight="false" outlineLevel="0" collapsed="false">
      <c r="A671" s="652" t="n">
        <v>45637</v>
      </c>
      <c r="B671" s="123" t="n">
        <v>519</v>
      </c>
      <c r="C671" s="124" t="s">
        <v>77</v>
      </c>
      <c r="D671" s="124" t="s">
        <v>75</v>
      </c>
      <c r="E671" s="653" t="n">
        <v>477.25</v>
      </c>
      <c r="G671" s="653" t="n">
        <v>477.55</v>
      </c>
      <c r="J671" s="123" t="n">
        <v>1</v>
      </c>
      <c r="L671" s="123" t="n">
        <v>1</v>
      </c>
    </row>
    <row r="672" customFormat="false" ht="15" hidden="false" customHeight="false" outlineLevel="0" collapsed="false">
      <c r="A672" s="652" t="n">
        <v>45637</v>
      </c>
      <c r="B672" s="123" t="n">
        <v>520</v>
      </c>
      <c r="C672" s="124" t="s">
        <v>101</v>
      </c>
      <c r="D672" s="124" t="s">
        <v>75</v>
      </c>
      <c r="E672" s="653" t="n">
        <v>488.75</v>
      </c>
      <c r="G672" s="653" t="n">
        <v>966.3</v>
      </c>
      <c r="H672" s="123" t="n">
        <v>0</v>
      </c>
      <c r="I672" s="123" t="n">
        <v>1</v>
      </c>
      <c r="J672" s="123" t="n">
        <v>1</v>
      </c>
    </row>
    <row r="673" customFormat="false" ht="15" hidden="false" customHeight="false" outlineLevel="0" collapsed="false">
      <c r="A673" s="652" t="n">
        <v>45637</v>
      </c>
      <c r="B673" s="123" t="n">
        <v>521</v>
      </c>
      <c r="C673" s="124" t="s">
        <v>107</v>
      </c>
      <c r="D673" s="124" t="s">
        <v>105</v>
      </c>
      <c r="E673" s="653" t="n">
        <v>931.5</v>
      </c>
      <c r="G673" s="653" t="n">
        <v>1897.8</v>
      </c>
      <c r="I673" s="123" t="n">
        <v>3</v>
      </c>
    </row>
    <row r="674" customFormat="false" ht="15" hidden="false" customHeight="false" outlineLevel="0" collapsed="false">
      <c r="A674" s="652" t="n">
        <v>45637</v>
      </c>
      <c r="B674" s="123" t="n">
        <v>522</v>
      </c>
      <c r="C674" s="124" t="s">
        <v>112</v>
      </c>
      <c r="D674" s="124" t="s">
        <v>105</v>
      </c>
      <c r="E674" s="653" t="n">
        <v>310.5</v>
      </c>
      <c r="G674" s="653" t="n">
        <v>2208.3</v>
      </c>
      <c r="I674" s="123" t="n">
        <v>1</v>
      </c>
    </row>
    <row r="675" customFormat="false" ht="15" hidden="false" customHeight="false" outlineLevel="0" collapsed="false">
      <c r="A675" s="652" t="n">
        <v>45637</v>
      </c>
      <c r="B675" s="123" t="n">
        <v>523</v>
      </c>
      <c r="C675" s="124" t="s">
        <v>113</v>
      </c>
      <c r="D675" s="124" t="s">
        <v>105</v>
      </c>
      <c r="E675" s="653" t="n">
        <v>310.5</v>
      </c>
      <c r="G675" s="653" t="n">
        <v>2518.8</v>
      </c>
      <c r="I675" s="123" t="n">
        <v>1</v>
      </c>
    </row>
    <row r="676" customFormat="false" ht="15" hidden="false" customHeight="false" outlineLevel="0" collapsed="false">
      <c r="A676" s="652" t="n">
        <v>45637</v>
      </c>
      <c r="B676" s="123" t="n">
        <v>524</v>
      </c>
      <c r="C676" s="124" t="s">
        <v>104</v>
      </c>
      <c r="D676" s="124" t="s">
        <v>105</v>
      </c>
      <c r="E676" s="653" t="n">
        <v>310.5</v>
      </c>
      <c r="G676" s="653" t="n">
        <v>2829.3</v>
      </c>
      <c r="I676" s="123" t="n">
        <v>1</v>
      </c>
    </row>
    <row r="677" customFormat="false" ht="15" hidden="false" customHeight="false" outlineLevel="0" collapsed="false">
      <c r="A677" s="652" t="n">
        <v>45637</v>
      </c>
      <c r="B677" s="123" t="n">
        <v>525</v>
      </c>
      <c r="C677" s="124" t="s">
        <v>104</v>
      </c>
      <c r="D677" s="124" t="s">
        <v>105</v>
      </c>
      <c r="E677" s="653" t="n">
        <v>178.25</v>
      </c>
      <c r="G677" s="653" t="n">
        <v>3007.55</v>
      </c>
      <c r="J677" s="123" t="n">
        <v>1</v>
      </c>
    </row>
    <row r="678" customFormat="false" ht="15" hidden="false" customHeight="false" outlineLevel="0" collapsed="false">
      <c r="A678" s="652" t="n">
        <v>45637</v>
      </c>
      <c r="B678" s="123" t="n">
        <v>526</v>
      </c>
      <c r="C678" s="124" t="s">
        <v>94</v>
      </c>
      <c r="D678" s="124" t="s">
        <v>75</v>
      </c>
      <c r="E678" s="123" t="n">
        <v>598</v>
      </c>
      <c r="G678" s="653" t="n">
        <v>3605.55</v>
      </c>
      <c r="L678" s="123" t="n">
        <v>2</v>
      </c>
    </row>
    <row r="679" customFormat="false" ht="15" hidden="false" customHeight="false" outlineLevel="0" collapsed="false">
      <c r="A679" s="652" t="n">
        <v>45637</v>
      </c>
      <c r="B679" s="123" t="n">
        <v>527</v>
      </c>
      <c r="C679" s="124" t="s">
        <v>96</v>
      </c>
      <c r="D679" s="124" t="s">
        <v>75</v>
      </c>
      <c r="E679" s="653" t="n">
        <v>494.5</v>
      </c>
      <c r="G679" s="653" t="n">
        <v>4100.05</v>
      </c>
      <c r="M679" s="123" t="n">
        <v>2</v>
      </c>
    </row>
    <row r="680" customFormat="false" ht="15" hidden="false" customHeight="false" outlineLevel="0" collapsed="false">
      <c r="A680" s="652" t="n">
        <v>45637</v>
      </c>
      <c r="B680" s="124" t="s">
        <v>470</v>
      </c>
      <c r="C680" s="124" t="s">
        <v>393</v>
      </c>
      <c r="F680" s="653" t="n">
        <v>2384.75</v>
      </c>
      <c r="G680" s="653" t="n">
        <v>1715.3</v>
      </c>
    </row>
    <row r="681" customFormat="false" ht="15" hidden="false" customHeight="false" outlineLevel="0" collapsed="false">
      <c r="A681" s="652" t="n">
        <v>45637</v>
      </c>
      <c r="B681" s="124" t="s">
        <v>392</v>
      </c>
      <c r="C681" s="124" t="s">
        <v>393</v>
      </c>
      <c r="E681" s="653" t="n">
        <v>-0.05</v>
      </c>
      <c r="F681" s="123" t="n">
        <v>1715</v>
      </c>
      <c r="G681" s="653" t="n">
        <v>0.250000000000227</v>
      </c>
    </row>
    <row r="682" customFormat="false" ht="15" hidden="false" customHeight="false" outlineLevel="0" collapsed="false">
      <c r="A682" s="652" t="n">
        <v>45638</v>
      </c>
      <c r="B682" s="123" t="n">
        <v>528</v>
      </c>
      <c r="C682" s="124" t="s">
        <v>296</v>
      </c>
      <c r="D682" s="124" t="s">
        <v>286</v>
      </c>
      <c r="E682" s="653" t="n">
        <v>2401.2</v>
      </c>
      <c r="G682" s="653" t="n">
        <v>2401.45</v>
      </c>
      <c r="O682" s="123" t="n">
        <v>12</v>
      </c>
    </row>
    <row r="683" customFormat="false" ht="15" hidden="false" customHeight="false" outlineLevel="0" collapsed="false">
      <c r="A683" s="652" t="n">
        <v>45638</v>
      </c>
      <c r="B683" s="123" t="n">
        <v>529</v>
      </c>
      <c r="C683" s="124" t="s">
        <v>298</v>
      </c>
      <c r="D683" s="124" t="s">
        <v>286</v>
      </c>
      <c r="E683" s="653" t="n">
        <v>264.5</v>
      </c>
      <c r="G683" s="653" t="n">
        <v>2665.95</v>
      </c>
      <c r="K683" s="123" t="n">
        <v>1</v>
      </c>
    </row>
    <row r="684" customFormat="false" ht="15" hidden="false" customHeight="false" outlineLevel="0" collapsed="false">
      <c r="A684" s="652" t="n">
        <v>45638</v>
      </c>
      <c r="B684" s="123" t="n">
        <v>530</v>
      </c>
      <c r="C684" s="124" t="s">
        <v>290</v>
      </c>
      <c r="D684" s="124" t="s">
        <v>286</v>
      </c>
      <c r="E684" s="653" t="n">
        <v>264.5</v>
      </c>
      <c r="G684" s="653" t="n">
        <v>2930.45</v>
      </c>
      <c r="M684" s="123" t="n">
        <v>1</v>
      </c>
    </row>
    <row r="685" customFormat="false" ht="15" hidden="false" customHeight="false" outlineLevel="0" collapsed="false">
      <c r="A685" s="652" t="n">
        <v>45636</v>
      </c>
      <c r="B685" s="123" t="n">
        <v>531</v>
      </c>
      <c r="C685" s="124" t="s">
        <v>179</v>
      </c>
      <c r="D685" s="124" t="s">
        <v>127</v>
      </c>
      <c r="E685" s="653" t="n">
        <v>264.5</v>
      </c>
      <c r="G685" s="653" t="n">
        <v>3194.95</v>
      </c>
      <c r="K685" s="123" t="n">
        <v>1</v>
      </c>
    </row>
    <row r="686" customFormat="false" ht="15" hidden="false" customHeight="false" outlineLevel="0" collapsed="false">
      <c r="A686" s="652" t="n">
        <v>45640</v>
      </c>
      <c r="B686" s="124" t="s">
        <v>470</v>
      </c>
      <c r="C686" s="124" t="s">
        <v>393</v>
      </c>
      <c r="F686" s="653" t="n">
        <v>1714.5</v>
      </c>
      <c r="G686" s="653" t="n">
        <v>1480.45</v>
      </c>
    </row>
    <row r="687" customFormat="false" ht="15" hidden="false" customHeight="false" outlineLevel="0" collapsed="false">
      <c r="A687" s="652" t="n">
        <v>45641</v>
      </c>
      <c r="B687" s="124" t="s">
        <v>392</v>
      </c>
      <c r="C687" s="124" t="s">
        <v>393</v>
      </c>
      <c r="F687" s="123" t="n">
        <v>1480</v>
      </c>
      <c r="G687" s="653" t="n">
        <v>0.449999999999818</v>
      </c>
    </row>
    <row r="688" customFormat="false" ht="15" hidden="false" customHeight="false" outlineLevel="0" collapsed="false">
      <c r="A688" s="652" t="n">
        <v>45641</v>
      </c>
      <c r="B688" s="123" t="n">
        <v>533</v>
      </c>
      <c r="C688" s="124" t="s">
        <v>241</v>
      </c>
      <c r="D688" s="124" t="s">
        <v>127</v>
      </c>
      <c r="E688" s="653" t="n">
        <v>310.5</v>
      </c>
      <c r="G688" s="653" t="n">
        <v>310.95</v>
      </c>
      <c r="H688" s="653" t="n">
        <v>0.5</v>
      </c>
      <c r="I688" s="123" t="n">
        <v>1</v>
      </c>
    </row>
    <row r="689" customFormat="false" ht="15" hidden="false" customHeight="false" outlineLevel="0" collapsed="false">
      <c r="A689" s="652" t="n">
        <v>45641</v>
      </c>
      <c r="B689" s="123" t="n">
        <v>532</v>
      </c>
      <c r="C689" s="124" t="s">
        <v>233</v>
      </c>
      <c r="D689" s="124" t="s">
        <v>127</v>
      </c>
      <c r="E689" s="123" t="n">
        <v>138</v>
      </c>
      <c r="G689" s="653" t="n">
        <v>448.95</v>
      </c>
      <c r="H689" s="123" t="n">
        <v>0</v>
      </c>
      <c r="O689" s="123" t="n">
        <v>1</v>
      </c>
    </row>
    <row r="690" customFormat="false" ht="15" hidden="false" customHeight="false" outlineLevel="0" collapsed="false">
      <c r="A690" s="652" t="n">
        <v>45641</v>
      </c>
      <c r="B690" s="123" t="n">
        <v>534</v>
      </c>
      <c r="C690" s="124" t="s">
        <v>179</v>
      </c>
      <c r="D690" s="124" t="s">
        <v>127</v>
      </c>
      <c r="E690" s="653" t="n">
        <v>178.25</v>
      </c>
      <c r="G690" s="653" t="n">
        <v>627.2</v>
      </c>
      <c r="H690" s="653" t="n">
        <v>0.25</v>
      </c>
      <c r="J690" s="123" t="n">
        <v>1</v>
      </c>
    </row>
    <row r="691" customFormat="false" ht="15" hidden="false" customHeight="false" outlineLevel="0" collapsed="false">
      <c r="A691" s="652" t="n">
        <v>45642</v>
      </c>
      <c r="B691" s="124" t="s">
        <v>392</v>
      </c>
      <c r="C691" s="124" t="s">
        <v>393</v>
      </c>
      <c r="E691" s="653" t="n">
        <v>0.05</v>
      </c>
      <c r="F691" s="123" t="n">
        <v>627</v>
      </c>
      <c r="G691" s="653" t="n">
        <v>0.249999999999773</v>
      </c>
    </row>
    <row r="692" customFormat="false" ht="15" hidden="false" customHeight="false" outlineLevel="0" collapsed="false">
      <c r="A692" s="652" t="n">
        <v>45641</v>
      </c>
      <c r="B692" s="123" t="n">
        <v>535</v>
      </c>
      <c r="C692" s="124" t="s">
        <v>151</v>
      </c>
      <c r="D692" s="124" t="s">
        <v>127</v>
      </c>
      <c r="E692" s="653" t="n">
        <v>310.5</v>
      </c>
      <c r="G692" s="653" t="n">
        <v>310.75</v>
      </c>
      <c r="H692" s="123" t="n">
        <v>0</v>
      </c>
      <c r="I692" s="123" t="n">
        <v>1</v>
      </c>
    </row>
    <row r="693" customFormat="false" ht="15" hidden="false" customHeight="false" outlineLevel="0" collapsed="false">
      <c r="A693" s="652" t="n">
        <v>45642</v>
      </c>
      <c r="B693" s="123" t="n">
        <v>536</v>
      </c>
      <c r="C693" s="124" t="s">
        <v>126</v>
      </c>
      <c r="D693" s="124" t="s">
        <v>127</v>
      </c>
      <c r="E693" s="653" t="n">
        <v>224.25</v>
      </c>
      <c r="G693" s="123" t="n">
        <v>535</v>
      </c>
      <c r="K693" s="123" t="n">
        <v>1</v>
      </c>
    </row>
    <row r="694" customFormat="false" ht="15" hidden="false" customHeight="false" outlineLevel="0" collapsed="false">
      <c r="A694" s="652" t="n">
        <v>45642</v>
      </c>
      <c r="B694" s="123" t="n">
        <v>537</v>
      </c>
      <c r="C694" s="124" t="s">
        <v>319</v>
      </c>
      <c r="D694" s="124" t="s">
        <v>224</v>
      </c>
      <c r="E694" s="653" t="n">
        <v>856.75</v>
      </c>
      <c r="G694" s="653" t="n">
        <v>1391.75</v>
      </c>
      <c r="I694" s="123" t="n">
        <v>1</v>
      </c>
      <c r="L694" s="123" t="n">
        <v>1</v>
      </c>
      <c r="M694" s="123" t="n">
        <v>1</v>
      </c>
    </row>
    <row r="695" customFormat="false" ht="15" hidden="false" customHeight="false" outlineLevel="0" collapsed="false">
      <c r="A695" s="652" t="n">
        <v>45642</v>
      </c>
      <c r="B695" s="123" t="n">
        <v>538</v>
      </c>
      <c r="C695" s="124" t="s">
        <v>327</v>
      </c>
      <c r="D695" s="124" t="s">
        <v>224</v>
      </c>
      <c r="E695" s="653" t="n">
        <v>494.5</v>
      </c>
      <c r="G695" s="653" t="n">
        <v>1886.25</v>
      </c>
      <c r="H695" s="653" t="n">
        <v>-0.5</v>
      </c>
      <c r="M695" s="123" t="n">
        <v>2</v>
      </c>
    </row>
    <row r="696" customFormat="false" ht="15" hidden="false" customHeight="false" outlineLevel="0" collapsed="false">
      <c r="A696" s="652" t="n">
        <v>45642</v>
      </c>
      <c r="B696" s="123" t="n">
        <v>539</v>
      </c>
      <c r="C696" s="124" t="s">
        <v>318</v>
      </c>
      <c r="D696" s="124" t="s">
        <v>224</v>
      </c>
      <c r="E696" s="653" t="n">
        <v>557.75</v>
      </c>
      <c r="G696" s="123" t="n">
        <v>2444</v>
      </c>
      <c r="I696" s="123" t="n">
        <v>1</v>
      </c>
      <c r="M696" s="123" t="n">
        <v>1</v>
      </c>
    </row>
    <row r="697" customFormat="false" ht="15" hidden="false" customHeight="false" outlineLevel="0" collapsed="false">
      <c r="A697" s="652" t="n">
        <v>45642</v>
      </c>
      <c r="B697" s="124" t="s">
        <v>470</v>
      </c>
      <c r="C697" s="124" t="s">
        <v>393</v>
      </c>
      <c r="F697" s="653" t="n">
        <v>867.25</v>
      </c>
      <c r="G697" s="653" t="n">
        <v>1576.75</v>
      </c>
      <c r="H697" s="123" t="n">
        <v>0</v>
      </c>
    </row>
    <row r="698" customFormat="false" ht="15" hidden="false" customHeight="false" outlineLevel="0" collapsed="false">
      <c r="A698" s="652" t="n">
        <v>45643</v>
      </c>
      <c r="B698" s="124" t="s">
        <v>392</v>
      </c>
      <c r="C698" s="124" t="s">
        <v>393</v>
      </c>
      <c r="F698" s="123" t="n">
        <v>1576</v>
      </c>
      <c r="G698" s="653" t="n">
        <v>0.75</v>
      </c>
    </row>
    <row r="699" customFormat="false" ht="15" hidden="false" customHeight="false" outlineLevel="0" collapsed="false">
      <c r="A699" s="652" t="n">
        <v>45643</v>
      </c>
      <c r="B699" s="123" t="n">
        <v>540</v>
      </c>
      <c r="C699" s="124" t="s">
        <v>184</v>
      </c>
      <c r="D699" s="124" t="s">
        <v>127</v>
      </c>
      <c r="E699" s="653" t="n">
        <v>155.25</v>
      </c>
      <c r="G699" s="123" t="n">
        <v>156</v>
      </c>
      <c r="P699" s="123" t="n">
        <v>1</v>
      </c>
    </row>
    <row r="700" customFormat="false" ht="15" hidden="false" customHeight="false" outlineLevel="0" collapsed="false">
      <c r="A700" s="652" t="n">
        <v>45641</v>
      </c>
      <c r="B700" s="124" t="s">
        <v>470</v>
      </c>
      <c r="C700" s="124" t="s">
        <v>393</v>
      </c>
      <c r="F700" s="123" t="n">
        <v>156</v>
      </c>
      <c r="G700" s="123" t="n">
        <v>0</v>
      </c>
      <c r="H700" s="123" t="n">
        <v>0</v>
      </c>
    </row>
    <row r="701" customFormat="false" ht="15" hidden="false" customHeight="false" outlineLevel="0" collapsed="false">
      <c r="A701" s="652" t="n">
        <v>45644</v>
      </c>
      <c r="B701" s="123" t="n">
        <v>541</v>
      </c>
      <c r="C701" s="124" t="s">
        <v>77</v>
      </c>
      <c r="D701" s="124" t="s">
        <v>75</v>
      </c>
      <c r="E701" s="123" t="n">
        <v>138</v>
      </c>
      <c r="G701" s="123" t="n">
        <v>138</v>
      </c>
      <c r="O701" s="123" t="n">
        <v>1</v>
      </c>
    </row>
    <row r="702" customFormat="false" ht="15" hidden="false" customHeight="false" outlineLevel="0" collapsed="false">
      <c r="A702" s="652" t="n">
        <v>45644</v>
      </c>
      <c r="B702" s="123" t="n">
        <v>542</v>
      </c>
      <c r="C702" s="124" t="s">
        <v>94</v>
      </c>
      <c r="D702" s="124" t="s">
        <v>75</v>
      </c>
      <c r="E702" s="653" t="n">
        <v>655.5</v>
      </c>
      <c r="G702" s="653" t="n">
        <v>793.5</v>
      </c>
      <c r="I702" s="123" t="n">
        <v>1</v>
      </c>
      <c r="K702" s="123" t="n">
        <v>1</v>
      </c>
    </row>
    <row r="703" customFormat="false" ht="15" hidden="false" customHeight="false" outlineLevel="0" collapsed="false">
      <c r="A703" s="652" t="n">
        <v>45644</v>
      </c>
      <c r="B703" s="123" t="n">
        <v>543</v>
      </c>
      <c r="C703" s="124" t="s">
        <v>107</v>
      </c>
      <c r="D703" s="124" t="s">
        <v>105</v>
      </c>
      <c r="E703" s="123" t="n">
        <v>1242</v>
      </c>
      <c r="G703" s="653" t="n">
        <v>2035.5</v>
      </c>
      <c r="I703" s="123" t="n">
        <v>4</v>
      </c>
    </row>
    <row r="704" customFormat="false" ht="15" hidden="false" customHeight="false" outlineLevel="0" collapsed="false">
      <c r="A704" s="652" t="n">
        <v>45644</v>
      </c>
      <c r="B704" s="123" t="n">
        <v>544</v>
      </c>
      <c r="C704" s="124" t="s">
        <v>109</v>
      </c>
      <c r="D704" s="124" t="s">
        <v>105</v>
      </c>
      <c r="E704" s="653" t="n">
        <v>1069.5</v>
      </c>
      <c r="G704" s="123" t="n">
        <v>3105</v>
      </c>
      <c r="I704" s="123" t="n">
        <v>2</v>
      </c>
      <c r="K704" s="123" t="n">
        <v>2</v>
      </c>
    </row>
    <row r="705" customFormat="false" ht="15" hidden="false" customHeight="false" outlineLevel="0" collapsed="false">
      <c r="A705" s="652" t="n">
        <v>45644</v>
      </c>
      <c r="B705" s="123" t="n">
        <v>545</v>
      </c>
      <c r="C705" s="124" t="s">
        <v>104</v>
      </c>
      <c r="D705" s="124" t="s">
        <v>105</v>
      </c>
      <c r="E705" s="653" t="n">
        <v>155.25</v>
      </c>
      <c r="G705" s="653" t="n">
        <v>3260.25</v>
      </c>
      <c r="P705" s="123" t="n">
        <v>1</v>
      </c>
    </row>
    <row r="706" customFormat="false" ht="15" hidden="false" customHeight="false" outlineLevel="0" collapsed="false">
      <c r="A706" s="652" t="n">
        <v>45644</v>
      </c>
      <c r="B706" s="123" t="n">
        <v>546</v>
      </c>
      <c r="C706" s="124" t="s">
        <v>97</v>
      </c>
      <c r="D706" s="124" t="s">
        <v>75</v>
      </c>
      <c r="E706" s="653" t="n">
        <v>488.75</v>
      </c>
      <c r="G706" s="123" t="n">
        <v>3749</v>
      </c>
      <c r="I706" s="123" t="n">
        <v>1</v>
      </c>
      <c r="J706" s="123" t="n">
        <v>1</v>
      </c>
    </row>
    <row r="707" customFormat="false" ht="15" hidden="false" customHeight="false" outlineLevel="0" collapsed="false">
      <c r="A707" s="652" t="n">
        <v>45644</v>
      </c>
      <c r="B707" s="123" t="n">
        <v>547</v>
      </c>
      <c r="C707" s="124" t="s">
        <v>97</v>
      </c>
      <c r="D707" s="124" t="s">
        <v>75</v>
      </c>
      <c r="E707" s="653" t="n">
        <v>356.5</v>
      </c>
      <c r="G707" s="653" t="n">
        <v>4105.5</v>
      </c>
      <c r="J707" s="123" t="n">
        <v>2</v>
      </c>
    </row>
    <row r="708" customFormat="false" ht="15" hidden="false" customHeight="false" outlineLevel="0" collapsed="false">
      <c r="A708" s="652" t="n">
        <v>45644</v>
      </c>
      <c r="B708" s="123" t="n">
        <v>548</v>
      </c>
      <c r="C708" s="124" t="s">
        <v>90</v>
      </c>
      <c r="D708" s="124" t="s">
        <v>75</v>
      </c>
      <c r="E708" s="123" t="n">
        <v>1242</v>
      </c>
      <c r="G708" s="653" t="n">
        <v>5347.5</v>
      </c>
      <c r="K708" s="123" t="n">
        <v>2</v>
      </c>
      <c r="L708" s="123" t="n">
        <v>1</v>
      </c>
      <c r="M708" s="123" t="n">
        <v>2</v>
      </c>
    </row>
    <row r="709" customFormat="false" ht="15" hidden="false" customHeight="false" outlineLevel="0" collapsed="false">
      <c r="A709" s="652" t="n">
        <v>45644</v>
      </c>
      <c r="B709" s="123" t="n">
        <v>549</v>
      </c>
      <c r="C709" s="124" t="s">
        <v>96</v>
      </c>
      <c r="D709" s="124" t="s">
        <v>75</v>
      </c>
      <c r="E709" s="653" t="n">
        <v>862.5</v>
      </c>
      <c r="G709" s="123" t="n">
        <v>6210</v>
      </c>
      <c r="I709" s="123" t="n">
        <v>2</v>
      </c>
      <c r="K709" s="123" t="n">
        <v>1</v>
      </c>
    </row>
    <row r="710" customFormat="false" ht="15" hidden="false" customHeight="false" outlineLevel="0" collapsed="false">
      <c r="A710" s="652" t="n">
        <v>45644</v>
      </c>
      <c r="B710" s="124" t="s">
        <v>470</v>
      </c>
      <c r="C710" s="124" t="s">
        <v>393</v>
      </c>
      <c r="F710" s="653" t="n">
        <v>2929.5</v>
      </c>
      <c r="G710" s="653" t="n">
        <v>3280.5</v>
      </c>
      <c r="H710" s="123" t="n">
        <v>0</v>
      </c>
    </row>
    <row r="711" customFormat="false" ht="15" hidden="false" customHeight="false" outlineLevel="0" collapsed="false">
      <c r="A711" s="652" t="n">
        <v>45645</v>
      </c>
      <c r="B711" s="124" t="s">
        <v>392</v>
      </c>
      <c r="C711" s="124" t="s">
        <v>393</v>
      </c>
      <c r="F711" s="123" t="n">
        <v>3280</v>
      </c>
      <c r="G711" s="653" t="n">
        <v>0.5</v>
      </c>
    </row>
    <row r="712" customFormat="false" ht="15" hidden="false" customHeight="false" outlineLevel="0" collapsed="false">
      <c r="A712" s="652" t="n">
        <v>45645</v>
      </c>
      <c r="B712" s="123" t="n">
        <v>551</v>
      </c>
      <c r="C712" s="124" t="s">
        <v>226</v>
      </c>
      <c r="D712" s="124" t="s">
        <v>127</v>
      </c>
      <c r="E712" s="653" t="n">
        <v>310.5</v>
      </c>
      <c r="G712" s="123" t="n">
        <v>311</v>
      </c>
      <c r="P712" s="123" t="n">
        <v>2</v>
      </c>
    </row>
    <row r="713" customFormat="false" ht="15" hidden="false" customHeight="false" outlineLevel="0" collapsed="false">
      <c r="A713" s="652" t="n">
        <v>45645</v>
      </c>
      <c r="B713" s="123" t="n">
        <v>550</v>
      </c>
      <c r="C713" s="124" t="s">
        <v>244</v>
      </c>
      <c r="D713" s="124" t="s">
        <v>127</v>
      </c>
      <c r="E713" s="123" t="n">
        <v>529</v>
      </c>
      <c r="G713" s="123" t="n">
        <v>840</v>
      </c>
      <c r="P713" s="123" t="n">
        <v>2</v>
      </c>
    </row>
    <row r="714" customFormat="false" ht="15" hidden="false" customHeight="false" outlineLevel="0" collapsed="false">
      <c r="A714" s="652" t="n">
        <v>45645</v>
      </c>
      <c r="B714" s="124" t="s">
        <v>470</v>
      </c>
      <c r="C714" s="124" t="s">
        <v>393</v>
      </c>
      <c r="F714" s="653" t="n">
        <v>839.75</v>
      </c>
      <c r="G714" s="653" t="n">
        <v>0.25</v>
      </c>
    </row>
    <row r="715" customFormat="false" ht="15" hidden="false" customHeight="false" outlineLevel="0" collapsed="false">
      <c r="A715" s="652" t="n">
        <v>45648</v>
      </c>
      <c r="B715" s="123" t="n">
        <v>552</v>
      </c>
      <c r="C715" s="124" t="s">
        <v>234</v>
      </c>
      <c r="D715" s="124" t="s">
        <v>127</v>
      </c>
      <c r="E715" s="123" t="n">
        <v>276</v>
      </c>
      <c r="G715" s="653" t="n">
        <v>276.25</v>
      </c>
      <c r="O715" s="123" t="n">
        <v>2</v>
      </c>
    </row>
    <row r="716" customFormat="false" ht="15" hidden="false" customHeight="false" outlineLevel="0" collapsed="false">
      <c r="A716" s="652" t="n">
        <v>45648</v>
      </c>
      <c r="B716" s="123" t="n">
        <v>553</v>
      </c>
      <c r="C716" s="124" t="s">
        <v>238</v>
      </c>
      <c r="D716" s="124" t="s">
        <v>127</v>
      </c>
      <c r="E716" s="653" t="n">
        <v>310.5</v>
      </c>
      <c r="G716" s="653" t="n">
        <v>586.75</v>
      </c>
      <c r="P716" s="123" t="n">
        <v>2</v>
      </c>
    </row>
    <row r="717" customFormat="false" ht="15" hidden="false" customHeight="false" outlineLevel="0" collapsed="false">
      <c r="A717" s="652" t="n">
        <v>45648</v>
      </c>
      <c r="B717" s="123" t="n">
        <v>554</v>
      </c>
      <c r="C717" s="124" t="s">
        <v>234</v>
      </c>
      <c r="D717" s="124" t="s">
        <v>127</v>
      </c>
      <c r="E717" s="653" t="n">
        <v>293.25</v>
      </c>
      <c r="G717" s="123" t="n">
        <v>880</v>
      </c>
      <c r="H717" s="123" t="n">
        <v>0</v>
      </c>
      <c r="O717" s="123" t="n">
        <v>1</v>
      </c>
      <c r="P717" s="123" t="n">
        <v>1</v>
      </c>
    </row>
    <row r="718" customFormat="false" ht="15" hidden="false" customHeight="false" outlineLevel="0" collapsed="false">
      <c r="A718" s="652" t="n">
        <v>45648</v>
      </c>
      <c r="B718" s="123" t="n">
        <v>555</v>
      </c>
      <c r="C718" s="124" t="s">
        <v>177</v>
      </c>
      <c r="D718" s="124" t="s">
        <v>127</v>
      </c>
      <c r="E718" s="653" t="n">
        <v>310.5</v>
      </c>
      <c r="G718" s="653" t="n">
        <v>1190.5</v>
      </c>
      <c r="H718" s="123" t="n">
        <v>0</v>
      </c>
      <c r="I718" s="123" t="n">
        <v>1</v>
      </c>
    </row>
    <row r="719" customFormat="false" ht="15" hidden="false" customHeight="false" outlineLevel="0" collapsed="false">
      <c r="A719" s="652" t="n">
        <v>45648</v>
      </c>
      <c r="B719" s="124" t="s">
        <v>470</v>
      </c>
      <c r="C719" s="124" t="s">
        <v>393</v>
      </c>
      <c r="F719" s="653" t="n">
        <v>1190.5</v>
      </c>
      <c r="G719" s="123" t="n">
        <v>0</v>
      </c>
      <c r="H719" s="123" t="n">
        <v>0</v>
      </c>
    </row>
    <row r="720" customFormat="false" ht="15" hidden="false" customHeight="false" outlineLevel="0" collapsed="false">
      <c r="A720" s="652" t="n">
        <v>45649</v>
      </c>
      <c r="B720" s="123" t="n">
        <v>556</v>
      </c>
      <c r="C720" s="124" t="s">
        <v>295</v>
      </c>
      <c r="D720" s="124" t="s">
        <v>286</v>
      </c>
      <c r="E720" s="653" t="n">
        <v>494.5</v>
      </c>
      <c r="G720" s="653" t="n">
        <v>494.5</v>
      </c>
      <c r="M720" s="123" t="n">
        <v>2</v>
      </c>
    </row>
    <row r="721" customFormat="false" ht="15" hidden="false" customHeight="false" outlineLevel="0" collapsed="false">
      <c r="A721" s="652" t="n">
        <v>45649</v>
      </c>
      <c r="B721" s="123" t="n">
        <v>559</v>
      </c>
      <c r="C721" s="124" t="s">
        <v>298</v>
      </c>
      <c r="D721" s="124" t="s">
        <v>286</v>
      </c>
      <c r="E721" s="653" t="n">
        <v>310.5</v>
      </c>
      <c r="G721" s="123" t="n">
        <v>805</v>
      </c>
      <c r="H721" s="653" t="n">
        <v>1.5</v>
      </c>
      <c r="I721" s="123" t="n">
        <v>1</v>
      </c>
    </row>
    <row r="722" customFormat="false" ht="15" hidden="false" customHeight="false" outlineLevel="0" collapsed="false">
      <c r="A722" s="652" t="n">
        <v>45649</v>
      </c>
      <c r="B722" s="123" t="n">
        <v>557</v>
      </c>
      <c r="C722" s="124" t="s">
        <v>322</v>
      </c>
      <c r="D722" s="124" t="s">
        <v>224</v>
      </c>
      <c r="E722" s="653" t="n">
        <v>2673.75</v>
      </c>
      <c r="G722" s="653" t="n">
        <v>3478.75</v>
      </c>
      <c r="H722" s="123" t="n">
        <v>0</v>
      </c>
      <c r="I722" s="123" t="n">
        <v>5</v>
      </c>
      <c r="K722" s="123" t="n">
        <v>5</v>
      </c>
    </row>
    <row r="723" customFormat="false" ht="15" hidden="false" customHeight="false" outlineLevel="0" collapsed="false">
      <c r="A723" s="652" t="n">
        <v>45642</v>
      </c>
      <c r="B723" s="123" t="n">
        <v>558</v>
      </c>
      <c r="C723" s="124" t="s">
        <v>327</v>
      </c>
      <c r="D723" s="124" t="s">
        <v>224</v>
      </c>
      <c r="E723" s="123" t="n">
        <v>299</v>
      </c>
      <c r="G723" s="653" t="n">
        <v>3777.75</v>
      </c>
      <c r="H723" s="653" t="n">
        <v>0.5</v>
      </c>
      <c r="L723" s="123" t="n">
        <v>1</v>
      </c>
    </row>
    <row r="724" customFormat="false" ht="15" hidden="false" customHeight="false" outlineLevel="0" collapsed="false">
      <c r="A724" s="652" t="n">
        <v>45649</v>
      </c>
      <c r="B724" s="124" t="s">
        <v>470</v>
      </c>
      <c r="C724" s="124" t="s">
        <v>393</v>
      </c>
      <c r="F724" s="653" t="n">
        <v>1103.5</v>
      </c>
      <c r="G724" s="653" t="n">
        <v>2674.25</v>
      </c>
    </row>
    <row r="725" customFormat="false" ht="15" hidden="false" customHeight="false" outlineLevel="0" collapsed="false">
      <c r="A725" s="652" t="n">
        <v>45649</v>
      </c>
      <c r="B725" s="124" t="s">
        <v>392</v>
      </c>
      <c r="C725" s="124" t="s">
        <v>393</v>
      </c>
      <c r="F725" s="123" t="n">
        <v>2674</v>
      </c>
      <c r="G725" s="653" t="n">
        <v>0.25</v>
      </c>
    </row>
    <row r="726" customFormat="false" ht="15" hidden="false" customHeight="false" outlineLevel="0" collapsed="false">
      <c r="A726" s="652" t="n">
        <v>45650</v>
      </c>
      <c r="B726" s="123" t="n">
        <v>560</v>
      </c>
      <c r="C726" s="124" t="s">
        <v>263</v>
      </c>
      <c r="D726" s="124" t="s">
        <v>127</v>
      </c>
      <c r="E726" s="123" t="n">
        <v>299</v>
      </c>
      <c r="G726" s="653" t="n">
        <v>299.25</v>
      </c>
      <c r="P726" s="123" t="n">
        <v>1</v>
      </c>
    </row>
    <row r="727" customFormat="false" ht="15" hidden="false" customHeight="false" outlineLevel="0" collapsed="false">
      <c r="A727" s="652" t="n">
        <v>45650</v>
      </c>
      <c r="B727" s="123" t="n">
        <v>561</v>
      </c>
      <c r="C727" s="124" t="s">
        <v>168</v>
      </c>
      <c r="D727" s="124" t="s">
        <v>127</v>
      </c>
      <c r="E727" s="123" t="n">
        <v>621</v>
      </c>
      <c r="G727" s="653" t="n">
        <v>920.25</v>
      </c>
      <c r="I727" s="123" t="n">
        <v>2</v>
      </c>
    </row>
    <row r="728" customFormat="false" ht="15" hidden="false" customHeight="false" outlineLevel="0" collapsed="false">
      <c r="A728" s="652" t="n">
        <v>45641</v>
      </c>
      <c r="B728" s="123" t="n">
        <v>562</v>
      </c>
      <c r="C728" s="124" t="s">
        <v>222</v>
      </c>
      <c r="D728" s="124" t="s">
        <v>127</v>
      </c>
      <c r="E728" s="653" t="n">
        <v>264.5</v>
      </c>
      <c r="G728" s="653" t="n">
        <v>1184.75</v>
      </c>
      <c r="H728" s="123" t="n">
        <v>0</v>
      </c>
      <c r="K728" s="123" t="n">
        <v>1</v>
      </c>
    </row>
    <row r="729" customFormat="false" ht="15" hidden="false" customHeight="false" outlineLevel="0" collapsed="false">
      <c r="A729" s="652" t="n">
        <v>45650</v>
      </c>
      <c r="B729" s="124" t="s">
        <v>470</v>
      </c>
      <c r="C729" s="124" t="s">
        <v>393</v>
      </c>
      <c r="F729" s="653" t="n">
        <v>1184.5</v>
      </c>
      <c r="G729" s="653" t="n">
        <v>0.25</v>
      </c>
    </row>
    <row r="730" customFormat="false" ht="15" hidden="false" customHeight="false" outlineLevel="0" collapsed="false">
      <c r="A730" s="652" t="n">
        <v>45651</v>
      </c>
      <c r="B730" s="123" t="n">
        <v>563</v>
      </c>
      <c r="C730" s="124" t="s">
        <v>81</v>
      </c>
      <c r="D730" s="124" t="s">
        <v>75</v>
      </c>
      <c r="E730" s="653" t="n">
        <v>310.5</v>
      </c>
      <c r="G730" s="653" t="n">
        <v>310.75</v>
      </c>
      <c r="I730" s="123" t="n">
        <v>1</v>
      </c>
    </row>
    <row r="731" customFormat="false" ht="15" hidden="false" customHeight="false" outlineLevel="0" collapsed="false">
      <c r="A731" s="652" t="n">
        <v>45651</v>
      </c>
      <c r="B731" s="123" t="n">
        <v>564</v>
      </c>
      <c r="C731" s="124" t="s">
        <v>100</v>
      </c>
      <c r="D731" s="124" t="s">
        <v>75</v>
      </c>
      <c r="E731" s="653" t="n">
        <v>310.5</v>
      </c>
      <c r="G731" s="653" t="n">
        <v>621.25</v>
      </c>
      <c r="I731" s="123" t="n">
        <v>1</v>
      </c>
    </row>
    <row r="732" customFormat="false" ht="15" hidden="false" customHeight="false" outlineLevel="0" collapsed="false">
      <c r="A732" s="652" t="n">
        <v>45648</v>
      </c>
      <c r="B732" s="123" t="n">
        <v>565</v>
      </c>
      <c r="C732" s="124" t="s">
        <v>95</v>
      </c>
      <c r="D732" s="124" t="s">
        <v>75</v>
      </c>
      <c r="E732" s="653" t="n">
        <v>247.25</v>
      </c>
      <c r="G732" s="653" t="n">
        <v>868.5</v>
      </c>
      <c r="K732" s="123" t="n">
        <v>1</v>
      </c>
    </row>
    <row r="733" customFormat="false" ht="15" hidden="false" customHeight="false" outlineLevel="0" collapsed="false">
      <c r="A733" s="652" t="n">
        <v>45651</v>
      </c>
      <c r="B733" s="123" t="n">
        <v>566</v>
      </c>
      <c r="C733" s="124" t="s">
        <v>101</v>
      </c>
      <c r="D733" s="124" t="s">
        <v>75</v>
      </c>
      <c r="E733" s="653" t="n">
        <v>310.5</v>
      </c>
      <c r="G733" s="123" t="n">
        <v>1179</v>
      </c>
      <c r="H733" s="653" t="n">
        <v>0.5</v>
      </c>
      <c r="I733" s="123" t="n">
        <v>1</v>
      </c>
    </row>
    <row r="734" customFormat="false" ht="15" hidden="false" customHeight="false" outlineLevel="0" collapsed="false">
      <c r="A734" s="652" t="n">
        <v>45651</v>
      </c>
      <c r="B734" s="123" t="n">
        <v>567</v>
      </c>
      <c r="C734" s="124" t="s">
        <v>110</v>
      </c>
      <c r="D734" s="124" t="s">
        <v>105</v>
      </c>
      <c r="E734" s="123" t="n">
        <v>621</v>
      </c>
      <c r="G734" s="123" t="n">
        <v>1800</v>
      </c>
      <c r="I734" s="123" t="n">
        <v>2</v>
      </c>
    </row>
    <row r="735" customFormat="false" ht="15" hidden="false" customHeight="false" outlineLevel="0" collapsed="false">
      <c r="A735" s="652" t="n">
        <v>45651</v>
      </c>
      <c r="B735" s="123" t="n">
        <v>568</v>
      </c>
      <c r="C735" s="124" t="s">
        <v>104</v>
      </c>
      <c r="D735" s="124" t="s">
        <v>105</v>
      </c>
      <c r="E735" s="653" t="n">
        <v>310.5</v>
      </c>
      <c r="G735" s="653" t="n">
        <v>2110.5</v>
      </c>
      <c r="I735" s="123" t="n">
        <v>1</v>
      </c>
    </row>
    <row r="736" customFormat="false" ht="15" hidden="false" customHeight="false" outlineLevel="0" collapsed="false">
      <c r="A736" s="652" t="n">
        <v>45651</v>
      </c>
      <c r="B736" s="123" t="n">
        <v>569</v>
      </c>
      <c r="C736" s="124" t="s">
        <v>109</v>
      </c>
      <c r="D736" s="124" t="s">
        <v>105</v>
      </c>
      <c r="E736" s="123" t="n">
        <v>1380</v>
      </c>
      <c r="G736" s="653" t="n">
        <v>3490.5</v>
      </c>
      <c r="I736" s="123" t="n">
        <v>3</v>
      </c>
      <c r="K736" s="123" t="n">
        <v>2</v>
      </c>
    </row>
    <row r="737" customFormat="false" ht="15" hidden="false" customHeight="false" outlineLevel="0" collapsed="false">
      <c r="A737" s="652" t="n">
        <v>45651</v>
      </c>
      <c r="B737" s="123" t="n">
        <v>570</v>
      </c>
      <c r="C737" s="124" t="s">
        <v>115</v>
      </c>
      <c r="D737" s="124" t="s">
        <v>105</v>
      </c>
      <c r="E737" s="653" t="n">
        <v>310.5</v>
      </c>
      <c r="G737" s="123" t="n">
        <v>3801</v>
      </c>
      <c r="H737" s="123" t="n">
        <v>0</v>
      </c>
      <c r="I737" s="123" t="n">
        <v>1</v>
      </c>
    </row>
    <row r="738" customFormat="false" ht="15" hidden="false" customHeight="false" outlineLevel="0" collapsed="false">
      <c r="A738" s="652" t="n">
        <v>45651</v>
      </c>
      <c r="B738" s="123" t="n">
        <v>571</v>
      </c>
      <c r="C738" s="124" t="s">
        <v>92</v>
      </c>
      <c r="D738" s="124" t="s">
        <v>75</v>
      </c>
      <c r="E738" s="653" t="n">
        <v>799.25</v>
      </c>
      <c r="G738" s="653" t="n">
        <v>4600.25</v>
      </c>
      <c r="H738" s="653" t="n">
        <v>-0.75</v>
      </c>
      <c r="I738" s="123" t="n">
        <v>2</v>
      </c>
      <c r="J738" s="123" t="n">
        <v>1</v>
      </c>
    </row>
    <row r="739" customFormat="false" ht="15" hidden="false" customHeight="false" outlineLevel="0" collapsed="false">
      <c r="A739" s="652" t="n">
        <v>45651</v>
      </c>
      <c r="B739" s="123" t="n">
        <v>572</v>
      </c>
      <c r="C739" s="124" t="s">
        <v>94</v>
      </c>
      <c r="D739" s="124" t="s">
        <v>75</v>
      </c>
      <c r="E739" s="653" t="n">
        <v>448.5</v>
      </c>
      <c r="G739" s="653" t="n">
        <v>5048.75</v>
      </c>
      <c r="O739" s="123" t="n">
        <v>1</v>
      </c>
      <c r="P739" s="123" t="n">
        <v>2</v>
      </c>
    </row>
    <row r="740" customFormat="false" ht="15" hidden="false" customHeight="false" outlineLevel="0" collapsed="false">
      <c r="A740" s="652" t="n">
        <v>45651</v>
      </c>
      <c r="B740" s="123" t="n">
        <v>573</v>
      </c>
      <c r="C740" s="124" t="s">
        <v>96</v>
      </c>
      <c r="D740" s="124" t="s">
        <v>75</v>
      </c>
      <c r="E740" s="653" t="n">
        <v>1828.5</v>
      </c>
      <c r="G740" s="653" t="n">
        <v>6877.25</v>
      </c>
      <c r="H740" s="123" t="n">
        <v>0</v>
      </c>
      <c r="I740" s="123" t="n">
        <v>2</v>
      </c>
      <c r="K740" s="123" t="n">
        <v>5</v>
      </c>
    </row>
    <row r="741" customFormat="false" ht="15" hidden="false" customHeight="false" outlineLevel="0" collapsed="false">
      <c r="A741" s="652" t="n">
        <v>45651</v>
      </c>
      <c r="B741" s="123" t="n">
        <v>574</v>
      </c>
      <c r="C741" s="124" t="s">
        <v>89</v>
      </c>
      <c r="D741" s="124" t="s">
        <v>75</v>
      </c>
      <c r="E741" s="653" t="n">
        <v>1253.5</v>
      </c>
      <c r="G741" s="653" t="n">
        <v>8130.75</v>
      </c>
      <c r="K741" s="123" t="n">
        <v>5</v>
      </c>
    </row>
    <row r="742" customFormat="false" ht="15" hidden="false" customHeight="false" outlineLevel="0" collapsed="false">
      <c r="A742" s="652" t="n">
        <v>45651</v>
      </c>
      <c r="B742" s="123" t="n">
        <v>575</v>
      </c>
      <c r="C742" s="124" t="s">
        <v>90</v>
      </c>
      <c r="D742" s="124" t="s">
        <v>75</v>
      </c>
      <c r="E742" s="653" t="n">
        <v>747.5</v>
      </c>
      <c r="G742" s="653" t="n">
        <v>8878.25</v>
      </c>
      <c r="K742" s="123" t="n">
        <v>2</v>
      </c>
      <c r="L742" s="123" t="n">
        <v>1</v>
      </c>
    </row>
    <row r="743" customFormat="false" ht="15" hidden="false" customHeight="false" outlineLevel="0" collapsed="false">
      <c r="A743" s="652" t="n">
        <v>45651</v>
      </c>
      <c r="B743" s="124" t="s">
        <v>470</v>
      </c>
      <c r="C743" s="124" t="s">
        <v>393</v>
      </c>
      <c r="F743" s="123" t="n">
        <v>3641</v>
      </c>
      <c r="G743" s="653" t="n">
        <v>5237.25</v>
      </c>
    </row>
    <row r="744" customFormat="false" ht="15" hidden="false" customHeight="false" outlineLevel="0" collapsed="false">
      <c r="A744" s="652" t="n">
        <v>45652</v>
      </c>
      <c r="B744" s="124" t="s">
        <v>653</v>
      </c>
      <c r="C744" s="124" t="s">
        <v>393</v>
      </c>
      <c r="E744" s="653" t="n">
        <v>-0.25</v>
      </c>
      <c r="F744" s="123" t="n">
        <v>5237</v>
      </c>
      <c r="G744" s="123" t="n">
        <v>0</v>
      </c>
    </row>
    <row r="745" customFormat="false" ht="15" hidden="false" customHeight="false" outlineLevel="0" collapsed="false">
      <c r="A745" s="652" t="n">
        <v>45652</v>
      </c>
      <c r="B745" s="123" t="n">
        <v>676</v>
      </c>
      <c r="C745" s="124" t="s">
        <v>143</v>
      </c>
      <c r="D745" s="124" t="s">
        <v>127</v>
      </c>
      <c r="E745" s="653" t="n">
        <v>310.5</v>
      </c>
      <c r="G745" s="653" t="n">
        <v>310.5</v>
      </c>
      <c r="H745" s="123" t="n">
        <v>0</v>
      </c>
      <c r="I745" s="123" t="n">
        <v>1</v>
      </c>
    </row>
    <row r="746" customFormat="false" ht="15" hidden="false" customHeight="false" outlineLevel="0" collapsed="false">
      <c r="A746" s="652" t="n">
        <v>45652</v>
      </c>
      <c r="B746" s="123" t="n">
        <v>578</v>
      </c>
      <c r="C746" s="124" t="s">
        <v>234</v>
      </c>
      <c r="D746" s="124" t="s">
        <v>127</v>
      </c>
      <c r="E746" s="653" t="n">
        <v>155.25</v>
      </c>
      <c r="G746" s="653" t="n">
        <v>465.75</v>
      </c>
      <c r="H746" s="653" t="n">
        <v>0.5</v>
      </c>
      <c r="P746" s="123" t="n">
        <v>1</v>
      </c>
    </row>
    <row r="747" customFormat="false" ht="15" hidden="false" customHeight="false" outlineLevel="0" collapsed="false">
      <c r="A747" s="652" t="n">
        <v>45652</v>
      </c>
      <c r="B747" s="123" t="n">
        <v>577</v>
      </c>
      <c r="C747" s="124" t="s">
        <v>266</v>
      </c>
      <c r="D747" s="124" t="s">
        <v>127</v>
      </c>
      <c r="E747" s="653" t="n">
        <v>264.5</v>
      </c>
      <c r="G747" s="653" t="n">
        <v>730.25</v>
      </c>
      <c r="H747" s="123" t="n">
        <v>0</v>
      </c>
      <c r="K747" s="123" t="n">
        <v>1</v>
      </c>
    </row>
    <row r="748" customFormat="false" ht="15" hidden="false" customHeight="false" outlineLevel="0" collapsed="false">
      <c r="A748" s="652" t="n">
        <v>45652</v>
      </c>
      <c r="B748" s="123" t="n">
        <v>579</v>
      </c>
      <c r="C748" s="124" t="s">
        <v>134</v>
      </c>
      <c r="D748" s="124" t="s">
        <v>127</v>
      </c>
      <c r="E748" s="653" t="n">
        <v>494.5</v>
      </c>
      <c r="G748" s="653" t="n">
        <v>1224.75</v>
      </c>
      <c r="H748" s="123" t="n">
        <v>0</v>
      </c>
      <c r="M748" s="123" t="n">
        <v>2</v>
      </c>
    </row>
    <row r="749" customFormat="false" ht="15" hidden="false" customHeight="false" outlineLevel="0" collapsed="false">
      <c r="A749" s="652" t="n">
        <v>45654</v>
      </c>
      <c r="B749" s="123" t="n">
        <v>580</v>
      </c>
      <c r="C749" s="124" t="s">
        <v>132</v>
      </c>
      <c r="D749" s="124" t="s">
        <v>127</v>
      </c>
      <c r="E749" s="653" t="n">
        <v>1989.5</v>
      </c>
      <c r="G749" s="653" t="n">
        <v>3214.25</v>
      </c>
      <c r="H749" s="653" t="n">
        <v>-0.5</v>
      </c>
      <c r="I749" s="123" t="n">
        <v>4</v>
      </c>
      <c r="K749" s="123" t="n">
        <v>1</v>
      </c>
      <c r="M749" s="123" t="n">
        <v>1</v>
      </c>
      <c r="P749" s="123" t="n">
        <v>1</v>
      </c>
    </row>
    <row r="750" customFormat="false" ht="15" hidden="false" customHeight="false" outlineLevel="0" collapsed="false">
      <c r="A750" s="652" t="n">
        <v>45654</v>
      </c>
      <c r="B750" s="123" t="n">
        <v>581</v>
      </c>
      <c r="C750" s="124" t="s">
        <v>134</v>
      </c>
      <c r="D750" s="124" t="s">
        <v>127</v>
      </c>
      <c r="E750" s="653" t="n">
        <v>310.5</v>
      </c>
      <c r="G750" s="653" t="n">
        <v>3524.75</v>
      </c>
      <c r="H750" s="123" t="n">
        <v>0</v>
      </c>
      <c r="I750" s="123" t="n">
        <v>1</v>
      </c>
    </row>
    <row r="751" customFormat="false" ht="15" hidden="false" customHeight="false" outlineLevel="0" collapsed="false">
      <c r="A751" s="652" t="n">
        <v>45654</v>
      </c>
      <c r="B751" s="123" t="n">
        <v>582</v>
      </c>
      <c r="C751" s="124" t="s">
        <v>177</v>
      </c>
      <c r="D751" s="124" t="s">
        <v>127</v>
      </c>
      <c r="E751" s="653" t="n">
        <v>155.25</v>
      </c>
      <c r="G751" s="123" t="n">
        <v>3680</v>
      </c>
      <c r="P751" s="123" t="n">
        <v>1</v>
      </c>
    </row>
    <row r="752" customFormat="false" ht="15" hidden="false" customHeight="false" outlineLevel="0" collapsed="false">
      <c r="A752" s="652" t="n">
        <v>45654</v>
      </c>
      <c r="B752" s="123" t="n">
        <v>583</v>
      </c>
      <c r="C752" s="124" t="s">
        <v>222</v>
      </c>
      <c r="D752" s="124" t="s">
        <v>127</v>
      </c>
      <c r="E752" s="123" t="n">
        <v>529</v>
      </c>
      <c r="G752" s="123" t="n">
        <v>4209</v>
      </c>
      <c r="H752" s="123" t="n">
        <v>3</v>
      </c>
      <c r="K752" s="123" t="n">
        <v>2</v>
      </c>
    </row>
    <row r="753" customFormat="false" ht="15" hidden="false" customHeight="false" outlineLevel="0" collapsed="false">
      <c r="A753" s="652" t="n">
        <v>45655</v>
      </c>
      <c r="B753" s="124" t="s">
        <v>654</v>
      </c>
      <c r="C753" s="124" t="s">
        <v>393</v>
      </c>
      <c r="F753" s="123" t="n">
        <v>3397</v>
      </c>
      <c r="G753" s="123" t="n">
        <v>812</v>
      </c>
    </row>
    <row r="754" customFormat="false" ht="15" hidden="false" customHeight="false" outlineLevel="0" collapsed="false">
      <c r="A754" s="652" t="n">
        <v>45655</v>
      </c>
      <c r="B754" s="124" t="s">
        <v>470</v>
      </c>
      <c r="C754" s="124" t="s">
        <v>393</v>
      </c>
      <c r="F754" s="653" t="n">
        <v>811.75</v>
      </c>
      <c r="G754" s="653" t="n">
        <v>0.25</v>
      </c>
    </row>
    <row r="755" customFormat="false" ht="15" hidden="false" customHeight="false" outlineLevel="0" collapsed="false">
      <c r="A755" s="652" t="n">
        <v>45655</v>
      </c>
      <c r="B755" s="123" t="n">
        <v>584</v>
      </c>
      <c r="C755" s="124" t="s">
        <v>167</v>
      </c>
      <c r="D755" s="124" t="s">
        <v>127</v>
      </c>
      <c r="E755" s="653" t="n">
        <v>1040.75</v>
      </c>
      <c r="G755" s="123" t="n">
        <v>1041</v>
      </c>
      <c r="H755" s="123" t="n">
        <v>0</v>
      </c>
      <c r="I755" s="123" t="n">
        <v>2</v>
      </c>
      <c r="K755" s="123" t="n">
        <v>1</v>
      </c>
      <c r="P755" s="123" t="n">
        <v>1</v>
      </c>
    </row>
    <row r="756" customFormat="false" ht="15" hidden="false" customHeight="false" outlineLevel="0" collapsed="false">
      <c r="A756" s="652" t="n">
        <v>45655</v>
      </c>
      <c r="B756" s="124" t="s">
        <v>470</v>
      </c>
      <c r="C756" s="124" t="s">
        <v>393</v>
      </c>
      <c r="F756" s="123" t="n">
        <v>1041</v>
      </c>
      <c r="G756" s="123" t="n">
        <v>0</v>
      </c>
    </row>
    <row r="757" customFormat="false" ht="15" hidden="false" customHeight="false" outlineLevel="0" collapsed="false">
      <c r="A757" s="652" t="n">
        <v>45656</v>
      </c>
      <c r="B757" s="123" t="n">
        <v>585</v>
      </c>
      <c r="C757" s="124" t="s">
        <v>81</v>
      </c>
      <c r="D757" s="124" t="s">
        <v>75</v>
      </c>
      <c r="E757" s="123" t="n">
        <v>138</v>
      </c>
      <c r="G757" s="123" t="n">
        <v>138</v>
      </c>
      <c r="O757" s="123" t="n">
        <v>1</v>
      </c>
    </row>
    <row r="758" customFormat="false" ht="15" hidden="false" customHeight="false" outlineLevel="0" collapsed="false">
      <c r="A758" s="652" t="n">
        <v>45656</v>
      </c>
      <c r="B758" s="123" t="n">
        <v>586</v>
      </c>
      <c r="C758" s="124" t="s">
        <v>77</v>
      </c>
      <c r="D758" s="124" t="s">
        <v>75</v>
      </c>
      <c r="E758" s="653" t="n">
        <v>310.5</v>
      </c>
      <c r="G758" s="653" t="n">
        <v>448.5</v>
      </c>
      <c r="I758" s="123" t="n">
        <v>1</v>
      </c>
    </row>
    <row r="759" customFormat="false" ht="15" hidden="false" customHeight="false" outlineLevel="0" collapsed="false">
      <c r="A759" s="652" t="n">
        <v>45656</v>
      </c>
      <c r="B759" s="123" t="n">
        <v>587</v>
      </c>
      <c r="C759" s="124" t="s">
        <v>96</v>
      </c>
      <c r="D759" s="124" t="s">
        <v>75</v>
      </c>
      <c r="E759" s="653" t="n">
        <v>310.5</v>
      </c>
      <c r="G759" s="123" t="n">
        <v>759</v>
      </c>
      <c r="H759" s="653" t="n">
        <v>0.5</v>
      </c>
      <c r="P759" s="123" t="n">
        <v>2</v>
      </c>
    </row>
    <row r="760" customFormat="false" ht="15" hidden="false" customHeight="false" outlineLevel="0" collapsed="false">
      <c r="A760" s="652" t="n">
        <v>45656</v>
      </c>
      <c r="B760" s="123" t="n">
        <v>588</v>
      </c>
      <c r="C760" s="124" t="s">
        <v>90</v>
      </c>
      <c r="D760" s="124" t="s">
        <v>75</v>
      </c>
      <c r="E760" s="123" t="n">
        <v>299</v>
      </c>
      <c r="G760" s="123" t="n">
        <v>1058</v>
      </c>
      <c r="L760" s="123" t="n">
        <v>1</v>
      </c>
    </row>
    <row r="761" customFormat="false" ht="15" hidden="false" customHeight="false" outlineLevel="0" collapsed="false">
      <c r="A761" s="652" t="n">
        <v>45656</v>
      </c>
      <c r="B761" s="123" t="n">
        <v>589</v>
      </c>
      <c r="C761" s="124" t="s">
        <v>92</v>
      </c>
      <c r="D761" s="124" t="s">
        <v>75</v>
      </c>
      <c r="E761" s="653" t="n">
        <v>310.5</v>
      </c>
      <c r="G761" s="653" t="n">
        <v>1368.5</v>
      </c>
      <c r="H761" s="653" t="n">
        <v>0.5</v>
      </c>
      <c r="I761" s="123" t="n">
        <v>1</v>
      </c>
    </row>
    <row r="762" customFormat="false" ht="15" hidden="false" customHeight="false" outlineLevel="0" collapsed="false">
      <c r="A762" s="652" t="n">
        <v>45656</v>
      </c>
      <c r="B762" s="123" t="n">
        <v>590</v>
      </c>
      <c r="C762" s="124" t="s">
        <v>115</v>
      </c>
      <c r="D762" s="124" t="s">
        <v>105</v>
      </c>
      <c r="E762" s="653" t="n">
        <v>310.5</v>
      </c>
      <c r="G762" s="123" t="n">
        <v>1679</v>
      </c>
      <c r="H762" s="123" t="n">
        <v>1</v>
      </c>
      <c r="I762" s="123" t="n">
        <v>1</v>
      </c>
    </row>
    <row r="763" customFormat="false" ht="15" hidden="false" customHeight="false" outlineLevel="0" collapsed="false">
      <c r="A763" s="652" t="n">
        <v>45656</v>
      </c>
      <c r="B763" s="123" t="n">
        <v>591</v>
      </c>
      <c r="C763" s="124" t="s">
        <v>115</v>
      </c>
      <c r="D763" s="124" t="s">
        <v>105</v>
      </c>
      <c r="E763" s="123" t="n">
        <v>138</v>
      </c>
      <c r="G763" s="123" t="n">
        <v>1817</v>
      </c>
      <c r="O763" s="123" t="n">
        <v>1</v>
      </c>
    </row>
    <row r="764" customFormat="false" ht="15" hidden="false" customHeight="false" outlineLevel="0" collapsed="false">
      <c r="A764" s="652" t="n">
        <v>45656</v>
      </c>
      <c r="B764" s="123" t="n">
        <v>592</v>
      </c>
      <c r="C764" s="124" t="s">
        <v>108</v>
      </c>
      <c r="D764" s="124" t="s">
        <v>105</v>
      </c>
      <c r="E764" s="653" t="n">
        <v>155.25</v>
      </c>
      <c r="G764" s="653" t="n">
        <v>1972.25</v>
      </c>
      <c r="P764" s="123" t="n">
        <v>1</v>
      </c>
    </row>
    <row r="765" customFormat="false" ht="15" hidden="false" customHeight="false" outlineLevel="0" collapsed="false">
      <c r="A765" s="652" t="n">
        <v>45656</v>
      </c>
      <c r="B765" s="123" t="n">
        <v>593</v>
      </c>
      <c r="C765" s="124" t="s">
        <v>114</v>
      </c>
      <c r="D765" s="124" t="s">
        <v>105</v>
      </c>
      <c r="E765" s="653" t="n">
        <v>310.5</v>
      </c>
      <c r="G765" s="653" t="n">
        <v>2282.75</v>
      </c>
      <c r="H765" s="653" t="n">
        <v>0.5</v>
      </c>
      <c r="I765" s="123" t="n">
        <v>1</v>
      </c>
    </row>
    <row r="766" customFormat="false" ht="15" hidden="false" customHeight="false" outlineLevel="0" collapsed="false">
      <c r="A766" s="652" t="n">
        <v>45656</v>
      </c>
      <c r="B766" s="123" t="n">
        <v>594</v>
      </c>
      <c r="C766" s="124" t="s">
        <v>111</v>
      </c>
      <c r="D766" s="124" t="s">
        <v>105</v>
      </c>
      <c r="E766" s="653" t="n">
        <v>310.5</v>
      </c>
      <c r="G766" s="653" t="n">
        <v>2593.25</v>
      </c>
      <c r="I766" s="123" t="n">
        <v>1</v>
      </c>
    </row>
    <row r="767" customFormat="false" ht="15" hidden="false" customHeight="false" outlineLevel="0" collapsed="false">
      <c r="A767" s="652" t="n">
        <v>45656</v>
      </c>
      <c r="B767" s="123" t="n">
        <v>595</v>
      </c>
      <c r="C767" s="124" t="s">
        <v>89</v>
      </c>
      <c r="D767" s="124" t="s">
        <v>75</v>
      </c>
      <c r="E767" s="653" t="n">
        <v>396.75</v>
      </c>
      <c r="G767" s="123" t="n">
        <v>2990</v>
      </c>
      <c r="H767" s="653" t="n">
        <v>0.75</v>
      </c>
      <c r="K767" s="123" t="n">
        <v>1</v>
      </c>
      <c r="P767" s="123" t="n">
        <v>1</v>
      </c>
    </row>
    <row r="768" customFormat="false" ht="15" hidden="false" customHeight="false" outlineLevel="0" collapsed="false">
      <c r="A768" s="652" t="n">
        <v>45656</v>
      </c>
      <c r="B768" s="123" t="n">
        <v>596</v>
      </c>
      <c r="C768" s="124" t="s">
        <v>166</v>
      </c>
      <c r="D768" s="124" t="s">
        <v>127</v>
      </c>
      <c r="E768" s="123" t="n">
        <v>138</v>
      </c>
      <c r="G768" s="123" t="n">
        <v>3128</v>
      </c>
      <c r="H768" s="123" t="n">
        <v>0</v>
      </c>
      <c r="O768" s="123" t="n">
        <v>1</v>
      </c>
    </row>
    <row r="769" customFormat="false" ht="15" hidden="false" customHeight="false" outlineLevel="0" collapsed="false">
      <c r="A769" s="652" t="n">
        <v>45656</v>
      </c>
      <c r="B769" s="123" t="n">
        <v>597</v>
      </c>
      <c r="C769" s="124" t="s">
        <v>261</v>
      </c>
      <c r="D769" s="124" t="s">
        <v>127</v>
      </c>
      <c r="E769" s="123" t="n">
        <v>299</v>
      </c>
      <c r="G769" s="123" t="n">
        <v>3427</v>
      </c>
      <c r="H769" s="123" t="n">
        <v>-1</v>
      </c>
      <c r="L769" s="123" t="n">
        <v>1</v>
      </c>
    </row>
    <row r="770" customFormat="false" ht="15" hidden="false" customHeight="false" outlineLevel="0" collapsed="false">
      <c r="A770" s="652" t="n">
        <v>45656</v>
      </c>
      <c r="B770" s="123" t="n">
        <v>598</v>
      </c>
      <c r="C770" s="124" t="s">
        <v>244</v>
      </c>
      <c r="D770" s="124" t="s">
        <v>127</v>
      </c>
      <c r="E770" s="123" t="n">
        <v>299</v>
      </c>
      <c r="G770" s="123" t="n">
        <v>3726</v>
      </c>
      <c r="H770" s="123" t="n">
        <v>-1</v>
      </c>
      <c r="P770" s="123" t="n">
        <v>1</v>
      </c>
    </row>
    <row r="771" customFormat="false" ht="15" hidden="false" customHeight="false" outlineLevel="0" collapsed="false">
      <c r="A771" s="652" t="n">
        <v>45656</v>
      </c>
      <c r="B771" s="124" t="s">
        <v>470</v>
      </c>
      <c r="C771" s="124" t="s">
        <v>393</v>
      </c>
      <c r="F771" s="123" t="n">
        <v>3726</v>
      </c>
      <c r="G771" s="123" t="n">
        <v>0</v>
      </c>
      <c r="H771" s="123" t="n">
        <v>0</v>
      </c>
    </row>
    <row r="772" customFormat="false" ht="15" hidden="false" customHeight="false" outlineLevel="0" collapsed="false">
      <c r="A772" s="652" t="n">
        <v>45657</v>
      </c>
      <c r="B772" s="123" t="n">
        <v>599</v>
      </c>
      <c r="C772" s="124" t="s">
        <v>265</v>
      </c>
      <c r="D772" s="124" t="s">
        <v>127</v>
      </c>
      <c r="E772" s="653" t="n">
        <v>534.75</v>
      </c>
      <c r="G772" s="653" t="n">
        <v>534.75</v>
      </c>
      <c r="H772" s="653" t="n">
        <v>-0.25</v>
      </c>
      <c r="I772" s="123" t="n">
        <v>1</v>
      </c>
      <c r="K772" s="123" t="n">
        <v>1</v>
      </c>
    </row>
    <row r="773" customFormat="false" ht="15" hidden="false" customHeight="false" outlineLevel="0" collapsed="false">
      <c r="A773" s="652" t="n">
        <v>45657</v>
      </c>
      <c r="B773" s="123" t="n">
        <v>600</v>
      </c>
      <c r="C773" s="124" t="s">
        <v>160</v>
      </c>
      <c r="D773" s="124" t="s">
        <v>127</v>
      </c>
      <c r="E773" s="653" t="n">
        <v>931.5</v>
      </c>
      <c r="G773" s="653" t="n">
        <v>1466.25</v>
      </c>
      <c r="H773" s="123" t="n">
        <v>0</v>
      </c>
      <c r="I773" s="123" t="n">
        <v>3</v>
      </c>
    </row>
    <row r="774" customFormat="false" ht="15" hidden="false" customHeight="false" outlineLevel="0" collapsed="false">
      <c r="A774" s="652" t="n">
        <v>45657</v>
      </c>
      <c r="B774" s="123" t="n">
        <v>602</v>
      </c>
      <c r="C774" s="124" t="s">
        <v>153</v>
      </c>
      <c r="D774" s="124" t="s">
        <v>127</v>
      </c>
      <c r="E774" s="653" t="n">
        <v>310.5</v>
      </c>
      <c r="G774" s="653" t="n">
        <v>1776.75</v>
      </c>
      <c r="H774" s="123" t="n">
        <v>0</v>
      </c>
      <c r="I774" s="123" t="n">
        <v>1</v>
      </c>
    </row>
    <row r="775" customFormat="false" ht="15" hidden="false" customHeight="false" outlineLevel="0" collapsed="false">
      <c r="A775" s="652" t="n">
        <v>45657</v>
      </c>
      <c r="B775" s="123" t="n">
        <v>601</v>
      </c>
      <c r="C775" s="124" t="s">
        <v>178</v>
      </c>
      <c r="D775" s="124" t="s">
        <v>127</v>
      </c>
      <c r="E775" s="653" t="n">
        <v>310.5</v>
      </c>
      <c r="G775" s="653" t="n">
        <v>2087.25</v>
      </c>
      <c r="H775" s="123" t="n">
        <v>0</v>
      </c>
      <c r="I775" s="123" t="n">
        <v>1</v>
      </c>
    </row>
    <row r="776" customFormat="false" ht="15" hidden="false" customHeight="false" outlineLevel="0" collapsed="false">
      <c r="A776" s="652" t="n">
        <v>45657</v>
      </c>
      <c r="B776" s="123" t="n">
        <v>603</v>
      </c>
      <c r="C776" s="124" t="s">
        <v>159</v>
      </c>
      <c r="D776" s="124" t="s">
        <v>127</v>
      </c>
      <c r="E776" s="123" t="n">
        <v>828</v>
      </c>
      <c r="G776" s="653" t="n">
        <v>2915.25</v>
      </c>
      <c r="H776" s="123" t="n">
        <v>0</v>
      </c>
      <c r="K776" s="123" t="n">
        <v>2</v>
      </c>
      <c r="P776" s="123" t="n">
        <v>1</v>
      </c>
    </row>
    <row r="777" customFormat="false" ht="15" hidden="false" customHeight="false" outlineLevel="0" collapsed="false">
      <c r="A777" s="652" t="n">
        <v>45657</v>
      </c>
      <c r="B777" s="123" t="n">
        <v>604</v>
      </c>
      <c r="C777" s="124" t="s">
        <v>256</v>
      </c>
      <c r="D777" s="124" t="s">
        <v>127</v>
      </c>
      <c r="E777" s="123" t="n">
        <v>138</v>
      </c>
      <c r="G777" s="653" t="n">
        <v>3053.25</v>
      </c>
      <c r="H777" s="123" t="n">
        <v>0</v>
      </c>
      <c r="O777" s="123" t="n">
        <v>1</v>
      </c>
    </row>
    <row r="778" customFormat="false" ht="15" hidden="false" customHeight="false" outlineLevel="0" collapsed="false">
      <c r="A778" s="652" t="n">
        <v>45656</v>
      </c>
      <c r="B778" s="123" t="n">
        <v>606</v>
      </c>
      <c r="C778" s="124" t="s">
        <v>134</v>
      </c>
      <c r="D778" s="124" t="s">
        <v>127</v>
      </c>
      <c r="E778" s="653" t="n">
        <v>937.25</v>
      </c>
      <c r="G778" s="653" t="n">
        <v>3990.5</v>
      </c>
      <c r="H778" s="123" t="n">
        <v>0</v>
      </c>
      <c r="K778" s="123" t="n">
        <v>1</v>
      </c>
      <c r="O778" s="123" t="n">
        <v>2</v>
      </c>
      <c r="P778" s="123" t="n">
        <v>1</v>
      </c>
    </row>
    <row r="779" customFormat="false" ht="15" hidden="false" customHeight="false" outlineLevel="0" collapsed="false">
      <c r="A779" s="652" t="n">
        <v>45657</v>
      </c>
      <c r="B779" s="123" t="n">
        <v>605</v>
      </c>
      <c r="C779" s="124" t="s">
        <v>256</v>
      </c>
      <c r="D779" s="124" t="s">
        <v>127</v>
      </c>
      <c r="E779" s="123" t="n">
        <v>276</v>
      </c>
      <c r="G779" s="653" t="n">
        <v>4266.5</v>
      </c>
      <c r="H779" s="123" t="n">
        <v>0</v>
      </c>
      <c r="O779" s="123" t="n">
        <v>2</v>
      </c>
    </row>
    <row r="780" customFormat="false" ht="15" hidden="false" customHeight="false" outlineLevel="0" collapsed="false">
      <c r="A780" s="652" t="n">
        <v>45657</v>
      </c>
      <c r="B780" s="124" t="s">
        <v>470</v>
      </c>
      <c r="C780" s="124" t="s">
        <v>393</v>
      </c>
      <c r="F780" s="653" t="n">
        <v>1500.5</v>
      </c>
      <c r="G780" s="123" t="n">
        <v>2766</v>
      </c>
      <c r="H780" s="123" t="n">
        <v>0</v>
      </c>
    </row>
    <row r="781" customFormat="false" ht="15" hidden="false" customHeight="false" outlineLevel="0" collapsed="false">
      <c r="A781" s="652" t="n">
        <v>45657</v>
      </c>
      <c r="B781" s="124" t="s">
        <v>653</v>
      </c>
      <c r="C781" s="124" t="s">
        <v>393</v>
      </c>
      <c r="F781" s="123" t="n">
        <v>2766</v>
      </c>
      <c r="G781" s="123" t="n">
        <v>0</v>
      </c>
    </row>
    <row r="782" customFormat="false" ht="15" hidden="false" customHeight="false" outlineLevel="0" collapsed="false">
      <c r="A782" s="652" t="n">
        <v>45662</v>
      </c>
      <c r="B782" s="123" t="n">
        <v>607</v>
      </c>
      <c r="C782" s="124" t="s">
        <v>157</v>
      </c>
      <c r="D782" s="124" t="s">
        <v>127</v>
      </c>
      <c r="E782" s="653" t="n">
        <v>155.25</v>
      </c>
      <c r="G782" s="653" t="n">
        <v>155.25</v>
      </c>
      <c r="H782" s="653" t="n">
        <v>0.25</v>
      </c>
      <c r="P782" s="123" t="n">
        <v>1</v>
      </c>
    </row>
    <row r="783" customFormat="false" ht="15" hidden="false" customHeight="false" outlineLevel="0" collapsed="false">
      <c r="A783" s="652" t="n">
        <v>45662</v>
      </c>
      <c r="B783" s="123" t="n">
        <v>609</v>
      </c>
      <c r="C783" s="124" t="s">
        <v>234</v>
      </c>
      <c r="D783" s="124" t="s">
        <v>127</v>
      </c>
      <c r="E783" s="123" t="n">
        <v>299</v>
      </c>
      <c r="G783" s="653" t="n">
        <v>454.25</v>
      </c>
      <c r="H783" s="123" t="n">
        <v>0</v>
      </c>
      <c r="P783" s="123" t="n">
        <v>1</v>
      </c>
    </row>
    <row r="784" customFormat="false" ht="15" hidden="false" customHeight="false" outlineLevel="0" collapsed="false">
      <c r="A784" s="652" t="n">
        <v>45662</v>
      </c>
      <c r="B784" s="123" t="n">
        <v>608</v>
      </c>
      <c r="C784" s="124" t="s">
        <v>238</v>
      </c>
      <c r="D784" s="124" t="s">
        <v>127</v>
      </c>
      <c r="E784" s="653" t="n">
        <v>448.5</v>
      </c>
      <c r="G784" s="653" t="n">
        <v>902.75</v>
      </c>
      <c r="H784" s="653" t="n">
        <v>0.5</v>
      </c>
      <c r="K784" s="123" t="n">
        <v>1</v>
      </c>
      <c r="P784" s="123" t="n">
        <v>1</v>
      </c>
    </row>
    <row r="785" customFormat="false" ht="15" hidden="false" customHeight="false" outlineLevel="0" collapsed="false">
      <c r="A785" s="652" t="n">
        <v>45662</v>
      </c>
      <c r="B785" s="124" t="s">
        <v>470</v>
      </c>
      <c r="C785" s="124" t="s">
        <v>393</v>
      </c>
      <c r="F785" s="123" t="n">
        <v>293</v>
      </c>
      <c r="G785" s="653" t="n">
        <v>609.75</v>
      </c>
    </row>
    <row r="786" customFormat="false" ht="15" hidden="false" customHeight="false" outlineLevel="0" collapsed="false">
      <c r="A786" s="652" t="n">
        <v>45662</v>
      </c>
      <c r="B786" s="124" t="s">
        <v>653</v>
      </c>
      <c r="C786" s="124" t="s">
        <v>393</v>
      </c>
      <c r="F786" s="123" t="n">
        <v>609</v>
      </c>
      <c r="G786" s="653" t="n">
        <v>0.75</v>
      </c>
    </row>
    <row r="787" customFormat="false" ht="15" hidden="false" customHeight="false" outlineLevel="0" collapsed="false">
      <c r="A787" s="652" t="n">
        <v>45664</v>
      </c>
      <c r="B787" s="123" t="n">
        <v>610</v>
      </c>
      <c r="C787" s="124" t="s">
        <v>295</v>
      </c>
      <c r="D787" s="124" t="s">
        <v>286</v>
      </c>
      <c r="E787" s="123" t="n">
        <v>1357</v>
      </c>
      <c r="G787" s="653" t="n">
        <v>1357.75</v>
      </c>
      <c r="H787" s="123" t="n">
        <v>0</v>
      </c>
      <c r="I787" s="123" t="n">
        <v>1</v>
      </c>
      <c r="L787" s="123" t="n">
        <v>2</v>
      </c>
      <c r="M787" s="123" t="n">
        <v>2</v>
      </c>
    </row>
    <row r="788" customFormat="false" ht="15" hidden="false" customHeight="false" outlineLevel="0" collapsed="false">
      <c r="A788" s="652" t="n">
        <v>45664</v>
      </c>
      <c r="B788" s="123" t="n">
        <v>611</v>
      </c>
      <c r="C788" s="124" t="s">
        <v>294</v>
      </c>
      <c r="D788" s="124" t="s">
        <v>286</v>
      </c>
      <c r="E788" s="123" t="n">
        <v>299</v>
      </c>
      <c r="G788" s="653" t="n">
        <v>1656.75</v>
      </c>
      <c r="H788" s="123" t="n">
        <v>0</v>
      </c>
      <c r="I788" s="123" t="n">
        <v>1</v>
      </c>
    </row>
    <row r="789" customFormat="false" ht="15" hidden="false" customHeight="false" outlineLevel="0" collapsed="false">
      <c r="A789" s="652" t="n">
        <v>45664</v>
      </c>
      <c r="B789" s="123" t="n">
        <v>612</v>
      </c>
      <c r="C789" s="124" t="s">
        <v>298</v>
      </c>
      <c r="D789" s="124" t="s">
        <v>286</v>
      </c>
      <c r="E789" s="123" t="n">
        <v>253</v>
      </c>
      <c r="G789" s="653" t="n">
        <v>1909.75</v>
      </c>
      <c r="H789" s="653" t="n">
        <v>-1.5</v>
      </c>
      <c r="K789" s="123" t="n">
        <v>1</v>
      </c>
    </row>
    <row r="790" customFormat="false" ht="15" hidden="false" customHeight="false" outlineLevel="0" collapsed="false">
      <c r="A790" s="652" t="n">
        <v>45664</v>
      </c>
      <c r="B790" s="123" t="n">
        <v>613</v>
      </c>
      <c r="C790" s="124" t="s">
        <v>289</v>
      </c>
      <c r="D790" s="124" t="s">
        <v>286</v>
      </c>
      <c r="E790" s="123" t="n">
        <v>299</v>
      </c>
      <c r="G790" s="653" t="n">
        <v>2208.75</v>
      </c>
      <c r="I790" s="123" t="n">
        <v>1</v>
      </c>
    </row>
    <row r="791" customFormat="false" ht="15" hidden="false" customHeight="false" outlineLevel="0" collapsed="false">
      <c r="A791" s="652" t="n">
        <v>45664</v>
      </c>
      <c r="B791" s="123" t="n">
        <v>614</v>
      </c>
      <c r="C791" s="124" t="s">
        <v>290</v>
      </c>
      <c r="D791" s="124" t="s">
        <v>286</v>
      </c>
      <c r="E791" s="123" t="n">
        <v>598</v>
      </c>
      <c r="G791" s="653" t="n">
        <v>2806.75</v>
      </c>
      <c r="H791" s="123" t="n">
        <v>0</v>
      </c>
      <c r="I791" s="123" t="n">
        <v>2</v>
      </c>
    </row>
    <row r="792" customFormat="false" ht="15" hidden="false" customHeight="false" outlineLevel="0" collapsed="false">
      <c r="A792" s="652" t="n">
        <v>45664</v>
      </c>
      <c r="B792" s="123" t="n">
        <v>615</v>
      </c>
      <c r="C792" s="124" t="s">
        <v>292</v>
      </c>
      <c r="D792" s="124" t="s">
        <v>286</v>
      </c>
      <c r="E792" s="123" t="n">
        <v>598</v>
      </c>
      <c r="G792" s="653" t="n">
        <v>3404.75</v>
      </c>
      <c r="I792" s="123" t="n">
        <v>2</v>
      </c>
    </row>
    <row r="793" customFormat="false" ht="15" hidden="false" customHeight="false" outlineLevel="0" collapsed="false">
      <c r="A793" s="652" t="n">
        <v>45664</v>
      </c>
      <c r="B793" s="123" t="n">
        <v>616</v>
      </c>
      <c r="C793" s="124" t="s">
        <v>291</v>
      </c>
      <c r="D793" s="124" t="s">
        <v>286</v>
      </c>
      <c r="E793" s="653" t="n">
        <v>753.25</v>
      </c>
      <c r="G793" s="123" t="n">
        <v>4158</v>
      </c>
      <c r="I793" s="123" t="n">
        <v>2</v>
      </c>
      <c r="P793" s="123" t="n">
        <v>1</v>
      </c>
    </row>
    <row r="794" customFormat="false" ht="15" hidden="false" customHeight="false" outlineLevel="0" collapsed="false">
      <c r="A794" s="652" t="n">
        <v>45664</v>
      </c>
      <c r="B794" s="123" t="n">
        <v>617</v>
      </c>
      <c r="C794" s="124" t="s">
        <v>293</v>
      </c>
      <c r="D794" s="124" t="s">
        <v>286</v>
      </c>
      <c r="E794" s="123" t="n">
        <v>299</v>
      </c>
      <c r="G794" s="123" t="n">
        <v>4457</v>
      </c>
      <c r="I794" s="123" t="n">
        <v>1</v>
      </c>
    </row>
    <row r="795" customFormat="false" ht="15" hidden="false" customHeight="false" outlineLevel="0" collapsed="false">
      <c r="A795" s="652" t="n">
        <v>45664</v>
      </c>
      <c r="B795" s="123" t="n">
        <v>618</v>
      </c>
      <c r="C795" s="124" t="s">
        <v>302</v>
      </c>
      <c r="D795" s="124" t="s">
        <v>301</v>
      </c>
      <c r="E795" s="653" t="n">
        <v>155.25</v>
      </c>
      <c r="G795" s="653" t="n">
        <v>4612.25</v>
      </c>
      <c r="P795" s="123" t="n">
        <v>1</v>
      </c>
    </row>
    <row r="796" customFormat="false" ht="15" hidden="false" customHeight="false" outlineLevel="0" collapsed="false">
      <c r="A796" s="652" t="n">
        <v>45664</v>
      </c>
      <c r="B796" s="123" t="n">
        <v>619</v>
      </c>
      <c r="C796" s="124" t="s">
        <v>300</v>
      </c>
      <c r="D796" s="124" t="s">
        <v>301</v>
      </c>
      <c r="E796" s="123" t="n">
        <v>299</v>
      </c>
      <c r="G796" s="653" t="n">
        <v>4911.25</v>
      </c>
      <c r="I796" s="123" t="n">
        <v>1</v>
      </c>
    </row>
    <row r="797" customFormat="false" ht="15" hidden="false" customHeight="false" outlineLevel="0" collapsed="false">
      <c r="A797" s="652" t="n">
        <v>45664</v>
      </c>
      <c r="B797" s="123" t="n">
        <v>620</v>
      </c>
      <c r="C797" s="124" t="s">
        <v>316</v>
      </c>
      <c r="D797" s="124" t="s">
        <v>301</v>
      </c>
      <c r="E797" s="123" t="n">
        <v>276</v>
      </c>
      <c r="G797" s="653" t="n">
        <v>5187.25</v>
      </c>
      <c r="O797" s="123" t="n">
        <v>2</v>
      </c>
    </row>
    <row r="798" customFormat="false" ht="15" hidden="false" customHeight="false" outlineLevel="0" collapsed="false">
      <c r="A798" s="652" t="n">
        <v>45658</v>
      </c>
      <c r="B798" s="123" t="n">
        <v>621</v>
      </c>
      <c r="C798" s="124" t="s">
        <v>303</v>
      </c>
      <c r="D798" s="124" t="s">
        <v>301</v>
      </c>
      <c r="E798" s="123" t="n">
        <v>299</v>
      </c>
      <c r="G798" s="653" t="n">
        <v>5486.25</v>
      </c>
      <c r="H798" s="123" t="n">
        <v>0</v>
      </c>
      <c r="I798" s="123" t="n">
        <v>1</v>
      </c>
    </row>
    <row r="799" customFormat="false" ht="15" hidden="false" customHeight="false" outlineLevel="0" collapsed="false">
      <c r="A799" s="652" t="n">
        <v>45664</v>
      </c>
      <c r="B799" s="124" t="s">
        <v>470</v>
      </c>
      <c r="C799" s="124" t="s">
        <v>393</v>
      </c>
      <c r="E799" s="653" t="n">
        <v>-0.25</v>
      </c>
      <c r="F799" s="123" t="n">
        <v>5486</v>
      </c>
      <c r="G799" s="123" t="n">
        <v>0</v>
      </c>
    </row>
    <row r="800" customFormat="false" ht="15" hidden="false" customHeight="false" outlineLevel="0" collapsed="false">
      <c r="A800" s="652" t="n">
        <v>45659</v>
      </c>
      <c r="B800" s="123" t="n">
        <v>622</v>
      </c>
      <c r="C800" s="124" t="s">
        <v>295</v>
      </c>
      <c r="D800" s="124" t="s">
        <v>286</v>
      </c>
      <c r="E800" s="653" t="n">
        <v>241.5</v>
      </c>
      <c r="G800" s="653" t="n">
        <v>241.5</v>
      </c>
      <c r="O800" s="123" t="n">
        <v>1</v>
      </c>
    </row>
    <row r="801" customFormat="false" ht="15" hidden="false" customHeight="false" outlineLevel="0" collapsed="false">
      <c r="A801" s="652" t="n">
        <v>45659</v>
      </c>
      <c r="B801" s="123" t="n">
        <v>623</v>
      </c>
      <c r="C801" s="124" t="s">
        <v>289</v>
      </c>
      <c r="D801" s="124" t="s">
        <v>286</v>
      </c>
      <c r="E801" s="653" t="n">
        <v>241.5</v>
      </c>
      <c r="G801" s="123" t="n">
        <v>483</v>
      </c>
      <c r="O801" s="123" t="n">
        <v>1</v>
      </c>
    </row>
    <row r="802" customFormat="false" ht="15" hidden="false" customHeight="false" outlineLevel="0" collapsed="false">
      <c r="A802" s="652" t="n">
        <v>45659</v>
      </c>
      <c r="B802" s="123" t="n">
        <v>624</v>
      </c>
      <c r="C802" s="124" t="s">
        <v>291</v>
      </c>
      <c r="D802" s="124" t="s">
        <v>286</v>
      </c>
      <c r="E802" s="123" t="n">
        <v>1219</v>
      </c>
      <c r="G802" s="123" t="n">
        <v>1702</v>
      </c>
      <c r="K802" s="123" t="n">
        <v>1</v>
      </c>
      <c r="O802" s="123" t="n">
        <v>4</v>
      </c>
    </row>
    <row r="803" customFormat="false" ht="15" hidden="false" customHeight="false" outlineLevel="0" collapsed="false">
      <c r="A803" s="652" t="n">
        <v>45659</v>
      </c>
      <c r="B803" s="123" t="n">
        <v>625</v>
      </c>
      <c r="C803" s="124" t="s">
        <v>327</v>
      </c>
      <c r="D803" s="124" t="s">
        <v>224</v>
      </c>
      <c r="E803" s="653" t="n">
        <v>1207.5</v>
      </c>
      <c r="G803" s="653" t="n">
        <v>2909.5</v>
      </c>
      <c r="M803" s="123" t="n">
        <v>5</v>
      </c>
    </row>
    <row r="804" customFormat="false" ht="15" hidden="false" customHeight="false" outlineLevel="0" collapsed="false">
      <c r="A804" s="652" t="n">
        <v>45659</v>
      </c>
      <c r="B804" s="123" t="n">
        <v>626</v>
      </c>
      <c r="C804" s="124" t="s">
        <v>329</v>
      </c>
      <c r="D804" s="124" t="s">
        <v>224</v>
      </c>
      <c r="E804" s="123" t="n">
        <v>529</v>
      </c>
      <c r="G804" s="653" t="n">
        <v>3438.5</v>
      </c>
      <c r="L804" s="123" t="n">
        <v>1</v>
      </c>
      <c r="M804" s="123" t="n">
        <v>1</v>
      </c>
    </row>
    <row r="805" customFormat="false" ht="15" hidden="false" customHeight="false" outlineLevel="0" collapsed="false">
      <c r="A805" s="652" t="n">
        <v>45659</v>
      </c>
      <c r="B805" s="123" t="n">
        <v>627</v>
      </c>
      <c r="C805" s="124" t="s">
        <v>94</v>
      </c>
      <c r="D805" s="124" t="s">
        <v>75</v>
      </c>
      <c r="E805" s="123" t="n">
        <v>483</v>
      </c>
      <c r="G805" s="653" t="n">
        <v>3921.5</v>
      </c>
      <c r="M805" s="123" t="n">
        <v>2</v>
      </c>
    </row>
    <row r="806" customFormat="false" ht="15" hidden="false" customHeight="false" outlineLevel="0" collapsed="false">
      <c r="A806" s="652" t="n">
        <v>45663</v>
      </c>
      <c r="B806" s="123" t="n">
        <v>628</v>
      </c>
      <c r="C806" s="124" t="s">
        <v>94</v>
      </c>
      <c r="D806" s="124" t="s">
        <v>75</v>
      </c>
      <c r="E806" s="123" t="n">
        <v>736</v>
      </c>
      <c r="G806" s="653" t="n">
        <v>4657.5</v>
      </c>
      <c r="I806" s="123" t="n">
        <v>2</v>
      </c>
      <c r="O806" s="123" t="n">
        <v>1</v>
      </c>
    </row>
    <row r="807" customFormat="false" ht="15" hidden="false" customHeight="false" outlineLevel="0" collapsed="false">
      <c r="A807" s="652" t="n">
        <v>45663</v>
      </c>
      <c r="B807" s="123" t="n">
        <v>629</v>
      </c>
      <c r="C807" s="124" t="s">
        <v>96</v>
      </c>
      <c r="D807" s="124" t="s">
        <v>75</v>
      </c>
      <c r="E807" s="653" t="n">
        <v>2242.5</v>
      </c>
      <c r="G807" s="123" t="n">
        <v>6900</v>
      </c>
      <c r="I807" s="123" t="n">
        <v>5</v>
      </c>
      <c r="K807" s="123" t="n">
        <v>2</v>
      </c>
      <c r="L807" s="123" t="n">
        <v>1</v>
      </c>
    </row>
    <row r="808" customFormat="false" ht="15" hidden="false" customHeight="false" outlineLevel="0" collapsed="false">
      <c r="A808" s="652" t="n">
        <v>45663</v>
      </c>
      <c r="B808" s="123" t="n">
        <v>630</v>
      </c>
      <c r="C808" s="124" t="s">
        <v>89</v>
      </c>
      <c r="D808" s="124" t="s">
        <v>75</v>
      </c>
      <c r="E808" s="123" t="n">
        <v>1587</v>
      </c>
      <c r="G808" s="123" t="n">
        <v>8487</v>
      </c>
      <c r="I808" s="123" t="n">
        <v>2</v>
      </c>
      <c r="K808" s="123" t="n">
        <v>2</v>
      </c>
      <c r="M808" s="123" t="n">
        <v>2</v>
      </c>
    </row>
    <row r="809" customFormat="false" ht="15" hidden="false" customHeight="false" outlineLevel="0" collapsed="false">
      <c r="A809" s="652" t="n">
        <v>45663</v>
      </c>
      <c r="B809" s="123" t="n">
        <v>631</v>
      </c>
      <c r="C809" s="124" t="s">
        <v>110</v>
      </c>
      <c r="D809" s="124" t="s">
        <v>105</v>
      </c>
      <c r="E809" s="123" t="n">
        <v>5382</v>
      </c>
      <c r="G809" s="123" t="n">
        <v>13869</v>
      </c>
      <c r="I809" s="123" t="n">
        <v>18</v>
      </c>
    </row>
    <row r="810" customFormat="false" ht="15" hidden="false" customHeight="false" outlineLevel="0" collapsed="false">
      <c r="A810" s="652" t="n">
        <v>45663</v>
      </c>
      <c r="B810" s="123" t="n">
        <v>632</v>
      </c>
      <c r="C810" s="124" t="s">
        <v>104</v>
      </c>
      <c r="D810" s="124" t="s">
        <v>105</v>
      </c>
      <c r="E810" s="123" t="n">
        <v>598</v>
      </c>
      <c r="G810" s="123" t="n">
        <v>14467</v>
      </c>
      <c r="I810" s="123" t="n">
        <v>2</v>
      </c>
    </row>
    <row r="811" customFormat="false" ht="15" hidden="false" customHeight="false" outlineLevel="0" collapsed="false">
      <c r="A811" s="652" t="n">
        <v>45663</v>
      </c>
      <c r="B811" s="123" t="n">
        <v>633</v>
      </c>
      <c r="C811" s="124" t="s">
        <v>101</v>
      </c>
      <c r="D811" s="124" t="s">
        <v>75</v>
      </c>
      <c r="E811" s="123" t="n">
        <v>483</v>
      </c>
      <c r="G811" s="123" t="n">
        <v>14950</v>
      </c>
      <c r="K811" s="123" t="n">
        <v>2</v>
      </c>
    </row>
    <row r="812" customFormat="false" ht="15" hidden="false" customHeight="false" outlineLevel="0" collapsed="false">
      <c r="A812" s="652" t="n">
        <v>45664</v>
      </c>
      <c r="B812" s="124" t="s">
        <v>470</v>
      </c>
      <c r="C812" s="124" t="s">
        <v>393</v>
      </c>
      <c r="F812" s="653" t="n">
        <v>5158.75</v>
      </c>
      <c r="G812" s="653" t="n">
        <v>9791.25</v>
      </c>
    </row>
    <row r="813" customFormat="false" ht="15" hidden="false" customHeight="false" outlineLevel="0" collapsed="false">
      <c r="A813" s="652" t="n">
        <v>45664</v>
      </c>
      <c r="B813" s="124" t="s">
        <v>655</v>
      </c>
      <c r="C813" s="124" t="s">
        <v>393</v>
      </c>
      <c r="F813" s="123" t="n">
        <v>5382</v>
      </c>
      <c r="G813" s="653" t="n">
        <v>4409.25</v>
      </c>
    </row>
    <row r="814" customFormat="false" ht="15" hidden="false" customHeight="false" outlineLevel="0" collapsed="false">
      <c r="A814" s="652" t="n">
        <v>45663</v>
      </c>
      <c r="B814" s="124" t="s">
        <v>470</v>
      </c>
      <c r="C814" s="124" t="s">
        <v>393</v>
      </c>
      <c r="F814" s="123" t="n">
        <v>4409</v>
      </c>
      <c r="G814" s="653" t="n">
        <v>0.25</v>
      </c>
    </row>
    <row r="815" customFormat="false" ht="15" hidden="false" customHeight="false" outlineLevel="0" collapsed="false">
      <c r="A815" s="652" t="n">
        <v>45663</v>
      </c>
      <c r="B815" s="123" t="n">
        <v>634</v>
      </c>
      <c r="C815" s="124" t="s">
        <v>133</v>
      </c>
      <c r="D815" s="124" t="s">
        <v>127</v>
      </c>
      <c r="E815" s="123" t="n">
        <v>897</v>
      </c>
      <c r="G815" s="653" t="n">
        <v>897.25</v>
      </c>
      <c r="H815" s="123" t="n">
        <v>0</v>
      </c>
      <c r="P815" s="123" t="n">
        <v>3</v>
      </c>
    </row>
    <row r="816" customFormat="false" ht="15" hidden="false" customHeight="false" outlineLevel="0" collapsed="false">
      <c r="A816" s="652" t="n">
        <v>45663</v>
      </c>
      <c r="B816" s="123" t="n">
        <v>635</v>
      </c>
      <c r="C816" s="124" t="s">
        <v>176</v>
      </c>
      <c r="D816" s="124" t="s">
        <v>127</v>
      </c>
      <c r="E816" s="123" t="n">
        <v>299</v>
      </c>
      <c r="G816" s="653" t="n">
        <v>1196.25</v>
      </c>
      <c r="H816" s="123" t="n">
        <v>0</v>
      </c>
      <c r="I816" s="123" t="n">
        <v>1</v>
      </c>
    </row>
    <row r="817" customFormat="false" ht="15" hidden="false" customHeight="false" outlineLevel="0" collapsed="false">
      <c r="A817" s="652" t="n">
        <v>45663</v>
      </c>
      <c r="B817" s="124" t="s">
        <v>470</v>
      </c>
      <c r="C817" s="124" t="s">
        <v>393</v>
      </c>
      <c r="F817" s="123" t="n">
        <v>897</v>
      </c>
      <c r="G817" s="653" t="n">
        <v>299.25</v>
      </c>
    </row>
    <row r="818" customFormat="false" ht="15" hidden="false" customHeight="false" outlineLevel="0" collapsed="false">
      <c r="A818" s="652" t="n">
        <v>45669</v>
      </c>
      <c r="B818" s="124" t="s">
        <v>470</v>
      </c>
      <c r="C818" s="124" t="s">
        <v>393</v>
      </c>
      <c r="E818" s="653" t="n">
        <v>-0.25</v>
      </c>
      <c r="F818" s="123" t="n">
        <v>299</v>
      </c>
      <c r="G818" s="123" t="n">
        <v>0</v>
      </c>
    </row>
    <row r="819" customFormat="false" ht="15" hidden="false" customHeight="false" outlineLevel="0" collapsed="false">
      <c r="A819" s="652" t="n">
        <v>45669</v>
      </c>
      <c r="B819" s="123" t="n">
        <v>537</v>
      </c>
      <c r="C819" s="124" t="s">
        <v>260</v>
      </c>
      <c r="D819" s="124" t="s">
        <v>127</v>
      </c>
      <c r="E819" s="653" t="n">
        <v>707.25</v>
      </c>
      <c r="G819" s="653" t="n">
        <v>707.25</v>
      </c>
      <c r="H819" s="653" t="n">
        <v>-0.75</v>
      </c>
      <c r="I819" s="123" t="n">
        <v>1</v>
      </c>
      <c r="J819" s="123" t="n">
        <v>1</v>
      </c>
      <c r="K819" s="123" t="n">
        <v>1</v>
      </c>
    </row>
    <row r="820" customFormat="false" ht="15" hidden="false" customHeight="false" outlineLevel="0" collapsed="false">
      <c r="A820" s="652" t="n">
        <v>45669</v>
      </c>
      <c r="B820" s="123" t="n">
        <v>536</v>
      </c>
      <c r="C820" s="124" t="s">
        <v>179</v>
      </c>
      <c r="D820" s="124" t="s">
        <v>127</v>
      </c>
      <c r="E820" s="653" t="n">
        <v>1075.25</v>
      </c>
      <c r="G820" s="653" t="n">
        <v>1782.5</v>
      </c>
      <c r="H820" s="653" t="n">
        <v>0.25</v>
      </c>
      <c r="I820" s="123" t="n">
        <v>3</v>
      </c>
      <c r="J820" s="123" t="n">
        <v>1</v>
      </c>
    </row>
    <row r="821" customFormat="false" ht="15" hidden="false" customHeight="false" outlineLevel="0" collapsed="false">
      <c r="A821" s="652" t="n">
        <v>45669</v>
      </c>
      <c r="B821" s="123" t="n">
        <v>638</v>
      </c>
      <c r="C821" s="124" t="s">
        <v>145</v>
      </c>
      <c r="D821" s="124" t="s">
        <v>127</v>
      </c>
      <c r="E821" s="123" t="n">
        <v>299</v>
      </c>
      <c r="G821" s="653" t="n">
        <v>2081.5</v>
      </c>
      <c r="H821" s="123" t="n">
        <v>-1</v>
      </c>
      <c r="I821" s="123" t="n">
        <v>1</v>
      </c>
    </row>
    <row r="822" customFormat="false" ht="15" hidden="false" customHeight="false" outlineLevel="0" collapsed="false">
      <c r="A822" s="652" t="n">
        <v>45669</v>
      </c>
      <c r="B822" s="123" t="n">
        <v>639</v>
      </c>
      <c r="C822" s="124" t="s">
        <v>101</v>
      </c>
      <c r="D822" s="124" t="s">
        <v>75</v>
      </c>
      <c r="E822" s="123" t="n">
        <v>299</v>
      </c>
      <c r="G822" s="653" t="n">
        <v>2380.5</v>
      </c>
      <c r="H822" s="123" t="n">
        <v>0</v>
      </c>
      <c r="I822" s="123" t="n">
        <v>1</v>
      </c>
    </row>
    <row r="823" customFormat="false" ht="15" hidden="false" customHeight="false" outlineLevel="0" collapsed="false">
      <c r="A823" s="652" t="n">
        <v>45669</v>
      </c>
      <c r="B823" s="123" t="n">
        <v>641</v>
      </c>
      <c r="C823" s="124" t="s">
        <v>234</v>
      </c>
      <c r="D823" s="124" t="s">
        <v>127</v>
      </c>
      <c r="E823" s="123" t="n">
        <v>299</v>
      </c>
      <c r="G823" s="653" t="n">
        <v>2679.5</v>
      </c>
      <c r="H823" s="123" t="n">
        <v>0</v>
      </c>
      <c r="P823" s="123" t="n">
        <v>1</v>
      </c>
    </row>
    <row r="824" customFormat="false" ht="15" hidden="false" customHeight="false" outlineLevel="0" collapsed="false">
      <c r="A824" s="652" t="n">
        <v>45669</v>
      </c>
      <c r="B824" s="123" t="n">
        <v>640</v>
      </c>
      <c r="C824" s="124" t="s">
        <v>267</v>
      </c>
      <c r="D824" s="124" t="s">
        <v>127</v>
      </c>
      <c r="E824" s="123" t="n">
        <v>299</v>
      </c>
      <c r="G824" s="653" t="n">
        <v>2978.5</v>
      </c>
      <c r="I824" s="123" t="n">
        <v>1</v>
      </c>
    </row>
    <row r="825" customFormat="false" ht="15" hidden="false" customHeight="false" outlineLevel="0" collapsed="false">
      <c r="A825" s="652" t="n">
        <v>45669</v>
      </c>
      <c r="B825" s="123" t="n">
        <v>642</v>
      </c>
      <c r="C825" s="124" t="s">
        <v>264</v>
      </c>
      <c r="D825" s="124" t="s">
        <v>127</v>
      </c>
      <c r="E825" s="653" t="n">
        <v>310.5</v>
      </c>
      <c r="G825" s="123" t="n">
        <v>3289</v>
      </c>
      <c r="P825" s="123" t="n">
        <v>2</v>
      </c>
    </row>
    <row r="826" customFormat="false" ht="15" hidden="false" customHeight="false" outlineLevel="0" collapsed="false">
      <c r="A826" s="652" t="n">
        <v>45669</v>
      </c>
      <c r="B826" s="124" t="s">
        <v>470</v>
      </c>
      <c r="C826" s="124" t="s">
        <v>393</v>
      </c>
      <c r="F826" s="123" t="n">
        <v>718</v>
      </c>
      <c r="G826" s="123" t="n">
        <v>2571</v>
      </c>
    </row>
    <row r="827" customFormat="false" ht="15" hidden="false" customHeight="false" outlineLevel="0" collapsed="false">
      <c r="A827" s="652" t="n">
        <v>45670</v>
      </c>
      <c r="B827" s="124" t="s">
        <v>470</v>
      </c>
      <c r="C827" s="124" t="s">
        <v>393</v>
      </c>
      <c r="F827" s="123" t="n">
        <v>2571</v>
      </c>
      <c r="G827" s="123" t="n">
        <v>0</v>
      </c>
    </row>
    <row r="828" customFormat="false" ht="15" hidden="false" customHeight="false" outlineLevel="0" collapsed="false">
      <c r="A828" s="652" t="n">
        <v>45670</v>
      </c>
      <c r="B828" s="123" t="n">
        <v>643</v>
      </c>
      <c r="C828" s="124" t="s">
        <v>294</v>
      </c>
      <c r="D828" s="124" t="s">
        <v>286</v>
      </c>
      <c r="E828" s="653" t="n">
        <v>241.5</v>
      </c>
      <c r="G828" s="653" t="n">
        <v>241.5</v>
      </c>
      <c r="O828" s="123" t="n">
        <v>1</v>
      </c>
    </row>
    <row r="829" customFormat="false" ht="15" hidden="false" customHeight="false" outlineLevel="0" collapsed="false">
      <c r="A829" s="652" t="n">
        <v>45670</v>
      </c>
      <c r="B829" s="123" t="n">
        <v>644</v>
      </c>
      <c r="C829" s="124" t="s">
        <v>298</v>
      </c>
      <c r="D829" s="124" t="s">
        <v>286</v>
      </c>
      <c r="E829" s="123" t="n">
        <v>253</v>
      </c>
      <c r="G829" s="653" t="n">
        <v>494.5</v>
      </c>
      <c r="K829" s="123" t="n">
        <v>1</v>
      </c>
    </row>
    <row r="830" customFormat="false" ht="15" hidden="false" customHeight="false" outlineLevel="0" collapsed="false">
      <c r="A830" s="652" t="n">
        <v>45670</v>
      </c>
      <c r="B830" s="123" t="n">
        <v>645</v>
      </c>
      <c r="C830" s="124" t="s">
        <v>292</v>
      </c>
      <c r="D830" s="124" t="s">
        <v>286</v>
      </c>
      <c r="E830" s="653" t="n">
        <v>143.75</v>
      </c>
      <c r="G830" s="653" t="n">
        <v>638.25</v>
      </c>
      <c r="N830" s="123" t="n">
        <v>1</v>
      </c>
    </row>
    <row r="831" customFormat="false" ht="15" hidden="false" customHeight="false" outlineLevel="0" collapsed="false">
      <c r="A831" s="652" t="n">
        <v>45670</v>
      </c>
      <c r="B831" s="123" t="n">
        <v>648</v>
      </c>
      <c r="C831" s="124" t="s">
        <v>303</v>
      </c>
      <c r="D831" s="124" t="s">
        <v>301</v>
      </c>
      <c r="E831" s="123" t="n">
        <v>299</v>
      </c>
      <c r="G831" s="653" t="n">
        <v>937.25</v>
      </c>
      <c r="H831" s="123" t="n">
        <v>0</v>
      </c>
      <c r="I831" s="123" t="n">
        <v>1</v>
      </c>
    </row>
    <row r="832" customFormat="false" ht="15" hidden="false" customHeight="false" outlineLevel="0" collapsed="false">
      <c r="A832" s="652" t="n">
        <v>45670</v>
      </c>
      <c r="B832" s="123" t="n">
        <v>647</v>
      </c>
      <c r="C832" s="124" t="s">
        <v>310</v>
      </c>
      <c r="D832" s="124" t="s">
        <v>301</v>
      </c>
      <c r="E832" s="653" t="n">
        <v>1575.5</v>
      </c>
      <c r="G832" s="653" t="n">
        <v>2512.75</v>
      </c>
      <c r="I832" s="123" t="n">
        <v>2</v>
      </c>
      <c r="O832" s="123" t="n">
        <v>5</v>
      </c>
    </row>
    <row r="833" customFormat="false" ht="15" hidden="false" customHeight="false" outlineLevel="0" collapsed="false">
      <c r="A833" s="652" t="n">
        <v>45670</v>
      </c>
      <c r="B833" s="123" t="n">
        <v>646</v>
      </c>
      <c r="C833" s="124" t="s">
        <v>309</v>
      </c>
      <c r="D833" s="124" t="s">
        <v>301</v>
      </c>
      <c r="E833" s="653" t="n">
        <v>264.5</v>
      </c>
      <c r="G833" s="653" t="n">
        <v>2777.25</v>
      </c>
      <c r="P833" s="123" t="n">
        <v>1</v>
      </c>
    </row>
    <row r="834" customFormat="false" ht="15" hidden="false" customHeight="false" outlineLevel="0" collapsed="false">
      <c r="A834" s="652" t="n">
        <v>45659</v>
      </c>
      <c r="B834" s="123" t="n">
        <v>649</v>
      </c>
      <c r="C834" s="124" t="s">
        <v>268</v>
      </c>
      <c r="D834" s="124" t="s">
        <v>127</v>
      </c>
      <c r="E834" s="653" t="n">
        <v>1598.5</v>
      </c>
      <c r="G834" s="653" t="n">
        <v>4375.75</v>
      </c>
      <c r="I834" s="123" t="n">
        <v>2</v>
      </c>
      <c r="K834" s="123" t="n">
        <v>1</v>
      </c>
      <c r="O834" s="123" t="n">
        <v>1</v>
      </c>
      <c r="P834" s="123" t="n">
        <v>3</v>
      </c>
    </row>
    <row r="835" customFormat="false" ht="15" hidden="false" customHeight="false" outlineLevel="0" collapsed="false">
      <c r="A835" s="652" t="n">
        <v>45670</v>
      </c>
      <c r="B835" s="124" t="s">
        <v>656</v>
      </c>
      <c r="C835" s="124" t="s">
        <v>393</v>
      </c>
      <c r="F835" s="123" t="n">
        <v>1</v>
      </c>
      <c r="G835" s="653" t="n">
        <v>4374.75</v>
      </c>
    </row>
    <row r="836" customFormat="false" ht="15" hidden="false" customHeight="false" outlineLevel="0" collapsed="false">
      <c r="A836" s="652" t="n">
        <v>45671</v>
      </c>
      <c r="B836" s="124" t="s">
        <v>470</v>
      </c>
      <c r="C836" s="124" t="s">
        <v>393</v>
      </c>
      <c r="F836" s="653" t="n">
        <v>4374.75</v>
      </c>
      <c r="G836" s="123" t="n">
        <v>0</v>
      </c>
    </row>
    <row r="837" customFormat="false" ht="15" hidden="false" customHeight="false" outlineLevel="0" collapsed="false">
      <c r="A837" s="652" t="n">
        <v>45671</v>
      </c>
      <c r="B837" s="123" t="n">
        <v>650</v>
      </c>
      <c r="C837" s="124" t="s">
        <v>134</v>
      </c>
      <c r="D837" s="124" t="s">
        <v>127</v>
      </c>
      <c r="E837" s="653" t="n">
        <v>753.25</v>
      </c>
      <c r="G837" s="653" t="n">
        <v>753.25</v>
      </c>
      <c r="H837" s="123" t="n">
        <v>0</v>
      </c>
      <c r="I837" s="123" t="n">
        <v>2</v>
      </c>
      <c r="P837" s="123" t="n">
        <v>1</v>
      </c>
    </row>
    <row r="838" customFormat="false" ht="15" hidden="false" customHeight="false" outlineLevel="0" collapsed="false">
      <c r="A838" s="652" t="n">
        <v>45671</v>
      </c>
      <c r="B838" s="123" t="n">
        <v>651</v>
      </c>
      <c r="C838" s="124" t="s">
        <v>263</v>
      </c>
      <c r="D838" s="124" t="s">
        <v>127</v>
      </c>
      <c r="E838" s="123" t="n">
        <v>299</v>
      </c>
      <c r="G838" s="653" t="n">
        <v>1052.25</v>
      </c>
      <c r="H838" s="123" t="n">
        <v>0</v>
      </c>
      <c r="P838" s="123" t="n">
        <v>1</v>
      </c>
    </row>
    <row r="839" customFormat="false" ht="15" hidden="false" customHeight="false" outlineLevel="0" collapsed="false">
      <c r="A839" s="652" t="n">
        <v>45671</v>
      </c>
      <c r="B839" s="123" t="n">
        <v>652</v>
      </c>
      <c r="C839" s="124" t="s">
        <v>263</v>
      </c>
      <c r="D839" s="124" t="s">
        <v>127</v>
      </c>
      <c r="E839" s="123" t="n">
        <v>299</v>
      </c>
      <c r="G839" s="653" t="n">
        <v>1351.25</v>
      </c>
      <c r="H839" s="123" t="n">
        <v>0</v>
      </c>
      <c r="I839" s="123" t="n">
        <v>1</v>
      </c>
    </row>
    <row r="840" customFormat="false" ht="15" hidden="false" customHeight="false" outlineLevel="0" collapsed="false">
      <c r="A840" s="652" t="n">
        <v>45671</v>
      </c>
      <c r="B840" s="124" t="s">
        <v>470</v>
      </c>
      <c r="C840" s="124" t="s">
        <v>393</v>
      </c>
      <c r="E840" s="653" t="n">
        <v>-0.25</v>
      </c>
      <c r="F840" s="123" t="n">
        <v>1351</v>
      </c>
      <c r="G840" s="123" t="n">
        <v>0</v>
      </c>
    </row>
    <row r="841" customFormat="false" ht="15" hidden="false" customHeight="false" outlineLevel="0" collapsed="false">
      <c r="A841" s="652" t="n">
        <v>45672</v>
      </c>
      <c r="B841" s="123" t="n">
        <v>653</v>
      </c>
      <c r="C841" s="124" t="s">
        <v>95</v>
      </c>
      <c r="D841" s="124" t="s">
        <v>75</v>
      </c>
      <c r="E841" s="123" t="n">
        <v>1794</v>
      </c>
      <c r="G841" s="123" t="n">
        <v>1794</v>
      </c>
      <c r="I841" s="123" t="n">
        <v>6</v>
      </c>
    </row>
    <row r="842" customFormat="false" ht="15" hidden="false" customHeight="false" outlineLevel="0" collapsed="false">
      <c r="A842" s="652" t="n">
        <v>45672</v>
      </c>
      <c r="B842" s="123" t="n">
        <v>654</v>
      </c>
      <c r="C842" s="124" t="s">
        <v>96</v>
      </c>
      <c r="D842" s="124" t="s">
        <v>75</v>
      </c>
      <c r="E842" s="123" t="n">
        <v>575</v>
      </c>
      <c r="G842" s="123" t="n">
        <v>2369</v>
      </c>
      <c r="H842" s="123" t="n">
        <v>0</v>
      </c>
      <c r="L842" s="123" t="n">
        <v>2</v>
      </c>
    </row>
    <row r="843" customFormat="false" ht="15" hidden="false" customHeight="false" outlineLevel="0" collapsed="false">
      <c r="A843" s="652" t="n">
        <v>45672</v>
      </c>
      <c r="B843" s="123" t="n">
        <v>655</v>
      </c>
      <c r="C843" s="124" t="s">
        <v>92</v>
      </c>
      <c r="D843" s="124" t="s">
        <v>75</v>
      </c>
      <c r="E843" s="653" t="n">
        <v>356.5</v>
      </c>
      <c r="G843" s="653" t="n">
        <v>2725.5</v>
      </c>
      <c r="H843" s="123" t="n">
        <v>0</v>
      </c>
      <c r="J843" s="123" t="n">
        <v>2</v>
      </c>
    </row>
    <row r="844" customFormat="false" ht="15" hidden="false" customHeight="false" outlineLevel="0" collapsed="false">
      <c r="A844" s="652" t="n">
        <v>45672</v>
      </c>
      <c r="B844" s="123" t="n">
        <v>656</v>
      </c>
      <c r="C844" s="124" t="s">
        <v>111</v>
      </c>
      <c r="D844" s="124" t="s">
        <v>105</v>
      </c>
      <c r="E844" s="123" t="n">
        <v>299</v>
      </c>
      <c r="G844" s="653" t="n">
        <v>3024.5</v>
      </c>
      <c r="I844" s="123" t="n">
        <v>1</v>
      </c>
    </row>
    <row r="845" customFormat="false" ht="15" hidden="false" customHeight="false" outlineLevel="0" collapsed="false">
      <c r="A845" s="652" t="n">
        <v>45672</v>
      </c>
      <c r="B845" s="123" t="n">
        <v>657</v>
      </c>
      <c r="C845" s="124" t="s">
        <v>107</v>
      </c>
      <c r="D845" s="124" t="s">
        <v>105</v>
      </c>
      <c r="E845" s="123" t="n">
        <v>1495</v>
      </c>
      <c r="G845" s="653" t="n">
        <v>4519.5</v>
      </c>
      <c r="I845" s="123" t="n">
        <v>5</v>
      </c>
    </row>
    <row r="846" customFormat="false" ht="15" hidden="false" customHeight="false" outlineLevel="0" collapsed="false">
      <c r="A846" s="652" t="n">
        <v>45672</v>
      </c>
      <c r="B846" s="123" t="n">
        <v>658</v>
      </c>
      <c r="C846" s="124" t="s">
        <v>109</v>
      </c>
      <c r="D846" s="124" t="s">
        <v>105</v>
      </c>
      <c r="E846" s="123" t="n">
        <v>1196</v>
      </c>
      <c r="G846" s="653" t="n">
        <v>5715.5</v>
      </c>
      <c r="I846" s="123" t="n">
        <v>4</v>
      </c>
    </row>
    <row r="847" customFormat="false" ht="15" hidden="false" customHeight="false" outlineLevel="0" collapsed="false">
      <c r="A847" s="652" t="n">
        <v>45672</v>
      </c>
      <c r="B847" s="123" t="n">
        <v>659</v>
      </c>
      <c r="C847" s="124" t="s">
        <v>104</v>
      </c>
      <c r="D847" s="124" t="s">
        <v>105</v>
      </c>
      <c r="E847" s="123" t="n">
        <v>552</v>
      </c>
      <c r="G847" s="653" t="n">
        <v>6267.5</v>
      </c>
      <c r="I847" s="123" t="n">
        <v>1</v>
      </c>
      <c r="K847" s="123" t="n">
        <v>1</v>
      </c>
    </row>
    <row r="848" customFormat="false" ht="15" hidden="false" customHeight="false" outlineLevel="0" collapsed="false">
      <c r="A848" s="652" t="n">
        <v>45672</v>
      </c>
      <c r="B848" s="123" t="n">
        <v>660</v>
      </c>
      <c r="C848" s="124" t="s">
        <v>97</v>
      </c>
      <c r="D848" s="124" t="s">
        <v>75</v>
      </c>
      <c r="E848" s="123" t="n">
        <v>230</v>
      </c>
      <c r="G848" s="653" t="n">
        <v>6497.5</v>
      </c>
      <c r="H848" s="123" t="n">
        <v>0</v>
      </c>
      <c r="K848" s="123" t="n">
        <v>1</v>
      </c>
    </row>
    <row r="849" customFormat="false" ht="15" hidden="false" customHeight="false" outlineLevel="0" collapsed="false">
      <c r="A849" s="652" t="n">
        <v>45672</v>
      </c>
      <c r="B849" s="123" t="n">
        <v>661</v>
      </c>
      <c r="C849" s="124" t="s">
        <v>89</v>
      </c>
      <c r="D849" s="124" t="s">
        <v>75</v>
      </c>
      <c r="E849" s="123" t="n">
        <v>690</v>
      </c>
      <c r="G849" s="653" t="n">
        <v>7187.5</v>
      </c>
      <c r="H849" s="123" t="n">
        <v>0</v>
      </c>
      <c r="K849" s="123" t="n">
        <v>3</v>
      </c>
    </row>
    <row r="850" customFormat="false" ht="15" hidden="false" customHeight="false" outlineLevel="0" collapsed="false">
      <c r="A850" s="652" t="n">
        <v>45672</v>
      </c>
      <c r="B850" s="124" t="s">
        <v>470</v>
      </c>
      <c r="C850" s="124" t="s">
        <v>393</v>
      </c>
      <c r="F850" s="653" t="n">
        <v>2787.5</v>
      </c>
      <c r="G850" s="123" t="n">
        <v>4400</v>
      </c>
    </row>
    <row r="851" customFormat="false" ht="15" hidden="false" customHeight="false" outlineLevel="0" collapsed="false">
      <c r="A851" s="652" t="n">
        <v>45673</v>
      </c>
      <c r="B851" s="124" t="s">
        <v>653</v>
      </c>
      <c r="C851" s="124" t="s">
        <v>393</v>
      </c>
      <c r="F851" s="123" t="n">
        <v>4400</v>
      </c>
      <c r="G851" s="123" t="n">
        <v>0</v>
      </c>
    </row>
    <row r="852" customFormat="false" ht="15" hidden="false" customHeight="false" outlineLevel="0" collapsed="false">
      <c r="A852" s="652" t="n">
        <v>45673</v>
      </c>
      <c r="B852" s="123" t="n">
        <v>662</v>
      </c>
      <c r="C852" s="124" t="s">
        <v>267</v>
      </c>
      <c r="D852" s="124" t="s">
        <v>127</v>
      </c>
      <c r="E852" s="123" t="n">
        <v>437</v>
      </c>
      <c r="G852" s="123" t="n">
        <v>437</v>
      </c>
      <c r="O852" s="123" t="n">
        <v>1</v>
      </c>
      <c r="P852" s="123" t="n">
        <v>1</v>
      </c>
    </row>
    <row r="853" customFormat="false" ht="15" hidden="false" customHeight="false" outlineLevel="0" collapsed="false">
      <c r="A853" s="652" t="n">
        <v>45673</v>
      </c>
      <c r="B853" s="123" t="n">
        <v>663</v>
      </c>
      <c r="C853" s="124" t="s">
        <v>226</v>
      </c>
      <c r="D853" s="124" t="s">
        <v>127</v>
      </c>
      <c r="E853" s="123" t="n">
        <v>575</v>
      </c>
      <c r="G853" s="123" t="n">
        <v>1012</v>
      </c>
      <c r="L853" s="123" t="n">
        <v>2</v>
      </c>
    </row>
    <row r="854" customFormat="false" ht="15" hidden="false" customHeight="false" outlineLevel="0" collapsed="false">
      <c r="A854" s="652" t="n">
        <v>45673</v>
      </c>
      <c r="B854" s="123" t="n">
        <v>664</v>
      </c>
      <c r="C854" s="124" t="s">
        <v>177</v>
      </c>
      <c r="D854" s="124" t="s">
        <v>127</v>
      </c>
      <c r="E854" s="123" t="n">
        <v>299</v>
      </c>
      <c r="G854" s="123" t="n">
        <v>1311</v>
      </c>
      <c r="H854" s="123" t="n">
        <v>0</v>
      </c>
      <c r="I854" s="123" t="n">
        <v>1</v>
      </c>
    </row>
    <row r="855" customFormat="false" ht="15" hidden="false" customHeight="false" outlineLevel="0" collapsed="false">
      <c r="A855" s="652" t="n">
        <v>45673</v>
      </c>
      <c r="B855" s="123" t="n">
        <v>665</v>
      </c>
      <c r="C855" s="124" t="s">
        <v>246</v>
      </c>
      <c r="D855" s="124" t="s">
        <v>127</v>
      </c>
      <c r="E855" s="123" t="n">
        <v>299</v>
      </c>
      <c r="G855" s="123" t="n">
        <v>1610</v>
      </c>
      <c r="I855" s="123" t="n">
        <v>1</v>
      </c>
    </row>
    <row r="856" customFormat="false" ht="15" hidden="false" customHeight="false" outlineLevel="0" collapsed="false">
      <c r="A856" s="652" t="n">
        <v>45673</v>
      </c>
      <c r="B856" s="124" t="s">
        <v>470</v>
      </c>
      <c r="C856" s="124" t="s">
        <v>393</v>
      </c>
      <c r="F856" s="653" t="n">
        <v>894.25</v>
      </c>
      <c r="G856" s="653" t="n">
        <v>715.75</v>
      </c>
    </row>
    <row r="857" customFormat="false" ht="15" hidden="false" customHeight="false" outlineLevel="0" collapsed="false">
      <c r="A857" s="652" t="n">
        <v>45676</v>
      </c>
      <c r="B857" s="124" t="s">
        <v>470</v>
      </c>
      <c r="C857" s="124" t="s">
        <v>393</v>
      </c>
      <c r="F857" s="653" t="n">
        <v>715.5</v>
      </c>
      <c r="G857" s="653" t="n">
        <v>0.25</v>
      </c>
    </row>
    <row r="858" customFormat="false" ht="15" hidden="false" customHeight="false" outlineLevel="0" collapsed="false">
      <c r="A858" s="652" t="n">
        <v>45676</v>
      </c>
      <c r="B858" s="123" t="n">
        <v>669</v>
      </c>
      <c r="C858" s="124" t="s">
        <v>234</v>
      </c>
      <c r="D858" s="124" t="s">
        <v>127</v>
      </c>
      <c r="E858" s="653" t="n">
        <v>408.25</v>
      </c>
      <c r="G858" s="653" t="n">
        <v>408.5</v>
      </c>
      <c r="H858" s="123" t="n">
        <v>0</v>
      </c>
      <c r="K858" s="123" t="n">
        <v>1</v>
      </c>
      <c r="P858" s="123" t="n">
        <v>1</v>
      </c>
    </row>
    <row r="859" customFormat="false" ht="15" hidden="false" customHeight="false" outlineLevel="0" collapsed="false">
      <c r="A859" s="652" t="n">
        <v>45676</v>
      </c>
      <c r="B859" s="123" t="n">
        <v>667</v>
      </c>
      <c r="C859" s="124" t="s">
        <v>160</v>
      </c>
      <c r="D859" s="124" t="s">
        <v>127</v>
      </c>
      <c r="E859" s="123" t="n">
        <v>299</v>
      </c>
      <c r="G859" s="653" t="n">
        <v>707.5</v>
      </c>
      <c r="H859" s="653" t="n">
        <v>0.5</v>
      </c>
      <c r="I859" s="123" t="n">
        <v>1</v>
      </c>
    </row>
    <row r="860" customFormat="false" ht="15" hidden="false" customHeight="false" outlineLevel="0" collapsed="false">
      <c r="A860" s="652" t="n">
        <v>45676</v>
      </c>
      <c r="B860" s="123" t="n">
        <v>666</v>
      </c>
      <c r="C860" s="124" t="s">
        <v>268</v>
      </c>
      <c r="D860" s="124" t="s">
        <v>127</v>
      </c>
      <c r="E860" s="123" t="n">
        <v>598</v>
      </c>
      <c r="G860" s="653" t="n">
        <v>1305.5</v>
      </c>
      <c r="I860" s="123" t="n">
        <v>2</v>
      </c>
    </row>
    <row r="861" customFormat="false" ht="15" hidden="false" customHeight="false" outlineLevel="0" collapsed="false">
      <c r="A861" s="652" t="n">
        <v>45676</v>
      </c>
      <c r="B861" s="123" t="n">
        <v>668</v>
      </c>
      <c r="C861" s="124" t="s">
        <v>157</v>
      </c>
      <c r="D861" s="124" t="s">
        <v>127</v>
      </c>
      <c r="E861" s="123" t="n">
        <v>598</v>
      </c>
      <c r="G861" s="653" t="n">
        <v>1903.5</v>
      </c>
      <c r="I861" s="123" t="n">
        <v>2</v>
      </c>
    </row>
    <row r="862" customFormat="false" ht="15" hidden="false" customHeight="false" outlineLevel="0" collapsed="false">
      <c r="A862" s="652" t="n">
        <v>45676</v>
      </c>
      <c r="B862" s="123" t="n">
        <v>670</v>
      </c>
      <c r="C862" s="124" t="s">
        <v>237</v>
      </c>
      <c r="D862" s="124" t="s">
        <v>127</v>
      </c>
      <c r="E862" s="123" t="n">
        <v>299</v>
      </c>
      <c r="G862" s="653" t="n">
        <v>2202.5</v>
      </c>
      <c r="H862" s="123" t="n">
        <v>0</v>
      </c>
      <c r="I862" s="123" t="n">
        <v>1</v>
      </c>
    </row>
    <row r="863" customFormat="false" ht="15" hidden="false" customHeight="false" outlineLevel="0" collapsed="false">
      <c r="A863" s="652" t="n">
        <v>45676</v>
      </c>
      <c r="B863" s="123" t="n">
        <v>671</v>
      </c>
      <c r="C863" s="124" t="s">
        <v>242</v>
      </c>
      <c r="D863" s="124" t="s">
        <v>127</v>
      </c>
      <c r="E863" s="123" t="n">
        <v>253</v>
      </c>
      <c r="G863" s="653" t="n">
        <v>2455.5</v>
      </c>
      <c r="H863" s="123" t="n">
        <v>-2</v>
      </c>
      <c r="K863" s="123" t="n">
        <v>1</v>
      </c>
    </row>
    <row r="864" customFormat="false" ht="15" hidden="false" customHeight="false" outlineLevel="0" collapsed="false">
      <c r="A864" s="652" t="n">
        <v>45676</v>
      </c>
      <c r="B864" s="123" t="n">
        <v>672</v>
      </c>
      <c r="C864" s="124" t="s">
        <v>134</v>
      </c>
      <c r="D864" s="124" t="s">
        <v>127</v>
      </c>
      <c r="E864" s="653" t="n">
        <v>1109.75</v>
      </c>
      <c r="G864" s="653" t="n">
        <v>3565.25</v>
      </c>
      <c r="H864" s="123" t="n">
        <v>0</v>
      </c>
      <c r="L864" s="123" t="n">
        <v>2</v>
      </c>
      <c r="M864" s="123" t="n">
        <v>1</v>
      </c>
      <c r="O864" s="123" t="n">
        <v>1</v>
      </c>
    </row>
    <row r="865" customFormat="false" ht="15" hidden="false" customHeight="false" outlineLevel="0" collapsed="false">
      <c r="A865" s="652" t="n">
        <v>45676</v>
      </c>
      <c r="B865" s="124" t="s">
        <v>653</v>
      </c>
      <c r="C865" s="124" t="s">
        <v>393</v>
      </c>
      <c r="F865" s="123" t="n">
        <v>2668</v>
      </c>
      <c r="G865" s="653" t="n">
        <v>897.25</v>
      </c>
    </row>
    <row r="866" customFormat="false" ht="15" hidden="false" customHeight="false" outlineLevel="0" collapsed="false">
      <c r="A866" s="652" t="n">
        <v>45676</v>
      </c>
      <c r="B866" s="124" t="s">
        <v>470</v>
      </c>
      <c r="C866" s="124" t="s">
        <v>393</v>
      </c>
      <c r="E866" s="653" t="n">
        <v>-0.25</v>
      </c>
      <c r="F866" s="123" t="n">
        <v>897</v>
      </c>
      <c r="G866" s="123" t="n">
        <v>0</v>
      </c>
    </row>
    <row r="867" customFormat="false" ht="15" hidden="false" customHeight="false" outlineLevel="0" collapsed="false">
      <c r="A867" s="652" t="n">
        <v>45677</v>
      </c>
      <c r="B867" s="123" t="n">
        <v>673</v>
      </c>
      <c r="C867" s="124" t="s">
        <v>298</v>
      </c>
      <c r="D867" s="124" t="s">
        <v>286</v>
      </c>
      <c r="E867" s="123" t="n">
        <v>299</v>
      </c>
      <c r="G867" s="123" t="n">
        <v>299</v>
      </c>
      <c r="H867" s="123" t="n">
        <v>0</v>
      </c>
      <c r="I867" s="123" t="n">
        <v>1</v>
      </c>
    </row>
    <row r="868" customFormat="false" ht="15" hidden="false" customHeight="false" outlineLevel="0" collapsed="false">
      <c r="A868" s="652" t="n">
        <v>45677</v>
      </c>
      <c r="B868" s="123" t="n">
        <v>674</v>
      </c>
      <c r="C868" s="124" t="s">
        <v>296</v>
      </c>
      <c r="D868" s="124" t="s">
        <v>286</v>
      </c>
      <c r="E868" s="653" t="n">
        <v>816.5</v>
      </c>
      <c r="G868" s="653" t="n">
        <v>1115.5</v>
      </c>
      <c r="O868" s="123" t="n">
        <v>1</v>
      </c>
      <c r="P868" s="123" t="n">
        <v>4</v>
      </c>
    </row>
    <row r="869" customFormat="false" ht="15" hidden="false" customHeight="false" outlineLevel="0" collapsed="false">
      <c r="A869" s="652" t="n">
        <v>45677</v>
      </c>
      <c r="B869" s="123" t="n">
        <v>675</v>
      </c>
      <c r="C869" s="124" t="s">
        <v>293</v>
      </c>
      <c r="D869" s="124" t="s">
        <v>286</v>
      </c>
      <c r="E869" s="653" t="n">
        <v>155.25</v>
      </c>
      <c r="G869" s="653" t="n">
        <v>1270.75</v>
      </c>
      <c r="P869" s="123" t="n">
        <v>1</v>
      </c>
    </row>
    <row r="870" customFormat="false" ht="15" hidden="false" customHeight="false" outlineLevel="0" collapsed="false">
      <c r="A870" s="652" t="n">
        <v>45677</v>
      </c>
      <c r="B870" s="123" t="n">
        <v>676</v>
      </c>
      <c r="C870" s="124" t="s">
        <v>329</v>
      </c>
      <c r="D870" s="124" t="s">
        <v>224</v>
      </c>
      <c r="E870" s="653" t="n">
        <v>977.5</v>
      </c>
      <c r="G870" s="653" t="n">
        <v>2248.25</v>
      </c>
      <c r="O870" s="123" t="n">
        <v>5</v>
      </c>
    </row>
    <row r="871" customFormat="false" ht="15" hidden="false" customHeight="false" outlineLevel="0" collapsed="false">
      <c r="A871" s="652" t="n">
        <v>45677</v>
      </c>
      <c r="B871" s="123" t="n">
        <v>677</v>
      </c>
      <c r="C871" s="124" t="s">
        <v>327</v>
      </c>
      <c r="D871" s="124" t="s">
        <v>224</v>
      </c>
      <c r="E871" s="123" t="n">
        <v>253</v>
      </c>
      <c r="G871" s="653" t="n">
        <v>2501.25</v>
      </c>
      <c r="H871" s="123" t="n">
        <v>0</v>
      </c>
      <c r="K871" s="123" t="n">
        <v>1</v>
      </c>
    </row>
    <row r="872" customFormat="false" ht="15" hidden="false" customHeight="false" outlineLevel="0" collapsed="false">
      <c r="A872" s="652" t="n">
        <v>45677</v>
      </c>
      <c r="B872" s="123" t="n">
        <v>678</v>
      </c>
      <c r="C872" s="124" t="s">
        <v>317</v>
      </c>
      <c r="D872" s="124" t="s">
        <v>224</v>
      </c>
      <c r="E872" s="123" t="n">
        <v>230</v>
      </c>
      <c r="G872" s="653" t="n">
        <v>2731.25</v>
      </c>
      <c r="K872" s="123" t="n">
        <v>1</v>
      </c>
    </row>
    <row r="873" customFormat="false" ht="15" hidden="false" customHeight="false" outlineLevel="0" collapsed="false">
      <c r="A873" s="652" t="n">
        <v>45677</v>
      </c>
      <c r="B873" s="123" t="n">
        <v>679</v>
      </c>
      <c r="C873" s="124" t="s">
        <v>302</v>
      </c>
      <c r="D873" s="124" t="s">
        <v>301</v>
      </c>
      <c r="E873" s="123" t="n">
        <v>299</v>
      </c>
      <c r="G873" s="653" t="n">
        <v>3030.25</v>
      </c>
      <c r="I873" s="123" t="n">
        <v>1</v>
      </c>
    </row>
    <row r="874" customFormat="false" ht="15" hidden="false" customHeight="false" outlineLevel="0" collapsed="false">
      <c r="A874" s="652" t="n">
        <v>45677</v>
      </c>
      <c r="B874" s="123" t="n">
        <v>680</v>
      </c>
      <c r="C874" s="124" t="s">
        <v>302</v>
      </c>
      <c r="D874" s="124" t="s">
        <v>301</v>
      </c>
      <c r="E874" s="653" t="n">
        <v>178.25</v>
      </c>
      <c r="G874" s="653" t="n">
        <v>3208.5</v>
      </c>
      <c r="J874" s="123" t="n">
        <v>1</v>
      </c>
    </row>
    <row r="875" customFormat="false" ht="15" hidden="false" customHeight="false" outlineLevel="0" collapsed="false">
      <c r="A875" s="652" t="n">
        <v>45663</v>
      </c>
      <c r="B875" s="123" t="n">
        <v>681</v>
      </c>
      <c r="C875" s="124" t="s">
        <v>310</v>
      </c>
      <c r="D875" s="124" t="s">
        <v>301</v>
      </c>
      <c r="E875" s="653" t="n">
        <v>3507.5</v>
      </c>
      <c r="G875" s="123" t="n">
        <v>6716</v>
      </c>
      <c r="I875" s="123" t="n">
        <v>8</v>
      </c>
      <c r="O875" s="123" t="n">
        <v>2</v>
      </c>
      <c r="P875" s="123" t="n">
        <v>4</v>
      </c>
    </row>
    <row r="876" customFormat="false" ht="15" hidden="false" customHeight="false" outlineLevel="0" collapsed="false">
      <c r="A876" s="652" t="n">
        <v>45677</v>
      </c>
      <c r="B876" s="123" t="n">
        <v>682</v>
      </c>
      <c r="C876" s="124" t="s">
        <v>316</v>
      </c>
      <c r="D876" s="124" t="s">
        <v>301</v>
      </c>
      <c r="E876" s="123" t="n">
        <v>598</v>
      </c>
      <c r="G876" s="123" t="n">
        <v>7314</v>
      </c>
      <c r="H876" s="123" t="n">
        <v>0</v>
      </c>
      <c r="I876" s="123" t="n">
        <v>2</v>
      </c>
    </row>
    <row r="877" customFormat="false" ht="15" hidden="false" customHeight="false" outlineLevel="0" collapsed="false">
      <c r="A877" s="652" t="n">
        <v>45677</v>
      </c>
      <c r="B877" s="123" t="n">
        <v>683</v>
      </c>
      <c r="C877" s="124" t="s">
        <v>295</v>
      </c>
      <c r="D877" s="124" t="s">
        <v>286</v>
      </c>
      <c r="E877" s="123" t="n">
        <v>483</v>
      </c>
      <c r="G877" s="123" t="n">
        <v>7797</v>
      </c>
      <c r="M877" s="123" t="n">
        <v>1</v>
      </c>
      <c r="O877" s="123" t="n">
        <v>1</v>
      </c>
    </row>
    <row r="878" customFormat="false" ht="15" hidden="false" customHeight="false" outlineLevel="0" collapsed="false">
      <c r="A878" s="652" t="n">
        <v>45678</v>
      </c>
      <c r="B878" s="124" t="s">
        <v>653</v>
      </c>
      <c r="C878" s="124" t="s">
        <v>393</v>
      </c>
      <c r="F878" s="123" t="n">
        <v>5222</v>
      </c>
      <c r="G878" s="123" t="n">
        <v>2575</v>
      </c>
    </row>
    <row r="879" customFormat="false" ht="15" hidden="false" customHeight="false" outlineLevel="0" collapsed="false">
      <c r="A879" s="652" t="n">
        <v>45677</v>
      </c>
      <c r="B879" s="124" t="s">
        <v>470</v>
      </c>
      <c r="C879" s="124" t="s">
        <v>393</v>
      </c>
      <c r="E879" s="653" t="n">
        <v>977.5</v>
      </c>
      <c r="F879" s="123" t="n">
        <v>2575</v>
      </c>
      <c r="G879" s="653" t="n">
        <v>977.5</v>
      </c>
    </row>
    <row r="880" customFormat="false" ht="15" hidden="false" customHeight="false" outlineLevel="0" collapsed="false">
      <c r="A880" s="652" t="n">
        <v>45677</v>
      </c>
      <c r="B880" s="123" t="n">
        <v>684</v>
      </c>
      <c r="C880" s="124" t="s">
        <v>296</v>
      </c>
      <c r="D880" s="124" t="s">
        <v>286</v>
      </c>
      <c r="G880" s="653" t="n">
        <v>977.5</v>
      </c>
      <c r="O880" s="123" t="n">
        <v>5</v>
      </c>
    </row>
    <row r="881" customFormat="false" ht="15" hidden="false" customHeight="false" outlineLevel="0" collapsed="false">
      <c r="A881" s="652" t="n">
        <v>45678</v>
      </c>
      <c r="C881" s="124" t="s">
        <v>393</v>
      </c>
      <c r="E881" s="653" t="n">
        <v>-0.5</v>
      </c>
      <c r="F881" s="123" t="n">
        <v>977</v>
      </c>
      <c r="G881" s="123" t="n">
        <v>0</v>
      </c>
    </row>
    <row r="882" customFormat="false" ht="15" hidden="false" customHeight="false" outlineLevel="0" collapsed="false">
      <c r="A882" s="652" t="n">
        <v>45679</v>
      </c>
      <c r="B882" s="123" t="n">
        <v>685</v>
      </c>
      <c r="C882" s="124" t="s">
        <v>94</v>
      </c>
      <c r="D882" s="124" t="s">
        <v>75</v>
      </c>
      <c r="E882" s="123" t="n">
        <v>782</v>
      </c>
      <c r="G882" s="123" t="n">
        <v>782</v>
      </c>
      <c r="K882" s="123" t="n">
        <v>1</v>
      </c>
      <c r="L882" s="123" t="n">
        <v>1</v>
      </c>
      <c r="M882" s="123" t="n">
        <v>1</v>
      </c>
    </row>
    <row r="883" customFormat="false" ht="15" hidden="false" customHeight="false" outlineLevel="0" collapsed="false">
      <c r="A883" s="652" t="n">
        <v>45679</v>
      </c>
      <c r="B883" s="123" t="n">
        <v>686</v>
      </c>
      <c r="C883" s="124" t="s">
        <v>96</v>
      </c>
      <c r="D883" s="124" t="s">
        <v>75</v>
      </c>
      <c r="E883" s="123" t="n">
        <v>1541</v>
      </c>
      <c r="G883" s="123" t="n">
        <v>2323</v>
      </c>
      <c r="H883" s="123" t="n">
        <v>0</v>
      </c>
      <c r="I883" s="123" t="n">
        <v>2</v>
      </c>
      <c r="K883" s="123" t="n">
        <v>2</v>
      </c>
      <c r="M883" s="123" t="n">
        <v>2</v>
      </c>
    </row>
    <row r="884" customFormat="false" ht="15" hidden="false" customHeight="false" outlineLevel="0" collapsed="false">
      <c r="A884" s="652" t="n">
        <v>45679</v>
      </c>
      <c r="B884" s="123" t="n">
        <v>687</v>
      </c>
      <c r="C884" s="124" t="s">
        <v>100</v>
      </c>
      <c r="D884" s="124" t="s">
        <v>75</v>
      </c>
      <c r="E884" s="653" t="n">
        <v>540.5</v>
      </c>
      <c r="G884" s="653" t="n">
        <v>2863.5</v>
      </c>
      <c r="I884" s="123" t="n">
        <v>1</v>
      </c>
      <c r="M884" s="123" t="n">
        <v>1</v>
      </c>
    </row>
    <row r="885" customFormat="false" ht="15" hidden="false" customHeight="false" outlineLevel="0" collapsed="false">
      <c r="A885" s="652" t="n">
        <v>45679</v>
      </c>
      <c r="B885" s="123" t="n">
        <v>688</v>
      </c>
      <c r="C885" s="124" t="s">
        <v>99</v>
      </c>
      <c r="D885" s="124" t="s">
        <v>75</v>
      </c>
      <c r="E885" s="123" t="n">
        <v>506</v>
      </c>
      <c r="G885" s="653" t="n">
        <v>3369.5</v>
      </c>
      <c r="K885" s="123" t="n">
        <v>2</v>
      </c>
    </row>
    <row r="886" customFormat="false" ht="15" hidden="false" customHeight="false" outlineLevel="0" collapsed="false">
      <c r="A886" s="652" t="n">
        <v>45679</v>
      </c>
      <c r="B886" s="123" t="n">
        <v>689</v>
      </c>
      <c r="C886" s="124" t="s">
        <v>101</v>
      </c>
      <c r="D886" s="124" t="s">
        <v>75</v>
      </c>
      <c r="E886" s="653" t="n">
        <v>155.25</v>
      </c>
      <c r="G886" s="653" t="n">
        <v>3524.75</v>
      </c>
      <c r="P886" s="123" t="n">
        <v>1</v>
      </c>
    </row>
    <row r="887" customFormat="false" ht="15" hidden="false" customHeight="false" outlineLevel="0" collapsed="false">
      <c r="A887" s="652" t="n">
        <v>45679</v>
      </c>
      <c r="B887" s="123" t="n">
        <v>690</v>
      </c>
      <c r="C887" s="124" t="s">
        <v>90</v>
      </c>
      <c r="D887" s="124" t="s">
        <v>75</v>
      </c>
      <c r="E887" s="123" t="n">
        <v>253</v>
      </c>
      <c r="G887" s="653" t="n">
        <v>3777.75</v>
      </c>
      <c r="K887" s="123" t="n">
        <v>1</v>
      </c>
    </row>
    <row r="888" customFormat="false" ht="15" hidden="false" customHeight="false" outlineLevel="0" collapsed="false">
      <c r="A888" s="652" t="n">
        <v>45679</v>
      </c>
      <c r="B888" s="123" t="n">
        <v>691</v>
      </c>
      <c r="C888" s="124" t="s">
        <v>95</v>
      </c>
      <c r="D888" s="124" t="s">
        <v>75</v>
      </c>
      <c r="E888" s="653" t="n">
        <v>356.5</v>
      </c>
      <c r="G888" s="653" t="n">
        <v>4134.25</v>
      </c>
      <c r="H888" s="653" t="n">
        <v>0.5</v>
      </c>
      <c r="J888" s="123" t="n">
        <v>2</v>
      </c>
    </row>
    <row r="889" customFormat="false" ht="15" hidden="false" customHeight="false" outlineLevel="0" collapsed="false">
      <c r="A889" s="652" t="n">
        <v>45679</v>
      </c>
      <c r="B889" s="123" t="n">
        <v>692</v>
      </c>
      <c r="C889" s="124" t="s">
        <v>97</v>
      </c>
      <c r="D889" s="124" t="s">
        <v>75</v>
      </c>
      <c r="E889" s="123" t="n">
        <v>598</v>
      </c>
      <c r="G889" s="653" t="n">
        <v>4732.25</v>
      </c>
      <c r="H889" s="123" t="n">
        <v>0</v>
      </c>
      <c r="J889" s="123" t="n">
        <v>2</v>
      </c>
    </row>
    <row r="890" customFormat="false" ht="15" hidden="false" customHeight="false" outlineLevel="0" collapsed="false">
      <c r="A890" s="652" t="n">
        <v>45679</v>
      </c>
      <c r="B890" s="123" t="n">
        <v>693</v>
      </c>
      <c r="C890" s="124" t="s">
        <v>97</v>
      </c>
      <c r="D890" s="124" t="s">
        <v>75</v>
      </c>
      <c r="E890" s="123" t="n">
        <v>230</v>
      </c>
      <c r="G890" s="653" t="n">
        <v>4962.25</v>
      </c>
      <c r="H890" s="123" t="n">
        <v>0</v>
      </c>
      <c r="K890" s="123" t="n">
        <v>1</v>
      </c>
    </row>
    <row r="891" customFormat="false" ht="15" hidden="false" customHeight="false" outlineLevel="0" collapsed="false">
      <c r="A891" s="652" t="n">
        <v>45679</v>
      </c>
      <c r="B891" s="123" t="n">
        <v>694</v>
      </c>
      <c r="C891" s="124" t="s">
        <v>89</v>
      </c>
      <c r="D891" s="124" t="s">
        <v>75</v>
      </c>
      <c r="E891" s="123" t="n">
        <v>2139</v>
      </c>
      <c r="G891" s="653" t="n">
        <v>7101.25</v>
      </c>
      <c r="H891" s="123" t="n">
        <v>0</v>
      </c>
      <c r="K891" s="123" t="n">
        <v>7</v>
      </c>
      <c r="M891" s="123" t="n">
        <v>2</v>
      </c>
    </row>
    <row r="892" customFormat="false" ht="15" hidden="false" customHeight="false" outlineLevel="0" collapsed="false">
      <c r="A892" s="652" t="n">
        <v>45679</v>
      </c>
      <c r="B892" s="123" t="n">
        <v>695</v>
      </c>
      <c r="C892" s="124" t="s">
        <v>393</v>
      </c>
      <c r="E892" s="653" t="n">
        <v>-0.25</v>
      </c>
      <c r="F892" s="123" t="n">
        <v>7101</v>
      </c>
      <c r="G892" s="123" t="n">
        <v>0</v>
      </c>
    </row>
    <row r="893" customFormat="false" ht="15" hidden="false" customHeight="false" outlineLevel="0" collapsed="false">
      <c r="A893" s="652" t="n">
        <v>45680</v>
      </c>
      <c r="B893" s="123" t="n">
        <v>701</v>
      </c>
      <c r="C893" s="124" t="s">
        <v>157</v>
      </c>
      <c r="D893" s="124" t="s">
        <v>127</v>
      </c>
      <c r="E893" s="653" t="n">
        <v>753.25</v>
      </c>
      <c r="G893" s="653" t="n">
        <v>753.25</v>
      </c>
      <c r="H893" s="653" t="n">
        <v>0.25</v>
      </c>
      <c r="I893" s="123" t="n">
        <v>2</v>
      </c>
      <c r="P893" s="123" t="n">
        <v>1</v>
      </c>
    </row>
    <row r="894" customFormat="false" ht="15" hidden="false" customHeight="false" outlineLevel="0" collapsed="false">
      <c r="A894" s="652" t="n">
        <v>45680</v>
      </c>
      <c r="B894" s="123" t="n">
        <v>696</v>
      </c>
      <c r="C894" s="124" t="s">
        <v>130</v>
      </c>
      <c r="D894" s="124" t="s">
        <v>127</v>
      </c>
      <c r="E894" s="123" t="n">
        <v>299</v>
      </c>
      <c r="G894" s="653" t="n">
        <v>1052.25</v>
      </c>
      <c r="I894" s="123" t="n">
        <v>1</v>
      </c>
    </row>
    <row r="895" customFormat="false" ht="15" hidden="false" customHeight="false" outlineLevel="0" collapsed="false">
      <c r="A895" s="652" t="n">
        <v>45680</v>
      </c>
      <c r="B895" s="123" t="n">
        <v>697</v>
      </c>
      <c r="C895" s="124" t="s">
        <v>159</v>
      </c>
      <c r="D895" s="124" t="s">
        <v>127</v>
      </c>
      <c r="E895" s="123" t="n">
        <v>529</v>
      </c>
      <c r="G895" s="653" t="n">
        <v>1581.25</v>
      </c>
      <c r="H895" s="123" t="n">
        <v>0</v>
      </c>
      <c r="K895" s="123" t="n">
        <v>1</v>
      </c>
      <c r="P895" s="123" t="n">
        <v>1</v>
      </c>
    </row>
    <row r="896" customFormat="false" ht="15" hidden="false" customHeight="false" outlineLevel="0" collapsed="false">
      <c r="A896" s="652" t="n">
        <v>45680</v>
      </c>
      <c r="B896" s="123" t="n">
        <v>698</v>
      </c>
      <c r="C896" s="124" t="s">
        <v>266</v>
      </c>
      <c r="D896" s="124" t="s">
        <v>127</v>
      </c>
      <c r="E896" s="123" t="n">
        <v>299</v>
      </c>
      <c r="G896" s="653" t="n">
        <v>1880.25</v>
      </c>
      <c r="H896" s="123" t="n">
        <v>0</v>
      </c>
      <c r="I896" s="123" t="n">
        <v>1</v>
      </c>
    </row>
    <row r="897" customFormat="false" ht="15" hidden="false" customHeight="false" outlineLevel="0" collapsed="false">
      <c r="A897" s="652" t="n">
        <v>45680</v>
      </c>
      <c r="B897" s="123" t="n">
        <v>699</v>
      </c>
      <c r="C897" s="124" t="s">
        <v>266</v>
      </c>
      <c r="D897" s="124" t="s">
        <v>127</v>
      </c>
      <c r="E897" s="653" t="n">
        <v>442.75</v>
      </c>
      <c r="G897" s="123" t="n">
        <v>2323</v>
      </c>
      <c r="H897" s="653" t="n">
        <v>2.75</v>
      </c>
      <c r="L897" s="123" t="n">
        <v>1</v>
      </c>
      <c r="P897" s="123" t="n">
        <v>1</v>
      </c>
    </row>
    <row r="898" customFormat="false" ht="15" hidden="false" customHeight="false" outlineLevel="0" collapsed="false">
      <c r="A898" s="652" t="n">
        <v>45680</v>
      </c>
      <c r="B898" s="123" t="n">
        <v>700</v>
      </c>
      <c r="C898" s="124" t="s">
        <v>160</v>
      </c>
      <c r="D898" s="124" t="s">
        <v>127</v>
      </c>
      <c r="E898" s="123" t="n">
        <v>598</v>
      </c>
      <c r="G898" s="123" t="n">
        <v>2921</v>
      </c>
      <c r="H898" s="123" t="n">
        <v>0</v>
      </c>
      <c r="I898" s="123" t="n">
        <v>2</v>
      </c>
    </row>
    <row r="899" customFormat="false" ht="15" hidden="false" customHeight="false" outlineLevel="0" collapsed="false">
      <c r="A899" s="652" t="n">
        <v>45680</v>
      </c>
      <c r="B899" s="123" t="n">
        <v>701</v>
      </c>
      <c r="C899" s="124" t="s">
        <v>233</v>
      </c>
      <c r="D899" s="124" t="s">
        <v>127</v>
      </c>
      <c r="E899" s="123" t="n">
        <v>253</v>
      </c>
      <c r="G899" s="123" t="n">
        <v>3174</v>
      </c>
      <c r="H899" s="123" t="n">
        <v>0</v>
      </c>
      <c r="K899" s="123" t="n">
        <v>1</v>
      </c>
    </row>
    <row r="900" customFormat="false" ht="15" hidden="false" customHeight="false" outlineLevel="0" collapsed="false">
      <c r="A900" s="652" t="n">
        <v>45681</v>
      </c>
      <c r="B900" s="123" t="n">
        <v>702</v>
      </c>
      <c r="C900" s="124" t="s">
        <v>244</v>
      </c>
      <c r="D900" s="124" t="s">
        <v>127</v>
      </c>
      <c r="E900" s="653" t="n">
        <v>1322.5</v>
      </c>
      <c r="G900" s="653" t="n">
        <v>4496.5</v>
      </c>
      <c r="H900" s="123" t="n">
        <v>0</v>
      </c>
      <c r="P900" s="123" t="n">
        <v>5</v>
      </c>
    </row>
    <row r="901" customFormat="false" ht="15" hidden="false" customHeight="false" outlineLevel="0" collapsed="false">
      <c r="A901" s="652" t="n">
        <v>45681</v>
      </c>
      <c r="B901" s="124" t="s">
        <v>470</v>
      </c>
      <c r="C901" s="124" t="s">
        <v>393</v>
      </c>
      <c r="E901" s="653" t="n">
        <v>-0.25</v>
      </c>
      <c r="F901" s="653" t="n">
        <v>4496.25</v>
      </c>
      <c r="G901" s="123" t="n">
        <v>0</v>
      </c>
    </row>
    <row r="902" customFormat="false" ht="15" hidden="false" customHeight="false" outlineLevel="0" collapsed="false">
      <c r="A902" s="652" t="n">
        <v>45683</v>
      </c>
      <c r="B902" s="123" t="n">
        <v>703</v>
      </c>
      <c r="C902" s="124" t="s">
        <v>275</v>
      </c>
      <c r="D902" s="124" t="s">
        <v>127</v>
      </c>
      <c r="E902" s="653" t="n">
        <v>1500.75</v>
      </c>
      <c r="G902" s="653" t="n">
        <v>1500.75</v>
      </c>
      <c r="H902" s="653" t="n">
        <v>0.75</v>
      </c>
      <c r="I902" s="123" t="n">
        <v>2</v>
      </c>
      <c r="J902" s="123" t="n">
        <v>1</v>
      </c>
      <c r="K902" s="123" t="n">
        <v>2</v>
      </c>
      <c r="M902" s="123" t="n">
        <v>1</v>
      </c>
    </row>
    <row r="903" customFormat="false" ht="15" hidden="false" customHeight="false" outlineLevel="0" collapsed="false">
      <c r="A903" s="652" t="n">
        <v>45683</v>
      </c>
      <c r="B903" s="123" t="n">
        <v>705</v>
      </c>
      <c r="C903" s="124" t="s">
        <v>263</v>
      </c>
      <c r="D903" s="124" t="s">
        <v>127</v>
      </c>
      <c r="E903" s="123" t="n">
        <v>598</v>
      </c>
      <c r="G903" s="653" t="n">
        <v>2098.75</v>
      </c>
      <c r="I903" s="123" t="n">
        <v>2</v>
      </c>
    </row>
    <row r="904" customFormat="false" ht="15" hidden="false" customHeight="false" outlineLevel="0" collapsed="false">
      <c r="A904" s="652" t="n">
        <v>45683</v>
      </c>
      <c r="B904" s="123" t="n">
        <v>704</v>
      </c>
      <c r="C904" s="124" t="s">
        <v>242</v>
      </c>
      <c r="D904" s="124" t="s">
        <v>127</v>
      </c>
      <c r="E904" s="123" t="n">
        <v>138</v>
      </c>
      <c r="G904" s="653" t="n">
        <v>2236.75</v>
      </c>
      <c r="O904" s="123" t="n">
        <v>1</v>
      </c>
    </row>
    <row r="905" customFormat="false" ht="15" hidden="false" customHeight="false" outlineLevel="0" collapsed="false">
      <c r="A905" s="652" t="n">
        <v>45683</v>
      </c>
      <c r="B905" s="123" t="n">
        <v>706</v>
      </c>
      <c r="C905" s="124" t="s">
        <v>133</v>
      </c>
      <c r="D905" s="124" t="s">
        <v>127</v>
      </c>
      <c r="E905" s="653" t="n">
        <v>155.25</v>
      </c>
      <c r="G905" s="123" t="n">
        <v>2392</v>
      </c>
      <c r="P905" s="123" t="n">
        <v>1</v>
      </c>
    </row>
    <row r="906" customFormat="false" ht="15" hidden="false" customHeight="false" outlineLevel="0" collapsed="false">
      <c r="A906" s="652" t="n">
        <v>45683</v>
      </c>
      <c r="B906" s="124" t="s">
        <v>470</v>
      </c>
      <c r="C906" s="124" t="s">
        <v>393</v>
      </c>
      <c r="F906" s="123" t="n">
        <v>2392</v>
      </c>
      <c r="G906" s="123" t="n">
        <v>0</v>
      </c>
    </row>
    <row r="907" customFormat="false" ht="15" hidden="false" customHeight="false" outlineLevel="0" collapsed="false">
      <c r="A907" s="652" t="n">
        <v>45684</v>
      </c>
      <c r="B907" s="123" t="n">
        <v>707</v>
      </c>
      <c r="C907" s="124" t="s">
        <v>293</v>
      </c>
      <c r="D907" s="124" t="s">
        <v>286</v>
      </c>
      <c r="E907" s="123" t="n">
        <v>437</v>
      </c>
      <c r="G907" s="123" t="n">
        <v>437</v>
      </c>
      <c r="I907" s="123" t="n">
        <v>1</v>
      </c>
      <c r="O907" s="123" t="n">
        <v>1</v>
      </c>
    </row>
    <row r="908" customFormat="false" ht="15" hidden="false" customHeight="false" outlineLevel="0" collapsed="false">
      <c r="A908" s="652" t="n">
        <v>45684</v>
      </c>
      <c r="B908" s="123" t="n">
        <v>708</v>
      </c>
      <c r="C908" s="124" t="s">
        <v>319</v>
      </c>
      <c r="D908" s="124" t="s">
        <v>224</v>
      </c>
      <c r="E908" s="123" t="n">
        <v>828</v>
      </c>
      <c r="G908" s="123" t="n">
        <v>1265</v>
      </c>
      <c r="I908" s="123" t="n">
        <v>1</v>
      </c>
      <c r="L908" s="123" t="n">
        <v>1</v>
      </c>
      <c r="M908" s="123" t="n">
        <v>1</v>
      </c>
    </row>
    <row r="909" customFormat="false" ht="15" hidden="false" customHeight="false" outlineLevel="0" collapsed="false">
      <c r="A909" s="652" t="n">
        <v>45684</v>
      </c>
      <c r="B909" s="123" t="n">
        <v>709</v>
      </c>
      <c r="C909" s="124" t="s">
        <v>327</v>
      </c>
      <c r="D909" s="124" t="s">
        <v>224</v>
      </c>
      <c r="E909" s="653" t="n">
        <v>1736.5</v>
      </c>
      <c r="G909" s="653" t="n">
        <v>3001.5</v>
      </c>
      <c r="H909" s="653" t="n">
        <v>0.5</v>
      </c>
      <c r="L909" s="123" t="n">
        <v>1</v>
      </c>
      <c r="M909" s="123" t="n">
        <v>6</v>
      </c>
    </row>
    <row r="910" customFormat="false" ht="15" hidden="false" customHeight="false" outlineLevel="0" collapsed="false">
      <c r="A910" s="652" t="n">
        <v>45684</v>
      </c>
      <c r="B910" s="123" t="n">
        <v>710</v>
      </c>
      <c r="C910" s="124" t="s">
        <v>317</v>
      </c>
      <c r="D910" s="124" t="s">
        <v>224</v>
      </c>
      <c r="E910" s="123" t="n">
        <v>552</v>
      </c>
      <c r="G910" s="653" t="n">
        <v>3553.5</v>
      </c>
      <c r="H910" s="123" t="n">
        <v>2</v>
      </c>
      <c r="I910" s="123" t="n">
        <v>1</v>
      </c>
      <c r="K910" s="123" t="n">
        <v>1</v>
      </c>
    </row>
    <row r="911" customFormat="false" ht="15" hidden="false" customHeight="false" outlineLevel="0" collapsed="false">
      <c r="A911" s="652" t="n">
        <v>45684</v>
      </c>
      <c r="B911" s="123" t="n">
        <v>711</v>
      </c>
      <c r="C911" s="124" t="s">
        <v>329</v>
      </c>
      <c r="D911" s="124" t="s">
        <v>224</v>
      </c>
      <c r="E911" s="653" t="n">
        <v>241.5</v>
      </c>
      <c r="G911" s="123" t="n">
        <v>3795</v>
      </c>
      <c r="H911" s="653" t="n">
        <v>1.5</v>
      </c>
      <c r="M911" s="123" t="n">
        <v>1</v>
      </c>
    </row>
    <row r="912" customFormat="false" ht="15" hidden="false" customHeight="false" outlineLevel="0" collapsed="false">
      <c r="A912" s="652" t="n">
        <v>45683</v>
      </c>
      <c r="B912" s="123" t="n">
        <v>712</v>
      </c>
      <c r="C912" s="124" t="s">
        <v>310</v>
      </c>
      <c r="D912" s="124" t="s">
        <v>301</v>
      </c>
      <c r="E912" s="123" t="n">
        <v>782</v>
      </c>
      <c r="G912" s="123" t="n">
        <v>4577</v>
      </c>
      <c r="O912" s="123" t="n">
        <v>4</v>
      </c>
    </row>
    <row r="913" customFormat="false" ht="15" hidden="false" customHeight="false" outlineLevel="0" collapsed="false">
      <c r="A913" s="652" t="n">
        <v>45684</v>
      </c>
      <c r="B913" s="123" t="n">
        <v>713</v>
      </c>
      <c r="C913" s="124" t="s">
        <v>300</v>
      </c>
      <c r="D913" s="124" t="s">
        <v>301</v>
      </c>
      <c r="E913" s="123" t="n">
        <v>299</v>
      </c>
      <c r="G913" s="123" t="n">
        <v>4876</v>
      </c>
      <c r="I913" s="123" t="n">
        <v>1</v>
      </c>
    </row>
    <row r="914" customFormat="false" ht="15" hidden="false" customHeight="false" outlineLevel="0" collapsed="false">
      <c r="A914" s="652" t="n">
        <v>45684</v>
      </c>
      <c r="B914" s="123" t="n">
        <v>714</v>
      </c>
      <c r="C914" s="124" t="s">
        <v>300</v>
      </c>
      <c r="D914" s="124" t="s">
        <v>301</v>
      </c>
      <c r="E914" s="123" t="n">
        <v>138</v>
      </c>
      <c r="G914" s="123" t="n">
        <v>5014</v>
      </c>
      <c r="O914" s="123" t="n">
        <v>1</v>
      </c>
    </row>
    <row r="915" customFormat="false" ht="15" hidden="false" customHeight="false" outlineLevel="0" collapsed="false">
      <c r="A915" s="652" t="n">
        <v>45684</v>
      </c>
      <c r="B915" s="123" t="n">
        <v>715</v>
      </c>
      <c r="C915" s="124" t="s">
        <v>316</v>
      </c>
      <c r="D915" s="124" t="s">
        <v>301</v>
      </c>
      <c r="E915" s="123" t="n">
        <v>138</v>
      </c>
      <c r="G915" s="123" t="n">
        <v>5152</v>
      </c>
      <c r="O915" s="123" t="n">
        <v>1</v>
      </c>
    </row>
    <row r="916" customFormat="false" ht="15" hidden="false" customHeight="false" outlineLevel="0" collapsed="false">
      <c r="A916" s="652" t="n">
        <v>45684</v>
      </c>
      <c r="B916" s="123" t="n">
        <v>716</v>
      </c>
      <c r="C916" s="124" t="s">
        <v>305</v>
      </c>
      <c r="D916" s="124" t="s">
        <v>301</v>
      </c>
      <c r="E916" s="653" t="n">
        <v>155.25</v>
      </c>
      <c r="G916" s="653" t="n">
        <v>5307.25</v>
      </c>
      <c r="P916" s="123" t="n">
        <v>1</v>
      </c>
    </row>
    <row r="917" customFormat="false" ht="15" hidden="false" customHeight="false" outlineLevel="0" collapsed="false">
      <c r="A917" s="652" t="n">
        <v>45684</v>
      </c>
      <c r="B917" s="123" t="n">
        <v>717</v>
      </c>
      <c r="C917" s="124" t="s">
        <v>290</v>
      </c>
      <c r="D917" s="124" t="s">
        <v>286</v>
      </c>
      <c r="E917" s="123" t="n">
        <v>299</v>
      </c>
      <c r="G917" s="653" t="n">
        <v>5606.25</v>
      </c>
      <c r="I917" s="123" t="n">
        <v>1</v>
      </c>
    </row>
    <row r="918" customFormat="false" ht="15" hidden="false" customHeight="false" outlineLevel="0" collapsed="false">
      <c r="A918" s="652" t="n">
        <v>45684</v>
      </c>
      <c r="B918" s="123" t="n">
        <v>718</v>
      </c>
      <c r="C918" s="124" t="s">
        <v>295</v>
      </c>
      <c r="D918" s="124" t="s">
        <v>286</v>
      </c>
      <c r="E918" s="653" t="n">
        <v>678.5</v>
      </c>
      <c r="G918" s="653" t="n">
        <v>6284.75</v>
      </c>
      <c r="I918" s="123" t="n">
        <v>1</v>
      </c>
      <c r="M918" s="123" t="n">
        <v>1</v>
      </c>
      <c r="O918" s="123" t="n">
        <v>1</v>
      </c>
    </row>
    <row r="919" customFormat="false" ht="15" hidden="false" customHeight="false" outlineLevel="0" collapsed="false">
      <c r="A919" s="652" t="n">
        <v>45684</v>
      </c>
      <c r="B919" s="123" t="n">
        <v>719</v>
      </c>
      <c r="C919" s="124" t="s">
        <v>298</v>
      </c>
      <c r="D919" s="124" t="s">
        <v>286</v>
      </c>
      <c r="E919" s="123" t="n">
        <v>253</v>
      </c>
      <c r="G919" s="653" t="n">
        <v>6537.75</v>
      </c>
      <c r="K919" s="123" t="n">
        <v>1</v>
      </c>
    </row>
    <row r="920" customFormat="false" ht="15" hidden="false" customHeight="false" outlineLevel="0" collapsed="false">
      <c r="A920" s="652" t="n">
        <v>45684</v>
      </c>
      <c r="B920" s="123" t="n">
        <v>720</v>
      </c>
      <c r="C920" s="124" t="s">
        <v>134</v>
      </c>
      <c r="D920" s="124" t="s">
        <v>127</v>
      </c>
      <c r="E920" s="653" t="n">
        <v>1414.5</v>
      </c>
      <c r="G920" s="653" t="n">
        <v>7952.25</v>
      </c>
      <c r="H920" s="653" t="n">
        <v>-0.5</v>
      </c>
      <c r="K920" s="123" t="n">
        <v>5</v>
      </c>
      <c r="O920" s="123" t="n">
        <v>1</v>
      </c>
    </row>
    <row r="921" customFormat="false" ht="15" hidden="false" customHeight="false" outlineLevel="0" collapsed="false">
      <c r="A921" s="652" t="n">
        <v>45684</v>
      </c>
      <c r="B921" s="124" t="s">
        <v>470</v>
      </c>
      <c r="C921" s="124" t="s">
        <v>393</v>
      </c>
      <c r="F921" s="653" t="n">
        <v>6298.75</v>
      </c>
      <c r="G921" s="653" t="n">
        <v>1653.5</v>
      </c>
    </row>
    <row r="922" customFormat="false" ht="15" hidden="false" customHeight="false" outlineLevel="0" collapsed="false">
      <c r="A922" s="652" t="n">
        <v>45684</v>
      </c>
      <c r="B922" s="124" t="s">
        <v>653</v>
      </c>
      <c r="C922" s="124" t="s">
        <v>393</v>
      </c>
      <c r="E922" s="653" t="n">
        <v>-0.5</v>
      </c>
      <c r="F922" s="123" t="n">
        <v>1653</v>
      </c>
      <c r="G922" s="123" t="n">
        <v>0</v>
      </c>
    </row>
    <row r="923" customFormat="false" ht="15" hidden="false" customHeight="false" outlineLevel="0" collapsed="false">
      <c r="A923" s="652" t="n">
        <v>45685</v>
      </c>
      <c r="B923" s="123" t="n">
        <v>721</v>
      </c>
      <c r="C923" s="124" t="s">
        <v>266</v>
      </c>
      <c r="D923" s="124" t="s">
        <v>127</v>
      </c>
      <c r="E923" s="123" t="n">
        <v>299</v>
      </c>
      <c r="G923" s="123" t="n">
        <v>299</v>
      </c>
      <c r="H923" s="123" t="n">
        <v>0</v>
      </c>
      <c r="I923" s="123" t="n">
        <v>1</v>
      </c>
    </row>
    <row r="924" customFormat="false" ht="15" hidden="false" customHeight="false" outlineLevel="0" collapsed="false">
      <c r="A924" s="652" t="n">
        <v>45685</v>
      </c>
      <c r="B924" s="123" t="n">
        <v>722</v>
      </c>
      <c r="C924" s="124" t="s">
        <v>264</v>
      </c>
      <c r="D924" s="124" t="s">
        <v>127</v>
      </c>
      <c r="E924" s="653" t="n">
        <v>310.5</v>
      </c>
      <c r="G924" s="653" t="n">
        <v>609.5</v>
      </c>
      <c r="P924" s="123" t="n">
        <v>2</v>
      </c>
    </row>
    <row r="925" customFormat="false" ht="15" hidden="false" customHeight="false" outlineLevel="0" collapsed="false">
      <c r="A925" s="652" t="n">
        <v>45685</v>
      </c>
      <c r="B925" s="123" t="n">
        <v>723</v>
      </c>
      <c r="C925" s="124" t="s">
        <v>275</v>
      </c>
      <c r="D925" s="124" t="s">
        <v>127</v>
      </c>
      <c r="E925" s="123" t="n">
        <v>483</v>
      </c>
      <c r="G925" s="653" t="n">
        <v>1092.5</v>
      </c>
      <c r="H925" s="123" t="n">
        <v>0</v>
      </c>
      <c r="K925" s="123" t="n">
        <v>2</v>
      </c>
    </row>
    <row r="926" customFormat="false" ht="15" hidden="false" customHeight="false" outlineLevel="0" collapsed="false">
      <c r="A926" s="652" t="n">
        <v>45685</v>
      </c>
      <c r="B926" s="123" t="n">
        <v>724</v>
      </c>
      <c r="C926" s="124" t="s">
        <v>132</v>
      </c>
      <c r="D926" s="124" t="s">
        <v>127</v>
      </c>
      <c r="E926" s="123" t="n">
        <v>253</v>
      </c>
      <c r="G926" s="653" t="n">
        <v>1345.5</v>
      </c>
      <c r="H926" s="123" t="n">
        <v>0</v>
      </c>
      <c r="K926" s="123" t="n">
        <v>1</v>
      </c>
    </row>
    <row r="927" customFormat="false" ht="15" hidden="false" customHeight="false" outlineLevel="0" collapsed="false">
      <c r="A927" s="652" t="n">
        <v>45685</v>
      </c>
      <c r="B927" s="123" t="n">
        <v>725</v>
      </c>
      <c r="C927" s="124" t="s">
        <v>143</v>
      </c>
      <c r="D927" s="124" t="s">
        <v>127</v>
      </c>
      <c r="E927" s="123" t="n">
        <v>598</v>
      </c>
      <c r="G927" s="653" t="n">
        <v>1943.5</v>
      </c>
      <c r="H927" s="123" t="n">
        <v>0</v>
      </c>
      <c r="I927" s="123" t="n">
        <v>2</v>
      </c>
    </row>
    <row r="928" customFormat="false" ht="15" hidden="false" customHeight="false" outlineLevel="0" collapsed="false">
      <c r="A928" s="652" t="n">
        <v>45685</v>
      </c>
      <c r="B928" s="124" t="s">
        <v>470</v>
      </c>
      <c r="C928" s="124" t="s">
        <v>393</v>
      </c>
      <c r="F928" s="653" t="n">
        <v>1943.5</v>
      </c>
      <c r="G928" s="123" t="n">
        <v>0</v>
      </c>
    </row>
    <row r="929" customFormat="false" ht="15" hidden="false" customHeight="false" outlineLevel="0" collapsed="false">
      <c r="A929" s="652" t="n">
        <v>45686</v>
      </c>
      <c r="B929" s="123" t="n">
        <v>726</v>
      </c>
      <c r="C929" s="124" t="s">
        <v>178</v>
      </c>
      <c r="D929" s="124" t="s">
        <v>127</v>
      </c>
      <c r="E929" s="123" t="n">
        <v>598</v>
      </c>
      <c r="G929" s="123" t="n">
        <v>598</v>
      </c>
      <c r="H929" s="123" t="n">
        <v>-2</v>
      </c>
      <c r="I929" s="123" t="n">
        <v>2</v>
      </c>
    </row>
    <row r="930" customFormat="false" ht="15" hidden="false" customHeight="false" outlineLevel="0" collapsed="false">
      <c r="A930" s="652" t="n">
        <v>45686</v>
      </c>
      <c r="B930" s="123" t="n">
        <v>727</v>
      </c>
      <c r="C930" s="124" t="s">
        <v>150</v>
      </c>
      <c r="D930" s="124" t="s">
        <v>127</v>
      </c>
      <c r="E930" s="123" t="n">
        <v>828</v>
      </c>
      <c r="G930" s="123" t="n">
        <v>1426</v>
      </c>
      <c r="H930" s="123" t="n">
        <v>0</v>
      </c>
      <c r="I930" s="123" t="n">
        <v>1</v>
      </c>
      <c r="K930" s="123" t="n">
        <v>1</v>
      </c>
      <c r="P930" s="123" t="n">
        <v>1</v>
      </c>
    </row>
    <row r="931" customFormat="false" ht="15" hidden="false" customHeight="false" outlineLevel="0" collapsed="false">
      <c r="A931" s="652" t="n">
        <v>45686</v>
      </c>
      <c r="B931" s="123" t="n">
        <v>728</v>
      </c>
      <c r="C931" s="124" t="s">
        <v>222</v>
      </c>
      <c r="D931" s="124" t="s">
        <v>127</v>
      </c>
      <c r="E931" s="123" t="n">
        <v>253</v>
      </c>
      <c r="G931" s="123" t="n">
        <v>1679</v>
      </c>
      <c r="H931" s="123" t="n">
        <v>1</v>
      </c>
      <c r="K931" s="123" t="n">
        <v>1</v>
      </c>
    </row>
    <row r="932" customFormat="false" ht="15" hidden="false" customHeight="false" outlineLevel="0" collapsed="false">
      <c r="A932" s="652" t="n">
        <v>45686</v>
      </c>
      <c r="B932" s="123" t="n">
        <v>729</v>
      </c>
      <c r="C932" s="124" t="s">
        <v>94</v>
      </c>
      <c r="D932" s="124" t="s">
        <v>75</v>
      </c>
      <c r="E932" s="123" t="n">
        <v>138</v>
      </c>
      <c r="G932" s="123" t="n">
        <v>1817</v>
      </c>
      <c r="O932" s="123" t="n">
        <v>1</v>
      </c>
    </row>
    <row r="933" customFormat="false" ht="15" hidden="false" customHeight="false" outlineLevel="0" collapsed="false">
      <c r="A933" s="652" t="n">
        <v>45686</v>
      </c>
      <c r="B933" s="123" t="n">
        <v>730</v>
      </c>
      <c r="C933" s="124" t="s">
        <v>92</v>
      </c>
      <c r="D933" s="124" t="s">
        <v>75</v>
      </c>
      <c r="E933" s="123" t="n">
        <v>299</v>
      </c>
      <c r="G933" s="123" t="n">
        <v>2116</v>
      </c>
      <c r="I933" s="123" t="n">
        <v>1</v>
      </c>
    </row>
    <row r="934" customFormat="false" ht="15" hidden="false" customHeight="false" outlineLevel="0" collapsed="false">
      <c r="A934" s="652" t="n">
        <v>45686</v>
      </c>
      <c r="B934" s="123" t="n">
        <v>731</v>
      </c>
      <c r="C934" s="124" t="s">
        <v>110</v>
      </c>
      <c r="D934" s="124" t="s">
        <v>105</v>
      </c>
      <c r="E934" s="123" t="n">
        <v>1495</v>
      </c>
      <c r="G934" s="123" t="n">
        <v>3611</v>
      </c>
      <c r="I934" s="123" t="n">
        <v>5</v>
      </c>
    </row>
    <row r="935" customFormat="false" ht="15" hidden="false" customHeight="false" outlineLevel="0" collapsed="false">
      <c r="A935" s="652" t="n">
        <v>45686</v>
      </c>
      <c r="B935" s="123" t="n">
        <v>732</v>
      </c>
      <c r="C935" s="124" t="s">
        <v>107</v>
      </c>
      <c r="D935" s="124" t="s">
        <v>105</v>
      </c>
      <c r="E935" s="123" t="n">
        <v>1196</v>
      </c>
      <c r="G935" s="123" t="n">
        <v>4807</v>
      </c>
      <c r="I935" s="123" t="n">
        <v>4</v>
      </c>
    </row>
    <row r="936" customFormat="false" ht="15" hidden="false" customHeight="false" outlineLevel="0" collapsed="false">
      <c r="A936" s="652" t="n">
        <v>45686</v>
      </c>
      <c r="B936" s="123" t="n">
        <v>733</v>
      </c>
      <c r="C936" s="124" t="s">
        <v>108</v>
      </c>
      <c r="D936" s="124" t="s">
        <v>105</v>
      </c>
      <c r="E936" s="123" t="n">
        <v>1150</v>
      </c>
      <c r="G936" s="123" t="n">
        <v>5957</v>
      </c>
      <c r="I936" s="123" t="n">
        <v>3</v>
      </c>
      <c r="K936" s="123" t="n">
        <v>1</v>
      </c>
    </row>
    <row r="937" customFormat="false" ht="15" hidden="false" customHeight="false" outlineLevel="0" collapsed="false">
      <c r="A937" s="652" t="n">
        <v>45686</v>
      </c>
      <c r="B937" s="123" t="n">
        <v>734</v>
      </c>
      <c r="C937" s="124" t="s">
        <v>109</v>
      </c>
      <c r="D937" s="124" t="s">
        <v>105</v>
      </c>
      <c r="E937" s="123" t="n">
        <v>1380</v>
      </c>
      <c r="G937" s="123" t="n">
        <v>7337</v>
      </c>
      <c r="I937" s="123" t="n">
        <v>3</v>
      </c>
      <c r="K937" s="123" t="n">
        <v>2</v>
      </c>
    </row>
    <row r="938" customFormat="false" ht="15" hidden="false" customHeight="false" outlineLevel="0" collapsed="false">
      <c r="A938" s="652" t="n">
        <v>45686</v>
      </c>
      <c r="B938" s="123" t="n">
        <v>735</v>
      </c>
      <c r="C938" s="124" t="s">
        <v>104</v>
      </c>
      <c r="D938" s="124" t="s">
        <v>105</v>
      </c>
      <c r="E938" s="123" t="n">
        <v>897</v>
      </c>
      <c r="G938" s="123" t="n">
        <v>8234</v>
      </c>
      <c r="I938" s="123" t="n">
        <v>3</v>
      </c>
    </row>
    <row r="939" customFormat="false" ht="15" hidden="false" customHeight="false" outlineLevel="0" collapsed="false">
      <c r="A939" s="652" t="n">
        <v>45686</v>
      </c>
      <c r="B939" s="123" t="n">
        <v>736</v>
      </c>
      <c r="C939" s="124" t="s">
        <v>97</v>
      </c>
      <c r="D939" s="124" t="s">
        <v>75</v>
      </c>
      <c r="E939" s="123" t="n">
        <v>598</v>
      </c>
      <c r="G939" s="123" t="n">
        <v>8832</v>
      </c>
      <c r="H939" s="123" t="n">
        <v>0</v>
      </c>
      <c r="I939" s="123" t="n">
        <v>2</v>
      </c>
    </row>
    <row r="940" customFormat="false" ht="15" hidden="false" customHeight="false" outlineLevel="0" collapsed="false">
      <c r="A940" s="652" t="n">
        <v>45686</v>
      </c>
      <c r="B940" s="123" t="n">
        <v>737</v>
      </c>
      <c r="C940" s="124" t="s">
        <v>97</v>
      </c>
      <c r="D940" s="124" t="s">
        <v>75</v>
      </c>
      <c r="E940" s="123" t="n">
        <v>483</v>
      </c>
      <c r="G940" s="123" t="n">
        <v>9315</v>
      </c>
      <c r="M940" s="123" t="n">
        <v>2</v>
      </c>
    </row>
    <row r="941" customFormat="false" ht="15" hidden="false" customHeight="false" outlineLevel="0" collapsed="false">
      <c r="A941" s="652" t="n">
        <v>45686</v>
      </c>
      <c r="B941" s="123" t="n">
        <v>738</v>
      </c>
      <c r="C941" s="124" t="s">
        <v>97</v>
      </c>
      <c r="D941" s="124" t="s">
        <v>75</v>
      </c>
      <c r="E941" s="123" t="n">
        <v>138</v>
      </c>
      <c r="G941" s="123" t="n">
        <v>9453</v>
      </c>
      <c r="H941" s="123" t="n">
        <v>0</v>
      </c>
      <c r="O941" s="123" t="n">
        <v>1</v>
      </c>
    </row>
    <row r="942" customFormat="false" ht="15" hidden="false" customHeight="false" outlineLevel="0" collapsed="false">
      <c r="A942" s="652" t="n">
        <v>45686</v>
      </c>
      <c r="B942" s="123" t="n">
        <v>739</v>
      </c>
      <c r="C942" s="124" t="s">
        <v>89</v>
      </c>
      <c r="D942" s="124" t="s">
        <v>75</v>
      </c>
      <c r="E942" s="123" t="n">
        <v>1403</v>
      </c>
      <c r="G942" s="123" t="n">
        <v>10856</v>
      </c>
      <c r="K942" s="123" t="n">
        <v>6</v>
      </c>
    </row>
    <row r="943" customFormat="false" ht="15" hidden="false" customHeight="false" outlineLevel="0" collapsed="false">
      <c r="A943" s="652" t="n">
        <v>45686</v>
      </c>
      <c r="B943" s="123" t="n">
        <v>740</v>
      </c>
      <c r="C943" s="124" t="s">
        <v>90</v>
      </c>
      <c r="D943" s="124" t="s">
        <v>75</v>
      </c>
      <c r="E943" s="123" t="n">
        <v>253</v>
      </c>
      <c r="G943" s="123" t="n">
        <v>11109</v>
      </c>
      <c r="K943" s="123" t="n">
        <v>1</v>
      </c>
    </row>
    <row r="944" customFormat="false" ht="15" hidden="false" customHeight="false" outlineLevel="0" collapsed="false">
      <c r="A944" s="652" t="n">
        <v>45686</v>
      </c>
      <c r="B944" s="123" t="n">
        <v>741</v>
      </c>
      <c r="C944" s="124" t="s">
        <v>96</v>
      </c>
      <c r="D944" s="124" t="s">
        <v>75</v>
      </c>
      <c r="E944" s="653" t="n">
        <v>2541.5</v>
      </c>
      <c r="G944" s="653" t="n">
        <v>13650.5</v>
      </c>
      <c r="I944" s="123" t="n">
        <v>3</v>
      </c>
      <c r="K944" s="123" t="n">
        <v>4</v>
      </c>
      <c r="M944" s="123" t="n">
        <v>3</v>
      </c>
    </row>
    <row r="945" customFormat="false" ht="15" hidden="false" customHeight="false" outlineLevel="0" collapsed="false">
      <c r="A945" s="652" t="n">
        <v>45687</v>
      </c>
      <c r="B945" s="123" t="n">
        <v>744</v>
      </c>
      <c r="C945" s="124" t="s">
        <v>167</v>
      </c>
      <c r="D945" s="124" t="s">
        <v>127</v>
      </c>
      <c r="E945" s="123" t="n">
        <v>598</v>
      </c>
      <c r="G945" s="653" t="n">
        <v>14248.5</v>
      </c>
      <c r="H945" s="653" t="n">
        <v>0.25</v>
      </c>
      <c r="I945" s="123" t="n">
        <v>2</v>
      </c>
    </row>
    <row r="946" customFormat="false" ht="15" hidden="false" customHeight="false" outlineLevel="0" collapsed="false">
      <c r="A946" s="652" t="n">
        <v>45687</v>
      </c>
      <c r="B946" s="123" t="n">
        <v>745</v>
      </c>
      <c r="C946" s="124" t="s">
        <v>176</v>
      </c>
      <c r="D946" s="124" t="s">
        <v>127</v>
      </c>
      <c r="E946" s="123" t="n">
        <v>598</v>
      </c>
      <c r="G946" s="653" t="n">
        <v>14846.5</v>
      </c>
      <c r="H946" s="123" t="n">
        <v>0</v>
      </c>
      <c r="I946" s="123" t="n">
        <v>2</v>
      </c>
    </row>
    <row r="947" customFormat="false" ht="15" hidden="false" customHeight="false" outlineLevel="0" collapsed="false">
      <c r="A947" s="652" t="n">
        <v>45687</v>
      </c>
      <c r="B947" s="123" t="n">
        <v>743</v>
      </c>
      <c r="C947" s="124" t="s">
        <v>153</v>
      </c>
      <c r="D947" s="124" t="s">
        <v>127</v>
      </c>
      <c r="E947" s="123" t="n">
        <v>598</v>
      </c>
      <c r="G947" s="653" t="n">
        <v>15444.5</v>
      </c>
      <c r="H947" s="123" t="n">
        <v>0</v>
      </c>
      <c r="I947" s="123" t="n">
        <v>2</v>
      </c>
    </row>
    <row r="948" customFormat="false" ht="15" hidden="false" customHeight="false" outlineLevel="0" collapsed="false">
      <c r="A948" s="652" t="n">
        <v>45687</v>
      </c>
      <c r="B948" s="123" t="n">
        <v>743</v>
      </c>
      <c r="C948" s="124" t="s">
        <v>166</v>
      </c>
      <c r="D948" s="124" t="s">
        <v>127</v>
      </c>
      <c r="E948" s="123" t="n">
        <v>299</v>
      </c>
      <c r="G948" s="653" t="n">
        <v>15743.5</v>
      </c>
      <c r="H948" s="123" t="n">
        <v>1</v>
      </c>
      <c r="I948" s="123" t="n">
        <v>1</v>
      </c>
    </row>
    <row r="949" customFormat="false" ht="15" hidden="false" customHeight="false" outlineLevel="0" collapsed="false">
      <c r="A949" s="652" t="n">
        <v>45687</v>
      </c>
      <c r="B949" s="123" t="n">
        <v>742</v>
      </c>
      <c r="C949" s="124" t="s">
        <v>134</v>
      </c>
      <c r="D949" s="124" t="s">
        <v>127</v>
      </c>
      <c r="E949" s="123" t="n">
        <v>1196</v>
      </c>
      <c r="G949" s="653" t="n">
        <v>16939.5</v>
      </c>
      <c r="H949" s="123" t="n">
        <v>0</v>
      </c>
      <c r="K949" s="123" t="n">
        <v>3</v>
      </c>
      <c r="O949" s="123" t="n">
        <v>2</v>
      </c>
    </row>
    <row r="950" customFormat="false" ht="15" hidden="false" customHeight="false" outlineLevel="0" collapsed="false">
      <c r="A950" s="652" t="n">
        <v>45687</v>
      </c>
      <c r="B950" s="124" t="s">
        <v>470</v>
      </c>
      <c r="C950" s="124" t="s">
        <v>393</v>
      </c>
      <c r="F950" s="123" t="n">
        <v>1200</v>
      </c>
      <c r="G950" s="653" t="n">
        <v>15739.5</v>
      </c>
    </row>
    <row r="951" customFormat="false" ht="15" hidden="false" customHeight="false" outlineLevel="0" collapsed="false">
      <c r="A951" s="652" t="n">
        <v>45687</v>
      </c>
      <c r="B951" s="124" t="s">
        <v>470</v>
      </c>
      <c r="C951" s="124" t="s">
        <v>393</v>
      </c>
      <c r="F951" s="653" t="n">
        <v>3082.5</v>
      </c>
      <c r="G951" s="123" t="n">
        <v>12657</v>
      </c>
    </row>
    <row r="952" customFormat="false" ht="15" hidden="false" customHeight="false" outlineLevel="0" collapsed="false">
      <c r="A952" s="652" t="n">
        <v>45687</v>
      </c>
      <c r="B952" s="124" t="s">
        <v>657</v>
      </c>
      <c r="C952" s="124" t="s">
        <v>393</v>
      </c>
      <c r="F952" s="123" t="n">
        <v>3091</v>
      </c>
      <c r="G952" s="123" t="n">
        <v>9566</v>
      </c>
    </row>
    <row r="953" customFormat="false" ht="15" hidden="false" customHeight="false" outlineLevel="0" collapsed="false">
      <c r="A953" s="652" t="n">
        <v>45687</v>
      </c>
      <c r="B953" s="124" t="s">
        <v>653</v>
      </c>
      <c r="C953" s="124" t="s">
        <v>393</v>
      </c>
      <c r="F953" s="123" t="n">
        <v>9566</v>
      </c>
      <c r="G953" s="123" t="n">
        <v>0</v>
      </c>
    </row>
    <row r="954" customFormat="false" ht="15" hidden="false" customHeight="false" outlineLevel="0" collapsed="false">
      <c r="A954" s="652" t="n">
        <v>45690</v>
      </c>
      <c r="B954" s="123" t="n">
        <v>745</v>
      </c>
      <c r="C954" s="124" t="s">
        <v>266</v>
      </c>
      <c r="D954" s="124" t="s">
        <v>127</v>
      </c>
      <c r="E954" s="123" t="n">
        <v>598</v>
      </c>
      <c r="G954" s="123" t="n">
        <v>598</v>
      </c>
      <c r="I954" s="123" t="n">
        <v>2</v>
      </c>
    </row>
    <row r="955" customFormat="false" ht="15" hidden="false" customHeight="false" outlineLevel="0" collapsed="false">
      <c r="A955" s="652" t="n">
        <v>45690</v>
      </c>
      <c r="B955" s="123" t="n">
        <v>746</v>
      </c>
      <c r="C955" s="124" t="s">
        <v>263</v>
      </c>
      <c r="D955" s="124" t="s">
        <v>127</v>
      </c>
      <c r="E955" s="123" t="n">
        <v>299</v>
      </c>
      <c r="G955" s="123" t="n">
        <v>897</v>
      </c>
      <c r="H955" s="123" t="n">
        <v>0</v>
      </c>
      <c r="P955" s="123" t="n">
        <v>1</v>
      </c>
    </row>
    <row r="956" customFormat="false" ht="15" hidden="false" customHeight="false" outlineLevel="0" collapsed="false">
      <c r="A956" s="652" t="n">
        <v>45690</v>
      </c>
      <c r="B956" s="124" t="s">
        <v>470</v>
      </c>
      <c r="C956" s="124" t="s">
        <v>393</v>
      </c>
      <c r="F956" s="123" t="n">
        <v>897</v>
      </c>
      <c r="G956" s="123" t="n">
        <v>0</v>
      </c>
    </row>
    <row r="957" customFormat="false" ht="15" hidden="false" customHeight="false" outlineLevel="0" collapsed="false">
      <c r="A957" s="652" t="n">
        <v>45691</v>
      </c>
      <c r="B957" s="123" t="n">
        <v>749</v>
      </c>
      <c r="C957" s="124" t="s">
        <v>289</v>
      </c>
      <c r="D957" s="124" t="s">
        <v>286</v>
      </c>
      <c r="E957" s="123" t="n">
        <v>299</v>
      </c>
      <c r="G957" s="123" t="n">
        <v>299</v>
      </c>
      <c r="I957" s="123" t="n">
        <v>1</v>
      </c>
    </row>
    <row r="958" customFormat="false" ht="15" hidden="false" customHeight="false" outlineLevel="0" collapsed="false">
      <c r="A958" s="652" t="n">
        <v>45691</v>
      </c>
      <c r="B958" s="123" t="n">
        <v>750</v>
      </c>
      <c r="C958" s="124" t="s">
        <v>302</v>
      </c>
      <c r="D958" s="124" t="s">
        <v>301</v>
      </c>
      <c r="E958" s="123" t="n">
        <v>299</v>
      </c>
      <c r="G958" s="123" t="n">
        <v>598</v>
      </c>
      <c r="I958" s="123" t="n">
        <v>1</v>
      </c>
    </row>
    <row r="959" customFormat="false" ht="15" hidden="false" customHeight="false" outlineLevel="0" collapsed="false">
      <c r="A959" s="652" t="n">
        <v>45691</v>
      </c>
      <c r="B959" s="123" t="n">
        <v>751</v>
      </c>
      <c r="C959" s="124" t="s">
        <v>310</v>
      </c>
      <c r="D959" s="124" t="s">
        <v>301</v>
      </c>
      <c r="E959" s="123" t="n">
        <v>690</v>
      </c>
      <c r="G959" s="123" t="n">
        <v>1288</v>
      </c>
      <c r="K959" s="123" t="n">
        <v>3</v>
      </c>
    </row>
    <row r="960" customFormat="false" ht="15" hidden="false" customHeight="false" outlineLevel="0" collapsed="false">
      <c r="A960" s="652" t="n">
        <v>45691</v>
      </c>
      <c r="B960" s="123" t="n">
        <v>752</v>
      </c>
      <c r="C960" s="124" t="s">
        <v>316</v>
      </c>
      <c r="D960" s="124" t="s">
        <v>301</v>
      </c>
      <c r="E960" s="123" t="n">
        <v>598</v>
      </c>
      <c r="G960" s="123" t="n">
        <v>1886</v>
      </c>
      <c r="I960" s="123" t="n">
        <v>2</v>
      </c>
    </row>
    <row r="961" customFormat="false" ht="15" hidden="false" customHeight="false" outlineLevel="0" collapsed="false">
      <c r="A961" s="652" t="n">
        <v>45691</v>
      </c>
      <c r="B961" s="123" t="n">
        <v>753</v>
      </c>
      <c r="C961" s="124" t="s">
        <v>309</v>
      </c>
      <c r="D961" s="124" t="s">
        <v>301</v>
      </c>
      <c r="E961" s="123" t="n">
        <v>138</v>
      </c>
      <c r="G961" s="123" t="n">
        <v>2024</v>
      </c>
      <c r="O961" s="123" t="n">
        <v>1</v>
      </c>
    </row>
    <row r="962" customFormat="false" ht="15" hidden="false" customHeight="false" outlineLevel="0" collapsed="false">
      <c r="A962" s="652" t="n">
        <v>45691</v>
      </c>
      <c r="B962" s="123" t="n">
        <v>754</v>
      </c>
      <c r="C962" s="124" t="s">
        <v>290</v>
      </c>
      <c r="D962" s="124" t="s">
        <v>286</v>
      </c>
      <c r="E962" s="123" t="n">
        <v>598</v>
      </c>
      <c r="G962" s="123" t="n">
        <v>2622</v>
      </c>
      <c r="I962" s="123" t="n">
        <v>2</v>
      </c>
    </row>
    <row r="963" customFormat="false" ht="15" hidden="false" customHeight="false" outlineLevel="0" collapsed="false">
      <c r="A963" s="652" t="n">
        <v>45691</v>
      </c>
      <c r="B963" s="123" t="n">
        <v>763</v>
      </c>
      <c r="C963" s="124" t="s">
        <v>294</v>
      </c>
      <c r="D963" s="124" t="s">
        <v>286</v>
      </c>
      <c r="E963" s="123" t="n">
        <v>299</v>
      </c>
      <c r="G963" s="123" t="n">
        <v>2921</v>
      </c>
      <c r="I963" s="123" t="n">
        <v>1</v>
      </c>
    </row>
    <row r="964" customFormat="false" ht="15" hidden="false" customHeight="false" outlineLevel="0" collapsed="false">
      <c r="A964" s="652" t="n">
        <v>45691</v>
      </c>
      <c r="B964" s="123" t="n">
        <v>764</v>
      </c>
      <c r="C964" s="124" t="s">
        <v>298</v>
      </c>
      <c r="D964" s="124" t="s">
        <v>286</v>
      </c>
      <c r="E964" s="123" t="n">
        <v>828</v>
      </c>
      <c r="G964" s="123" t="n">
        <v>3749</v>
      </c>
      <c r="I964" s="123" t="n">
        <v>1</v>
      </c>
      <c r="L964" s="123" t="n">
        <v>1</v>
      </c>
      <c r="M964" s="123" t="n">
        <v>1</v>
      </c>
    </row>
    <row r="965" customFormat="false" ht="15" hidden="false" customHeight="false" outlineLevel="0" collapsed="false">
      <c r="A965" s="652" t="n">
        <v>45691</v>
      </c>
      <c r="B965" s="124" t="s">
        <v>470</v>
      </c>
      <c r="C965" s="124" t="s">
        <v>393</v>
      </c>
      <c r="F965" s="123" t="n">
        <v>3749</v>
      </c>
      <c r="G965" s="123" t="n">
        <v>0</v>
      </c>
    </row>
    <row r="966" customFormat="false" ht="15" hidden="false" customHeight="false" outlineLevel="0" collapsed="false">
      <c r="A966" s="652" t="n">
        <v>45692</v>
      </c>
      <c r="B966" s="123" t="n">
        <v>758</v>
      </c>
      <c r="C966" s="124" t="s">
        <v>238</v>
      </c>
      <c r="D966" s="124" t="s">
        <v>127</v>
      </c>
      <c r="E966" s="653" t="n">
        <v>1345.5</v>
      </c>
      <c r="G966" s="653" t="n">
        <v>1345.5</v>
      </c>
      <c r="K966" s="123" t="n">
        <v>2</v>
      </c>
      <c r="L966" s="123" t="n">
        <v>1</v>
      </c>
      <c r="M966" s="123" t="n">
        <v>1</v>
      </c>
      <c r="P966" s="123" t="n">
        <v>2</v>
      </c>
    </row>
    <row r="967" customFormat="false" ht="15" hidden="false" customHeight="false" outlineLevel="0" collapsed="false">
      <c r="A967" s="652" t="n">
        <v>45692</v>
      </c>
      <c r="B967" s="123" t="n">
        <v>757</v>
      </c>
      <c r="C967" s="124" t="s">
        <v>260</v>
      </c>
      <c r="D967" s="124" t="s">
        <v>127</v>
      </c>
      <c r="E967" s="123" t="n">
        <v>299</v>
      </c>
      <c r="G967" s="653" t="n">
        <v>1644.5</v>
      </c>
      <c r="H967" s="123" t="n">
        <v>0</v>
      </c>
      <c r="I967" s="123" t="n">
        <v>1</v>
      </c>
    </row>
    <row r="968" customFormat="false" ht="15" hidden="false" customHeight="false" outlineLevel="0" collapsed="false">
      <c r="A968" s="652" t="n">
        <v>45692</v>
      </c>
      <c r="B968" s="123" t="n">
        <v>756</v>
      </c>
      <c r="C968" s="124" t="s">
        <v>147</v>
      </c>
      <c r="D968" s="124" t="s">
        <v>127</v>
      </c>
      <c r="E968" s="653" t="n">
        <v>379.5</v>
      </c>
      <c r="G968" s="123" t="n">
        <v>2024</v>
      </c>
      <c r="O968" s="123" t="n">
        <v>2</v>
      </c>
    </row>
    <row r="969" customFormat="false" ht="15" hidden="false" customHeight="false" outlineLevel="0" collapsed="false">
      <c r="A969" s="652" t="n">
        <v>45692</v>
      </c>
      <c r="B969" s="123" t="n">
        <v>764</v>
      </c>
      <c r="C969" s="124" t="s">
        <v>193</v>
      </c>
      <c r="D969" s="124" t="s">
        <v>127</v>
      </c>
      <c r="E969" s="123" t="n">
        <v>299</v>
      </c>
      <c r="G969" s="123" t="n">
        <v>2323</v>
      </c>
      <c r="I969" s="123" t="n">
        <v>1</v>
      </c>
    </row>
    <row r="970" customFormat="false" ht="15" hidden="false" customHeight="false" outlineLevel="0" collapsed="false">
      <c r="A970" s="652" t="n">
        <v>45692</v>
      </c>
      <c r="B970" s="123" t="n">
        <v>764</v>
      </c>
      <c r="C970" s="124" t="s">
        <v>393</v>
      </c>
      <c r="F970" s="123" t="n">
        <v>2323</v>
      </c>
      <c r="G970" s="123" t="n">
        <v>0</v>
      </c>
    </row>
    <row r="971" customFormat="false" ht="15" hidden="false" customHeight="false" outlineLevel="0" collapsed="false">
      <c r="A971" s="652" t="n">
        <v>45693</v>
      </c>
      <c r="B971" s="123" t="n">
        <v>764</v>
      </c>
      <c r="C971" s="124" t="s">
        <v>94</v>
      </c>
      <c r="D971" s="124" t="s">
        <v>75</v>
      </c>
      <c r="E971" s="653" t="n">
        <v>787.75</v>
      </c>
      <c r="G971" s="653" t="n">
        <v>787.75</v>
      </c>
      <c r="L971" s="123" t="n">
        <v>1</v>
      </c>
      <c r="M971" s="123" t="n">
        <v>2</v>
      </c>
    </row>
    <row r="972" customFormat="false" ht="15" hidden="false" customHeight="false" outlineLevel="0" collapsed="false">
      <c r="A972" s="652" t="n">
        <v>45693</v>
      </c>
      <c r="B972" s="123" t="n">
        <v>764</v>
      </c>
      <c r="C972" s="124" t="s">
        <v>87</v>
      </c>
      <c r="D972" s="124" t="s">
        <v>75</v>
      </c>
      <c r="E972" s="653" t="n">
        <v>287.5</v>
      </c>
      <c r="G972" s="653" t="n">
        <v>1075.25</v>
      </c>
      <c r="L972" s="123" t="n">
        <v>1</v>
      </c>
    </row>
    <row r="973" customFormat="false" ht="15" hidden="false" customHeight="false" outlineLevel="0" collapsed="false">
      <c r="A973" s="652" t="n">
        <v>45693</v>
      </c>
      <c r="B973" s="123" t="n">
        <v>764</v>
      </c>
      <c r="C973" s="124" t="s">
        <v>96</v>
      </c>
      <c r="D973" s="124" t="s">
        <v>75</v>
      </c>
      <c r="E973" s="123" t="n">
        <v>897</v>
      </c>
      <c r="G973" s="653" t="n">
        <v>1972.25</v>
      </c>
      <c r="I973" s="123" t="n">
        <v>3</v>
      </c>
    </row>
    <row r="974" customFormat="false" ht="15" hidden="false" customHeight="false" outlineLevel="0" collapsed="false">
      <c r="A974" s="652" t="n">
        <v>45693</v>
      </c>
      <c r="B974" s="123" t="n">
        <v>764</v>
      </c>
      <c r="C974" s="124" t="s">
        <v>101</v>
      </c>
      <c r="D974" s="124" t="s">
        <v>75</v>
      </c>
      <c r="E974" s="123" t="n">
        <v>299</v>
      </c>
      <c r="G974" s="653" t="n">
        <v>2271.25</v>
      </c>
      <c r="I974" s="123" t="n">
        <v>1</v>
      </c>
    </row>
    <row r="975" customFormat="false" ht="15" hidden="false" customHeight="false" outlineLevel="0" collapsed="false">
      <c r="A975" s="652" t="n">
        <v>45693</v>
      </c>
      <c r="B975" s="123" t="n">
        <v>765</v>
      </c>
      <c r="C975" s="124" t="s">
        <v>113</v>
      </c>
      <c r="D975" s="124" t="s">
        <v>105</v>
      </c>
      <c r="E975" s="123" t="n">
        <v>299</v>
      </c>
      <c r="G975" s="653" t="n">
        <v>2570.25</v>
      </c>
      <c r="I975" s="123" t="n">
        <v>1</v>
      </c>
    </row>
    <row r="976" customFormat="false" ht="15" hidden="false" customHeight="false" outlineLevel="0" collapsed="false">
      <c r="A976" s="652" t="n">
        <v>45693</v>
      </c>
      <c r="B976" s="123" t="n">
        <v>766</v>
      </c>
      <c r="C976" s="124" t="s">
        <v>115</v>
      </c>
      <c r="D976" s="124" t="s">
        <v>105</v>
      </c>
      <c r="E976" s="123" t="n">
        <v>276</v>
      </c>
      <c r="G976" s="653" t="n">
        <v>2846.25</v>
      </c>
      <c r="O976" s="123" t="n">
        <v>2</v>
      </c>
    </row>
    <row r="977" customFormat="false" ht="15" hidden="false" customHeight="false" outlineLevel="0" collapsed="false">
      <c r="A977" s="652" t="n">
        <v>45693</v>
      </c>
      <c r="B977" s="123" t="n">
        <v>767</v>
      </c>
      <c r="C977" s="124" t="s">
        <v>114</v>
      </c>
      <c r="D977" s="124" t="s">
        <v>105</v>
      </c>
      <c r="E977" s="123" t="n">
        <v>299</v>
      </c>
      <c r="G977" s="653" t="n">
        <v>3145.25</v>
      </c>
      <c r="I977" s="123" t="n">
        <v>1</v>
      </c>
    </row>
    <row r="978" customFormat="false" ht="15" hidden="false" customHeight="false" outlineLevel="0" collapsed="false">
      <c r="A978" s="652" t="n">
        <v>45693</v>
      </c>
      <c r="B978" s="123" t="n">
        <v>768</v>
      </c>
      <c r="C978" s="124" t="s">
        <v>111</v>
      </c>
      <c r="D978" s="124" t="s">
        <v>105</v>
      </c>
      <c r="E978" s="123" t="n">
        <v>299</v>
      </c>
      <c r="G978" s="653" t="n">
        <v>3444.25</v>
      </c>
      <c r="I978" s="123" t="n">
        <v>1</v>
      </c>
    </row>
    <row r="979" customFormat="false" ht="15" hidden="false" customHeight="false" outlineLevel="0" collapsed="false">
      <c r="A979" s="652" t="n">
        <v>45693</v>
      </c>
      <c r="B979" s="123" t="n">
        <v>769</v>
      </c>
      <c r="C979" s="124" t="s">
        <v>89</v>
      </c>
      <c r="D979" s="124" t="s">
        <v>75</v>
      </c>
      <c r="E979" s="123" t="n">
        <v>299</v>
      </c>
      <c r="G979" s="653" t="n">
        <v>3743.25</v>
      </c>
      <c r="I979" s="123" t="n">
        <v>1</v>
      </c>
    </row>
    <row r="980" customFormat="false" ht="15" hidden="false" customHeight="false" outlineLevel="0" collapsed="false">
      <c r="A980" s="652" t="n">
        <v>45693</v>
      </c>
      <c r="B980" s="124" t="s">
        <v>470</v>
      </c>
      <c r="C980" s="124" t="s">
        <v>393</v>
      </c>
      <c r="F980" s="653" t="n">
        <v>2558.75</v>
      </c>
      <c r="G980" s="653" t="n">
        <v>1184.5</v>
      </c>
    </row>
    <row r="981" customFormat="false" ht="15" hidden="false" customHeight="false" outlineLevel="0" collapsed="false">
      <c r="A981" s="652" t="n">
        <v>45693</v>
      </c>
      <c r="B981" s="124" t="s">
        <v>653</v>
      </c>
      <c r="C981" s="124" t="s">
        <v>393</v>
      </c>
      <c r="F981" s="123" t="n">
        <v>1184</v>
      </c>
      <c r="G981" s="653" t="n">
        <v>0.5</v>
      </c>
    </row>
    <row r="982" customFormat="false" ht="15" hidden="false" customHeight="false" outlineLevel="0" collapsed="false">
      <c r="A982" s="652" t="n">
        <v>45693</v>
      </c>
      <c r="B982" s="123" t="n">
        <v>770</v>
      </c>
      <c r="C982" s="124" t="s">
        <v>184</v>
      </c>
      <c r="D982" s="124" t="s">
        <v>127</v>
      </c>
      <c r="E982" s="653" t="n">
        <v>155.25</v>
      </c>
      <c r="G982" s="653" t="n">
        <v>155.75</v>
      </c>
      <c r="H982" s="123" t="n">
        <v>0</v>
      </c>
      <c r="P982" s="123" t="n">
        <v>1</v>
      </c>
    </row>
    <row r="983" customFormat="false" ht="15" hidden="false" customHeight="false" outlineLevel="0" collapsed="false">
      <c r="A983" s="652" t="n">
        <v>45693</v>
      </c>
      <c r="B983" s="123" t="n">
        <v>772</v>
      </c>
      <c r="C983" s="124" t="s">
        <v>146</v>
      </c>
      <c r="D983" s="124" t="s">
        <v>127</v>
      </c>
      <c r="E983" s="123" t="n">
        <v>299</v>
      </c>
      <c r="G983" s="653" t="n">
        <v>454.75</v>
      </c>
      <c r="H983" s="123" t="n">
        <v>0</v>
      </c>
      <c r="I983" s="123" t="n">
        <v>1</v>
      </c>
    </row>
    <row r="984" customFormat="false" ht="15" hidden="false" customHeight="false" outlineLevel="0" collapsed="false">
      <c r="A984" s="652" t="n">
        <v>45692</v>
      </c>
      <c r="B984" s="123" t="n">
        <v>771</v>
      </c>
      <c r="C984" s="124" t="s">
        <v>260</v>
      </c>
      <c r="D984" s="124" t="s">
        <v>127</v>
      </c>
      <c r="E984" s="123" t="n">
        <v>368</v>
      </c>
      <c r="G984" s="653" t="n">
        <v>822.75</v>
      </c>
      <c r="H984" s="123" t="n">
        <v>0</v>
      </c>
      <c r="K984" s="123" t="n">
        <v>1</v>
      </c>
      <c r="O984" s="123" t="n">
        <v>1</v>
      </c>
    </row>
    <row r="985" customFormat="false" ht="15" hidden="false" customHeight="false" outlineLevel="0" collapsed="false">
      <c r="A985" s="652" t="n">
        <v>45697</v>
      </c>
      <c r="B985" s="124" t="s">
        <v>470</v>
      </c>
      <c r="C985" s="124" t="s">
        <v>393</v>
      </c>
      <c r="F985" s="653" t="n">
        <v>822.75</v>
      </c>
      <c r="G985" s="123" t="n">
        <v>0</v>
      </c>
      <c r="H985" s="123" t="n">
        <v>0</v>
      </c>
    </row>
    <row r="986" customFormat="false" ht="15" hidden="false" customHeight="false" outlineLevel="0" collapsed="false">
      <c r="A986" s="652" t="n">
        <v>45701</v>
      </c>
      <c r="B986" s="123" t="n">
        <v>773</v>
      </c>
      <c r="C986" s="124" t="s">
        <v>298</v>
      </c>
      <c r="D986" s="124" t="s">
        <v>286</v>
      </c>
      <c r="E986" s="123" t="n">
        <v>805</v>
      </c>
      <c r="G986" s="123" t="n">
        <v>805</v>
      </c>
      <c r="H986" s="123" t="n">
        <v>0</v>
      </c>
      <c r="I986" s="123" t="n">
        <v>1</v>
      </c>
      <c r="K986" s="123" t="n">
        <v>2</v>
      </c>
    </row>
    <row r="987" customFormat="false" ht="15" hidden="false" customHeight="false" outlineLevel="0" collapsed="false">
      <c r="A987" s="652" t="n">
        <v>45701</v>
      </c>
      <c r="B987" s="123" t="n">
        <v>774</v>
      </c>
      <c r="C987" s="124" t="s">
        <v>295</v>
      </c>
      <c r="D987" s="124" t="s">
        <v>286</v>
      </c>
      <c r="E987" s="653" t="n">
        <v>724.5</v>
      </c>
      <c r="G987" s="653" t="n">
        <v>1529.5</v>
      </c>
      <c r="M987" s="123" t="n">
        <v>2</v>
      </c>
      <c r="O987" s="123" t="n">
        <v>1</v>
      </c>
    </row>
    <row r="988" customFormat="false" ht="15" hidden="false" customHeight="false" outlineLevel="0" collapsed="false">
      <c r="A988" s="652" t="n">
        <v>45701</v>
      </c>
      <c r="B988" s="123" t="n">
        <v>775</v>
      </c>
      <c r="C988" s="124" t="s">
        <v>302</v>
      </c>
      <c r="D988" s="124" t="s">
        <v>301</v>
      </c>
      <c r="E988" s="653" t="n">
        <v>241.5</v>
      </c>
      <c r="G988" s="123" t="n">
        <v>1771</v>
      </c>
      <c r="M988" s="123" t="n">
        <v>1</v>
      </c>
    </row>
    <row r="989" customFormat="false" ht="15" hidden="false" customHeight="false" outlineLevel="0" collapsed="false">
      <c r="A989" s="652" t="n">
        <v>45701</v>
      </c>
      <c r="B989" s="123" t="n">
        <v>776</v>
      </c>
      <c r="C989" s="124" t="s">
        <v>316</v>
      </c>
      <c r="D989" s="124" t="s">
        <v>301</v>
      </c>
      <c r="E989" s="123" t="n">
        <v>598</v>
      </c>
      <c r="G989" s="123" t="n">
        <v>2369</v>
      </c>
      <c r="H989" s="123" t="n">
        <v>0</v>
      </c>
      <c r="I989" s="123" t="n">
        <v>2</v>
      </c>
    </row>
    <row r="990" customFormat="false" ht="15" hidden="false" customHeight="false" outlineLevel="0" collapsed="false">
      <c r="A990" s="652" t="n">
        <v>45701</v>
      </c>
      <c r="B990" s="123" t="n">
        <v>777</v>
      </c>
      <c r="C990" s="124" t="s">
        <v>307</v>
      </c>
      <c r="D990" s="124" t="s">
        <v>301</v>
      </c>
      <c r="E990" s="123" t="n">
        <v>299</v>
      </c>
      <c r="G990" s="123" t="n">
        <v>2668</v>
      </c>
      <c r="I990" s="123" t="n">
        <v>1</v>
      </c>
    </row>
    <row r="991" customFormat="false" ht="15" hidden="false" customHeight="false" outlineLevel="0" collapsed="false">
      <c r="A991" s="652" t="n">
        <v>45701</v>
      </c>
      <c r="B991" s="123" t="n">
        <v>778</v>
      </c>
      <c r="C991" s="124" t="s">
        <v>293</v>
      </c>
      <c r="D991" s="124" t="s">
        <v>286</v>
      </c>
      <c r="E991" s="123" t="n">
        <v>299</v>
      </c>
      <c r="G991" s="123" t="n">
        <v>2967</v>
      </c>
      <c r="I991" s="123" t="n">
        <v>1</v>
      </c>
    </row>
    <row r="992" customFormat="false" ht="15" hidden="false" customHeight="false" outlineLevel="0" collapsed="false">
      <c r="A992" s="652" t="n">
        <v>45701</v>
      </c>
      <c r="B992" s="123" t="n">
        <v>779</v>
      </c>
      <c r="C992" s="124" t="s">
        <v>290</v>
      </c>
      <c r="D992" s="124" t="s">
        <v>286</v>
      </c>
      <c r="E992" s="123" t="n">
        <v>299</v>
      </c>
      <c r="G992" s="123" t="n">
        <v>3266</v>
      </c>
      <c r="I992" s="123" t="n">
        <v>1</v>
      </c>
    </row>
    <row r="993" customFormat="false" ht="15" hidden="false" customHeight="false" outlineLevel="0" collapsed="false">
      <c r="A993" s="652" t="n">
        <v>45703</v>
      </c>
      <c r="B993" s="123" t="n">
        <v>787</v>
      </c>
      <c r="C993" s="124" t="s">
        <v>132</v>
      </c>
      <c r="D993" s="124" t="s">
        <v>127</v>
      </c>
      <c r="E993" s="123" t="n">
        <v>598</v>
      </c>
      <c r="G993" s="123" t="n">
        <v>3864</v>
      </c>
      <c r="I993" s="123" t="n">
        <v>2</v>
      </c>
    </row>
    <row r="994" customFormat="false" ht="15" hidden="false" customHeight="false" outlineLevel="0" collapsed="false">
      <c r="A994" s="652" t="n">
        <v>45703</v>
      </c>
      <c r="B994" s="123" t="n">
        <v>780</v>
      </c>
      <c r="C994" s="124" t="s">
        <v>184</v>
      </c>
      <c r="D994" s="124" t="s">
        <v>127</v>
      </c>
      <c r="E994" s="653" t="n">
        <v>454.25</v>
      </c>
      <c r="G994" s="653" t="n">
        <v>4318.25</v>
      </c>
      <c r="H994" s="123" t="n">
        <v>0</v>
      </c>
      <c r="I994" s="123" t="n">
        <v>1</v>
      </c>
      <c r="P994" s="123" t="n">
        <v>1</v>
      </c>
    </row>
    <row r="995" customFormat="false" ht="15" hidden="false" customHeight="false" outlineLevel="0" collapsed="false">
      <c r="A995" s="652" t="n">
        <v>45703</v>
      </c>
      <c r="B995" s="123" t="n">
        <v>781</v>
      </c>
      <c r="C995" s="124" t="s">
        <v>134</v>
      </c>
      <c r="D995" s="124" t="s">
        <v>127</v>
      </c>
      <c r="E995" s="123" t="n">
        <v>690</v>
      </c>
      <c r="G995" s="653" t="n">
        <v>5008.25</v>
      </c>
      <c r="K995" s="123" t="n">
        <v>3</v>
      </c>
    </row>
    <row r="996" customFormat="false" ht="15" hidden="false" customHeight="false" outlineLevel="0" collapsed="false">
      <c r="A996" s="652" t="n">
        <v>45703</v>
      </c>
      <c r="B996" s="123" t="n">
        <v>782</v>
      </c>
      <c r="C996" s="124" t="s">
        <v>226</v>
      </c>
      <c r="D996" s="124" t="s">
        <v>127</v>
      </c>
      <c r="E996" s="123" t="n">
        <v>299</v>
      </c>
      <c r="G996" s="653" t="n">
        <v>5307.25</v>
      </c>
      <c r="I996" s="123" t="n">
        <v>1</v>
      </c>
    </row>
    <row r="997" customFormat="false" ht="15" hidden="false" customHeight="false" outlineLevel="0" collapsed="false">
      <c r="A997" s="652" t="n">
        <v>45703</v>
      </c>
      <c r="B997" s="123" t="n">
        <v>783</v>
      </c>
      <c r="C997" s="124" t="s">
        <v>226</v>
      </c>
      <c r="D997" s="124" t="s">
        <v>127</v>
      </c>
      <c r="E997" s="653" t="n">
        <v>885.5</v>
      </c>
      <c r="G997" s="653" t="n">
        <v>6192.75</v>
      </c>
      <c r="L997" s="123" t="n">
        <v>2</v>
      </c>
      <c r="P997" s="123" t="n">
        <v>2</v>
      </c>
    </row>
    <row r="998" customFormat="false" ht="15" hidden="false" customHeight="false" outlineLevel="0" collapsed="false">
      <c r="A998" s="652" t="n">
        <v>45703</v>
      </c>
      <c r="B998" s="123" t="n">
        <v>784</v>
      </c>
      <c r="C998" s="124" t="s">
        <v>259</v>
      </c>
      <c r="D998" s="124" t="s">
        <v>127</v>
      </c>
      <c r="E998" s="123" t="n">
        <v>299</v>
      </c>
      <c r="G998" s="653" t="n">
        <v>6491.75</v>
      </c>
      <c r="H998" s="123" t="n">
        <v>0</v>
      </c>
      <c r="I998" s="123" t="n">
        <v>1</v>
      </c>
    </row>
    <row r="999" customFormat="false" ht="15" hidden="false" customHeight="false" outlineLevel="0" collapsed="false">
      <c r="A999" s="652" t="n">
        <v>45703</v>
      </c>
      <c r="B999" s="123" t="n">
        <v>785</v>
      </c>
      <c r="C999" s="124" t="s">
        <v>234</v>
      </c>
      <c r="D999" s="124" t="s">
        <v>127</v>
      </c>
      <c r="E999" s="653" t="n">
        <v>862.5</v>
      </c>
      <c r="G999" s="653" t="n">
        <v>7354.25</v>
      </c>
      <c r="H999" s="123" t="n">
        <v>0</v>
      </c>
      <c r="P999" s="123" t="n">
        <v>3</v>
      </c>
    </row>
    <row r="1000" customFormat="false" ht="15" hidden="false" customHeight="false" outlineLevel="0" collapsed="false">
      <c r="A1000" s="652" t="n">
        <v>45703</v>
      </c>
      <c r="B1000" s="123" t="n">
        <v>786</v>
      </c>
      <c r="C1000" s="124" t="s">
        <v>238</v>
      </c>
      <c r="D1000" s="124" t="s">
        <v>127</v>
      </c>
      <c r="E1000" s="123" t="n">
        <v>230</v>
      </c>
      <c r="G1000" s="653" t="n">
        <v>7584.25</v>
      </c>
      <c r="H1000" s="123" t="n">
        <v>0</v>
      </c>
      <c r="K1000" s="123" t="n">
        <v>1</v>
      </c>
    </row>
    <row r="1001" customFormat="false" ht="15" hidden="false" customHeight="false" outlineLevel="0" collapsed="false">
      <c r="A1001" s="652" t="n">
        <v>45703</v>
      </c>
      <c r="B1001" s="124" t="s">
        <v>470</v>
      </c>
      <c r="C1001" s="124" t="s">
        <v>393</v>
      </c>
      <c r="F1001" s="123" t="n">
        <v>2493</v>
      </c>
      <c r="G1001" s="653" t="n">
        <v>5091.25</v>
      </c>
    </row>
    <row r="1002" customFormat="false" ht="15" hidden="false" customHeight="false" outlineLevel="0" collapsed="false">
      <c r="A1002" s="652" t="n">
        <v>45704</v>
      </c>
      <c r="B1002" s="124" t="s">
        <v>653</v>
      </c>
      <c r="C1002" s="124" t="s">
        <v>393</v>
      </c>
      <c r="E1002" s="653" t="n">
        <v>-0.25</v>
      </c>
      <c r="F1002" s="123" t="n">
        <v>5091</v>
      </c>
      <c r="G1002" s="123" t="n">
        <v>0</v>
      </c>
    </row>
    <row r="1003" customFormat="false" ht="15" hidden="false" customHeight="false" outlineLevel="0" collapsed="false">
      <c r="A1003" s="652" t="n">
        <v>45704</v>
      </c>
      <c r="B1003" s="123" t="n">
        <v>788</v>
      </c>
      <c r="C1003" s="124" t="s">
        <v>94</v>
      </c>
      <c r="D1003" s="124" t="s">
        <v>75</v>
      </c>
      <c r="E1003" s="653" t="n">
        <v>586.5</v>
      </c>
      <c r="G1003" s="653" t="n">
        <v>586.5</v>
      </c>
      <c r="L1003" s="123" t="n">
        <v>2</v>
      </c>
    </row>
    <row r="1004" customFormat="false" ht="15" hidden="false" customHeight="false" outlineLevel="0" collapsed="false">
      <c r="A1004" s="652" t="n">
        <v>45704</v>
      </c>
      <c r="B1004" s="123" t="n">
        <v>789</v>
      </c>
      <c r="C1004" s="124" t="s">
        <v>111</v>
      </c>
      <c r="D1004" s="124" t="s">
        <v>105</v>
      </c>
      <c r="E1004" s="123" t="n">
        <v>299</v>
      </c>
      <c r="G1004" s="653" t="n">
        <v>885.5</v>
      </c>
      <c r="I1004" s="123" t="n">
        <v>1</v>
      </c>
    </row>
    <row r="1005" customFormat="false" ht="15" hidden="false" customHeight="false" outlineLevel="0" collapsed="false">
      <c r="A1005" s="652" t="n">
        <v>45704</v>
      </c>
      <c r="B1005" s="123" t="n">
        <v>790</v>
      </c>
      <c r="C1005" s="124" t="s">
        <v>108</v>
      </c>
      <c r="D1005" s="124" t="s">
        <v>105</v>
      </c>
      <c r="E1005" s="653" t="n">
        <v>477.25</v>
      </c>
      <c r="G1005" s="653" t="n">
        <v>1362.75</v>
      </c>
      <c r="I1005" s="123" t="n">
        <v>1</v>
      </c>
      <c r="J1005" s="123" t="n">
        <v>1</v>
      </c>
    </row>
    <row r="1006" customFormat="false" ht="15" hidden="false" customHeight="false" outlineLevel="0" collapsed="false">
      <c r="A1006" s="652" t="n">
        <v>45704</v>
      </c>
      <c r="B1006" s="123" t="n">
        <v>791</v>
      </c>
      <c r="C1006" s="124" t="s">
        <v>108</v>
      </c>
      <c r="D1006" s="124" t="s">
        <v>105</v>
      </c>
      <c r="E1006" s="123" t="n">
        <v>483</v>
      </c>
      <c r="G1006" s="653" t="n">
        <v>1845.75</v>
      </c>
      <c r="M1006" s="123" t="n">
        <v>2</v>
      </c>
    </row>
    <row r="1007" customFormat="false" ht="15" hidden="false" customHeight="false" outlineLevel="0" collapsed="false">
      <c r="A1007" s="652" t="n">
        <v>45704</v>
      </c>
      <c r="B1007" s="123" t="n">
        <v>792</v>
      </c>
      <c r="C1007" s="124" t="s">
        <v>109</v>
      </c>
      <c r="D1007" s="124" t="s">
        <v>105</v>
      </c>
      <c r="E1007" s="123" t="n">
        <v>851</v>
      </c>
      <c r="G1007" s="653" t="n">
        <v>2696.75</v>
      </c>
      <c r="I1007" s="123" t="n">
        <v>2</v>
      </c>
      <c r="K1007" s="123" t="n">
        <v>1</v>
      </c>
    </row>
    <row r="1008" customFormat="false" ht="15" hidden="false" customHeight="false" outlineLevel="0" collapsed="false">
      <c r="A1008" s="652" t="n">
        <v>45704</v>
      </c>
      <c r="B1008" s="123" t="n">
        <v>793</v>
      </c>
      <c r="C1008" s="124" t="s">
        <v>89</v>
      </c>
      <c r="D1008" s="124" t="s">
        <v>75</v>
      </c>
      <c r="E1008" s="123" t="n">
        <v>759</v>
      </c>
      <c r="G1008" s="653" t="n">
        <v>3455.75</v>
      </c>
      <c r="K1008" s="123" t="n">
        <v>3</v>
      </c>
    </row>
    <row r="1009" customFormat="false" ht="15" hidden="false" customHeight="false" outlineLevel="0" collapsed="false">
      <c r="A1009" s="652" t="n">
        <v>45704</v>
      </c>
      <c r="B1009" s="123" t="n">
        <v>794</v>
      </c>
      <c r="C1009" s="124" t="s">
        <v>96</v>
      </c>
      <c r="D1009" s="124" t="s">
        <v>75</v>
      </c>
      <c r="E1009" s="123" t="n">
        <v>966</v>
      </c>
      <c r="G1009" s="653" t="n">
        <v>4421.75</v>
      </c>
      <c r="H1009" s="123" t="n">
        <v>1</v>
      </c>
      <c r="K1009" s="123" t="n">
        <v>2</v>
      </c>
      <c r="M1009" s="123" t="n">
        <v>2</v>
      </c>
    </row>
    <row r="1010" customFormat="false" ht="15" hidden="false" customHeight="false" outlineLevel="0" collapsed="false">
      <c r="A1010" s="652" t="n">
        <v>45704</v>
      </c>
      <c r="B1010" s="123" t="n">
        <v>795</v>
      </c>
      <c r="C1010" s="124" t="s">
        <v>81</v>
      </c>
      <c r="D1010" s="124" t="s">
        <v>75</v>
      </c>
      <c r="E1010" s="123" t="n">
        <v>276</v>
      </c>
      <c r="G1010" s="653" t="n">
        <v>4697.75</v>
      </c>
      <c r="O1010" s="123" t="n">
        <v>2</v>
      </c>
    </row>
    <row r="1011" customFormat="false" ht="15" hidden="false" customHeight="false" outlineLevel="0" collapsed="false">
      <c r="A1011" s="652" t="n">
        <v>45704</v>
      </c>
      <c r="B1011" s="123" t="n">
        <v>796</v>
      </c>
      <c r="C1011" s="124" t="s">
        <v>169</v>
      </c>
      <c r="D1011" s="124" t="s">
        <v>127</v>
      </c>
      <c r="E1011" s="653" t="n">
        <v>1903.25</v>
      </c>
      <c r="G1011" s="123" t="n">
        <v>6601</v>
      </c>
      <c r="I1011" s="123" t="n">
        <v>2</v>
      </c>
      <c r="K1011" s="123" t="n">
        <v>2</v>
      </c>
      <c r="L1011" s="123" t="n">
        <v>1</v>
      </c>
      <c r="M1011" s="123" t="n">
        <v>1</v>
      </c>
      <c r="O1011" s="123" t="n">
        <v>1</v>
      </c>
      <c r="P1011" s="123" t="n">
        <v>1</v>
      </c>
    </row>
    <row r="1012" customFormat="false" ht="15" hidden="false" customHeight="false" outlineLevel="0" collapsed="false">
      <c r="A1012" s="652" t="n">
        <v>45704</v>
      </c>
      <c r="B1012" s="124" t="s">
        <v>470</v>
      </c>
      <c r="C1012" s="124" t="s">
        <v>393</v>
      </c>
      <c r="F1012" s="653" t="n">
        <v>1836.5</v>
      </c>
      <c r="G1012" s="653" t="n">
        <v>4764.5</v>
      </c>
    </row>
    <row r="1013" customFormat="false" ht="15" hidden="false" customHeight="false" outlineLevel="0" collapsed="false">
      <c r="A1013" s="652" t="n">
        <v>45704</v>
      </c>
      <c r="B1013" s="124" t="s">
        <v>653</v>
      </c>
      <c r="C1013" s="124" t="s">
        <v>393</v>
      </c>
      <c r="F1013" s="123" t="n">
        <v>4215</v>
      </c>
      <c r="G1013" s="653" t="n">
        <v>549.5</v>
      </c>
    </row>
    <row r="1014" customFormat="false" ht="15" hidden="false" customHeight="false" outlineLevel="0" collapsed="false">
      <c r="A1014" s="652" t="n">
        <v>45704</v>
      </c>
      <c r="B1014" s="124" t="s">
        <v>657</v>
      </c>
      <c r="C1014" s="124" t="s">
        <v>393</v>
      </c>
      <c r="F1014" s="653" t="n">
        <v>549.5</v>
      </c>
      <c r="G1014" s="123" t="n">
        <v>0</v>
      </c>
    </row>
    <row r="1015" customFormat="false" ht="15" hidden="false" customHeight="false" outlineLevel="0" collapsed="false">
      <c r="A1015" s="652" t="n">
        <v>45707</v>
      </c>
      <c r="B1015" s="123" t="n">
        <v>797</v>
      </c>
      <c r="C1015" s="124" t="s">
        <v>264</v>
      </c>
      <c r="D1015" s="124" t="s">
        <v>127</v>
      </c>
      <c r="E1015" s="653" t="n">
        <v>908.5</v>
      </c>
      <c r="G1015" s="653" t="n">
        <v>908.5</v>
      </c>
      <c r="I1015" s="123" t="n">
        <v>2</v>
      </c>
      <c r="P1015" s="123" t="n">
        <v>2</v>
      </c>
    </row>
    <row r="1016" customFormat="false" ht="15" hidden="false" customHeight="false" outlineLevel="0" collapsed="false">
      <c r="A1016" s="652" t="n">
        <v>45707</v>
      </c>
      <c r="B1016" s="123" t="n">
        <v>798</v>
      </c>
      <c r="C1016" s="124" t="s">
        <v>263</v>
      </c>
      <c r="D1016" s="124" t="s">
        <v>127</v>
      </c>
      <c r="E1016" s="653" t="n">
        <v>454.25</v>
      </c>
      <c r="G1016" s="653" t="n">
        <v>1362.75</v>
      </c>
      <c r="H1016" s="653" t="n">
        <v>0.25</v>
      </c>
      <c r="P1016" s="123" t="n">
        <v>2</v>
      </c>
    </row>
    <row r="1017" customFormat="false" ht="15" hidden="false" customHeight="false" outlineLevel="0" collapsed="false">
      <c r="A1017" s="652" t="n">
        <v>45707</v>
      </c>
      <c r="B1017" s="123" t="n">
        <v>799</v>
      </c>
      <c r="C1017" s="124" t="s">
        <v>268</v>
      </c>
      <c r="D1017" s="124" t="s">
        <v>127</v>
      </c>
      <c r="E1017" s="123" t="n">
        <v>598</v>
      </c>
      <c r="G1017" s="653" t="n">
        <v>1960.75</v>
      </c>
      <c r="I1017" s="123" t="n">
        <v>2</v>
      </c>
    </row>
    <row r="1018" customFormat="false" ht="15" hidden="false" customHeight="false" outlineLevel="0" collapsed="false">
      <c r="A1018" s="652" t="n">
        <v>45707</v>
      </c>
      <c r="B1018" s="123" t="n">
        <v>800</v>
      </c>
      <c r="C1018" s="124" t="s">
        <v>95</v>
      </c>
      <c r="D1018" s="124" t="s">
        <v>75</v>
      </c>
      <c r="E1018" s="653" t="n">
        <v>3116.5</v>
      </c>
      <c r="G1018" s="653" t="n">
        <v>5077.25</v>
      </c>
      <c r="I1018" s="123" t="n">
        <v>1</v>
      </c>
      <c r="K1018" s="123" t="n">
        <v>4</v>
      </c>
      <c r="L1018" s="123" t="n">
        <v>5</v>
      </c>
    </row>
    <row r="1019" customFormat="false" ht="15" hidden="false" customHeight="false" outlineLevel="0" collapsed="false">
      <c r="A1019" s="652" t="n">
        <v>45707</v>
      </c>
      <c r="B1019" s="123" t="n">
        <v>801</v>
      </c>
      <c r="C1019" s="124" t="s">
        <v>97</v>
      </c>
      <c r="D1019" s="124" t="s">
        <v>75</v>
      </c>
      <c r="E1019" s="653" t="n">
        <v>310.5</v>
      </c>
      <c r="G1019" s="653" t="n">
        <v>5387.75</v>
      </c>
      <c r="P1019" s="123" t="n">
        <v>2</v>
      </c>
    </row>
    <row r="1020" customFormat="false" ht="15" hidden="false" customHeight="false" outlineLevel="0" collapsed="false">
      <c r="A1020" s="652" t="n">
        <v>45707</v>
      </c>
      <c r="B1020" s="123" t="n">
        <v>802</v>
      </c>
      <c r="C1020" s="124" t="s">
        <v>97</v>
      </c>
      <c r="D1020" s="124" t="s">
        <v>75</v>
      </c>
      <c r="E1020" s="123" t="n">
        <v>230</v>
      </c>
      <c r="G1020" s="653" t="n">
        <v>5617.75</v>
      </c>
      <c r="K1020" s="123" t="n">
        <v>1</v>
      </c>
    </row>
    <row r="1021" customFormat="false" ht="15" hidden="false" customHeight="false" outlineLevel="0" collapsed="false">
      <c r="A1021" s="652" t="n">
        <v>45707</v>
      </c>
      <c r="B1021" s="123" t="n">
        <v>803</v>
      </c>
      <c r="C1021" s="124" t="s">
        <v>90</v>
      </c>
      <c r="D1021" s="124" t="s">
        <v>75</v>
      </c>
      <c r="E1021" s="123" t="n">
        <v>253</v>
      </c>
      <c r="G1021" s="653" t="n">
        <v>5870.75</v>
      </c>
      <c r="K1021" s="123" t="n">
        <v>1</v>
      </c>
    </row>
    <row r="1022" customFormat="false" ht="15" hidden="false" customHeight="false" outlineLevel="0" collapsed="false">
      <c r="A1022" s="652" t="n">
        <v>45707</v>
      </c>
      <c r="B1022" s="124" t="s">
        <v>470</v>
      </c>
      <c r="C1022" s="124" t="s">
        <v>393</v>
      </c>
      <c r="F1022" s="653" t="n">
        <v>1108.5</v>
      </c>
      <c r="G1022" s="653" t="n">
        <v>4762.25</v>
      </c>
    </row>
    <row r="1023" customFormat="false" ht="15" hidden="false" customHeight="false" outlineLevel="0" collapsed="false">
      <c r="A1023" s="652" t="n">
        <v>45707</v>
      </c>
      <c r="B1023" s="124" t="s">
        <v>653</v>
      </c>
      <c r="C1023" s="124" t="s">
        <v>393</v>
      </c>
      <c r="F1023" s="123" t="n">
        <v>4762</v>
      </c>
      <c r="G1023" s="653" t="n">
        <v>0.25</v>
      </c>
    </row>
    <row r="1024" customFormat="false" ht="15" hidden="false" customHeight="false" outlineLevel="0" collapsed="false">
      <c r="A1024" s="652" t="n">
        <v>45708</v>
      </c>
      <c r="B1024" s="123" t="n">
        <v>807</v>
      </c>
      <c r="C1024" s="124" t="s">
        <v>178</v>
      </c>
      <c r="D1024" s="124" t="s">
        <v>127</v>
      </c>
      <c r="E1024" s="123" t="n">
        <v>598</v>
      </c>
      <c r="G1024" s="653" t="n">
        <v>598.25</v>
      </c>
      <c r="H1024" s="123" t="n">
        <v>0</v>
      </c>
      <c r="I1024" s="123" t="n">
        <v>2</v>
      </c>
    </row>
    <row r="1025" customFormat="false" ht="15" hidden="false" customHeight="false" outlineLevel="0" collapsed="false">
      <c r="A1025" s="652" t="n">
        <v>45708</v>
      </c>
      <c r="B1025" s="123" t="n">
        <v>804</v>
      </c>
      <c r="C1025" s="124" t="s">
        <v>132</v>
      </c>
      <c r="D1025" s="124" t="s">
        <v>127</v>
      </c>
      <c r="E1025" s="653" t="n">
        <v>1437.5</v>
      </c>
      <c r="G1025" s="653" t="n">
        <v>2035.75</v>
      </c>
      <c r="H1025" s="653" t="n">
        <v>0.5</v>
      </c>
      <c r="I1025" s="123" t="n">
        <v>4</v>
      </c>
      <c r="M1025" s="123" t="n">
        <v>1</v>
      </c>
    </row>
    <row r="1026" customFormat="false" ht="15" hidden="false" customHeight="false" outlineLevel="0" collapsed="false">
      <c r="A1026" s="652" t="n">
        <v>45708</v>
      </c>
      <c r="B1026" s="123" t="n">
        <v>808</v>
      </c>
      <c r="C1026" s="124" t="s">
        <v>178</v>
      </c>
      <c r="D1026" s="124" t="s">
        <v>127</v>
      </c>
      <c r="E1026" s="653" t="n">
        <v>356.5</v>
      </c>
      <c r="G1026" s="653" t="n">
        <v>2392.25</v>
      </c>
      <c r="H1026" s="123" t="n">
        <v>0</v>
      </c>
      <c r="J1026" s="123" t="n">
        <v>2</v>
      </c>
    </row>
    <row r="1027" customFormat="false" ht="15" hidden="false" customHeight="false" outlineLevel="0" collapsed="false">
      <c r="A1027" s="652" t="n">
        <v>45708</v>
      </c>
      <c r="B1027" s="123" t="n">
        <v>805</v>
      </c>
      <c r="C1027" s="124" t="s">
        <v>130</v>
      </c>
      <c r="D1027" s="124" t="s">
        <v>127</v>
      </c>
      <c r="E1027" s="123" t="n">
        <v>552</v>
      </c>
      <c r="G1027" s="653" t="n">
        <v>2944.25</v>
      </c>
      <c r="H1027" s="123" t="n">
        <v>0</v>
      </c>
      <c r="I1027" s="123" t="n">
        <v>1</v>
      </c>
      <c r="K1027" s="123" t="n">
        <v>1</v>
      </c>
    </row>
    <row r="1028" customFormat="false" ht="15" hidden="false" customHeight="false" outlineLevel="0" collapsed="false">
      <c r="A1028" s="652" t="n">
        <v>45708</v>
      </c>
      <c r="B1028" s="123" t="n">
        <v>806</v>
      </c>
      <c r="C1028" s="124" t="s">
        <v>179</v>
      </c>
      <c r="D1028" s="124" t="s">
        <v>127</v>
      </c>
      <c r="E1028" s="123" t="n">
        <v>1081</v>
      </c>
      <c r="G1028" s="653" t="n">
        <v>4025.25</v>
      </c>
      <c r="I1028" s="123" t="n">
        <v>2</v>
      </c>
      <c r="K1028" s="123" t="n">
        <v>2</v>
      </c>
    </row>
    <row r="1029" customFormat="false" ht="15" hidden="false" customHeight="false" outlineLevel="0" collapsed="false">
      <c r="A1029" s="652" t="n">
        <v>45710</v>
      </c>
      <c r="B1029" s="123" t="n">
        <v>812</v>
      </c>
      <c r="C1029" s="124" t="s">
        <v>260</v>
      </c>
      <c r="D1029" s="124" t="s">
        <v>127</v>
      </c>
      <c r="E1029" s="123" t="n">
        <v>299</v>
      </c>
      <c r="G1029" s="653" t="n">
        <v>4324.25</v>
      </c>
      <c r="H1029" s="123" t="n">
        <v>-1</v>
      </c>
      <c r="I1029" s="123" t="n">
        <v>1</v>
      </c>
    </row>
    <row r="1030" customFormat="false" ht="15" hidden="false" customHeight="false" outlineLevel="0" collapsed="false">
      <c r="A1030" s="652" t="n">
        <v>45710</v>
      </c>
      <c r="B1030" s="123" t="n">
        <v>813</v>
      </c>
      <c r="C1030" s="124" t="s">
        <v>260</v>
      </c>
      <c r="D1030" s="124" t="s">
        <v>127</v>
      </c>
      <c r="E1030" s="123" t="n">
        <v>575</v>
      </c>
      <c r="G1030" s="653" t="n">
        <v>4899.25</v>
      </c>
      <c r="H1030" s="123" t="n">
        <v>0</v>
      </c>
      <c r="L1030" s="123" t="n">
        <v>2</v>
      </c>
    </row>
    <row r="1031" customFormat="false" ht="15" hidden="false" customHeight="false" outlineLevel="0" collapsed="false">
      <c r="A1031" s="652" t="n">
        <v>45710</v>
      </c>
      <c r="B1031" s="123" t="n">
        <v>809</v>
      </c>
      <c r="C1031" s="124" t="s">
        <v>242</v>
      </c>
      <c r="D1031" s="124" t="s">
        <v>127</v>
      </c>
      <c r="E1031" s="123" t="n">
        <v>437</v>
      </c>
      <c r="G1031" s="653" t="n">
        <v>5336.25</v>
      </c>
      <c r="H1031" s="123" t="n">
        <v>0</v>
      </c>
      <c r="I1031" s="123" t="n">
        <v>1</v>
      </c>
      <c r="O1031" s="123" t="n">
        <v>1</v>
      </c>
    </row>
    <row r="1032" customFormat="false" ht="15" hidden="false" customHeight="false" outlineLevel="0" collapsed="false">
      <c r="A1032" s="652" t="n">
        <v>45710</v>
      </c>
      <c r="B1032" s="123" t="n">
        <v>810</v>
      </c>
      <c r="C1032" s="124" t="s">
        <v>237</v>
      </c>
      <c r="D1032" s="124" t="s">
        <v>127</v>
      </c>
      <c r="E1032" s="123" t="n">
        <v>299</v>
      </c>
      <c r="G1032" s="653" t="n">
        <v>5635.25</v>
      </c>
      <c r="H1032" s="123" t="n">
        <v>0</v>
      </c>
      <c r="I1032" s="123" t="n">
        <v>1</v>
      </c>
    </row>
    <row r="1033" customFormat="false" ht="15" hidden="false" customHeight="false" outlineLevel="0" collapsed="false">
      <c r="A1033" s="652" t="n">
        <v>45707</v>
      </c>
      <c r="B1033" s="123" t="n">
        <v>811</v>
      </c>
      <c r="C1033" s="124" t="s">
        <v>157</v>
      </c>
      <c r="D1033" s="124" t="s">
        <v>127</v>
      </c>
      <c r="E1033" s="653" t="n">
        <v>241.5</v>
      </c>
      <c r="G1033" s="653" t="n">
        <v>5876.75</v>
      </c>
      <c r="H1033" s="653" t="n">
        <v>0.5</v>
      </c>
      <c r="O1033" s="123" t="n">
        <v>1</v>
      </c>
    </row>
    <row r="1034" customFormat="false" ht="15" hidden="false" customHeight="false" outlineLevel="0" collapsed="false">
      <c r="A1034" s="652" t="n">
        <v>45708</v>
      </c>
      <c r="B1034" s="124" t="s">
        <v>657</v>
      </c>
      <c r="C1034" s="124" t="s">
        <v>393</v>
      </c>
      <c r="F1034" s="123" t="n">
        <v>1083</v>
      </c>
      <c r="G1034" s="653" t="n">
        <v>4793.75</v>
      </c>
    </row>
    <row r="1035" customFormat="false" ht="15" hidden="false" customHeight="false" outlineLevel="0" collapsed="false">
      <c r="A1035" s="652" t="n">
        <v>45708</v>
      </c>
      <c r="B1035" s="124" t="s">
        <v>470</v>
      </c>
      <c r="C1035" s="124" t="s">
        <v>393</v>
      </c>
      <c r="F1035" s="123" t="n">
        <v>1083</v>
      </c>
      <c r="G1035" s="653" t="n">
        <v>3710.75</v>
      </c>
    </row>
    <row r="1036" customFormat="false" ht="15" hidden="false" customHeight="false" outlineLevel="0" collapsed="false">
      <c r="A1036" s="652" t="n">
        <v>45710</v>
      </c>
      <c r="B1036" s="124" t="s">
        <v>653</v>
      </c>
      <c r="C1036" s="124" t="s">
        <v>393</v>
      </c>
      <c r="F1036" s="653" t="n">
        <v>3710.75</v>
      </c>
      <c r="G1036" s="123" t="n">
        <v>0</v>
      </c>
    </row>
    <row r="1037" customFormat="false" ht="15" hidden="false" customHeight="false" outlineLevel="0" collapsed="false">
      <c r="A1037" s="652" t="n">
        <v>45712</v>
      </c>
      <c r="B1037" s="123" t="n">
        <v>814</v>
      </c>
      <c r="C1037" s="124" t="s">
        <v>295</v>
      </c>
      <c r="D1037" s="124" t="s">
        <v>286</v>
      </c>
      <c r="E1037" s="123" t="n">
        <v>483</v>
      </c>
      <c r="G1037" s="123" t="n">
        <v>483</v>
      </c>
      <c r="M1037" s="123" t="n">
        <v>2</v>
      </c>
    </row>
    <row r="1038" customFormat="false" ht="15" hidden="false" customHeight="false" outlineLevel="0" collapsed="false">
      <c r="A1038" s="652" t="n">
        <v>45712</v>
      </c>
      <c r="B1038" s="123" t="n">
        <v>815</v>
      </c>
      <c r="C1038" s="124" t="s">
        <v>292</v>
      </c>
      <c r="D1038" s="124" t="s">
        <v>286</v>
      </c>
      <c r="E1038" s="123" t="n">
        <v>299</v>
      </c>
      <c r="G1038" s="123" t="n">
        <v>782</v>
      </c>
      <c r="I1038" s="123" t="n">
        <v>1</v>
      </c>
    </row>
    <row r="1039" customFormat="false" ht="15" hidden="false" customHeight="false" outlineLevel="0" collapsed="false">
      <c r="A1039" s="652" t="n">
        <v>45712</v>
      </c>
      <c r="B1039" s="123" t="n">
        <v>816</v>
      </c>
      <c r="C1039" s="124" t="s">
        <v>293</v>
      </c>
      <c r="D1039" s="124" t="s">
        <v>286</v>
      </c>
      <c r="E1039" s="123" t="n">
        <v>299</v>
      </c>
      <c r="G1039" s="123" t="n">
        <v>1081</v>
      </c>
      <c r="I1039" s="123" t="n">
        <v>1</v>
      </c>
    </row>
    <row r="1040" customFormat="false" ht="15" hidden="false" customHeight="false" outlineLevel="0" collapsed="false">
      <c r="A1040" s="652" t="n">
        <v>45703</v>
      </c>
      <c r="B1040" s="123" t="n">
        <v>817</v>
      </c>
      <c r="C1040" s="124" t="s">
        <v>310</v>
      </c>
      <c r="D1040" s="124" t="s">
        <v>301</v>
      </c>
      <c r="E1040" s="653" t="n">
        <v>4111.25</v>
      </c>
      <c r="G1040" s="653" t="n">
        <v>5192.25</v>
      </c>
      <c r="H1040" s="653" t="n">
        <v>1.25</v>
      </c>
      <c r="K1040" s="123" t="n">
        <v>12</v>
      </c>
      <c r="O1040" s="123" t="n">
        <v>5</v>
      </c>
    </row>
    <row r="1041" customFormat="false" ht="15" hidden="false" customHeight="false" outlineLevel="0" collapsed="false">
      <c r="A1041" s="652" t="n">
        <v>45712</v>
      </c>
      <c r="B1041" s="123" t="n">
        <v>818</v>
      </c>
      <c r="C1041" s="124" t="s">
        <v>317</v>
      </c>
      <c r="D1041" s="124" t="s">
        <v>224</v>
      </c>
      <c r="E1041" s="123" t="n">
        <v>299</v>
      </c>
      <c r="G1041" s="653" t="n">
        <v>5491.25</v>
      </c>
      <c r="I1041" s="123" t="n">
        <v>1</v>
      </c>
    </row>
    <row r="1042" customFormat="false" ht="15" hidden="false" customHeight="false" outlineLevel="0" collapsed="false">
      <c r="A1042" s="652" t="n">
        <v>45712</v>
      </c>
      <c r="B1042" s="123" t="n">
        <v>819</v>
      </c>
      <c r="C1042" s="124" t="s">
        <v>322</v>
      </c>
      <c r="D1042" s="124" t="s">
        <v>224</v>
      </c>
      <c r="E1042" s="123" t="n">
        <v>2024</v>
      </c>
      <c r="G1042" s="653" t="n">
        <v>7515.25</v>
      </c>
      <c r="K1042" s="123" t="n">
        <v>8</v>
      </c>
    </row>
    <row r="1043" customFormat="false" ht="15" hidden="false" customHeight="false" outlineLevel="0" collapsed="false">
      <c r="A1043" s="652" t="n">
        <v>45712</v>
      </c>
      <c r="B1043" s="123" t="n">
        <v>820</v>
      </c>
      <c r="C1043" s="124" t="s">
        <v>327</v>
      </c>
      <c r="D1043" s="124" t="s">
        <v>224</v>
      </c>
      <c r="E1043" s="653" t="n">
        <v>724.5</v>
      </c>
      <c r="G1043" s="653" t="n">
        <v>8239.75</v>
      </c>
      <c r="M1043" s="123" t="n">
        <v>3</v>
      </c>
    </row>
    <row r="1044" customFormat="false" ht="15" hidden="false" customHeight="false" outlineLevel="0" collapsed="false">
      <c r="A1044" s="652" t="n">
        <v>45712</v>
      </c>
      <c r="B1044" s="124" t="s">
        <v>657</v>
      </c>
      <c r="C1044" s="124" t="s">
        <v>393</v>
      </c>
      <c r="F1044" s="123" t="n">
        <v>255</v>
      </c>
      <c r="G1044" s="653" t="n">
        <v>7984.75</v>
      </c>
    </row>
    <row r="1045" customFormat="false" ht="15" hidden="false" customHeight="false" outlineLevel="0" collapsed="false">
      <c r="A1045" s="652" t="n">
        <v>45712</v>
      </c>
      <c r="B1045" s="124" t="s">
        <v>470</v>
      </c>
      <c r="C1045" s="124" t="s">
        <v>393</v>
      </c>
      <c r="F1045" s="123" t="n">
        <v>1124</v>
      </c>
      <c r="G1045" s="653" t="n">
        <v>6860.75</v>
      </c>
    </row>
    <row r="1046" customFormat="false" ht="15" hidden="false" customHeight="false" outlineLevel="0" collapsed="false">
      <c r="A1046" s="652" t="n">
        <v>45712</v>
      </c>
      <c r="B1046" s="124" t="s">
        <v>653</v>
      </c>
      <c r="C1046" s="124" t="s">
        <v>393</v>
      </c>
      <c r="F1046" s="653" t="n">
        <v>6860.75</v>
      </c>
      <c r="G1046" s="123" t="n">
        <v>0</v>
      </c>
    </row>
    <row r="1047" customFormat="false" ht="15" hidden="false" customHeight="false" outlineLevel="0" collapsed="false">
      <c r="A1047" s="652" t="n">
        <v>45713</v>
      </c>
      <c r="B1047" s="123" t="n">
        <v>821</v>
      </c>
      <c r="C1047" s="124" t="s">
        <v>264</v>
      </c>
      <c r="D1047" s="124" t="s">
        <v>127</v>
      </c>
      <c r="E1047" s="123" t="n">
        <v>391</v>
      </c>
      <c r="G1047" s="123" t="n">
        <v>391</v>
      </c>
      <c r="H1047" s="123" t="n">
        <v>0</v>
      </c>
      <c r="K1047" s="123" t="n">
        <v>1</v>
      </c>
      <c r="O1047" s="123" t="n">
        <v>1</v>
      </c>
    </row>
    <row r="1048" customFormat="false" ht="15" hidden="false" customHeight="false" outlineLevel="0" collapsed="false">
      <c r="A1048" s="652" t="n">
        <v>45713</v>
      </c>
      <c r="B1048" s="123" t="n">
        <v>822</v>
      </c>
      <c r="C1048" s="124" t="s">
        <v>234</v>
      </c>
      <c r="D1048" s="124" t="s">
        <v>127</v>
      </c>
      <c r="E1048" s="653" t="n">
        <v>155.25</v>
      </c>
      <c r="G1048" s="653" t="n">
        <v>546.25</v>
      </c>
      <c r="H1048" s="123" t="n">
        <v>0</v>
      </c>
      <c r="P1048" s="123" t="n">
        <v>1</v>
      </c>
    </row>
    <row r="1049" customFormat="false" ht="15" hidden="false" customHeight="false" outlineLevel="0" collapsed="false">
      <c r="A1049" s="652" t="n">
        <v>45713</v>
      </c>
      <c r="B1049" s="123" t="n">
        <v>823</v>
      </c>
      <c r="C1049" s="124" t="s">
        <v>178</v>
      </c>
      <c r="D1049" s="124" t="s">
        <v>127</v>
      </c>
      <c r="E1049" s="123" t="n">
        <v>299</v>
      </c>
      <c r="G1049" s="653" t="n">
        <v>845.25</v>
      </c>
      <c r="H1049" s="123" t="n">
        <v>0</v>
      </c>
      <c r="I1049" s="123" t="n">
        <v>1</v>
      </c>
    </row>
    <row r="1050" customFormat="false" ht="15" hidden="false" customHeight="false" outlineLevel="0" collapsed="false">
      <c r="A1050" s="652" t="n">
        <v>45713</v>
      </c>
      <c r="B1050" s="123" t="n">
        <v>824</v>
      </c>
      <c r="C1050" s="124" t="s">
        <v>177</v>
      </c>
      <c r="D1050" s="124" t="s">
        <v>127</v>
      </c>
      <c r="E1050" s="123" t="n">
        <v>598</v>
      </c>
      <c r="G1050" s="653" t="n">
        <v>1443.25</v>
      </c>
      <c r="H1050" s="123" t="n">
        <v>0</v>
      </c>
      <c r="I1050" s="123" t="n">
        <v>2</v>
      </c>
    </row>
    <row r="1051" customFormat="false" ht="15" hidden="false" customHeight="false" outlineLevel="0" collapsed="false">
      <c r="A1051" s="652" t="n">
        <v>45713</v>
      </c>
      <c r="B1051" s="123" t="n">
        <v>825</v>
      </c>
      <c r="C1051" s="124" t="s">
        <v>169</v>
      </c>
      <c r="D1051" s="124" t="s">
        <v>127</v>
      </c>
      <c r="E1051" s="123" t="n">
        <v>989</v>
      </c>
      <c r="G1051" s="653" t="n">
        <v>2432.25</v>
      </c>
      <c r="H1051" s="123" t="n">
        <v>0</v>
      </c>
      <c r="K1051" s="123" t="n">
        <v>2</v>
      </c>
      <c r="O1051" s="123" t="n">
        <v>2</v>
      </c>
    </row>
    <row r="1052" customFormat="false" ht="15" hidden="false" customHeight="false" outlineLevel="0" collapsed="false">
      <c r="A1052" s="652" t="n">
        <v>45713</v>
      </c>
      <c r="B1052" s="123" t="n">
        <v>826</v>
      </c>
      <c r="C1052" s="124" t="s">
        <v>134</v>
      </c>
      <c r="D1052" s="124" t="s">
        <v>127</v>
      </c>
      <c r="E1052" s="653" t="n">
        <v>1920.5</v>
      </c>
      <c r="G1052" s="653" t="n">
        <v>4352.75</v>
      </c>
      <c r="H1052" s="123" t="n">
        <v>0</v>
      </c>
      <c r="K1052" s="123" t="n">
        <v>5</v>
      </c>
      <c r="M1052" s="123" t="n">
        <v>3</v>
      </c>
    </row>
    <row r="1053" customFormat="false" ht="15" hidden="false" customHeight="false" outlineLevel="0" collapsed="false">
      <c r="A1053" s="652" t="n">
        <v>45714</v>
      </c>
      <c r="B1053" s="124" t="s">
        <v>658</v>
      </c>
      <c r="C1053" s="124" t="s">
        <v>393</v>
      </c>
      <c r="F1053" s="123" t="n">
        <v>3519</v>
      </c>
      <c r="G1053" s="653" t="n">
        <v>833.75</v>
      </c>
    </row>
    <row r="1054" customFormat="false" ht="15" hidden="false" customHeight="false" outlineLevel="0" collapsed="false">
      <c r="A1054" s="652" t="n">
        <v>45713</v>
      </c>
      <c r="B1054" s="124" t="s">
        <v>470</v>
      </c>
      <c r="C1054" s="124" t="s">
        <v>393</v>
      </c>
      <c r="F1054" s="653" t="n">
        <v>833.5</v>
      </c>
      <c r="G1054" s="653" t="n">
        <v>0.25</v>
      </c>
    </row>
    <row r="1055" customFormat="false" ht="15" hidden="false" customHeight="false" outlineLevel="0" collapsed="false">
      <c r="A1055" s="652" t="n">
        <v>45714</v>
      </c>
      <c r="B1055" s="123" t="n">
        <v>827</v>
      </c>
      <c r="C1055" s="124" t="s">
        <v>168</v>
      </c>
      <c r="D1055" s="124" t="s">
        <v>127</v>
      </c>
      <c r="E1055" s="123" t="n">
        <v>598</v>
      </c>
      <c r="G1055" s="653" t="n">
        <v>598.25</v>
      </c>
      <c r="I1055" s="123" t="n">
        <v>2</v>
      </c>
    </row>
    <row r="1056" customFormat="false" ht="15" hidden="false" customHeight="false" outlineLevel="0" collapsed="false">
      <c r="A1056" s="652" t="n">
        <v>45714</v>
      </c>
      <c r="B1056" s="123" t="n">
        <v>828</v>
      </c>
      <c r="C1056" s="124" t="s">
        <v>167</v>
      </c>
      <c r="D1056" s="124" t="s">
        <v>127</v>
      </c>
      <c r="E1056" s="123" t="n">
        <v>989</v>
      </c>
      <c r="G1056" s="653" t="n">
        <v>1587.25</v>
      </c>
      <c r="H1056" s="123" t="n">
        <v>-1</v>
      </c>
      <c r="I1056" s="123" t="n">
        <v>2</v>
      </c>
      <c r="K1056" s="123" t="n">
        <v>1</v>
      </c>
      <c r="O1056" s="123" t="n">
        <v>1</v>
      </c>
    </row>
    <row r="1057" customFormat="false" ht="15" hidden="false" customHeight="false" outlineLevel="0" collapsed="false">
      <c r="A1057" s="652" t="n">
        <v>45714</v>
      </c>
      <c r="B1057" s="123" t="n">
        <v>829</v>
      </c>
      <c r="C1057" s="124" t="s">
        <v>166</v>
      </c>
      <c r="D1057" s="124" t="s">
        <v>127</v>
      </c>
      <c r="E1057" s="123" t="n">
        <v>598</v>
      </c>
      <c r="G1057" s="653" t="n">
        <v>2185.25</v>
      </c>
      <c r="H1057" s="123" t="n">
        <v>0</v>
      </c>
      <c r="I1057" s="123" t="n">
        <v>2</v>
      </c>
    </row>
    <row r="1058" customFormat="false" ht="15" hidden="false" customHeight="false" outlineLevel="0" collapsed="false">
      <c r="A1058" s="652" t="n">
        <v>45714</v>
      </c>
      <c r="B1058" s="123" t="n">
        <v>830</v>
      </c>
      <c r="C1058" s="124" t="s">
        <v>153</v>
      </c>
      <c r="D1058" s="124" t="s">
        <v>127</v>
      </c>
      <c r="E1058" s="123" t="n">
        <v>598</v>
      </c>
      <c r="G1058" s="653" t="n">
        <v>2783.25</v>
      </c>
      <c r="H1058" s="123" t="n">
        <v>0</v>
      </c>
      <c r="I1058" s="123" t="n">
        <v>2</v>
      </c>
    </row>
    <row r="1059" customFormat="false" ht="15" hidden="false" customHeight="false" outlineLevel="0" collapsed="false">
      <c r="A1059" s="652" t="n">
        <v>45714</v>
      </c>
      <c r="B1059" s="123" t="n">
        <v>831</v>
      </c>
      <c r="C1059" s="124" t="s">
        <v>166</v>
      </c>
      <c r="D1059" s="124" t="s">
        <v>127</v>
      </c>
      <c r="E1059" s="653" t="n">
        <v>287.5</v>
      </c>
      <c r="G1059" s="653" t="n">
        <v>3070.75</v>
      </c>
      <c r="H1059" s="653" t="n">
        <v>0.5</v>
      </c>
      <c r="L1059" s="123" t="n">
        <v>1</v>
      </c>
    </row>
    <row r="1060" customFormat="false" ht="15" hidden="false" customHeight="false" outlineLevel="0" collapsed="false">
      <c r="A1060" s="652" t="n">
        <v>45714</v>
      </c>
      <c r="B1060" s="123" t="n">
        <v>832</v>
      </c>
      <c r="C1060" s="124" t="s">
        <v>107</v>
      </c>
      <c r="D1060" s="124" t="s">
        <v>105</v>
      </c>
      <c r="E1060" s="123" t="n">
        <v>1196</v>
      </c>
      <c r="G1060" s="653" t="n">
        <v>4266.75</v>
      </c>
      <c r="I1060" s="123" t="n">
        <v>4</v>
      </c>
    </row>
    <row r="1061" customFormat="false" ht="15" hidden="false" customHeight="false" outlineLevel="0" collapsed="false">
      <c r="A1061" s="652" t="n">
        <v>45714</v>
      </c>
      <c r="B1061" s="123" t="n">
        <v>833</v>
      </c>
      <c r="C1061" s="124" t="s">
        <v>108</v>
      </c>
      <c r="D1061" s="124" t="s">
        <v>105</v>
      </c>
      <c r="E1061" s="123" t="n">
        <v>345</v>
      </c>
      <c r="G1061" s="653" t="n">
        <v>4611.75</v>
      </c>
      <c r="K1061" s="123" t="n">
        <v>1</v>
      </c>
    </row>
    <row r="1062" customFormat="false" ht="15" hidden="false" customHeight="false" outlineLevel="0" collapsed="false">
      <c r="A1062" s="652" t="n">
        <v>45714</v>
      </c>
      <c r="B1062" s="123" t="n">
        <v>834</v>
      </c>
      <c r="C1062" s="124" t="s">
        <v>115</v>
      </c>
      <c r="D1062" s="124" t="s">
        <v>105</v>
      </c>
      <c r="E1062" s="123" t="n">
        <v>138</v>
      </c>
      <c r="G1062" s="653" t="n">
        <v>4749.75</v>
      </c>
      <c r="O1062" s="123" t="n">
        <v>1</v>
      </c>
    </row>
    <row r="1063" customFormat="false" ht="15" hidden="false" customHeight="false" outlineLevel="0" collapsed="false">
      <c r="A1063" s="652" t="n">
        <v>45714</v>
      </c>
      <c r="B1063" s="123" t="n">
        <v>835</v>
      </c>
      <c r="C1063" s="124" t="s">
        <v>114</v>
      </c>
      <c r="D1063" s="124" t="s">
        <v>105</v>
      </c>
      <c r="E1063" s="123" t="n">
        <v>598</v>
      </c>
      <c r="G1063" s="653" t="n">
        <v>5347.75</v>
      </c>
      <c r="I1063" s="123" t="n">
        <v>2</v>
      </c>
    </row>
    <row r="1064" customFormat="false" ht="15" hidden="false" customHeight="false" outlineLevel="0" collapsed="false">
      <c r="A1064" s="652" t="n">
        <v>45714</v>
      </c>
      <c r="B1064" s="123" t="n">
        <v>836</v>
      </c>
      <c r="C1064" s="124" t="s">
        <v>110</v>
      </c>
      <c r="D1064" s="124" t="s">
        <v>105</v>
      </c>
      <c r="E1064" s="123" t="n">
        <v>897</v>
      </c>
      <c r="G1064" s="653" t="n">
        <v>6244.75</v>
      </c>
      <c r="I1064" s="123" t="n">
        <v>3</v>
      </c>
    </row>
    <row r="1065" customFormat="false" ht="15" hidden="false" customHeight="false" outlineLevel="0" collapsed="false">
      <c r="A1065" s="652" t="n">
        <v>45714</v>
      </c>
      <c r="B1065" s="123" t="n">
        <v>837</v>
      </c>
      <c r="C1065" s="124" t="s">
        <v>104</v>
      </c>
      <c r="D1065" s="124" t="s">
        <v>105</v>
      </c>
      <c r="E1065" s="653" t="n">
        <v>753.25</v>
      </c>
      <c r="G1065" s="123" t="n">
        <v>6998</v>
      </c>
      <c r="I1065" s="123" t="n">
        <v>2</v>
      </c>
      <c r="P1065" s="123" t="n">
        <v>1</v>
      </c>
    </row>
    <row r="1066" customFormat="false" ht="15" hidden="false" customHeight="false" outlineLevel="0" collapsed="false">
      <c r="A1066" s="652" t="n">
        <v>45714</v>
      </c>
      <c r="B1066" s="123" t="n">
        <v>838</v>
      </c>
      <c r="C1066" s="124" t="s">
        <v>92</v>
      </c>
      <c r="D1066" s="124" t="s">
        <v>75</v>
      </c>
      <c r="E1066" s="123" t="n">
        <v>299</v>
      </c>
      <c r="G1066" s="123" t="n">
        <v>7297</v>
      </c>
      <c r="I1066" s="123" t="n">
        <v>1</v>
      </c>
    </row>
    <row r="1067" customFormat="false" ht="15" hidden="false" customHeight="false" outlineLevel="0" collapsed="false">
      <c r="A1067" s="652" t="n">
        <v>45714</v>
      </c>
      <c r="B1067" s="123" t="n">
        <v>839</v>
      </c>
      <c r="C1067" s="124" t="s">
        <v>92</v>
      </c>
      <c r="D1067" s="124" t="s">
        <v>75</v>
      </c>
      <c r="E1067" s="653" t="n">
        <v>419.75</v>
      </c>
      <c r="G1067" s="653" t="n">
        <v>7716.75</v>
      </c>
      <c r="H1067" s="653" t="n">
        <v>-0.25</v>
      </c>
      <c r="J1067" s="123" t="n">
        <v>1</v>
      </c>
      <c r="M1067" s="123" t="n">
        <v>1</v>
      </c>
    </row>
    <row r="1068" customFormat="false" ht="15" hidden="false" customHeight="false" outlineLevel="0" collapsed="false">
      <c r="A1068" s="652" t="n">
        <v>45714</v>
      </c>
      <c r="B1068" s="123" t="n">
        <v>840</v>
      </c>
      <c r="C1068" s="124" t="s">
        <v>96</v>
      </c>
      <c r="D1068" s="124" t="s">
        <v>75</v>
      </c>
      <c r="E1068" s="123" t="n">
        <v>1426</v>
      </c>
      <c r="G1068" s="653" t="n">
        <v>9142.75</v>
      </c>
      <c r="H1068" s="123" t="n">
        <v>0</v>
      </c>
      <c r="K1068" s="123" t="n">
        <v>4</v>
      </c>
      <c r="M1068" s="123" t="n">
        <v>2</v>
      </c>
    </row>
    <row r="1069" customFormat="false" ht="15" hidden="false" customHeight="false" outlineLevel="0" collapsed="false">
      <c r="A1069" s="652" t="n">
        <v>45714</v>
      </c>
      <c r="B1069" s="123" t="n">
        <v>841</v>
      </c>
      <c r="C1069" s="124" t="s">
        <v>89</v>
      </c>
      <c r="D1069" s="124" t="s">
        <v>75</v>
      </c>
      <c r="E1069" s="653" t="n">
        <v>454.25</v>
      </c>
      <c r="G1069" s="123" t="n">
        <v>9597</v>
      </c>
      <c r="I1069" s="123" t="n">
        <v>1</v>
      </c>
      <c r="P1069" s="123" t="n">
        <v>1</v>
      </c>
    </row>
    <row r="1070" customFormat="false" ht="15" hidden="false" customHeight="false" outlineLevel="0" collapsed="false">
      <c r="A1070" s="652" t="n">
        <v>45714</v>
      </c>
      <c r="B1070" s="123" t="n">
        <v>842</v>
      </c>
      <c r="C1070" s="124" t="s">
        <v>94</v>
      </c>
      <c r="D1070" s="124" t="s">
        <v>75</v>
      </c>
      <c r="E1070" s="123" t="n">
        <v>644</v>
      </c>
      <c r="G1070" s="123" t="n">
        <v>10241</v>
      </c>
      <c r="H1070" s="123" t="n">
        <v>0</v>
      </c>
      <c r="I1070" s="123" t="n">
        <v>1</v>
      </c>
      <c r="K1070" s="123" t="n">
        <v>1</v>
      </c>
    </row>
    <row r="1071" customFormat="false" ht="15" hidden="false" customHeight="false" outlineLevel="0" collapsed="false">
      <c r="A1071" s="652" t="n">
        <v>45714</v>
      </c>
      <c r="B1071" s="123" t="n">
        <v>843</v>
      </c>
      <c r="C1071" s="124" t="s">
        <v>99</v>
      </c>
      <c r="D1071" s="124" t="s">
        <v>75</v>
      </c>
      <c r="E1071" s="123" t="n">
        <v>253</v>
      </c>
      <c r="G1071" s="123" t="n">
        <v>10494</v>
      </c>
      <c r="H1071" s="653" t="n">
        <v>0.5</v>
      </c>
      <c r="K1071" s="123" t="n">
        <v>1</v>
      </c>
    </row>
    <row r="1072" customFormat="false" ht="15" hidden="false" customHeight="false" outlineLevel="0" collapsed="false">
      <c r="A1072" s="652" t="n">
        <v>45694</v>
      </c>
      <c r="B1072" s="123" t="n">
        <v>845</v>
      </c>
      <c r="C1072" s="124" t="s">
        <v>159</v>
      </c>
      <c r="D1072" s="124" t="s">
        <v>127</v>
      </c>
      <c r="E1072" s="123" t="n">
        <v>782</v>
      </c>
      <c r="G1072" s="123" t="n">
        <v>11276</v>
      </c>
      <c r="H1072" s="123" t="n">
        <v>0</v>
      </c>
      <c r="I1072" s="123" t="n">
        <v>1</v>
      </c>
      <c r="K1072" s="123" t="n">
        <v>1</v>
      </c>
      <c r="O1072" s="123" t="n">
        <v>1</v>
      </c>
    </row>
    <row r="1073" customFormat="false" ht="15" hidden="false" customHeight="false" outlineLevel="0" collapsed="false">
      <c r="A1073" s="652" t="n">
        <v>45700</v>
      </c>
      <c r="B1073" s="123" t="n">
        <v>847</v>
      </c>
      <c r="C1073" s="124" t="s">
        <v>176</v>
      </c>
      <c r="D1073" s="124" t="s">
        <v>127</v>
      </c>
      <c r="E1073" s="123" t="n">
        <v>1150</v>
      </c>
      <c r="G1073" s="123" t="n">
        <v>12426</v>
      </c>
      <c r="H1073" s="123" t="n">
        <v>0</v>
      </c>
      <c r="I1073" s="123" t="n">
        <v>3</v>
      </c>
      <c r="K1073" s="123" t="n">
        <v>1</v>
      </c>
    </row>
    <row r="1074" customFormat="false" ht="15" hidden="false" customHeight="false" outlineLevel="0" collapsed="false">
      <c r="A1074" s="652" t="n">
        <v>45697</v>
      </c>
      <c r="B1074" s="123" t="n">
        <v>846</v>
      </c>
      <c r="C1074" s="124" t="s">
        <v>160</v>
      </c>
      <c r="D1074" s="124" t="s">
        <v>127</v>
      </c>
      <c r="E1074" s="123" t="n">
        <v>598</v>
      </c>
      <c r="G1074" s="123" t="n">
        <v>13024</v>
      </c>
      <c r="H1074" s="123" t="n">
        <v>0</v>
      </c>
      <c r="I1074" s="123" t="n">
        <v>2</v>
      </c>
    </row>
    <row r="1075" customFormat="false" ht="15" hidden="false" customHeight="false" outlineLevel="0" collapsed="false">
      <c r="A1075" s="652" t="n">
        <v>45715</v>
      </c>
      <c r="B1075" s="123" t="n">
        <v>844</v>
      </c>
      <c r="C1075" s="124" t="s">
        <v>238</v>
      </c>
      <c r="D1075" s="124" t="s">
        <v>127</v>
      </c>
      <c r="E1075" s="123" t="n">
        <v>598</v>
      </c>
      <c r="G1075" s="123" t="n">
        <v>13622</v>
      </c>
      <c r="I1075" s="123" t="n">
        <v>2</v>
      </c>
    </row>
    <row r="1076" customFormat="false" ht="15" hidden="false" customHeight="false" outlineLevel="0" collapsed="false">
      <c r="A1076" s="652" t="n">
        <v>45714</v>
      </c>
      <c r="B1076" s="124" t="s">
        <v>638</v>
      </c>
      <c r="C1076" s="124" t="s">
        <v>393</v>
      </c>
      <c r="F1076" s="123" t="n">
        <v>1495</v>
      </c>
      <c r="G1076" s="123" t="n">
        <v>12127</v>
      </c>
    </row>
    <row r="1077" customFormat="false" ht="15" hidden="false" customHeight="false" outlineLevel="0" collapsed="false">
      <c r="A1077" s="652" t="n">
        <v>45714</v>
      </c>
      <c r="B1077" s="124" t="s">
        <v>470</v>
      </c>
      <c r="C1077" s="124" t="s">
        <v>393</v>
      </c>
      <c r="F1077" s="123" t="n">
        <v>8727</v>
      </c>
      <c r="G1077" s="123" t="n">
        <v>3400</v>
      </c>
    </row>
    <row r="1078" customFormat="false" ht="15" hidden="false" customHeight="false" outlineLevel="0" collapsed="false">
      <c r="A1078" s="652" t="n">
        <v>45715</v>
      </c>
      <c r="B1078" s="124" t="s">
        <v>653</v>
      </c>
      <c r="C1078" s="124" t="s">
        <v>393</v>
      </c>
      <c r="E1078" s="123" t="n">
        <v>2</v>
      </c>
      <c r="F1078" s="123" t="n">
        <v>3400</v>
      </c>
      <c r="G1078" s="123" t="n">
        <v>2</v>
      </c>
    </row>
    <row r="1079" customFormat="false" ht="15" hidden="false" customHeight="false" outlineLevel="0" collapsed="false">
      <c r="A1079" s="652" t="n">
        <v>45719</v>
      </c>
      <c r="B1079" s="123" t="n">
        <v>848</v>
      </c>
      <c r="C1079" s="124" t="s">
        <v>238</v>
      </c>
      <c r="D1079" s="124" t="s">
        <v>127</v>
      </c>
      <c r="E1079" s="653" t="n">
        <v>454.25</v>
      </c>
      <c r="G1079" s="653" t="n">
        <v>456.25</v>
      </c>
      <c r="H1079" s="653" t="n">
        <v>0.25</v>
      </c>
      <c r="I1079" s="123" t="n">
        <v>1</v>
      </c>
      <c r="P1079" s="123" t="n">
        <v>1</v>
      </c>
    </row>
    <row r="1080" customFormat="false" ht="15" hidden="false" customHeight="false" outlineLevel="0" collapsed="false">
      <c r="A1080" s="652" t="n">
        <v>45719</v>
      </c>
      <c r="B1080" s="123" t="n">
        <v>849</v>
      </c>
      <c r="C1080" s="124" t="s">
        <v>264</v>
      </c>
      <c r="D1080" s="124" t="s">
        <v>127</v>
      </c>
      <c r="E1080" s="653" t="n">
        <v>609.5</v>
      </c>
      <c r="G1080" s="653" t="n">
        <v>1065.75</v>
      </c>
      <c r="H1080" s="123" t="n">
        <v>0</v>
      </c>
      <c r="I1080" s="123" t="n">
        <v>1</v>
      </c>
      <c r="P1080" s="123" t="n">
        <v>2</v>
      </c>
    </row>
    <row r="1081" customFormat="false" ht="15" hidden="false" customHeight="false" outlineLevel="0" collapsed="false">
      <c r="A1081" s="652" t="n">
        <v>45719</v>
      </c>
      <c r="B1081" s="123" t="n">
        <v>850</v>
      </c>
      <c r="C1081" s="124" t="s">
        <v>233</v>
      </c>
      <c r="D1081" s="124" t="s">
        <v>127</v>
      </c>
      <c r="E1081" s="123" t="n">
        <v>138</v>
      </c>
      <c r="G1081" s="653" t="n">
        <v>1203.75</v>
      </c>
      <c r="O1081" s="123" t="n">
        <v>1</v>
      </c>
    </row>
    <row r="1082" customFormat="false" ht="15" hidden="false" customHeight="false" outlineLevel="0" collapsed="false">
      <c r="A1082" s="652" t="n">
        <v>45719</v>
      </c>
      <c r="B1082" s="123" t="n">
        <v>851</v>
      </c>
      <c r="C1082" s="124" t="s">
        <v>237</v>
      </c>
      <c r="D1082" s="124" t="s">
        <v>127</v>
      </c>
      <c r="E1082" s="123" t="n">
        <v>138</v>
      </c>
      <c r="G1082" s="653" t="n">
        <v>1341.75</v>
      </c>
      <c r="H1082" s="123" t="n">
        <v>0</v>
      </c>
      <c r="O1082" s="123" t="n">
        <v>1</v>
      </c>
    </row>
    <row r="1083" customFormat="false" ht="15" hidden="false" customHeight="false" outlineLevel="0" collapsed="false">
      <c r="A1083" s="652" t="n">
        <v>45719</v>
      </c>
      <c r="B1083" s="123" t="n">
        <v>852</v>
      </c>
      <c r="C1083" s="124" t="s">
        <v>178</v>
      </c>
      <c r="D1083" s="124" t="s">
        <v>127</v>
      </c>
      <c r="E1083" s="123" t="n">
        <v>299</v>
      </c>
      <c r="G1083" s="653" t="n">
        <v>1640.75</v>
      </c>
      <c r="H1083" s="123" t="n">
        <v>0</v>
      </c>
      <c r="I1083" s="123" t="n">
        <v>1</v>
      </c>
    </row>
    <row r="1084" customFormat="false" ht="15" hidden="false" customHeight="false" outlineLevel="0" collapsed="false">
      <c r="A1084" s="652" t="n">
        <v>45719</v>
      </c>
      <c r="B1084" s="124" t="s">
        <v>470</v>
      </c>
      <c r="C1084" s="124" t="s">
        <v>393</v>
      </c>
      <c r="F1084" s="123" t="n">
        <v>1640</v>
      </c>
      <c r="G1084" s="653" t="n">
        <v>0.75</v>
      </c>
    </row>
    <row r="1085" customFormat="false" ht="15" hidden="false" customHeight="false" outlineLevel="0" collapsed="false">
      <c r="A1085" s="652" t="n">
        <v>45720</v>
      </c>
      <c r="B1085" s="123" t="n">
        <v>853</v>
      </c>
      <c r="C1085" s="124" t="s">
        <v>295</v>
      </c>
      <c r="D1085" s="124" t="s">
        <v>286</v>
      </c>
      <c r="E1085" s="123" t="n">
        <v>1357</v>
      </c>
      <c r="G1085" s="653" t="n">
        <v>1357.75</v>
      </c>
      <c r="I1085" s="123" t="n">
        <v>1</v>
      </c>
      <c r="L1085" s="123" t="n">
        <v>2</v>
      </c>
      <c r="M1085" s="123" t="n">
        <v>2</v>
      </c>
    </row>
    <row r="1086" customFormat="false" ht="15" hidden="false" customHeight="false" outlineLevel="0" collapsed="false">
      <c r="A1086" s="652" t="n">
        <v>45720</v>
      </c>
      <c r="B1086" s="123" t="n">
        <v>854</v>
      </c>
      <c r="C1086" s="124" t="s">
        <v>292</v>
      </c>
      <c r="D1086" s="124" t="s">
        <v>286</v>
      </c>
      <c r="E1086" s="653" t="n">
        <v>178.25</v>
      </c>
      <c r="G1086" s="123" t="n">
        <v>1536</v>
      </c>
      <c r="J1086" s="123" t="n">
        <v>1</v>
      </c>
    </row>
    <row r="1087" customFormat="false" ht="15" hidden="false" customHeight="false" outlineLevel="0" collapsed="false">
      <c r="A1087" s="652" t="n">
        <v>45720</v>
      </c>
      <c r="B1087" s="123" t="n">
        <v>855</v>
      </c>
      <c r="C1087" s="124" t="s">
        <v>310</v>
      </c>
      <c r="D1087" s="124" t="s">
        <v>301</v>
      </c>
      <c r="E1087" s="123" t="n">
        <v>1265</v>
      </c>
      <c r="G1087" s="123" t="n">
        <v>2801</v>
      </c>
      <c r="H1087" s="123" t="n">
        <v>0</v>
      </c>
      <c r="L1087" s="123" t="n">
        <v>1</v>
      </c>
      <c r="M1087" s="123" t="n">
        <v>5</v>
      </c>
    </row>
    <row r="1088" customFormat="false" ht="15" hidden="false" customHeight="false" outlineLevel="0" collapsed="false">
      <c r="A1088" s="652" t="n">
        <v>45720</v>
      </c>
      <c r="B1088" s="123" t="n">
        <v>856</v>
      </c>
      <c r="C1088" s="124" t="s">
        <v>316</v>
      </c>
      <c r="D1088" s="124" t="s">
        <v>301</v>
      </c>
      <c r="E1088" s="123" t="n">
        <v>437</v>
      </c>
      <c r="G1088" s="123" t="n">
        <v>3238</v>
      </c>
      <c r="I1088" s="123" t="n">
        <v>1</v>
      </c>
      <c r="M1088" s="123" t="n">
        <v>1</v>
      </c>
    </row>
    <row r="1089" customFormat="false" ht="15" hidden="false" customHeight="false" outlineLevel="0" collapsed="false">
      <c r="A1089" s="652" t="n">
        <v>45720</v>
      </c>
      <c r="B1089" s="123" t="n">
        <v>857</v>
      </c>
      <c r="C1089" s="124" t="s">
        <v>309</v>
      </c>
      <c r="D1089" s="124" t="s">
        <v>301</v>
      </c>
      <c r="E1089" s="123" t="n">
        <v>138</v>
      </c>
      <c r="G1089" s="123" t="n">
        <v>3376</v>
      </c>
      <c r="M1089" s="123" t="n">
        <v>1</v>
      </c>
    </row>
    <row r="1090" customFormat="false" ht="15" hidden="false" customHeight="false" outlineLevel="0" collapsed="false">
      <c r="A1090" s="652" t="n">
        <v>45720</v>
      </c>
      <c r="B1090" s="123" t="n">
        <v>858</v>
      </c>
      <c r="C1090" s="124" t="s">
        <v>293</v>
      </c>
      <c r="D1090" s="124" t="s">
        <v>286</v>
      </c>
      <c r="E1090" s="123" t="n">
        <v>299</v>
      </c>
      <c r="G1090" s="123" t="n">
        <v>3675</v>
      </c>
      <c r="I1090" s="123" t="n">
        <v>1</v>
      </c>
    </row>
    <row r="1091" customFormat="false" ht="15" hidden="false" customHeight="false" outlineLevel="0" collapsed="false">
      <c r="A1091" s="652" t="n">
        <v>45720</v>
      </c>
      <c r="B1091" s="123" t="n">
        <v>859</v>
      </c>
      <c r="C1091" s="124" t="s">
        <v>290</v>
      </c>
      <c r="D1091" s="124" t="s">
        <v>286</v>
      </c>
      <c r="E1091" s="123" t="n">
        <v>598</v>
      </c>
      <c r="G1091" s="123" t="n">
        <v>4273</v>
      </c>
      <c r="H1091" s="123" t="n">
        <v>0</v>
      </c>
      <c r="I1091" s="123" t="n">
        <v>2</v>
      </c>
    </row>
    <row r="1092" customFormat="false" ht="15" hidden="false" customHeight="false" outlineLevel="0" collapsed="false">
      <c r="A1092" s="652" t="n">
        <v>45720</v>
      </c>
      <c r="B1092" s="123" t="n">
        <v>860</v>
      </c>
      <c r="C1092" s="124" t="s">
        <v>294</v>
      </c>
      <c r="D1092" s="124" t="s">
        <v>286</v>
      </c>
      <c r="E1092" s="123" t="n">
        <v>299</v>
      </c>
      <c r="G1092" s="123" t="n">
        <v>4572</v>
      </c>
      <c r="I1092" s="123" t="n">
        <v>1</v>
      </c>
    </row>
    <row r="1093" customFormat="false" ht="15" hidden="false" customHeight="false" outlineLevel="0" collapsed="false">
      <c r="A1093" s="652" t="n">
        <v>45720</v>
      </c>
      <c r="B1093" s="123" t="n">
        <v>861</v>
      </c>
      <c r="C1093" s="124" t="s">
        <v>298</v>
      </c>
      <c r="D1093" s="124" t="s">
        <v>286</v>
      </c>
      <c r="E1093" s="123" t="n">
        <v>299</v>
      </c>
      <c r="G1093" s="123" t="n">
        <v>4871</v>
      </c>
      <c r="H1093" s="123" t="n">
        <v>-1</v>
      </c>
      <c r="I1093" s="123" t="n">
        <v>1</v>
      </c>
    </row>
    <row r="1094" customFormat="false" ht="15" hidden="false" customHeight="false" outlineLevel="0" collapsed="false">
      <c r="A1094" s="652" t="n">
        <v>45720</v>
      </c>
      <c r="B1094" s="124" t="s">
        <v>470</v>
      </c>
      <c r="C1094" s="124" t="s">
        <v>393</v>
      </c>
      <c r="F1094" s="123" t="n">
        <v>3593</v>
      </c>
      <c r="G1094" s="123" t="n">
        <v>1278</v>
      </c>
    </row>
    <row r="1095" customFormat="false" ht="15" hidden="false" customHeight="false" outlineLevel="0" collapsed="false">
      <c r="A1095" s="652" t="n">
        <v>45721</v>
      </c>
      <c r="B1095" s="124" t="s">
        <v>653</v>
      </c>
      <c r="C1095" s="124" t="s">
        <v>393</v>
      </c>
      <c r="F1095" s="123" t="n">
        <v>1278</v>
      </c>
      <c r="G1095" s="123" t="n">
        <v>0</v>
      </c>
    </row>
    <row r="1096" customFormat="false" ht="15" hidden="false" customHeight="false" outlineLevel="0" collapsed="false">
      <c r="A1096" s="652" t="n">
        <v>45721</v>
      </c>
      <c r="B1096" s="123" t="n">
        <v>862</v>
      </c>
      <c r="C1096" s="124" t="s">
        <v>234</v>
      </c>
      <c r="D1096" s="124" t="s">
        <v>127</v>
      </c>
      <c r="E1096" s="123" t="n">
        <v>299</v>
      </c>
      <c r="G1096" s="123" t="n">
        <v>299</v>
      </c>
      <c r="H1096" s="123" t="n">
        <v>0</v>
      </c>
      <c r="P1096" s="123" t="n">
        <v>1</v>
      </c>
    </row>
    <row r="1097" customFormat="false" ht="15" hidden="false" customHeight="false" outlineLevel="0" collapsed="false">
      <c r="A1097" s="652" t="n">
        <v>45721</v>
      </c>
      <c r="B1097" s="123" t="n">
        <v>863</v>
      </c>
      <c r="C1097" s="124" t="s">
        <v>233</v>
      </c>
      <c r="D1097" s="124" t="s">
        <v>127</v>
      </c>
      <c r="E1097" s="123" t="n">
        <v>253</v>
      </c>
      <c r="G1097" s="123" t="n">
        <v>552</v>
      </c>
      <c r="H1097" s="123" t="n">
        <v>0</v>
      </c>
      <c r="K1097" s="123" t="n">
        <v>1</v>
      </c>
    </row>
    <row r="1098" customFormat="false" ht="15" hidden="false" customHeight="false" outlineLevel="0" collapsed="false">
      <c r="A1098" s="652" t="n">
        <v>45721</v>
      </c>
      <c r="B1098" s="123" t="n">
        <v>864</v>
      </c>
      <c r="C1098" s="124" t="s">
        <v>260</v>
      </c>
      <c r="D1098" s="124" t="s">
        <v>127</v>
      </c>
      <c r="E1098" s="123" t="n">
        <v>299</v>
      </c>
      <c r="G1098" s="123" t="n">
        <v>851</v>
      </c>
      <c r="H1098" s="123" t="n">
        <v>0</v>
      </c>
      <c r="I1098" s="123" t="n">
        <v>1</v>
      </c>
    </row>
    <row r="1099" customFormat="false" ht="15" hidden="false" customHeight="false" outlineLevel="0" collapsed="false">
      <c r="A1099" s="652" t="n">
        <v>45721</v>
      </c>
      <c r="B1099" s="123" t="n">
        <v>865</v>
      </c>
      <c r="C1099" s="124" t="s">
        <v>236</v>
      </c>
      <c r="D1099" s="124" t="s">
        <v>127</v>
      </c>
      <c r="E1099" s="123" t="n">
        <v>299</v>
      </c>
      <c r="G1099" s="123" t="n">
        <v>1150</v>
      </c>
      <c r="I1099" s="123" t="n">
        <v>1</v>
      </c>
    </row>
    <row r="1100" customFormat="false" ht="15" hidden="false" customHeight="false" outlineLevel="0" collapsed="false">
      <c r="A1100" s="652" t="n">
        <v>45721</v>
      </c>
      <c r="B1100" s="123" t="n">
        <v>866</v>
      </c>
      <c r="C1100" s="124" t="s">
        <v>236</v>
      </c>
      <c r="D1100" s="124" t="s">
        <v>127</v>
      </c>
      <c r="E1100" s="123" t="n">
        <v>299</v>
      </c>
      <c r="G1100" s="123" t="n">
        <v>1449</v>
      </c>
      <c r="H1100" s="123" t="n">
        <v>0</v>
      </c>
      <c r="I1100" s="123" t="n">
        <v>1</v>
      </c>
    </row>
    <row r="1101" customFormat="false" ht="15" hidden="false" customHeight="false" outlineLevel="0" collapsed="false">
      <c r="A1101" s="652" t="n">
        <v>45721</v>
      </c>
      <c r="B1101" s="123" t="n">
        <v>867</v>
      </c>
      <c r="C1101" s="124" t="s">
        <v>236</v>
      </c>
      <c r="D1101" s="124" t="s">
        <v>127</v>
      </c>
      <c r="E1101" s="653" t="n">
        <v>155.25</v>
      </c>
      <c r="G1101" s="653" t="n">
        <v>1604.25</v>
      </c>
      <c r="H1101" s="653" t="n">
        <v>0.25</v>
      </c>
      <c r="P1101" s="123" t="n">
        <v>1</v>
      </c>
    </row>
    <row r="1102" customFormat="false" ht="15" hidden="false" customHeight="false" outlineLevel="0" collapsed="false">
      <c r="A1102" s="652" t="n">
        <v>45721</v>
      </c>
      <c r="B1102" s="123" t="n">
        <v>868</v>
      </c>
      <c r="C1102" s="124" t="s">
        <v>159</v>
      </c>
      <c r="D1102" s="124" t="s">
        <v>127</v>
      </c>
      <c r="E1102" s="653" t="n">
        <v>753.25</v>
      </c>
      <c r="G1102" s="653" t="n">
        <v>2357.5</v>
      </c>
      <c r="H1102" s="653" t="n">
        <v>0.25</v>
      </c>
      <c r="I1102" s="123" t="n">
        <v>2</v>
      </c>
      <c r="P1102" s="123" t="n">
        <v>1</v>
      </c>
    </row>
    <row r="1103" customFormat="false" ht="15" hidden="false" customHeight="false" outlineLevel="0" collapsed="false">
      <c r="A1103" s="652" t="n">
        <v>45721</v>
      </c>
      <c r="B1103" s="124" t="s">
        <v>470</v>
      </c>
      <c r="C1103" s="124" t="s">
        <v>393</v>
      </c>
      <c r="F1103" s="653" t="n">
        <v>1384.5</v>
      </c>
      <c r="G1103" s="123" t="n">
        <v>973</v>
      </c>
    </row>
    <row r="1104" customFormat="false" ht="15" hidden="false" customHeight="false" outlineLevel="0" collapsed="false">
      <c r="A1104" s="652" t="n">
        <v>45721</v>
      </c>
      <c r="B1104" s="124" t="s">
        <v>653</v>
      </c>
      <c r="C1104" s="124" t="s">
        <v>393</v>
      </c>
      <c r="F1104" s="123" t="n">
        <v>973</v>
      </c>
      <c r="G1104" s="123" t="n">
        <v>0</v>
      </c>
    </row>
    <row r="1105" customFormat="false" ht="15" hidden="false" customHeight="false" outlineLevel="0" collapsed="false">
      <c r="A1105" s="652" t="n">
        <v>45721</v>
      </c>
      <c r="B1105" s="123" t="n">
        <v>869</v>
      </c>
      <c r="C1105" s="124" t="s">
        <v>97</v>
      </c>
      <c r="D1105" s="124" t="s">
        <v>75</v>
      </c>
      <c r="E1105" s="123" t="n">
        <v>598</v>
      </c>
      <c r="G1105" s="123" t="n">
        <v>598</v>
      </c>
      <c r="H1105" s="123" t="n">
        <v>0</v>
      </c>
      <c r="I1105" s="123" t="n">
        <v>2</v>
      </c>
    </row>
    <row r="1106" customFormat="false" ht="15" hidden="false" customHeight="false" outlineLevel="0" collapsed="false">
      <c r="A1106" s="652" t="n">
        <v>45721</v>
      </c>
      <c r="B1106" s="123" t="n">
        <v>870</v>
      </c>
      <c r="C1106" s="124" t="s">
        <v>101</v>
      </c>
      <c r="D1106" s="124" t="s">
        <v>75</v>
      </c>
      <c r="E1106" s="653" t="n">
        <v>862.5</v>
      </c>
      <c r="G1106" s="653" t="n">
        <v>1460.5</v>
      </c>
      <c r="I1106" s="123" t="n">
        <v>1</v>
      </c>
      <c r="J1106" s="123" t="n">
        <v>1</v>
      </c>
      <c r="K1106" s="123" t="n">
        <v>1</v>
      </c>
      <c r="P1106" s="123" t="n">
        <v>1</v>
      </c>
    </row>
    <row r="1107" customFormat="false" ht="15" hidden="false" customHeight="false" outlineLevel="0" collapsed="false">
      <c r="A1107" s="652" t="n">
        <v>45721</v>
      </c>
      <c r="B1107" s="123" t="n">
        <v>871</v>
      </c>
      <c r="C1107" s="124" t="s">
        <v>92</v>
      </c>
      <c r="D1107" s="124" t="s">
        <v>75</v>
      </c>
      <c r="E1107" s="123" t="n">
        <v>782</v>
      </c>
      <c r="G1107" s="653" t="n">
        <v>2242.5</v>
      </c>
      <c r="H1107" s="123" t="n">
        <v>0</v>
      </c>
      <c r="I1107" s="123" t="n">
        <v>1</v>
      </c>
      <c r="M1107" s="123" t="n">
        <v>2</v>
      </c>
    </row>
    <row r="1108" customFormat="false" ht="15" hidden="false" customHeight="false" outlineLevel="0" collapsed="false">
      <c r="A1108" s="652" t="n">
        <v>45721</v>
      </c>
      <c r="B1108" s="123" t="n">
        <v>872</v>
      </c>
      <c r="C1108" s="124" t="s">
        <v>104</v>
      </c>
      <c r="D1108" s="124" t="s">
        <v>105</v>
      </c>
      <c r="E1108" s="123" t="n">
        <v>598</v>
      </c>
      <c r="G1108" s="653" t="n">
        <v>2840.5</v>
      </c>
      <c r="I1108" s="123" t="n">
        <v>2</v>
      </c>
    </row>
    <row r="1109" customFormat="false" ht="15" hidden="false" customHeight="false" outlineLevel="0" collapsed="false">
      <c r="A1109" s="652" t="n">
        <v>45721</v>
      </c>
      <c r="B1109" s="123" t="n">
        <v>873</v>
      </c>
      <c r="C1109" s="124" t="s">
        <v>113</v>
      </c>
      <c r="D1109" s="124" t="s">
        <v>105</v>
      </c>
      <c r="E1109" s="123" t="n">
        <v>598</v>
      </c>
      <c r="G1109" s="653" t="n">
        <v>3438.5</v>
      </c>
      <c r="I1109" s="123" t="n">
        <v>2</v>
      </c>
    </row>
    <row r="1110" customFormat="false" ht="15" hidden="false" customHeight="false" outlineLevel="0" collapsed="false">
      <c r="A1110" s="652" t="n">
        <v>45721</v>
      </c>
      <c r="B1110" s="123" t="n">
        <v>874</v>
      </c>
      <c r="C1110" s="124" t="s">
        <v>95</v>
      </c>
      <c r="D1110" s="124" t="s">
        <v>75</v>
      </c>
      <c r="E1110" s="123" t="n">
        <v>4347</v>
      </c>
      <c r="F1110" s="123" t="n">
        <v>4347</v>
      </c>
      <c r="G1110" s="653" t="n">
        <v>3438.5</v>
      </c>
      <c r="K1110" s="123" t="n">
        <v>10</v>
      </c>
      <c r="P1110" s="123" t="n">
        <v>3</v>
      </c>
    </row>
    <row r="1111" customFormat="false" ht="15" hidden="false" customHeight="false" outlineLevel="0" collapsed="false">
      <c r="A1111" s="652" t="n">
        <v>45721</v>
      </c>
      <c r="B1111" s="123" t="n">
        <v>875</v>
      </c>
      <c r="C1111" s="124" t="s">
        <v>96</v>
      </c>
      <c r="D1111" s="124" t="s">
        <v>75</v>
      </c>
      <c r="E1111" s="653" t="n">
        <v>914.25</v>
      </c>
      <c r="G1111" s="653" t="n">
        <v>4352.75</v>
      </c>
      <c r="I1111" s="123" t="n">
        <v>1</v>
      </c>
      <c r="K1111" s="123" t="n">
        <v>2</v>
      </c>
      <c r="P1111" s="123" t="n">
        <v>1</v>
      </c>
    </row>
    <row r="1112" customFormat="false" ht="15" hidden="false" customHeight="false" outlineLevel="0" collapsed="false">
      <c r="A1112" s="652" t="n">
        <v>45721</v>
      </c>
      <c r="B1112" s="123" t="n">
        <v>876</v>
      </c>
      <c r="C1112" s="124" t="s">
        <v>89</v>
      </c>
      <c r="D1112" s="124" t="s">
        <v>75</v>
      </c>
      <c r="E1112" s="123" t="n">
        <v>299</v>
      </c>
      <c r="G1112" s="653" t="n">
        <v>4651.75</v>
      </c>
      <c r="H1112" s="123" t="n">
        <v>-1</v>
      </c>
      <c r="I1112" s="123" t="n">
        <v>1</v>
      </c>
    </row>
    <row r="1113" customFormat="false" ht="15" hidden="false" customHeight="false" outlineLevel="0" collapsed="false">
      <c r="A1113" s="652" t="n">
        <v>45721</v>
      </c>
      <c r="B1113" s="124" t="s">
        <v>470</v>
      </c>
      <c r="C1113" s="124" t="s">
        <v>393</v>
      </c>
      <c r="F1113" s="653" t="n">
        <v>2104.25</v>
      </c>
      <c r="G1113" s="653" t="n">
        <v>2547.5</v>
      </c>
    </row>
    <row r="1114" customFormat="false" ht="15" hidden="false" customHeight="false" outlineLevel="0" collapsed="false">
      <c r="A1114" s="652" t="n">
        <v>45725</v>
      </c>
      <c r="B1114" s="124" t="s">
        <v>653</v>
      </c>
      <c r="C1114" s="124" t="s">
        <v>393</v>
      </c>
      <c r="F1114" s="653" t="n">
        <v>2547.5</v>
      </c>
      <c r="G1114" s="123" t="n">
        <v>0</v>
      </c>
    </row>
    <row r="1115" customFormat="false" ht="15" hidden="false" customHeight="false" outlineLevel="0" collapsed="false">
      <c r="A1115" s="652" t="n">
        <v>45720</v>
      </c>
      <c r="B1115" s="123" t="n">
        <v>877</v>
      </c>
      <c r="C1115" s="124" t="s">
        <v>144</v>
      </c>
      <c r="D1115" s="124" t="s">
        <v>127</v>
      </c>
      <c r="E1115" s="653" t="n">
        <v>1017.75</v>
      </c>
      <c r="G1115" s="653" t="n">
        <v>1017.75</v>
      </c>
      <c r="I1115" s="123" t="n">
        <v>1</v>
      </c>
      <c r="P1115" s="123" t="n">
        <v>3</v>
      </c>
    </row>
    <row r="1116" customFormat="false" ht="15" hidden="false" customHeight="false" outlineLevel="0" collapsed="false">
      <c r="A1116" s="652" t="n">
        <v>45725</v>
      </c>
      <c r="B1116" s="124" t="s">
        <v>470</v>
      </c>
      <c r="C1116" s="124" t="s">
        <v>393</v>
      </c>
      <c r="E1116" s="653" t="n">
        <v>-0.75</v>
      </c>
      <c r="F1116" s="123" t="n">
        <v>1017</v>
      </c>
      <c r="G1116" s="123" t="n">
        <v>0</v>
      </c>
    </row>
    <row r="1117" customFormat="false" ht="15" hidden="false" customHeight="false" outlineLevel="0" collapsed="false">
      <c r="A1117" s="652" t="n">
        <v>45727</v>
      </c>
      <c r="B1117" s="123" t="n">
        <v>878</v>
      </c>
      <c r="C1117" s="124" t="s">
        <v>143</v>
      </c>
      <c r="D1117" s="124" t="s">
        <v>127</v>
      </c>
      <c r="E1117" s="123" t="n">
        <v>598</v>
      </c>
      <c r="G1117" s="123" t="n">
        <v>598</v>
      </c>
      <c r="H1117" s="123" t="n">
        <v>0</v>
      </c>
      <c r="I1117" s="123" t="n">
        <v>2</v>
      </c>
    </row>
    <row r="1118" customFormat="false" ht="15" hidden="false" customHeight="false" outlineLevel="0" collapsed="false">
      <c r="A1118" s="652" t="n">
        <v>45727</v>
      </c>
      <c r="B1118" s="123" t="n">
        <v>879</v>
      </c>
      <c r="C1118" s="124" t="s">
        <v>160</v>
      </c>
      <c r="D1118" s="124" t="s">
        <v>127</v>
      </c>
      <c r="E1118" s="123" t="n">
        <v>598</v>
      </c>
      <c r="G1118" s="123" t="n">
        <v>1196</v>
      </c>
      <c r="H1118" s="123" t="n">
        <v>0</v>
      </c>
      <c r="I1118" s="123" t="n">
        <v>2</v>
      </c>
    </row>
    <row r="1119" customFormat="false" ht="15" hidden="false" customHeight="false" outlineLevel="0" collapsed="false">
      <c r="A1119" s="652" t="n">
        <v>45727</v>
      </c>
      <c r="B1119" s="123" t="n">
        <v>880</v>
      </c>
      <c r="C1119" s="124" t="s">
        <v>150</v>
      </c>
      <c r="D1119" s="124" t="s">
        <v>127</v>
      </c>
      <c r="E1119" s="653" t="n">
        <v>419.75</v>
      </c>
      <c r="G1119" s="653" t="n">
        <v>1615.75</v>
      </c>
      <c r="H1119" s="123" t="n">
        <v>12</v>
      </c>
      <c r="P1119" s="123" t="n">
        <v>2</v>
      </c>
    </row>
    <row r="1120" customFormat="false" ht="15" hidden="false" customHeight="false" outlineLevel="0" collapsed="false">
      <c r="A1120" s="652" t="n">
        <v>45725</v>
      </c>
      <c r="B1120" s="123" t="n">
        <v>881</v>
      </c>
      <c r="C1120" s="124" t="s">
        <v>134</v>
      </c>
      <c r="D1120" s="124" t="s">
        <v>127</v>
      </c>
      <c r="E1120" s="653" t="n">
        <v>1230.5</v>
      </c>
      <c r="G1120" s="653" t="n">
        <v>2846.25</v>
      </c>
      <c r="H1120" s="653" t="n">
        <v>1.5</v>
      </c>
      <c r="I1120" s="123" t="n">
        <v>1</v>
      </c>
      <c r="K1120" s="123" t="n">
        <v>3</v>
      </c>
      <c r="O1120" s="123" t="n">
        <v>1</v>
      </c>
    </row>
    <row r="1121" customFormat="false" ht="15" hidden="false" customHeight="false" outlineLevel="0" collapsed="false">
      <c r="A1121" s="652" t="n">
        <v>45727</v>
      </c>
      <c r="B1121" s="123" t="n">
        <v>882</v>
      </c>
      <c r="C1121" s="124" t="s">
        <v>183</v>
      </c>
      <c r="D1121" s="124" t="s">
        <v>127</v>
      </c>
      <c r="E1121" s="123" t="n">
        <v>529</v>
      </c>
      <c r="G1121" s="653" t="n">
        <v>3375.25</v>
      </c>
      <c r="K1121" s="123" t="n">
        <v>1</v>
      </c>
      <c r="P1121" s="123" t="n">
        <v>1</v>
      </c>
    </row>
    <row r="1122" customFormat="false" ht="15" hidden="false" customHeight="false" outlineLevel="0" collapsed="false">
      <c r="A1122" s="652" t="n">
        <v>45727</v>
      </c>
      <c r="B1122" s="124" t="s">
        <v>470</v>
      </c>
      <c r="C1122" s="124" t="s">
        <v>393</v>
      </c>
      <c r="F1122" s="653" t="n">
        <v>3374.75</v>
      </c>
      <c r="G1122" s="653" t="n">
        <v>0.5</v>
      </c>
    </row>
    <row r="1123" customFormat="false" ht="15" hidden="false" customHeight="false" outlineLevel="0" collapsed="false">
      <c r="A1123" s="652" t="n">
        <v>45728</v>
      </c>
      <c r="B1123" s="123" t="n">
        <v>883</v>
      </c>
      <c r="C1123" s="124" t="s">
        <v>108</v>
      </c>
      <c r="D1123" s="124" t="s">
        <v>105</v>
      </c>
      <c r="E1123" s="123" t="n">
        <v>598</v>
      </c>
      <c r="G1123" s="653" t="n">
        <v>598.5</v>
      </c>
      <c r="I1123" s="123" t="n">
        <v>2</v>
      </c>
    </row>
    <row r="1124" customFormat="false" ht="15" hidden="false" customHeight="false" outlineLevel="0" collapsed="false">
      <c r="A1124" s="652" t="n">
        <v>45728</v>
      </c>
      <c r="B1124" s="123" t="n">
        <v>884</v>
      </c>
      <c r="C1124" s="124" t="s">
        <v>115</v>
      </c>
      <c r="D1124" s="124" t="s">
        <v>105</v>
      </c>
      <c r="E1124" s="123" t="n">
        <v>138</v>
      </c>
      <c r="G1124" s="653" t="n">
        <v>736.5</v>
      </c>
      <c r="O1124" s="123" t="n">
        <v>1</v>
      </c>
    </row>
    <row r="1125" customFormat="false" ht="15" hidden="false" customHeight="false" outlineLevel="0" collapsed="false">
      <c r="A1125" s="652" t="n">
        <v>45728</v>
      </c>
      <c r="B1125" s="123" t="n">
        <v>885</v>
      </c>
      <c r="C1125" s="124" t="s">
        <v>110</v>
      </c>
      <c r="D1125" s="124" t="s">
        <v>105</v>
      </c>
      <c r="E1125" s="123" t="n">
        <v>10465</v>
      </c>
      <c r="G1125" s="653" t="n">
        <v>11201.5</v>
      </c>
      <c r="I1125" s="123" t="n">
        <v>35</v>
      </c>
    </row>
    <row r="1126" customFormat="false" ht="15" hidden="false" customHeight="false" outlineLevel="0" collapsed="false">
      <c r="A1126" s="652" t="n">
        <v>45728</v>
      </c>
      <c r="B1126" s="123" t="n">
        <v>886</v>
      </c>
      <c r="C1126" s="124" t="s">
        <v>104</v>
      </c>
      <c r="D1126" s="124" t="s">
        <v>105</v>
      </c>
      <c r="E1126" s="123" t="n">
        <v>299</v>
      </c>
      <c r="G1126" s="653" t="n">
        <v>11500.5</v>
      </c>
      <c r="H1126" s="123" t="n">
        <v>0</v>
      </c>
      <c r="I1126" s="123" t="n">
        <v>1</v>
      </c>
    </row>
    <row r="1127" customFormat="false" ht="15" hidden="false" customHeight="false" outlineLevel="0" collapsed="false">
      <c r="A1127" s="652" t="n">
        <v>45728</v>
      </c>
      <c r="B1127" s="123" t="n">
        <v>887</v>
      </c>
      <c r="C1127" s="124" t="s">
        <v>96</v>
      </c>
      <c r="D1127" s="124" t="s">
        <v>75</v>
      </c>
      <c r="E1127" s="123" t="n">
        <v>460</v>
      </c>
      <c r="G1127" s="653" t="n">
        <v>11960.5</v>
      </c>
      <c r="H1127" s="123" t="n">
        <v>0</v>
      </c>
      <c r="K1127" s="123" t="n">
        <v>2</v>
      </c>
    </row>
    <row r="1128" customFormat="false" ht="15" hidden="false" customHeight="false" outlineLevel="0" collapsed="false">
      <c r="A1128" s="652" t="n">
        <v>45728</v>
      </c>
      <c r="B1128" s="123" t="n">
        <v>888</v>
      </c>
      <c r="C1128" s="124" t="s">
        <v>77</v>
      </c>
      <c r="D1128" s="124" t="s">
        <v>75</v>
      </c>
      <c r="E1128" s="653" t="n">
        <v>178.25</v>
      </c>
      <c r="G1128" s="653" t="n">
        <v>12138.75</v>
      </c>
      <c r="H1128" s="653" t="n">
        <v>0.25</v>
      </c>
      <c r="J1128" s="123" t="n">
        <v>1</v>
      </c>
    </row>
    <row r="1129" customFormat="false" ht="15" hidden="false" customHeight="false" outlineLevel="0" collapsed="false">
      <c r="A1129" s="652" t="n">
        <v>45731</v>
      </c>
      <c r="B1129" s="123" t="n">
        <v>889</v>
      </c>
      <c r="C1129" s="124" t="s">
        <v>184</v>
      </c>
      <c r="D1129" s="124" t="s">
        <v>127</v>
      </c>
      <c r="E1129" s="653" t="n">
        <v>563.5</v>
      </c>
      <c r="G1129" s="653" t="n">
        <v>12702.25</v>
      </c>
      <c r="H1129" s="123" t="n">
        <v>0</v>
      </c>
      <c r="J1129" s="123" t="n">
        <v>1</v>
      </c>
      <c r="K1129" s="123" t="n">
        <v>1</v>
      </c>
      <c r="N1129" s="123" t="n">
        <v>1</v>
      </c>
    </row>
    <row r="1130" customFormat="false" ht="15" hidden="false" customHeight="false" outlineLevel="0" collapsed="false">
      <c r="A1130" s="652" t="n">
        <v>45731</v>
      </c>
      <c r="B1130" s="123" t="n">
        <v>890</v>
      </c>
      <c r="C1130" s="124" t="s">
        <v>238</v>
      </c>
      <c r="D1130" s="124" t="s">
        <v>127</v>
      </c>
      <c r="E1130" s="123" t="n">
        <v>230</v>
      </c>
      <c r="G1130" s="653" t="n">
        <v>12932.25</v>
      </c>
      <c r="K1130" s="123" t="n">
        <v>1</v>
      </c>
    </row>
    <row r="1131" customFormat="false" ht="15" hidden="false" customHeight="false" outlineLevel="0" collapsed="false">
      <c r="A1131" s="652" t="n">
        <v>45731</v>
      </c>
      <c r="B1131" s="123" t="n">
        <v>891</v>
      </c>
      <c r="C1131" s="124" t="s">
        <v>264</v>
      </c>
      <c r="D1131" s="124" t="s">
        <v>127</v>
      </c>
      <c r="E1131" s="123" t="n">
        <v>598</v>
      </c>
      <c r="G1131" s="653" t="n">
        <v>13530.25</v>
      </c>
      <c r="H1131" s="123" t="n">
        <v>0</v>
      </c>
      <c r="I1131" s="123" t="n">
        <v>2</v>
      </c>
    </row>
    <row r="1132" customFormat="false" ht="15" hidden="false" customHeight="false" outlineLevel="0" collapsed="false">
      <c r="A1132" s="652" t="n">
        <v>45731</v>
      </c>
      <c r="B1132" s="123" t="n">
        <v>892</v>
      </c>
      <c r="C1132" s="124" t="s">
        <v>234</v>
      </c>
      <c r="D1132" s="124" t="s">
        <v>127</v>
      </c>
      <c r="E1132" s="653" t="n">
        <v>155.25</v>
      </c>
      <c r="G1132" s="653" t="n">
        <v>13685.5</v>
      </c>
      <c r="H1132" s="123" t="n">
        <v>0</v>
      </c>
      <c r="P1132" s="123" t="n">
        <v>1</v>
      </c>
    </row>
    <row r="1133" customFormat="false" ht="15" hidden="false" customHeight="false" outlineLevel="0" collapsed="false">
      <c r="A1133" s="652" t="n">
        <v>45731</v>
      </c>
      <c r="B1133" s="123" t="n">
        <v>893</v>
      </c>
      <c r="C1133" s="124" t="s">
        <v>237</v>
      </c>
      <c r="D1133" s="124" t="s">
        <v>127</v>
      </c>
      <c r="E1133" s="123" t="n">
        <v>138</v>
      </c>
      <c r="G1133" s="653" t="n">
        <v>13823.5</v>
      </c>
      <c r="O1133" s="123" t="n">
        <v>1</v>
      </c>
    </row>
    <row r="1134" customFormat="false" ht="15" hidden="false" customHeight="false" outlineLevel="0" collapsed="false">
      <c r="A1134" s="652" t="n">
        <v>45731</v>
      </c>
      <c r="B1134" s="123" t="n">
        <v>894</v>
      </c>
      <c r="C1134" s="124" t="s">
        <v>130</v>
      </c>
      <c r="D1134" s="124" t="s">
        <v>127</v>
      </c>
      <c r="E1134" s="123" t="n">
        <v>299</v>
      </c>
      <c r="G1134" s="653" t="n">
        <v>14122.5</v>
      </c>
      <c r="I1134" s="123" t="n">
        <v>1</v>
      </c>
    </row>
    <row r="1135" customFormat="false" ht="15" hidden="false" customHeight="false" outlineLevel="0" collapsed="false">
      <c r="A1135" s="652" t="n">
        <v>45731</v>
      </c>
      <c r="B1135" s="123" t="n">
        <v>895</v>
      </c>
      <c r="C1135" s="124" t="s">
        <v>260</v>
      </c>
      <c r="D1135" s="124" t="s">
        <v>127</v>
      </c>
      <c r="E1135" s="653" t="n">
        <v>235.75</v>
      </c>
      <c r="G1135" s="653" t="n">
        <v>14358.25</v>
      </c>
      <c r="H1135" s="653" t="n">
        <v>-0.25</v>
      </c>
      <c r="K1135" s="123" t="n">
        <v>1</v>
      </c>
    </row>
    <row r="1136" customFormat="false" ht="15" hidden="false" customHeight="false" outlineLevel="0" collapsed="false">
      <c r="A1136" s="652" t="n">
        <v>45731</v>
      </c>
      <c r="B1136" s="123" t="n">
        <v>896</v>
      </c>
      <c r="C1136" s="124" t="s">
        <v>259</v>
      </c>
      <c r="D1136" s="124" t="s">
        <v>127</v>
      </c>
      <c r="E1136" s="123" t="n">
        <v>1955</v>
      </c>
      <c r="G1136" s="653" t="n">
        <v>16313.25</v>
      </c>
      <c r="H1136" s="123" t="n">
        <v>0</v>
      </c>
      <c r="I1136" s="123" t="n">
        <v>2</v>
      </c>
      <c r="K1136" s="123" t="n">
        <v>4</v>
      </c>
      <c r="O1136" s="123" t="n">
        <v>2</v>
      </c>
    </row>
    <row r="1137" customFormat="false" ht="15" hidden="false" customHeight="false" outlineLevel="0" collapsed="false">
      <c r="A1137" s="652" t="n">
        <v>45731</v>
      </c>
      <c r="B1137" s="124" t="s">
        <v>470</v>
      </c>
      <c r="C1137" s="124" t="s">
        <v>393</v>
      </c>
      <c r="F1137" s="123" t="n">
        <v>2257</v>
      </c>
      <c r="G1137" s="653" t="n">
        <v>14056.25</v>
      </c>
    </row>
    <row r="1138" customFormat="false" ht="15" hidden="false" customHeight="false" outlineLevel="0" collapsed="false">
      <c r="A1138" s="652" t="n">
        <v>45731</v>
      </c>
      <c r="B1138" s="124" t="s">
        <v>657</v>
      </c>
      <c r="C1138" s="124" t="s">
        <v>393</v>
      </c>
      <c r="F1138" s="123" t="n">
        <v>11258</v>
      </c>
      <c r="G1138" s="653" t="n">
        <v>2798.25</v>
      </c>
    </row>
    <row r="1139" customFormat="false" ht="15" hidden="false" customHeight="false" outlineLevel="0" collapsed="false">
      <c r="A1139" s="652" t="n">
        <v>45732</v>
      </c>
      <c r="B1139" s="124" t="s">
        <v>653</v>
      </c>
      <c r="C1139" s="124" t="s">
        <v>393</v>
      </c>
      <c r="E1139" s="653" t="n">
        <v>-0.25</v>
      </c>
      <c r="F1139" s="123" t="n">
        <v>2798</v>
      </c>
      <c r="G1139" s="123" t="n">
        <v>0</v>
      </c>
    </row>
    <row r="1140" customFormat="false" ht="15" hidden="false" customHeight="false" outlineLevel="0" collapsed="false">
      <c r="A1140" s="652" t="n">
        <v>45733</v>
      </c>
      <c r="B1140" s="123" t="n">
        <v>897</v>
      </c>
      <c r="C1140" s="124" t="s">
        <v>244</v>
      </c>
      <c r="D1140" s="124" t="s">
        <v>127</v>
      </c>
      <c r="E1140" s="123" t="n">
        <v>3657</v>
      </c>
      <c r="G1140" s="123" t="n">
        <v>3657</v>
      </c>
      <c r="I1140" s="123" t="n">
        <v>6</v>
      </c>
      <c r="K1140" s="123" t="n">
        <v>5</v>
      </c>
      <c r="P1140" s="123" t="n">
        <v>2</v>
      </c>
    </row>
    <row r="1141" customFormat="false" ht="15" hidden="false" customHeight="false" outlineLevel="0" collapsed="false">
      <c r="A1141" s="652" t="n">
        <v>45733</v>
      </c>
      <c r="B1141" s="123" t="n">
        <v>898</v>
      </c>
      <c r="C1141" s="124" t="s">
        <v>266</v>
      </c>
      <c r="D1141" s="124" t="s">
        <v>127</v>
      </c>
      <c r="E1141" s="123" t="n">
        <v>299</v>
      </c>
      <c r="G1141" s="123" t="n">
        <v>3956</v>
      </c>
      <c r="I1141" s="123" t="n">
        <v>1</v>
      </c>
    </row>
    <row r="1142" customFormat="false" ht="15" hidden="false" customHeight="false" outlineLevel="0" collapsed="false">
      <c r="A1142" s="652" t="n">
        <v>45733</v>
      </c>
      <c r="B1142" s="124" t="s">
        <v>470</v>
      </c>
      <c r="C1142" s="124" t="s">
        <v>393</v>
      </c>
      <c r="F1142" s="123" t="n">
        <v>3956</v>
      </c>
      <c r="G1142" s="123" t="n">
        <v>0</v>
      </c>
    </row>
    <row r="1143" customFormat="false" ht="15" hidden="false" customHeight="false" outlineLevel="0" collapsed="false">
      <c r="A1143" s="652" t="n">
        <v>45733</v>
      </c>
      <c r="B1143" s="123" t="n">
        <v>899</v>
      </c>
      <c r="C1143" s="124" t="s">
        <v>295</v>
      </c>
      <c r="D1143" s="124" t="s">
        <v>286</v>
      </c>
      <c r="E1143" s="653" t="n">
        <v>1207.5</v>
      </c>
      <c r="G1143" s="653" t="n">
        <v>1207.5</v>
      </c>
      <c r="M1143" s="123" t="n">
        <v>4</v>
      </c>
      <c r="O1143" s="123" t="n">
        <v>1</v>
      </c>
    </row>
    <row r="1144" customFormat="false" ht="15" hidden="false" customHeight="false" outlineLevel="0" collapsed="false">
      <c r="A1144" s="652" t="n">
        <v>45733</v>
      </c>
      <c r="B1144" s="123" t="n">
        <v>900</v>
      </c>
      <c r="C1144" s="124" t="s">
        <v>309</v>
      </c>
      <c r="D1144" s="124" t="s">
        <v>301</v>
      </c>
      <c r="E1144" s="653" t="n">
        <v>494.5</v>
      </c>
      <c r="G1144" s="123" t="n">
        <v>1702</v>
      </c>
      <c r="H1144" s="653" t="n">
        <v>-0.5</v>
      </c>
      <c r="K1144" s="123" t="n">
        <v>1</v>
      </c>
      <c r="O1144" s="123" t="n">
        <v>1</v>
      </c>
    </row>
    <row r="1145" customFormat="false" ht="15" hidden="false" customHeight="false" outlineLevel="0" collapsed="false">
      <c r="A1145" s="652" t="n">
        <v>45733</v>
      </c>
      <c r="B1145" s="123" t="n">
        <v>901</v>
      </c>
      <c r="C1145" s="124" t="s">
        <v>312</v>
      </c>
      <c r="D1145" s="124" t="s">
        <v>301</v>
      </c>
      <c r="E1145" s="653" t="n">
        <v>310.5</v>
      </c>
      <c r="G1145" s="653" t="n">
        <v>2012.5</v>
      </c>
      <c r="H1145" s="123" t="n">
        <v>0</v>
      </c>
      <c r="P1145" s="123" t="n">
        <v>2</v>
      </c>
    </row>
    <row r="1146" customFormat="false" ht="15" hidden="false" customHeight="false" outlineLevel="0" collapsed="false">
      <c r="A1146" s="652" t="n">
        <v>45733</v>
      </c>
      <c r="B1146" s="123" t="n">
        <v>902</v>
      </c>
      <c r="C1146" s="124" t="s">
        <v>327</v>
      </c>
      <c r="D1146" s="124" t="s">
        <v>224</v>
      </c>
      <c r="E1146" s="653" t="n">
        <v>1207.5</v>
      </c>
      <c r="G1146" s="123" t="n">
        <v>3220</v>
      </c>
      <c r="H1146" s="653" t="n">
        <v>0.5</v>
      </c>
      <c r="M1146" s="123" t="n">
        <v>5</v>
      </c>
    </row>
    <row r="1147" customFormat="false" ht="15" hidden="false" customHeight="false" outlineLevel="0" collapsed="false">
      <c r="A1147" s="652" t="n">
        <v>45733</v>
      </c>
      <c r="B1147" s="123" t="n">
        <v>903</v>
      </c>
      <c r="C1147" s="124" t="s">
        <v>317</v>
      </c>
      <c r="D1147" s="124" t="s">
        <v>224</v>
      </c>
      <c r="E1147" s="123" t="n">
        <v>805</v>
      </c>
      <c r="G1147" s="123" t="n">
        <v>4025</v>
      </c>
      <c r="I1147" s="123" t="n">
        <v>1</v>
      </c>
      <c r="K1147" s="123" t="n">
        <v>2</v>
      </c>
    </row>
    <row r="1148" customFormat="false" ht="15" hidden="false" customHeight="false" outlineLevel="0" collapsed="false">
      <c r="A1148" s="652" t="n">
        <v>45733</v>
      </c>
      <c r="B1148" s="123" t="n">
        <v>904</v>
      </c>
      <c r="C1148" s="124" t="s">
        <v>319</v>
      </c>
      <c r="D1148" s="124" t="s">
        <v>224</v>
      </c>
      <c r="E1148" s="653" t="n">
        <v>638.25</v>
      </c>
      <c r="G1148" s="653" t="n">
        <v>4663.25</v>
      </c>
      <c r="M1148" s="123" t="n">
        <v>2</v>
      </c>
      <c r="P1148" s="123" t="n">
        <v>1</v>
      </c>
    </row>
    <row r="1149" customFormat="false" ht="15" hidden="false" customHeight="false" outlineLevel="0" collapsed="false">
      <c r="A1149" s="652" t="n">
        <v>45733</v>
      </c>
      <c r="B1149" s="123" t="n">
        <v>905</v>
      </c>
      <c r="C1149" s="124" t="s">
        <v>325</v>
      </c>
      <c r="D1149" s="124" t="s">
        <v>224</v>
      </c>
      <c r="E1149" s="653" t="n">
        <v>2472.5</v>
      </c>
      <c r="G1149" s="653" t="n">
        <v>7135.75</v>
      </c>
      <c r="H1149" s="653" t="n">
        <v>2.5</v>
      </c>
      <c r="I1149" s="123" t="n">
        <v>5</v>
      </c>
      <c r="O1149" s="123" t="n">
        <v>5</v>
      </c>
    </row>
    <row r="1150" customFormat="false" ht="15" hidden="false" customHeight="false" outlineLevel="0" collapsed="false">
      <c r="A1150" s="652" t="n">
        <v>45733</v>
      </c>
      <c r="B1150" s="123" t="n">
        <v>906</v>
      </c>
      <c r="C1150" s="124" t="s">
        <v>290</v>
      </c>
      <c r="D1150" s="124" t="s">
        <v>286</v>
      </c>
      <c r="E1150" s="123" t="n">
        <v>598</v>
      </c>
      <c r="G1150" s="653" t="n">
        <v>7733.75</v>
      </c>
      <c r="H1150" s="123" t="n">
        <v>0</v>
      </c>
      <c r="I1150" s="123" t="n">
        <v>2</v>
      </c>
    </row>
    <row r="1151" customFormat="false" ht="15" hidden="false" customHeight="false" outlineLevel="0" collapsed="false">
      <c r="A1151" s="652" t="n">
        <v>45733</v>
      </c>
      <c r="B1151" s="123" t="n">
        <v>907</v>
      </c>
      <c r="C1151" s="124" t="s">
        <v>295</v>
      </c>
      <c r="D1151" s="124" t="s">
        <v>286</v>
      </c>
      <c r="E1151" s="653" t="n">
        <v>287.5</v>
      </c>
      <c r="G1151" s="653" t="n">
        <v>8021.25</v>
      </c>
      <c r="H1151" s="653" t="n">
        <v>0.5</v>
      </c>
      <c r="L1151" s="123" t="n">
        <v>1</v>
      </c>
    </row>
    <row r="1152" customFormat="false" ht="15" hidden="false" customHeight="false" outlineLevel="0" collapsed="false">
      <c r="A1152" s="652" t="n">
        <v>45733</v>
      </c>
      <c r="B1152" s="123" t="n">
        <v>908</v>
      </c>
      <c r="C1152" s="124" t="s">
        <v>298</v>
      </c>
      <c r="D1152" s="124" t="s">
        <v>286</v>
      </c>
      <c r="E1152" s="123" t="n">
        <v>805</v>
      </c>
      <c r="G1152" s="653" t="n">
        <v>8826.25</v>
      </c>
      <c r="H1152" s="123" t="n">
        <v>0</v>
      </c>
      <c r="I1152" s="123" t="n">
        <v>1</v>
      </c>
      <c r="K1152" s="123" t="n">
        <v>2</v>
      </c>
    </row>
    <row r="1153" customFormat="false" ht="15" hidden="false" customHeight="false" outlineLevel="0" collapsed="false">
      <c r="A1153" s="652" t="n">
        <v>45733</v>
      </c>
      <c r="B1153" s="123" t="n">
        <v>909</v>
      </c>
      <c r="C1153" s="124" t="s">
        <v>184</v>
      </c>
      <c r="D1153" s="124" t="s">
        <v>127</v>
      </c>
      <c r="E1153" s="653" t="n">
        <v>454.25</v>
      </c>
      <c r="G1153" s="653" t="n">
        <v>9280.5</v>
      </c>
      <c r="H1153" s="653" t="n">
        <v>-0.25</v>
      </c>
      <c r="I1153" s="123" t="n">
        <v>1</v>
      </c>
      <c r="P1153" s="123" t="n">
        <v>1</v>
      </c>
    </row>
    <row r="1154" customFormat="false" ht="15" hidden="false" customHeight="false" outlineLevel="0" collapsed="false">
      <c r="A1154" s="652" t="n">
        <v>45733</v>
      </c>
      <c r="B1154" s="124" t="s">
        <v>470</v>
      </c>
      <c r="C1154" s="124" t="s">
        <v>393</v>
      </c>
      <c r="F1154" s="653" t="n">
        <v>5483.25</v>
      </c>
      <c r="G1154" s="653" t="n">
        <v>3797.25</v>
      </c>
    </row>
    <row r="1155" customFormat="false" ht="15" hidden="false" customHeight="false" outlineLevel="0" collapsed="false">
      <c r="A1155" s="652" t="n">
        <v>45733</v>
      </c>
      <c r="B1155" s="124" t="s">
        <v>653</v>
      </c>
      <c r="C1155" s="124" t="s">
        <v>393</v>
      </c>
      <c r="F1155" s="123" t="n">
        <v>3797</v>
      </c>
      <c r="G1155" s="653" t="n">
        <v>0.25</v>
      </c>
    </row>
    <row r="1156" customFormat="false" ht="15" hidden="false" customHeight="false" outlineLevel="0" collapsed="false">
      <c r="A1156" s="652" t="n">
        <v>45734</v>
      </c>
      <c r="B1156" s="123" t="n">
        <v>910</v>
      </c>
      <c r="C1156" s="124" t="s">
        <v>294</v>
      </c>
      <c r="D1156" s="124" t="s">
        <v>286</v>
      </c>
      <c r="E1156" s="653" t="n">
        <v>241.5</v>
      </c>
      <c r="G1156" s="653" t="n">
        <v>241.75</v>
      </c>
      <c r="O1156" s="123" t="n">
        <v>1</v>
      </c>
    </row>
    <row r="1157" customFormat="false" ht="15" hidden="false" customHeight="false" outlineLevel="0" collapsed="false">
      <c r="A1157" s="652" t="n">
        <v>45734</v>
      </c>
      <c r="B1157" s="123" t="n">
        <v>911</v>
      </c>
      <c r="C1157" s="124" t="s">
        <v>290</v>
      </c>
      <c r="D1157" s="124" t="s">
        <v>286</v>
      </c>
      <c r="E1157" s="123" t="n">
        <v>253</v>
      </c>
      <c r="G1157" s="653" t="n">
        <v>494.75</v>
      </c>
      <c r="K1157" s="123" t="n">
        <v>1</v>
      </c>
    </row>
    <row r="1158" customFormat="false" ht="15" hidden="false" customHeight="false" outlineLevel="0" collapsed="false">
      <c r="A1158" s="652" t="n">
        <v>45734</v>
      </c>
      <c r="B1158" s="123" t="n">
        <v>912</v>
      </c>
      <c r="C1158" s="124" t="s">
        <v>157</v>
      </c>
      <c r="D1158" s="124" t="s">
        <v>127</v>
      </c>
      <c r="E1158" s="653" t="n">
        <v>241.5</v>
      </c>
      <c r="G1158" s="653" t="n">
        <v>736.25</v>
      </c>
      <c r="H1158" s="123" t="n">
        <v>0</v>
      </c>
      <c r="O1158" s="123" t="n">
        <v>1</v>
      </c>
    </row>
    <row r="1159" customFormat="false" ht="15" hidden="false" customHeight="false" outlineLevel="0" collapsed="false">
      <c r="A1159" s="652" t="n">
        <v>45734</v>
      </c>
      <c r="B1159" s="123" t="n">
        <v>914</v>
      </c>
      <c r="C1159" s="124" t="s">
        <v>178</v>
      </c>
      <c r="D1159" s="124" t="s">
        <v>127</v>
      </c>
      <c r="E1159" s="123" t="n">
        <v>299</v>
      </c>
      <c r="G1159" s="653" t="n">
        <v>1035.25</v>
      </c>
      <c r="H1159" s="123" t="n">
        <v>-1</v>
      </c>
      <c r="I1159" s="123" t="n">
        <v>1</v>
      </c>
    </row>
    <row r="1160" customFormat="false" ht="15" hidden="false" customHeight="false" outlineLevel="0" collapsed="false">
      <c r="A1160" s="652" t="n">
        <v>45734</v>
      </c>
      <c r="B1160" s="123" t="n">
        <v>915</v>
      </c>
      <c r="C1160" s="124" t="s">
        <v>275</v>
      </c>
      <c r="D1160" s="124" t="s">
        <v>127</v>
      </c>
      <c r="E1160" s="123" t="n">
        <v>529</v>
      </c>
      <c r="G1160" s="653" t="n">
        <v>1564.25</v>
      </c>
      <c r="H1160" s="123" t="n">
        <v>0</v>
      </c>
      <c r="I1160" s="123" t="n">
        <v>1</v>
      </c>
      <c r="K1160" s="123" t="n">
        <v>1</v>
      </c>
    </row>
    <row r="1161" customFormat="false" ht="15" hidden="false" customHeight="false" outlineLevel="0" collapsed="false">
      <c r="A1161" s="652" t="n">
        <v>45734</v>
      </c>
      <c r="B1161" s="123" t="n">
        <v>913</v>
      </c>
      <c r="C1161" s="124" t="s">
        <v>179</v>
      </c>
      <c r="D1161" s="124" t="s">
        <v>127</v>
      </c>
      <c r="E1161" s="123" t="n">
        <v>299</v>
      </c>
      <c r="G1161" s="653" t="n">
        <v>1863.25</v>
      </c>
      <c r="H1161" s="123" t="n">
        <v>0</v>
      </c>
      <c r="I1161" s="123" t="n">
        <v>1</v>
      </c>
    </row>
    <row r="1162" customFormat="false" ht="15" hidden="false" customHeight="false" outlineLevel="0" collapsed="false">
      <c r="A1162" s="652" t="n">
        <v>45734</v>
      </c>
      <c r="B1162" s="124" t="s">
        <v>653</v>
      </c>
      <c r="C1162" s="124" t="s">
        <v>393</v>
      </c>
      <c r="F1162" s="123" t="n">
        <v>351</v>
      </c>
      <c r="G1162" s="653" t="n">
        <v>1512.25</v>
      </c>
    </row>
    <row r="1163" customFormat="false" ht="15" hidden="false" customHeight="false" outlineLevel="0" collapsed="false">
      <c r="A1163" s="652" t="n">
        <v>45734</v>
      </c>
      <c r="B1163" s="124" t="s">
        <v>653</v>
      </c>
      <c r="C1163" s="124" t="s">
        <v>393</v>
      </c>
      <c r="F1163" s="123" t="n">
        <v>1512</v>
      </c>
      <c r="G1163" s="653" t="n">
        <v>0.25</v>
      </c>
    </row>
    <row r="1164" customFormat="false" ht="15" hidden="false" customHeight="false" outlineLevel="0" collapsed="false">
      <c r="A1164" s="652" t="n">
        <v>45735</v>
      </c>
      <c r="B1164" s="123" t="n">
        <v>916</v>
      </c>
      <c r="C1164" s="124" t="s">
        <v>169</v>
      </c>
      <c r="D1164" s="124" t="s">
        <v>127</v>
      </c>
      <c r="E1164" s="653" t="n">
        <v>994.75</v>
      </c>
      <c r="G1164" s="123" t="n">
        <v>995</v>
      </c>
      <c r="H1164" s="123" t="n">
        <v>0</v>
      </c>
      <c r="I1164" s="123" t="n">
        <v>2</v>
      </c>
      <c r="O1164" s="123" t="n">
        <v>1</v>
      </c>
      <c r="P1164" s="123" t="n">
        <v>1</v>
      </c>
    </row>
    <row r="1165" customFormat="false" ht="15" hidden="false" customHeight="false" outlineLevel="0" collapsed="false">
      <c r="A1165" s="652" t="n">
        <v>45735</v>
      </c>
      <c r="B1165" s="123" t="n">
        <v>917</v>
      </c>
      <c r="C1165" s="124" t="s">
        <v>168</v>
      </c>
      <c r="D1165" s="124" t="s">
        <v>127</v>
      </c>
      <c r="E1165" s="123" t="n">
        <v>598</v>
      </c>
      <c r="G1165" s="123" t="n">
        <v>1593</v>
      </c>
      <c r="H1165" s="123" t="n">
        <v>0</v>
      </c>
      <c r="I1165" s="123" t="n">
        <v>2</v>
      </c>
    </row>
    <row r="1166" customFormat="false" ht="15" hidden="false" customHeight="false" outlineLevel="0" collapsed="false">
      <c r="A1166" s="652" t="n">
        <v>45735</v>
      </c>
      <c r="B1166" s="123" t="n">
        <v>918</v>
      </c>
      <c r="C1166" s="124" t="s">
        <v>157</v>
      </c>
      <c r="D1166" s="124" t="s">
        <v>127</v>
      </c>
      <c r="E1166" s="123" t="n">
        <v>299</v>
      </c>
      <c r="G1166" s="123" t="n">
        <v>1892</v>
      </c>
      <c r="H1166" s="123" t="n">
        <v>0</v>
      </c>
      <c r="I1166" s="123" t="n">
        <v>1</v>
      </c>
    </row>
    <row r="1167" customFormat="false" ht="15" hidden="false" customHeight="false" outlineLevel="0" collapsed="false">
      <c r="A1167" s="652" t="n">
        <v>45735</v>
      </c>
      <c r="B1167" s="123" t="n">
        <v>919</v>
      </c>
      <c r="C1167" s="124" t="s">
        <v>179</v>
      </c>
      <c r="D1167" s="124" t="s">
        <v>127</v>
      </c>
      <c r="E1167" s="123" t="n">
        <v>299</v>
      </c>
      <c r="G1167" s="123" t="n">
        <v>2191</v>
      </c>
      <c r="I1167" s="123" t="n">
        <v>1</v>
      </c>
    </row>
    <row r="1168" customFormat="false" ht="15" hidden="false" customHeight="false" outlineLevel="0" collapsed="false">
      <c r="A1168" s="652" t="n">
        <v>45735</v>
      </c>
      <c r="B1168" s="123" t="n">
        <v>920</v>
      </c>
      <c r="C1168" s="124" t="s">
        <v>178</v>
      </c>
      <c r="D1168" s="124" t="s">
        <v>127</v>
      </c>
      <c r="E1168" s="123" t="n">
        <v>598</v>
      </c>
      <c r="G1168" s="123" t="n">
        <v>2789</v>
      </c>
      <c r="H1168" s="123" t="n">
        <v>0</v>
      </c>
      <c r="I1168" s="123" t="n">
        <v>2</v>
      </c>
    </row>
    <row r="1169" customFormat="false" ht="15" hidden="false" customHeight="false" outlineLevel="0" collapsed="false">
      <c r="A1169" s="652" t="n">
        <v>45735</v>
      </c>
      <c r="B1169" s="123" t="n">
        <v>921</v>
      </c>
      <c r="C1169" s="124" t="s">
        <v>177</v>
      </c>
      <c r="D1169" s="124" t="s">
        <v>127</v>
      </c>
      <c r="E1169" s="653" t="n">
        <v>241.5</v>
      </c>
      <c r="G1169" s="653" t="n">
        <v>3030.5</v>
      </c>
      <c r="H1169" s="123" t="n">
        <v>0</v>
      </c>
      <c r="M1169" s="123" t="n">
        <v>1</v>
      </c>
    </row>
    <row r="1170" customFormat="false" ht="15" hidden="false" customHeight="false" outlineLevel="0" collapsed="false">
      <c r="A1170" s="652" t="n">
        <v>45735</v>
      </c>
      <c r="B1170" s="123" t="n">
        <v>922</v>
      </c>
      <c r="C1170" s="124" t="s">
        <v>177</v>
      </c>
      <c r="D1170" s="124" t="s">
        <v>127</v>
      </c>
      <c r="E1170" s="123" t="n">
        <v>155</v>
      </c>
      <c r="G1170" s="653" t="n">
        <v>3185.5</v>
      </c>
      <c r="H1170" s="653" t="n">
        <v>-0.25</v>
      </c>
      <c r="P1170" s="123" t="n">
        <v>1</v>
      </c>
    </row>
    <row r="1171" customFormat="false" ht="15" hidden="false" customHeight="false" outlineLevel="0" collapsed="false">
      <c r="A1171" s="652" t="n">
        <v>45736</v>
      </c>
      <c r="B1171" s="123" t="n">
        <v>923</v>
      </c>
      <c r="C1171" s="124" t="s">
        <v>113</v>
      </c>
      <c r="D1171" s="124" t="s">
        <v>105</v>
      </c>
      <c r="E1171" s="123" t="n">
        <v>1794</v>
      </c>
      <c r="G1171" s="653" t="n">
        <v>4979.5</v>
      </c>
      <c r="H1171" s="123" t="n">
        <v>0</v>
      </c>
      <c r="I1171" s="123" t="n">
        <v>6</v>
      </c>
    </row>
    <row r="1172" customFormat="false" ht="15" hidden="false" customHeight="false" outlineLevel="0" collapsed="false">
      <c r="A1172" s="652" t="n">
        <v>45736</v>
      </c>
      <c r="B1172" s="123" t="n">
        <v>924</v>
      </c>
      <c r="C1172" s="124" t="s">
        <v>104</v>
      </c>
      <c r="D1172" s="124" t="s">
        <v>105</v>
      </c>
      <c r="E1172" s="123" t="n">
        <v>897</v>
      </c>
      <c r="G1172" s="653" t="n">
        <v>5876.5</v>
      </c>
      <c r="I1172" s="123" t="n">
        <v>3</v>
      </c>
    </row>
    <row r="1173" customFormat="false" ht="15" hidden="false" customHeight="false" outlineLevel="0" collapsed="false">
      <c r="A1173" s="652" t="n">
        <v>45736</v>
      </c>
      <c r="B1173" s="123" t="n">
        <v>925</v>
      </c>
      <c r="C1173" s="124" t="s">
        <v>104</v>
      </c>
      <c r="D1173" s="124" t="s">
        <v>105</v>
      </c>
      <c r="E1173" s="123" t="n">
        <v>299</v>
      </c>
      <c r="G1173" s="653" t="n">
        <v>6175.5</v>
      </c>
      <c r="I1173" s="123" t="n">
        <v>1</v>
      </c>
    </row>
    <row r="1174" customFormat="false" ht="15" hidden="false" customHeight="false" outlineLevel="0" collapsed="false">
      <c r="A1174" s="652" t="n">
        <v>45736</v>
      </c>
      <c r="B1174" s="123" t="n">
        <v>926</v>
      </c>
      <c r="C1174" s="124" t="s">
        <v>107</v>
      </c>
      <c r="D1174" s="124" t="s">
        <v>105</v>
      </c>
      <c r="E1174" s="123" t="n">
        <v>1495</v>
      </c>
      <c r="G1174" s="653" t="n">
        <v>7670.5</v>
      </c>
      <c r="I1174" s="123" t="n">
        <v>5</v>
      </c>
    </row>
    <row r="1175" customFormat="false" ht="15" hidden="false" customHeight="false" outlineLevel="0" collapsed="false">
      <c r="A1175" s="652" t="n">
        <v>45736</v>
      </c>
      <c r="B1175" s="123" t="n">
        <v>927</v>
      </c>
      <c r="C1175" s="124" t="s">
        <v>108</v>
      </c>
      <c r="D1175" s="124" t="s">
        <v>105</v>
      </c>
      <c r="E1175" s="123" t="n">
        <v>1196</v>
      </c>
      <c r="G1175" s="653" t="n">
        <v>8866.5</v>
      </c>
      <c r="H1175" s="123" t="n">
        <v>0</v>
      </c>
      <c r="I1175" s="123" t="n">
        <v>4</v>
      </c>
    </row>
    <row r="1176" customFormat="false" ht="15" hidden="false" customHeight="false" outlineLevel="0" collapsed="false">
      <c r="A1176" s="652" t="n">
        <v>45736</v>
      </c>
      <c r="B1176" s="123" t="n">
        <v>928</v>
      </c>
      <c r="C1176" s="124" t="s">
        <v>109</v>
      </c>
      <c r="D1176" s="124" t="s">
        <v>105</v>
      </c>
      <c r="E1176" s="653" t="n">
        <v>1138.5</v>
      </c>
      <c r="G1176" s="123" t="n">
        <v>10005</v>
      </c>
      <c r="I1176" s="123" t="n">
        <v>2</v>
      </c>
      <c r="K1176" s="123" t="n">
        <v>1</v>
      </c>
      <c r="L1176" s="123" t="n">
        <v>1</v>
      </c>
    </row>
    <row r="1177" customFormat="false" ht="15" hidden="false" customHeight="false" outlineLevel="0" collapsed="false">
      <c r="A1177" s="652" t="n">
        <v>45736</v>
      </c>
      <c r="B1177" s="123" t="n">
        <v>929</v>
      </c>
      <c r="C1177" s="124" t="s">
        <v>115</v>
      </c>
      <c r="D1177" s="124" t="s">
        <v>105</v>
      </c>
      <c r="E1177" s="123" t="n">
        <v>299</v>
      </c>
      <c r="G1177" s="123" t="n">
        <v>10304</v>
      </c>
      <c r="H1177" s="123" t="n">
        <v>0</v>
      </c>
      <c r="I1177" s="123" t="n">
        <v>1</v>
      </c>
    </row>
    <row r="1178" customFormat="false" ht="15" hidden="false" customHeight="false" outlineLevel="0" collapsed="false">
      <c r="A1178" s="652" t="n">
        <v>45736</v>
      </c>
      <c r="B1178" s="123" t="n">
        <v>930</v>
      </c>
      <c r="C1178" s="124" t="s">
        <v>92</v>
      </c>
      <c r="D1178" s="124" t="s">
        <v>75</v>
      </c>
      <c r="E1178" s="653" t="n">
        <v>241.5</v>
      </c>
      <c r="G1178" s="653" t="n">
        <v>10545.5</v>
      </c>
      <c r="H1178" s="123" t="n">
        <v>0</v>
      </c>
      <c r="M1178" s="123" t="n">
        <v>1</v>
      </c>
    </row>
    <row r="1179" customFormat="false" ht="15" hidden="false" customHeight="false" outlineLevel="0" collapsed="false">
      <c r="A1179" s="652" t="n">
        <v>45736</v>
      </c>
      <c r="B1179" s="123" t="n">
        <v>931</v>
      </c>
      <c r="C1179" s="124" t="s">
        <v>97</v>
      </c>
      <c r="D1179" s="124" t="s">
        <v>75</v>
      </c>
      <c r="E1179" s="123" t="n">
        <v>598</v>
      </c>
      <c r="G1179" s="653" t="n">
        <v>11143.5</v>
      </c>
      <c r="H1179" s="123" t="n">
        <v>0</v>
      </c>
      <c r="I1179" s="123" t="n">
        <v>2</v>
      </c>
    </row>
    <row r="1180" customFormat="false" ht="15" hidden="false" customHeight="false" outlineLevel="0" collapsed="false">
      <c r="A1180" s="652" t="n">
        <v>45736</v>
      </c>
      <c r="B1180" s="123" t="n">
        <v>932</v>
      </c>
      <c r="C1180" s="124" t="s">
        <v>89</v>
      </c>
      <c r="D1180" s="124" t="s">
        <v>75</v>
      </c>
      <c r="E1180" s="123" t="n">
        <v>1541</v>
      </c>
      <c r="G1180" s="653" t="n">
        <v>12684.5</v>
      </c>
      <c r="I1180" s="123" t="n">
        <v>2</v>
      </c>
      <c r="K1180" s="123" t="n">
        <v>2</v>
      </c>
      <c r="M1180" s="123" t="n">
        <v>2</v>
      </c>
    </row>
    <row r="1181" customFormat="false" ht="15" hidden="false" customHeight="false" outlineLevel="0" collapsed="false">
      <c r="A1181" s="652" t="n">
        <v>45736</v>
      </c>
      <c r="B1181" s="123" t="n">
        <v>933</v>
      </c>
      <c r="C1181" s="124" t="s">
        <v>94</v>
      </c>
      <c r="D1181" s="124" t="s">
        <v>75</v>
      </c>
      <c r="E1181" s="123" t="n">
        <v>782</v>
      </c>
      <c r="G1181" s="653" t="n">
        <v>13466.5</v>
      </c>
      <c r="H1181" s="123" t="n">
        <v>0</v>
      </c>
      <c r="I1181" s="123" t="n">
        <v>1</v>
      </c>
      <c r="M1181" s="123" t="n">
        <v>2</v>
      </c>
    </row>
    <row r="1182" customFormat="false" ht="15" hidden="false" customHeight="false" outlineLevel="0" collapsed="false">
      <c r="A1182" s="652" t="n">
        <v>45736</v>
      </c>
      <c r="B1182" s="123" t="n">
        <v>934</v>
      </c>
      <c r="C1182" s="124" t="s">
        <v>325</v>
      </c>
      <c r="D1182" s="124" t="s">
        <v>224</v>
      </c>
      <c r="E1182" s="123" t="n">
        <v>2185</v>
      </c>
      <c r="G1182" s="653" t="n">
        <v>15651.5</v>
      </c>
      <c r="K1182" s="123" t="n">
        <v>9</v>
      </c>
    </row>
    <row r="1183" customFormat="false" ht="15" hidden="false" customHeight="false" outlineLevel="0" collapsed="false">
      <c r="A1183" s="652" t="n">
        <v>45736</v>
      </c>
      <c r="B1183" s="123" t="n">
        <v>935</v>
      </c>
      <c r="C1183" s="124" t="s">
        <v>327</v>
      </c>
      <c r="D1183" s="124" t="s">
        <v>224</v>
      </c>
      <c r="E1183" s="653" t="n">
        <v>287.5</v>
      </c>
      <c r="G1183" s="123" t="n">
        <v>15939</v>
      </c>
      <c r="H1183" s="123" t="n">
        <v>0</v>
      </c>
      <c r="L1183" s="123" t="n">
        <v>1</v>
      </c>
    </row>
    <row r="1184" customFormat="false" ht="15" hidden="false" customHeight="false" outlineLevel="0" collapsed="false">
      <c r="A1184" s="652" t="n">
        <v>45736</v>
      </c>
      <c r="B1184" s="123" t="n">
        <v>936</v>
      </c>
      <c r="C1184" s="124" t="s">
        <v>298</v>
      </c>
      <c r="D1184" s="124" t="s">
        <v>286</v>
      </c>
      <c r="E1184" s="123" t="n">
        <v>759</v>
      </c>
      <c r="G1184" s="123" t="n">
        <v>16698</v>
      </c>
      <c r="H1184" s="123" t="n">
        <v>0</v>
      </c>
      <c r="K1184" s="123" t="n">
        <v>3</v>
      </c>
    </row>
    <row r="1185" customFormat="false" ht="15" hidden="false" customHeight="false" outlineLevel="0" collapsed="false">
      <c r="A1185" s="652" t="n">
        <v>45739</v>
      </c>
      <c r="B1185" s="123" t="n">
        <v>937</v>
      </c>
      <c r="C1185" s="124" t="s">
        <v>153</v>
      </c>
      <c r="D1185" s="124" t="s">
        <v>127</v>
      </c>
      <c r="E1185" s="123" t="n">
        <v>598</v>
      </c>
      <c r="G1185" s="123" t="n">
        <v>17296</v>
      </c>
      <c r="H1185" s="123" t="n">
        <v>0</v>
      </c>
      <c r="I1185" s="123" t="n">
        <v>2</v>
      </c>
    </row>
    <row r="1186" customFormat="false" ht="15" hidden="false" customHeight="false" outlineLevel="0" collapsed="false">
      <c r="A1186" s="652" t="n">
        <v>45739</v>
      </c>
      <c r="B1186" s="123" t="n">
        <v>938</v>
      </c>
      <c r="C1186" s="124" t="s">
        <v>226</v>
      </c>
      <c r="D1186" s="124" t="s">
        <v>127</v>
      </c>
      <c r="E1186" s="653" t="n">
        <v>862.5</v>
      </c>
      <c r="G1186" s="653" t="n">
        <v>18158.5</v>
      </c>
      <c r="H1186" s="123" t="n">
        <v>0</v>
      </c>
      <c r="L1186" s="123" t="n">
        <v>3</v>
      </c>
    </row>
    <row r="1187" customFormat="false" ht="15" hidden="false" customHeight="false" outlineLevel="0" collapsed="false">
      <c r="A1187" s="652" t="n">
        <v>45739</v>
      </c>
      <c r="B1187" s="123" t="n">
        <v>939</v>
      </c>
      <c r="C1187" s="124" t="s">
        <v>236</v>
      </c>
      <c r="D1187" s="124" t="s">
        <v>127</v>
      </c>
      <c r="E1187" s="123" t="n">
        <v>299</v>
      </c>
      <c r="G1187" s="653" t="n">
        <v>18457.5</v>
      </c>
      <c r="I1187" s="123" t="n">
        <v>1</v>
      </c>
    </row>
    <row r="1188" customFormat="false" ht="15" hidden="false" customHeight="false" outlineLevel="0" collapsed="false">
      <c r="A1188" s="652" t="n">
        <v>45739</v>
      </c>
      <c r="B1188" s="123" t="n">
        <v>940</v>
      </c>
      <c r="C1188" s="124" t="s">
        <v>266</v>
      </c>
      <c r="D1188" s="124" t="s">
        <v>127</v>
      </c>
      <c r="E1188" s="653" t="n">
        <v>287.5</v>
      </c>
      <c r="G1188" s="123" t="n">
        <v>18745</v>
      </c>
      <c r="H1188" s="123" t="n">
        <v>0</v>
      </c>
      <c r="L1188" s="123" t="n">
        <v>1</v>
      </c>
    </row>
    <row r="1189" customFormat="false" ht="15" hidden="false" customHeight="false" outlineLevel="0" collapsed="false">
      <c r="A1189" s="652" t="n">
        <v>45739</v>
      </c>
      <c r="B1189" s="123" t="n">
        <v>941</v>
      </c>
      <c r="C1189" s="124" t="s">
        <v>157</v>
      </c>
      <c r="D1189" s="124" t="s">
        <v>127</v>
      </c>
      <c r="E1189" s="653" t="n">
        <v>155.25</v>
      </c>
      <c r="G1189" s="653" t="n">
        <v>18900.25</v>
      </c>
      <c r="H1189" s="653" t="n">
        <v>-0.25</v>
      </c>
      <c r="P1189" s="123" t="n">
        <v>1</v>
      </c>
    </row>
    <row r="1190" customFormat="false" ht="15" hidden="false" customHeight="false" outlineLevel="0" collapsed="false">
      <c r="A1190" s="652" t="n">
        <v>45739</v>
      </c>
      <c r="B1190" s="124" t="s">
        <v>470</v>
      </c>
      <c r="C1190" s="124" t="s">
        <v>393</v>
      </c>
      <c r="F1190" s="123" t="n">
        <v>11566</v>
      </c>
      <c r="G1190" s="653" t="n">
        <v>7334.25</v>
      </c>
      <c r="H1190" s="653" t="n">
        <v>1.25</v>
      </c>
    </row>
    <row r="1191" customFormat="false" ht="15" hidden="false" customHeight="false" outlineLevel="0" collapsed="false">
      <c r="A1191" s="652" t="n">
        <v>45739</v>
      </c>
      <c r="B1191" s="124" t="s">
        <v>653</v>
      </c>
      <c r="C1191" s="124" t="s">
        <v>393</v>
      </c>
      <c r="E1191" s="653" t="n">
        <v>-0.25</v>
      </c>
      <c r="F1191" s="123" t="n">
        <v>7334</v>
      </c>
      <c r="G1191" s="123" t="n">
        <v>0</v>
      </c>
    </row>
    <row r="1192" customFormat="false" ht="15" hidden="false" customHeight="false" outlineLevel="0" collapsed="false">
      <c r="A1192" s="652" t="n">
        <v>45740</v>
      </c>
      <c r="B1192" s="123" t="n">
        <v>942</v>
      </c>
      <c r="C1192" s="124" t="s">
        <v>132</v>
      </c>
      <c r="D1192" s="124" t="s">
        <v>127</v>
      </c>
      <c r="E1192" s="653" t="n">
        <v>1845.75</v>
      </c>
      <c r="G1192" s="653" t="n">
        <v>1845.75</v>
      </c>
      <c r="H1192" s="653" t="n">
        <v>0.75</v>
      </c>
      <c r="I1192" s="123" t="n">
        <v>4</v>
      </c>
      <c r="K1192" s="123" t="n">
        <v>1</v>
      </c>
      <c r="M1192" s="123" t="n">
        <v>1</v>
      </c>
      <c r="P1192" s="123" t="n">
        <v>1</v>
      </c>
    </row>
    <row r="1193" customFormat="false" ht="15" hidden="false" customHeight="false" outlineLevel="0" collapsed="false">
      <c r="A1193" s="652" t="n">
        <v>45739</v>
      </c>
      <c r="B1193" s="123" t="n">
        <v>943</v>
      </c>
      <c r="C1193" s="124" t="s">
        <v>176</v>
      </c>
      <c r="D1193" s="124" t="s">
        <v>127</v>
      </c>
      <c r="E1193" s="653" t="n">
        <v>1351.25</v>
      </c>
      <c r="G1193" s="123" t="n">
        <v>3197</v>
      </c>
      <c r="H1193" s="653" t="n">
        <v>0.25</v>
      </c>
      <c r="I1193" s="123" t="n">
        <v>4</v>
      </c>
      <c r="P1193" s="123" t="n">
        <v>1</v>
      </c>
    </row>
    <row r="1194" customFormat="false" ht="15" hidden="false" customHeight="false" outlineLevel="0" collapsed="false">
      <c r="A1194" s="652" t="n">
        <v>45740</v>
      </c>
      <c r="B1194" s="123" t="n">
        <v>944</v>
      </c>
      <c r="C1194" s="124" t="s">
        <v>287</v>
      </c>
      <c r="D1194" s="124" t="s">
        <v>286</v>
      </c>
      <c r="E1194" s="123" t="n">
        <v>598</v>
      </c>
      <c r="G1194" s="123" t="n">
        <v>3795</v>
      </c>
      <c r="H1194" s="123" t="n">
        <v>0</v>
      </c>
      <c r="I1194" s="123" t="n">
        <v>2</v>
      </c>
    </row>
    <row r="1195" customFormat="false" ht="15" hidden="false" customHeight="false" outlineLevel="0" collapsed="false">
      <c r="A1195" s="652" t="n">
        <v>45740</v>
      </c>
      <c r="B1195" s="123" t="n">
        <v>945</v>
      </c>
      <c r="C1195" s="124" t="s">
        <v>295</v>
      </c>
      <c r="D1195" s="124" t="s">
        <v>286</v>
      </c>
      <c r="E1195" s="123" t="n">
        <v>598</v>
      </c>
      <c r="G1195" s="123" t="n">
        <v>4393</v>
      </c>
      <c r="I1195" s="123" t="n">
        <v>2</v>
      </c>
    </row>
    <row r="1196" customFormat="false" ht="15" hidden="false" customHeight="false" outlineLevel="0" collapsed="false">
      <c r="A1196" s="652" t="n">
        <v>45740</v>
      </c>
      <c r="B1196" s="123" t="n">
        <v>946</v>
      </c>
      <c r="C1196" s="124" t="s">
        <v>289</v>
      </c>
      <c r="D1196" s="124" t="s">
        <v>286</v>
      </c>
      <c r="E1196" s="123" t="n">
        <v>299</v>
      </c>
      <c r="G1196" s="123" t="n">
        <v>4692</v>
      </c>
      <c r="H1196" s="123" t="n">
        <v>0</v>
      </c>
      <c r="I1196" s="123" t="n">
        <v>1</v>
      </c>
    </row>
    <row r="1197" customFormat="false" ht="15" hidden="false" customHeight="false" outlineLevel="0" collapsed="false">
      <c r="A1197" s="652" t="n">
        <v>45740</v>
      </c>
      <c r="B1197" s="123" t="n">
        <v>947</v>
      </c>
      <c r="C1197" s="124" t="s">
        <v>302</v>
      </c>
      <c r="D1197" s="124" t="s">
        <v>301</v>
      </c>
      <c r="E1197" s="653" t="n">
        <v>155.25</v>
      </c>
      <c r="G1197" s="653" t="n">
        <v>4847.25</v>
      </c>
      <c r="H1197" s="653" t="n">
        <v>0.25</v>
      </c>
      <c r="P1197" s="123" t="n">
        <v>1</v>
      </c>
    </row>
    <row r="1198" customFormat="false" ht="15" hidden="false" customHeight="false" outlineLevel="0" collapsed="false">
      <c r="A1198" s="652" t="n">
        <v>45740</v>
      </c>
      <c r="B1198" s="123" t="n">
        <v>948</v>
      </c>
      <c r="C1198" s="124" t="s">
        <v>310</v>
      </c>
      <c r="D1198" s="124" t="s">
        <v>301</v>
      </c>
      <c r="E1198" s="653" t="n">
        <v>3553.5</v>
      </c>
      <c r="G1198" s="653" t="n">
        <v>8400.75</v>
      </c>
      <c r="K1198" s="123" t="n">
        <v>5</v>
      </c>
      <c r="O1198" s="123" t="n">
        <v>10</v>
      </c>
      <c r="P1198" s="123" t="n">
        <v>2</v>
      </c>
    </row>
    <row r="1199" customFormat="false" ht="15" hidden="false" customHeight="false" outlineLevel="0" collapsed="false">
      <c r="A1199" s="652" t="n">
        <v>45740</v>
      </c>
      <c r="B1199" s="123" t="n">
        <v>949</v>
      </c>
      <c r="C1199" s="124" t="s">
        <v>310</v>
      </c>
      <c r="D1199" s="124" t="s">
        <v>301</v>
      </c>
      <c r="E1199" s="123" t="n">
        <v>690</v>
      </c>
      <c r="G1199" s="653" t="n">
        <v>9090.75</v>
      </c>
      <c r="H1199" s="123" t="n">
        <v>0</v>
      </c>
      <c r="O1199" s="123" t="n">
        <v>5</v>
      </c>
    </row>
    <row r="1200" customFormat="false" ht="15" hidden="false" customHeight="false" outlineLevel="0" collapsed="false">
      <c r="A1200" s="652" t="n">
        <v>45741</v>
      </c>
      <c r="B1200" s="123" t="n">
        <v>950</v>
      </c>
      <c r="C1200" s="124" t="s">
        <v>275</v>
      </c>
      <c r="D1200" s="124" t="s">
        <v>127</v>
      </c>
      <c r="E1200" s="123" t="n">
        <v>690</v>
      </c>
      <c r="G1200" s="653" t="n">
        <v>9780.75</v>
      </c>
      <c r="H1200" s="123" t="n">
        <v>-1</v>
      </c>
      <c r="I1200" s="123" t="n">
        <v>1</v>
      </c>
      <c r="K1200" s="123" t="n">
        <v>1</v>
      </c>
      <c r="O1200" s="123" t="n">
        <v>1</v>
      </c>
    </row>
    <row r="1201" customFormat="false" ht="15" hidden="false" customHeight="false" outlineLevel="0" collapsed="false">
      <c r="A1201" s="652" t="n">
        <v>45741</v>
      </c>
      <c r="B1201" s="123" t="n">
        <v>951</v>
      </c>
      <c r="C1201" s="124" t="s">
        <v>264</v>
      </c>
      <c r="D1201" s="124" t="s">
        <v>127</v>
      </c>
      <c r="E1201" s="653" t="n">
        <v>310.5</v>
      </c>
      <c r="G1201" s="653" t="n">
        <v>10091.25</v>
      </c>
      <c r="H1201" s="123" t="n">
        <v>0</v>
      </c>
      <c r="P1201" s="123" t="n">
        <v>2</v>
      </c>
    </row>
    <row r="1202" customFormat="false" ht="15" hidden="false" customHeight="false" outlineLevel="0" collapsed="false">
      <c r="A1202" s="652" t="n">
        <v>45741</v>
      </c>
      <c r="B1202" s="124" t="s">
        <v>657</v>
      </c>
      <c r="C1202" s="124" t="s">
        <v>393</v>
      </c>
      <c r="F1202" s="123" t="n">
        <v>1196</v>
      </c>
      <c r="G1202" s="653" t="n">
        <v>8895.25</v>
      </c>
    </row>
    <row r="1203" customFormat="false" ht="15" hidden="false" customHeight="false" outlineLevel="0" collapsed="false">
      <c r="A1203" s="652" t="n">
        <v>45741</v>
      </c>
      <c r="B1203" s="124" t="s">
        <v>470</v>
      </c>
      <c r="C1203" s="124" t="s">
        <v>393</v>
      </c>
      <c r="F1203" s="653" t="n">
        <v>2592.75</v>
      </c>
      <c r="G1203" s="653" t="n">
        <v>6302.5</v>
      </c>
    </row>
    <row r="1204" customFormat="false" ht="15" hidden="false" customHeight="false" outlineLevel="0" collapsed="false">
      <c r="A1204" s="652" t="n">
        <v>45741</v>
      </c>
      <c r="B1204" s="124" t="s">
        <v>659</v>
      </c>
      <c r="C1204" s="124" t="s">
        <v>393</v>
      </c>
      <c r="E1204" s="653" t="n">
        <v>-0.5</v>
      </c>
      <c r="F1204" s="123" t="n">
        <v>6302</v>
      </c>
      <c r="G1204" s="123" t="n">
        <v>0</v>
      </c>
    </row>
    <row r="1205" customFormat="false" ht="15" hidden="false" customHeight="false" outlineLevel="0" collapsed="false">
      <c r="A1205" s="652" t="n">
        <v>45741</v>
      </c>
      <c r="B1205" s="123" t="n">
        <v>952</v>
      </c>
      <c r="C1205" s="124" t="s">
        <v>263</v>
      </c>
      <c r="D1205" s="124" t="s">
        <v>127</v>
      </c>
      <c r="E1205" s="653" t="n">
        <v>155.25</v>
      </c>
      <c r="G1205" s="653" t="n">
        <v>155.25</v>
      </c>
      <c r="P1205" s="123" t="n">
        <v>1</v>
      </c>
    </row>
    <row r="1206" customFormat="false" ht="15" hidden="false" customHeight="false" outlineLevel="0" collapsed="false">
      <c r="A1206" s="652" t="n">
        <v>45741</v>
      </c>
      <c r="B1206" s="123" t="n">
        <v>953</v>
      </c>
      <c r="C1206" s="124" t="s">
        <v>236</v>
      </c>
      <c r="D1206" s="124" t="s">
        <v>127</v>
      </c>
      <c r="E1206" s="653" t="n">
        <v>287.5</v>
      </c>
      <c r="G1206" s="653" t="n">
        <v>442.75</v>
      </c>
      <c r="H1206" s="123" t="n">
        <v>0</v>
      </c>
      <c r="L1206" s="123" t="n">
        <v>1</v>
      </c>
    </row>
    <row r="1207" customFormat="false" ht="15" hidden="false" customHeight="false" outlineLevel="0" collapsed="false">
      <c r="A1207" s="652" t="n">
        <v>45741</v>
      </c>
      <c r="B1207" s="123" t="n">
        <v>954</v>
      </c>
      <c r="C1207" s="124" t="s">
        <v>225</v>
      </c>
      <c r="D1207" s="124" t="s">
        <v>127</v>
      </c>
      <c r="E1207" s="123" t="n">
        <v>874</v>
      </c>
      <c r="G1207" s="653" t="n">
        <v>1316.75</v>
      </c>
      <c r="H1207" s="123" t="n">
        <v>0</v>
      </c>
      <c r="I1207" s="123" t="n">
        <v>2</v>
      </c>
      <c r="O1207" s="123" t="n">
        <v>2</v>
      </c>
    </row>
    <row r="1208" customFormat="false" ht="15" hidden="false" customHeight="false" outlineLevel="0" collapsed="false">
      <c r="A1208" s="652" t="n">
        <v>45742</v>
      </c>
      <c r="B1208" s="123" t="n">
        <v>955</v>
      </c>
      <c r="C1208" s="124" t="s">
        <v>134</v>
      </c>
      <c r="D1208" s="124" t="s">
        <v>127</v>
      </c>
      <c r="E1208" s="653" t="n">
        <v>1299.5</v>
      </c>
      <c r="G1208" s="653" t="n">
        <v>2616.25</v>
      </c>
      <c r="H1208" s="653" t="n">
        <v>-0.5</v>
      </c>
      <c r="I1208" s="123" t="n">
        <v>2</v>
      </c>
      <c r="K1208" s="123" t="n">
        <v>2</v>
      </c>
      <c r="O1208" s="123" t="n">
        <v>1</v>
      </c>
    </row>
    <row r="1209" customFormat="false" ht="15" hidden="false" customHeight="false" outlineLevel="0" collapsed="false">
      <c r="A1209" s="652" t="n">
        <v>45742</v>
      </c>
      <c r="B1209" s="123" t="n">
        <v>956</v>
      </c>
      <c r="C1209" s="124" t="s">
        <v>259</v>
      </c>
      <c r="D1209" s="124" t="s">
        <v>127</v>
      </c>
      <c r="E1209" s="123" t="n">
        <v>598</v>
      </c>
      <c r="G1209" s="653" t="n">
        <v>3214.25</v>
      </c>
      <c r="H1209" s="123" t="n">
        <v>0</v>
      </c>
      <c r="I1209" s="123" t="n">
        <v>2</v>
      </c>
    </row>
    <row r="1210" customFormat="false" ht="15" hidden="false" customHeight="false" outlineLevel="0" collapsed="false">
      <c r="A1210" s="652" t="n">
        <v>45742</v>
      </c>
      <c r="B1210" s="123" t="n">
        <v>957</v>
      </c>
      <c r="C1210" s="124" t="s">
        <v>259</v>
      </c>
      <c r="D1210" s="124" t="s">
        <v>127</v>
      </c>
      <c r="E1210" s="123" t="n">
        <v>966</v>
      </c>
      <c r="G1210" s="653" t="n">
        <v>4180.25</v>
      </c>
      <c r="H1210" s="123" t="n">
        <v>0</v>
      </c>
      <c r="I1210" s="123" t="n">
        <v>2</v>
      </c>
      <c r="K1210" s="123" t="n">
        <v>1</v>
      </c>
      <c r="O1210" s="123" t="n">
        <v>1</v>
      </c>
    </row>
    <row r="1211" customFormat="false" ht="15" hidden="false" customHeight="false" outlineLevel="0" collapsed="false">
      <c r="A1211" s="652" t="n">
        <v>45742</v>
      </c>
      <c r="B1211" s="123" t="n">
        <v>958</v>
      </c>
      <c r="C1211" s="124" t="s">
        <v>244</v>
      </c>
      <c r="D1211" s="124" t="s">
        <v>127</v>
      </c>
      <c r="E1211" s="123" t="n">
        <v>3105</v>
      </c>
      <c r="G1211" s="653" t="n">
        <v>7285.25</v>
      </c>
      <c r="H1211" s="123" t="n">
        <v>0</v>
      </c>
      <c r="I1211" s="123" t="n">
        <v>2</v>
      </c>
      <c r="K1211" s="123" t="n">
        <v>7</v>
      </c>
      <c r="M1211" s="123" t="n">
        <v>2</v>
      </c>
      <c r="O1211" s="123" t="n">
        <v>1</v>
      </c>
      <c r="P1211" s="123" t="n">
        <v>1</v>
      </c>
    </row>
    <row r="1212" customFormat="false" ht="15" hidden="false" customHeight="false" outlineLevel="0" collapsed="false">
      <c r="A1212" s="652" t="n">
        <v>45742</v>
      </c>
      <c r="B1212" s="123" t="n">
        <v>959</v>
      </c>
      <c r="C1212" s="124" t="s">
        <v>234</v>
      </c>
      <c r="D1212" s="124" t="s">
        <v>127</v>
      </c>
      <c r="E1212" s="653" t="n">
        <v>563.5</v>
      </c>
      <c r="G1212" s="653" t="n">
        <v>7848.75</v>
      </c>
      <c r="H1212" s="653" t="n">
        <v>0.75</v>
      </c>
      <c r="P1212" s="123" t="n">
        <v>2</v>
      </c>
    </row>
    <row r="1213" customFormat="false" ht="15" hidden="false" customHeight="false" outlineLevel="0" collapsed="false">
      <c r="A1213" s="652" t="n">
        <v>45742</v>
      </c>
      <c r="B1213" s="123" t="n">
        <v>960</v>
      </c>
      <c r="C1213" s="124" t="s">
        <v>180</v>
      </c>
      <c r="D1213" s="124" t="s">
        <v>127</v>
      </c>
      <c r="E1213" s="123" t="n">
        <v>598</v>
      </c>
      <c r="G1213" s="653" t="n">
        <v>8446.75</v>
      </c>
      <c r="H1213" s="123" t="n">
        <v>0</v>
      </c>
      <c r="I1213" s="123" t="n">
        <v>2</v>
      </c>
    </row>
    <row r="1214" customFormat="false" ht="15" hidden="false" customHeight="false" outlineLevel="0" collapsed="false">
      <c r="A1214" s="652" t="n">
        <v>45742</v>
      </c>
      <c r="B1214" s="123" t="n">
        <v>961</v>
      </c>
      <c r="C1214" s="124" t="s">
        <v>94</v>
      </c>
      <c r="D1214" s="124" t="s">
        <v>75</v>
      </c>
      <c r="E1214" s="123" t="n">
        <v>345</v>
      </c>
      <c r="G1214" s="653" t="n">
        <v>8791.75</v>
      </c>
      <c r="H1214" s="123" t="n">
        <v>1</v>
      </c>
      <c r="K1214" s="123" t="n">
        <v>1</v>
      </c>
    </row>
    <row r="1215" customFormat="false" ht="15" hidden="false" customHeight="false" outlineLevel="0" collapsed="false">
      <c r="A1215" s="652" t="n">
        <v>45742</v>
      </c>
      <c r="B1215" s="123" t="n">
        <v>962</v>
      </c>
      <c r="C1215" s="124" t="s">
        <v>95</v>
      </c>
      <c r="D1215" s="124" t="s">
        <v>75</v>
      </c>
      <c r="E1215" s="123" t="n">
        <v>1495</v>
      </c>
      <c r="G1215" s="653" t="n">
        <v>10286.75</v>
      </c>
      <c r="I1215" s="123" t="n">
        <v>5</v>
      </c>
    </row>
    <row r="1216" customFormat="false" ht="15" hidden="false" customHeight="false" outlineLevel="0" collapsed="false">
      <c r="A1216" s="652" t="n">
        <v>45742</v>
      </c>
      <c r="B1216" s="123" t="n">
        <v>963</v>
      </c>
      <c r="C1216" s="124" t="s">
        <v>101</v>
      </c>
      <c r="D1216" s="124" t="s">
        <v>75</v>
      </c>
      <c r="E1216" s="123" t="n">
        <v>690</v>
      </c>
      <c r="G1216" s="653" t="n">
        <v>10976.75</v>
      </c>
      <c r="H1216" s="123" t="n">
        <v>0</v>
      </c>
      <c r="K1216" s="123" t="n">
        <v>2</v>
      </c>
    </row>
    <row r="1217" customFormat="false" ht="15" hidden="false" customHeight="false" outlineLevel="0" collapsed="false">
      <c r="A1217" s="652" t="n">
        <v>45742</v>
      </c>
      <c r="B1217" s="123" t="n">
        <v>964</v>
      </c>
      <c r="C1217" s="124" t="s">
        <v>109</v>
      </c>
      <c r="D1217" s="124" t="s">
        <v>105</v>
      </c>
      <c r="E1217" s="123" t="n">
        <v>897</v>
      </c>
      <c r="G1217" s="653" t="n">
        <v>11873.75</v>
      </c>
      <c r="I1217" s="123" t="n">
        <v>3</v>
      </c>
    </row>
    <row r="1218" customFormat="false" ht="15" hidden="false" customHeight="false" outlineLevel="0" collapsed="false">
      <c r="A1218" s="652" t="n">
        <v>45742</v>
      </c>
      <c r="B1218" s="123" t="n">
        <v>965</v>
      </c>
      <c r="C1218" s="124" t="s">
        <v>115</v>
      </c>
      <c r="D1218" s="124" t="s">
        <v>105</v>
      </c>
      <c r="E1218" s="123" t="n">
        <v>299</v>
      </c>
      <c r="G1218" s="653" t="n">
        <v>12172.75</v>
      </c>
      <c r="I1218" s="123" t="n">
        <v>1</v>
      </c>
    </row>
    <row r="1219" customFormat="false" ht="15" hidden="false" customHeight="false" outlineLevel="0" collapsed="false">
      <c r="A1219" s="652" t="n">
        <v>45742</v>
      </c>
      <c r="B1219" s="123" t="n">
        <v>966</v>
      </c>
      <c r="C1219" s="124" t="s">
        <v>114</v>
      </c>
      <c r="D1219" s="124" t="s">
        <v>105</v>
      </c>
      <c r="E1219" s="123" t="n">
        <v>1196</v>
      </c>
      <c r="G1219" s="653" t="n">
        <v>13368.75</v>
      </c>
      <c r="H1219" s="123" t="n">
        <v>0</v>
      </c>
      <c r="I1219" s="123" t="n">
        <v>4</v>
      </c>
    </row>
    <row r="1220" customFormat="false" ht="15" hidden="false" customHeight="false" outlineLevel="0" collapsed="false">
      <c r="A1220" s="652" t="n">
        <v>45742</v>
      </c>
      <c r="B1220" s="123" t="n">
        <v>968</v>
      </c>
      <c r="C1220" s="124" t="s">
        <v>92</v>
      </c>
      <c r="D1220" s="124" t="s">
        <v>75</v>
      </c>
      <c r="E1220" s="123" t="n">
        <v>299</v>
      </c>
      <c r="G1220" s="653" t="n">
        <v>13667.75</v>
      </c>
      <c r="I1220" s="123" t="n">
        <v>1</v>
      </c>
    </row>
    <row r="1221" customFormat="false" ht="15" hidden="false" customHeight="false" outlineLevel="0" collapsed="false">
      <c r="A1221" s="652" t="n">
        <v>45742</v>
      </c>
      <c r="B1221" s="123" t="n">
        <v>969</v>
      </c>
      <c r="C1221" s="124" t="s">
        <v>92</v>
      </c>
      <c r="D1221" s="124" t="s">
        <v>75</v>
      </c>
      <c r="E1221" s="123" t="n">
        <v>138</v>
      </c>
      <c r="G1221" s="653" t="n">
        <v>13805.75</v>
      </c>
      <c r="H1221" s="653" t="n">
        <v>-0.5</v>
      </c>
      <c r="O1221" s="123" t="n">
        <v>1</v>
      </c>
    </row>
    <row r="1222" customFormat="false" ht="15" hidden="false" customHeight="false" outlineLevel="0" collapsed="false">
      <c r="A1222" s="652" t="n">
        <v>45742</v>
      </c>
      <c r="B1222" s="123" t="n">
        <v>970</v>
      </c>
      <c r="C1222" s="124" t="s">
        <v>97</v>
      </c>
      <c r="D1222" s="124" t="s">
        <v>75</v>
      </c>
      <c r="E1222" s="123" t="n">
        <v>138</v>
      </c>
      <c r="G1222" s="653" t="n">
        <v>13943.75</v>
      </c>
      <c r="O1222" s="123" t="n">
        <v>1</v>
      </c>
    </row>
    <row r="1223" customFormat="false" ht="15" hidden="false" customHeight="false" outlineLevel="0" collapsed="false">
      <c r="A1223" s="652" t="n">
        <v>45742</v>
      </c>
      <c r="B1223" s="123" t="n">
        <v>971</v>
      </c>
      <c r="C1223" s="124" t="s">
        <v>90</v>
      </c>
      <c r="D1223" s="124" t="s">
        <v>75</v>
      </c>
      <c r="E1223" s="123" t="n">
        <v>253</v>
      </c>
      <c r="G1223" s="653" t="n">
        <v>14196.75</v>
      </c>
      <c r="K1223" s="123" t="n">
        <v>1</v>
      </c>
    </row>
    <row r="1224" customFormat="false" ht="15" hidden="false" customHeight="false" outlineLevel="0" collapsed="false">
      <c r="A1224" s="652" t="n">
        <v>45742</v>
      </c>
      <c r="B1224" s="123" t="n">
        <v>972</v>
      </c>
      <c r="C1224" s="124" t="s">
        <v>169</v>
      </c>
      <c r="D1224" s="124" t="s">
        <v>127</v>
      </c>
      <c r="E1224" s="123" t="n">
        <v>759</v>
      </c>
      <c r="G1224" s="653" t="n">
        <v>14955.75</v>
      </c>
      <c r="H1224" s="123" t="n">
        <v>0</v>
      </c>
      <c r="K1224" s="123" t="n">
        <v>3</v>
      </c>
    </row>
    <row r="1225" customFormat="false" ht="15" hidden="false" customHeight="false" outlineLevel="0" collapsed="false">
      <c r="A1225" s="652" t="n">
        <v>45742</v>
      </c>
      <c r="B1225" s="123" t="n">
        <v>967</v>
      </c>
      <c r="C1225" s="124" t="s">
        <v>111</v>
      </c>
      <c r="D1225" s="124" t="s">
        <v>105</v>
      </c>
      <c r="E1225" s="123" t="n">
        <v>299</v>
      </c>
      <c r="G1225" s="653" t="n">
        <v>15254.75</v>
      </c>
      <c r="I1225" s="123" t="n">
        <v>1</v>
      </c>
    </row>
    <row r="1226" customFormat="false" ht="15" hidden="false" customHeight="false" outlineLevel="0" collapsed="false">
      <c r="A1226" s="652" t="n">
        <v>45743</v>
      </c>
      <c r="B1226" s="123" t="n">
        <v>973</v>
      </c>
      <c r="C1226" s="124" t="s">
        <v>238</v>
      </c>
      <c r="D1226" s="124" t="s">
        <v>127</v>
      </c>
      <c r="E1226" s="653" t="n">
        <v>241.5</v>
      </c>
      <c r="G1226" s="653" t="n">
        <v>15496.25</v>
      </c>
      <c r="M1226" s="123" t="n">
        <v>1</v>
      </c>
    </row>
    <row r="1227" customFormat="false" ht="15" hidden="false" customHeight="false" outlineLevel="0" collapsed="false">
      <c r="A1227" s="652" t="n">
        <v>45743</v>
      </c>
      <c r="B1227" s="123" t="n">
        <v>974</v>
      </c>
      <c r="C1227" s="124" t="s">
        <v>263</v>
      </c>
      <c r="D1227" s="124" t="s">
        <v>127</v>
      </c>
      <c r="E1227" s="123" t="n">
        <v>299</v>
      </c>
      <c r="G1227" s="653" t="n">
        <v>15795.25</v>
      </c>
      <c r="P1227" s="123" t="n">
        <v>1</v>
      </c>
    </row>
    <row r="1228" customFormat="false" ht="15" hidden="false" customHeight="false" outlineLevel="0" collapsed="false">
      <c r="A1228" s="652" t="n">
        <v>45743</v>
      </c>
      <c r="B1228" s="123" t="n">
        <v>975</v>
      </c>
      <c r="C1228" s="124" t="s">
        <v>180</v>
      </c>
      <c r="D1228" s="124" t="s">
        <v>127</v>
      </c>
      <c r="E1228" s="123" t="n">
        <v>598</v>
      </c>
      <c r="G1228" s="653" t="n">
        <v>16393.25</v>
      </c>
      <c r="H1228" s="123" t="n">
        <v>0</v>
      </c>
      <c r="I1228" s="123" t="n">
        <v>2</v>
      </c>
    </row>
    <row r="1229" customFormat="false" ht="15" hidden="false" customHeight="false" outlineLevel="0" collapsed="false">
      <c r="A1229" s="652" t="n">
        <v>45743</v>
      </c>
      <c r="B1229" s="123" t="n">
        <v>976</v>
      </c>
      <c r="C1229" s="124" t="s">
        <v>180</v>
      </c>
      <c r="D1229" s="124" t="s">
        <v>127</v>
      </c>
      <c r="E1229" s="123" t="n">
        <v>299</v>
      </c>
      <c r="G1229" s="653" t="n">
        <v>16692.25</v>
      </c>
      <c r="H1229" s="123" t="n">
        <v>-1</v>
      </c>
      <c r="I1229" s="123" t="n">
        <v>1</v>
      </c>
    </row>
    <row r="1230" customFormat="false" ht="15" hidden="false" customHeight="false" outlineLevel="0" collapsed="false">
      <c r="A1230" s="652" t="n">
        <v>45744</v>
      </c>
      <c r="B1230" s="123" t="n">
        <v>977</v>
      </c>
      <c r="C1230" s="124" t="s">
        <v>264</v>
      </c>
      <c r="D1230" s="124" t="s">
        <v>127</v>
      </c>
      <c r="E1230" s="653" t="n">
        <v>155.25</v>
      </c>
      <c r="G1230" s="653" t="n">
        <v>16847.5</v>
      </c>
      <c r="P1230" s="123" t="n">
        <v>1</v>
      </c>
    </row>
    <row r="1231" customFormat="false" ht="15" hidden="false" customHeight="false" outlineLevel="0" collapsed="false">
      <c r="A1231" s="652" t="n">
        <v>45744</v>
      </c>
      <c r="B1231" s="123" t="n">
        <v>978</v>
      </c>
      <c r="C1231" s="124" t="s">
        <v>133</v>
      </c>
      <c r="D1231" s="124" t="s">
        <v>127</v>
      </c>
      <c r="E1231" s="653" t="n">
        <v>155.25</v>
      </c>
      <c r="G1231" s="653" t="n">
        <v>17002.75</v>
      </c>
      <c r="P1231" s="123" t="n">
        <v>1</v>
      </c>
    </row>
    <row r="1232" customFormat="false" ht="15" hidden="false" customHeight="false" outlineLevel="0" collapsed="false">
      <c r="A1232" s="652" t="n">
        <v>45744</v>
      </c>
      <c r="B1232" s="123" t="n">
        <v>979</v>
      </c>
      <c r="C1232" s="124" t="s">
        <v>130</v>
      </c>
      <c r="D1232" s="124" t="s">
        <v>127</v>
      </c>
      <c r="E1232" s="123" t="n">
        <v>598</v>
      </c>
      <c r="G1232" s="653" t="n">
        <v>17600.75</v>
      </c>
      <c r="H1232" s="123" t="n">
        <v>0</v>
      </c>
      <c r="I1232" s="123" t="n">
        <v>2</v>
      </c>
    </row>
    <row r="1233" customFormat="false" ht="15" hidden="false" customHeight="false" outlineLevel="0" collapsed="false">
      <c r="A1233" s="652" t="n">
        <v>45744</v>
      </c>
      <c r="B1233" s="123" t="n">
        <v>980</v>
      </c>
      <c r="C1233" s="124" t="s">
        <v>159</v>
      </c>
      <c r="D1233" s="124" t="s">
        <v>127</v>
      </c>
      <c r="E1233" s="123" t="n">
        <v>483</v>
      </c>
      <c r="G1233" s="653" t="n">
        <v>18083.75</v>
      </c>
      <c r="K1233" s="123" t="n">
        <v>2</v>
      </c>
    </row>
    <row r="1234" customFormat="false" ht="15" hidden="false" customHeight="false" outlineLevel="0" collapsed="false">
      <c r="A1234" s="652" t="n">
        <v>45744</v>
      </c>
      <c r="B1234" s="123" t="n">
        <v>981</v>
      </c>
      <c r="C1234" s="124" t="s">
        <v>225</v>
      </c>
      <c r="D1234" s="124" t="s">
        <v>127</v>
      </c>
      <c r="E1234" s="123" t="n">
        <v>299</v>
      </c>
      <c r="G1234" s="653" t="n">
        <v>18382.75</v>
      </c>
      <c r="H1234" s="123" t="n">
        <v>0</v>
      </c>
      <c r="I1234" s="123" t="n">
        <v>1</v>
      </c>
    </row>
    <row r="1235" customFormat="false" ht="15" hidden="false" customHeight="false" outlineLevel="0" collapsed="false">
      <c r="A1235" s="652" t="n">
        <v>45746</v>
      </c>
      <c r="B1235" s="124" t="s">
        <v>470</v>
      </c>
      <c r="C1235" s="124" t="s">
        <v>259</v>
      </c>
      <c r="D1235" s="124" t="s">
        <v>127</v>
      </c>
      <c r="E1235" s="123" t="n">
        <v>598</v>
      </c>
      <c r="G1235" s="653" t="n">
        <v>18980.75</v>
      </c>
      <c r="I1235" s="123" t="n">
        <v>2</v>
      </c>
    </row>
    <row r="1236" customFormat="false" ht="15" hidden="false" customHeight="false" outlineLevel="0" collapsed="false">
      <c r="A1236" s="652" t="n">
        <v>45743</v>
      </c>
      <c r="B1236" s="124" t="s">
        <v>470</v>
      </c>
      <c r="C1236" s="124" t="s">
        <v>393</v>
      </c>
      <c r="F1236" s="123" t="n">
        <v>3052</v>
      </c>
      <c r="G1236" s="653" t="n">
        <v>15928.75</v>
      </c>
    </row>
    <row r="1237" customFormat="false" ht="15" hidden="false" customHeight="false" outlineLevel="0" collapsed="false">
      <c r="A1237" s="652" t="n">
        <v>45741</v>
      </c>
      <c r="B1237" s="124" t="s">
        <v>470</v>
      </c>
      <c r="C1237" s="124" t="s">
        <v>393</v>
      </c>
      <c r="F1237" s="653" t="n">
        <v>4032.25</v>
      </c>
      <c r="G1237" s="653" t="n">
        <v>11896.5</v>
      </c>
    </row>
    <row r="1238" customFormat="false" ht="15" hidden="false" customHeight="false" outlineLevel="0" collapsed="false">
      <c r="A1238" s="652" t="n">
        <v>45724</v>
      </c>
      <c r="B1238" s="124" t="s">
        <v>653</v>
      </c>
      <c r="C1238" s="124" t="s">
        <v>393</v>
      </c>
      <c r="F1238" s="123" t="n">
        <v>956</v>
      </c>
      <c r="G1238" s="653" t="n">
        <v>10940.5</v>
      </c>
    </row>
    <row r="1239" customFormat="false" ht="15" hidden="false" customHeight="false" outlineLevel="0" collapsed="false">
      <c r="A1239" s="652" t="n">
        <v>45744</v>
      </c>
      <c r="B1239" s="124" t="s">
        <v>470</v>
      </c>
      <c r="C1239" s="124" t="s">
        <v>393</v>
      </c>
      <c r="F1239" s="653" t="n">
        <v>10939.75</v>
      </c>
      <c r="G1239" s="653" t="n">
        <v>0.75</v>
      </c>
      <c r="H1239" s="123" t="n">
        <v>0</v>
      </c>
    </row>
    <row r="1240" customFormat="false" ht="15" hidden="false" customHeight="false" outlineLevel="0" collapsed="false">
      <c r="A1240" s="652" t="n">
        <v>45754</v>
      </c>
      <c r="B1240" s="123" t="n">
        <v>983</v>
      </c>
      <c r="C1240" s="124" t="s">
        <v>236</v>
      </c>
      <c r="D1240" s="124" t="s">
        <v>127</v>
      </c>
      <c r="E1240" s="123" t="n">
        <v>299</v>
      </c>
      <c r="G1240" s="653" t="n">
        <v>299.75</v>
      </c>
      <c r="I1240" s="123" t="n">
        <v>1</v>
      </c>
    </row>
    <row r="1241" customFormat="false" ht="15" hidden="false" customHeight="false" outlineLevel="0" collapsed="false">
      <c r="A1241" s="652" t="n">
        <v>45754</v>
      </c>
      <c r="B1241" s="123" t="n">
        <v>984</v>
      </c>
      <c r="C1241" s="124" t="s">
        <v>236</v>
      </c>
      <c r="D1241" s="124" t="s">
        <v>127</v>
      </c>
      <c r="E1241" s="653" t="n">
        <v>155.25</v>
      </c>
      <c r="G1241" s="123" t="n">
        <v>455</v>
      </c>
      <c r="H1241" s="123" t="n">
        <v>0</v>
      </c>
      <c r="P1241" s="123" t="n">
        <v>1</v>
      </c>
    </row>
    <row r="1242" customFormat="false" ht="15" hidden="false" customHeight="false" outlineLevel="0" collapsed="false">
      <c r="A1242" s="652" t="n">
        <v>45754</v>
      </c>
      <c r="B1242" s="123" t="n">
        <v>985</v>
      </c>
      <c r="C1242" s="124" t="s">
        <v>290</v>
      </c>
      <c r="D1242" s="124" t="s">
        <v>286</v>
      </c>
      <c r="E1242" s="123" t="n">
        <v>299</v>
      </c>
      <c r="G1242" s="123" t="n">
        <v>754</v>
      </c>
      <c r="H1242" s="123" t="n">
        <v>0</v>
      </c>
      <c r="I1242" s="123" t="n">
        <v>1</v>
      </c>
    </row>
    <row r="1243" customFormat="false" ht="15" hidden="false" customHeight="false" outlineLevel="0" collapsed="false">
      <c r="A1243" s="652" t="n">
        <v>45754</v>
      </c>
      <c r="B1243" s="123" t="n">
        <v>986</v>
      </c>
      <c r="C1243" s="124" t="s">
        <v>295</v>
      </c>
      <c r="D1243" s="124" t="s">
        <v>286</v>
      </c>
      <c r="E1243" s="653" t="n">
        <v>1276.5</v>
      </c>
      <c r="G1243" s="653" t="n">
        <v>2030.5</v>
      </c>
      <c r="H1243" s="123" t="n">
        <v>0</v>
      </c>
      <c r="I1243" s="123" t="n">
        <v>1</v>
      </c>
      <c r="K1243" s="123" t="n">
        <v>1</v>
      </c>
      <c r="M1243" s="123" t="n">
        <v>2</v>
      </c>
      <c r="O1243" s="123" t="n">
        <v>1</v>
      </c>
    </row>
    <row r="1244" customFormat="false" ht="15" hidden="false" customHeight="false" outlineLevel="0" collapsed="false">
      <c r="A1244" s="652" t="n">
        <v>45754</v>
      </c>
      <c r="B1244" s="123" t="n">
        <v>987</v>
      </c>
      <c r="C1244" s="124" t="s">
        <v>294</v>
      </c>
      <c r="D1244" s="124" t="s">
        <v>286</v>
      </c>
      <c r="E1244" s="123" t="n">
        <v>299</v>
      </c>
      <c r="G1244" s="653" t="n">
        <v>2329.5</v>
      </c>
      <c r="I1244" s="123" t="n">
        <v>1</v>
      </c>
    </row>
    <row r="1245" customFormat="false" ht="15" hidden="false" customHeight="false" outlineLevel="0" collapsed="false">
      <c r="A1245" s="652" t="n">
        <v>45754</v>
      </c>
      <c r="B1245" s="123" t="n">
        <v>988</v>
      </c>
      <c r="C1245" s="124" t="s">
        <v>298</v>
      </c>
      <c r="D1245" s="124" t="s">
        <v>286</v>
      </c>
      <c r="E1245" s="123" t="n">
        <v>782</v>
      </c>
      <c r="G1245" s="653" t="n">
        <v>3111.5</v>
      </c>
      <c r="H1245" s="123" t="n">
        <v>0</v>
      </c>
      <c r="I1245" s="123" t="n">
        <v>1</v>
      </c>
      <c r="K1245" s="123" t="n">
        <v>2</v>
      </c>
    </row>
    <row r="1246" customFormat="false" ht="15" hidden="false" customHeight="false" outlineLevel="0" collapsed="false">
      <c r="A1246" s="652" t="n">
        <v>45754</v>
      </c>
      <c r="B1246" s="123" t="n">
        <v>989</v>
      </c>
      <c r="C1246" s="124" t="s">
        <v>264</v>
      </c>
      <c r="D1246" s="124" t="s">
        <v>127</v>
      </c>
      <c r="E1246" s="123" t="n">
        <v>299</v>
      </c>
      <c r="G1246" s="653" t="n">
        <v>3410.5</v>
      </c>
      <c r="H1246" s="123" t="n">
        <v>0</v>
      </c>
      <c r="I1246" s="123" t="n">
        <v>1</v>
      </c>
    </row>
    <row r="1247" customFormat="false" ht="15" hidden="false" customHeight="false" outlineLevel="0" collapsed="false">
      <c r="A1247" s="652" t="n">
        <v>45755</v>
      </c>
      <c r="B1247" s="123" t="n">
        <v>990</v>
      </c>
      <c r="C1247" s="124" t="s">
        <v>179</v>
      </c>
      <c r="D1247" s="124" t="s">
        <v>127</v>
      </c>
      <c r="E1247" s="653" t="n">
        <v>178.25</v>
      </c>
      <c r="G1247" s="653" t="n">
        <v>3588.75</v>
      </c>
      <c r="H1247" s="123" t="n">
        <v>0</v>
      </c>
      <c r="J1247" s="123" t="n">
        <v>1</v>
      </c>
    </row>
    <row r="1248" customFormat="false" ht="15" hidden="false" customHeight="false" outlineLevel="0" collapsed="false">
      <c r="A1248" s="652" t="n">
        <v>45755</v>
      </c>
      <c r="B1248" s="123" t="n">
        <v>991</v>
      </c>
      <c r="C1248" s="124" t="s">
        <v>178</v>
      </c>
      <c r="D1248" s="124" t="s">
        <v>127</v>
      </c>
      <c r="E1248" s="123" t="n">
        <v>299</v>
      </c>
      <c r="G1248" s="653" t="n">
        <v>3887.75</v>
      </c>
      <c r="H1248" s="123" t="n">
        <v>0</v>
      </c>
      <c r="I1248" s="123" t="n">
        <v>1</v>
      </c>
    </row>
    <row r="1249" customFormat="false" ht="15" hidden="false" customHeight="false" outlineLevel="0" collapsed="false">
      <c r="A1249" s="652" t="n">
        <v>45755</v>
      </c>
      <c r="B1249" s="124" t="s">
        <v>470</v>
      </c>
      <c r="C1249" s="124" t="s">
        <v>393</v>
      </c>
      <c r="F1249" s="653" t="n">
        <v>2691.75</v>
      </c>
      <c r="G1249" s="123" t="n">
        <v>1196</v>
      </c>
    </row>
    <row r="1250" customFormat="false" ht="15" hidden="false" customHeight="false" outlineLevel="0" collapsed="false">
      <c r="A1250" s="652" t="n">
        <v>45755</v>
      </c>
      <c r="B1250" s="124" t="s">
        <v>657</v>
      </c>
      <c r="C1250" s="124" t="s">
        <v>393</v>
      </c>
      <c r="F1250" s="123" t="n">
        <v>1196</v>
      </c>
      <c r="G1250" s="123" t="n">
        <v>0</v>
      </c>
    </row>
    <row r="1251" customFormat="false" ht="15" hidden="false" customHeight="false" outlineLevel="0" collapsed="false">
      <c r="A1251" s="652" t="n">
        <v>45756</v>
      </c>
      <c r="B1251" s="123" t="n">
        <v>992</v>
      </c>
      <c r="C1251" s="124" t="s">
        <v>94</v>
      </c>
      <c r="D1251" s="124" t="s">
        <v>75</v>
      </c>
      <c r="E1251" s="653" t="n">
        <v>793.5</v>
      </c>
      <c r="G1251" s="653" t="n">
        <v>793.5</v>
      </c>
      <c r="I1251" s="123" t="n">
        <v>1</v>
      </c>
      <c r="K1251" s="123" t="n">
        <v>1</v>
      </c>
      <c r="M1251" s="123" t="n">
        <v>1</v>
      </c>
    </row>
    <row r="1252" customFormat="false" ht="15" hidden="false" customHeight="false" outlineLevel="0" collapsed="false">
      <c r="A1252" s="652" t="n">
        <v>45756</v>
      </c>
      <c r="B1252" s="123" t="n">
        <v>993</v>
      </c>
      <c r="C1252" s="124" t="s">
        <v>95</v>
      </c>
      <c r="D1252" s="124" t="s">
        <v>75</v>
      </c>
      <c r="E1252" s="123" t="n">
        <v>690</v>
      </c>
      <c r="G1252" s="653" t="n">
        <v>1483.5</v>
      </c>
      <c r="K1252" s="123" t="n">
        <v>2</v>
      </c>
    </row>
    <row r="1253" customFormat="false" ht="15" hidden="false" customHeight="false" outlineLevel="0" collapsed="false">
      <c r="A1253" s="652" t="n">
        <v>45756</v>
      </c>
      <c r="B1253" s="123" t="n">
        <v>994</v>
      </c>
      <c r="C1253" s="124" t="s">
        <v>96</v>
      </c>
      <c r="D1253" s="124" t="s">
        <v>75</v>
      </c>
      <c r="E1253" s="653" t="n">
        <v>2708.25</v>
      </c>
      <c r="G1253" s="653" t="n">
        <v>4191.75</v>
      </c>
      <c r="I1253" s="123" t="n">
        <v>2</v>
      </c>
      <c r="K1253" s="123" t="n">
        <v>4</v>
      </c>
      <c r="M1253" s="123" t="n">
        <v>3</v>
      </c>
      <c r="P1253" s="123" t="n">
        <v>2</v>
      </c>
    </row>
    <row r="1254" customFormat="false" ht="15" hidden="false" customHeight="false" outlineLevel="0" collapsed="false">
      <c r="A1254" s="652" t="n">
        <v>45756</v>
      </c>
      <c r="B1254" s="123" t="n">
        <v>997</v>
      </c>
      <c r="C1254" s="124" t="s">
        <v>92</v>
      </c>
      <c r="D1254" s="124" t="s">
        <v>75</v>
      </c>
      <c r="E1254" s="653" t="n">
        <v>379.5</v>
      </c>
      <c r="G1254" s="653" t="n">
        <v>4571.25</v>
      </c>
      <c r="H1254" s="123" t="n">
        <v>0</v>
      </c>
      <c r="M1254" s="123" t="n">
        <v>1</v>
      </c>
      <c r="O1254" s="123" t="n">
        <v>1</v>
      </c>
    </row>
    <row r="1255" customFormat="false" ht="15" hidden="false" customHeight="false" outlineLevel="0" collapsed="false">
      <c r="A1255" s="652" t="n">
        <v>45756</v>
      </c>
      <c r="B1255" s="123" t="n">
        <v>995</v>
      </c>
      <c r="C1255" s="124" t="s">
        <v>89</v>
      </c>
      <c r="D1255" s="124" t="s">
        <v>75</v>
      </c>
      <c r="E1255" s="123" t="n">
        <v>1104</v>
      </c>
      <c r="G1255" s="653" t="n">
        <v>5675.25</v>
      </c>
      <c r="I1255" s="123" t="n">
        <v>2</v>
      </c>
      <c r="K1255" s="123" t="n">
        <v>2</v>
      </c>
    </row>
    <row r="1256" customFormat="false" ht="15" hidden="false" customHeight="false" outlineLevel="0" collapsed="false">
      <c r="A1256" s="652" t="n">
        <v>45756</v>
      </c>
      <c r="B1256" s="123" t="n">
        <v>996</v>
      </c>
      <c r="C1256" s="124" t="s">
        <v>90</v>
      </c>
      <c r="D1256" s="124" t="s">
        <v>75</v>
      </c>
      <c r="E1256" s="123" t="n">
        <v>253</v>
      </c>
      <c r="G1256" s="653" t="n">
        <v>5928.25</v>
      </c>
      <c r="K1256" s="123" t="n">
        <v>1</v>
      </c>
    </row>
    <row r="1257" customFormat="false" ht="15" hidden="false" customHeight="false" outlineLevel="0" collapsed="false">
      <c r="A1257" s="652" t="n">
        <v>45756</v>
      </c>
      <c r="B1257" s="123" t="n">
        <v>998</v>
      </c>
      <c r="C1257" s="124" t="s">
        <v>104</v>
      </c>
      <c r="D1257" s="124" t="s">
        <v>105</v>
      </c>
      <c r="E1257" s="123" t="n">
        <v>253</v>
      </c>
      <c r="G1257" s="653" t="n">
        <v>6181.25</v>
      </c>
      <c r="H1257" s="123" t="n">
        <v>0</v>
      </c>
      <c r="K1257" s="123" t="n">
        <v>1</v>
      </c>
    </row>
    <row r="1258" customFormat="false" ht="15" hidden="false" customHeight="false" outlineLevel="0" collapsed="false">
      <c r="A1258" s="652" t="n">
        <v>45756</v>
      </c>
      <c r="B1258" s="123" t="n">
        <v>999</v>
      </c>
      <c r="C1258" s="124" t="s">
        <v>109</v>
      </c>
      <c r="D1258" s="124" t="s">
        <v>105</v>
      </c>
      <c r="E1258" s="123" t="n">
        <v>1035</v>
      </c>
      <c r="G1258" s="653" t="n">
        <v>7216.25</v>
      </c>
      <c r="I1258" s="123" t="n">
        <v>3</v>
      </c>
      <c r="O1258" s="123" t="n">
        <v>1</v>
      </c>
    </row>
    <row r="1259" customFormat="false" ht="15" hidden="false" customHeight="false" outlineLevel="0" collapsed="false">
      <c r="A1259" s="652" t="n">
        <v>45756</v>
      </c>
      <c r="B1259" s="123" t="n">
        <v>1000</v>
      </c>
      <c r="C1259" s="124" t="s">
        <v>115</v>
      </c>
      <c r="D1259" s="124" t="s">
        <v>105</v>
      </c>
      <c r="E1259" s="123" t="n">
        <v>299</v>
      </c>
      <c r="G1259" s="653" t="n">
        <v>7515.25</v>
      </c>
      <c r="H1259" s="123" t="n">
        <v>0</v>
      </c>
      <c r="I1259" s="123" t="n">
        <v>1</v>
      </c>
    </row>
    <row r="1260" customFormat="false" ht="15" hidden="false" customHeight="false" outlineLevel="0" collapsed="false">
      <c r="A1260" s="652" t="n">
        <v>45756</v>
      </c>
      <c r="B1260" s="123" t="n">
        <v>1001</v>
      </c>
      <c r="C1260" s="124" t="s">
        <v>114</v>
      </c>
      <c r="D1260" s="124" t="s">
        <v>105</v>
      </c>
      <c r="E1260" s="653" t="n">
        <v>477.25</v>
      </c>
      <c r="G1260" s="653" t="n">
        <v>7992.5</v>
      </c>
      <c r="H1260" s="653" t="n">
        <v>-0.75</v>
      </c>
      <c r="I1260" s="123" t="n">
        <v>1</v>
      </c>
      <c r="J1260" s="123" t="n">
        <v>1</v>
      </c>
    </row>
    <row r="1261" customFormat="false" ht="15" hidden="false" customHeight="false" outlineLevel="0" collapsed="false">
      <c r="A1261" s="652" t="n">
        <v>45756</v>
      </c>
      <c r="B1261" s="123" t="n">
        <v>1002</v>
      </c>
      <c r="C1261" s="124" t="s">
        <v>108</v>
      </c>
      <c r="D1261" s="124" t="s">
        <v>105</v>
      </c>
      <c r="E1261" s="123" t="n">
        <v>1196</v>
      </c>
      <c r="G1261" s="653" t="n">
        <v>9188.5</v>
      </c>
      <c r="I1261" s="123" t="n">
        <v>4</v>
      </c>
    </row>
    <row r="1262" customFormat="false" ht="15" hidden="false" customHeight="false" outlineLevel="0" collapsed="false">
      <c r="A1262" s="652" t="n">
        <v>45756</v>
      </c>
      <c r="B1262" s="123" t="n">
        <v>1003</v>
      </c>
      <c r="C1262" s="124" t="s">
        <v>76</v>
      </c>
      <c r="D1262" s="124" t="s">
        <v>75</v>
      </c>
      <c r="E1262" s="653" t="n">
        <v>534.75</v>
      </c>
      <c r="G1262" s="653" t="n">
        <v>9723.25</v>
      </c>
      <c r="O1262" s="123" t="n">
        <v>2</v>
      </c>
      <c r="P1262" s="123" t="n">
        <v>1</v>
      </c>
    </row>
    <row r="1263" customFormat="false" ht="15" hidden="false" customHeight="false" outlineLevel="0" collapsed="false">
      <c r="A1263" s="652" t="n">
        <v>45756</v>
      </c>
      <c r="B1263" s="124" t="s">
        <v>470</v>
      </c>
      <c r="C1263" s="124" t="s">
        <v>393</v>
      </c>
      <c r="F1263" s="653" t="n">
        <v>3191.25</v>
      </c>
      <c r="G1263" s="123" t="n">
        <v>6532</v>
      </c>
    </row>
    <row r="1264" customFormat="false" ht="15" hidden="false" customHeight="false" outlineLevel="0" collapsed="false">
      <c r="A1264" s="652" t="n">
        <v>45756</v>
      </c>
      <c r="B1264" s="124" t="s">
        <v>653</v>
      </c>
      <c r="C1264" s="124" t="s">
        <v>393</v>
      </c>
      <c r="F1264" s="123" t="n">
        <v>6532</v>
      </c>
      <c r="G1264" s="123" t="n">
        <v>0</v>
      </c>
    </row>
    <row r="1265" customFormat="false" ht="15" hidden="false" customHeight="false" outlineLevel="0" collapsed="false">
      <c r="A1265" s="652" t="n">
        <v>45757</v>
      </c>
      <c r="B1265" s="123" t="n">
        <v>1004</v>
      </c>
      <c r="C1265" s="124" t="s">
        <v>259</v>
      </c>
      <c r="D1265" s="124" t="s">
        <v>127</v>
      </c>
      <c r="E1265" s="123" t="n">
        <v>1104</v>
      </c>
      <c r="G1265" s="123" t="n">
        <v>1104</v>
      </c>
      <c r="H1265" s="123" t="n">
        <v>0</v>
      </c>
      <c r="K1265" s="123" t="n">
        <v>4</v>
      </c>
    </row>
    <row r="1266" customFormat="false" ht="15" hidden="false" customHeight="false" outlineLevel="0" collapsed="false">
      <c r="A1266" s="652" t="n">
        <v>45757</v>
      </c>
      <c r="B1266" s="123" t="n">
        <v>1005</v>
      </c>
      <c r="C1266" s="124" t="s">
        <v>260</v>
      </c>
      <c r="D1266" s="124" t="s">
        <v>127</v>
      </c>
      <c r="E1266" s="123" t="n">
        <v>437</v>
      </c>
      <c r="G1266" s="123" t="n">
        <v>1541</v>
      </c>
      <c r="H1266" s="123" t="n">
        <v>0</v>
      </c>
      <c r="I1266" s="123" t="n">
        <v>1</v>
      </c>
      <c r="O1266" s="123" t="n">
        <v>1</v>
      </c>
    </row>
    <row r="1267" customFormat="false" ht="15" hidden="false" customHeight="false" outlineLevel="0" collapsed="false">
      <c r="A1267" s="652" t="n">
        <v>45757</v>
      </c>
      <c r="B1267" s="123" t="n">
        <v>1006</v>
      </c>
      <c r="C1267" s="124" t="s">
        <v>179</v>
      </c>
      <c r="D1267" s="124" t="s">
        <v>127</v>
      </c>
      <c r="E1267" s="123" t="n">
        <v>299</v>
      </c>
      <c r="G1267" s="123" t="n">
        <v>1840</v>
      </c>
      <c r="H1267" s="653" t="n">
        <v>1.25</v>
      </c>
      <c r="I1267" s="123" t="n">
        <v>1</v>
      </c>
    </row>
    <row r="1268" customFormat="false" ht="15" hidden="false" customHeight="false" outlineLevel="0" collapsed="false">
      <c r="A1268" s="652" t="n">
        <v>45757</v>
      </c>
      <c r="B1268" s="123" t="n">
        <v>1007</v>
      </c>
      <c r="C1268" s="124" t="s">
        <v>225</v>
      </c>
      <c r="D1268" s="124" t="s">
        <v>127</v>
      </c>
      <c r="E1268" s="123" t="n">
        <v>253</v>
      </c>
      <c r="G1268" s="123" t="n">
        <v>2093</v>
      </c>
      <c r="H1268" s="123" t="n">
        <v>0</v>
      </c>
      <c r="K1268" s="123" t="n">
        <v>1</v>
      </c>
    </row>
    <row r="1269" customFormat="false" ht="15" hidden="false" customHeight="false" outlineLevel="0" collapsed="false">
      <c r="A1269" s="652" t="n">
        <v>45757</v>
      </c>
      <c r="B1269" s="124" t="s">
        <v>657</v>
      </c>
      <c r="C1269" s="124" t="s">
        <v>393</v>
      </c>
      <c r="F1269" s="123" t="n">
        <v>435</v>
      </c>
      <c r="G1269" s="123" t="n">
        <v>1658</v>
      </c>
    </row>
    <row r="1270" customFormat="false" ht="15" hidden="false" customHeight="false" outlineLevel="0" collapsed="false">
      <c r="A1270" s="652" t="n">
        <v>45757</v>
      </c>
      <c r="B1270" s="124" t="s">
        <v>470</v>
      </c>
      <c r="C1270" s="124" t="s">
        <v>393</v>
      </c>
      <c r="F1270" s="123" t="n">
        <v>1658</v>
      </c>
      <c r="G1270" s="123" t="n">
        <v>0</v>
      </c>
      <c r="H1270" s="653" t="n">
        <v>0.5</v>
      </c>
    </row>
    <row r="1271" customFormat="false" ht="15" hidden="false" customHeight="false" outlineLevel="0" collapsed="false">
      <c r="A1271" s="652" t="n">
        <v>45760</v>
      </c>
      <c r="B1271" s="123" t="n">
        <v>1008</v>
      </c>
      <c r="C1271" s="124" t="s">
        <v>180</v>
      </c>
      <c r="D1271" s="124" t="s">
        <v>127</v>
      </c>
      <c r="E1271" s="653" t="n">
        <v>178.25</v>
      </c>
      <c r="G1271" s="653" t="n">
        <v>178.25</v>
      </c>
      <c r="H1271" s="653" t="n">
        <v>-0.25</v>
      </c>
      <c r="J1271" s="123" t="n">
        <v>1</v>
      </c>
    </row>
    <row r="1272" customFormat="false" ht="15" hidden="false" customHeight="false" outlineLevel="0" collapsed="false">
      <c r="A1272" s="652" t="n">
        <v>45760</v>
      </c>
      <c r="B1272" s="123" t="n">
        <v>1009</v>
      </c>
      <c r="C1272" s="124" t="s">
        <v>178</v>
      </c>
      <c r="D1272" s="124" t="s">
        <v>127</v>
      </c>
      <c r="E1272" s="123" t="n">
        <v>598</v>
      </c>
      <c r="G1272" s="653" t="n">
        <v>776.25</v>
      </c>
      <c r="H1272" s="123" t="n">
        <v>0</v>
      </c>
      <c r="I1272" s="123" t="n">
        <v>2</v>
      </c>
    </row>
    <row r="1273" customFormat="false" ht="15" hidden="false" customHeight="false" outlineLevel="0" collapsed="false">
      <c r="A1273" s="652" t="n">
        <v>45760</v>
      </c>
      <c r="B1273" s="123" t="n">
        <v>1010</v>
      </c>
      <c r="C1273" s="124" t="s">
        <v>177</v>
      </c>
      <c r="D1273" s="124" t="s">
        <v>127</v>
      </c>
      <c r="E1273" s="123" t="n">
        <v>299</v>
      </c>
      <c r="G1273" s="653" t="n">
        <v>1075.25</v>
      </c>
      <c r="H1273" s="123" t="n">
        <v>-1</v>
      </c>
      <c r="I1273" s="123" t="n">
        <v>1</v>
      </c>
    </row>
    <row r="1274" customFormat="false" ht="15" hidden="false" customHeight="false" outlineLevel="0" collapsed="false">
      <c r="A1274" s="652" t="n">
        <v>45760</v>
      </c>
      <c r="B1274" s="123" t="n">
        <v>1011</v>
      </c>
      <c r="C1274" s="124" t="s">
        <v>177</v>
      </c>
      <c r="D1274" s="124" t="s">
        <v>127</v>
      </c>
      <c r="E1274" s="123" t="n">
        <v>299</v>
      </c>
      <c r="G1274" s="653" t="n">
        <v>1374.25</v>
      </c>
      <c r="I1274" s="123" t="n">
        <v>1</v>
      </c>
    </row>
    <row r="1275" customFormat="false" ht="15" hidden="false" customHeight="false" outlineLevel="0" collapsed="false">
      <c r="A1275" s="652" t="n">
        <v>45760</v>
      </c>
      <c r="B1275" s="123" t="n">
        <v>1013</v>
      </c>
      <c r="C1275" s="124" t="s">
        <v>227</v>
      </c>
      <c r="D1275" s="124" t="s">
        <v>127</v>
      </c>
      <c r="E1275" s="123" t="n">
        <v>299</v>
      </c>
      <c r="G1275" s="653" t="n">
        <v>1673.25</v>
      </c>
      <c r="L1275" s="123" t="n">
        <v>1</v>
      </c>
    </row>
    <row r="1276" customFormat="false" ht="15" hidden="false" customHeight="false" outlineLevel="0" collapsed="false">
      <c r="A1276" s="652" t="n">
        <v>45760</v>
      </c>
      <c r="B1276" s="123" t="n">
        <v>1014</v>
      </c>
      <c r="C1276" s="124" t="s">
        <v>157</v>
      </c>
      <c r="D1276" s="124" t="s">
        <v>127</v>
      </c>
      <c r="E1276" s="653" t="n">
        <v>155.25</v>
      </c>
      <c r="G1276" s="653" t="n">
        <v>1828.5</v>
      </c>
      <c r="H1276" s="653" t="n">
        <v>0.25</v>
      </c>
      <c r="P1276" s="123" t="n">
        <v>1</v>
      </c>
    </row>
    <row r="1277" customFormat="false" ht="15" hidden="false" customHeight="false" outlineLevel="0" collapsed="false">
      <c r="A1277" s="652" t="n">
        <v>45760</v>
      </c>
      <c r="B1277" s="123" t="n">
        <v>1012</v>
      </c>
      <c r="C1277" s="124" t="s">
        <v>263</v>
      </c>
      <c r="D1277" s="124" t="s">
        <v>127</v>
      </c>
      <c r="E1277" s="653" t="n">
        <v>155.25</v>
      </c>
      <c r="G1277" s="653" t="n">
        <v>1983.75</v>
      </c>
      <c r="P1277" s="123" t="n">
        <v>1</v>
      </c>
    </row>
    <row r="1278" customFormat="false" ht="15" hidden="false" customHeight="false" outlineLevel="0" collapsed="false">
      <c r="A1278" s="652" t="n">
        <v>45754</v>
      </c>
      <c r="B1278" s="123" t="n">
        <v>1015</v>
      </c>
      <c r="C1278" s="124" t="s">
        <v>145</v>
      </c>
      <c r="D1278" s="124" t="s">
        <v>127</v>
      </c>
      <c r="E1278" s="123" t="n">
        <v>299</v>
      </c>
      <c r="G1278" s="653" t="n">
        <v>2282.75</v>
      </c>
      <c r="I1278" s="123" t="n">
        <v>1</v>
      </c>
    </row>
    <row r="1279" customFormat="false" ht="15" hidden="false" customHeight="false" outlineLevel="0" collapsed="false">
      <c r="A1279" s="652" t="n">
        <v>45760</v>
      </c>
      <c r="B1279" s="124" t="s">
        <v>470</v>
      </c>
      <c r="C1279" s="124" t="s">
        <v>393</v>
      </c>
      <c r="F1279" s="123" t="n">
        <v>794</v>
      </c>
      <c r="G1279" s="653" t="n">
        <v>1488.75</v>
      </c>
    </row>
    <row r="1280" customFormat="false" ht="15" hidden="false" customHeight="false" outlineLevel="0" collapsed="false">
      <c r="A1280" s="652" t="n">
        <v>45761</v>
      </c>
      <c r="B1280" s="124" t="s">
        <v>653</v>
      </c>
      <c r="C1280" s="124" t="s">
        <v>393</v>
      </c>
      <c r="F1280" s="123" t="n">
        <v>1488</v>
      </c>
      <c r="G1280" s="653" t="n">
        <v>0.75</v>
      </c>
    </row>
    <row r="1281" customFormat="false" ht="15" hidden="false" customHeight="false" outlineLevel="0" collapsed="false">
      <c r="A1281" s="652" t="n">
        <v>45761</v>
      </c>
      <c r="B1281" s="123" t="n">
        <v>1016</v>
      </c>
      <c r="C1281" s="124" t="s">
        <v>312</v>
      </c>
      <c r="D1281" s="124" t="s">
        <v>301</v>
      </c>
      <c r="E1281" s="123" t="n">
        <v>598</v>
      </c>
      <c r="G1281" s="653" t="n">
        <v>598.75</v>
      </c>
      <c r="H1281" s="123" t="n">
        <v>0</v>
      </c>
      <c r="I1281" s="123" t="n">
        <v>2</v>
      </c>
    </row>
    <row r="1282" customFormat="false" ht="15" hidden="false" customHeight="false" outlineLevel="0" collapsed="false">
      <c r="A1282" s="652" t="n">
        <v>45761</v>
      </c>
      <c r="B1282" s="123" t="n">
        <v>1017</v>
      </c>
      <c r="C1282" s="124" t="s">
        <v>309</v>
      </c>
      <c r="D1282" s="124" t="s">
        <v>301</v>
      </c>
      <c r="E1282" s="123" t="n">
        <v>138</v>
      </c>
      <c r="G1282" s="653" t="n">
        <v>736.75</v>
      </c>
      <c r="O1282" s="123" t="n">
        <v>1</v>
      </c>
    </row>
    <row r="1283" customFormat="false" ht="15" hidden="false" customHeight="false" outlineLevel="0" collapsed="false">
      <c r="A1283" s="652" t="n">
        <v>45761</v>
      </c>
      <c r="B1283" s="123" t="n">
        <v>1018</v>
      </c>
      <c r="C1283" s="124" t="s">
        <v>305</v>
      </c>
      <c r="D1283" s="124" t="s">
        <v>301</v>
      </c>
      <c r="E1283" s="653" t="n">
        <v>241.5</v>
      </c>
      <c r="G1283" s="653" t="n">
        <v>978.25</v>
      </c>
      <c r="M1283" s="123" t="n">
        <v>1</v>
      </c>
    </row>
    <row r="1284" customFormat="false" ht="15" hidden="false" customHeight="false" outlineLevel="0" collapsed="false">
      <c r="A1284" s="652" t="n">
        <v>45761</v>
      </c>
      <c r="B1284" s="123" t="n">
        <v>1019</v>
      </c>
      <c r="C1284" s="124" t="s">
        <v>319</v>
      </c>
      <c r="D1284" s="124" t="s">
        <v>224</v>
      </c>
      <c r="E1284" s="653" t="n">
        <v>1644.5</v>
      </c>
      <c r="G1284" s="653" t="n">
        <v>2622.75</v>
      </c>
      <c r="I1284" s="123" t="n">
        <v>1</v>
      </c>
      <c r="L1284" s="123" t="n">
        <v>3</v>
      </c>
      <c r="M1284" s="123" t="n">
        <v>2</v>
      </c>
    </row>
    <row r="1285" customFormat="false" ht="15" hidden="false" customHeight="false" outlineLevel="0" collapsed="false">
      <c r="A1285" s="652" t="n">
        <v>45761</v>
      </c>
      <c r="B1285" s="123" t="n">
        <v>1020</v>
      </c>
      <c r="C1285" s="124" t="s">
        <v>327</v>
      </c>
      <c r="D1285" s="124" t="s">
        <v>224</v>
      </c>
      <c r="E1285" s="653" t="n">
        <v>724.5</v>
      </c>
      <c r="G1285" s="653" t="n">
        <v>3347.25</v>
      </c>
      <c r="H1285" s="123" t="n">
        <v>2</v>
      </c>
      <c r="M1285" s="123" t="n">
        <v>3</v>
      </c>
    </row>
    <row r="1286" customFormat="false" ht="15" hidden="false" customHeight="false" outlineLevel="0" collapsed="false">
      <c r="A1286" s="652" t="n">
        <v>45761</v>
      </c>
      <c r="B1286" s="123" t="n">
        <v>1021</v>
      </c>
      <c r="C1286" s="124" t="s">
        <v>317</v>
      </c>
      <c r="D1286" s="124" t="s">
        <v>224</v>
      </c>
      <c r="E1286" s="123" t="n">
        <v>299</v>
      </c>
      <c r="G1286" s="653" t="n">
        <v>3646.25</v>
      </c>
      <c r="H1286" s="123" t="n">
        <v>0</v>
      </c>
      <c r="I1286" s="123" t="n">
        <v>1</v>
      </c>
    </row>
    <row r="1287" customFormat="false" ht="15" hidden="false" customHeight="false" outlineLevel="0" collapsed="false">
      <c r="A1287" s="652" t="n">
        <v>45761</v>
      </c>
      <c r="B1287" s="123" t="n">
        <v>1022</v>
      </c>
      <c r="C1287" s="124" t="s">
        <v>292</v>
      </c>
      <c r="D1287" s="124" t="s">
        <v>286</v>
      </c>
      <c r="E1287" s="123" t="n">
        <v>299</v>
      </c>
      <c r="G1287" s="653" t="n">
        <v>3945.25</v>
      </c>
      <c r="I1287" s="123" t="n">
        <v>1</v>
      </c>
    </row>
    <row r="1288" customFormat="false" ht="15" hidden="false" customHeight="false" outlineLevel="0" collapsed="false">
      <c r="A1288" s="652" t="n">
        <v>45761</v>
      </c>
      <c r="B1288" s="123" t="n">
        <v>1023</v>
      </c>
      <c r="C1288" s="124" t="s">
        <v>290</v>
      </c>
      <c r="D1288" s="124" t="s">
        <v>286</v>
      </c>
      <c r="E1288" s="653" t="n">
        <v>586.5</v>
      </c>
      <c r="G1288" s="653" t="n">
        <v>4531.75</v>
      </c>
      <c r="H1288" s="653" t="n">
        <v>0.5</v>
      </c>
      <c r="I1288" s="123" t="n">
        <v>1</v>
      </c>
      <c r="L1288" s="123" t="n">
        <v>1</v>
      </c>
    </row>
    <row r="1289" customFormat="false" ht="15" hidden="false" customHeight="false" outlineLevel="0" collapsed="false">
      <c r="A1289" s="652" t="n">
        <v>45761</v>
      </c>
      <c r="B1289" s="123" t="n">
        <v>1024</v>
      </c>
      <c r="C1289" s="124" t="s">
        <v>295</v>
      </c>
      <c r="D1289" s="124" t="s">
        <v>286</v>
      </c>
      <c r="E1289" s="653" t="n">
        <v>241.5</v>
      </c>
      <c r="G1289" s="653" t="n">
        <v>4773.25</v>
      </c>
      <c r="O1289" s="123" t="n">
        <v>1</v>
      </c>
    </row>
    <row r="1290" customFormat="false" ht="15" hidden="false" customHeight="false" outlineLevel="0" collapsed="false">
      <c r="A1290" s="652" t="n">
        <v>45761</v>
      </c>
      <c r="B1290" s="123" t="n">
        <v>1025</v>
      </c>
      <c r="C1290" s="124" t="s">
        <v>298</v>
      </c>
      <c r="D1290" s="124" t="s">
        <v>286</v>
      </c>
      <c r="E1290" s="653" t="n">
        <v>684.25</v>
      </c>
      <c r="G1290" s="653" t="n">
        <v>5457.5</v>
      </c>
      <c r="H1290" s="653" t="n">
        <v>0.25</v>
      </c>
      <c r="I1290" s="123" t="n">
        <v>1</v>
      </c>
      <c r="K1290" s="123" t="n">
        <v>1</v>
      </c>
      <c r="P1290" s="123" t="n">
        <v>1</v>
      </c>
    </row>
    <row r="1291" customFormat="false" ht="15" hidden="false" customHeight="false" outlineLevel="0" collapsed="false">
      <c r="A1291" s="652" t="n">
        <v>45761</v>
      </c>
      <c r="B1291" s="123" t="n">
        <v>1026</v>
      </c>
      <c r="C1291" s="124" t="s">
        <v>234</v>
      </c>
      <c r="D1291" s="124" t="s">
        <v>127</v>
      </c>
      <c r="E1291" s="653" t="n">
        <v>684.25</v>
      </c>
      <c r="G1291" s="653" t="n">
        <v>6141.75</v>
      </c>
      <c r="H1291" s="653" t="n">
        <v>0.25</v>
      </c>
      <c r="I1291" s="123" t="n">
        <v>1</v>
      </c>
      <c r="K1291" s="123" t="n">
        <v>1</v>
      </c>
      <c r="P1291" s="123" t="n">
        <v>1</v>
      </c>
    </row>
    <row r="1292" customFormat="false" ht="15" hidden="false" customHeight="false" outlineLevel="0" collapsed="false">
      <c r="A1292" s="652" t="n">
        <v>45761</v>
      </c>
      <c r="B1292" s="123" t="n">
        <v>1027</v>
      </c>
      <c r="C1292" s="124" t="s">
        <v>275</v>
      </c>
      <c r="D1292" s="124" t="s">
        <v>127</v>
      </c>
      <c r="E1292" s="653" t="n">
        <v>1224.75</v>
      </c>
      <c r="G1292" s="653" t="n">
        <v>7366.5</v>
      </c>
      <c r="H1292" s="123" t="n">
        <v>0</v>
      </c>
      <c r="I1292" s="123" t="n">
        <v>2</v>
      </c>
      <c r="K1292" s="123" t="n">
        <v>1</v>
      </c>
      <c r="M1292" s="123" t="n">
        <v>1</v>
      </c>
      <c r="P1292" s="123" t="n">
        <v>1</v>
      </c>
    </row>
    <row r="1293" customFormat="false" ht="15" hidden="false" customHeight="false" outlineLevel="0" collapsed="false">
      <c r="A1293" s="652" t="n">
        <v>45761</v>
      </c>
      <c r="B1293" s="123" t="n">
        <v>1028</v>
      </c>
      <c r="C1293" s="124" t="s">
        <v>260</v>
      </c>
      <c r="D1293" s="124" t="s">
        <v>127</v>
      </c>
      <c r="E1293" s="653" t="n">
        <v>178.25</v>
      </c>
      <c r="G1293" s="653" t="n">
        <v>7544.75</v>
      </c>
      <c r="H1293" s="653" t="n">
        <v>3.25</v>
      </c>
      <c r="J1293" s="123" t="n">
        <v>1</v>
      </c>
    </row>
    <row r="1294" customFormat="false" ht="15" hidden="false" customHeight="false" outlineLevel="0" collapsed="false">
      <c r="A1294" s="652" t="n">
        <v>45761</v>
      </c>
      <c r="B1294" s="124" t="s">
        <v>470</v>
      </c>
      <c r="C1294" s="124" t="s">
        <v>393</v>
      </c>
      <c r="F1294" s="123" t="n">
        <v>1628</v>
      </c>
      <c r="G1294" s="653" t="n">
        <v>5916.75</v>
      </c>
    </row>
    <row r="1295" customFormat="false" ht="15" hidden="false" customHeight="false" outlineLevel="0" collapsed="false">
      <c r="A1295" s="652" t="n">
        <v>45762</v>
      </c>
      <c r="B1295" s="124" t="s">
        <v>653</v>
      </c>
      <c r="C1295" s="124" t="s">
        <v>393</v>
      </c>
      <c r="F1295" s="123" t="n">
        <v>5916</v>
      </c>
      <c r="G1295" s="653" t="n">
        <v>0.75</v>
      </c>
    </row>
    <row r="1296" customFormat="false" ht="15" hidden="false" customHeight="false" outlineLevel="0" collapsed="false">
      <c r="A1296" s="652" t="n">
        <v>45762</v>
      </c>
      <c r="B1296" s="123" t="n">
        <v>1029</v>
      </c>
      <c r="C1296" s="124" t="s">
        <v>130</v>
      </c>
      <c r="D1296" s="124" t="s">
        <v>127</v>
      </c>
      <c r="E1296" s="123" t="n">
        <v>598</v>
      </c>
      <c r="G1296" s="653" t="n">
        <v>598.75</v>
      </c>
      <c r="I1296" s="123" t="n">
        <v>2</v>
      </c>
    </row>
    <row r="1297" customFormat="false" ht="15" hidden="false" customHeight="false" outlineLevel="0" collapsed="false">
      <c r="A1297" s="652" t="n">
        <v>45762</v>
      </c>
      <c r="B1297" s="123" t="n">
        <v>1030</v>
      </c>
      <c r="C1297" s="124" t="s">
        <v>143</v>
      </c>
      <c r="D1297" s="124" t="s">
        <v>127</v>
      </c>
      <c r="E1297" s="123" t="n">
        <v>851</v>
      </c>
      <c r="G1297" s="653" t="n">
        <v>1449.75</v>
      </c>
      <c r="H1297" s="123" t="n">
        <v>1</v>
      </c>
      <c r="I1297" s="123" t="n">
        <v>2</v>
      </c>
      <c r="K1297" s="123" t="n">
        <v>1</v>
      </c>
    </row>
    <row r="1298" customFormat="false" ht="15" hidden="false" customHeight="false" outlineLevel="0" collapsed="false">
      <c r="A1298" s="652" t="n">
        <v>45762</v>
      </c>
      <c r="B1298" s="123" t="n">
        <v>1031</v>
      </c>
      <c r="C1298" s="124" t="s">
        <v>244</v>
      </c>
      <c r="D1298" s="124" t="s">
        <v>127</v>
      </c>
      <c r="E1298" s="123" t="n">
        <v>2553</v>
      </c>
      <c r="G1298" s="653" t="n">
        <v>4002.75</v>
      </c>
      <c r="K1298" s="123" t="n">
        <v>6</v>
      </c>
      <c r="P1298" s="123" t="n">
        <v>4</v>
      </c>
    </row>
    <row r="1299" customFormat="false" ht="15" hidden="false" customHeight="false" outlineLevel="0" collapsed="false">
      <c r="A1299" s="652" t="n">
        <v>45762</v>
      </c>
      <c r="B1299" s="123" t="n">
        <v>1032</v>
      </c>
      <c r="C1299" s="124" t="s">
        <v>160</v>
      </c>
      <c r="D1299" s="124" t="s">
        <v>127</v>
      </c>
      <c r="E1299" s="653" t="n">
        <v>1270.75</v>
      </c>
      <c r="G1299" s="653" t="n">
        <v>5273.5</v>
      </c>
      <c r="H1299" s="653" t="n">
        <v>0.75</v>
      </c>
      <c r="I1299" s="123" t="n">
        <v>2</v>
      </c>
      <c r="K1299" s="123" t="n">
        <v>1</v>
      </c>
      <c r="P1299" s="123" t="n">
        <v>2</v>
      </c>
    </row>
    <row r="1300" customFormat="false" ht="15" hidden="false" customHeight="false" outlineLevel="0" collapsed="false">
      <c r="A1300" s="652" t="n">
        <v>45762</v>
      </c>
      <c r="B1300" s="123" t="n">
        <v>1033</v>
      </c>
      <c r="C1300" s="124" t="s">
        <v>260</v>
      </c>
      <c r="D1300" s="124" t="s">
        <v>127</v>
      </c>
      <c r="E1300" s="123" t="n">
        <v>299</v>
      </c>
      <c r="G1300" s="653" t="n">
        <v>5572.5</v>
      </c>
      <c r="H1300" s="123" t="n">
        <v>0</v>
      </c>
      <c r="I1300" s="123" t="n">
        <v>1</v>
      </c>
    </row>
    <row r="1301" customFormat="false" ht="15" hidden="false" customHeight="false" outlineLevel="0" collapsed="false">
      <c r="A1301" s="652" t="n">
        <v>45762</v>
      </c>
      <c r="B1301" s="124" t="s">
        <v>470</v>
      </c>
      <c r="C1301" s="124" t="s">
        <v>393</v>
      </c>
      <c r="F1301" s="123" t="n">
        <v>684</v>
      </c>
      <c r="G1301" s="653" t="n">
        <v>4888.5</v>
      </c>
    </row>
    <row r="1302" customFormat="false" ht="15" hidden="false" customHeight="false" outlineLevel="0" collapsed="false">
      <c r="A1302" s="652" t="n">
        <v>45762</v>
      </c>
      <c r="B1302" s="124" t="s">
        <v>657</v>
      </c>
      <c r="C1302" s="124" t="s">
        <v>393</v>
      </c>
      <c r="E1302" s="653" t="n">
        <v>-5.5</v>
      </c>
      <c r="F1302" s="123" t="n">
        <v>1140</v>
      </c>
      <c r="G1302" s="123" t="n">
        <v>3743</v>
      </c>
    </row>
    <row r="1303" customFormat="false" ht="15" hidden="false" customHeight="false" outlineLevel="0" collapsed="false">
      <c r="A1303" s="652" t="n">
        <v>45763</v>
      </c>
      <c r="B1303" s="124" t="s">
        <v>653</v>
      </c>
      <c r="C1303" s="124" t="s">
        <v>393</v>
      </c>
      <c r="F1303" s="123" t="n">
        <v>3743</v>
      </c>
      <c r="G1303" s="123" t="n">
        <v>0</v>
      </c>
    </row>
    <row r="1304" customFormat="false" ht="15" hidden="false" customHeight="false" outlineLevel="0" collapsed="false">
      <c r="A1304" s="652" t="n">
        <v>45763</v>
      </c>
      <c r="B1304" s="123" t="n">
        <v>1034</v>
      </c>
      <c r="C1304" s="124" t="s">
        <v>153</v>
      </c>
      <c r="D1304" s="124" t="s">
        <v>127</v>
      </c>
      <c r="E1304" s="123" t="n">
        <v>851</v>
      </c>
      <c r="G1304" s="123" t="n">
        <v>851</v>
      </c>
      <c r="H1304" s="123" t="n">
        <v>0</v>
      </c>
      <c r="I1304" s="123" t="n">
        <v>2</v>
      </c>
      <c r="K1304" s="123" t="n">
        <v>1</v>
      </c>
    </row>
    <row r="1305" customFormat="false" ht="15" hidden="false" customHeight="false" outlineLevel="0" collapsed="false">
      <c r="A1305" s="652" t="n">
        <v>45763</v>
      </c>
      <c r="B1305" s="123" t="n">
        <v>1035</v>
      </c>
      <c r="C1305" s="124" t="s">
        <v>113</v>
      </c>
      <c r="D1305" s="124" t="s">
        <v>105</v>
      </c>
      <c r="E1305" s="123" t="n">
        <v>759</v>
      </c>
      <c r="G1305" s="123" t="n">
        <v>1610</v>
      </c>
      <c r="H1305" s="123" t="n">
        <v>0</v>
      </c>
      <c r="I1305" s="123" t="n">
        <v>1</v>
      </c>
      <c r="K1305" s="123" t="n">
        <v>2</v>
      </c>
    </row>
    <row r="1306" customFormat="false" ht="15" hidden="false" customHeight="false" outlineLevel="0" collapsed="false">
      <c r="A1306" s="652" t="n">
        <v>45763</v>
      </c>
      <c r="B1306" s="123" t="n">
        <v>1036</v>
      </c>
      <c r="C1306" s="124" t="s">
        <v>104</v>
      </c>
      <c r="D1306" s="124" t="s">
        <v>105</v>
      </c>
      <c r="E1306" s="123" t="n">
        <v>552</v>
      </c>
      <c r="G1306" s="123" t="n">
        <v>2162</v>
      </c>
      <c r="I1306" s="123" t="n">
        <v>1</v>
      </c>
      <c r="K1306" s="123" t="n">
        <v>1</v>
      </c>
    </row>
    <row r="1307" customFormat="false" ht="15" hidden="false" customHeight="false" outlineLevel="0" collapsed="false">
      <c r="A1307" s="652" t="n">
        <v>45763</v>
      </c>
      <c r="B1307" s="123" t="n">
        <v>1037</v>
      </c>
      <c r="C1307" s="124" t="s">
        <v>107</v>
      </c>
      <c r="D1307" s="124" t="s">
        <v>105</v>
      </c>
      <c r="E1307" s="123" t="n">
        <v>598</v>
      </c>
      <c r="G1307" s="123" t="n">
        <v>2760</v>
      </c>
      <c r="I1307" s="123" t="n">
        <v>2</v>
      </c>
    </row>
    <row r="1308" customFormat="false" ht="15" hidden="false" customHeight="false" outlineLevel="0" collapsed="false">
      <c r="A1308" s="652" t="n">
        <v>45763</v>
      </c>
      <c r="B1308" s="123" t="n">
        <v>1038</v>
      </c>
      <c r="C1308" s="124" t="s">
        <v>109</v>
      </c>
      <c r="D1308" s="124" t="s">
        <v>105</v>
      </c>
      <c r="E1308" s="123" t="n">
        <v>598</v>
      </c>
      <c r="G1308" s="123" t="n">
        <v>3358</v>
      </c>
      <c r="I1308" s="123" t="n">
        <v>2</v>
      </c>
    </row>
    <row r="1309" customFormat="false" ht="15" hidden="false" customHeight="false" outlineLevel="0" collapsed="false">
      <c r="A1309" s="652" t="n">
        <v>45763</v>
      </c>
      <c r="B1309" s="123" t="n">
        <v>1039</v>
      </c>
      <c r="C1309" s="124" t="s">
        <v>115</v>
      </c>
      <c r="D1309" s="124" t="s">
        <v>105</v>
      </c>
      <c r="E1309" s="123" t="n">
        <v>299</v>
      </c>
      <c r="G1309" s="123" t="n">
        <v>3657</v>
      </c>
      <c r="H1309" s="123" t="n">
        <v>0</v>
      </c>
      <c r="I1309" s="123" t="n">
        <v>1</v>
      </c>
    </row>
    <row r="1310" customFormat="false" ht="15" hidden="false" customHeight="false" outlineLevel="0" collapsed="false">
      <c r="A1310" s="652" t="n">
        <v>45763</v>
      </c>
      <c r="B1310" s="123" t="n">
        <v>1040</v>
      </c>
      <c r="C1310" s="124" t="s">
        <v>111</v>
      </c>
      <c r="D1310" s="124" t="s">
        <v>105</v>
      </c>
      <c r="E1310" s="123" t="n">
        <v>299</v>
      </c>
      <c r="G1310" s="123" t="n">
        <v>3956</v>
      </c>
      <c r="I1310" s="123" t="n">
        <v>1</v>
      </c>
    </row>
    <row r="1311" customFormat="false" ht="15" hidden="false" customHeight="false" outlineLevel="0" collapsed="false">
      <c r="A1311" s="652" t="n">
        <v>45763</v>
      </c>
      <c r="B1311" s="123" t="n">
        <v>1041</v>
      </c>
      <c r="C1311" s="124" t="s">
        <v>92</v>
      </c>
      <c r="D1311" s="124" t="s">
        <v>75</v>
      </c>
      <c r="E1311" s="123" t="n">
        <v>299</v>
      </c>
      <c r="G1311" s="123" t="n">
        <v>4255</v>
      </c>
      <c r="H1311" s="653" t="n">
        <v>-1.5</v>
      </c>
      <c r="I1311" s="123" t="n">
        <v>1</v>
      </c>
    </row>
    <row r="1312" customFormat="false" ht="15" hidden="false" customHeight="false" outlineLevel="0" collapsed="false">
      <c r="A1312" s="652" t="n">
        <v>45763</v>
      </c>
      <c r="B1312" s="123" t="n">
        <v>1042</v>
      </c>
      <c r="C1312" s="124" t="s">
        <v>89</v>
      </c>
      <c r="D1312" s="124" t="s">
        <v>75</v>
      </c>
      <c r="E1312" s="123" t="n">
        <v>1449</v>
      </c>
      <c r="G1312" s="123" t="n">
        <v>5704</v>
      </c>
      <c r="I1312" s="123" t="n">
        <v>1</v>
      </c>
      <c r="K1312" s="123" t="n">
        <v>5</v>
      </c>
    </row>
    <row r="1313" customFormat="false" ht="15" hidden="false" customHeight="false" outlineLevel="0" collapsed="false">
      <c r="A1313" s="652" t="n">
        <v>45762</v>
      </c>
      <c r="B1313" s="124" t="s">
        <v>470</v>
      </c>
      <c r="C1313" s="124" t="s">
        <v>393</v>
      </c>
      <c r="F1313" s="123" t="n">
        <v>3018</v>
      </c>
      <c r="G1313" s="123" t="n">
        <v>2686</v>
      </c>
    </row>
    <row r="1314" customFormat="false" ht="15" hidden="false" customHeight="false" outlineLevel="0" collapsed="false">
      <c r="A1314" s="652" t="n">
        <v>45764</v>
      </c>
      <c r="B1314" s="124" t="s">
        <v>653</v>
      </c>
      <c r="C1314" s="124" t="s">
        <v>393</v>
      </c>
      <c r="F1314" s="123" t="n">
        <v>2686</v>
      </c>
      <c r="G1314" s="123" t="n">
        <v>0</v>
      </c>
    </row>
    <row r="1315" customFormat="false" ht="15" hidden="false" customHeight="false" outlineLevel="0" collapsed="false">
      <c r="A1315" s="652" t="n">
        <v>45764</v>
      </c>
      <c r="B1315" s="123" t="n">
        <v>1043</v>
      </c>
      <c r="C1315" s="124" t="s">
        <v>241</v>
      </c>
      <c r="D1315" s="124" t="s">
        <v>127</v>
      </c>
      <c r="E1315" s="653" t="n">
        <v>454.25</v>
      </c>
      <c r="G1315" s="653" t="n">
        <v>454.25</v>
      </c>
      <c r="I1315" s="123" t="n">
        <v>1</v>
      </c>
      <c r="P1315" s="123" t="n">
        <v>1</v>
      </c>
    </row>
    <row r="1316" customFormat="false" ht="15" hidden="false" customHeight="false" outlineLevel="0" collapsed="false">
      <c r="A1316" s="652" t="n">
        <v>45764</v>
      </c>
      <c r="B1316" s="123" t="n">
        <v>1044</v>
      </c>
      <c r="C1316" s="124" t="s">
        <v>226</v>
      </c>
      <c r="D1316" s="124" t="s">
        <v>127</v>
      </c>
      <c r="E1316" s="653" t="n">
        <v>885.5</v>
      </c>
      <c r="G1316" s="653" t="n">
        <v>1339.75</v>
      </c>
      <c r="H1316" s="653" t="n">
        <v>0.5</v>
      </c>
      <c r="L1316" s="123" t="n">
        <v>2</v>
      </c>
      <c r="P1316" s="123" t="n">
        <v>2</v>
      </c>
    </row>
    <row r="1317" customFormat="false" ht="15" hidden="false" customHeight="false" outlineLevel="0" collapsed="false">
      <c r="A1317" s="652" t="n">
        <v>45764</v>
      </c>
      <c r="B1317" s="123" t="n">
        <v>1045</v>
      </c>
      <c r="C1317" s="124" t="s">
        <v>235</v>
      </c>
      <c r="D1317" s="124" t="s">
        <v>127</v>
      </c>
      <c r="E1317" s="123" t="n">
        <v>299</v>
      </c>
      <c r="G1317" s="653" t="n">
        <v>1638.75</v>
      </c>
      <c r="I1317" s="123" t="n">
        <v>1</v>
      </c>
    </row>
    <row r="1318" customFormat="false" ht="15" hidden="false" customHeight="false" outlineLevel="0" collapsed="false">
      <c r="A1318" s="652" t="n">
        <v>45764</v>
      </c>
      <c r="B1318" s="123" t="n">
        <v>1046</v>
      </c>
      <c r="C1318" s="124" t="s">
        <v>150</v>
      </c>
      <c r="D1318" s="124" t="s">
        <v>127</v>
      </c>
      <c r="E1318" s="653" t="n">
        <v>155.25</v>
      </c>
      <c r="G1318" s="123" t="n">
        <v>1794</v>
      </c>
      <c r="H1318" s="123" t="n">
        <v>0</v>
      </c>
      <c r="P1318" s="123" t="n">
        <v>1</v>
      </c>
    </row>
    <row r="1319" customFormat="false" ht="15" hidden="false" customHeight="false" outlineLevel="0" collapsed="false">
      <c r="A1319" s="652" t="n">
        <v>45764</v>
      </c>
      <c r="B1319" s="123" t="n">
        <v>1047</v>
      </c>
      <c r="C1319" s="124" t="s">
        <v>159</v>
      </c>
      <c r="D1319" s="124" t="s">
        <v>127</v>
      </c>
      <c r="E1319" s="123" t="n">
        <v>598</v>
      </c>
      <c r="G1319" s="123" t="n">
        <v>2392</v>
      </c>
      <c r="H1319" s="123" t="n">
        <v>0</v>
      </c>
      <c r="I1319" s="123" t="n">
        <v>1</v>
      </c>
      <c r="P1319" s="123" t="n">
        <v>1</v>
      </c>
    </row>
    <row r="1320" customFormat="false" ht="15" hidden="false" customHeight="false" outlineLevel="0" collapsed="false">
      <c r="A1320" s="652" t="n">
        <v>45764</v>
      </c>
      <c r="B1320" s="123" t="n">
        <v>1048</v>
      </c>
      <c r="C1320" s="124" t="s">
        <v>132</v>
      </c>
      <c r="D1320" s="124" t="s">
        <v>127</v>
      </c>
      <c r="E1320" s="123" t="n">
        <v>345</v>
      </c>
      <c r="G1320" s="123" t="n">
        <v>2737</v>
      </c>
      <c r="H1320" s="123" t="n">
        <v>0</v>
      </c>
      <c r="K1320" s="123" t="n">
        <v>1</v>
      </c>
    </row>
    <row r="1321" customFormat="false" ht="15" hidden="false" customHeight="false" outlineLevel="0" collapsed="false">
      <c r="A1321" s="652" t="n">
        <v>45764</v>
      </c>
      <c r="B1321" s="124" t="s">
        <v>470</v>
      </c>
      <c r="C1321" s="124" t="s">
        <v>393</v>
      </c>
      <c r="F1321" s="123" t="n">
        <v>1625</v>
      </c>
      <c r="G1321" s="123" t="n">
        <v>1112</v>
      </c>
    </row>
    <row r="1322" customFormat="false" ht="15" hidden="false" customHeight="false" outlineLevel="0" collapsed="false">
      <c r="A1322" s="652" t="n">
        <v>45764</v>
      </c>
      <c r="B1322" s="124" t="s">
        <v>653</v>
      </c>
      <c r="C1322" s="124" t="s">
        <v>393</v>
      </c>
      <c r="F1322" s="123" t="n">
        <v>1112</v>
      </c>
      <c r="G1322" s="123" t="n">
        <v>0</v>
      </c>
    </row>
    <row r="1323" customFormat="false" ht="15" hidden="false" customHeight="false" outlineLevel="0" collapsed="false">
      <c r="A1323" s="652" t="n">
        <v>45767</v>
      </c>
      <c r="B1323" s="123" t="n">
        <v>1052</v>
      </c>
      <c r="C1323" s="124" t="s">
        <v>179</v>
      </c>
      <c r="D1323" s="124" t="s">
        <v>127</v>
      </c>
      <c r="E1323" s="123" t="n">
        <v>299</v>
      </c>
      <c r="G1323" s="123" t="n">
        <v>299</v>
      </c>
      <c r="I1323" s="123" t="n">
        <v>1</v>
      </c>
    </row>
    <row r="1324" customFormat="false" ht="15" hidden="false" customHeight="false" outlineLevel="0" collapsed="false">
      <c r="A1324" s="652" t="n">
        <v>45767</v>
      </c>
      <c r="B1324" s="123" t="n">
        <v>1049</v>
      </c>
      <c r="C1324" s="124" t="s">
        <v>275</v>
      </c>
      <c r="D1324" s="124" t="s">
        <v>127</v>
      </c>
      <c r="E1324" s="653" t="n">
        <v>977.5</v>
      </c>
      <c r="G1324" s="653" t="n">
        <v>1276.5</v>
      </c>
      <c r="H1324" s="653" t="n">
        <v>0.25</v>
      </c>
      <c r="I1324" s="123" t="n">
        <v>1</v>
      </c>
      <c r="K1324" s="123" t="n">
        <v>1</v>
      </c>
      <c r="L1324" s="123" t="n">
        <v>1</v>
      </c>
      <c r="O1324" s="123" t="n">
        <v>1</v>
      </c>
    </row>
    <row r="1325" customFormat="false" ht="15" hidden="false" customHeight="false" outlineLevel="0" collapsed="false">
      <c r="A1325" s="652" t="n">
        <v>45767</v>
      </c>
      <c r="B1325" s="123" t="n">
        <v>1050</v>
      </c>
      <c r="C1325" s="124" t="s">
        <v>237</v>
      </c>
      <c r="D1325" s="124" t="s">
        <v>127</v>
      </c>
      <c r="E1325" s="123" t="n">
        <v>598</v>
      </c>
      <c r="G1325" s="653" t="n">
        <v>1874.5</v>
      </c>
      <c r="H1325" s="123" t="n">
        <v>0</v>
      </c>
      <c r="I1325" s="123" t="n">
        <v>2</v>
      </c>
    </row>
    <row r="1326" customFormat="false" ht="15" hidden="false" customHeight="false" outlineLevel="0" collapsed="false">
      <c r="A1326" s="652" t="n">
        <v>45767</v>
      </c>
      <c r="B1326" s="123" t="n">
        <v>1051</v>
      </c>
      <c r="C1326" s="124" t="s">
        <v>236</v>
      </c>
      <c r="D1326" s="124" t="s">
        <v>127</v>
      </c>
      <c r="E1326" s="123" t="n">
        <v>299</v>
      </c>
      <c r="G1326" s="653" t="n">
        <v>2173.5</v>
      </c>
      <c r="H1326" s="123" t="n">
        <v>-1</v>
      </c>
      <c r="I1326" s="123" t="n">
        <v>1</v>
      </c>
    </row>
    <row r="1327" customFormat="false" ht="15" hidden="false" customHeight="false" outlineLevel="0" collapsed="false">
      <c r="A1327" s="652" t="n">
        <v>45768</v>
      </c>
      <c r="B1327" s="124" t="s">
        <v>657</v>
      </c>
      <c r="C1327" s="124" t="s">
        <v>393</v>
      </c>
      <c r="F1327" s="123" t="n">
        <v>210</v>
      </c>
      <c r="G1327" s="653" t="n">
        <v>1963.5</v>
      </c>
    </row>
    <row r="1328" customFormat="false" ht="15" hidden="false" customHeight="false" outlineLevel="0" collapsed="false">
      <c r="A1328" s="652" t="n">
        <v>45768</v>
      </c>
      <c r="B1328" s="124" t="s">
        <v>653</v>
      </c>
      <c r="C1328" s="124" t="s">
        <v>393</v>
      </c>
      <c r="E1328" s="653" t="n">
        <v>-0.5</v>
      </c>
      <c r="F1328" s="123" t="n">
        <v>1963</v>
      </c>
      <c r="G1328" s="123" t="n">
        <v>0</v>
      </c>
    </row>
    <row r="1329" customFormat="false" ht="15" hidden="false" customHeight="false" outlineLevel="0" collapsed="false">
      <c r="A1329" s="652" t="n">
        <v>45768</v>
      </c>
      <c r="B1329" s="123" t="n">
        <v>1053</v>
      </c>
      <c r="C1329" s="124" t="s">
        <v>298</v>
      </c>
      <c r="D1329" s="124" t="s">
        <v>286</v>
      </c>
      <c r="E1329" s="123" t="n">
        <v>299</v>
      </c>
      <c r="G1329" s="123" t="n">
        <v>299</v>
      </c>
      <c r="H1329" s="123" t="n">
        <v>0</v>
      </c>
      <c r="I1329" s="123" t="n">
        <v>1</v>
      </c>
    </row>
    <row r="1330" customFormat="false" ht="15" hidden="false" customHeight="false" outlineLevel="0" collapsed="false">
      <c r="A1330" s="652" t="n">
        <v>45768</v>
      </c>
      <c r="B1330" s="123" t="n">
        <v>1054</v>
      </c>
      <c r="C1330" s="124" t="s">
        <v>295</v>
      </c>
      <c r="D1330" s="124" t="s">
        <v>286</v>
      </c>
      <c r="E1330" s="653" t="n">
        <v>770.5</v>
      </c>
      <c r="G1330" s="653" t="n">
        <v>1069.5</v>
      </c>
      <c r="L1330" s="123" t="n">
        <v>1</v>
      </c>
      <c r="M1330" s="123" t="n">
        <v>2</v>
      </c>
    </row>
    <row r="1331" customFormat="false" ht="15" hidden="false" customHeight="false" outlineLevel="0" collapsed="false">
      <c r="A1331" s="652" t="n">
        <v>45768</v>
      </c>
      <c r="B1331" s="123" t="n">
        <v>1055</v>
      </c>
      <c r="C1331" s="124" t="s">
        <v>289</v>
      </c>
      <c r="D1331" s="124" t="s">
        <v>286</v>
      </c>
      <c r="E1331" s="123" t="n">
        <v>598</v>
      </c>
      <c r="G1331" s="653" t="n">
        <v>1667.5</v>
      </c>
      <c r="H1331" s="123" t="n">
        <v>0</v>
      </c>
      <c r="I1331" s="123" t="n">
        <v>2</v>
      </c>
    </row>
    <row r="1332" customFormat="false" ht="15" hidden="false" customHeight="false" outlineLevel="0" collapsed="false">
      <c r="A1332" s="652" t="n">
        <v>45768</v>
      </c>
      <c r="B1332" s="123" t="n">
        <v>1056</v>
      </c>
      <c r="C1332" s="124" t="s">
        <v>290</v>
      </c>
      <c r="D1332" s="124" t="s">
        <v>286</v>
      </c>
      <c r="E1332" s="123" t="n">
        <v>598</v>
      </c>
      <c r="G1332" s="653" t="n">
        <v>2265.5</v>
      </c>
      <c r="H1332" s="123" t="n">
        <v>0</v>
      </c>
      <c r="I1332" s="123" t="n">
        <v>2</v>
      </c>
    </row>
    <row r="1333" customFormat="false" ht="15" hidden="false" customHeight="false" outlineLevel="0" collapsed="false">
      <c r="A1333" s="652" t="n">
        <v>45768</v>
      </c>
      <c r="B1333" s="123" t="n">
        <v>1057</v>
      </c>
      <c r="C1333" s="124" t="s">
        <v>292</v>
      </c>
      <c r="D1333" s="124" t="s">
        <v>286</v>
      </c>
      <c r="E1333" s="123" t="n">
        <v>299</v>
      </c>
      <c r="G1333" s="653" t="n">
        <v>2564.5</v>
      </c>
      <c r="I1333" s="123" t="n">
        <v>1</v>
      </c>
    </row>
    <row r="1334" customFormat="false" ht="15" hidden="false" customHeight="false" outlineLevel="0" collapsed="false">
      <c r="A1334" s="652" t="n">
        <v>45768</v>
      </c>
      <c r="B1334" s="123" t="n">
        <v>1058</v>
      </c>
      <c r="C1334" s="124" t="s">
        <v>299</v>
      </c>
      <c r="D1334" s="124" t="s">
        <v>286</v>
      </c>
      <c r="E1334" s="123" t="n">
        <v>299</v>
      </c>
      <c r="G1334" s="653" t="n">
        <v>2863.5</v>
      </c>
      <c r="I1334" s="123" t="n">
        <v>1</v>
      </c>
    </row>
    <row r="1335" customFormat="false" ht="15" hidden="false" customHeight="false" outlineLevel="0" collapsed="false">
      <c r="A1335" s="652" t="n">
        <v>45768</v>
      </c>
      <c r="B1335" s="123" t="n">
        <v>1059</v>
      </c>
      <c r="C1335" s="124" t="s">
        <v>312</v>
      </c>
      <c r="D1335" s="124" t="s">
        <v>301</v>
      </c>
      <c r="E1335" s="653" t="n">
        <v>195.5</v>
      </c>
      <c r="G1335" s="123" t="n">
        <v>3059</v>
      </c>
      <c r="O1335" s="123" t="n">
        <v>1</v>
      </c>
    </row>
    <row r="1336" customFormat="false" ht="15" hidden="false" customHeight="false" outlineLevel="0" collapsed="false">
      <c r="A1336" s="652" t="n">
        <v>45768</v>
      </c>
      <c r="B1336" s="123" t="n">
        <v>1060</v>
      </c>
      <c r="C1336" s="124" t="s">
        <v>303</v>
      </c>
      <c r="D1336" s="124" t="s">
        <v>301</v>
      </c>
      <c r="E1336" s="123" t="n">
        <v>299</v>
      </c>
      <c r="G1336" s="123" t="n">
        <v>3358</v>
      </c>
      <c r="H1336" s="123" t="n">
        <v>0</v>
      </c>
      <c r="I1336" s="123" t="n">
        <v>1</v>
      </c>
    </row>
    <row r="1337" customFormat="false" ht="15" hidden="false" customHeight="false" outlineLevel="0" collapsed="false">
      <c r="A1337" s="652" t="n">
        <v>45768</v>
      </c>
      <c r="B1337" s="123" t="n">
        <v>1061</v>
      </c>
      <c r="C1337" s="124" t="s">
        <v>303</v>
      </c>
      <c r="D1337" s="124" t="s">
        <v>301</v>
      </c>
      <c r="E1337" s="653" t="n">
        <v>241.5</v>
      </c>
      <c r="G1337" s="653" t="n">
        <v>3599.5</v>
      </c>
      <c r="H1337" s="653" t="n">
        <v>0.5</v>
      </c>
      <c r="M1337" s="123" t="n">
        <v>1</v>
      </c>
    </row>
    <row r="1338" customFormat="false" ht="15" hidden="false" customHeight="false" outlineLevel="0" collapsed="false">
      <c r="A1338" s="652" t="n">
        <v>45768</v>
      </c>
      <c r="B1338" s="123" t="n">
        <v>1062</v>
      </c>
      <c r="C1338" s="124" t="s">
        <v>302</v>
      </c>
      <c r="D1338" s="124" t="s">
        <v>301</v>
      </c>
      <c r="E1338" s="123" t="n">
        <v>299</v>
      </c>
      <c r="G1338" s="653" t="n">
        <v>3898.5</v>
      </c>
      <c r="I1338" s="123" t="n">
        <v>1</v>
      </c>
    </row>
    <row r="1339" customFormat="false" ht="15" hidden="false" customHeight="false" outlineLevel="0" collapsed="false">
      <c r="A1339" s="652" t="n">
        <v>45768</v>
      </c>
      <c r="B1339" s="123" t="n">
        <v>1063</v>
      </c>
      <c r="C1339" s="124" t="s">
        <v>316</v>
      </c>
      <c r="D1339" s="124" t="s">
        <v>301</v>
      </c>
      <c r="E1339" s="123" t="n">
        <v>989</v>
      </c>
      <c r="G1339" s="653" t="n">
        <v>4887.5</v>
      </c>
      <c r="H1339" s="123" t="n">
        <v>0</v>
      </c>
      <c r="I1339" s="123" t="n">
        <v>1</v>
      </c>
      <c r="O1339" s="123" t="n">
        <v>5</v>
      </c>
    </row>
    <row r="1340" customFormat="false" ht="15" hidden="false" customHeight="false" outlineLevel="0" collapsed="false">
      <c r="A1340" s="652" t="n">
        <v>45768</v>
      </c>
      <c r="B1340" s="123" t="n">
        <v>1064</v>
      </c>
      <c r="C1340" s="124" t="s">
        <v>293</v>
      </c>
      <c r="D1340" s="124" t="s">
        <v>286</v>
      </c>
      <c r="E1340" s="123" t="n">
        <v>299</v>
      </c>
      <c r="G1340" s="653" t="n">
        <v>5186.5</v>
      </c>
      <c r="I1340" s="123" t="n">
        <v>1</v>
      </c>
    </row>
    <row r="1341" customFormat="false" ht="15" hidden="false" customHeight="false" outlineLevel="0" collapsed="false">
      <c r="A1341" s="652" t="n">
        <v>45768</v>
      </c>
      <c r="B1341" s="124" t="s">
        <v>470</v>
      </c>
      <c r="C1341" s="124" t="s">
        <v>393</v>
      </c>
      <c r="F1341" s="653" t="n">
        <v>2536.5</v>
      </c>
      <c r="G1341" s="123" t="n">
        <v>2650</v>
      </c>
    </row>
    <row r="1342" customFormat="false" ht="15" hidden="false" customHeight="false" outlineLevel="0" collapsed="false">
      <c r="A1342" s="652" t="n">
        <v>45769</v>
      </c>
      <c r="B1342" s="124" t="s">
        <v>653</v>
      </c>
      <c r="C1342" s="124" t="s">
        <v>393</v>
      </c>
      <c r="F1342" s="123" t="n">
        <v>2650</v>
      </c>
      <c r="G1342" s="123" t="n">
        <v>0</v>
      </c>
    </row>
    <row r="1343" customFormat="false" ht="15" hidden="false" customHeight="false" outlineLevel="0" collapsed="false">
      <c r="A1343" s="652" t="n">
        <v>45769</v>
      </c>
      <c r="B1343" s="123" t="n">
        <v>1065</v>
      </c>
      <c r="C1343" s="124" t="s">
        <v>234</v>
      </c>
      <c r="D1343" s="124" t="s">
        <v>127</v>
      </c>
      <c r="E1343" s="653" t="n">
        <v>155.25</v>
      </c>
      <c r="G1343" s="653" t="n">
        <v>155.25</v>
      </c>
      <c r="P1343" s="123" t="n">
        <v>1</v>
      </c>
    </row>
    <row r="1344" customFormat="false" ht="15" hidden="false" customHeight="false" outlineLevel="0" collapsed="false">
      <c r="A1344" s="652" t="n">
        <v>45769</v>
      </c>
      <c r="B1344" s="123" t="n">
        <v>1066</v>
      </c>
      <c r="C1344" s="124" t="s">
        <v>244</v>
      </c>
      <c r="D1344" s="124" t="s">
        <v>127</v>
      </c>
      <c r="E1344" s="123" t="n">
        <v>828</v>
      </c>
      <c r="G1344" s="653" t="n">
        <v>983.25</v>
      </c>
      <c r="P1344" s="123" t="n">
        <v>3</v>
      </c>
    </row>
    <row r="1345" customFormat="false" ht="15" hidden="false" customHeight="false" outlineLevel="0" collapsed="false">
      <c r="A1345" s="652" t="n">
        <v>45769</v>
      </c>
      <c r="B1345" s="123" t="n">
        <v>1067</v>
      </c>
      <c r="C1345" s="124" t="s">
        <v>166</v>
      </c>
      <c r="D1345" s="124" t="s">
        <v>127</v>
      </c>
      <c r="E1345" s="653" t="n">
        <v>402.5</v>
      </c>
      <c r="G1345" s="653" t="n">
        <v>1385.75</v>
      </c>
      <c r="H1345" s="653" t="n">
        <v>2.5</v>
      </c>
      <c r="O1345" s="123" t="n">
        <v>1</v>
      </c>
      <c r="P1345" s="123" t="n">
        <v>1</v>
      </c>
    </row>
    <row r="1346" customFormat="false" ht="15" hidden="false" customHeight="false" outlineLevel="0" collapsed="false">
      <c r="A1346" s="652" t="n">
        <v>45770</v>
      </c>
      <c r="B1346" s="124" t="s">
        <v>653</v>
      </c>
      <c r="C1346" s="124" t="s">
        <v>393</v>
      </c>
      <c r="F1346" s="123" t="n">
        <v>1385</v>
      </c>
      <c r="G1346" s="653" t="n">
        <v>0.75</v>
      </c>
    </row>
    <row r="1347" customFormat="false" ht="15" hidden="false" customHeight="false" outlineLevel="0" collapsed="false">
      <c r="A1347" s="652" t="n">
        <v>45770</v>
      </c>
      <c r="B1347" s="123" t="n">
        <v>1068</v>
      </c>
      <c r="C1347" s="124" t="s">
        <v>92</v>
      </c>
      <c r="D1347" s="124" t="s">
        <v>75</v>
      </c>
      <c r="E1347" s="653" t="n">
        <v>540.5</v>
      </c>
      <c r="G1347" s="653" t="n">
        <v>541.25</v>
      </c>
      <c r="H1347" s="123" t="n">
        <v>0</v>
      </c>
      <c r="I1347" s="123" t="n">
        <v>1</v>
      </c>
      <c r="M1347" s="123" t="n">
        <v>1</v>
      </c>
    </row>
    <row r="1348" customFormat="false" ht="15" hidden="false" customHeight="false" outlineLevel="0" collapsed="false">
      <c r="A1348" s="652" t="n">
        <v>45770</v>
      </c>
      <c r="B1348" s="123" t="n">
        <v>1069</v>
      </c>
      <c r="C1348" s="124" t="s">
        <v>113</v>
      </c>
      <c r="D1348" s="124" t="s">
        <v>105</v>
      </c>
      <c r="E1348" s="653" t="n">
        <v>454.25</v>
      </c>
      <c r="G1348" s="653" t="n">
        <v>995.5</v>
      </c>
      <c r="I1348" s="123" t="n">
        <v>1</v>
      </c>
      <c r="P1348" s="123" t="n">
        <v>1</v>
      </c>
    </row>
    <row r="1349" customFormat="false" ht="15" hidden="false" customHeight="false" outlineLevel="0" collapsed="false">
      <c r="A1349" s="652" t="n">
        <v>45770</v>
      </c>
      <c r="B1349" s="123" t="n">
        <v>1070</v>
      </c>
      <c r="C1349" s="124" t="s">
        <v>108</v>
      </c>
      <c r="D1349" s="124" t="s">
        <v>105</v>
      </c>
      <c r="E1349" s="123" t="n">
        <v>552</v>
      </c>
      <c r="G1349" s="653" t="n">
        <v>1547.5</v>
      </c>
      <c r="K1349" s="123" t="n">
        <v>1</v>
      </c>
      <c r="P1349" s="123" t="n">
        <v>1</v>
      </c>
    </row>
    <row r="1350" customFormat="false" ht="15" hidden="false" customHeight="false" outlineLevel="0" collapsed="false">
      <c r="A1350" s="652" t="n">
        <v>45770</v>
      </c>
      <c r="B1350" s="123" t="n">
        <v>1071</v>
      </c>
      <c r="C1350" s="124" t="s">
        <v>115</v>
      </c>
      <c r="D1350" s="124" t="s">
        <v>105</v>
      </c>
      <c r="E1350" s="123" t="n">
        <v>276</v>
      </c>
      <c r="G1350" s="653" t="n">
        <v>1823.5</v>
      </c>
      <c r="H1350" s="123" t="n">
        <v>0</v>
      </c>
      <c r="O1350" s="123" t="n">
        <v>2</v>
      </c>
    </row>
    <row r="1351" customFormat="false" ht="15" hidden="false" customHeight="false" outlineLevel="0" collapsed="false">
      <c r="A1351" s="652" t="n">
        <v>45770</v>
      </c>
      <c r="B1351" s="123" t="n">
        <v>1072</v>
      </c>
      <c r="C1351" s="124" t="s">
        <v>109</v>
      </c>
      <c r="D1351" s="124" t="s">
        <v>105</v>
      </c>
      <c r="E1351" s="123" t="n">
        <v>874</v>
      </c>
      <c r="G1351" s="653" t="n">
        <v>2697.5</v>
      </c>
      <c r="I1351" s="123" t="n">
        <v>2</v>
      </c>
      <c r="O1351" s="123" t="n">
        <v>2</v>
      </c>
    </row>
    <row r="1352" customFormat="false" ht="15" hidden="false" customHeight="false" outlineLevel="0" collapsed="false">
      <c r="A1352" s="652" t="n">
        <v>45770</v>
      </c>
      <c r="B1352" s="123" t="n">
        <v>1073</v>
      </c>
      <c r="C1352" s="124" t="s">
        <v>109</v>
      </c>
      <c r="D1352" s="124" t="s">
        <v>105</v>
      </c>
      <c r="E1352" s="653" t="n">
        <v>235.75</v>
      </c>
      <c r="G1352" s="653" t="n">
        <v>2933.25</v>
      </c>
      <c r="K1352" s="123" t="n">
        <v>1</v>
      </c>
    </row>
    <row r="1353" customFormat="false" ht="15" hidden="false" customHeight="false" outlineLevel="0" collapsed="false">
      <c r="A1353" s="652" t="n">
        <v>45770</v>
      </c>
      <c r="B1353" s="123" t="n">
        <v>1074</v>
      </c>
      <c r="C1353" s="124" t="s">
        <v>89</v>
      </c>
      <c r="D1353" s="124" t="s">
        <v>75</v>
      </c>
      <c r="E1353" s="123" t="n">
        <v>1150</v>
      </c>
      <c r="G1353" s="653" t="n">
        <v>4083.25</v>
      </c>
      <c r="K1353" s="123" t="n">
        <v>5</v>
      </c>
    </row>
    <row r="1354" customFormat="false" ht="15" hidden="false" customHeight="false" outlineLevel="0" collapsed="false">
      <c r="A1354" s="652" t="n">
        <v>45770</v>
      </c>
      <c r="B1354" s="123" t="n">
        <v>1075</v>
      </c>
      <c r="C1354" s="124" t="s">
        <v>90</v>
      </c>
      <c r="D1354" s="124" t="s">
        <v>75</v>
      </c>
      <c r="E1354" s="123" t="n">
        <v>253</v>
      </c>
      <c r="G1354" s="653" t="n">
        <v>4336.25</v>
      </c>
      <c r="H1354" s="123" t="n">
        <v>1</v>
      </c>
      <c r="K1354" s="123" t="n">
        <v>1</v>
      </c>
    </row>
    <row r="1355" customFormat="false" ht="15" hidden="false" customHeight="false" outlineLevel="0" collapsed="false">
      <c r="A1355" s="652" t="n">
        <v>45770</v>
      </c>
      <c r="B1355" s="123" t="n">
        <v>1076</v>
      </c>
      <c r="C1355" s="124" t="s">
        <v>99</v>
      </c>
      <c r="D1355" s="124" t="s">
        <v>75</v>
      </c>
      <c r="E1355" s="123" t="n">
        <v>253</v>
      </c>
      <c r="G1355" s="653" t="n">
        <v>4589.25</v>
      </c>
      <c r="K1355" s="123" t="n">
        <v>1</v>
      </c>
    </row>
    <row r="1356" customFormat="false" ht="15" hidden="false" customHeight="false" outlineLevel="0" collapsed="false">
      <c r="A1356" s="652" t="n">
        <v>45770</v>
      </c>
      <c r="B1356" s="123" t="n">
        <v>1077</v>
      </c>
      <c r="C1356" s="124" t="s">
        <v>77</v>
      </c>
      <c r="D1356" s="124" t="s">
        <v>75</v>
      </c>
      <c r="E1356" s="123" t="n">
        <v>138</v>
      </c>
      <c r="G1356" s="653" t="n">
        <v>4727.25</v>
      </c>
      <c r="O1356" s="123" t="n">
        <v>1</v>
      </c>
    </row>
    <row r="1357" customFormat="false" ht="15" hidden="false" customHeight="false" outlineLevel="0" collapsed="false">
      <c r="A1357" s="652" t="n">
        <v>45770</v>
      </c>
      <c r="B1357" s="124" t="s">
        <v>470</v>
      </c>
      <c r="C1357" s="124" t="s">
        <v>393</v>
      </c>
      <c r="F1357" s="123" t="n">
        <v>1150</v>
      </c>
      <c r="G1357" s="653" t="n">
        <v>3577.25</v>
      </c>
    </row>
    <row r="1358" customFormat="false" ht="15" hidden="false" customHeight="false" outlineLevel="0" collapsed="false">
      <c r="A1358" s="652" t="n">
        <v>45770</v>
      </c>
      <c r="B1358" s="124" t="s">
        <v>653</v>
      </c>
      <c r="C1358" s="124" t="s">
        <v>393</v>
      </c>
      <c r="E1358" s="653" t="n">
        <v>-0.25</v>
      </c>
      <c r="F1358" s="123" t="n">
        <v>3577</v>
      </c>
      <c r="G1358" s="123" t="n">
        <v>0</v>
      </c>
    </row>
    <row r="1359" customFormat="false" ht="15" hidden="false" customHeight="false" outlineLevel="0" collapsed="false">
      <c r="A1359" s="652" t="n">
        <v>45771</v>
      </c>
      <c r="B1359" s="123" t="n">
        <v>1078</v>
      </c>
      <c r="C1359" s="124" t="s">
        <v>238</v>
      </c>
      <c r="D1359" s="124" t="s">
        <v>127</v>
      </c>
      <c r="E1359" s="123" t="n">
        <v>552</v>
      </c>
      <c r="G1359" s="123" t="n">
        <v>552</v>
      </c>
      <c r="H1359" s="123" t="n">
        <v>0</v>
      </c>
      <c r="K1359" s="123" t="n">
        <v>1</v>
      </c>
      <c r="P1359" s="123" t="n">
        <v>1</v>
      </c>
    </row>
    <row r="1360" customFormat="false" ht="15" hidden="false" customHeight="false" outlineLevel="0" collapsed="false">
      <c r="A1360" s="652" t="n">
        <v>45771</v>
      </c>
      <c r="B1360" s="123" t="n">
        <v>1079</v>
      </c>
      <c r="C1360" s="124" t="s">
        <v>264</v>
      </c>
      <c r="D1360" s="124" t="s">
        <v>127</v>
      </c>
      <c r="E1360" s="653" t="n">
        <v>310.5</v>
      </c>
      <c r="G1360" s="653" t="n">
        <v>862.5</v>
      </c>
      <c r="H1360" s="653" t="n">
        <v>0.5</v>
      </c>
      <c r="P1360" s="123" t="n">
        <v>2</v>
      </c>
    </row>
    <row r="1361" customFormat="false" ht="15" hidden="false" customHeight="false" outlineLevel="0" collapsed="false">
      <c r="A1361" s="652" t="n">
        <v>45771</v>
      </c>
      <c r="B1361" s="123" t="n">
        <v>1081</v>
      </c>
      <c r="C1361" s="124" t="s">
        <v>176</v>
      </c>
      <c r="D1361" s="124" t="s">
        <v>127</v>
      </c>
      <c r="E1361" s="123" t="n">
        <v>598</v>
      </c>
      <c r="G1361" s="653" t="n">
        <v>1460.5</v>
      </c>
      <c r="H1361" s="123" t="n">
        <v>0</v>
      </c>
      <c r="I1361" s="123" t="n">
        <v>2</v>
      </c>
    </row>
    <row r="1362" customFormat="false" ht="15" hidden="false" customHeight="false" outlineLevel="0" collapsed="false">
      <c r="A1362" s="652" t="n">
        <v>45771</v>
      </c>
      <c r="B1362" s="123" t="n">
        <v>1080</v>
      </c>
      <c r="C1362" s="124" t="s">
        <v>180</v>
      </c>
      <c r="D1362" s="124" t="s">
        <v>127</v>
      </c>
      <c r="E1362" s="123" t="n">
        <v>299</v>
      </c>
      <c r="G1362" s="653" t="n">
        <v>1759.5</v>
      </c>
      <c r="H1362" s="123" t="n">
        <v>0</v>
      </c>
      <c r="I1362" s="123" t="n">
        <v>1</v>
      </c>
    </row>
    <row r="1363" customFormat="false" ht="15" hidden="false" customHeight="false" outlineLevel="0" collapsed="false">
      <c r="A1363" s="652" t="n">
        <v>45771</v>
      </c>
      <c r="B1363" s="123" t="n">
        <v>1082</v>
      </c>
      <c r="C1363" s="124" t="s">
        <v>177</v>
      </c>
      <c r="D1363" s="124" t="s">
        <v>127</v>
      </c>
      <c r="E1363" s="123" t="n">
        <v>299</v>
      </c>
      <c r="G1363" s="653" t="n">
        <v>2058.5</v>
      </c>
      <c r="H1363" s="123" t="n">
        <v>1</v>
      </c>
      <c r="I1363" s="123" t="n">
        <v>1</v>
      </c>
    </row>
    <row r="1364" customFormat="false" ht="15" hidden="false" customHeight="false" outlineLevel="0" collapsed="false">
      <c r="A1364" s="652" t="n">
        <v>45771</v>
      </c>
      <c r="B1364" s="123" t="n">
        <v>1083</v>
      </c>
      <c r="C1364" s="124" t="s">
        <v>259</v>
      </c>
      <c r="D1364" s="124" t="s">
        <v>127</v>
      </c>
      <c r="E1364" s="123" t="n">
        <v>253</v>
      </c>
      <c r="G1364" s="653" t="n">
        <v>2311.5</v>
      </c>
      <c r="H1364" s="123" t="n">
        <v>0</v>
      </c>
      <c r="K1364" s="123" t="n">
        <v>1</v>
      </c>
    </row>
    <row r="1365" customFormat="false" ht="15" hidden="false" customHeight="false" outlineLevel="0" collapsed="false">
      <c r="A1365" s="652" t="n">
        <v>45771</v>
      </c>
      <c r="B1365" s="123" t="n">
        <v>1084</v>
      </c>
      <c r="C1365" s="124" t="s">
        <v>259</v>
      </c>
      <c r="D1365" s="124" t="s">
        <v>127</v>
      </c>
      <c r="E1365" s="123" t="n">
        <v>874</v>
      </c>
      <c r="G1365" s="653" t="n">
        <v>3185.5</v>
      </c>
      <c r="H1365" s="123" t="n">
        <v>0</v>
      </c>
      <c r="K1365" s="123" t="n">
        <v>2</v>
      </c>
      <c r="O1365" s="123" t="n">
        <v>2</v>
      </c>
    </row>
    <row r="1366" customFormat="false" ht="15" hidden="false" customHeight="false" outlineLevel="0" collapsed="false">
      <c r="A1366" s="652" t="n">
        <v>45771</v>
      </c>
      <c r="B1366" s="123" t="n">
        <v>1085</v>
      </c>
      <c r="C1366" s="124" t="s">
        <v>134</v>
      </c>
      <c r="D1366" s="124" t="s">
        <v>127</v>
      </c>
      <c r="E1366" s="653" t="n">
        <v>2104.5</v>
      </c>
      <c r="G1366" s="123" t="n">
        <v>5290</v>
      </c>
      <c r="H1366" s="123" t="n">
        <v>0</v>
      </c>
      <c r="K1366" s="123" t="n">
        <v>5</v>
      </c>
      <c r="L1366" s="123" t="n">
        <v>1</v>
      </c>
      <c r="O1366" s="123" t="n">
        <v>3</v>
      </c>
    </row>
    <row r="1367" customFormat="false" ht="15" hidden="false" customHeight="false" outlineLevel="0" collapsed="false">
      <c r="A1367" s="652" t="n">
        <v>45771</v>
      </c>
      <c r="B1367" s="124" t="s">
        <v>470</v>
      </c>
      <c r="C1367" s="124" t="s">
        <v>393</v>
      </c>
      <c r="F1367" s="653" t="n">
        <v>427.5</v>
      </c>
      <c r="G1367" s="653" t="n">
        <v>4862.5</v>
      </c>
    </row>
    <row r="1368" customFormat="false" ht="15" hidden="false" customHeight="false" outlineLevel="0" collapsed="false">
      <c r="A1368" s="652" t="n">
        <v>45771</v>
      </c>
      <c r="B1368" s="124" t="s">
        <v>470</v>
      </c>
      <c r="C1368" s="124" t="s">
        <v>393</v>
      </c>
      <c r="F1368" s="653" t="n">
        <v>2088.5</v>
      </c>
      <c r="G1368" s="123" t="n">
        <v>2774</v>
      </c>
    </row>
    <row r="1369" customFormat="false" ht="15" hidden="false" customHeight="false" outlineLevel="0" collapsed="false">
      <c r="A1369" s="652" t="n">
        <v>45774</v>
      </c>
      <c r="B1369" s="124" t="s">
        <v>653</v>
      </c>
      <c r="C1369" s="124" t="s">
        <v>393</v>
      </c>
      <c r="F1369" s="123" t="n">
        <v>2774</v>
      </c>
      <c r="G1369" s="123" t="n">
        <v>0</v>
      </c>
    </row>
    <row r="1370" customFormat="false" ht="15" hidden="false" customHeight="false" outlineLevel="0" collapsed="false">
      <c r="A1370" s="652" t="n">
        <v>45774</v>
      </c>
      <c r="B1370" s="123" t="n">
        <v>1089</v>
      </c>
      <c r="C1370" s="124" t="s">
        <v>268</v>
      </c>
      <c r="D1370" s="124" t="s">
        <v>127</v>
      </c>
      <c r="E1370" s="653" t="n">
        <v>402.5</v>
      </c>
      <c r="G1370" s="653" t="n">
        <v>402.5</v>
      </c>
      <c r="O1370" s="123" t="n">
        <v>1</v>
      </c>
      <c r="P1370" s="123" t="n">
        <v>1</v>
      </c>
    </row>
    <row r="1371" customFormat="false" ht="15" hidden="false" customHeight="false" outlineLevel="0" collapsed="false">
      <c r="A1371" s="652" t="n">
        <v>45774</v>
      </c>
      <c r="B1371" s="123" t="n">
        <v>1086</v>
      </c>
      <c r="C1371" s="124" t="s">
        <v>159</v>
      </c>
      <c r="D1371" s="124" t="s">
        <v>127</v>
      </c>
      <c r="E1371" s="123" t="n">
        <v>299</v>
      </c>
      <c r="G1371" s="653" t="n">
        <v>701.5</v>
      </c>
      <c r="H1371" s="123" t="n">
        <v>-1</v>
      </c>
      <c r="I1371" s="123" t="n">
        <v>1</v>
      </c>
    </row>
    <row r="1372" customFormat="false" ht="15" hidden="false" customHeight="false" outlineLevel="0" collapsed="false">
      <c r="A1372" s="652" t="n">
        <v>45774</v>
      </c>
      <c r="B1372" s="123" t="n">
        <v>1088</v>
      </c>
      <c r="C1372" s="124" t="s">
        <v>236</v>
      </c>
      <c r="D1372" s="124" t="s">
        <v>127</v>
      </c>
      <c r="E1372" s="123" t="n">
        <v>299</v>
      </c>
      <c r="G1372" s="653" t="n">
        <v>1000.5</v>
      </c>
      <c r="I1372" s="123" t="n">
        <v>1</v>
      </c>
    </row>
    <row r="1373" customFormat="false" ht="15" hidden="false" customHeight="false" outlineLevel="0" collapsed="false">
      <c r="A1373" s="652" t="n">
        <v>45774</v>
      </c>
      <c r="B1373" s="123" t="n">
        <v>1087</v>
      </c>
      <c r="C1373" s="124" t="s">
        <v>263</v>
      </c>
      <c r="D1373" s="124" t="s">
        <v>127</v>
      </c>
      <c r="E1373" s="653" t="n">
        <v>155.25</v>
      </c>
      <c r="G1373" s="653" t="n">
        <v>1155.75</v>
      </c>
      <c r="P1373" s="123" t="n">
        <v>1</v>
      </c>
    </row>
    <row r="1374" customFormat="false" ht="15" hidden="false" customHeight="false" outlineLevel="0" collapsed="false">
      <c r="A1374" s="652" t="n">
        <v>45774</v>
      </c>
      <c r="B1374" s="123" t="n">
        <v>1090</v>
      </c>
      <c r="C1374" s="124" t="s">
        <v>225</v>
      </c>
      <c r="D1374" s="124" t="s">
        <v>127</v>
      </c>
      <c r="E1374" s="123" t="n">
        <v>299</v>
      </c>
      <c r="G1374" s="653" t="n">
        <v>1454.75</v>
      </c>
      <c r="H1374" s="123" t="n">
        <v>0</v>
      </c>
      <c r="I1374" s="123" t="n">
        <v>1</v>
      </c>
    </row>
    <row r="1375" customFormat="false" ht="15" hidden="false" customHeight="false" outlineLevel="0" collapsed="false">
      <c r="A1375" s="652" t="n">
        <v>45774</v>
      </c>
      <c r="B1375" s="123" t="n">
        <v>1091</v>
      </c>
      <c r="C1375" s="124" t="s">
        <v>160</v>
      </c>
      <c r="D1375" s="124" t="s">
        <v>127</v>
      </c>
      <c r="E1375" s="123" t="n">
        <v>851</v>
      </c>
      <c r="G1375" s="653" t="n">
        <v>2305.75</v>
      </c>
      <c r="I1375" s="123" t="n">
        <v>2</v>
      </c>
      <c r="K1375" s="123" t="n">
        <v>1</v>
      </c>
    </row>
    <row r="1376" customFormat="false" ht="15" hidden="false" customHeight="false" outlineLevel="0" collapsed="false">
      <c r="A1376" s="652" t="n">
        <v>45774</v>
      </c>
      <c r="B1376" s="124" t="s">
        <v>470</v>
      </c>
      <c r="C1376" s="124" t="s">
        <v>393</v>
      </c>
      <c r="E1376" s="653" t="n">
        <v>-0.5</v>
      </c>
      <c r="F1376" s="653" t="n">
        <v>1454.25</v>
      </c>
      <c r="G1376" s="123" t="n">
        <v>851</v>
      </c>
    </row>
    <row r="1377" customFormat="false" ht="15" hidden="false" customHeight="false" outlineLevel="0" collapsed="false">
      <c r="A1377" s="652" t="n">
        <v>45775</v>
      </c>
      <c r="B1377" s="124" t="s">
        <v>657</v>
      </c>
      <c r="C1377" s="124" t="s">
        <v>393</v>
      </c>
      <c r="F1377" s="123" t="n">
        <v>851</v>
      </c>
      <c r="G1377" s="123" t="n">
        <v>0</v>
      </c>
    </row>
    <row r="1378" customFormat="false" ht="15" hidden="false" customHeight="false" outlineLevel="0" collapsed="false">
      <c r="A1378" s="652" t="n">
        <v>45775</v>
      </c>
      <c r="B1378" s="123" t="n">
        <v>1095</v>
      </c>
      <c r="C1378" s="124" t="s">
        <v>310</v>
      </c>
      <c r="D1378" s="124" t="s">
        <v>301</v>
      </c>
      <c r="E1378" s="123" t="n">
        <v>5865</v>
      </c>
      <c r="G1378" s="123" t="n">
        <v>5865</v>
      </c>
      <c r="K1378" s="123" t="n">
        <v>5</v>
      </c>
      <c r="O1378" s="123" t="n">
        <v>30</v>
      </c>
    </row>
    <row r="1379" customFormat="false" ht="15" hidden="false" customHeight="false" outlineLevel="0" collapsed="false">
      <c r="A1379" s="652" t="n">
        <v>45775</v>
      </c>
      <c r="B1379" s="123" t="n">
        <v>1092</v>
      </c>
      <c r="C1379" s="124" t="s">
        <v>295</v>
      </c>
      <c r="D1379" s="124" t="s">
        <v>286</v>
      </c>
      <c r="E1379" s="123" t="n">
        <v>598</v>
      </c>
      <c r="G1379" s="123" t="n">
        <v>6463</v>
      </c>
      <c r="I1379" s="123" t="n">
        <v>2</v>
      </c>
    </row>
    <row r="1380" customFormat="false" ht="15" hidden="false" customHeight="false" outlineLevel="0" collapsed="false">
      <c r="A1380" s="652" t="n">
        <v>45775</v>
      </c>
      <c r="B1380" s="123" t="n">
        <v>1093</v>
      </c>
      <c r="C1380" s="124" t="s">
        <v>298</v>
      </c>
      <c r="D1380" s="124" t="s">
        <v>286</v>
      </c>
      <c r="E1380" s="123" t="n">
        <v>253</v>
      </c>
      <c r="G1380" s="123" t="n">
        <v>6716</v>
      </c>
      <c r="H1380" s="123" t="n">
        <v>-2</v>
      </c>
      <c r="K1380" s="123" t="n">
        <v>1</v>
      </c>
    </row>
    <row r="1381" customFormat="false" ht="15" hidden="false" customHeight="false" outlineLevel="0" collapsed="false">
      <c r="A1381" s="652" t="n">
        <v>45775</v>
      </c>
      <c r="B1381" s="123" t="n">
        <v>1094</v>
      </c>
      <c r="C1381" s="124" t="s">
        <v>157</v>
      </c>
      <c r="D1381" s="124" t="s">
        <v>127</v>
      </c>
      <c r="E1381" s="123" t="n">
        <v>299</v>
      </c>
      <c r="G1381" s="123" t="n">
        <v>7015</v>
      </c>
      <c r="H1381" s="123" t="n">
        <v>0</v>
      </c>
      <c r="I1381" s="123" t="n">
        <v>1</v>
      </c>
    </row>
    <row r="1382" customFormat="false" ht="15" hidden="false" customHeight="false" outlineLevel="0" collapsed="false">
      <c r="A1382" s="652" t="n">
        <v>45775</v>
      </c>
      <c r="B1382" s="123" t="n">
        <v>1096</v>
      </c>
      <c r="C1382" s="124" t="s">
        <v>310</v>
      </c>
      <c r="D1382" s="124" t="s">
        <v>301</v>
      </c>
      <c r="E1382" s="123" t="n">
        <v>3335</v>
      </c>
      <c r="G1382" s="123" t="n">
        <v>10350</v>
      </c>
      <c r="H1382" s="123" t="n">
        <v>0</v>
      </c>
      <c r="K1382" s="123" t="n">
        <v>5</v>
      </c>
      <c r="O1382" s="123" t="n">
        <v>15</v>
      </c>
    </row>
    <row r="1383" customFormat="false" ht="15" hidden="false" customHeight="false" outlineLevel="0" collapsed="false">
      <c r="A1383" s="652" t="n">
        <v>45775</v>
      </c>
      <c r="B1383" s="123" t="n">
        <v>1097</v>
      </c>
      <c r="C1383" s="124" t="s">
        <v>325</v>
      </c>
      <c r="D1383" s="124" t="s">
        <v>224</v>
      </c>
      <c r="E1383" s="123" t="n">
        <v>2300</v>
      </c>
      <c r="G1383" s="123" t="n">
        <v>12650</v>
      </c>
      <c r="H1383" s="123" t="n">
        <v>0</v>
      </c>
      <c r="I1383" s="123" t="n">
        <v>6</v>
      </c>
      <c r="K1383" s="123" t="n">
        <v>2</v>
      </c>
    </row>
    <row r="1384" customFormat="false" ht="15" hidden="false" customHeight="false" outlineLevel="0" collapsed="false">
      <c r="A1384" s="652" t="n">
        <v>45775</v>
      </c>
      <c r="B1384" s="123" t="n">
        <v>1098</v>
      </c>
      <c r="C1384" s="124" t="s">
        <v>327</v>
      </c>
      <c r="D1384" s="124" t="s">
        <v>224</v>
      </c>
      <c r="E1384" s="653" t="n">
        <v>770.5</v>
      </c>
      <c r="G1384" s="653" t="n">
        <v>13420.5</v>
      </c>
      <c r="L1384" s="123" t="n">
        <v>1</v>
      </c>
      <c r="M1384" s="123" t="n">
        <v>2</v>
      </c>
    </row>
    <row r="1385" customFormat="false" ht="15" hidden="false" customHeight="false" outlineLevel="0" collapsed="false">
      <c r="A1385" s="652" t="n">
        <v>45775</v>
      </c>
      <c r="B1385" s="123" t="n">
        <v>1099</v>
      </c>
      <c r="C1385" s="124" t="s">
        <v>327</v>
      </c>
      <c r="D1385" s="124" t="s">
        <v>224</v>
      </c>
      <c r="E1385" s="123" t="n">
        <v>483</v>
      </c>
      <c r="G1385" s="653" t="n">
        <v>13903.5</v>
      </c>
      <c r="M1385" s="123" t="n">
        <v>2</v>
      </c>
    </row>
    <row r="1386" customFormat="false" ht="15" hidden="false" customHeight="false" outlineLevel="0" collapsed="false">
      <c r="A1386" s="652" t="n">
        <v>45775</v>
      </c>
      <c r="B1386" s="123" t="n">
        <v>1100</v>
      </c>
      <c r="C1386" s="124" t="s">
        <v>327</v>
      </c>
      <c r="D1386" s="124" t="s">
        <v>224</v>
      </c>
      <c r="E1386" s="123" t="n">
        <v>253</v>
      </c>
      <c r="G1386" s="653" t="n">
        <v>14156.5</v>
      </c>
      <c r="H1386" s="653" t="n">
        <v>-2.5</v>
      </c>
      <c r="K1386" s="123" t="n">
        <v>1</v>
      </c>
    </row>
    <row r="1387" customFormat="false" ht="15" hidden="false" customHeight="false" outlineLevel="0" collapsed="false">
      <c r="A1387" s="652" t="n">
        <v>45775</v>
      </c>
      <c r="B1387" s="123" t="n">
        <v>1101</v>
      </c>
      <c r="C1387" s="124" t="s">
        <v>317</v>
      </c>
      <c r="D1387" s="124" t="s">
        <v>224</v>
      </c>
      <c r="E1387" s="123" t="n">
        <v>598</v>
      </c>
      <c r="G1387" s="653" t="n">
        <v>14754.5</v>
      </c>
      <c r="I1387" s="123" t="n">
        <v>2</v>
      </c>
    </row>
    <row r="1388" customFormat="false" ht="15" hidden="false" customHeight="false" outlineLevel="0" collapsed="false">
      <c r="A1388" s="652" t="n">
        <v>45775</v>
      </c>
      <c r="B1388" s="123" t="n">
        <v>1102</v>
      </c>
      <c r="C1388" s="124" t="s">
        <v>319</v>
      </c>
      <c r="D1388" s="124" t="s">
        <v>224</v>
      </c>
      <c r="E1388" s="653" t="n">
        <v>724.5</v>
      </c>
      <c r="G1388" s="123" t="n">
        <v>15479</v>
      </c>
      <c r="M1388" s="123" t="n">
        <v>3</v>
      </c>
    </row>
    <row r="1389" customFormat="false" ht="15" hidden="false" customHeight="false" outlineLevel="0" collapsed="false">
      <c r="A1389" s="652" t="n">
        <v>45775</v>
      </c>
      <c r="B1389" s="123" t="n">
        <v>1103</v>
      </c>
      <c r="C1389" s="124" t="s">
        <v>95</v>
      </c>
      <c r="D1389" s="124" t="s">
        <v>75</v>
      </c>
      <c r="E1389" s="123" t="n">
        <v>1495</v>
      </c>
      <c r="G1389" s="123" t="n">
        <v>16974</v>
      </c>
      <c r="I1389" s="123" t="n">
        <v>5</v>
      </c>
    </row>
    <row r="1390" customFormat="false" ht="15" hidden="false" customHeight="false" outlineLevel="0" collapsed="false">
      <c r="A1390" s="652" t="n">
        <v>45775</v>
      </c>
      <c r="B1390" s="123" t="n">
        <v>1104</v>
      </c>
      <c r="C1390" s="124" t="s">
        <v>96</v>
      </c>
      <c r="D1390" s="124" t="s">
        <v>75</v>
      </c>
      <c r="E1390" s="123" t="n">
        <v>1771</v>
      </c>
      <c r="G1390" s="123" t="n">
        <v>18745</v>
      </c>
      <c r="I1390" s="123" t="n">
        <v>2</v>
      </c>
      <c r="K1390" s="123" t="n">
        <v>3</v>
      </c>
      <c r="M1390" s="123" t="n">
        <v>2</v>
      </c>
    </row>
    <row r="1391" customFormat="false" ht="15" hidden="false" customHeight="false" outlineLevel="0" collapsed="false">
      <c r="A1391" s="652" t="n">
        <v>45775</v>
      </c>
      <c r="B1391" s="123" t="n">
        <v>1105</v>
      </c>
      <c r="C1391" s="124" t="s">
        <v>101</v>
      </c>
      <c r="D1391" s="124" t="s">
        <v>75</v>
      </c>
      <c r="E1391" s="123" t="n">
        <v>598</v>
      </c>
      <c r="G1391" s="123" t="n">
        <v>19343</v>
      </c>
      <c r="H1391" s="123" t="n">
        <v>0</v>
      </c>
      <c r="I1391" s="123" t="n">
        <v>2</v>
      </c>
    </row>
    <row r="1392" customFormat="false" ht="15" hidden="false" customHeight="false" outlineLevel="0" collapsed="false">
      <c r="A1392" s="652" t="n">
        <v>45775</v>
      </c>
      <c r="B1392" s="123" t="n">
        <v>1106</v>
      </c>
      <c r="C1392" s="124" t="s">
        <v>94</v>
      </c>
      <c r="D1392" s="124" t="s">
        <v>75</v>
      </c>
      <c r="E1392" s="653" t="n">
        <v>540.5</v>
      </c>
      <c r="G1392" s="653" t="n">
        <v>19883.5</v>
      </c>
      <c r="H1392" s="123" t="n">
        <v>0</v>
      </c>
      <c r="I1392" s="123" t="n">
        <v>1</v>
      </c>
      <c r="O1392" s="123" t="n">
        <v>1</v>
      </c>
    </row>
    <row r="1393" customFormat="false" ht="15" hidden="false" customHeight="false" outlineLevel="0" collapsed="false">
      <c r="A1393" s="652" t="n">
        <v>45775</v>
      </c>
      <c r="B1393" s="124" t="s">
        <v>470</v>
      </c>
      <c r="C1393" s="124" t="s">
        <v>393</v>
      </c>
      <c r="F1393" s="123" t="n">
        <v>3317</v>
      </c>
      <c r="G1393" s="653" t="n">
        <v>16566.5</v>
      </c>
    </row>
    <row r="1394" customFormat="false" ht="15" hidden="false" customHeight="false" outlineLevel="0" collapsed="false">
      <c r="A1394" s="652" t="n">
        <v>45776</v>
      </c>
      <c r="B1394" s="124" t="s">
        <v>653</v>
      </c>
      <c r="C1394" s="124" t="s">
        <v>393</v>
      </c>
      <c r="E1394" s="653" t="n">
        <v>-0.5</v>
      </c>
      <c r="F1394" s="123" t="n">
        <v>16566</v>
      </c>
      <c r="G1394" s="123" t="n">
        <v>0</v>
      </c>
    </row>
    <row r="1395" customFormat="false" ht="15" hidden="false" customHeight="false" outlineLevel="0" collapsed="false">
      <c r="A1395" s="652" t="n">
        <v>45776</v>
      </c>
      <c r="B1395" s="123" t="n">
        <v>1107</v>
      </c>
      <c r="C1395" s="124" t="s">
        <v>263</v>
      </c>
      <c r="D1395" s="124" t="s">
        <v>127</v>
      </c>
      <c r="E1395" s="123" t="n">
        <v>299</v>
      </c>
      <c r="G1395" s="123" t="n">
        <v>299</v>
      </c>
      <c r="H1395" s="123" t="n">
        <v>0</v>
      </c>
      <c r="P1395" s="123" t="n">
        <v>1</v>
      </c>
    </row>
    <row r="1396" customFormat="false" ht="15" hidden="false" customHeight="false" outlineLevel="0" collapsed="false">
      <c r="A1396" s="652" t="n">
        <v>45776</v>
      </c>
      <c r="B1396" s="123" t="n">
        <v>1108</v>
      </c>
      <c r="C1396" s="124" t="s">
        <v>227</v>
      </c>
      <c r="D1396" s="124" t="s">
        <v>127</v>
      </c>
      <c r="E1396" s="123" t="n">
        <v>299</v>
      </c>
      <c r="G1396" s="123" t="n">
        <v>598</v>
      </c>
      <c r="H1396" s="123" t="n">
        <v>0</v>
      </c>
      <c r="L1396" s="123" t="n">
        <v>1</v>
      </c>
    </row>
    <row r="1397" customFormat="false" ht="15" hidden="false" customHeight="false" outlineLevel="0" collapsed="false">
      <c r="A1397" s="652" t="n">
        <v>45776</v>
      </c>
      <c r="B1397" s="123" t="n">
        <v>1109</v>
      </c>
      <c r="C1397" s="124" t="s">
        <v>236</v>
      </c>
      <c r="D1397" s="124" t="s">
        <v>127</v>
      </c>
      <c r="E1397" s="123" t="n">
        <v>299</v>
      </c>
      <c r="G1397" s="123" t="n">
        <v>897</v>
      </c>
      <c r="H1397" s="123" t="n">
        <v>0</v>
      </c>
      <c r="I1397" s="123" t="n">
        <v>1</v>
      </c>
    </row>
    <row r="1398" customFormat="false" ht="15" hidden="false" customHeight="false" outlineLevel="0" collapsed="false">
      <c r="A1398" s="652" t="n">
        <v>45776</v>
      </c>
      <c r="B1398" s="123" t="n">
        <v>1110</v>
      </c>
      <c r="C1398" s="124" t="s">
        <v>160</v>
      </c>
      <c r="D1398" s="124" t="s">
        <v>127</v>
      </c>
      <c r="E1398" s="123" t="n">
        <v>299</v>
      </c>
      <c r="G1398" s="123" t="n">
        <v>1196</v>
      </c>
      <c r="H1398" s="123" t="n">
        <v>0</v>
      </c>
      <c r="I1398" s="123" t="n">
        <v>1</v>
      </c>
    </row>
    <row r="1399" customFormat="false" ht="15" hidden="false" customHeight="false" outlineLevel="0" collapsed="false">
      <c r="A1399" s="652" t="n">
        <v>45776</v>
      </c>
      <c r="B1399" s="123" t="n">
        <v>1111</v>
      </c>
      <c r="C1399" s="124" t="s">
        <v>157</v>
      </c>
      <c r="D1399" s="124" t="s">
        <v>127</v>
      </c>
      <c r="E1399" s="123" t="n">
        <v>598</v>
      </c>
      <c r="G1399" s="123" t="n">
        <v>1794</v>
      </c>
      <c r="H1399" s="123" t="n">
        <v>-2</v>
      </c>
      <c r="I1399" s="123" t="n">
        <v>2</v>
      </c>
    </row>
    <row r="1400" customFormat="false" ht="15" hidden="false" customHeight="false" outlineLevel="0" collapsed="false">
      <c r="A1400" s="652" t="n">
        <v>45776</v>
      </c>
      <c r="B1400" s="123" t="n">
        <v>1112</v>
      </c>
      <c r="C1400" s="124" t="s">
        <v>179</v>
      </c>
      <c r="D1400" s="124" t="s">
        <v>127</v>
      </c>
      <c r="E1400" s="123" t="n">
        <v>299</v>
      </c>
      <c r="G1400" s="123" t="n">
        <v>2093</v>
      </c>
      <c r="H1400" s="123" t="n">
        <v>-1</v>
      </c>
      <c r="I1400" s="123" t="n">
        <v>1</v>
      </c>
    </row>
    <row r="1401" customFormat="false" ht="15" hidden="false" customHeight="false" outlineLevel="0" collapsed="false">
      <c r="A1401" s="652" t="n">
        <v>45776</v>
      </c>
      <c r="B1401" s="123" t="n">
        <v>1113</v>
      </c>
      <c r="C1401" s="124" t="s">
        <v>178</v>
      </c>
      <c r="D1401" s="124" t="s">
        <v>127</v>
      </c>
      <c r="E1401" s="653" t="n">
        <v>776.25</v>
      </c>
      <c r="G1401" s="653" t="n">
        <v>2869.25</v>
      </c>
      <c r="H1401" s="653" t="n">
        <v>1.25</v>
      </c>
      <c r="I1401" s="123" t="n">
        <v>2</v>
      </c>
      <c r="J1401" s="123" t="n">
        <v>1</v>
      </c>
    </row>
    <row r="1402" customFormat="false" ht="15" hidden="false" customHeight="false" outlineLevel="0" collapsed="false">
      <c r="A1402" s="652" t="n">
        <v>45776</v>
      </c>
      <c r="B1402" s="123" t="n">
        <v>1112</v>
      </c>
      <c r="C1402" s="124" t="s">
        <v>180</v>
      </c>
      <c r="D1402" s="124" t="s">
        <v>127</v>
      </c>
      <c r="E1402" s="123" t="n">
        <v>299</v>
      </c>
      <c r="G1402" s="653" t="n">
        <v>3168.25</v>
      </c>
      <c r="H1402" s="123" t="n">
        <v>0</v>
      </c>
      <c r="I1402" s="123" t="n">
        <v>1</v>
      </c>
    </row>
    <row r="1403" customFormat="false" ht="15" hidden="false" customHeight="false" outlineLevel="0" collapsed="false">
      <c r="A1403" s="652" t="n">
        <v>45776</v>
      </c>
      <c r="B1403" s="123" t="n">
        <v>1111</v>
      </c>
      <c r="C1403" s="124" t="s">
        <v>150</v>
      </c>
      <c r="D1403" s="124" t="s">
        <v>127</v>
      </c>
      <c r="E1403" s="123" t="n">
        <v>299</v>
      </c>
      <c r="G1403" s="653" t="n">
        <v>3467.25</v>
      </c>
      <c r="H1403" s="123" t="n">
        <v>0</v>
      </c>
      <c r="I1403" s="123" t="n">
        <v>1</v>
      </c>
    </row>
    <row r="1404" customFormat="false" ht="15" hidden="false" customHeight="false" outlineLevel="0" collapsed="false">
      <c r="A1404" s="652" t="n">
        <v>45776</v>
      </c>
      <c r="B1404" s="123" t="n">
        <v>1112</v>
      </c>
      <c r="C1404" s="124" t="s">
        <v>167</v>
      </c>
      <c r="D1404" s="124" t="s">
        <v>127</v>
      </c>
      <c r="E1404" s="123" t="n">
        <v>736</v>
      </c>
      <c r="G1404" s="653" t="n">
        <v>4203.25</v>
      </c>
      <c r="H1404" s="123" t="n">
        <v>0</v>
      </c>
      <c r="I1404" s="123" t="n">
        <v>2</v>
      </c>
      <c r="O1404" s="123" t="n">
        <v>1</v>
      </c>
    </row>
    <row r="1405" customFormat="false" ht="15" hidden="false" customHeight="false" outlineLevel="0" collapsed="false">
      <c r="A1405" s="652" t="n">
        <v>45776</v>
      </c>
      <c r="B1405" s="123" t="n">
        <v>1113</v>
      </c>
      <c r="C1405" s="124" t="s">
        <v>238</v>
      </c>
      <c r="D1405" s="124" t="s">
        <v>127</v>
      </c>
      <c r="E1405" s="123" t="n">
        <v>1610</v>
      </c>
      <c r="G1405" s="653" t="n">
        <v>5813.25</v>
      </c>
      <c r="I1405" s="123" t="n">
        <v>2</v>
      </c>
      <c r="K1405" s="123" t="n">
        <v>2</v>
      </c>
      <c r="L1405" s="123" t="n">
        <v>1</v>
      </c>
      <c r="M1405" s="123" t="n">
        <v>1</v>
      </c>
    </row>
    <row r="1406" customFormat="false" ht="15" hidden="false" customHeight="false" outlineLevel="0" collapsed="false">
      <c r="A1406" s="652" t="n">
        <v>45776</v>
      </c>
      <c r="B1406" s="123" t="n">
        <v>1119</v>
      </c>
      <c r="C1406" s="124" t="s">
        <v>134</v>
      </c>
      <c r="D1406" s="124" t="s">
        <v>127</v>
      </c>
      <c r="E1406" s="123" t="n">
        <v>759</v>
      </c>
      <c r="G1406" s="653" t="n">
        <v>6572.25</v>
      </c>
      <c r="H1406" s="123" t="n">
        <v>4</v>
      </c>
      <c r="I1406" s="123" t="n">
        <v>1</v>
      </c>
      <c r="K1406" s="123" t="n">
        <v>2</v>
      </c>
    </row>
    <row r="1407" customFormat="false" ht="15" hidden="false" customHeight="false" outlineLevel="0" collapsed="false">
      <c r="A1407" s="652" t="n">
        <v>45776</v>
      </c>
      <c r="B1407" s="123" t="n">
        <v>1118</v>
      </c>
      <c r="C1407" s="124" t="s">
        <v>298</v>
      </c>
      <c r="D1407" s="124" t="s">
        <v>286</v>
      </c>
      <c r="E1407" s="123" t="n">
        <v>253</v>
      </c>
      <c r="G1407" s="653" t="n">
        <v>6825.25</v>
      </c>
      <c r="H1407" s="123" t="n">
        <v>0</v>
      </c>
      <c r="K1407" s="123" t="n">
        <v>1</v>
      </c>
    </row>
    <row r="1408" customFormat="false" ht="15" hidden="false" customHeight="false" outlineLevel="0" collapsed="false">
      <c r="A1408" s="652" t="n">
        <v>45777</v>
      </c>
      <c r="B1408" s="123" t="n">
        <v>1120</v>
      </c>
      <c r="C1408" s="124" t="s">
        <v>134</v>
      </c>
      <c r="D1408" s="124" t="s">
        <v>127</v>
      </c>
      <c r="E1408" s="123" t="n">
        <v>690</v>
      </c>
      <c r="G1408" s="653" t="n">
        <v>7515.25</v>
      </c>
      <c r="H1408" s="123" t="n">
        <v>0</v>
      </c>
      <c r="K1408" s="123" t="n">
        <v>3</v>
      </c>
    </row>
    <row r="1409" customFormat="false" ht="15" hidden="false" customHeight="false" outlineLevel="0" collapsed="false">
      <c r="A1409" s="652" t="n">
        <v>45777</v>
      </c>
      <c r="B1409" s="124" t="s">
        <v>470</v>
      </c>
      <c r="C1409" s="124" t="s">
        <v>393</v>
      </c>
      <c r="F1409" s="123" t="n">
        <v>5215</v>
      </c>
      <c r="G1409" s="653" t="n">
        <v>2300.25</v>
      </c>
    </row>
    <row r="1410" customFormat="false" ht="15" hidden="false" customHeight="false" outlineLevel="0" collapsed="false">
      <c r="A1410" s="652" t="n">
        <v>45778</v>
      </c>
      <c r="B1410" s="124" t="s">
        <v>657</v>
      </c>
      <c r="C1410" s="124" t="s">
        <v>393</v>
      </c>
      <c r="E1410" s="653" t="n">
        <v>-0.25</v>
      </c>
      <c r="F1410" s="123" t="n">
        <v>2300</v>
      </c>
      <c r="G1410" s="123" t="n">
        <v>0</v>
      </c>
    </row>
    <row r="1411" customFormat="false" ht="15" hidden="false" customHeight="false" outlineLevel="0" collapsed="false">
      <c r="A1411" s="652" t="n">
        <v>45781</v>
      </c>
      <c r="B1411" s="123" t="n">
        <v>1123</v>
      </c>
      <c r="C1411" s="124" t="s">
        <v>168</v>
      </c>
      <c r="D1411" s="124" t="s">
        <v>127</v>
      </c>
      <c r="E1411" s="653" t="n">
        <v>1638.75</v>
      </c>
      <c r="G1411" s="653" t="n">
        <v>1638.75</v>
      </c>
      <c r="I1411" s="123" t="n">
        <v>6</v>
      </c>
    </row>
    <row r="1412" customFormat="false" ht="15" hidden="false" customHeight="false" outlineLevel="0" collapsed="false">
      <c r="A1412" s="652" t="n">
        <v>45781</v>
      </c>
      <c r="B1412" s="123" t="s">
        <v>660</v>
      </c>
      <c r="C1412" s="124" t="s">
        <v>147</v>
      </c>
      <c r="D1412" s="124" t="s">
        <v>127</v>
      </c>
      <c r="E1412" s="653" t="n">
        <v>2133.25</v>
      </c>
      <c r="G1412" s="123" t="n">
        <v>3772</v>
      </c>
      <c r="H1412" s="653" t="n">
        <v>0.25</v>
      </c>
      <c r="I1412" s="123" t="n">
        <v>6</v>
      </c>
      <c r="K1412" s="123" t="n">
        <v>1</v>
      </c>
      <c r="O1412" s="123" t="n">
        <v>1</v>
      </c>
    </row>
    <row r="1413" customFormat="false" ht="15" hidden="false" customHeight="false" outlineLevel="0" collapsed="false">
      <c r="A1413" s="652" t="n">
        <v>45781</v>
      </c>
      <c r="B1413" s="124" t="s">
        <v>470</v>
      </c>
      <c r="C1413" s="124" t="s">
        <v>393</v>
      </c>
      <c r="F1413" s="123" t="n">
        <v>3772</v>
      </c>
      <c r="G1413" s="123" t="n">
        <v>0</v>
      </c>
    </row>
    <row r="1414" customFormat="false" ht="15" hidden="false" customHeight="false" outlineLevel="0" collapsed="false">
      <c r="A1414" s="652" t="n">
        <v>45782</v>
      </c>
      <c r="B1414" s="123" t="n">
        <v>1124</v>
      </c>
      <c r="C1414" s="124" t="s">
        <v>275</v>
      </c>
      <c r="D1414" s="124" t="s">
        <v>127</v>
      </c>
      <c r="E1414" s="123" t="n">
        <v>230</v>
      </c>
      <c r="G1414" s="123" t="n">
        <v>230</v>
      </c>
      <c r="H1414" s="123" t="n">
        <v>-10</v>
      </c>
      <c r="K1414" s="123" t="n">
        <v>1</v>
      </c>
    </row>
    <row r="1415" customFormat="false" ht="15" hidden="false" customHeight="false" outlineLevel="0" collapsed="false">
      <c r="A1415" s="652" t="n">
        <v>45782</v>
      </c>
      <c r="B1415" s="123" t="n">
        <v>1126</v>
      </c>
      <c r="C1415" s="124" t="s">
        <v>259</v>
      </c>
      <c r="D1415" s="124" t="s">
        <v>127</v>
      </c>
      <c r="E1415" s="653" t="n">
        <v>1638.75</v>
      </c>
      <c r="G1415" s="653" t="n">
        <v>1868.75</v>
      </c>
      <c r="I1415" s="123" t="n">
        <v>6</v>
      </c>
    </row>
    <row r="1416" customFormat="false" ht="15" hidden="false" customHeight="false" outlineLevel="0" collapsed="false">
      <c r="A1416" s="652" t="n">
        <v>45782</v>
      </c>
      <c r="B1416" s="123" t="n">
        <v>1125</v>
      </c>
      <c r="C1416" s="124" t="s">
        <v>146</v>
      </c>
      <c r="D1416" s="124" t="s">
        <v>127</v>
      </c>
      <c r="E1416" s="653" t="n">
        <v>1638.75</v>
      </c>
      <c r="G1416" s="653" t="n">
        <v>3507.5</v>
      </c>
      <c r="I1416" s="123" t="n">
        <v>6</v>
      </c>
    </row>
    <row r="1417" customFormat="false" ht="15" hidden="false" customHeight="false" outlineLevel="0" collapsed="false">
      <c r="A1417" s="652" t="n">
        <v>45783</v>
      </c>
      <c r="B1417" s="124" t="s">
        <v>653</v>
      </c>
      <c r="C1417" s="124" t="s">
        <v>393</v>
      </c>
      <c r="E1417" s="653" t="n">
        <v>-0.5</v>
      </c>
      <c r="F1417" s="123" t="n">
        <v>3507</v>
      </c>
      <c r="G1417" s="123" t="n">
        <v>0</v>
      </c>
    </row>
    <row r="1418" customFormat="false" ht="15" hidden="false" customHeight="false" outlineLevel="0" collapsed="false">
      <c r="A1418" s="652" t="n">
        <v>45783</v>
      </c>
      <c r="B1418" s="123" t="n">
        <v>1127</v>
      </c>
      <c r="C1418" s="124" t="s">
        <v>295</v>
      </c>
      <c r="D1418" s="124" t="s">
        <v>286</v>
      </c>
      <c r="E1418" s="653" t="n">
        <v>1270.75</v>
      </c>
      <c r="G1418" s="653" t="n">
        <v>1270.75</v>
      </c>
      <c r="K1418" s="123" t="n">
        <v>1</v>
      </c>
      <c r="M1418" s="123" t="n">
        <v>3</v>
      </c>
      <c r="O1418" s="123" t="n">
        <v>1</v>
      </c>
    </row>
    <row r="1419" customFormat="false" ht="15" hidden="false" customHeight="false" outlineLevel="0" collapsed="false">
      <c r="A1419" s="652" t="n">
        <v>45783</v>
      </c>
      <c r="B1419" s="123" t="n">
        <v>1128</v>
      </c>
      <c r="C1419" s="124" t="s">
        <v>298</v>
      </c>
      <c r="D1419" s="124" t="s">
        <v>286</v>
      </c>
      <c r="E1419" s="653" t="n">
        <v>1638.75</v>
      </c>
      <c r="G1419" s="653" t="n">
        <v>2909.5</v>
      </c>
      <c r="H1419" s="653" t="n">
        <v>0.75</v>
      </c>
      <c r="I1419" s="123" t="n">
        <v>6</v>
      </c>
    </row>
    <row r="1420" customFormat="false" ht="15" hidden="false" customHeight="false" outlineLevel="0" collapsed="false">
      <c r="A1420" s="652" t="n">
        <v>45783</v>
      </c>
      <c r="B1420" s="123" t="n">
        <v>1129</v>
      </c>
      <c r="C1420" s="124" t="s">
        <v>184</v>
      </c>
      <c r="D1420" s="124" t="s">
        <v>127</v>
      </c>
      <c r="E1420" s="653" t="n">
        <v>1638.75</v>
      </c>
      <c r="G1420" s="653" t="n">
        <v>4548.25</v>
      </c>
      <c r="H1420" s="123" t="n">
        <v>0</v>
      </c>
      <c r="I1420" s="123" t="n">
        <v>6</v>
      </c>
    </row>
    <row r="1421" customFormat="false" ht="15" hidden="false" customHeight="false" outlineLevel="0" collapsed="false">
      <c r="A1421" s="652" t="n">
        <v>45783</v>
      </c>
      <c r="B1421" s="123" t="n">
        <v>1130</v>
      </c>
      <c r="C1421" s="124" t="s">
        <v>290</v>
      </c>
      <c r="D1421" s="124" t="s">
        <v>286</v>
      </c>
      <c r="E1421" s="653" t="n">
        <v>1638.75</v>
      </c>
      <c r="G1421" s="123" t="n">
        <v>6187</v>
      </c>
      <c r="I1421" s="123" t="n">
        <v>6</v>
      </c>
    </row>
    <row r="1422" customFormat="false" ht="15" hidden="false" customHeight="false" outlineLevel="0" collapsed="false">
      <c r="A1422" s="652" t="n">
        <v>45783</v>
      </c>
      <c r="B1422" s="123" t="n">
        <v>1131</v>
      </c>
      <c r="C1422" s="124" t="s">
        <v>310</v>
      </c>
      <c r="D1422" s="124" t="s">
        <v>301</v>
      </c>
      <c r="E1422" s="653" t="n">
        <v>3651.25</v>
      </c>
      <c r="G1422" s="653" t="n">
        <v>9838.25</v>
      </c>
      <c r="H1422" s="123" t="n">
        <v>0</v>
      </c>
      <c r="L1422" s="123" t="n">
        <v>6</v>
      </c>
      <c r="O1422" s="123" t="n">
        <v>15</v>
      </c>
    </row>
    <row r="1423" customFormat="false" ht="15" hidden="false" customHeight="false" outlineLevel="0" collapsed="false">
      <c r="A1423" s="652" t="n">
        <v>45783</v>
      </c>
      <c r="B1423" s="124" t="s">
        <v>470</v>
      </c>
      <c r="C1423" s="124" t="s">
        <v>393</v>
      </c>
      <c r="F1423" s="653" t="n">
        <v>3434.75</v>
      </c>
      <c r="G1423" s="653" t="n">
        <v>6403.5</v>
      </c>
    </row>
    <row r="1424" customFormat="false" ht="15" hidden="false" customHeight="false" outlineLevel="0" collapsed="false">
      <c r="A1424" s="652" t="n">
        <v>45784</v>
      </c>
      <c r="B1424" s="124" t="s">
        <v>653</v>
      </c>
      <c r="C1424" s="124" t="s">
        <v>393</v>
      </c>
      <c r="E1424" s="653" t="n">
        <v>-0.5</v>
      </c>
      <c r="F1424" s="123" t="n">
        <v>6403</v>
      </c>
      <c r="G1424" s="123" t="n">
        <v>0</v>
      </c>
    </row>
    <row r="1425" customFormat="false" ht="15" hidden="false" customHeight="false" outlineLevel="0" collapsed="false">
      <c r="A1425" s="652" t="n">
        <v>45784</v>
      </c>
      <c r="B1425" s="123" t="n">
        <v>1132</v>
      </c>
      <c r="C1425" s="124" t="s">
        <v>95</v>
      </c>
      <c r="D1425" s="124" t="s">
        <v>75</v>
      </c>
      <c r="E1425" s="123" t="n">
        <v>3726</v>
      </c>
      <c r="G1425" s="123" t="n">
        <v>3726</v>
      </c>
      <c r="K1425" s="123" t="n">
        <v>10</v>
      </c>
      <c r="O1425" s="123" t="n">
        <v>2</v>
      </c>
    </row>
    <row r="1426" customFormat="false" ht="15" hidden="false" customHeight="false" outlineLevel="0" collapsed="false">
      <c r="A1426" s="652" t="n">
        <v>45784</v>
      </c>
      <c r="B1426" s="123" t="n">
        <v>1133</v>
      </c>
      <c r="C1426" s="124" t="s">
        <v>104</v>
      </c>
      <c r="D1426" s="124" t="s">
        <v>105</v>
      </c>
      <c r="E1426" s="653" t="n">
        <v>1638.75</v>
      </c>
      <c r="G1426" s="653" t="n">
        <v>5364.75</v>
      </c>
      <c r="I1426" s="123" t="n">
        <v>6</v>
      </c>
    </row>
    <row r="1427" customFormat="false" ht="15" hidden="false" customHeight="false" outlineLevel="0" collapsed="false">
      <c r="A1427" s="652" t="n">
        <v>45784</v>
      </c>
      <c r="B1427" s="123" t="n">
        <v>1134</v>
      </c>
      <c r="C1427" s="124" t="s">
        <v>106</v>
      </c>
      <c r="D1427" s="124" t="s">
        <v>105</v>
      </c>
      <c r="E1427" s="653" t="n">
        <v>1638.75</v>
      </c>
      <c r="G1427" s="653" t="n">
        <v>7003.5</v>
      </c>
      <c r="I1427" s="123" t="n">
        <v>6</v>
      </c>
    </row>
    <row r="1428" customFormat="false" ht="15" hidden="false" customHeight="false" outlineLevel="0" collapsed="false">
      <c r="A1428" s="652" t="n">
        <v>45784</v>
      </c>
      <c r="B1428" s="123" t="n">
        <v>1135</v>
      </c>
      <c r="C1428" s="124" t="s">
        <v>107</v>
      </c>
      <c r="D1428" s="124" t="s">
        <v>105</v>
      </c>
      <c r="E1428" s="653" t="n">
        <v>1638.75</v>
      </c>
      <c r="G1428" s="653" t="n">
        <v>8642.25</v>
      </c>
      <c r="I1428" s="123" t="n">
        <v>6</v>
      </c>
    </row>
    <row r="1429" customFormat="false" ht="15" hidden="false" customHeight="false" outlineLevel="0" collapsed="false">
      <c r="A1429" s="652" t="n">
        <v>45784</v>
      </c>
      <c r="B1429" s="123" t="n">
        <v>1136</v>
      </c>
      <c r="C1429" s="124" t="s">
        <v>108</v>
      </c>
      <c r="D1429" s="124" t="s">
        <v>105</v>
      </c>
      <c r="E1429" s="653" t="n">
        <v>1983.75</v>
      </c>
      <c r="G1429" s="123" t="n">
        <v>10626</v>
      </c>
      <c r="H1429" s="123" t="n">
        <v>0</v>
      </c>
      <c r="I1429" s="123" t="n">
        <v>6</v>
      </c>
      <c r="K1429" s="123" t="n">
        <v>1</v>
      </c>
    </row>
    <row r="1430" customFormat="false" ht="15" hidden="false" customHeight="false" outlineLevel="0" collapsed="false">
      <c r="A1430" s="652" t="n">
        <v>45784</v>
      </c>
      <c r="B1430" s="123" t="n">
        <v>1136</v>
      </c>
      <c r="C1430" s="124" t="s">
        <v>109</v>
      </c>
      <c r="D1430" s="124" t="s">
        <v>105</v>
      </c>
      <c r="E1430" s="653" t="n">
        <v>1638.75</v>
      </c>
      <c r="G1430" s="653" t="n">
        <v>12264.75</v>
      </c>
      <c r="I1430" s="123" t="n">
        <v>6</v>
      </c>
    </row>
    <row r="1431" customFormat="false" ht="15" hidden="false" customHeight="false" outlineLevel="0" collapsed="false">
      <c r="A1431" s="652" t="n">
        <v>45784</v>
      </c>
      <c r="B1431" s="123" t="n">
        <v>1138</v>
      </c>
      <c r="C1431" s="124" t="s">
        <v>96</v>
      </c>
      <c r="D1431" s="124" t="s">
        <v>75</v>
      </c>
      <c r="E1431" s="653" t="n">
        <v>1592.75</v>
      </c>
      <c r="G1431" s="653" t="n">
        <v>13857.5</v>
      </c>
      <c r="H1431" s="653" t="n">
        <v>0.75</v>
      </c>
      <c r="L1431" s="123" t="n">
        <v>6</v>
      </c>
    </row>
    <row r="1432" customFormat="false" ht="15" hidden="false" customHeight="false" outlineLevel="0" collapsed="false">
      <c r="A1432" s="652" t="n">
        <v>45784</v>
      </c>
      <c r="B1432" s="123" t="n">
        <v>1139</v>
      </c>
      <c r="C1432" s="124" t="s">
        <v>89</v>
      </c>
      <c r="D1432" s="124" t="s">
        <v>75</v>
      </c>
      <c r="E1432" s="653" t="n">
        <v>2144.75</v>
      </c>
      <c r="G1432" s="653" t="n">
        <v>16002.25</v>
      </c>
      <c r="I1432" s="123" t="n">
        <v>6</v>
      </c>
      <c r="K1432" s="123" t="n">
        <v>2</v>
      </c>
    </row>
    <row r="1433" customFormat="false" ht="15" hidden="false" customHeight="false" outlineLevel="0" collapsed="false">
      <c r="A1433" s="652" t="n">
        <v>45784</v>
      </c>
      <c r="B1433" s="123" t="n">
        <v>1140</v>
      </c>
      <c r="C1433" s="124" t="s">
        <v>89</v>
      </c>
      <c r="D1433" s="124" t="s">
        <v>75</v>
      </c>
      <c r="E1433" s="653" t="n">
        <v>155.25</v>
      </c>
      <c r="G1433" s="653" t="n">
        <v>16157.5</v>
      </c>
      <c r="H1433" s="123" t="n">
        <v>0</v>
      </c>
      <c r="P1433" s="123" t="n">
        <v>1</v>
      </c>
    </row>
    <row r="1434" customFormat="false" ht="15" hidden="false" customHeight="false" outlineLevel="0" collapsed="false">
      <c r="A1434" s="652" t="n">
        <v>45784</v>
      </c>
      <c r="B1434" s="123" t="n">
        <v>1141</v>
      </c>
      <c r="C1434" s="124" t="s">
        <v>90</v>
      </c>
      <c r="D1434" s="124" t="s">
        <v>75</v>
      </c>
      <c r="E1434" s="123" t="n">
        <v>253</v>
      </c>
      <c r="G1434" s="653" t="n">
        <v>16410.5</v>
      </c>
      <c r="K1434" s="123" t="n">
        <v>1</v>
      </c>
    </row>
    <row r="1435" customFormat="false" ht="15" hidden="false" customHeight="false" outlineLevel="0" collapsed="false">
      <c r="A1435" s="652" t="n">
        <v>45784</v>
      </c>
      <c r="B1435" s="124" t="s">
        <v>470</v>
      </c>
      <c r="C1435" s="124" t="s">
        <v>393</v>
      </c>
      <c r="F1435" s="653" t="n">
        <v>5470.5</v>
      </c>
      <c r="G1435" s="123" t="n">
        <v>10940</v>
      </c>
    </row>
    <row r="1436" customFormat="false" ht="15" hidden="false" customHeight="false" outlineLevel="0" collapsed="false">
      <c r="A1436" s="652" t="n">
        <v>45784</v>
      </c>
      <c r="B1436" s="124" t="s">
        <v>657</v>
      </c>
      <c r="C1436" s="124" t="s">
        <v>393</v>
      </c>
      <c r="F1436" s="123" t="n">
        <v>900</v>
      </c>
      <c r="G1436" s="123" t="n">
        <v>10040</v>
      </c>
    </row>
    <row r="1437" customFormat="false" ht="15" hidden="false" customHeight="false" outlineLevel="0" collapsed="false">
      <c r="A1437" s="652" t="n">
        <v>45785</v>
      </c>
      <c r="B1437" s="124" t="s">
        <v>653</v>
      </c>
      <c r="C1437" s="124" t="s">
        <v>393</v>
      </c>
      <c r="F1437" s="123" t="n">
        <v>10040</v>
      </c>
      <c r="G1437" s="123" t="n">
        <v>0</v>
      </c>
    </row>
    <row r="1438" customFormat="false" ht="15" hidden="false" customHeight="false" outlineLevel="0" collapsed="false">
      <c r="A1438" s="652" t="n">
        <v>45785</v>
      </c>
      <c r="B1438" s="123" t="n">
        <v>1142</v>
      </c>
      <c r="C1438" s="124" t="s">
        <v>264</v>
      </c>
      <c r="D1438" s="124" t="s">
        <v>127</v>
      </c>
      <c r="E1438" s="653" t="n">
        <v>310.5</v>
      </c>
      <c r="G1438" s="653" t="n">
        <v>310.5</v>
      </c>
      <c r="H1438" s="123" t="n">
        <v>0</v>
      </c>
      <c r="P1438" s="123" t="n">
        <v>2</v>
      </c>
    </row>
    <row r="1439" customFormat="false" ht="15" hidden="false" customHeight="false" outlineLevel="0" collapsed="false">
      <c r="A1439" s="652" t="n">
        <v>45783</v>
      </c>
      <c r="B1439" s="123" t="n">
        <v>1143</v>
      </c>
      <c r="C1439" s="124" t="s">
        <v>132</v>
      </c>
      <c r="D1439" s="124" t="s">
        <v>127</v>
      </c>
      <c r="E1439" s="653" t="n">
        <v>1638.75</v>
      </c>
      <c r="G1439" s="653" t="n">
        <v>1949.25</v>
      </c>
      <c r="H1439" s="123" t="n">
        <v>0</v>
      </c>
      <c r="I1439" s="123" t="n">
        <v>6</v>
      </c>
    </row>
    <row r="1440" customFormat="false" ht="15" hidden="false" customHeight="false" outlineLevel="0" collapsed="false">
      <c r="A1440" s="652" t="n">
        <v>45785</v>
      </c>
      <c r="B1440" s="124" t="s">
        <v>470</v>
      </c>
      <c r="C1440" s="124" t="s">
        <v>393</v>
      </c>
      <c r="F1440" s="123" t="n">
        <v>400</v>
      </c>
      <c r="G1440" s="653" t="n">
        <v>1549.25</v>
      </c>
    </row>
    <row r="1441" customFormat="false" ht="15" hidden="false" customHeight="false" outlineLevel="0" collapsed="false">
      <c r="A1441" s="652" t="n">
        <v>45788</v>
      </c>
      <c r="B1441" s="124" t="s">
        <v>653</v>
      </c>
      <c r="C1441" s="124" t="s">
        <v>393</v>
      </c>
      <c r="E1441" s="653" t="n">
        <v>-0.25</v>
      </c>
      <c r="F1441" s="123" t="n">
        <v>1549</v>
      </c>
      <c r="G1441" s="123" t="n">
        <v>0</v>
      </c>
    </row>
    <row r="1442" customFormat="false" ht="15" hidden="false" customHeight="false" outlineLevel="0" collapsed="false">
      <c r="A1442" s="652" t="n">
        <v>45788</v>
      </c>
      <c r="B1442" s="123" t="n">
        <v>1144</v>
      </c>
      <c r="C1442" s="124" t="s">
        <v>159</v>
      </c>
      <c r="D1442" s="124" t="s">
        <v>127</v>
      </c>
      <c r="E1442" s="653" t="n">
        <v>1920.5</v>
      </c>
      <c r="G1442" s="653" t="n">
        <v>1920.5</v>
      </c>
      <c r="H1442" s="653" t="n">
        <v>-0.5</v>
      </c>
      <c r="P1442" s="123" t="n">
        <v>7</v>
      </c>
    </row>
    <row r="1443" customFormat="false" ht="15" hidden="false" customHeight="false" outlineLevel="0" collapsed="false">
      <c r="A1443" s="652" t="n">
        <v>45788</v>
      </c>
      <c r="B1443" s="123" t="n">
        <v>1145</v>
      </c>
      <c r="C1443" s="124" t="s">
        <v>298</v>
      </c>
      <c r="D1443" s="124" t="s">
        <v>286</v>
      </c>
      <c r="E1443" s="653" t="n">
        <v>1914.75</v>
      </c>
      <c r="G1443" s="653" t="n">
        <v>3835.25</v>
      </c>
      <c r="H1443" s="123" t="n">
        <v>0</v>
      </c>
      <c r="L1443" s="123" t="n">
        <v>6</v>
      </c>
      <c r="O1443" s="123" t="n">
        <v>2</v>
      </c>
    </row>
    <row r="1444" customFormat="false" ht="15" hidden="false" customHeight="false" outlineLevel="0" collapsed="false">
      <c r="A1444" s="652" t="n">
        <v>45788</v>
      </c>
      <c r="B1444" s="123" t="n">
        <v>1146</v>
      </c>
      <c r="C1444" s="124" t="s">
        <v>289</v>
      </c>
      <c r="D1444" s="124" t="s">
        <v>286</v>
      </c>
      <c r="E1444" s="653" t="n">
        <v>241.5</v>
      </c>
      <c r="G1444" s="653" t="n">
        <v>4076.75</v>
      </c>
      <c r="M1444" s="123" t="n">
        <v>1</v>
      </c>
    </row>
    <row r="1445" customFormat="false" ht="15" hidden="false" customHeight="false" outlineLevel="0" collapsed="false">
      <c r="A1445" s="652" t="n">
        <v>45788</v>
      </c>
      <c r="B1445" s="123" t="n">
        <v>1147</v>
      </c>
      <c r="C1445" s="124" t="s">
        <v>295</v>
      </c>
      <c r="D1445" s="124" t="s">
        <v>286</v>
      </c>
      <c r="E1445" s="653" t="n">
        <v>1592.75</v>
      </c>
      <c r="G1445" s="653" t="n">
        <v>5669.5</v>
      </c>
      <c r="L1445" s="123" t="n">
        <v>6</v>
      </c>
    </row>
    <row r="1446" customFormat="false" ht="15" hidden="false" customHeight="false" outlineLevel="0" collapsed="false">
      <c r="A1446" s="652" t="n">
        <v>45788</v>
      </c>
      <c r="B1446" s="123" t="n">
        <v>1148</v>
      </c>
      <c r="C1446" s="124" t="s">
        <v>231</v>
      </c>
      <c r="D1446" s="124" t="s">
        <v>127</v>
      </c>
      <c r="E1446" s="653" t="n">
        <v>155.25</v>
      </c>
      <c r="G1446" s="653" t="n">
        <v>5824.75</v>
      </c>
      <c r="H1446" s="653" t="n">
        <v>0.25</v>
      </c>
      <c r="P1446" s="123" t="n">
        <v>1</v>
      </c>
    </row>
    <row r="1447" customFormat="false" ht="15" hidden="false" customHeight="false" outlineLevel="0" collapsed="false">
      <c r="A1447" s="652" t="n">
        <v>45788</v>
      </c>
      <c r="B1447" s="124" t="s">
        <v>470</v>
      </c>
      <c r="C1447" s="124" t="s">
        <v>393</v>
      </c>
      <c r="F1447" s="653" t="n">
        <v>2099.75</v>
      </c>
      <c r="G1447" s="123" t="n">
        <v>3725</v>
      </c>
    </row>
    <row r="1448" customFormat="false" ht="15" hidden="false" customHeight="false" outlineLevel="0" collapsed="false">
      <c r="A1448" s="652" t="n">
        <v>45788</v>
      </c>
      <c r="B1448" s="124" t="s">
        <v>470</v>
      </c>
      <c r="C1448" s="124" t="s">
        <v>393</v>
      </c>
      <c r="F1448" s="123" t="n">
        <v>915</v>
      </c>
      <c r="G1448" s="123" t="n">
        <v>2810</v>
      </c>
    </row>
    <row r="1449" customFormat="false" ht="15" hidden="false" customHeight="false" outlineLevel="0" collapsed="false">
      <c r="A1449" s="652" t="n">
        <v>45788</v>
      </c>
      <c r="B1449" s="124" t="s">
        <v>653</v>
      </c>
      <c r="C1449" s="124" t="s">
        <v>393</v>
      </c>
      <c r="F1449" s="123" t="n">
        <v>2810</v>
      </c>
      <c r="G1449" s="123" t="n">
        <v>0</v>
      </c>
    </row>
    <row r="1450" customFormat="false" ht="15" hidden="false" customHeight="false" outlineLevel="0" collapsed="false">
      <c r="A1450" s="652" t="n">
        <v>45789</v>
      </c>
      <c r="B1450" s="123" t="n">
        <v>1149</v>
      </c>
      <c r="C1450" s="124" t="s">
        <v>238</v>
      </c>
      <c r="D1450" s="124" t="s">
        <v>127</v>
      </c>
      <c r="E1450" s="653" t="n">
        <v>293.25</v>
      </c>
      <c r="G1450" s="653" t="n">
        <v>293.25</v>
      </c>
      <c r="H1450" s="653" t="n">
        <v>-0.75</v>
      </c>
      <c r="O1450" s="123" t="n">
        <v>1</v>
      </c>
      <c r="P1450" s="123" t="n">
        <v>1</v>
      </c>
    </row>
    <row r="1451" customFormat="false" ht="15" hidden="false" customHeight="false" outlineLevel="0" collapsed="false">
      <c r="A1451" s="652" t="n">
        <v>45789</v>
      </c>
      <c r="B1451" s="123" t="n">
        <v>1150</v>
      </c>
      <c r="C1451" s="124" t="s">
        <v>234</v>
      </c>
      <c r="D1451" s="124" t="s">
        <v>127</v>
      </c>
      <c r="E1451" s="653" t="n">
        <v>454.25</v>
      </c>
      <c r="G1451" s="653" t="n">
        <v>747.5</v>
      </c>
      <c r="H1451" s="653" t="n">
        <v>0.25</v>
      </c>
      <c r="P1451" s="123" t="n">
        <v>2</v>
      </c>
    </row>
    <row r="1452" customFormat="false" ht="15" hidden="false" customHeight="false" outlineLevel="0" collapsed="false">
      <c r="A1452" s="652" t="n">
        <v>45789</v>
      </c>
      <c r="B1452" s="123" t="n">
        <v>1151</v>
      </c>
      <c r="C1452" s="124" t="s">
        <v>234</v>
      </c>
      <c r="D1452" s="124" t="s">
        <v>127</v>
      </c>
      <c r="E1452" s="123" t="n">
        <v>138</v>
      </c>
      <c r="G1452" s="653" t="n">
        <v>885.5</v>
      </c>
      <c r="H1452" s="123" t="n">
        <v>-1</v>
      </c>
      <c r="O1452" s="123" t="n">
        <v>1</v>
      </c>
    </row>
    <row r="1453" customFormat="false" ht="15" hidden="false" customHeight="false" outlineLevel="0" collapsed="false">
      <c r="A1453" s="652" t="n">
        <v>45789</v>
      </c>
      <c r="B1453" s="123" t="n">
        <v>1152</v>
      </c>
      <c r="C1453" s="124" t="s">
        <v>159</v>
      </c>
      <c r="D1453" s="124" t="s">
        <v>127</v>
      </c>
      <c r="E1453" s="123" t="n">
        <v>253</v>
      </c>
      <c r="G1453" s="653" t="n">
        <v>1138.5</v>
      </c>
      <c r="H1453" s="123" t="n">
        <v>0</v>
      </c>
      <c r="K1453" s="123" t="n">
        <v>1</v>
      </c>
    </row>
    <row r="1454" customFormat="false" ht="15" hidden="false" customHeight="false" outlineLevel="0" collapsed="false">
      <c r="A1454" s="652" t="n">
        <v>45789</v>
      </c>
      <c r="B1454" s="123" t="s">
        <v>661</v>
      </c>
      <c r="C1454" s="124" t="s">
        <v>147</v>
      </c>
      <c r="D1454" s="124" t="s">
        <v>127</v>
      </c>
      <c r="E1454" s="653" t="n">
        <v>402.5</v>
      </c>
      <c r="G1454" s="123" t="n">
        <v>1541</v>
      </c>
      <c r="O1454" s="123" t="n">
        <v>1</v>
      </c>
      <c r="P1454" s="123" t="n">
        <v>1</v>
      </c>
    </row>
    <row r="1455" customFormat="false" ht="15" hidden="false" customHeight="false" outlineLevel="0" collapsed="false">
      <c r="A1455" s="652" t="n">
        <v>45789</v>
      </c>
      <c r="B1455" s="124" t="s">
        <v>470</v>
      </c>
      <c r="C1455" s="124" t="s">
        <v>393</v>
      </c>
      <c r="F1455" s="653" t="n">
        <v>1540.5</v>
      </c>
      <c r="G1455" s="653" t="n">
        <v>0.5</v>
      </c>
    </row>
    <row r="1456" customFormat="false" ht="15" hidden="false" customHeight="false" outlineLevel="0" collapsed="false">
      <c r="A1456" s="652" t="n">
        <v>45790</v>
      </c>
      <c r="B1456" s="123" t="n">
        <v>1155</v>
      </c>
      <c r="C1456" s="124" t="s">
        <v>296</v>
      </c>
      <c r="D1456" s="124" t="s">
        <v>286</v>
      </c>
      <c r="E1456" s="123" t="n">
        <v>966</v>
      </c>
      <c r="G1456" s="653" t="n">
        <v>966.5</v>
      </c>
      <c r="O1456" s="123" t="n">
        <v>4</v>
      </c>
    </row>
    <row r="1457" customFormat="false" ht="15" hidden="false" customHeight="false" outlineLevel="0" collapsed="false">
      <c r="A1457" s="652" t="n">
        <v>45790</v>
      </c>
      <c r="B1457" s="123" t="n">
        <v>1156</v>
      </c>
      <c r="C1457" s="124" t="s">
        <v>299</v>
      </c>
      <c r="D1457" s="124" t="s">
        <v>286</v>
      </c>
      <c r="E1457" s="653" t="n">
        <v>2121.75</v>
      </c>
      <c r="G1457" s="653" t="n">
        <v>3088.25</v>
      </c>
      <c r="I1457" s="123" t="n">
        <v>6</v>
      </c>
      <c r="K1457" s="123" t="n">
        <v>2</v>
      </c>
    </row>
    <row r="1458" customFormat="false" ht="15" hidden="false" customHeight="false" outlineLevel="0" collapsed="false">
      <c r="A1458" s="652" t="n">
        <v>45790</v>
      </c>
      <c r="B1458" s="123" t="n">
        <v>1157</v>
      </c>
      <c r="C1458" s="124" t="s">
        <v>319</v>
      </c>
      <c r="D1458" s="124" t="s">
        <v>224</v>
      </c>
      <c r="E1458" s="123" t="n">
        <v>6555</v>
      </c>
      <c r="G1458" s="653" t="n">
        <v>9643.25</v>
      </c>
      <c r="H1458" s="123" t="n">
        <v>0</v>
      </c>
      <c r="I1458" s="123" t="n">
        <v>24</v>
      </c>
    </row>
    <row r="1459" customFormat="false" ht="15" hidden="false" customHeight="false" outlineLevel="0" collapsed="false">
      <c r="A1459" s="652" t="n">
        <v>45790</v>
      </c>
      <c r="B1459" s="123" t="n">
        <v>1158</v>
      </c>
      <c r="C1459" s="124" t="s">
        <v>143</v>
      </c>
      <c r="D1459" s="124" t="s">
        <v>127</v>
      </c>
      <c r="E1459" s="653" t="n">
        <v>1638.75</v>
      </c>
      <c r="G1459" s="123" t="n">
        <v>11282</v>
      </c>
      <c r="H1459" s="123" t="n">
        <v>0</v>
      </c>
      <c r="I1459" s="123" t="n">
        <v>6</v>
      </c>
    </row>
    <row r="1460" customFormat="false" ht="15" hidden="false" customHeight="false" outlineLevel="0" collapsed="false">
      <c r="A1460" s="652" t="n">
        <v>45790</v>
      </c>
      <c r="B1460" s="123" t="n">
        <v>1159</v>
      </c>
      <c r="C1460" s="124" t="s">
        <v>96</v>
      </c>
      <c r="D1460" s="124" t="s">
        <v>75</v>
      </c>
      <c r="E1460" s="123" t="n">
        <v>690</v>
      </c>
      <c r="G1460" s="123" t="n">
        <v>11972</v>
      </c>
      <c r="K1460" s="123" t="n">
        <v>3</v>
      </c>
    </row>
    <row r="1461" customFormat="false" ht="15" hidden="false" customHeight="false" outlineLevel="0" collapsed="false">
      <c r="A1461" s="652" t="n">
        <v>45790</v>
      </c>
      <c r="B1461" s="123" t="n">
        <v>1160</v>
      </c>
      <c r="C1461" s="124" t="s">
        <v>89</v>
      </c>
      <c r="D1461" s="124" t="s">
        <v>75</v>
      </c>
      <c r="E1461" s="653" t="n">
        <v>1414.5</v>
      </c>
      <c r="G1461" s="653" t="n">
        <v>13386.5</v>
      </c>
      <c r="H1461" s="123" t="n">
        <v>0</v>
      </c>
      <c r="K1461" s="123" t="n">
        <v>3</v>
      </c>
      <c r="M1461" s="123" t="n">
        <v>3</v>
      </c>
    </row>
    <row r="1462" customFormat="false" ht="15" hidden="false" customHeight="false" outlineLevel="0" collapsed="false">
      <c r="A1462" s="652" t="n">
        <v>45790</v>
      </c>
      <c r="B1462" s="123" t="n">
        <v>1161</v>
      </c>
      <c r="C1462" s="124" t="s">
        <v>97</v>
      </c>
      <c r="D1462" s="124" t="s">
        <v>75</v>
      </c>
      <c r="E1462" s="653" t="n">
        <v>1581.25</v>
      </c>
      <c r="G1462" s="653" t="n">
        <v>14967.75</v>
      </c>
      <c r="H1462" s="653" t="n">
        <v>0.25</v>
      </c>
      <c r="L1462" s="123" t="n">
        <v>6</v>
      </c>
    </row>
    <row r="1463" customFormat="false" ht="15" hidden="false" customHeight="false" outlineLevel="0" collapsed="false">
      <c r="A1463" s="652" t="n">
        <v>45790</v>
      </c>
      <c r="B1463" s="124" t="s">
        <v>470</v>
      </c>
      <c r="C1463" s="124" t="s">
        <v>393</v>
      </c>
      <c r="F1463" s="653" t="n">
        <v>4630.75</v>
      </c>
      <c r="G1463" s="123" t="n">
        <v>10337</v>
      </c>
    </row>
    <row r="1464" customFormat="false" ht="15" hidden="false" customHeight="false" outlineLevel="0" collapsed="false">
      <c r="A1464" s="652" t="n">
        <v>45791</v>
      </c>
      <c r="B1464" s="124" t="s">
        <v>653</v>
      </c>
      <c r="C1464" s="124" t="s">
        <v>393</v>
      </c>
      <c r="F1464" s="123" t="n">
        <v>10337</v>
      </c>
      <c r="G1464" s="123" t="n">
        <v>0</v>
      </c>
    </row>
    <row r="1465" customFormat="false" ht="15" hidden="false" customHeight="false" outlineLevel="0" collapsed="false">
      <c r="A1465" s="652" t="n">
        <v>45791</v>
      </c>
      <c r="B1465" s="123" t="n">
        <v>1162</v>
      </c>
      <c r="C1465" s="124" t="s">
        <v>259</v>
      </c>
      <c r="D1465" s="124" t="s">
        <v>127</v>
      </c>
      <c r="E1465" s="123" t="n">
        <v>138</v>
      </c>
      <c r="G1465" s="123" t="n">
        <v>138</v>
      </c>
      <c r="H1465" s="123" t="n">
        <v>0</v>
      </c>
      <c r="O1465" s="123" t="n">
        <v>1</v>
      </c>
    </row>
    <row r="1466" customFormat="false" ht="15" hidden="false" customHeight="false" outlineLevel="0" collapsed="false">
      <c r="A1466" s="652" t="n">
        <v>45791</v>
      </c>
      <c r="B1466" s="123" t="n">
        <v>1163</v>
      </c>
      <c r="C1466" s="124" t="s">
        <v>259</v>
      </c>
      <c r="D1466" s="124" t="s">
        <v>127</v>
      </c>
      <c r="E1466" s="653" t="n">
        <v>1638.75</v>
      </c>
      <c r="G1466" s="653" t="n">
        <v>1776.75</v>
      </c>
      <c r="H1466" s="653" t="n">
        <v>0.75</v>
      </c>
      <c r="I1466" s="123" t="n">
        <v>6</v>
      </c>
    </row>
    <row r="1467" customFormat="false" ht="15" hidden="false" customHeight="false" outlineLevel="0" collapsed="false">
      <c r="A1467" s="652" t="n">
        <v>45791</v>
      </c>
      <c r="B1467" s="123" t="n">
        <v>1164</v>
      </c>
      <c r="C1467" s="124" t="s">
        <v>237</v>
      </c>
      <c r="D1467" s="124" t="s">
        <v>127</v>
      </c>
      <c r="E1467" s="123" t="n">
        <v>138</v>
      </c>
      <c r="G1467" s="653" t="n">
        <v>1914.75</v>
      </c>
      <c r="H1467" s="123" t="n">
        <v>0</v>
      </c>
      <c r="O1467" s="123" t="n">
        <v>1</v>
      </c>
    </row>
    <row r="1468" customFormat="false" ht="15" hidden="false" customHeight="false" outlineLevel="0" collapsed="false">
      <c r="A1468" s="652" t="n">
        <v>45791</v>
      </c>
      <c r="B1468" s="124" t="s">
        <v>470</v>
      </c>
      <c r="C1468" s="124" t="s">
        <v>393</v>
      </c>
      <c r="F1468" s="123" t="n">
        <v>1914</v>
      </c>
      <c r="G1468" s="653" t="n">
        <v>0.75</v>
      </c>
    </row>
    <row r="1469" customFormat="false" ht="15" hidden="false" customHeight="false" outlineLevel="0" collapsed="false">
      <c r="A1469" s="652" t="n">
        <v>45792</v>
      </c>
      <c r="B1469" s="123" t="n">
        <v>1165</v>
      </c>
      <c r="C1469" s="124" t="s">
        <v>177</v>
      </c>
      <c r="D1469" s="124" t="s">
        <v>127</v>
      </c>
      <c r="E1469" s="653" t="n">
        <v>155.25</v>
      </c>
      <c r="G1469" s="123" t="n">
        <v>156</v>
      </c>
      <c r="H1469" s="653" t="n">
        <v>0.579999999999984</v>
      </c>
      <c r="P1469" s="123" t="n">
        <v>1</v>
      </c>
    </row>
    <row r="1470" customFormat="false" ht="15" hidden="false" customHeight="false" outlineLevel="0" collapsed="false">
      <c r="A1470" s="652" t="n">
        <v>45792</v>
      </c>
      <c r="B1470" s="123" t="n">
        <v>1167</v>
      </c>
      <c r="C1470" s="124" t="s">
        <v>133</v>
      </c>
      <c r="D1470" s="124" t="s">
        <v>127</v>
      </c>
      <c r="E1470" s="653" t="n">
        <v>1638.75</v>
      </c>
      <c r="G1470" s="653" t="n">
        <v>1794.75</v>
      </c>
      <c r="H1470" s="653" t="n">
        <v>0.75</v>
      </c>
      <c r="I1470" s="123" t="n">
        <v>6</v>
      </c>
    </row>
    <row r="1471" customFormat="false" ht="15" hidden="false" customHeight="false" outlineLevel="0" collapsed="false">
      <c r="A1471" s="652" t="n">
        <v>45792</v>
      </c>
      <c r="B1471" s="123" t="n">
        <v>1166</v>
      </c>
      <c r="C1471" s="124" t="s">
        <v>184</v>
      </c>
      <c r="D1471" s="124" t="s">
        <v>127</v>
      </c>
      <c r="E1471" s="653" t="n">
        <v>155.25</v>
      </c>
      <c r="G1471" s="123" t="n">
        <v>1950</v>
      </c>
      <c r="P1471" s="123" t="n">
        <v>1</v>
      </c>
    </row>
    <row r="1472" customFormat="false" ht="15" hidden="false" customHeight="false" outlineLevel="0" collapsed="false">
      <c r="A1472" s="652" t="n">
        <v>45792</v>
      </c>
      <c r="B1472" s="123" t="n">
        <v>1168</v>
      </c>
      <c r="C1472" s="124" t="s">
        <v>130</v>
      </c>
      <c r="D1472" s="124" t="s">
        <v>127</v>
      </c>
      <c r="E1472" s="653" t="n">
        <v>1638.75</v>
      </c>
      <c r="G1472" s="653" t="n">
        <v>3588.75</v>
      </c>
      <c r="H1472" s="123" t="n">
        <v>0</v>
      </c>
      <c r="I1472" s="123" t="n">
        <v>6</v>
      </c>
    </row>
    <row r="1473" customFormat="false" ht="15" hidden="false" customHeight="false" outlineLevel="0" collapsed="false">
      <c r="A1473" s="652" t="n">
        <v>45792</v>
      </c>
      <c r="B1473" s="123" t="n">
        <v>1170</v>
      </c>
      <c r="C1473" s="124" t="s">
        <v>143</v>
      </c>
      <c r="D1473" s="124" t="s">
        <v>127</v>
      </c>
      <c r="E1473" s="123" t="n">
        <v>230</v>
      </c>
      <c r="G1473" s="653" t="n">
        <v>3818.75</v>
      </c>
      <c r="K1473" s="123" t="n">
        <v>1</v>
      </c>
    </row>
    <row r="1474" customFormat="false" ht="15" hidden="false" customHeight="false" outlineLevel="0" collapsed="false">
      <c r="A1474" s="652" t="n">
        <v>45792</v>
      </c>
      <c r="B1474" s="124" t="s">
        <v>470</v>
      </c>
      <c r="C1474" s="124" t="s">
        <v>393</v>
      </c>
      <c r="F1474" s="653" t="n">
        <v>1552.75</v>
      </c>
      <c r="G1474" s="123" t="n">
        <v>2266</v>
      </c>
    </row>
    <row r="1475" customFormat="false" ht="15" hidden="false" customHeight="false" outlineLevel="0" collapsed="false">
      <c r="A1475" s="652" t="n">
        <v>45795</v>
      </c>
      <c r="B1475" s="124" t="s">
        <v>653</v>
      </c>
      <c r="C1475" s="124" t="s">
        <v>393</v>
      </c>
      <c r="F1475" s="123" t="n">
        <v>2266</v>
      </c>
      <c r="G1475" s="123" t="n">
        <v>0</v>
      </c>
    </row>
    <row r="1476" customFormat="false" ht="15" hidden="false" customHeight="false" outlineLevel="0" collapsed="false">
      <c r="A1476" s="652" t="n">
        <v>45795</v>
      </c>
      <c r="B1476" s="123" t="n">
        <v>1174</v>
      </c>
      <c r="C1476" s="124" t="s">
        <v>133</v>
      </c>
      <c r="D1476" s="124" t="s">
        <v>127</v>
      </c>
      <c r="E1476" s="653" t="n">
        <v>155.25</v>
      </c>
      <c r="G1476" s="653" t="n">
        <v>155.25</v>
      </c>
      <c r="P1476" s="123" t="n">
        <v>1</v>
      </c>
    </row>
    <row r="1477" customFormat="false" ht="15" hidden="false" customHeight="false" outlineLevel="0" collapsed="false">
      <c r="A1477" s="652" t="n">
        <v>45795</v>
      </c>
      <c r="B1477" s="123" t="n">
        <v>1173</v>
      </c>
      <c r="C1477" s="124" t="s">
        <v>143</v>
      </c>
      <c r="D1477" s="124" t="s">
        <v>127</v>
      </c>
      <c r="E1477" s="123" t="n">
        <v>483</v>
      </c>
      <c r="G1477" s="653" t="n">
        <v>638.25</v>
      </c>
      <c r="O1477" s="123" t="n">
        <v>2</v>
      </c>
    </row>
    <row r="1478" customFormat="false" ht="15" hidden="false" customHeight="false" outlineLevel="0" collapsed="false">
      <c r="A1478" s="652" t="n">
        <v>45795</v>
      </c>
      <c r="B1478" s="123" t="n">
        <v>1172</v>
      </c>
      <c r="C1478" s="124" t="s">
        <v>259</v>
      </c>
      <c r="D1478" s="124" t="s">
        <v>127</v>
      </c>
      <c r="E1478" s="653" t="n">
        <v>534.75</v>
      </c>
      <c r="G1478" s="123" t="n">
        <v>1173</v>
      </c>
      <c r="H1478" s="653" t="n">
        <v>-0.25</v>
      </c>
      <c r="K1478" s="123" t="n">
        <v>1</v>
      </c>
      <c r="P1478" s="123" t="n">
        <v>1</v>
      </c>
    </row>
    <row r="1479" customFormat="false" ht="15" hidden="false" customHeight="false" outlineLevel="0" collapsed="false">
      <c r="A1479" s="652" t="n">
        <v>45795</v>
      </c>
      <c r="B1479" s="123" t="n">
        <v>1171</v>
      </c>
      <c r="C1479" s="124" t="s">
        <v>228</v>
      </c>
      <c r="D1479" s="124" t="s">
        <v>127</v>
      </c>
      <c r="E1479" s="123" t="n">
        <v>230</v>
      </c>
      <c r="G1479" s="123" t="n">
        <v>1403</v>
      </c>
      <c r="K1479" s="123" t="n">
        <v>1</v>
      </c>
    </row>
    <row r="1480" customFormat="false" ht="15" hidden="false" customHeight="false" outlineLevel="0" collapsed="false">
      <c r="A1480" s="652" t="n">
        <v>45795</v>
      </c>
      <c r="B1480" s="123" t="n">
        <v>1175</v>
      </c>
      <c r="C1480" s="124" t="s">
        <v>179</v>
      </c>
      <c r="D1480" s="124" t="s">
        <v>127</v>
      </c>
      <c r="E1480" s="653" t="n">
        <v>1638.75</v>
      </c>
      <c r="G1480" s="653" t="n">
        <v>3041.75</v>
      </c>
      <c r="H1480" s="123" t="n">
        <v>0</v>
      </c>
      <c r="I1480" s="123" t="n">
        <v>6</v>
      </c>
    </row>
    <row r="1481" customFormat="false" ht="15" hidden="false" customHeight="false" outlineLevel="0" collapsed="false">
      <c r="A1481" s="652" t="n">
        <v>45795</v>
      </c>
      <c r="B1481" s="123" t="n">
        <v>1176</v>
      </c>
      <c r="C1481" s="124" t="s">
        <v>263</v>
      </c>
      <c r="D1481" s="124" t="s">
        <v>127</v>
      </c>
      <c r="E1481" s="123" t="n">
        <v>299</v>
      </c>
      <c r="G1481" s="653" t="n">
        <v>3340.75</v>
      </c>
      <c r="P1481" s="123" t="n">
        <v>1</v>
      </c>
    </row>
    <row r="1482" customFormat="false" ht="15" hidden="false" customHeight="false" outlineLevel="0" collapsed="false">
      <c r="A1482" s="652" t="n">
        <v>45795</v>
      </c>
      <c r="B1482" s="124" t="s">
        <v>653</v>
      </c>
      <c r="C1482" s="124" t="s">
        <v>393</v>
      </c>
      <c r="F1482" s="123" t="n">
        <v>3340</v>
      </c>
      <c r="G1482" s="653" t="n">
        <v>0.75</v>
      </c>
    </row>
    <row r="1483" customFormat="false" ht="15" hidden="false" customHeight="false" outlineLevel="0" collapsed="false">
      <c r="A1483" s="652" t="n">
        <v>45796</v>
      </c>
      <c r="B1483" s="123" t="n">
        <v>1177</v>
      </c>
      <c r="C1483" s="124" t="s">
        <v>310</v>
      </c>
      <c r="D1483" s="124" t="s">
        <v>301</v>
      </c>
      <c r="E1483" s="653" t="n">
        <v>3277.5</v>
      </c>
      <c r="G1483" s="653" t="n">
        <v>3278.25</v>
      </c>
      <c r="I1483" s="123" t="n">
        <v>12</v>
      </c>
    </row>
    <row r="1484" customFormat="false" ht="15" hidden="false" customHeight="false" outlineLevel="0" collapsed="false">
      <c r="A1484" s="652" t="n">
        <v>45796</v>
      </c>
      <c r="B1484" s="123" t="n">
        <v>1178</v>
      </c>
      <c r="C1484" s="124" t="s">
        <v>310</v>
      </c>
      <c r="D1484" s="124" t="s">
        <v>301</v>
      </c>
      <c r="E1484" s="123" t="n">
        <v>2070</v>
      </c>
      <c r="G1484" s="653" t="n">
        <v>5348.25</v>
      </c>
      <c r="H1484" s="123" t="n">
        <v>0</v>
      </c>
      <c r="O1484" s="123" t="n">
        <v>15</v>
      </c>
    </row>
    <row r="1485" customFormat="false" ht="15" hidden="false" customHeight="false" outlineLevel="0" collapsed="false">
      <c r="A1485" s="652" t="n">
        <v>45796</v>
      </c>
      <c r="B1485" s="123" t="n">
        <v>1179</v>
      </c>
      <c r="C1485" s="124" t="s">
        <v>298</v>
      </c>
      <c r="D1485" s="124" t="s">
        <v>286</v>
      </c>
      <c r="E1485" s="123" t="n">
        <v>253</v>
      </c>
      <c r="G1485" s="653" t="n">
        <v>5601.25</v>
      </c>
      <c r="H1485" s="123" t="n">
        <v>4</v>
      </c>
      <c r="K1485" s="123" t="n">
        <v>1</v>
      </c>
    </row>
    <row r="1486" customFormat="false" ht="15" hidden="false" customHeight="false" outlineLevel="0" collapsed="false">
      <c r="A1486" s="652" t="n">
        <v>45796</v>
      </c>
      <c r="B1486" s="123" t="n">
        <v>1180</v>
      </c>
      <c r="C1486" s="124" t="s">
        <v>298</v>
      </c>
      <c r="D1486" s="124" t="s">
        <v>286</v>
      </c>
      <c r="E1486" s="653" t="n">
        <v>155.25</v>
      </c>
      <c r="G1486" s="653" t="n">
        <v>5756.5</v>
      </c>
      <c r="H1486" s="653" t="n">
        <v>0.25</v>
      </c>
      <c r="P1486" s="123" t="n">
        <v>1</v>
      </c>
    </row>
    <row r="1487" customFormat="false" ht="15" hidden="false" customHeight="false" outlineLevel="0" collapsed="false">
      <c r="A1487" s="652" t="n">
        <v>45796</v>
      </c>
      <c r="B1487" s="123" t="n">
        <v>1181</v>
      </c>
      <c r="C1487" s="124" t="s">
        <v>309</v>
      </c>
      <c r="D1487" s="124" t="s">
        <v>301</v>
      </c>
      <c r="E1487" s="123" t="n">
        <v>138</v>
      </c>
      <c r="G1487" s="653" t="n">
        <v>5894.5</v>
      </c>
      <c r="O1487" s="123" t="n">
        <v>1</v>
      </c>
    </row>
    <row r="1488" customFormat="false" ht="15" hidden="false" customHeight="false" outlineLevel="0" collapsed="false">
      <c r="A1488" s="652" t="n">
        <v>45796</v>
      </c>
      <c r="B1488" s="123" t="n">
        <v>1182</v>
      </c>
      <c r="C1488" s="124" t="s">
        <v>225</v>
      </c>
      <c r="D1488" s="124" t="s">
        <v>127</v>
      </c>
      <c r="E1488" s="653" t="n">
        <v>1638.75</v>
      </c>
      <c r="G1488" s="653" t="n">
        <v>7533.25</v>
      </c>
      <c r="I1488" s="123" t="n">
        <v>6</v>
      </c>
    </row>
    <row r="1489" customFormat="false" ht="15" hidden="false" customHeight="false" outlineLevel="0" collapsed="false">
      <c r="A1489" s="652" t="n">
        <v>45796</v>
      </c>
      <c r="B1489" s="124" t="s">
        <v>470</v>
      </c>
      <c r="C1489" s="124" t="s">
        <v>393</v>
      </c>
      <c r="F1489" s="123" t="n">
        <v>1224</v>
      </c>
      <c r="G1489" s="653" t="n">
        <v>6309.25</v>
      </c>
    </row>
    <row r="1490" customFormat="false" ht="15" hidden="false" customHeight="false" outlineLevel="0" collapsed="false">
      <c r="A1490" s="652" t="n">
        <v>45796</v>
      </c>
      <c r="B1490" s="124" t="s">
        <v>653</v>
      </c>
      <c r="C1490" s="124" t="s">
        <v>393</v>
      </c>
      <c r="E1490" s="653" t="n">
        <v>-0.25</v>
      </c>
      <c r="F1490" s="123" t="n">
        <v>6309</v>
      </c>
      <c r="G1490" s="123" t="n">
        <v>0</v>
      </c>
    </row>
    <row r="1491" customFormat="false" ht="15" hidden="false" customHeight="false" outlineLevel="0" collapsed="false">
      <c r="A1491" s="652" t="n">
        <v>45797</v>
      </c>
      <c r="B1491" s="123" t="n">
        <v>1183</v>
      </c>
      <c r="C1491" s="124" t="s">
        <v>180</v>
      </c>
      <c r="D1491" s="124" t="s">
        <v>127</v>
      </c>
      <c r="E1491" s="653" t="n">
        <v>1638.75</v>
      </c>
      <c r="G1491" s="653" t="n">
        <v>1638.75</v>
      </c>
      <c r="H1491" s="123" t="n">
        <v>0</v>
      </c>
      <c r="I1491" s="123" t="n">
        <v>6</v>
      </c>
    </row>
    <row r="1492" customFormat="false" ht="15" hidden="false" customHeight="false" outlineLevel="0" collapsed="false">
      <c r="A1492" s="652" t="n">
        <v>45797</v>
      </c>
      <c r="B1492" s="123" t="n">
        <v>1184</v>
      </c>
      <c r="C1492" s="124" t="s">
        <v>134</v>
      </c>
      <c r="D1492" s="124" t="s">
        <v>127</v>
      </c>
      <c r="E1492" s="653" t="n">
        <v>833.75</v>
      </c>
      <c r="G1492" s="653" t="n">
        <v>2472.5</v>
      </c>
      <c r="H1492" s="653" t="n">
        <v>0.75</v>
      </c>
      <c r="K1492" s="123" t="n">
        <v>3</v>
      </c>
    </row>
    <row r="1493" customFormat="false" ht="15" hidden="false" customHeight="false" outlineLevel="0" collapsed="false">
      <c r="A1493" s="652" t="n">
        <v>45797</v>
      </c>
      <c r="B1493" s="124" t="s">
        <v>470</v>
      </c>
      <c r="C1493" s="124" t="s">
        <v>393</v>
      </c>
      <c r="E1493" s="653" t="n">
        <v>-0.5</v>
      </c>
      <c r="F1493" s="123" t="n">
        <v>2472</v>
      </c>
      <c r="G1493" s="123" t="n">
        <v>0</v>
      </c>
    </row>
    <row r="1494" customFormat="false" ht="15" hidden="false" customHeight="false" outlineLevel="0" collapsed="false">
      <c r="A1494" s="652" t="n">
        <v>45798</v>
      </c>
      <c r="B1494" s="123" t="n">
        <v>1185</v>
      </c>
      <c r="C1494" s="124" t="s">
        <v>76</v>
      </c>
      <c r="D1494" s="124" t="s">
        <v>75</v>
      </c>
      <c r="E1494" s="653" t="n">
        <v>241.5</v>
      </c>
      <c r="G1494" s="653" t="n">
        <v>241.5</v>
      </c>
      <c r="O1494" s="123" t="n">
        <v>1</v>
      </c>
    </row>
    <row r="1495" customFormat="false" ht="15" hidden="false" customHeight="false" outlineLevel="0" collapsed="false">
      <c r="A1495" s="652" t="n">
        <v>45798</v>
      </c>
      <c r="B1495" s="123" t="n">
        <v>1186</v>
      </c>
      <c r="C1495" s="124" t="s">
        <v>94</v>
      </c>
      <c r="D1495" s="124" t="s">
        <v>75</v>
      </c>
      <c r="E1495" s="653" t="n">
        <v>241.5</v>
      </c>
      <c r="G1495" s="123" t="n">
        <v>483</v>
      </c>
      <c r="H1495" s="123" t="n">
        <v>0</v>
      </c>
      <c r="M1495" s="123" t="n">
        <v>1</v>
      </c>
    </row>
    <row r="1496" customFormat="false" ht="15" hidden="false" customHeight="false" outlineLevel="0" collapsed="false">
      <c r="A1496" s="652" t="n">
        <v>45798</v>
      </c>
      <c r="B1496" s="123" t="n">
        <v>1187</v>
      </c>
      <c r="C1496" s="124" t="s">
        <v>95</v>
      </c>
      <c r="D1496" s="124" t="s">
        <v>75</v>
      </c>
      <c r="E1496" s="123" t="n">
        <v>690</v>
      </c>
      <c r="G1496" s="123" t="n">
        <v>1173</v>
      </c>
      <c r="O1496" s="123" t="n">
        <v>5</v>
      </c>
    </row>
    <row r="1497" customFormat="false" ht="15" hidden="false" customHeight="false" outlineLevel="0" collapsed="false">
      <c r="A1497" s="652" t="n">
        <v>45798</v>
      </c>
      <c r="B1497" s="123" t="n">
        <v>1188</v>
      </c>
      <c r="C1497" s="124" t="s">
        <v>96</v>
      </c>
      <c r="D1497" s="124" t="s">
        <v>75</v>
      </c>
      <c r="E1497" s="123" t="n">
        <v>2047</v>
      </c>
      <c r="G1497" s="123" t="n">
        <v>3220</v>
      </c>
      <c r="H1497" s="123" t="n">
        <v>-2</v>
      </c>
      <c r="I1497" s="123" t="n">
        <v>6</v>
      </c>
      <c r="K1497" s="123" t="n">
        <v>1</v>
      </c>
      <c r="P1497" s="123" t="n">
        <v>1</v>
      </c>
    </row>
    <row r="1498" customFormat="false" ht="15" hidden="false" customHeight="false" outlineLevel="0" collapsed="false">
      <c r="A1498" s="652" t="n">
        <v>45798</v>
      </c>
      <c r="B1498" s="123" t="n">
        <v>1189</v>
      </c>
      <c r="C1498" s="124" t="s">
        <v>109</v>
      </c>
      <c r="D1498" s="124" t="s">
        <v>105</v>
      </c>
      <c r="E1498" s="653" t="n">
        <v>235.75</v>
      </c>
      <c r="G1498" s="653" t="n">
        <v>3455.75</v>
      </c>
      <c r="H1498" s="653" t="n">
        <v>-0.25</v>
      </c>
      <c r="K1498" s="123" t="n">
        <v>1</v>
      </c>
    </row>
    <row r="1499" customFormat="false" ht="15" hidden="false" customHeight="false" outlineLevel="0" collapsed="false">
      <c r="A1499" s="652" t="n">
        <v>45798</v>
      </c>
      <c r="B1499" s="123" t="n">
        <v>1190</v>
      </c>
      <c r="C1499" s="124" t="s">
        <v>110</v>
      </c>
      <c r="D1499" s="124" t="s">
        <v>105</v>
      </c>
      <c r="E1499" s="653" t="n">
        <v>1638.75</v>
      </c>
      <c r="G1499" s="653" t="n">
        <v>5094.5</v>
      </c>
      <c r="I1499" s="123" t="n">
        <v>6</v>
      </c>
    </row>
    <row r="1500" customFormat="false" ht="15" hidden="false" customHeight="false" outlineLevel="0" collapsed="false">
      <c r="A1500" s="652" t="n">
        <v>45798</v>
      </c>
      <c r="B1500" s="123" t="n">
        <v>1189</v>
      </c>
      <c r="C1500" s="124" t="s">
        <v>97</v>
      </c>
      <c r="D1500" s="124" t="s">
        <v>75</v>
      </c>
      <c r="E1500" s="123" t="n">
        <v>138</v>
      </c>
      <c r="G1500" s="653" t="n">
        <v>5232.5</v>
      </c>
      <c r="H1500" s="123" t="n">
        <v>0</v>
      </c>
      <c r="O1500" s="123" t="n">
        <v>1</v>
      </c>
    </row>
    <row r="1501" customFormat="false" ht="15" hidden="false" customHeight="false" outlineLevel="0" collapsed="false">
      <c r="A1501" s="652" t="n">
        <v>45798</v>
      </c>
      <c r="B1501" s="124" t="s">
        <v>657</v>
      </c>
      <c r="C1501" s="124" t="s">
        <v>393</v>
      </c>
      <c r="F1501" s="123" t="n">
        <v>1638</v>
      </c>
      <c r="G1501" s="653" t="n">
        <v>3594.5</v>
      </c>
    </row>
    <row r="1502" customFormat="false" ht="15" hidden="false" customHeight="false" outlineLevel="0" collapsed="false">
      <c r="A1502" s="652" t="n">
        <v>45798</v>
      </c>
      <c r="B1502" s="124" t="s">
        <v>470</v>
      </c>
      <c r="C1502" s="124" t="s">
        <v>393</v>
      </c>
      <c r="F1502" s="123" t="n">
        <v>1806</v>
      </c>
      <c r="G1502" s="653" t="n">
        <v>1788.5</v>
      </c>
    </row>
    <row r="1503" customFormat="false" ht="15" hidden="false" customHeight="false" outlineLevel="0" collapsed="false">
      <c r="A1503" s="652" t="n">
        <v>45798</v>
      </c>
      <c r="B1503" s="124" t="s">
        <v>653</v>
      </c>
      <c r="C1503" s="124" t="s">
        <v>393</v>
      </c>
      <c r="E1503" s="653" t="n">
        <v>-0.5</v>
      </c>
      <c r="F1503" s="123" t="n">
        <v>1788</v>
      </c>
      <c r="G1503" s="123" t="n">
        <v>0</v>
      </c>
    </row>
    <row r="1504" customFormat="false" ht="15" hidden="false" customHeight="false" outlineLevel="0" collapsed="false">
      <c r="A1504" s="652" t="n">
        <v>45799</v>
      </c>
      <c r="B1504" s="123" t="n">
        <v>1191</v>
      </c>
      <c r="C1504" s="124" t="s">
        <v>229</v>
      </c>
      <c r="D1504" s="124" t="s">
        <v>127</v>
      </c>
      <c r="E1504" s="653" t="n">
        <v>1638.75</v>
      </c>
      <c r="G1504" s="653" t="n">
        <v>1638.75</v>
      </c>
      <c r="I1504" s="123" t="n">
        <v>6</v>
      </c>
    </row>
    <row r="1505" customFormat="false" ht="15" hidden="false" customHeight="false" outlineLevel="0" collapsed="false">
      <c r="A1505" s="652" t="n">
        <v>45799</v>
      </c>
      <c r="B1505" s="123" t="n">
        <v>1193</v>
      </c>
      <c r="C1505" s="124" t="s">
        <v>229</v>
      </c>
      <c r="D1505" s="124" t="s">
        <v>127</v>
      </c>
      <c r="E1505" s="123" t="n">
        <v>276</v>
      </c>
      <c r="G1505" s="653" t="n">
        <v>1914.75</v>
      </c>
      <c r="H1505" s="123" t="n">
        <v>0</v>
      </c>
      <c r="O1505" s="123" t="n">
        <v>2</v>
      </c>
    </row>
    <row r="1506" customFormat="false" ht="15" hidden="false" customHeight="false" outlineLevel="0" collapsed="false">
      <c r="A1506" s="652" t="n">
        <v>45799</v>
      </c>
      <c r="B1506" s="123" t="n">
        <v>1195</v>
      </c>
      <c r="C1506" s="124" t="s">
        <v>264</v>
      </c>
      <c r="D1506" s="124" t="s">
        <v>127</v>
      </c>
      <c r="E1506" s="653" t="n">
        <v>2202.25</v>
      </c>
      <c r="G1506" s="123" t="n">
        <v>4117</v>
      </c>
      <c r="H1506" s="123" t="n">
        <v>0</v>
      </c>
      <c r="I1506" s="123" t="n">
        <v>6</v>
      </c>
      <c r="K1506" s="123" t="n">
        <v>1</v>
      </c>
      <c r="P1506" s="123" t="n">
        <v>2</v>
      </c>
    </row>
    <row r="1507" customFormat="false" ht="15" hidden="false" customHeight="false" outlineLevel="0" collapsed="false">
      <c r="A1507" s="652" t="n">
        <v>45799</v>
      </c>
      <c r="B1507" s="124" t="s">
        <v>657</v>
      </c>
      <c r="C1507" s="124" t="s">
        <v>393</v>
      </c>
      <c r="F1507" s="123" t="n">
        <v>107</v>
      </c>
      <c r="G1507" s="123" t="n">
        <v>4010</v>
      </c>
    </row>
    <row r="1508" customFormat="false" ht="15" hidden="false" customHeight="false" outlineLevel="0" collapsed="false">
      <c r="A1508" s="652" t="n">
        <v>45799</v>
      </c>
      <c r="B1508" s="124" t="s">
        <v>653</v>
      </c>
      <c r="C1508" s="124" t="s">
        <v>393</v>
      </c>
      <c r="F1508" s="123" t="n">
        <v>4010</v>
      </c>
      <c r="G1508" s="123" t="n">
        <v>0</v>
      </c>
    </row>
    <row r="1509" customFormat="false" ht="15" hidden="false" customHeight="false" outlineLevel="0" collapsed="false">
      <c r="A1509" s="652" t="n">
        <v>45802</v>
      </c>
      <c r="B1509" s="123" t="n">
        <v>1196</v>
      </c>
      <c r="C1509" s="124" t="s">
        <v>196</v>
      </c>
      <c r="D1509" s="124" t="s">
        <v>127</v>
      </c>
      <c r="E1509" s="653" t="n">
        <v>914.25</v>
      </c>
      <c r="G1509" s="653" t="n">
        <v>914.25</v>
      </c>
      <c r="H1509" s="653" t="n">
        <v>-0.75</v>
      </c>
      <c r="P1509" s="123" t="n">
        <v>4</v>
      </c>
    </row>
    <row r="1510" customFormat="false" ht="15" hidden="false" customHeight="false" outlineLevel="0" collapsed="false">
      <c r="A1510" s="652" t="n">
        <v>45802</v>
      </c>
      <c r="B1510" s="123" t="n">
        <v>1195</v>
      </c>
      <c r="C1510" s="124" t="s">
        <v>226</v>
      </c>
      <c r="D1510" s="124" t="s">
        <v>127</v>
      </c>
      <c r="E1510" s="653" t="n">
        <v>1943.5</v>
      </c>
      <c r="G1510" s="653" t="n">
        <v>2857.75</v>
      </c>
      <c r="H1510" s="653" t="n">
        <v>-0.499999999999773</v>
      </c>
      <c r="L1510" s="123" t="n">
        <v>6</v>
      </c>
      <c r="P1510" s="123" t="n">
        <v>2</v>
      </c>
    </row>
    <row r="1511" customFormat="false" ht="15" hidden="false" customHeight="false" outlineLevel="0" collapsed="false">
      <c r="A1511" s="652" t="n">
        <v>45802</v>
      </c>
      <c r="B1511" s="124" t="s">
        <v>470</v>
      </c>
      <c r="C1511" s="124" t="s">
        <v>393</v>
      </c>
      <c r="F1511" s="123" t="n">
        <v>380</v>
      </c>
      <c r="G1511" s="653" t="n">
        <v>2477.75</v>
      </c>
    </row>
    <row r="1512" customFormat="false" ht="15" hidden="false" customHeight="false" outlineLevel="0" collapsed="false">
      <c r="A1512" s="652" t="n">
        <v>45802</v>
      </c>
      <c r="B1512" s="124" t="s">
        <v>653</v>
      </c>
      <c r="C1512" s="124" t="s">
        <v>393</v>
      </c>
      <c r="F1512" s="123" t="n">
        <v>2477</v>
      </c>
      <c r="G1512" s="653" t="n">
        <v>0.75</v>
      </c>
    </row>
    <row r="1513" customFormat="false" ht="15" hidden="false" customHeight="false" outlineLevel="0" collapsed="false">
      <c r="A1513" s="652" t="n">
        <v>45802</v>
      </c>
      <c r="B1513" s="123" t="n">
        <v>1198</v>
      </c>
      <c r="C1513" s="124" t="s">
        <v>298</v>
      </c>
      <c r="D1513" s="124" t="s">
        <v>286</v>
      </c>
      <c r="E1513" s="653" t="n">
        <v>2110.25</v>
      </c>
      <c r="G1513" s="123" t="n">
        <v>2111</v>
      </c>
      <c r="H1513" s="653" t="n">
        <v>0.25</v>
      </c>
      <c r="I1513" s="123" t="n">
        <v>6</v>
      </c>
      <c r="K1513" s="123" t="n">
        <v>1</v>
      </c>
      <c r="O1513" s="123" t="n">
        <v>1</v>
      </c>
    </row>
    <row r="1514" customFormat="false" ht="15" hidden="false" customHeight="false" outlineLevel="0" collapsed="false">
      <c r="A1514" s="652" t="n">
        <v>45802</v>
      </c>
      <c r="B1514" s="123" t="n">
        <v>1197</v>
      </c>
      <c r="C1514" s="124" t="s">
        <v>296</v>
      </c>
      <c r="D1514" s="124" t="s">
        <v>286</v>
      </c>
      <c r="E1514" s="653" t="n">
        <v>3392.5</v>
      </c>
      <c r="G1514" s="653" t="n">
        <v>5503.5</v>
      </c>
      <c r="O1514" s="123" t="n">
        <v>15</v>
      </c>
    </row>
    <row r="1515" customFormat="false" ht="15" hidden="false" customHeight="false" outlineLevel="0" collapsed="false">
      <c r="A1515" s="652" t="n">
        <v>45802</v>
      </c>
      <c r="B1515" s="124" t="s">
        <v>470</v>
      </c>
      <c r="C1515" s="124" t="s">
        <v>393</v>
      </c>
      <c r="F1515" s="653" t="n">
        <v>1388.5</v>
      </c>
      <c r="G1515" s="123" t="n">
        <v>4115</v>
      </c>
    </row>
    <row r="1516" customFormat="false" ht="15" hidden="false" customHeight="false" outlineLevel="0" collapsed="false">
      <c r="A1516" s="652" t="n">
        <v>45802</v>
      </c>
      <c r="B1516" s="124" t="s">
        <v>653</v>
      </c>
      <c r="C1516" s="124" t="s">
        <v>393</v>
      </c>
      <c r="F1516" s="123" t="n">
        <v>4115</v>
      </c>
      <c r="G1516" s="123" t="n">
        <v>0</v>
      </c>
    </row>
    <row r="1517" customFormat="false" ht="15" hidden="false" customHeight="false" outlineLevel="0" collapsed="false">
      <c r="A1517" s="652" t="n">
        <v>45804</v>
      </c>
      <c r="B1517" s="123" t="n">
        <v>1205</v>
      </c>
      <c r="C1517" s="124" t="s">
        <v>160</v>
      </c>
      <c r="D1517" s="124" t="s">
        <v>127</v>
      </c>
      <c r="E1517" s="653" t="n">
        <v>1638.75</v>
      </c>
      <c r="G1517" s="653" t="n">
        <v>1638.75</v>
      </c>
      <c r="H1517" s="653" t="n">
        <v>-3.25</v>
      </c>
      <c r="I1517" s="123" t="n">
        <v>6</v>
      </c>
    </row>
    <row r="1518" customFormat="false" ht="15" hidden="false" customHeight="false" outlineLevel="0" collapsed="false">
      <c r="A1518" s="652" t="n">
        <v>45804</v>
      </c>
      <c r="B1518" s="123" t="n">
        <v>1199</v>
      </c>
      <c r="C1518" s="124" t="s">
        <v>96</v>
      </c>
      <c r="D1518" s="124" t="s">
        <v>75</v>
      </c>
      <c r="E1518" s="123" t="n">
        <v>1633</v>
      </c>
      <c r="G1518" s="653" t="n">
        <v>3271.75</v>
      </c>
      <c r="H1518" s="123" t="n">
        <v>0</v>
      </c>
      <c r="K1518" s="123" t="n">
        <v>6</v>
      </c>
    </row>
    <row r="1519" customFormat="false" ht="15" hidden="false" customHeight="false" outlineLevel="0" collapsed="false">
      <c r="A1519" s="652" t="n">
        <v>45804</v>
      </c>
      <c r="B1519" s="123" t="n">
        <v>1201</v>
      </c>
      <c r="C1519" s="124" t="s">
        <v>132</v>
      </c>
      <c r="D1519" s="124" t="s">
        <v>127</v>
      </c>
      <c r="E1519" s="653" t="n">
        <v>1581.25</v>
      </c>
      <c r="G1519" s="123" t="n">
        <v>4853</v>
      </c>
      <c r="H1519" s="653" t="n">
        <v>-0.25</v>
      </c>
      <c r="L1519" s="123" t="n">
        <v>6</v>
      </c>
    </row>
    <row r="1520" customFormat="false" ht="15" hidden="false" customHeight="false" outlineLevel="0" collapsed="false">
      <c r="A1520" s="652" t="n">
        <v>45804</v>
      </c>
      <c r="B1520" s="123" t="n">
        <v>1200</v>
      </c>
      <c r="C1520" s="124" t="s">
        <v>97</v>
      </c>
      <c r="D1520" s="124" t="s">
        <v>75</v>
      </c>
      <c r="E1520" s="123" t="n">
        <v>230</v>
      </c>
      <c r="G1520" s="123" t="n">
        <v>5083</v>
      </c>
      <c r="H1520" s="123" t="n">
        <v>0</v>
      </c>
      <c r="K1520" s="123" t="n">
        <v>1</v>
      </c>
    </row>
    <row r="1521" customFormat="false" ht="15" hidden="false" customHeight="false" outlineLevel="0" collapsed="false">
      <c r="A1521" s="652" t="n">
        <v>45804</v>
      </c>
      <c r="B1521" s="123" t="n">
        <v>1204</v>
      </c>
      <c r="C1521" s="124" t="s">
        <v>169</v>
      </c>
      <c r="D1521" s="124" t="s">
        <v>127</v>
      </c>
      <c r="E1521" s="123" t="n">
        <v>138</v>
      </c>
      <c r="G1521" s="123" t="n">
        <v>5221</v>
      </c>
      <c r="O1521" s="123" t="n">
        <v>1</v>
      </c>
    </row>
    <row r="1522" customFormat="false" ht="15" hidden="false" customHeight="false" outlineLevel="0" collapsed="false">
      <c r="A1522" s="652" t="n">
        <v>45804</v>
      </c>
      <c r="B1522" s="123" t="n">
        <v>1203</v>
      </c>
      <c r="C1522" s="124" t="s">
        <v>90</v>
      </c>
      <c r="D1522" s="124" t="s">
        <v>75</v>
      </c>
      <c r="E1522" s="653" t="n">
        <v>241.5</v>
      </c>
      <c r="G1522" s="653" t="n">
        <v>5462.5</v>
      </c>
      <c r="M1522" s="123" t="n">
        <v>1</v>
      </c>
    </row>
    <row r="1523" customFormat="false" ht="15" hidden="false" customHeight="false" outlineLevel="0" collapsed="false">
      <c r="A1523" s="652" t="n">
        <v>45804</v>
      </c>
      <c r="B1523" s="123" t="n">
        <v>1202</v>
      </c>
      <c r="C1523" s="124" t="s">
        <v>90</v>
      </c>
      <c r="D1523" s="124" t="s">
        <v>75</v>
      </c>
      <c r="E1523" s="123" t="n">
        <v>253</v>
      </c>
      <c r="G1523" s="653" t="n">
        <v>5715.5</v>
      </c>
      <c r="K1523" s="123" t="n">
        <v>1</v>
      </c>
    </row>
    <row r="1524" customFormat="false" ht="15" hidden="false" customHeight="false" outlineLevel="0" collapsed="false">
      <c r="A1524" s="652" t="n">
        <v>45804</v>
      </c>
      <c r="B1524" s="124" t="s">
        <v>470</v>
      </c>
      <c r="C1524" s="124" t="s">
        <v>393</v>
      </c>
      <c r="E1524" s="653" t="n">
        <v>-0.5</v>
      </c>
      <c r="F1524" s="123" t="n">
        <v>5715</v>
      </c>
      <c r="G1524" s="123" t="n">
        <v>0</v>
      </c>
    </row>
    <row r="1525" customFormat="false" ht="15" hidden="false" customHeight="false" outlineLevel="0" collapsed="false">
      <c r="A1525" s="652" t="n">
        <v>45805</v>
      </c>
      <c r="B1525" s="123" t="n">
        <v>1206</v>
      </c>
      <c r="C1525" s="124" t="s">
        <v>302</v>
      </c>
      <c r="D1525" s="124" t="s">
        <v>301</v>
      </c>
      <c r="E1525" s="653" t="n">
        <v>1638.75</v>
      </c>
      <c r="G1525" s="653" t="n">
        <v>1638.75</v>
      </c>
      <c r="I1525" s="123" t="n">
        <v>6</v>
      </c>
    </row>
    <row r="1526" customFormat="false" ht="15" hidden="false" customHeight="false" outlineLevel="0" collapsed="false">
      <c r="A1526" s="652" t="n">
        <v>45805</v>
      </c>
      <c r="B1526" s="123" t="n">
        <v>1207</v>
      </c>
      <c r="C1526" s="124" t="s">
        <v>316</v>
      </c>
      <c r="D1526" s="124" t="s">
        <v>301</v>
      </c>
      <c r="E1526" s="653" t="n">
        <v>1776.75</v>
      </c>
      <c r="G1526" s="653" t="n">
        <v>3415.5</v>
      </c>
      <c r="I1526" s="123" t="n">
        <v>6</v>
      </c>
      <c r="O1526" s="123" t="n">
        <v>1</v>
      </c>
    </row>
    <row r="1527" customFormat="false" ht="15" hidden="false" customHeight="false" outlineLevel="0" collapsed="false">
      <c r="A1527" s="652" t="n">
        <v>45805</v>
      </c>
      <c r="B1527" s="123" t="n">
        <v>1209</v>
      </c>
      <c r="C1527" s="124" t="s">
        <v>315</v>
      </c>
      <c r="D1527" s="124" t="s">
        <v>301</v>
      </c>
      <c r="E1527" s="653" t="n">
        <v>1638.75</v>
      </c>
      <c r="G1527" s="653" t="n">
        <v>5054.25</v>
      </c>
      <c r="I1527" s="123" t="n">
        <v>6</v>
      </c>
    </row>
    <row r="1528" customFormat="false" ht="15" hidden="false" customHeight="false" outlineLevel="0" collapsed="false">
      <c r="A1528" s="652" t="n">
        <v>45805</v>
      </c>
      <c r="B1528" s="123" t="n">
        <v>1208</v>
      </c>
      <c r="C1528" s="124" t="s">
        <v>309</v>
      </c>
      <c r="D1528" s="124" t="s">
        <v>301</v>
      </c>
      <c r="E1528" s="123" t="n">
        <v>138</v>
      </c>
      <c r="G1528" s="653" t="n">
        <v>5192.25</v>
      </c>
      <c r="O1528" s="123" t="n">
        <v>1</v>
      </c>
    </row>
    <row r="1529" customFormat="false" ht="15" hidden="false" customHeight="false" outlineLevel="0" collapsed="false">
      <c r="A1529" s="652" t="n">
        <v>45805</v>
      </c>
      <c r="B1529" s="123" t="n">
        <v>1210</v>
      </c>
      <c r="C1529" s="124" t="s">
        <v>298</v>
      </c>
      <c r="D1529" s="124" t="s">
        <v>286</v>
      </c>
      <c r="E1529" s="653" t="n">
        <v>494.5</v>
      </c>
      <c r="G1529" s="653" t="n">
        <v>5686.75</v>
      </c>
      <c r="H1529" s="123" t="n">
        <v>0</v>
      </c>
      <c r="K1529" s="123" t="n">
        <v>1</v>
      </c>
      <c r="O1529" s="123" t="n">
        <v>1</v>
      </c>
    </row>
    <row r="1530" customFormat="false" ht="15" hidden="false" customHeight="false" outlineLevel="0" collapsed="false">
      <c r="A1530" s="652" t="n">
        <v>45805</v>
      </c>
      <c r="B1530" s="123" t="n">
        <v>1212</v>
      </c>
      <c r="C1530" s="124" t="s">
        <v>178</v>
      </c>
      <c r="D1530" s="124" t="s">
        <v>127</v>
      </c>
      <c r="E1530" s="123" t="n">
        <v>253</v>
      </c>
      <c r="G1530" s="653" t="n">
        <v>5939.75</v>
      </c>
      <c r="H1530" s="123" t="n">
        <v>0</v>
      </c>
      <c r="K1530" s="123" t="n">
        <v>1</v>
      </c>
    </row>
    <row r="1531" customFormat="false" ht="15" hidden="false" customHeight="false" outlineLevel="0" collapsed="false">
      <c r="A1531" s="652" t="n">
        <v>45806</v>
      </c>
      <c r="B1531" s="123" t="n">
        <v>1211</v>
      </c>
      <c r="C1531" s="124" t="s">
        <v>264</v>
      </c>
      <c r="D1531" s="124" t="s">
        <v>127</v>
      </c>
      <c r="E1531" s="653" t="n">
        <v>1638.75</v>
      </c>
      <c r="G1531" s="653" t="n">
        <v>7578.5</v>
      </c>
      <c r="H1531" s="653" t="n">
        <v>-0.5</v>
      </c>
      <c r="I1531" s="123" t="n">
        <v>6</v>
      </c>
    </row>
    <row r="1532" customFormat="false" ht="15" hidden="false" customHeight="false" outlineLevel="0" collapsed="false">
      <c r="A1532" s="652" t="n">
        <v>45806</v>
      </c>
      <c r="B1532" s="124" t="s">
        <v>470</v>
      </c>
      <c r="C1532" s="124" t="s">
        <v>393</v>
      </c>
      <c r="F1532" s="123" t="n">
        <v>5717</v>
      </c>
      <c r="G1532" s="653" t="n">
        <v>1861.5</v>
      </c>
    </row>
    <row r="1533" customFormat="false" ht="15" hidden="false" customHeight="false" outlineLevel="0" collapsed="false">
      <c r="A1533" s="652" t="n">
        <v>45806</v>
      </c>
      <c r="B1533" s="124" t="s">
        <v>653</v>
      </c>
      <c r="C1533" s="124" t="s">
        <v>393</v>
      </c>
      <c r="E1533" s="653" t="n">
        <v>-0.5</v>
      </c>
      <c r="F1533" s="123" t="n">
        <v>1861</v>
      </c>
      <c r="G1533" s="123" t="n">
        <v>0</v>
      </c>
    </row>
    <row r="1534" customFormat="false" ht="15" hidden="false" customHeight="false" outlineLevel="0" collapsed="false">
      <c r="A1534" s="652" t="n">
        <v>45810</v>
      </c>
      <c r="B1534" s="123" t="n">
        <v>1213</v>
      </c>
      <c r="C1534" s="124" t="s">
        <v>259</v>
      </c>
      <c r="D1534" s="124" t="s">
        <v>127</v>
      </c>
      <c r="E1534" s="653" t="n">
        <v>1891.75</v>
      </c>
      <c r="G1534" s="653" t="n">
        <v>1891.75</v>
      </c>
      <c r="H1534" s="653" t="n">
        <v>-0.75</v>
      </c>
      <c r="I1534" s="123" t="n">
        <v>6</v>
      </c>
      <c r="K1534" s="123" t="n">
        <v>1</v>
      </c>
    </row>
    <row r="1535" customFormat="false" ht="15" hidden="false" customHeight="false" outlineLevel="0" collapsed="false">
      <c r="A1535" s="652" t="n">
        <v>45810</v>
      </c>
      <c r="B1535" s="123" t="n">
        <v>1214</v>
      </c>
      <c r="C1535" s="124" t="s">
        <v>275</v>
      </c>
      <c r="D1535" s="124" t="s">
        <v>127</v>
      </c>
      <c r="E1535" s="653" t="n">
        <v>293.25</v>
      </c>
      <c r="G1535" s="123" t="n">
        <v>2185</v>
      </c>
      <c r="H1535" s="653" t="n">
        <v>1.25</v>
      </c>
      <c r="O1535" s="123" t="n">
        <v>1</v>
      </c>
      <c r="P1535" s="123" t="n">
        <v>1</v>
      </c>
    </row>
    <row r="1536" customFormat="false" ht="15" hidden="false" customHeight="false" outlineLevel="0" collapsed="false">
      <c r="A1536" s="652" t="n">
        <v>45810</v>
      </c>
      <c r="B1536" s="123" t="n">
        <v>1215</v>
      </c>
      <c r="C1536" s="124" t="s">
        <v>236</v>
      </c>
      <c r="D1536" s="124" t="s">
        <v>127</v>
      </c>
      <c r="E1536" s="123" t="n">
        <v>690</v>
      </c>
      <c r="G1536" s="123" t="n">
        <v>2875</v>
      </c>
      <c r="K1536" s="123" t="n">
        <v>2</v>
      </c>
    </row>
    <row r="1537" customFormat="false" ht="15" hidden="false" customHeight="false" outlineLevel="0" collapsed="false">
      <c r="A1537" s="652" t="n">
        <v>45810</v>
      </c>
      <c r="B1537" s="123" t="n">
        <v>1216</v>
      </c>
      <c r="C1537" s="124" t="s">
        <v>237</v>
      </c>
      <c r="D1537" s="124" t="s">
        <v>127</v>
      </c>
      <c r="E1537" s="123" t="n">
        <v>391</v>
      </c>
      <c r="G1537" s="123" t="n">
        <v>3266</v>
      </c>
      <c r="H1537" s="123" t="n">
        <v>0</v>
      </c>
      <c r="O1537" s="123" t="n">
        <v>2</v>
      </c>
    </row>
    <row r="1538" customFormat="false" ht="15" hidden="false" customHeight="false" outlineLevel="0" collapsed="false">
      <c r="A1538" s="652" t="n">
        <v>45810</v>
      </c>
      <c r="B1538" s="124" t="s">
        <v>470</v>
      </c>
      <c r="C1538" s="124" t="s">
        <v>393</v>
      </c>
      <c r="F1538" s="123" t="n">
        <v>825</v>
      </c>
      <c r="G1538" s="123" t="n">
        <v>2441</v>
      </c>
    </row>
    <row r="1539" customFormat="false" ht="15" hidden="false" customHeight="false" outlineLevel="0" collapsed="false">
      <c r="A1539" s="652" t="n">
        <v>45810</v>
      </c>
      <c r="B1539" s="124" t="s">
        <v>470</v>
      </c>
      <c r="C1539" s="124" t="s">
        <v>393</v>
      </c>
      <c r="F1539" s="123" t="n">
        <v>228</v>
      </c>
      <c r="G1539" s="123" t="n">
        <v>2213</v>
      </c>
    </row>
    <row r="1540" customFormat="false" ht="15" hidden="false" customHeight="false" outlineLevel="0" collapsed="false">
      <c r="A1540" s="652" t="n">
        <v>45811</v>
      </c>
      <c r="B1540" s="124" t="s">
        <v>653</v>
      </c>
      <c r="C1540" s="124" t="s">
        <v>393</v>
      </c>
      <c r="F1540" s="123" t="n">
        <v>2213</v>
      </c>
      <c r="G1540" s="123" t="n">
        <v>0</v>
      </c>
    </row>
    <row r="1541" customFormat="false" ht="15" hidden="false" customHeight="false" outlineLevel="0" collapsed="false">
      <c r="A1541" s="652" t="n">
        <v>45811</v>
      </c>
      <c r="B1541" s="123" t="n">
        <v>1217</v>
      </c>
      <c r="C1541" s="124" t="s">
        <v>298</v>
      </c>
      <c r="D1541" s="124" t="s">
        <v>286</v>
      </c>
      <c r="E1541" s="653" t="n">
        <v>235.75</v>
      </c>
      <c r="G1541" s="653" t="n">
        <v>235.75</v>
      </c>
      <c r="H1541" s="123" t="n">
        <v>0</v>
      </c>
      <c r="K1541" s="123" t="n">
        <v>1</v>
      </c>
    </row>
    <row r="1542" customFormat="false" ht="15" hidden="false" customHeight="false" outlineLevel="0" collapsed="false">
      <c r="A1542" s="652" t="n">
        <v>45811</v>
      </c>
      <c r="B1542" s="123" t="n">
        <v>1218</v>
      </c>
      <c r="C1542" s="124" t="s">
        <v>298</v>
      </c>
      <c r="D1542" s="124" t="s">
        <v>286</v>
      </c>
      <c r="E1542" s="653" t="n">
        <v>155.25</v>
      </c>
      <c r="G1542" s="123" t="n">
        <v>391</v>
      </c>
      <c r="P1542" s="123" t="n">
        <v>1</v>
      </c>
    </row>
    <row r="1543" customFormat="false" ht="15" hidden="false" customHeight="false" outlineLevel="0" collapsed="false">
      <c r="A1543" s="652" t="n">
        <v>45811</v>
      </c>
      <c r="B1543" s="123" t="n">
        <v>1219</v>
      </c>
      <c r="C1543" s="124" t="s">
        <v>295</v>
      </c>
      <c r="D1543" s="124" t="s">
        <v>286</v>
      </c>
      <c r="E1543" s="653" t="n">
        <v>724.5</v>
      </c>
      <c r="G1543" s="653" t="n">
        <v>1115.5</v>
      </c>
      <c r="H1543" s="123" t="n">
        <v>0</v>
      </c>
      <c r="M1543" s="123" t="n">
        <v>3</v>
      </c>
    </row>
    <row r="1544" customFormat="false" ht="15" hidden="false" customHeight="false" outlineLevel="0" collapsed="false">
      <c r="A1544" s="652" t="n">
        <v>45811</v>
      </c>
      <c r="B1544" s="123" t="n">
        <v>1220</v>
      </c>
      <c r="C1544" s="124" t="s">
        <v>295</v>
      </c>
      <c r="D1544" s="124" t="s">
        <v>286</v>
      </c>
      <c r="E1544" s="653" t="n">
        <v>195.5</v>
      </c>
      <c r="G1544" s="123" t="n">
        <v>1311</v>
      </c>
      <c r="O1544" s="123" t="n">
        <v>1</v>
      </c>
    </row>
    <row r="1545" customFormat="false" ht="15" hidden="false" customHeight="false" outlineLevel="0" collapsed="false">
      <c r="A1545" s="652" t="n">
        <v>45811</v>
      </c>
      <c r="B1545" s="123" t="n">
        <v>1221</v>
      </c>
      <c r="C1545" s="124" t="s">
        <v>290</v>
      </c>
      <c r="D1545" s="124" t="s">
        <v>286</v>
      </c>
      <c r="E1545" s="653" t="n">
        <v>1638.75</v>
      </c>
      <c r="G1545" s="653" t="n">
        <v>2949.75</v>
      </c>
      <c r="H1545" s="123" t="n">
        <v>-1</v>
      </c>
      <c r="I1545" s="123" t="n">
        <v>6</v>
      </c>
    </row>
    <row r="1546" customFormat="false" ht="15" hidden="false" customHeight="false" outlineLevel="0" collapsed="false">
      <c r="A1546" s="652" t="n">
        <v>45811</v>
      </c>
      <c r="B1546" s="123" t="n">
        <v>1222</v>
      </c>
      <c r="C1546" s="124" t="s">
        <v>327</v>
      </c>
      <c r="D1546" s="124" t="s">
        <v>224</v>
      </c>
      <c r="E1546" s="123" t="n">
        <v>483</v>
      </c>
      <c r="G1546" s="653" t="n">
        <v>3432.75</v>
      </c>
      <c r="H1546" s="123" t="n">
        <v>0</v>
      </c>
      <c r="M1546" s="123" t="n">
        <v>2</v>
      </c>
    </row>
    <row r="1547" customFormat="false" ht="15" hidden="false" customHeight="false" outlineLevel="0" collapsed="false">
      <c r="A1547" s="652" t="n">
        <v>45811</v>
      </c>
      <c r="B1547" s="123" t="n">
        <v>1223</v>
      </c>
      <c r="C1547" s="124" t="s">
        <v>319</v>
      </c>
      <c r="D1547" s="124" t="s">
        <v>224</v>
      </c>
      <c r="E1547" s="653" t="n">
        <v>1638.75</v>
      </c>
      <c r="G1547" s="653" t="n">
        <v>5071.5</v>
      </c>
      <c r="I1547" s="123" t="n">
        <v>6</v>
      </c>
    </row>
    <row r="1548" customFormat="false" ht="15" hidden="false" customHeight="false" outlineLevel="0" collapsed="false">
      <c r="A1548" s="652" t="n">
        <v>45811</v>
      </c>
      <c r="B1548" s="123" t="n">
        <v>1224</v>
      </c>
      <c r="C1548" s="124" t="s">
        <v>94</v>
      </c>
      <c r="D1548" s="124" t="s">
        <v>75</v>
      </c>
      <c r="E1548" s="123" t="n">
        <v>345</v>
      </c>
      <c r="G1548" s="653" t="n">
        <v>5416.5</v>
      </c>
      <c r="H1548" s="123" t="n">
        <v>0</v>
      </c>
      <c r="K1548" s="123" t="n">
        <v>1</v>
      </c>
    </row>
    <row r="1549" customFormat="false" ht="15" hidden="false" customHeight="false" outlineLevel="0" collapsed="false">
      <c r="A1549" s="652" t="n">
        <v>45811</v>
      </c>
      <c r="B1549" s="123" t="n">
        <v>1225</v>
      </c>
      <c r="C1549" s="124" t="s">
        <v>89</v>
      </c>
      <c r="D1549" s="124" t="s">
        <v>75</v>
      </c>
      <c r="E1549" s="123" t="n">
        <v>1196</v>
      </c>
      <c r="G1549" s="653" t="n">
        <v>6612.5</v>
      </c>
      <c r="H1549" s="653" t="n">
        <v>0.5</v>
      </c>
      <c r="K1549" s="123" t="n">
        <v>5</v>
      </c>
    </row>
    <row r="1550" customFormat="false" ht="15" hidden="false" customHeight="false" outlineLevel="0" collapsed="false">
      <c r="A1550" s="652" t="n">
        <v>45811</v>
      </c>
      <c r="B1550" s="123" t="n">
        <v>1226</v>
      </c>
      <c r="C1550" s="124" t="s">
        <v>101</v>
      </c>
      <c r="D1550" s="124" t="s">
        <v>75</v>
      </c>
      <c r="E1550" s="123" t="n">
        <v>598</v>
      </c>
      <c r="G1550" s="653" t="n">
        <v>7210.5</v>
      </c>
      <c r="H1550" s="123" t="n">
        <v>0</v>
      </c>
      <c r="K1550" s="123" t="n">
        <v>2</v>
      </c>
    </row>
    <row r="1551" customFormat="false" ht="15" hidden="false" customHeight="false" outlineLevel="0" collapsed="false">
      <c r="A1551" s="652" t="n">
        <v>45811</v>
      </c>
      <c r="B1551" s="123" t="n">
        <v>1229</v>
      </c>
      <c r="C1551" s="124" t="s">
        <v>115</v>
      </c>
      <c r="D1551" s="124" t="s">
        <v>105</v>
      </c>
      <c r="E1551" s="653" t="n">
        <v>1736.5</v>
      </c>
      <c r="G1551" s="123" t="n">
        <v>8947</v>
      </c>
      <c r="H1551" s="123" t="n">
        <v>-1</v>
      </c>
      <c r="L1551" s="123" t="n">
        <v>6</v>
      </c>
      <c r="P1551" s="123" t="n">
        <v>1</v>
      </c>
    </row>
    <row r="1552" customFormat="false" ht="15" hidden="false" customHeight="false" outlineLevel="0" collapsed="false">
      <c r="A1552" s="652" t="n">
        <v>45811</v>
      </c>
      <c r="B1552" s="123" t="n">
        <v>1228</v>
      </c>
      <c r="C1552" s="124" t="s">
        <v>107</v>
      </c>
      <c r="D1552" s="124" t="s">
        <v>105</v>
      </c>
      <c r="E1552" s="653" t="n">
        <v>1638.75</v>
      </c>
      <c r="G1552" s="653" t="n">
        <v>10585.75</v>
      </c>
      <c r="I1552" s="123" t="n">
        <v>6</v>
      </c>
    </row>
    <row r="1553" customFormat="false" ht="15" hidden="false" customHeight="false" outlineLevel="0" collapsed="false">
      <c r="A1553" s="652" t="n">
        <v>45811</v>
      </c>
      <c r="B1553" s="123" t="n">
        <v>1227</v>
      </c>
      <c r="C1553" s="124" t="s">
        <v>104</v>
      </c>
      <c r="D1553" s="124" t="s">
        <v>105</v>
      </c>
      <c r="E1553" s="653" t="n">
        <v>1638.75</v>
      </c>
      <c r="G1553" s="653" t="n">
        <v>12224.5</v>
      </c>
      <c r="I1553" s="123" t="n">
        <v>6</v>
      </c>
    </row>
    <row r="1554" customFormat="false" ht="15" hidden="false" customHeight="false" outlineLevel="0" collapsed="false">
      <c r="A1554" s="652" t="n">
        <v>45812</v>
      </c>
      <c r="B1554" s="123" t="n">
        <v>1231</v>
      </c>
      <c r="C1554" s="124" t="s">
        <v>268</v>
      </c>
      <c r="D1554" s="124" t="s">
        <v>127</v>
      </c>
      <c r="E1554" s="653" t="n">
        <v>1891.75</v>
      </c>
      <c r="G1554" s="653" t="n">
        <v>14116.25</v>
      </c>
      <c r="H1554" s="653" t="n">
        <v>0.75</v>
      </c>
      <c r="I1554" s="123" t="n">
        <v>6</v>
      </c>
      <c r="K1554" s="123" t="n">
        <v>1</v>
      </c>
    </row>
    <row r="1555" customFormat="false" ht="15" hidden="false" customHeight="false" outlineLevel="0" collapsed="false">
      <c r="A1555" s="652" t="n">
        <v>45811</v>
      </c>
      <c r="B1555" s="123" t="n">
        <v>1230</v>
      </c>
      <c r="C1555" s="124" t="s">
        <v>109</v>
      </c>
      <c r="D1555" s="124" t="s">
        <v>105</v>
      </c>
      <c r="E1555" s="123" t="n">
        <v>276</v>
      </c>
      <c r="G1555" s="653" t="n">
        <v>14392.25</v>
      </c>
      <c r="H1555" s="123" t="n">
        <v>-1</v>
      </c>
      <c r="O1555" s="123" t="n">
        <v>2</v>
      </c>
    </row>
    <row r="1556" customFormat="false" ht="15" hidden="false" customHeight="false" outlineLevel="0" collapsed="false">
      <c r="A1556" s="652" t="n">
        <v>45811</v>
      </c>
      <c r="B1556" s="124" t="s">
        <v>470</v>
      </c>
      <c r="C1556" s="124" t="s">
        <v>393</v>
      </c>
      <c r="F1556" s="653" t="n">
        <v>12467.25</v>
      </c>
      <c r="G1556" s="123" t="n">
        <v>1925</v>
      </c>
    </row>
    <row r="1557" customFormat="false" ht="15" hidden="false" customHeight="false" outlineLevel="0" collapsed="false">
      <c r="A1557" s="652" t="n">
        <v>45812</v>
      </c>
      <c r="B1557" s="124" t="s">
        <v>470</v>
      </c>
      <c r="C1557" s="124" t="s">
        <v>393</v>
      </c>
      <c r="F1557" s="123" t="n">
        <v>1925</v>
      </c>
      <c r="G1557" s="123" t="n">
        <v>0</v>
      </c>
    </row>
    <row r="1558" customFormat="false" ht="15" hidden="false" customHeight="false" outlineLevel="0" collapsed="false">
      <c r="A1558" s="652" t="n">
        <v>45819</v>
      </c>
      <c r="B1558" s="123" t="n">
        <v>1232</v>
      </c>
      <c r="C1558" s="124" t="s">
        <v>159</v>
      </c>
      <c r="D1558" s="124" t="s">
        <v>127</v>
      </c>
      <c r="E1558" s="653" t="n">
        <v>2029.75</v>
      </c>
      <c r="G1558" s="653" t="n">
        <v>2029.75</v>
      </c>
      <c r="H1558" s="653" t="n">
        <v>0.75</v>
      </c>
      <c r="I1558" s="123" t="n">
        <v>6</v>
      </c>
      <c r="K1558" s="123" t="n">
        <v>1</v>
      </c>
      <c r="O1558" s="123" t="n">
        <v>1</v>
      </c>
    </row>
    <row r="1559" customFormat="false" ht="15" hidden="false" customHeight="false" outlineLevel="0" collapsed="false">
      <c r="A1559" s="652" t="n">
        <v>45819</v>
      </c>
      <c r="B1559" s="123" t="n">
        <v>1233</v>
      </c>
      <c r="C1559" s="124" t="s">
        <v>177</v>
      </c>
      <c r="D1559" s="124" t="s">
        <v>127</v>
      </c>
      <c r="E1559" s="653" t="n">
        <v>155.25</v>
      </c>
      <c r="G1559" s="123" t="n">
        <v>2185</v>
      </c>
      <c r="H1559" s="123" t="n">
        <v>0</v>
      </c>
      <c r="P1559" s="123" t="n">
        <v>1</v>
      </c>
    </row>
    <row r="1560" customFormat="false" ht="15" hidden="false" customHeight="false" outlineLevel="0" collapsed="false">
      <c r="A1560" s="652" t="n">
        <v>45820</v>
      </c>
      <c r="B1560" s="124" t="s">
        <v>470</v>
      </c>
      <c r="C1560" s="124" t="s">
        <v>393</v>
      </c>
      <c r="F1560" s="653" t="n">
        <v>2184.25</v>
      </c>
      <c r="G1560" s="653" t="n">
        <v>0.75</v>
      </c>
    </row>
    <row r="1561" customFormat="false" ht="15" hidden="false" customHeight="false" outlineLevel="0" collapsed="false">
      <c r="A1561" s="652" t="n">
        <v>45820</v>
      </c>
      <c r="B1561" s="123" t="n">
        <v>1234</v>
      </c>
      <c r="C1561" s="124" t="s">
        <v>298</v>
      </c>
      <c r="D1561" s="124" t="s">
        <v>286</v>
      </c>
      <c r="E1561" s="653" t="n">
        <v>2104.5</v>
      </c>
      <c r="G1561" s="653" t="n">
        <v>2105.25</v>
      </c>
      <c r="H1561" s="653" t="n">
        <v>-2.5</v>
      </c>
      <c r="I1561" s="123" t="n">
        <v>6</v>
      </c>
      <c r="K1561" s="123" t="n">
        <v>2</v>
      </c>
    </row>
    <row r="1562" customFormat="false" ht="15" hidden="false" customHeight="false" outlineLevel="0" collapsed="false">
      <c r="A1562" s="652" t="n">
        <v>45820</v>
      </c>
      <c r="B1562" s="123" t="n">
        <v>1235</v>
      </c>
      <c r="C1562" s="124" t="s">
        <v>310</v>
      </c>
      <c r="D1562" s="124" t="s">
        <v>301</v>
      </c>
      <c r="E1562" s="123" t="n">
        <v>2760</v>
      </c>
      <c r="G1562" s="653" t="n">
        <v>4865.25</v>
      </c>
      <c r="H1562" s="123" t="n">
        <v>0</v>
      </c>
      <c r="O1562" s="123" t="n">
        <v>20</v>
      </c>
    </row>
    <row r="1563" customFormat="false" ht="15" hidden="false" customHeight="false" outlineLevel="0" collapsed="false">
      <c r="A1563" s="652" t="n">
        <v>45820</v>
      </c>
      <c r="B1563" s="123" t="n">
        <v>1237</v>
      </c>
      <c r="C1563" s="124" t="s">
        <v>241</v>
      </c>
      <c r="D1563" s="124" t="s">
        <v>127</v>
      </c>
      <c r="E1563" s="653" t="n">
        <v>1638.75</v>
      </c>
      <c r="G1563" s="123" t="n">
        <v>6504</v>
      </c>
      <c r="I1563" s="123" t="n">
        <v>6</v>
      </c>
    </row>
    <row r="1564" customFormat="false" ht="15" hidden="false" customHeight="false" outlineLevel="0" collapsed="false">
      <c r="A1564" s="652" t="n">
        <v>45820</v>
      </c>
      <c r="B1564" s="123" t="n">
        <v>1236</v>
      </c>
      <c r="C1564" s="124" t="s">
        <v>312</v>
      </c>
      <c r="D1564" s="124" t="s">
        <v>301</v>
      </c>
      <c r="E1564" s="653" t="n">
        <v>155.25</v>
      </c>
      <c r="G1564" s="653" t="n">
        <v>6659.25</v>
      </c>
      <c r="P1564" s="123" t="n">
        <v>1</v>
      </c>
    </row>
    <row r="1565" customFormat="false" ht="15" hidden="false" customHeight="false" outlineLevel="0" collapsed="false">
      <c r="A1565" s="652" t="n">
        <v>45820</v>
      </c>
      <c r="B1565" s="123" t="n">
        <v>1238</v>
      </c>
      <c r="C1565" s="124" t="s">
        <v>233</v>
      </c>
      <c r="D1565" s="124" t="s">
        <v>127</v>
      </c>
      <c r="E1565" s="123" t="n">
        <v>138</v>
      </c>
      <c r="G1565" s="653" t="n">
        <v>6797.25</v>
      </c>
      <c r="H1565" s="123" t="n">
        <v>0</v>
      </c>
      <c r="P1565" s="123" t="n">
        <v>1</v>
      </c>
    </row>
    <row r="1566" customFormat="false" ht="15" hidden="false" customHeight="false" outlineLevel="0" collapsed="false">
      <c r="A1566" s="652" t="n">
        <v>45820</v>
      </c>
      <c r="B1566" s="124" t="s">
        <v>470</v>
      </c>
      <c r="C1566" s="124" t="s">
        <v>393</v>
      </c>
      <c r="F1566" s="123" t="n">
        <v>1379</v>
      </c>
      <c r="G1566" s="653" t="n">
        <v>5418.25</v>
      </c>
    </row>
    <row r="1567" customFormat="false" ht="15" hidden="false" customHeight="false" outlineLevel="0" collapsed="false">
      <c r="A1567" s="652" t="n">
        <v>45823</v>
      </c>
      <c r="B1567" s="124" t="s">
        <v>653</v>
      </c>
      <c r="C1567" s="124" t="s">
        <v>393</v>
      </c>
      <c r="E1567" s="653" t="n">
        <v>-0.25</v>
      </c>
      <c r="F1567" s="123" t="n">
        <v>5418</v>
      </c>
      <c r="G1567" s="123" t="n">
        <v>0</v>
      </c>
    </row>
    <row r="1568" customFormat="false" ht="15" hidden="false" customHeight="false" outlineLevel="0" collapsed="false">
      <c r="A1568" s="652" t="n">
        <v>45823</v>
      </c>
      <c r="B1568" s="123" t="n">
        <v>1239</v>
      </c>
      <c r="C1568" s="124" t="s">
        <v>183</v>
      </c>
      <c r="D1568" s="124" t="s">
        <v>127</v>
      </c>
      <c r="E1568" s="123" t="n">
        <v>345</v>
      </c>
      <c r="G1568" s="123" t="n">
        <v>345</v>
      </c>
      <c r="K1568" s="123" t="n">
        <v>1</v>
      </c>
    </row>
    <row r="1569" customFormat="false" ht="15" hidden="false" customHeight="false" outlineLevel="0" collapsed="false">
      <c r="A1569" s="652" t="n">
        <v>45823</v>
      </c>
      <c r="B1569" s="123" t="n">
        <v>1240</v>
      </c>
      <c r="C1569" s="124" t="s">
        <v>238</v>
      </c>
      <c r="D1569" s="124" t="s">
        <v>127</v>
      </c>
      <c r="E1569" s="653" t="n">
        <v>264.5</v>
      </c>
      <c r="G1569" s="653" t="n">
        <v>609.5</v>
      </c>
      <c r="H1569" s="653" t="n">
        <v>0.5</v>
      </c>
      <c r="P1569" s="123" t="n">
        <v>1</v>
      </c>
    </row>
    <row r="1570" customFormat="false" ht="15" hidden="false" customHeight="false" outlineLevel="0" collapsed="false">
      <c r="A1570" s="652" t="n">
        <v>45823</v>
      </c>
      <c r="B1570" s="123" t="n">
        <v>1241</v>
      </c>
      <c r="C1570" s="124" t="s">
        <v>225</v>
      </c>
      <c r="D1570" s="124" t="s">
        <v>127</v>
      </c>
      <c r="E1570" s="653" t="n">
        <v>1638.75</v>
      </c>
      <c r="G1570" s="653" t="n">
        <v>2248.25</v>
      </c>
      <c r="H1570" s="653" t="n">
        <v>0.75</v>
      </c>
      <c r="I1570" s="123" t="n">
        <v>6</v>
      </c>
    </row>
    <row r="1571" customFormat="false" ht="15" hidden="false" customHeight="false" outlineLevel="0" collapsed="false">
      <c r="A1571" s="652" t="n">
        <v>45823</v>
      </c>
      <c r="B1571" s="124" t="s">
        <v>470</v>
      </c>
      <c r="C1571" s="124" t="s">
        <v>393</v>
      </c>
      <c r="F1571" s="123" t="n">
        <v>910</v>
      </c>
      <c r="G1571" s="653" t="n">
        <v>1338.25</v>
      </c>
    </row>
    <row r="1572" customFormat="false" ht="15" hidden="false" customHeight="false" outlineLevel="0" collapsed="false">
      <c r="A1572" s="652" t="n">
        <v>45823</v>
      </c>
      <c r="B1572" s="124" t="s">
        <v>653</v>
      </c>
      <c r="C1572" s="124" t="s">
        <v>393</v>
      </c>
      <c r="F1572" s="123" t="n">
        <v>1338</v>
      </c>
      <c r="G1572" s="653" t="n">
        <v>0.25</v>
      </c>
    </row>
    <row r="1573" customFormat="false" ht="15" hidden="false" customHeight="false" outlineLevel="0" collapsed="false">
      <c r="A1573" s="652" t="n">
        <v>45824</v>
      </c>
      <c r="B1573" s="123" t="n">
        <v>1242</v>
      </c>
      <c r="C1573" s="124" t="s">
        <v>147</v>
      </c>
      <c r="D1573" s="124" t="s">
        <v>127</v>
      </c>
      <c r="E1573" s="653" t="n">
        <v>649.7</v>
      </c>
      <c r="G1573" s="653" t="n">
        <v>649.95</v>
      </c>
      <c r="H1573" s="653" t="n">
        <v>-0.299999999999955</v>
      </c>
      <c r="J1573" s="123" t="n">
        <v>1</v>
      </c>
      <c r="K1573" s="123" t="n">
        <v>1</v>
      </c>
      <c r="O1573" s="123" t="n">
        <v>1</v>
      </c>
    </row>
    <row r="1574" customFormat="false" ht="15" hidden="false" customHeight="false" outlineLevel="0" collapsed="false">
      <c r="A1574" s="652" t="n">
        <v>45824</v>
      </c>
      <c r="B1574" s="123" t="n">
        <v>1243</v>
      </c>
      <c r="C1574" s="124" t="s">
        <v>180</v>
      </c>
      <c r="D1574" s="124" t="s">
        <v>127</v>
      </c>
      <c r="E1574" s="653" t="n">
        <v>178.2</v>
      </c>
      <c r="G1574" s="653" t="n">
        <v>828.15</v>
      </c>
      <c r="H1574" s="653" t="n">
        <v>1.20000000000005</v>
      </c>
      <c r="J1574" s="123" t="n">
        <v>1</v>
      </c>
    </row>
    <row r="1575" customFormat="false" ht="15" hidden="false" customHeight="false" outlineLevel="0" collapsed="false">
      <c r="A1575" s="652" t="n">
        <v>45824</v>
      </c>
      <c r="B1575" s="123" t="n">
        <v>1244</v>
      </c>
      <c r="C1575" s="124" t="s">
        <v>259</v>
      </c>
      <c r="D1575" s="124" t="s">
        <v>127</v>
      </c>
      <c r="E1575" s="123" t="n">
        <v>276</v>
      </c>
      <c r="G1575" s="653" t="n">
        <v>1104.15</v>
      </c>
      <c r="H1575" s="123" t="n">
        <v>0</v>
      </c>
      <c r="O1575" s="123" t="n">
        <v>2</v>
      </c>
    </row>
    <row r="1576" customFormat="false" ht="15" hidden="false" customHeight="false" outlineLevel="0" collapsed="false">
      <c r="A1576" s="652" t="n">
        <v>45825</v>
      </c>
      <c r="B1576" s="124" t="s">
        <v>653</v>
      </c>
      <c r="C1576" s="124" t="s">
        <v>393</v>
      </c>
      <c r="E1576" s="653" t="n">
        <v>-0.15</v>
      </c>
      <c r="F1576" s="123" t="n">
        <v>1104</v>
      </c>
      <c r="G1576" s="123" t="n">
        <v>0</v>
      </c>
    </row>
    <row r="1577" customFormat="false" ht="15" hidden="false" customHeight="false" outlineLevel="0" collapsed="false">
      <c r="A1577" s="652" t="n">
        <v>45825</v>
      </c>
      <c r="B1577" s="123" t="n">
        <v>1245</v>
      </c>
      <c r="C1577" s="124" t="s">
        <v>196</v>
      </c>
      <c r="D1577" s="124" t="s">
        <v>127</v>
      </c>
      <c r="E1577" s="653" t="n">
        <v>442.75</v>
      </c>
      <c r="G1577" s="653" t="n">
        <v>442.75</v>
      </c>
      <c r="H1577" s="653" t="n">
        <v>0.75</v>
      </c>
      <c r="J1577" s="123" t="n">
        <v>1</v>
      </c>
      <c r="P1577" s="123" t="n">
        <v>1</v>
      </c>
    </row>
    <row r="1578" customFormat="false" ht="15" hidden="false" customHeight="false" outlineLevel="0" collapsed="false">
      <c r="A1578" s="652" t="n">
        <v>45825</v>
      </c>
      <c r="B1578" s="123" t="n">
        <v>1246</v>
      </c>
      <c r="C1578" s="124" t="s">
        <v>134</v>
      </c>
      <c r="D1578" s="124" t="s">
        <v>127</v>
      </c>
      <c r="E1578" s="653" t="n">
        <v>1322.5</v>
      </c>
      <c r="G1578" s="653" t="n">
        <v>1765.25</v>
      </c>
      <c r="H1578" s="123" t="n">
        <v>0</v>
      </c>
      <c r="K1578" s="123" t="n">
        <v>2</v>
      </c>
      <c r="M1578" s="123" t="n">
        <v>1</v>
      </c>
      <c r="O1578" s="123" t="n">
        <v>3</v>
      </c>
    </row>
    <row r="1579" customFormat="false" ht="15" hidden="false" customHeight="false" outlineLevel="0" collapsed="false">
      <c r="A1579" s="652" t="n">
        <v>45825</v>
      </c>
      <c r="B1579" s="124" t="s">
        <v>470</v>
      </c>
      <c r="C1579" s="124" t="s">
        <v>393</v>
      </c>
      <c r="E1579" s="653" t="n">
        <v>-0.25</v>
      </c>
      <c r="F1579" s="123" t="n">
        <v>1765</v>
      </c>
      <c r="G1579" s="123" t="n">
        <v>0</v>
      </c>
    </row>
    <row r="1580" customFormat="false" ht="15" hidden="false" customHeight="false" outlineLevel="0" collapsed="false">
      <c r="A1580" s="652" t="n">
        <v>45826</v>
      </c>
      <c r="B1580" s="123" t="n">
        <v>1247</v>
      </c>
      <c r="C1580" s="124" t="s">
        <v>298</v>
      </c>
      <c r="D1580" s="124" t="s">
        <v>286</v>
      </c>
      <c r="E1580" s="653" t="n">
        <v>1638.75</v>
      </c>
      <c r="G1580" s="653" t="n">
        <v>1638.75</v>
      </c>
      <c r="H1580" s="123" t="n">
        <v>0</v>
      </c>
      <c r="I1580" s="123" t="n">
        <v>6</v>
      </c>
    </row>
    <row r="1581" customFormat="false" ht="15" hidden="false" customHeight="false" outlineLevel="0" collapsed="false">
      <c r="A1581" s="652" t="n">
        <v>45826</v>
      </c>
      <c r="B1581" s="123" t="n">
        <v>1248</v>
      </c>
      <c r="C1581" s="124" t="s">
        <v>296</v>
      </c>
      <c r="D1581" s="124" t="s">
        <v>286</v>
      </c>
      <c r="E1581" s="123" t="n">
        <v>621</v>
      </c>
      <c r="G1581" s="653" t="n">
        <v>2259.75</v>
      </c>
      <c r="P1581" s="123" t="n">
        <v>4</v>
      </c>
    </row>
    <row r="1582" customFormat="false" ht="15" hidden="false" customHeight="false" outlineLevel="0" collapsed="false">
      <c r="A1582" s="652" t="n">
        <v>45826</v>
      </c>
      <c r="B1582" s="123" t="n">
        <v>1249</v>
      </c>
      <c r="C1582" s="124" t="s">
        <v>295</v>
      </c>
      <c r="D1582" s="124" t="s">
        <v>286</v>
      </c>
      <c r="E1582" s="653" t="n">
        <v>241.5</v>
      </c>
      <c r="G1582" s="653" t="n">
        <v>2501.25</v>
      </c>
      <c r="O1582" s="123" t="n">
        <v>1</v>
      </c>
    </row>
    <row r="1583" customFormat="false" ht="15" hidden="false" customHeight="false" outlineLevel="0" collapsed="false">
      <c r="A1583" s="652" t="n">
        <v>45826</v>
      </c>
      <c r="B1583" s="124" t="s">
        <v>470</v>
      </c>
      <c r="C1583" s="124" t="s">
        <v>393</v>
      </c>
      <c r="F1583" s="653" t="n">
        <v>2501.25</v>
      </c>
      <c r="G1583" s="123" t="n">
        <v>0</v>
      </c>
    </row>
    <row r="1584" customFormat="false" ht="15" hidden="false" customHeight="false" outlineLevel="0" collapsed="false">
      <c r="A1584" s="652" t="n">
        <v>45827</v>
      </c>
      <c r="B1584" s="123" t="n">
        <v>1250</v>
      </c>
      <c r="C1584" s="124" t="s">
        <v>76</v>
      </c>
      <c r="D1584" s="124" t="s">
        <v>75</v>
      </c>
      <c r="E1584" s="123" t="n">
        <v>138</v>
      </c>
      <c r="G1584" s="123" t="n">
        <v>138</v>
      </c>
      <c r="O1584" s="123" t="n">
        <v>1</v>
      </c>
    </row>
    <row r="1585" customFormat="false" ht="15" hidden="false" customHeight="false" outlineLevel="0" collapsed="false">
      <c r="A1585" s="652" t="n">
        <v>45827</v>
      </c>
      <c r="B1585" s="123" t="n">
        <v>1251</v>
      </c>
      <c r="C1585" s="124" t="s">
        <v>95</v>
      </c>
      <c r="D1585" s="124" t="s">
        <v>75</v>
      </c>
      <c r="E1585" s="653" t="n">
        <v>3156.75</v>
      </c>
      <c r="G1585" s="653" t="n">
        <v>3294.75</v>
      </c>
      <c r="I1585" s="123" t="n">
        <v>6</v>
      </c>
      <c r="K1585" s="123" t="n">
        <v>3</v>
      </c>
      <c r="O1585" s="123" t="n">
        <v>3</v>
      </c>
      <c r="P1585" s="123" t="n">
        <v>2</v>
      </c>
    </row>
    <row r="1586" customFormat="false" ht="15" hidden="false" customHeight="false" outlineLevel="0" collapsed="false">
      <c r="A1586" s="652" t="n">
        <v>45827</v>
      </c>
      <c r="B1586" s="123" t="n">
        <v>1252</v>
      </c>
      <c r="C1586" s="124" t="s">
        <v>89</v>
      </c>
      <c r="D1586" s="124" t="s">
        <v>75</v>
      </c>
      <c r="E1586" s="653" t="n">
        <v>638.25</v>
      </c>
      <c r="G1586" s="123" t="n">
        <v>3933</v>
      </c>
      <c r="K1586" s="123" t="n">
        <v>1</v>
      </c>
      <c r="O1586" s="123" t="n">
        <v>1</v>
      </c>
      <c r="P1586" s="123" t="n">
        <v>1</v>
      </c>
    </row>
    <row r="1587" customFormat="false" ht="15" hidden="false" customHeight="false" outlineLevel="0" collapsed="false">
      <c r="A1587" s="652" t="n">
        <v>45827</v>
      </c>
      <c r="B1587" s="123" t="n">
        <v>1253</v>
      </c>
      <c r="C1587" s="124" t="s">
        <v>96</v>
      </c>
      <c r="D1587" s="124" t="s">
        <v>75</v>
      </c>
      <c r="E1587" s="123" t="n">
        <v>460</v>
      </c>
      <c r="G1587" s="123" t="n">
        <v>4393</v>
      </c>
      <c r="H1587" s="123" t="n">
        <v>0</v>
      </c>
      <c r="K1587" s="123" t="n">
        <v>2</v>
      </c>
    </row>
    <row r="1588" customFormat="false" ht="15" hidden="false" customHeight="false" outlineLevel="0" collapsed="false">
      <c r="A1588" s="652" t="n">
        <v>45827</v>
      </c>
      <c r="B1588" s="123" t="n">
        <v>1254</v>
      </c>
      <c r="C1588" s="124" t="s">
        <v>115</v>
      </c>
      <c r="D1588" s="124" t="s">
        <v>105</v>
      </c>
      <c r="E1588" s="653" t="n">
        <v>603.75</v>
      </c>
      <c r="G1588" s="653" t="n">
        <v>4996.75</v>
      </c>
      <c r="H1588" s="653" t="n">
        <v>0.75</v>
      </c>
      <c r="O1588" s="123" t="n">
        <v>1</v>
      </c>
      <c r="P1588" s="123" t="n">
        <v>3</v>
      </c>
    </row>
    <row r="1589" customFormat="false" ht="15" hidden="false" customHeight="false" outlineLevel="0" collapsed="false">
      <c r="A1589" s="652" t="n">
        <v>45827</v>
      </c>
      <c r="B1589" s="123" t="n">
        <v>1255</v>
      </c>
      <c r="C1589" s="124" t="s">
        <v>109</v>
      </c>
      <c r="D1589" s="124" t="s">
        <v>105</v>
      </c>
      <c r="E1589" s="123" t="n">
        <v>138</v>
      </c>
      <c r="G1589" s="653" t="n">
        <v>5134.75</v>
      </c>
      <c r="H1589" s="123" t="n">
        <v>0</v>
      </c>
      <c r="O1589" s="123" t="n">
        <v>1</v>
      </c>
    </row>
    <row r="1590" customFormat="false" ht="15" hidden="false" customHeight="false" outlineLevel="0" collapsed="false">
      <c r="A1590" s="652" t="n">
        <v>45827</v>
      </c>
      <c r="B1590" s="123" t="n">
        <v>1256</v>
      </c>
      <c r="C1590" s="124" t="s">
        <v>107</v>
      </c>
      <c r="D1590" s="124" t="s">
        <v>105</v>
      </c>
      <c r="E1590" s="653" t="n">
        <v>1638.75</v>
      </c>
      <c r="G1590" s="653" t="n">
        <v>6773.5</v>
      </c>
      <c r="I1590" s="123" t="n">
        <v>6</v>
      </c>
    </row>
    <row r="1591" customFormat="false" ht="15" hidden="false" customHeight="false" outlineLevel="0" collapsed="false">
      <c r="A1591" s="652" t="n">
        <v>45827</v>
      </c>
      <c r="B1591" s="123" t="n">
        <v>1257</v>
      </c>
      <c r="C1591" s="124" t="s">
        <v>108</v>
      </c>
      <c r="D1591" s="124" t="s">
        <v>105</v>
      </c>
      <c r="E1591" s="653" t="n">
        <v>1638.75</v>
      </c>
      <c r="G1591" s="653" t="n">
        <v>8412.25</v>
      </c>
      <c r="I1591" s="123" t="n">
        <v>6</v>
      </c>
    </row>
    <row r="1592" customFormat="false" ht="15" hidden="false" customHeight="false" outlineLevel="0" collapsed="false">
      <c r="A1592" s="652" t="n">
        <v>45827</v>
      </c>
      <c r="B1592" s="123" t="n">
        <v>1258</v>
      </c>
      <c r="C1592" s="124" t="s">
        <v>108</v>
      </c>
      <c r="D1592" s="124" t="s">
        <v>105</v>
      </c>
      <c r="E1592" s="653" t="n">
        <v>195.5</v>
      </c>
      <c r="G1592" s="653" t="n">
        <v>8607.75</v>
      </c>
      <c r="P1592" s="123" t="n">
        <v>1</v>
      </c>
    </row>
    <row r="1593" customFormat="false" ht="15" hidden="false" customHeight="false" outlineLevel="0" collapsed="false">
      <c r="A1593" s="652" t="n">
        <v>45827</v>
      </c>
      <c r="B1593" s="123" t="n">
        <v>1259</v>
      </c>
      <c r="C1593" s="124" t="s">
        <v>104</v>
      </c>
      <c r="D1593" s="124" t="s">
        <v>105</v>
      </c>
      <c r="E1593" s="653" t="n">
        <v>178.25</v>
      </c>
      <c r="G1593" s="123" t="n">
        <v>8786</v>
      </c>
      <c r="J1593" s="123" t="n">
        <v>1</v>
      </c>
    </row>
    <row r="1594" customFormat="false" ht="15" hidden="false" customHeight="false" outlineLevel="0" collapsed="false">
      <c r="A1594" s="652" t="n">
        <v>45827</v>
      </c>
      <c r="B1594" s="124" t="s">
        <v>470</v>
      </c>
      <c r="C1594" s="124" t="s">
        <v>393</v>
      </c>
      <c r="F1594" s="123" t="n">
        <v>893</v>
      </c>
      <c r="G1594" s="123" t="n">
        <v>7893</v>
      </c>
    </row>
    <row r="1595" customFormat="false" ht="15" hidden="false" customHeight="false" outlineLevel="0" collapsed="false">
      <c r="A1595" s="652" t="n">
        <v>45827</v>
      </c>
      <c r="B1595" s="124" t="s">
        <v>662</v>
      </c>
      <c r="C1595" s="124" t="s">
        <v>393</v>
      </c>
      <c r="F1595" s="653" t="n">
        <v>4156.75</v>
      </c>
      <c r="G1595" s="653" t="n">
        <v>3736.25</v>
      </c>
    </row>
    <row r="1596" customFormat="false" ht="15" hidden="false" customHeight="false" outlineLevel="0" collapsed="false">
      <c r="A1596" s="652" t="n">
        <v>45830</v>
      </c>
      <c r="B1596" s="124" t="s">
        <v>653</v>
      </c>
      <c r="C1596" s="124" t="s">
        <v>393</v>
      </c>
      <c r="F1596" s="123" t="n">
        <v>3736</v>
      </c>
      <c r="G1596" s="653" t="n">
        <v>0.25</v>
      </c>
    </row>
    <row r="1597" customFormat="false" ht="15" hidden="false" customHeight="false" outlineLevel="0" collapsed="false">
      <c r="A1597" s="652" t="n">
        <v>45830</v>
      </c>
      <c r="B1597" s="123" t="n">
        <v>1260</v>
      </c>
      <c r="C1597" s="124" t="s">
        <v>244</v>
      </c>
      <c r="D1597" s="124" t="s">
        <v>127</v>
      </c>
      <c r="E1597" s="123" t="n">
        <v>345</v>
      </c>
      <c r="G1597" s="653" t="n">
        <v>345.25</v>
      </c>
      <c r="H1597" s="123" t="n">
        <v>0</v>
      </c>
      <c r="K1597" s="123" t="n">
        <v>1</v>
      </c>
    </row>
    <row r="1598" customFormat="false" ht="15" hidden="false" customHeight="false" outlineLevel="0" collapsed="false">
      <c r="A1598" s="652" t="n">
        <v>45830</v>
      </c>
      <c r="B1598" s="123" t="n">
        <v>1261</v>
      </c>
      <c r="C1598" s="124" t="s">
        <v>226</v>
      </c>
      <c r="D1598" s="124" t="s">
        <v>127</v>
      </c>
      <c r="E1598" s="653" t="n">
        <v>1598.5</v>
      </c>
      <c r="G1598" s="653" t="n">
        <v>1943.75</v>
      </c>
      <c r="H1598" s="123" t="n">
        <v>0</v>
      </c>
      <c r="L1598" s="123" t="n">
        <v>6</v>
      </c>
    </row>
    <row r="1599" customFormat="false" ht="15" hidden="false" customHeight="false" outlineLevel="0" collapsed="false">
      <c r="A1599" s="652" t="n">
        <v>45830</v>
      </c>
      <c r="B1599" s="124" t="s">
        <v>470</v>
      </c>
      <c r="C1599" s="124" t="s">
        <v>393</v>
      </c>
      <c r="F1599" s="123" t="n">
        <v>1943</v>
      </c>
      <c r="G1599" s="653" t="n">
        <v>0.75</v>
      </c>
    </row>
    <row r="1600" customFormat="false" ht="15" hidden="false" customHeight="false" outlineLevel="0" collapsed="false">
      <c r="A1600" s="652" t="n">
        <v>45830</v>
      </c>
      <c r="B1600" s="123" t="n">
        <v>1262</v>
      </c>
      <c r="C1600" s="124" t="s">
        <v>284</v>
      </c>
      <c r="D1600" s="124" t="s">
        <v>127</v>
      </c>
      <c r="E1600" s="123" t="n">
        <v>3220</v>
      </c>
      <c r="G1600" s="653" t="n">
        <v>3220.75</v>
      </c>
      <c r="I1600" s="123" t="n">
        <v>6</v>
      </c>
      <c r="L1600" s="123" t="n">
        <v>6</v>
      </c>
    </row>
    <row r="1601" customFormat="false" ht="15" hidden="false" customHeight="false" outlineLevel="0" collapsed="false">
      <c r="A1601" s="652" t="n">
        <v>45828</v>
      </c>
      <c r="B1601" s="123" t="n">
        <v>1263</v>
      </c>
      <c r="C1601" s="124" t="s">
        <v>264</v>
      </c>
      <c r="D1601" s="124" t="s">
        <v>127</v>
      </c>
      <c r="E1601" s="653" t="n">
        <v>310.5</v>
      </c>
      <c r="G1601" s="653" t="n">
        <v>3531.25</v>
      </c>
      <c r="H1601" s="123" t="n">
        <v>0</v>
      </c>
      <c r="P1601" s="123" t="n">
        <v>2</v>
      </c>
    </row>
    <row r="1602" customFormat="false" ht="15" hidden="false" customHeight="false" outlineLevel="0" collapsed="false">
      <c r="A1602" s="652" t="n">
        <v>45832</v>
      </c>
      <c r="B1602" s="124" t="s">
        <v>653</v>
      </c>
      <c r="C1602" s="124" t="s">
        <v>393</v>
      </c>
      <c r="E1602" s="653" t="n">
        <v>-0.25</v>
      </c>
      <c r="F1602" s="123" t="n">
        <v>3531</v>
      </c>
      <c r="G1602" s="123" t="n">
        <v>0</v>
      </c>
    </row>
    <row r="1603" customFormat="false" ht="15" hidden="false" customHeight="false" outlineLevel="0" collapsed="false">
      <c r="A1603" s="652" t="n">
        <v>45832</v>
      </c>
      <c r="B1603" s="123" t="n">
        <v>1264</v>
      </c>
      <c r="C1603" s="124" t="s">
        <v>263</v>
      </c>
      <c r="D1603" s="124" t="s">
        <v>127</v>
      </c>
      <c r="E1603" s="653" t="n">
        <v>1638.75</v>
      </c>
      <c r="G1603" s="653" t="n">
        <v>1638.75</v>
      </c>
      <c r="I1603" s="123" t="n">
        <v>6</v>
      </c>
    </row>
    <row r="1604" customFormat="false" ht="15" hidden="false" customHeight="false" outlineLevel="0" collapsed="false">
      <c r="A1604" s="652" t="n">
        <v>45832</v>
      </c>
      <c r="B1604" s="123" t="n">
        <v>1265</v>
      </c>
      <c r="C1604" s="124" t="s">
        <v>229</v>
      </c>
      <c r="D1604" s="124" t="s">
        <v>127</v>
      </c>
      <c r="E1604" s="653" t="n">
        <v>707.25</v>
      </c>
      <c r="G1604" s="123" t="n">
        <v>2346</v>
      </c>
      <c r="K1604" s="123" t="n">
        <v>3</v>
      </c>
    </row>
    <row r="1605" customFormat="false" ht="15" hidden="false" customHeight="false" outlineLevel="0" collapsed="false">
      <c r="A1605" s="652" t="n">
        <v>45832</v>
      </c>
      <c r="B1605" s="123" t="n">
        <v>1266</v>
      </c>
      <c r="C1605" s="124" t="s">
        <v>157</v>
      </c>
      <c r="D1605" s="124" t="s">
        <v>127</v>
      </c>
      <c r="E1605" s="653" t="n">
        <v>155.25</v>
      </c>
      <c r="G1605" s="653" t="n">
        <v>2501.25</v>
      </c>
      <c r="H1605" s="653" t="n">
        <v>0.25</v>
      </c>
      <c r="P1605" s="123" t="n">
        <v>1</v>
      </c>
    </row>
    <row r="1606" customFormat="false" ht="15" hidden="false" customHeight="false" outlineLevel="0" collapsed="false">
      <c r="A1606" s="652" t="n">
        <v>45832</v>
      </c>
      <c r="B1606" s="123" t="n">
        <v>1267</v>
      </c>
      <c r="C1606" s="124" t="s">
        <v>153</v>
      </c>
      <c r="D1606" s="124" t="s">
        <v>127</v>
      </c>
      <c r="E1606" s="653" t="n">
        <v>241.5</v>
      </c>
      <c r="G1606" s="653" t="n">
        <v>2742.75</v>
      </c>
      <c r="H1606" s="653" t="n">
        <v>0.5</v>
      </c>
      <c r="M1606" s="123" t="n">
        <v>1</v>
      </c>
    </row>
    <row r="1607" customFormat="false" ht="15" hidden="false" customHeight="false" outlineLevel="0" collapsed="false">
      <c r="A1607" s="652" t="n">
        <v>45827</v>
      </c>
      <c r="B1607" s="123" t="n">
        <v>1268</v>
      </c>
      <c r="C1607" s="124" t="s">
        <v>182</v>
      </c>
      <c r="D1607" s="124" t="s">
        <v>127</v>
      </c>
      <c r="E1607" s="653" t="n">
        <v>1552.5</v>
      </c>
      <c r="G1607" s="653" t="n">
        <v>4295.25</v>
      </c>
      <c r="H1607" s="653" t="n">
        <v>0.5</v>
      </c>
      <c r="K1607" s="123" t="n">
        <v>2</v>
      </c>
      <c r="M1607" s="123" t="n">
        <v>2</v>
      </c>
      <c r="P1607" s="123" t="n">
        <v>2</v>
      </c>
    </row>
    <row r="1608" customFormat="false" ht="15" hidden="false" customHeight="false" outlineLevel="0" collapsed="false">
      <c r="A1608" s="652" t="n">
        <v>45832</v>
      </c>
      <c r="B1608" s="124" t="s">
        <v>470</v>
      </c>
      <c r="C1608" s="124" t="s">
        <v>393</v>
      </c>
      <c r="E1608" s="653" t="n">
        <v>-0.25</v>
      </c>
      <c r="F1608" s="123" t="n">
        <v>4295</v>
      </c>
      <c r="G1608" s="123" t="n">
        <v>0</v>
      </c>
    </row>
    <row r="1609" customFormat="false" ht="15" hidden="false" customHeight="false" outlineLevel="0" collapsed="false">
      <c r="A1609" s="652" t="n">
        <v>45833</v>
      </c>
      <c r="B1609" s="123" t="n">
        <v>1269</v>
      </c>
      <c r="C1609" s="124" t="s">
        <v>168</v>
      </c>
      <c r="D1609" s="124" t="s">
        <v>127</v>
      </c>
      <c r="E1609" s="123" t="n">
        <v>1173</v>
      </c>
      <c r="G1609" s="123" t="n">
        <v>1173</v>
      </c>
      <c r="P1609" s="123" t="n">
        <v>4</v>
      </c>
    </row>
    <row r="1610" customFormat="false" ht="15" hidden="false" customHeight="false" outlineLevel="0" collapsed="false">
      <c r="A1610" s="652" t="n">
        <v>45833</v>
      </c>
      <c r="B1610" s="123" t="n">
        <v>1270</v>
      </c>
      <c r="C1610" s="124" t="s">
        <v>77</v>
      </c>
      <c r="D1610" s="124" t="s">
        <v>75</v>
      </c>
      <c r="E1610" s="653" t="n">
        <v>293.25</v>
      </c>
      <c r="G1610" s="653" t="n">
        <v>1466.25</v>
      </c>
      <c r="O1610" s="123" t="n">
        <v>1</v>
      </c>
      <c r="P1610" s="123" t="n">
        <v>1</v>
      </c>
    </row>
    <row r="1611" customFormat="false" ht="15" hidden="false" customHeight="false" outlineLevel="0" collapsed="false">
      <c r="A1611" s="652" t="n">
        <v>45829</v>
      </c>
      <c r="B1611" s="123" t="n">
        <v>1271</v>
      </c>
      <c r="C1611" s="124" t="s">
        <v>95</v>
      </c>
      <c r="D1611" s="124" t="s">
        <v>75</v>
      </c>
      <c r="E1611" s="653" t="n">
        <v>3392.5</v>
      </c>
      <c r="G1611" s="653" t="n">
        <v>4858.75</v>
      </c>
      <c r="I1611" s="123" t="n">
        <v>6</v>
      </c>
      <c r="O1611" s="123" t="n">
        <v>6</v>
      </c>
      <c r="P1611" s="123" t="n">
        <v>3</v>
      </c>
    </row>
    <row r="1612" customFormat="false" ht="15" hidden="false" customHeight="false" outlineLevel="0" collapsed="false">
      <c r="A1612" s="652" t="n">
        <v>45833</v>
      </c>
      <c r="B1612" s="123" t="n">
        <v>1272</v>
      </c>
      <c r="C1612" s="124" t="s">
        <v>97</v>
      </c>
      <c r="D1612" s="124" t="s">
        <v>75</v>
      </c>
      <c r="E1612" s="653" t="n">
        <v>1638.75</v>
      </c>
      <c r="G1612" s="653" t="n">
        <v>6497.5</v>
      </c>
      <c r="H1612" s="653" t="n">
        <v>0.75</v>
      </c>
      <c r="I1612" s="123" t="n">
        <v>6</v>
      </c>
    </row>
    <row r="1613" customFormat="false" ht="15" hidden="false" customHeight="false" outlineLevel="0" collapsed="false">
      <c r="A1613" s="652" t="n">
        <v>45833</v>
      </c>
      <c r="B1613" s="123" t="n">
        <v>1273</v>
      </c>
      <c r="C1613" s="124" t="s">
        <v>110</v>
      </c>
      <c r="D1613" s="124" t="s">
        <v>105</v>
      </c>
      <c r="E1613" s="653" t="n">
        <v>1638.75</v>
      </c>
      <c r="G1613" s="653" t="n">
        <v>8136.25</v>
      </c>
      <c r="H1613" s="123" t="n">
        <v>0</v>
      </c>
      <c r="I1613" s="123" t="n">
        <v>6</v>
      </c>
    </row>
    <row r="1614" customFormat="false" ht="15" hidden="false" customHeight="false" outlineLevel="0" collapsed="false">
      <c r="A1614" s="652" t="n">
        <v>45833</v>
      </c>
      <c r="B1614" s="123" t="n">
        <v>1274</v>
      </c>
      <c r="C1614" s="124" t="s">
        <v>108</v>
      </c>
      <c r="D1614" s="124" t="s">
        <v>105</v>
      </c>
      <c r="E1614" s="123" t="n">
        <v>1817</v>
      </c>
      <c r="G1614" s="653" t="n">
        <v>9953.25</v>
      </c>
      <c r="H1614" s="123" t="n">
        <v>0</v>
      </c>
      <c r="I1614" s="123" t="n">
        <v>6</v>
      </c>
      <c r="J1614" s="123" t="n">
        <v>1</v>
      </c>
    </row>
    <row r="1615" customFormat="false" ht="15" hidden="false" customHeight="false" outlineLevel="0" collapsed="false">
      <c r="A1615" s="652" t="n">
        <v>45833</v>
      </c>
      <c r="B1615" s="124" t="s">
        <v>470</v>
      </c>
      <c r="C1615" s="124" t="s">
        <v>393</v>
      </c>
      <c r="F1615" s="123" t="n">
        <v>3848</v>
      </c>
      <c r="G1615" s="653" t="n">
        <v>6105.25</v>
      </c>
    </row>
    <row r="1616" customFormat="false" ht="15" hidden="false" customHeight="false" outlineLevel="0" collapsed="false">
      <c r="A1616" s="652" t="n">
        <v>45833</v>
      </c>
      <c r="B1616" s="124" t="s">
        <v>662</v>
      </c>
      <c r="C1616" s="124" t="s">
        <v>393</v>
      </c>
      <c r="F1616" s="653" t="n">
        <v>6104.5</v>
      </c>
      <c r="G1616" s="653" t="n">
        <v>0.75</v>
      </c>
    </row>
    <row r="1617" customFormat="false" ht="15" hidden="false" customHeight="false" outlineLevel="0" collapsed="false">
      <c r="A1617" s="652" t="n">
        <v>45831</v>
      </c>
      <c r="B1617" s="123" t="n">
        <v>1278</v>
      </c>
      <c r="C1617" s="124" t="s">
        <v>229</v>
      </c>
      <c r="D1617" s="124" t="s">
        <v>127</v>
      </c>
      <c r="E1617" s="653" t="n">
        <v>1834.25</v>
      </c>
      <c r="G1617" s="123" t="n">
        <v>1835</v>
      </c>
      <c r="I1617" s="123" t="n">
        <v>6</v>
      </c>
      <c r="P1617" s="123" t="n">
        <v>1</v>
      </c>
    </row>
    <row r="1618" customFormat="false" ht="15" hidden="false" customHeight="false" outlineLevel="0" collapsed="false">
      <c r="A1618" s="652" t="n">
        <v>45833</v>
      </c>
      <c r="B1618" s="123" t="n">
        <v>1280</v>
      </c>
      <c r="C1618" s="124" t="s">
        <v>169</v>
      </c>
      <c r="D1618" s="124" t="s">
        <v>127</v>
      </c>
      <c r="E1618" s="123" t="n">
        <v>506</v>
      </c>
      <c r="G1618" s="123" t="n">
        <v>2341</v>
      </c>
      <c r="H1618" s="123" t="n">
        <v>6</v>
      </c>
      <c r="K1618" s="123" t="n">
        <v>2</v>
      </c>
    </row>
    <row r="1619" customFormat="false" ht="15" hidden="false" customHeight="false" outlineLevel="0" collapsed="false">
      <c r="A1619" s="652" t="n">
        <v>45836</v>
      </c>
      <c r="B1619" s="123" t="n">
        <v>1279</v>
      </c>
      <c r="C1619" s="124" t="s">
        <v>169</v>
      </c>
      <c r="D1619" s="124" t="s">
        <v>127</v>
      </c>
      <c r="E1619" s="123" t="n">
        <v>805</v>
      </c>
      <c r="G1619" s="123" t="n">
        <v>3146</v>
      </c>
      <c r="H1619" s="123" t="n">
        <v>0</v>
      </c>
      <c r="K1619" s="123" t="n">
        <v>2</v>
      </c>
      <c r="P1619" s="123" t="n">
        <v>1</v>
      </c>
    </row>
    <row r="1620" customFormat="false" ht="15" hidden="false" customHeight="false" outlineLevel="0" collapsed="false">
      <c r="A1620" s="652" t="n">
        <v>45836</v>
      </c>
      <c r="B1620" s="123" t="n">
        <v>1275</v>
      </c>
      <c r="C1620" s="124" t="s">
        <v>143</v>
      </c>
      <c r="D1620" s="124" t="s">
        <v>127</v>
      </c>
      <c r="E1620" s="653" t="n">
        <v>1638.75</v>
      </c>
      <c r="G1620" s="653" t="n">
        <v>4784.75</v>
      </c>
      <c r="H1620" s="653" t="n">
        <v>-0.25</v>
      </c>
      <c r="I1620" s="123" t="n">
        <v>6</v>
      </c>
    </row>
    <row r="1621" customFormat="false" ht="15" hidden="false" customHeight="false" outlineLevel="0" collapsed="false">
      <c r="A1621" s="652" t="n">
        <v>45836</v>
      </c>
      <c r="B1621" s="123" t="n">
        <v>1276</v>
      </c>
      <c r="C1621" s="124" t="s">
        <v>275</v>
      </c>
      <c r="D1621" s="124" t="s">
        <v>127</v>
      </c>
      <c r="E1621" s="123" t="n">
        <v>230</v>
      </c>
      <c r="G1621" s="653" t="n">
        <v>5014.75</v>
      </c>
      <c r="H1621" s="123" t="n">
        <v>0</v>
      </c>
      <c r="K1621" s="123" t="n">
        <v>1</v>
      </c>
    </row>
    <row r="1622" customFormat="false" ht="15" hidden="false" customHeight="false" outlineLevel="0" collapsed="false">
      <c r="A1622" s="652" t="n">
        <v>45836</v>
      </c>
      <c r="B1622" s="123" t="n">
        <v>1277</v>
      </c>
      <c r="C1622" s="124" t="s">
        <v>145</v>
      </c>
      <c r="D1622" s="124" t="s">
        <v>127</v>
      </c>
      <c r="E1622" s="653" t="n">
        <v>1581.25</v>
      </c>
      <c r="G1622" s="123" t="n">
        <v>6596</v>
      </c>
      <c r="H1622" s="653" t="n">
        <v>1.25</v>
      </c>
      <c r="L1622" s="123" t="n">
        <v>6</v>
      </c>
    </row>
    <row r="1623" customFormat="false" ht="15" hidden="false" customHeight="false" outlineLevel="0" collapsed="false">
      <c r="A1623" s="652" t="n">
        <v>45836</v>
      </c>
      <c r="B1623" s="123" t="n">
        <v>1281</v>
      </c>
      <c r="C1623" s="124" t="s">
        <v>176</v>
      </c>
      <c r="D1623" s="124" t="s">
        <v>127</v>
      </c>
      <c r="E1623" s="653" t="n">
        <v>1638.75</v>
      </c>
      <c r="G1623" s="653" t="n">
        <v>8234.75</v>
      </c>
      <c r="H1623" s="653" t="n">
        <v>-1.25</v>
      </c>
      <c r="I1623" s="123" t="n">
        <v>6</v>
      </c>
    </row>
    <row r="1624" customFormat="false" ht="15" hidden="false" customHeight="false" outlineLevel="0" collapsed="false">
      <c r="A1624" s="652" t="n">
        <v>45836</v>
      </c>
      <c r="B1624" s="123" t="n">
        <v>1282</v>
      </c>
      <c r="C1624" s="124" t="s">
        <v>182</v>
      </c>
      <c r="D1624" s="124" t="s">
        <v>127</v>
      </c>
      <c r="E1624" s="653" t="n">
        <v>1638.75</v>
      </c>
      <c r="G1624" s="653" t="n">
        <v>9873.5</v>
      </c>
      <c r="I1624" s="123" t="n">
        <v>6</v>
      </c>
    </row>
    <row r="1625" customFormat="false" ht="15" hidden="false" customHeight="false" outlineLevel="0" collapsed="false">
      <c r="A1625" s="652" t="n">
        <v>45836</v>
      </c>
      <c r="B1625" s="123" t="n">
        <v>1283</v>
      </c>
      <c r="C1625" s="124" t="s">
        <v>141</v>
      </c>
      <c r="D1625" s="124" t="s">
        <v>127</v>
      </c>
      <c r="E1625" s="123" t="n">
        <v>1150</v>
      </c>
      <c r="G1625" s="653" t="n">
        <v>11023.5</v>
      </c>
      <c r="K1625" s="123" t="n">
        <v>1</v>
      </c>
      <c r="O1625" s="123" t="n">
        <v>1</v>
      </c>
      <c r="P1625" s="123" t="n">
        <v>3</v>
      </c>
    </row>
    <row r="1626" customFormat="false" ht="15" hidden="false" customHeight="false" outlineLevel="0" collapsed="false">
      <c r="A1626" s="652" t="n">
        <v>45836</v>
      </c>
      <c r="B1626" s="123" t="n">
        <v>1284</v>
      </c>
      <c r="C1626" s="124" t="s">
        <v>134</v>
      </c>
      <c r="D1626" s="124" t="s">
        <v>127</v>
      </c>
      <c r="E1626" s="123" t="n">
        <v>253</v>
      </c>
      <c r="G1626" s="653" t="n">
        <v>11276.5</v>
      </c>
      <c r="H1626" s="123" t="n">
        <v>0</v>
      </c>
      <c r="K1626" s="123" t="n">
        <v>1</v>
      </c>
    </row>
    <row r="1627" customFormat="false" ht="15" hidden="false" customHeight="false" outlineLevel="0" collapsed="false">
      <c r="A1627" s="652" t="n">
        <v>45836</v>
      </c>
      <c r="B1627" s="124" t="s">
        <v>662</v>
      </c>
      <c r="C1627" s="124" t="s">
        <v>393</v>
      </c>
      <c r="F1627" s="653" t="n">
        <v>3003.75</v>
      </c>
      <c r="G1627" s="653" t="n">
        <v>8272.75</v>
      </c>
    </row>
    <row r="1628" customFormat="false" ht="15" hidden="false" customHeight="false" outlineLevel="0" collapsed="false">
      <c r="A1628" s="652" t="n">
        <v>45836</v>
      </c>
      <c r="B1628" s="124" t="s">
        <v>470</v>
      </c>
      <c r="C1628" s="124" t="s">
        <v>393</v>
      </c>
      <c r="F1628" s="123" t="n">
        <v>4459</v>
      </c>
      <c r="G1628" s="653" t="n">
        <v>3813.75</v>
      </c>
    </row>
    <row r="1629" customFormat="false" ht="15" hidden="false" customHeight="false" outlineLevel="0" collapsed="false">
      <c r="A1629" s="652" t="n">
        <v>45837</v>
      </c>
      <c r="B1629" s="124" t="s">
        <v>653</v>
      </c>
      <c r="C1629" s="124" t="s">
        <v>393</v>
      </c>
      <c r="F1629" s="123" t="n">
        <v>3813</v>
      </c>
      <c r="G1629" s="653" t="n">
        <v>0.75</v>
      </c>
    </row>
    <row r="1630" customFormat="false" ht="15" hidden="false" customHeight="false" outlineLevel="0" collapsed="false">
      <c r="A1630" s="652" t="n">
        <v>45837</v>
      </c>
      <c r="B1630" s="123" t="n">
        <v>1286</v>
      </c>
      <c r="C1630" s="124" t="s">
        <v>141</v>
      </c>
      <c r="D1630" s="124" t="s">
        <v>127</v>
      </c>
      <c r="E1630" s="653" t="n">
        <v>448.5</v>
      </c>
      <c r="G1630" s="653" t="n">
        <v>449.25</v>
      </c>
      <c r="H1630" s="653" t="n">
        <v>-1.5</v>
      </c>
      <c r="K1630" s="123" t="n">
        <v>1</v>
      </c>
      <c r="P1630" s="123" t="n">
        <v>2</v>
      </c>
    </row>
    <row r="1631" customFormat="false" ht="15" hidden="false" customHeight="false" outlineLevel="0" collapsed="false">
      <c r="A1631" s="652" t="n">
        <v>45837</v>
      </c>
      <c r="B1631" s="123" t="n">
        <v>1285</v>
      </c>
      <c r="C1631" s="124" t="s">
        <v>132</v>
      </c>
      <c r="D1631" s="124" t="s">
        <v>127</v>
      </c>
      <c r="E1631" s="653" t="n">
        <v>1638.75</v>
      </c>
      <c r="G1631" s="123" t="n">
        <v>2088</v>
      </c>
      <c r="H1631" s="653" t="n">
        <v>6.25</v>
      </c>
      <c r="I1631" s="123" t="n">
        <v>6</v>
      </c>
    </row>
    <row r="1632" customFormat="false" ht="15" hidden="false" customHeight="false" outlineLevel="0" collapsed="false">
      <c r="A1632" s="652" t="n">
        <v>45837</v>
      </c>
      <c r="B1632" s="124" t="s">
        <v>663</v>
      </c>
      <c r="C1632" s="124" t="s">
        <v>294</v>
      </c>
      <c r="D1632" s="124" t="s">
        <v>286</v>
      </c>
      <c r="E1632" s="653" t="n">
        <v>1638.75</v>
      </c>
      <c r="G1632" s="653" t="n">
        <v>3726.75</v>
      </c>
      <c r="H1632" s="123" t="n">
        <v>0</v>
      </c>
      <c r="I1632" s="123" t="n">
        <v>6</v>
      </c>
    </row>
    <row r="1633" customFormat="false" ht="15" hidden="false" customHeight="false" outlineLevel="0" collapsed="false">
      <c r="A1633" s="652" t="n">
        <v>45837</v>
      </c>
      <c r="B1633" s="123" t="n">
        <v>1287</v>
      </c>
      <c r="C1633" s="124" t="s">
        <v>295</v>
      </c>
      <c r="D1633" s="124" t="s">
        <v>286</v>
      </c>
      <c r="E1633" s="653" t="n">
        <v>500.25</v>
      </c>
      <c r="G1633" s="123" t="n">
        <v>4227</v>
      </c>
      <c r="H1633" s="653" t="n">
        <v>0.75</v>
      </c>
      <c r="M1633" s="123" t="n">
        <v>2</v>
      </c>
    </row>
    <row r="1634" customFormat="false" ht="15" hidden="false" customHeight="false" outlineLevel="0" collapsed="false">
      <c r="A1634" s="652" t="n">
        <v>45837</v>
      </c>
      <c r="B1634" s="123" t="n">
        <v>1289</v>
      </c>
      <c r="C1634" s="124" t="s">
        <v>298</v>
      </c>
      <c r="D1634" s="124" t="s">
        <v>286</v>
      </c>
      <c r="E1634" s="653" t="n">
        <v>1989.5</v>
      </c>
      <c r="G1634" s="653" t="n">
        <v>6216.5</v>
      </c>
      <c r="H1634" s="653" t="n">
        <v>0.25</v>
      </c>
      <c r="L1634" s="123" t="n">
        <v>6</v>
      </c>
      <c r="O1634" s="123" t="n">
        <v>1</v>
      </c>
      <c r="P1634" s="123" t="n">
        <v>1</v>
      </c>
    </row>
    <row r="1635" customFormat="false" ht="15" hidden="false" customHeight="false" outlineLevel="0" collapsed="false">
      <c r="A1635" s="652" t="n">
        <v>45837</v>
      </c>
      <c r="B1635" s="123" t="n">
        <v>1290</v>
      </c>
      <c r="C1635" s="124" t="s">
        <v>290</v>
      </c>
      <c r="D1635" s="124" t="s">
        <v>286</v>
      </c>
      <c r="E1635" s="653" t="n">
        <v>1638.75</v>
      </c>
      <c r="G1635" s="653" t="n">
        <v>7855.25</v>
      </c>
      <c r="H1635" s="653" t="n">
        <v>0.75</v>
      </c>
      <c r="I1635" s="123" t="n">
        <v>6</v>
      </c>
    </row>
    <row r="1636" customFormat="false" ht="15" hidden="false" customHeight="false" outlineLevel="0" collapsed="false">
      <c r="A1636" s="652" t="n">
        <v>45837</v>
      </c>
      <c r="B1636" s="123" t="n">
        <v>1292</v>
      </c>
      <c r="C1636" s="124" t="s">
        <v>310</v>
      </c>
      <c r="D1636" s="124" t="s">
        <v>301</v>
      </c>
      <c r="E1636" s="123" t="n">
        <v>1150</v>
      </c>
      <c r="G1636" s="653" t="n">
        <v>9005.25</v>
      </c>
      <c r="H1636" s="123" t="n">
        <v>0</v>
      </c>
      <c r="K1636" s="123" t="n">
        <v>5</v>
      </c>
    </row>
    <row r="1637" customFormat="false" ht="15" hidden="false" customHeight="false" outlineLevel="0" collapsed="false">
      <c r="A1637" s="652" t="n">
        <v>45837</v>
      </c>
      <c r="B1637" s="123" t="n">
        <v>1291</v>
      </c>
      <c r="C1637" s="124" t="s">
        <v>292</v>
      </c>
      <c r="D1637" s="124" t="s">
        <v>286</v>
      </c>
      <c r="E1637" s="653" t="n">
        <v>1638.75</v>
      </c>
      <c r="G1637" s="123" t="n">
        <v>10644</v>
      </c>
      <c r="I1637" s="123" t="n">
        <v>6</v>
      </c>
    </row>
    <row r="1638" customFormat="false" ht="15" hidden="false" customHeight="false" outlineLevel="0" collapsed="false">
      <c r="A1638" s="652" t="n">
        <v>45837</v>
      </c>
      <c r="B1638" s="123" t="n">
        <v>1294</v>
      </c>
      <c r="C1638" s="124" t="s">
        <v>302</v>
      </c>
      <c r="D1638" s="124" t="s">
        <v>301</v>
      </c>
      <c r="E1638" s="123" t="n">
        <v>138</v>
      </c>
      <c r="G1638" s="123" t="n">
        <v>10782</v>
      </c>
      <c r="O1638" s="123" t="n">
        <v>1</v>
      </c>
    </row>
    <row r="1639" customFormat="false" ht="15" hidden="false" customHeight="false" outlineLevel="0" collapsed="false">
      <c r="A1639" s="652" t="n">
        <v>45833</v>
      </c>
      <c r="B1639" s="123" t="n">
        <v>1293</v>
      </c>
      <c r="C1639" s="124" t="s">
        <v>226</v>
      </c>
      <c r="D1639" s="124" t="s">
        <v>127</v>
      </c>
      <c r="E1639" s="653" t="n">
        <v>1650.25</v>
      </c>
      <c r="G1639" s="653" t="n">
        <v>12432.25</v>
      </c>
      <c r="H1639" s="653" t="n">
        <v>0.00999999999999091</v>
      </c>
      <c r="L1639" s="123" t="n">
        <v>6</v>
      </c>
    </row>
    <row r="1640" customFormat="false" ht="15" hidden="false" customHeight="false" outlineLevel="0" collapsed="false">
      <c r="A1640" s="652" t="n">
        <v>45837</v>
      </c>
      <c r="B1640" s="123" t="n">
        <v>1295</v>
      </c>
      <c r="C1640" s="124" t="s">
        <v>300</v>
      </c>
      <c r="D1640" s="124" t="s">
        <v>301</v>
      </c>
      <c r="E1640" s="123" t="n">
        <v>138</v>
      </c>
      <c r="G1640" s="653" t="n">
        <v>12570.25</v>
      </c>
      <c r="H1640" s="123" t="n">
        <v>0</v>
      </c>
      <c r="O1640" s="123" t="n">
        <v>1</v>
      </c>
    </row>
    <row r="1641" customFormat="false" ht="15" hidden="false" customHeight="false" outlineLevel="0" collapsed="false">
      <c r="A1641" s="652" t="n">
        <v>45837</v>
      </c>
      <c r="B1641" s="123" t="n">
        <v>1296</v>
      </c>
      <c r="C1641" s="124" t="s">
        <v>312</v>
      </c>
      <c r="D1641" s="124" t="s">
        <v>301</v>
      </c>
      <c r="E1641" s="653" t="n">
        <v>155.25</v>
      </c>
      <c r="G1641" s="653" t="n">
        <v>12725.5</v>
      </c>
      <c r="P1641" s="123" t="n">
        <v>1</v>
      </c>
    </row>
    <row r="1642" customFormat="false" ht="15" hidden="false" customHeight="false" outlineLevel="0" collapsed="false">
      <c r="A1642" s="652" t="n">
        <v>45837</v>
      </c>
      <c r="B1642" s="123" t="n">
        <v>1297</v>
      </c>
      <c r="C1642" s="124" t="s">
        <v>305</v>
      </c>
      <c r="D1642" s="124" t="s">
        <v>301</v>
      </c>
      <c r="E1642" s="123" t="n">
        <v>1817</v>
      </c>
      <c r="G1642" s="653" t="n">
        <v>14542.5</v>
      </c>
      <c r="I1642" s="123" t="n">
        <v>6</v>
      </c>
      <c r="J1642" s="123" t="n">
        <v>1</v>
      </c>
    </row>
    <row r="1643" customFormat="false" ht="15" hidden="false" customHeight="false" outlineLevel="0" collapsed="false">
      <c r="A1643" s="652" t="n">
        <v>45837</v>
      </c>
      <c r="B1643" s="124" t="s">
        <v>470</v>
      </c>
      <c r="C1643" s="124" t="s">
        <v>393</v>
      </c>
      <c r="F1643" s="123" t="n">
        <v>2948</v>
      </c>
      <c r="G1643" s="653" t="n">
        <v>11594.5</v>
      </c>
    </row>
    <row r="1644" customFormat="false" ht="15" hidden="false" customHeight="false" outlineLevel="0" collapsed="false">
      <c r="A1644" s="652" t="n">
        <v>45838</v>
      </c>
      <c r="B1644" s="124" t="s">
        <v>470</v>
      </c>
      <c r="C1644" s="124" t="s">
        <v>393</v>
      </c>
      <c r="E1644" s="653" t="n">
        <v>-0.5</v>
      </c>
      <c r="F1644" s="123" t="n">
        <v>11594</v>
      </c>
      <c r="G1644" s="123" t="n">
        <v>0</v>
      </c>
    </row>
    <row r="1645" customFormat="false" ht="15" hidden="false" customHeight="false" outlineLevel="0" collapsed="false">
      <c r="A1645" s="652" t="n">
        <v>45840</v>
      </c>
      <c r="B1645" s="124" t="s">
        <v>470</v>
      </c>
      <c r="C1645" s="124" t="s">
        <v>393</v>
      </c>
      <c r="E1645" s="123" t="n">
        <v>2368</v>
      </c>
      <c r="F1645" s="123" t="n">
        <v>2368</v>
      </c>
      <c r="G1645" s="123" t="n">
        <v>0</v>
      </c>
    </row>
    <row r="1646" customFormat="false" ht="15" hidden="false" customHeight="false" outlineLevel="0" collapsed="false">
      <c r="A1646" s="652" t="n">
        <v>45841</v>
      </c>
      <c r="B1646" s="124" t="s">
        <v>470</v>
      </c>
      <c r="C1646" s="124" t="s">
        <v>393</v>
      </c>
      <c r="E1646" s="123" t="n">
        <v>1061</v>
      </c>
      <c r="F1646" s="123" t="n">
        <v>1061</v>
      </c>
      <c r="G1646" s="123" t="n">
        <v>0</v>
      </c>
    </row>
    <row r="1647" customFormat="false" ht="15" hidden="false" customHeight="false" outlineLevel="0" collapsed="false">
      <c r="A1647" s="652" t="n">
        <v>45870</v>
      </c>
      <c r="B1647" s="123" t="n">
        <v>1298</v>
      </c>
      <c r="C1647" s="124" t="s">
        <v>196</v>
      </c>
      <c r="D1647" s="124" t="s">
        <v>127</v>
      </c>
      <c r="E1647" s="123" t="n">
        <v>253</v>
      </c>
      <c r="G1647" s="123" t="n">
        <v>253</v>
      </c>
      <c r="H1647" s="653" t="n">
        <v>1.75</v>
      </c>
      <c r="K1647" s="123" t="n">
        <v>1</v>
      </c>
    </row>
    <row r="1648" customFormat="false" ht="15" hidden="false" customHeight="false" outlineLevel="0" collapsed="false">
      <c r="A1648" s="652" t="n">
        <v>45871</v>
      </c>
      <c r="B1648" s="123" t="n">
        <v>1299</v>
      </c>
      <c r="C1648" s="124" t="s">
        <v>179</v>
      </c>
      <c r="D1648" s="124" t="s">
        <v>127</v>
      </c>
      <c r="E1648" s="653" t="n">
        <v>845.25</v>
      </c>
      <c r="G1648" s="653" t="n">
        <v>1098.25</v>
      </c>
      <c r="H1648" s="653" t="n">
        <v>0.5</v>
      </c>
      <c r="I1648" s="123" t="n">
        <v>3</v>
      </c>
    </row>
    <row r="1649" customFormat="false" ht="15" hidden="false" customHeight="false" outlineLevel="0" collapsed="false">
      <c r="A1649" s="652" t="n">
        <v>45872</v>
      </c>
      <c r="B1649" s="124" t="s">
        <v>662</v>
      </c>
      <c r="C1649" s="124" t="s">
        <v>393</v>
      </c>
      <c r="E1649" s="653" t="n">
        <v>-0.25</v>
      </c>
      <c r="F1649" s="123" t="n">
        <v>1098</v>
      </c>
      <c r="G1649" s="123" t="n">
        <v>0</v>
      </c>
    </row>
    <row r="1650" customFormat="false" ht="15" hidden="false" customHeight="false" outlineLevel="0" collapsed="false">
      <c r="A1650" s="652" t="n">
        <v>45874</v>
      </c>
      <c r="B1650" s="123" t="n">
        <v>1300</v>
      </c>
      <c r="C1650" s="124" t="s">
        <v>157</v>
      </c>
      <c r="D1650" s="124" t="s">
        <v>127</v>
      </c>
      <c r="E1650" s="653" t="n">
        <v>845.25</v>
      </c>
      <c r="G1650" s="653" t="n">
        <v>845.25</v>
      </c>
      <c r="H1650" s="653" t="n">
        <v>1.25</v>
      </c>
      <c r="I1650" s="123" t="n">
        <v>3</v>
      </c>
    </row>
    <row r="1651" customFormat="false" ht="15" hidden="false" customHeight="false" outlineLevel="0" collapsed="false">
      <c r="A1651" s="652" t="n">
        <v>45874</v>
      </c>
      <c r="B1651" s="123" t="n">
        <v>1301</v>
      </c>
      <c r="C1651" s="124" t="s">
        <v>157</v>
      </c>
      <c r="D1651" s="124" t="s">
        <v>127</v>
      </c>
      <c r="E1651" s="653" t="n">
        <v>155.25</v>
      </c>
      <c r="G1651" s="653" t="n">
        <v>1000.5</v>
      </c>
      <c r="P1651" s="123" t="n">
        <v>1</v>
      </c>
    </row>
    <row r="1652" customFormat="false" ht="15" hidden="false" customHeight="false" outlineLevel="0" collapsed="false">
      <c r="A1652" s="652" t="n">
        <v>45874</v>
      </c>
      <c r="B1652" s="123" t="n">
        <v>1302</v>
      </c>
      <c r="C1652" s="124" t="s">
        <v>285</v>
      </c>
      <c r="D1652" s="124" t="s">
        <v>286</v>
      </c>
      <c r="E1652" s="123" t="n">
        <v>345</v>
      </c>
      <c r="G1652" s="653" t="n">
        <v>1345.5</v>
      </c>
      <c r="K1652" s="123" t="n">
        <v>1</v>
      </c>
    </row>
    <row r="1653" customFormat="false" ht="15" hidden="false" customHeight="false" outlineLevel="0" collapsed="false">
      <c r="A1653" s="652" t="n">
        <v>45874</v>
      </c>
      <c r="B1653" s="123" t="n">
        <v>1303</v>
      </c>
      <c r="C1653" s="124" t="s">
        <v>298</v>
      </c>
      <c r="D1653" s="124" t="s">
        <v>286</v>
      </c>
      <c r="E1653" s="123" t="n">
        <v>1242</v>
      </c>
      <c r="G1653" s="653" t="n">
        <v>2587.5</v>
      </c>
      <c r="H1653" s="653" t="n">
        <v>0.5</v>
      </c>
      <c r="I1653" s="123" t="n">
        <v>3</v>
      </c>
      <c r="O1653" s="123" t="n">
        <v>1</v>
      </c>
      <c r="P1653" s="123" t="n">
        <v>1</v>
      </c>
    </row>
    <row r="1654" customFormat="false" ht="15" hidden="false" customHeight="false" outlineLevel="0" collapsed="false">
      <c r="A1654" s="652" t="n">
        <v>45874</v>
      </c>
      <c r="B1654" s="123" t="n">
        <v>1304</v>
      </c>
      <c r="C1654" s="124" t="s">
        <v>295</v>
      </c>
      <c r="D1654" s="124" t="s">
        <v>286</v>
      </c>
      <c r="E1654" s="653" t="n">
        <v>799.25</v>
      </c>
      <c r="G1654" s="653" t="n">
        <v>3386.75</v>
      </c>
      <c r="H1654" s="123" t="n">
        <v>0</v>
      </c>
      <c r="J1654" s="123" t="n">
        <v>1</v>
      </c>
      <c r="M1654" s="123" t="n">
        <v>2</v>
      </c>
      <c r="O1654" s="123" t="n">
        <v>1</v>
      </c>
    </row>
    <row r="1655" customFormat="false" ht="15" hidden="false" customHeight="false" outlineLevel="0" collapsed="false">
      <c r="A1655" s="652" t="n">
        <v>45874</v>
      </c>
      <c r="B1655" s="123" t="n">
        <v>1305</v>
      </c>
      <c r="C1655" s="124" t="s">
        <v>295</v>
      </c>
      <c r="D1655" s="124" t="s">
        <v>286</v>
      </c>
      <c r="E1655" s="653" t="n">
        <v>241.5</v>
      </c>
      <c r="G1655" s="653" t="n">
        <v>3628.25</v>
      </c>
      <c r="O1655" s="123" t="n">
        <v>1</v>
      </c>
    </row>
    <row r="1656" customFormat="false" ht="15" hidden="false" customHeight="false" outlineLevel="0" collapsed="false">
      <c r="A1656" s="652" t="n">
        <v>45874</v>
      </c>
      <c r="B1656" s="123" t="n">
        <v>1306</v>
      </c>
      <c r="C1656" s="124" t="s">
        <v>290</v>
      </c>
      <c r="D1656" s="124" t="s">
        <v>286</v>
      </c>
      <c r="E1656" s="653" t="n">
        <v>845.25</v>
      </c>
      <c r="G1656" s="653" t="n">
        <v>4473.5</v>
      </c>
      <c r="H1656" s="653" t="n">
        <v>-0.75</v>
      </c>
      <c r="I1656" s="123" t="n">
        <v>3</v>
      </c>
    </row>
    <row r="1657" customFormat="false" ht="15" hidden="false" customHeight="false" outlineLevel="0" collapsed="false">
      <c r="A1657" s="652" t="n">
        <v>45874</v>
      </c>
      <c r="B1657" s="123" t="n">
        <v>1307</v>
      </c>
      <c r="C1657" s="124" t="s">
        <v>293</v>
      </c>
      <c r="D1657" s="124" t="s">
        <v>286</v>
      </c>
      <c r="E1657" s="653" t="n">
        <v>1690.5</v>
      </c>
      <c r="G1657" s="123" t="n">
        <v>6164</v>
      </c>
      <c r="I1657" s="123" t="n">
        <v>6</v>
      </c>
    </row>
    <row r="1658" customFormat="false" ht="15" hidden="false" customHeight="false" outlineLevel="0" collapsed="false">
      <c r="A1658" s="652" t="n">
        <v>45874</v>
      </c>
      <c r="B1658" s="123" t="n">
        <v>1308</v>
      </c>
      <c r="C1658" s="124" t="s">
        <v>299</v>
      </c>
      <c r="D1658" s="124" t="s">
        <v>286</v>
      </c>
      <c r="E1658" s="653" t="n">
        <v>241.5</v>
      </c>
      <c r="G1658" s="653" t="n">
        <v>6405.5</v>
      </c>
      <c r="M1658" s="123" t="n">
        <v>1</v>
      </c>
    </row>
    <row r="1659" customFormat="false" ht="15" hidden="false" customHeight="false" outlineLevel="0" collapsed="false">
      <c r="A1659" s="652" t="n">
        <v>45874</v>
      </c>
      <c r="B1659" s="123" t="n">
        <v>1309</v>
      </c>
      <c r="C1659" s="124" t="s">
        <v>312</v>
      </c>
      <c r="D1659" s="124" t="s">
        <v>301</v>
      </c>
      <c r="E1659" s="653" t="n">
        <v>408.25</v>
      </c>
      <c r="G1659" s="653" t="n">
        <v>6813.75</v>
      </c>
      <c r="K1659" s="123" t="n">
        <v>1</v>
      </c>
      <c r="P1659" s="123" t="n">
        <v>1</v>
      </c>
    </row>
    <row r="1660" customFormat="false" ht="15" hidden="false" customHeight="false" outlineLevel="0" collapsed="false">
      <c r="A1660" s="652" t="n">
        <v>45874</v>
      </c>
      <c r="B1660" s="123" t="n">
        <v>1310</v>
      </c>
      <c r="C1660" s="124" t="s">
        <v>315</v>
      </c>
      <c r="D1660" s="124" t="s">
        <v>301</v>
      </c>
      <c r="E1660" s="653" t="n">
        <v>845.25</v>
      </c>
      <c r="G1660" s="123" t="n">
        <v>7659</v>
      </c>
      <c r="I1660" s="123" t="n">
        <v>3</v>
      </c>
    </row>
    <row r="1661" customFormat="false" ht="15" hidden="false" customHeight="false" outlineLevel="0" collapsed="false">
      <c r="A1661" s="652" t="n">
        <v>45875</v>
      </c>
      <c r="B1661" s="124" t="s">
        <v>470</v>
      </c>
      <c r="C1661" s="124" t="s">
        <v>393</v>
      </c>
      <c r="F1661" s="653" t="n">
        <v>7658.25</v>
      </c>
      <c r="G1661" s="653" t="n">
        <v>0.75</v>
      </c>
    </row>
    <row r="1662" customFormat="false" ht="15" hidden="false" customHeight="false" outlineLevel="0" collapsed="false">
      <c r="A1662" s="652" t="n">
        <v>45875</v>
      </c>
      <c r="B1662" s="123" t="n">
        <v>1311</v>
      </c>
      <c r="C1662" s="124" t="s">
        <v>183</v>
      </c>
      <c r="D1662" s="124" t="s">
        <v>127</v>
      </c>
      <c r="E1662" s="653" t="n">
        <v>724.5</v>
      </c>
      <c r="G1662" s="653" t="n">
        <v>725.25</v>
      </c>
      <c r="K1662" s="123" t="n">
        <v>1</v>
      </c>
      <c r="P1662" s="123" t="n">
        <v>2</v>
      </c>
    </row>
    <row r="1663" customFormat="false" ht="15" hidden="false" customHeight="false" outlineLevel="0" collapsed="false">
      <c r="A1663" s="652" t="n">
        <v>45875</v>
      </c>
      <c r="B1663" s="123" t="n">
        <v>1313</v>
      </c>
      <c r="C1663" s="124" t="s">
        <v>199</v>
      </c>
      <c r="D1663" s="124" t="s">
        <v>127</v>
      </c>
      <c r="E1663" s="123" t="n">
        <v>276</v>
      </c>
      <c r="G1663" s="653" t="n">
        <v>1001.25</v>
      </c>
      <c r="O1663" s="123" t="n">
        <v>2</v>
      </c>
    </row>
    <row r="1664" customFormat="false" ht="15" hidden="false" customHeight="false" outlineLevel="0" collapsed="false">
      <c r="A1664" s="652" t="n">
        <v>45875</v>
      </c>
      <c r="B1664" s="123" t="n">
        <v>1312</v>
      </c>
      <c r="C1664" s="124" t="s">
        <v>264</v>
      </c>
      <c r="D1664" s="124" t="s">
        <v>127</v>
      </c>
      <c r="E1664" s="653" t="n">
        <v>1155.75</v>
      </c>
      <c r="G1664" s="123" t="n">
        <v>2157</v>
      </c>
      <c r="H1664" s="653" t="n">
        <v>0.75</v>
      </c>
      <c r="I1664" s="123" t="n">
        <v>3</v>
      </c>
      <c r="P1664" s="123" t="n">
        <v>2</v>
      </c>
    </row>
    <row r="1665" customFormat="false" ht="15" hidden="false" customHeight="false" outlineLevel="0" collapsed="false">
      <c r="A1665" s="652" t="n">
        <v>45875</v>
      </c>
      <c r="B1665" s="123" t="n">
        <v>1314</v>
      </c>
      <c r="C1665" s="124" t="s">
        <v>141</v>
      </c>
      <c r="D1665" s="124" t="s">
        <v>127</v>
      </c>
      <c r="E1665" s="653" t="n">
        <v>51.75</v>
      </c>
      <c r="G1665" s="653" t="n">
        <v>2208.75</v>
      </c>
      <c r="O1665" s="123" t="n">
        <v>1</v>
      </c>
    </row>
    <row r="1666" customFormat="false" ht="15" hidden="false" customHeight="false" outlineLevel="0" collapsed="false">
      <c r="A1666" s="652" t="n">
        <v>45876</v>
      </c>
      <c r="B1666" s="124" t="s">
        <v>470</v>
      </c>
      <c r="C1666" s="124" t="s">
        <v>393</v>
      </c>
      <c r="F1666" s="123" t="n">
        <v>2208</v>
      </c>
      <c r="G1666" s="653" t="n">
        <v>0.75</v>
      </c>
    </row>
    <row r="1667" customFormat="false" ht="15" hidden="false" customHeight="false" outlineLevel="0" collapsed="false">
      <c r="A1667" s="652" t="n">
        <v>45876</v>
      </c>
      <c r="B1667" s="123" t="n">
        <v>1315</v>
      </c>
      <c r="C1667" s="124" t="s">
        <v>296</v>
      </c>
      <c r="D1667" s="124" t="s">
        <v>286</v>
      </c>
      <c r="E1667" s="653" t="n">
        <v>747.5</v>
      </c>
      <c r="G1667" s="653" t="n">
        <v>748.25</v>
      </c>
      <c r="O1667" s="123" t="n">
        <v>1</v>
      </c>
      <c r="P1667" s="123" t="n">
        <v>3</v>
      </c>
    </row>
    <row r="1668" customFormat="false" ht="15" hidden="false" customHeight="false" outlineLevel="0" collapsed="false">
      <c r="A1668" s="652" t="n">
        <v>45876</v>
      </c>
      <c r="B1668" s="123" t="n">
        <v>1316</v>
      </c>
      <c r="C1668" s="124" t="s">
        <v>296</v>
      </c>
      <c r="D1668" s="124" t="s">
        <v>286</v>
      </c>
      <c r="E1668" s="123" t="n">
        <v>1955</v>
      </c>
      <c r="G1668" s="653" t="n">
        <v>2703.25</v>
      </c>
      <c r="H1668" s="123" t="n">
        <v>0</v>
      </c>
      <c r="O1668" s="123" t="n">
        <v>10</v>
      </c>
    </row>
    <row r="1669" customFormat="false" ht="15" hidden="false" customHeight="false" outlineLevel="0" collapsed="false">
      <c r="A1669" s="652" t="n">
        <v>45876</v>
      </c>
      <c r="B1669" s="123" t="n">
        <v>1317</v>
      </c>
      <c r="C1669" s="124" t="s">
        <v>319</v>
      </c>
      <c r="D1669" s="124" t="s">
        <v>224</v>
      </c>
      <c r="E1669" s="123" t="n">
        <v>483</v>
      </c>
      <c r="G1669" s="653" t="n">
        <v>3186.25</v>
      </c>
      <c r="M1669" s="123" t="n">
        <v>2</v>
      </c>
    </row>
    <row r="1670" customFormat="false" ht="15" hidden="false" customHeight="false" outlineLevel="0" collapsed="false">
      <c r="A1670" s="652" t="n">
        <v>45876</v>
      </c>
      <c r="B1670" s="123" t="n">
        <v>1318</v>
      </c>
      <c r="C1670" s="124" t="s">
        <v>94</v>
      </c>
      <c r="D1670" s="124" t="s">
        <v>75</v>
      </c>
      <c r="E1670" s="123" t="n">
        <v>2737</v>
      </c>
      <c r="G1670" s="653" t="n">
        <v>5923.25</v>
      </c>
      <c r="H1670" s="123" t="n">
        <v>5</v>
      </c>
      <c r="I1670" s="123" t="n">
        <v>6</v>
      </c>
      <c r="K1670" s="123" t="n">
        <v>1</v>
      </c>
      <c r="O1670" s="123" t="n">
        <v>1</v>
      </c>
      <c r="P1670" s="123" t="n">
        <v>2</v>
      </c>
    </row>
    <row r="1671" customFormat="false" ht="15" hidden="false" customHeight="false" outlineLevel="0" collapsed="false">
      <c r="A1671" s="652" t="n">
        <v>45876</v>
      </c>
      <c r="B1671" s="123" t="n">
        <v>1319</v>
      </c>
      <c r="C1671" s="124" t="s">
        <v>95</v>
      </c>
      <c r="D1671" s="124" t="s">
        <v>75</v>
      </c>
      <c r="E1671" s="653" t="n">
        <v>2018.25</v>
      </c>
      <c r="G1671" s="653" t="n">
        <v>7941.5</v>
      </c>
      <c r="K1671" s="123" t="n">
        <v>1</v>
      </c>
      <c r="L1671" s="123" t="n">
        <v>3</v>
      </c>
      <c r="O1671" s="123" t="n">
        <v>4</v>
      </c>
      <c r="P1671" s="123" t="n">
        <v>2</v>
      </c>
    </row>
    <row r="1672" customFormat="false" ht="15" hidden="false" customHeight="false" outlineLevel="0" collapsed="false">
      <c r="A1672" s="652" t="n">
        <v>45876</v>
      </c>
      <c r="B1672" s="123" t="n">
        <v>1320</v>
      </c>
      <c r="C1672" s="124" t="s">
        <v>96</v>
      </c>
      <c r="D1672" s="124" t="s">
        <v>75</v>
      </c>
      <c r="E1672" s="653" t="n">
        <v>2547.25</v>
      </c>
      <c r="G1672" s="653" t="n">
        <v>10488.75</v>
      </c>
      <c r="H1672" s="653" t="n">
        <v>0.25</v>
      </c>
      <c r="I1672" s="123" t="n">
        <v>3</v>
      </c>
      <c r="J1672" s="123" t="n">
        <v>1</v>
      </c>
      <c r="K1672" s="123" t="n">
        <v>3</v>
      </c>
      <c r="M1672" s="123" t="n">
        <v>1</v>
      </c>
      <c r="P1672" s="123" t="n">
        <v>2</v>
      </c>
    </row>
    <row r="1673" customFormat="false" ht="15" hidden="false" customHeight="false" outlineLevel="0" collapsed="false">
      <c r="A1673" s="652" t="n">
        <v>45876</v>
      </c>
      <c r="B1673" s="123" t="n">
        <v>1321</v>
      </c>
      <c r="C1673" s="124" t="s">
        <v>89</v>
      </c>
      <c r="D1673" s="124" t="s">
        <v>75</v>
      </c>
      <c r="E1673" s="653" t="n">
        <v>1000.5</v>
      </c>
      <c r="G1673" s="653" t="n">
        <v>11489.25</v>
      </c>
      <c r="I1673" s="123" t="n">
        <v>3</v>
      </c>
      <c r="P1673" s="123" t="n">
        <v>1</v>
      </c>
    </row>
    <row r="1674" customFormat="false" ht="15" hidden="false" customHeight="false" outlineLevel="0" collapsed="false">
      <c r="A1674" s="652" t="n">
        <v>45876</v>
      </c>
      <c r="B1674" s="123" t="n">
        <v>1322</v>
      </c>
      <c r="C1674" s="124" t="s">
        <v>92</v>
      </c>
      <c r="D1674" s="124" t="s">
        <v>75</v>
      </c>
      <c r="E1674" s="653" t="n">
        <v>822.24</v>
      </c>
      <c r="G1674" s="653" t="n">
        <v>12311.49</v>
      </c>
      <c r="L1674" s="123" t="n">
        <v>3</v>
      </c>
    </row>
    <row r="1675" customFormat="false" ht="15" hidden="false" customHeight="false" outlineLevel="0" collapsed="false">
      <c r="A1675" s="652" t="n">
        <v>45876</v>
      </c>
      <c r="B1675" s="123" t="n">
        <v>1327</v>
      </c>
      <c r="C1675" s="124" t="s">
        <v>104</v>
      </c>
      <c r="D1675" s="124" t="s">
        <v>105</v>
      </c>
      <c r="E1675" s="653" t="n">
        <v>845.25</v>
      </c>
      <c r="G1675" s="653" t="n">
        <v>13156.74</v>
      </c>
      <c r="I1675" s="123" t="n">
        <v>3</v>
      </c>
    </row>
    <row r="1676" customFormat="false" ht="15" hidden="false" customHeight="false" outlineLevel="0" collapsed="false">
      <c r="A1676" s="652" t="n">
        <v>45876</v>
      </c>
      <c r="B1676" s="123" t="n">
        <v>1324</v>
      </c>
      <c r="C1676" s="124" t="s">
        <v>113</v>
      </c>
      <c r="D1676" s="124" t="s">
        <v>105</v>
      </c>
      <c r="E1676" s="653" t="n">
        <v>845.25</v>
      </c>
      <c r="G1676" s="653" t="n">
        <v>14001.99</v>
      </c>
      <c r="H1676" s="653" t="n">
        <v>0.25</v>
      </c>
      <c r="I1676" s="123" t="n">
        <v>3</v>
      </c>
    </row>
    <row r="1677" customFormat="false" ht="15" hidden="false" customHeight="false" outlineLevel="0" collapsed="false">
      <c r="A1677" s="652" t="n">
        <v>45876</v>
      </c>
      <c r="B1677" s="123" t="n">
        <v>1325</v>
      </c>
      <c r="C1677" s="124" t="s">
        <v>115</v>
      </c>
      <c r="D1677" s="124" t="s">
        <v>105</v>
      </c>
      <c r="E1677" s="653" t="n">
        <v>293.25</v>
      </c>
      <c r="G1677" s="653" t="n">
        <v>14295.24</v>
      </c>
      <c r="H1677" s="123" t="n">
        <v>0</v>
      </c>
      <c r="O1677" s="123" t="n">
        <v>1</v>
      </c>
      <c r="P1677" s="123" t="n">
        <v>1</v>
      </c>
    </row>
    <row r="1678" customFormat="false" ht="15" hidden="false" customHeight="false" outlineLevel="0" collapsed="false">
      <c r="A1678" s="652" t="n">
        <v>45876</v>
      </c>
      <c r="B1678" s="123" t="n">
        <v>1326</v>
      </c>
      <c r="C1678" s="124" t="s">
        <v>109</v>
      </c>
      <c r="D1678" s="124" t="s">
        <v>105</v>
      </c>
      <c r="E1678" s="123" t="n">
        <v>138</v>
      </c>
      <c r="G1678" s="653" t="n">
        <v>14433.24</v>
      </c>
      <c r="O1678" s="123" t="n">
        <v>1</v>
      </c>
    </row>
    <row r="1679" customFormat="false" ht="15" hidden="false" customHeight="false" outlineLevel="0" collapsed="false">
      <c r="A1679" s="652" t="n">
        <v>45876</v>
      </c>
      <c r="B1679" s="124" t="s">
        <v>470</v>
      </c>
      <c r="C1679" s="124" t="s">
        <v>393</v>
      </c>
      <c r="F1679" s="123" t="n">
        <v>6323</v>
      </c>
      <c r="G1679" s="653" t="n">
        <v>8110.24</v>
      </c>
    </row>
    <row r="1680" customFormat="false" ht="15" hidden="false" customHeight="false" outlineLevel="0" collapsed="false">
      <c r="A1680" s="652" t="n">
        <v>45876</v>
      </c>
      <c r="B1680" s="124" t="s">
        <v>653</v>
      </c>
      <c r="C1680" s="124" t="s">
        <v>393</v>
      </c>
      <c r="E1680" s="653" t="n">
        <v>0.01</v>
      </c>
      <c r="F1680" s="123" t="n">
        <v>8110</v>
      </c>
      <c r="G1680" s="653" t="n">
        <v>0.25</v>
      </c>
    </row>
    <row r="1681" customFormat="false" ht="15" hidden="false" customHeight="false" outlineLevel="0" collapsed="false">
      <c r="A1681" s="652" t="n">
        <v>45879</v>
      </c>
      <c r="B1681" s="123" t="n">
        <v>1329</v>
      </c>
      <c r="C1681" s="124" t="s">
        <v>160</v>
      </c>
      <c r="D1681" s="124" t="s">
        <v>127</v>
      </c>
      <c r="E1681" s="653" t="n">
        <v>845.25</v>
      </c>
      <c r="G1681" s="653" t="n">
        <v>845.5</v>
      </c>
      <c r="H1681" s="653" t="n">
        <v>0.5</v>
      </c>
      <c r="I1681" s="123" t="n">
        <v>3</v>
      </c>
    </row>
    <row r="1682" customFormat="false" ht="15" hidden="false" customHeight="false" outlineLevel="0" collapsed="false">
      <c r="A1682" s="652" t="n">
        <v>45879</v>
      </c>
      <c r="B1682" s="123" t="n">
        <v>1330</v>
      </c>
      <c r="C1682" s="124" t="s">
        <v>184</v>
      </c>
      <c r="D1682" s="124" t="s">
        <v>127</v>
      </c>
      <c r="E1682" s="653" t="n">
        <v>310.5</v>
      </c>
      <c r="G1682" s="123" t="n">
        <v>1156</v>
      </c>
      <c r="H1682" s="653" t="n">
        <v>0.5</v>
      </c>
      <c r="P1682" s="123" t="n">
        <v>2</v>
      </c>
    </row>
    <row r="1683" customFormat="false" ht="15" hidden="false" customHeight="false" outlineLevel="0" collapsed="false">
      <c r="A1683" s="652" t="n">
        <v>45879</v>
      </c>
      <c r="B1683" s="123" t="n">
        <v>1328</v>
      </c>
      <c r="C1683" s="124" t="s">
        <v>303</v>
      </c>
      <c r="D1683" s="124" t="s">
        <v>301</v>
      </c>
      <c r="E1683" s="653" t="n">
        <v>241.5</v>
      </c>
      <c r="G1683" s="653" t="n">
        <v>1397.5</v>
      </c>
      <c r="H1683" s="653" t="n">
        <v>0.5</v>
      </c>
      <c r="M1683" s="123" t="n">
        <v>1</v>
      </c>
    </row>
    <row r="1684" customFormat="false" ht="15" hidden="false" customHeight="false" outlineLevel="0" collapsed="false">
      <c r="A1684" s="652" t="n">
        <v>45879</v>
      </c>
      <c r="B1684" s="124" t="s">
        <v>662</v>
      </c>
      <c r="C1684" s="124" t="s">
        <v>393</v>
      </c>
      <c r="E1684" s="653" t="n">
        <v>-0.5</v>
      </c>
      <c r="F1684" s="123" t="n">
        <v>1397</v>
      </c>
      <c r="G1684" s="123" t="n">
        <v>0</v>
      </c>
    </row>
    <row r="1685" customFormat="false" ht="15" hidden="false" customHeight="false" outlineLevel="0" collapsed="false">
      <c r="A1685" s="652" t="n">
        <v>45880</v>
      </c>
      <c r="B1685" s="123" t="n">
        <v>1331</v>
      </c>
      <c r="C1685" s="124" t="s">
        <v>137</v>
      </c>
      <c r="D1685" s="124" t="s">
        <v>127</v>
      </c>
      <c r="E1685" s="653" t="n">
        <v>103.5</v>
      </c>
      <c r="G1685" s="653" t="n">
        <v>103.5</v>
      </c>
      <c r="P1685" s="123" t="n">
        <v>2</v>
      </c>
    </row>
    <row r="1686" customFormat="false" ht="15" hidden="false" customHeight="false" outlineLevel="0" collapsed="false">
      <c r="A1686" s="652" t="n">
        <v>45880</v>
      </c>
      <c r="B1686" s="123" t="n">
        <v>1332</v>
      </c>
      <c r="C1686" s="124" t="s">
        <v>130</v>
      </c>
      <c r="D1686" s="124" t="s">
        <v>127</v>
      </c>
      <c r="E1686" s="123" t="n">
        <v>391</v>
      </c>
      <c r="G1686" s="653" t="n">
        <v>494.5</v>
      </c>
      <c r="H1686" s="123" t="n">
        <v>0</v>
      </c>
      <c r="K1686" s="123" t="n">
        <v>1</v>
      </c>
      <c r="O1686" s="123" t="n">
        <v>1</v>
      </c>
    </row>
    <row r="1687" customFormat="false" ht="15" hidden="false" customHeight="false" outlineLevel="0" collapsed="false">
      <c r="A1687" s="652" t="n">
        <v>45880</v>
      </c>
      <c r="B1687" s="123" t="n">
        <v>1333</v>
      </c>
      <c r="C1687" s="124" t="s">
        <v>263</v>
      </c>
      <c r="D1687" s="124" t="s">
        <v>127</v>
      </c>
      <c r="E1687" s="653" t="n">
        <v>1000.5</v>
      </c>
      <c r="G1687" s="123" t="n">
        <v>1495</v>
      </c>
      <c r="H1687" s="653" t="n">
        <v>-1.25</v>
      </c>
      <c r="I1687" s="123" t="n">
        <v>3</v>
      </c>
      <c r="P1687" s="123" t="n">
        <v>1</v>
      </c>
    </row>
    <row r="1688" customFormat="false" ht="15" hidden="false" customHeight="false" outlineLevel="0" collapsed="false">
      <c r="A1688" s="652" t="n">
        <v>45880</v>
      </c>
      <c r="B1688" s="124" t="s">
        <v>470</v>
      </c>
      <c r="C1688" s="124" t="s">
        <v>393</v>
      </c>
      <c r="F1688" s="123" t="n">
        <v>327</v>
      </c>
      <c r="G1688" s="123" t="n">
        <v>1168</v>
      </c>
    </row>
    <row r="1689" customFormat="false" ht="15" hidden="false" customHeight="false" outlineLevel="0" collapsed="false">
      <c r="A1689" s="652" t="n">
        <v>45880</v>
      </c>
      <c r="B1689" s="124" t="s">
        <v>653</v>
      </c>
      <c r="C1689" s="124" t="s">
        <v>393</v>
      </c>
      <c r="F1689" s="123" t="n">
        <v>1168</v>
      </c>
      <c r="G1689" s="123" t="n">
        <v>0</v>
      </c>
    </row>
    <row r="1690" customFormat="false" ht="15" hidden="false" customHeight="false" outlineLevel="0" collapsed="false">
      <c r="A1690" s="652" t="n">
        <v>45881</v>
      </c>
      <c r="B1690" s="123" t="n">
        <v>1334</v>
      </c>
      <c r="C1690" s="124" t="s">
        <v>166</v>
      </c>
      <c r="D1690" s="124" t="s">
        <v>127</v>
      </c>
      <c r="E1690" s="123" t="n">
        <v>138</v>
      </c>
      <c r="G1690" s="123" t="n">
        <v>138</v>
      </c>
      <c r="H1690" s="123" t="n">
        <v>0</v>
      </c>
      <c r="O1690" s="123" t="n">
        <v>1</v>
      </c>
    </row>
    <row r="1691" customFormat="false" ht="15" hidden="false" customHeight="false" outlineLevel="0" collapsed="false">
      <c r="A1691" s="652" t="n">
        <v>45881</v>
      </c>
      <c r="B1691" s="123" t="n">
        <v>1335</v>
      </c>
      <c r="C1691" s="124" t="s">
        <v>226</v>
      </c>
      <c r="D1691" s="124" t="s">
        <v>127</v>
      </c>
      <c r="E1691" s="653" t="n">
        <v>1132.75</v>
      </c>
      <c r="G1691" s="653" t="n">
        <v>1270.75</v>
      </c>
      <c r="L1691" s="123" t="n">
        <v>3</v>
      </c>
      <c r="P1691" s="123" t="n">
        <v>2</v>
      </c>
    </row>
    <row r="1692" customFormat="false" ht="15" hidden="false" customHeight="false" outlineLevel="0" collapsed="false">
      <c r="A1692" s="652" t="n">
        <v>45881</v>
      </c>
      <c r="B1692" s="123" t="n">
        <v>1336</v>
      </c>
      <c r="C1692" s="124" t="s">
        <v>238</v>
      </c>
      <c r="D1692" s="124" t="s">
        <v>127</v>
      </c>
      <c r="E1692" s="123" t="n">
        <v>138</v>
      </c>
      <c r="G1692" s="653" t="n">
        <v>1408.75</v>
      </c>
      <c r="O1692" s="123" t="n">
        <v>1</v>
      </c>
    </row>
    <row r="1693" customFormat="false" ht="15" hidden="false" customHeight="false" outlineLevel="0" collapsed="false">
      <c r="A1693" s="652" t="n">
        <v>45881</v>
      </c>
      <c r="B1693" s="123" t="n">
        <v>1337</v>
      </c>
      <c r="C1693" s="124" t="s">
        <v>199</v>
      </c>
      <c r="D1693" s="124" t="s">
        <v>127</v>
      </c>
      <c r="E1693" s="653" t="n">
        <v>264.5</v>
      </c>
      <c r="G1693" s="653" t="n">
        <v>1673.25</v>
      </c>
      <c r="P1693" s="123" t="n">
        <v>1</v>
      </c>
    </row>
    <row r="1694" customFormat="false" ht="15" hidden="false" customHeight="false" outlineLevel="0" collapsed="false">
      <c r="A1694" s="652" t="n">
        <v>45881</v>
      </c>
      <c r="B1694" s="123" t="n">
        <v>1338</v>
      </c>
      <c r="C1694" s="124" t="s">
        <v>183</v>
      </c>
      <c r="D1694" s="124" t="s">
        <v>127</v>
      </c>
      <c r="E1694" s="123" t="n">
        <v>1035</v>
      </c>
      <c r="G1694" s="653" t="n">
        <v>2708.25</v>
      </c>
      <c r="K1694" s="123" t="n">
        <v>4</v>
      </c>
    </row>
    <row r="1695" customFormat="false" ht="15" hidden="false" customHeight="false" outlineLevel="0" collapsed="false">
      <c r="A1695" s="652" t="n">
        <v>45881</v>
      </c>
      <c r="B1695" s="123" t="n">
        <v>1339</v>
      </c>
      <c r="C1695" s="124" t="s">
        <v>134</v>
      </c>
      <c r="D1695" s="124" t="s">
        <v>127</v>
      </c>
      <c r="E1695" s="123" t="n">
        <v>138</v>
      </c>
      <c r="G1695" s="653" t="n">
        <v>2846.25</v>
      </c>
      <c r="H1695" s="123" t="n">
        <v>0</v>
      </c>
      <c r="O1695" s="123" t="n">
        <v>1</v>
      </c>
    </row>
    <row r="1696" customFormat="false" ht="15" hidden="false" customHeight="false" outlineLevel="0" collapsed="false">
      <c r="A1696" s="652" t="n">
        <v>45881</v>
      </c>
      <c r="B1696" s="123" t="n">
        <v>1340</v>
      </c>
      <c r="C1696" s="124" t="s">
        <v>153</v>
      </c>
      <c r="D1696" s="124" t="s">
        <v>127</v>
      </c>
      <c r="E1696" s="653" t="n">
        <v>845.25</v>
      </c>
      <c r="G1696" s="653" t="n">
        <v>3691.5</v>
      </c>
      <c r="H1696" s="653" t="n">
        <v>0.5</v>
      </c>
      <c r="I1696" s="123" t="n">
        <v>3</v>
      </c>
    </row>
    <row r="1697" customFormat="false" ht="15" hidden="false" customHeight="false" outlineLevel="0" collapsed="false">
      <c r="A1697" s="652" t="n">
        <v>45881</v>
      </c>
      <c r="B1697" s="124" t="s">
        <v>470</v>
      </c>
      <c r="C1697" s="124" t="s">
        <v>393</v>
      </c>
      <c r="F1697" s="653" t="n">
        <v>3691.5</v>
      </c>
      <c r="G1697" s="123" t="n">
        <v>0</v>
      </c>
    </row>
    <row r="1698" customFormat="false" ht="15" hidden="false" customHeight="false" outlineLevel="0" collapsed="false">
      <c r="A1698" s="652" t="n">
        <v>45882</v>
      </c>
      <c r="B1698" s="123" t="n">
        <v>1341</v>
      </c>
      <c r="C1698" s="124" t="s">
        <v>298</v>
      </c>
      <c r="D1698" s="124" t="s">
        <v>286</v>
      </c>
      <c r="E1698" s="653" t="n">
        <v>977.5</v>
      </c>
      <c r="G1698" s="653" t="n">
        <v>977.5</v>
      </c>
      <c r="H1698" s="653" t="n">
        <v>0.5</v>
      </c>
      <c r="K1698" s="123" t="n">
        <v>3</v>
      </c>
      <c r="O1698" s="123" t="n">
        <v>1</v>
      </c>
    </row>
    <row r="1699" customFormat="false" ht="15" hidden="false" customHeight="false" outlineLevel="0" collapsed="false">
      <c r="A1699" s="652" t="n">
        <v>45882</v>
      </c>
      <c r="B1699" s="123" t="n">
        <v>1342</v>
      </c>
      <c r="C1699" s="124" t="s">
        <v>295</v>
      </c>
      <c r="D1699" s="124" t="s">
        <v>286</v>
      </c>
      <c r="E1699" s="653" t="n">
        <v>1305.25</v>
      </c>
      <c r="G1699" s="653" t="n">
        <v>2282.75</v>
      </c>
      <c r="H1699" s="653" t="n">
        <v>0.25</v>
      </c>
      <c r="L1699" s="123" t="n">
        <v>3</v>
      </c>
      <c r="M1699" s="123" t="n">
        <v>2</v>
      </c>
    </row>
    <row r="1700" customFormat="false" ht="15" hidden="false" customHeight="false" outlineLevel="0" collapsed="false">
      <c r="A1700" s="652" t="n">
        <v>45882</v>
      </c>
      <c r="B1700" s="124" t="s">
        <v>470</v>
      </c>
      <c r="C1700" s="124" t="s">
        <v>393</v>
      </c>
      <c r="F1700" s="123" t="n">
        <v>2282</v>
      </c>
      <c r="G1700" s="653" t="n">
        <v>0.75</v>
      </c>
    </row>
    <row r="1701" customFormat="false" ht="15" hidden="false" customHeight="false" outlineLevel="0" collapsed="false">
      <c r="A1701" s="652" t="n">
        <v>45883</v>
      </c>
      <c r="B1701" s="123" t="n">
        <v>1343</v>
      </c>
      <c r="C1701" s="124" t="s">
        <v>199</v>
      </c>
      <c r="D1701" s="124" t="s">
        <v>127</v>
      </c>
      <c r="E1701" s="653" t="n">
        <v>2219.5</v>
      </c>
      <c r="G1701" s="653" t="n">
        <v>2220.25</v>
      </c>
      <c r="H1701" s="653" t="n">
        <v>0.5</v>
      </c>
      <c r="I1701" s="123" t="n">
        <v>6</v>
      </c>
      <c r="K1701" s="123" t="n">
        <v>1</v>
      </c>
      <c r="P1701" s="123" t="n">
        <v>1</v>
      </c>
    </row>
    <row r="1702" customFormat="false" ht="15" hidden="false" customHeight="false" outlineLevel="0" collapsed="false">
      <c r="A1702" s="652" t="n">
        <v>45883</v>
      </c>
      <c r="B1702" s="123" t="n">
        <v>1344</v>
      </c>
      <c r="C1702" s="124" t="s">
        <v>180</v>
      </c>
      <c r="D1702" s="124" t="s">
        <v>127</v>
      </c>
      <c r="E1702" s="653" t="n">
        <v>1023.5</v>
      </c>
      <c r="G1702" s="653" t="n">
        <v>3243.75</v>
      </c>
      <c r="H1702" s="653" t="n">
        <v>0.25</v>
      </c>
      <c r="I1702" s="123" t="n">
        <v>3</v>
      </c>
      <c r="J1702" s="123" t="n">
        <v>1</v>
      </c>
    </row>
    <row r="1703" customFormat="false" ht="15" hidden="false" customHeight="false" outlineLevel="0" collapsed="false">
      <c r="A1703" s="652" t="n">
        <v>45883</v>
      </c>
      <c r="B1703" s="123" t="n">
        <v>1345</v>
      </c>
      <c r="C1703" s="124" t="s">
        <v>242</v>
      </c>
      <c r="D1703" s="124" t="s">
        <v>127</v>
      </c>
      <c r="E1703" s="653" t="n">
        <v>845.25</v>
      </c>
      <c r="G1703" s="123" t="n">
        <v>4089</v>
      </c>
      <c r="I1703" s="123" t="n">
        <v>3</v>
      </c>
    </row>
    <row r="1704" customFormat="false" ht="15" hidden="false" customHeight="false" outlineLevel="0" collapsed="false">
      <c r="A1704" s="652" t="n">
        <v>45883</v>
      </c>
      <c r="B1704" s="124" t="s">
        <v>470</v>
      </c>
      <c r="C1704" s="124" t="s">
        <v>393</v>
      </c>
      <c r="F1704" s="123" t="n">
        <v>732</v>
      </c>
      <c r="G1704" s="123" t="n">
        <v>3357</v>
      </c>
    </row>
    <row r="1705" customFormat="false" ht="15" hidden="false" customHeight="false" outlineLevel="0" collapsed="false">
      <c r="A1705" s="652" t="n">
        <v>45886</v>
      </c>
      <c r="B1705" s="124" t="s">
        <v>470</v>
      </c>
      <c r="C1705" s="124" t="s">
        <v>393</v>
      </c>
      <c r="F1705" s="653" t="n">
        <v>3032.5</v>
      </c>
      <c r="G1705" s="653" t="n">
        <v>324.5</v>
      </c>
    </row>
    <row r="1706" customFormat="false" ht="15" hidden="false" customHeight="false" outlineLevel="0" collapsed="false">
      <c r="A1706" s="652" t="n">
        <v>45886</v>
      </c>
      <c r="B1706" s="123" t="n">
        <v>1346</v>
      </c>
      <c r="C1706" s="124" t="s">
        <v>81</v>
      </c>
      <c r="D1706" s="124" t="s">
        <v>75</v>
      </c>
      <c r="E1706" s="653" t="n">
        <v>155.25</v>
      </c>
      <c r="G1706" s="653" t="n">
        <v>479.75</v>
      </c>
      <c r="P1706" s="123" t="n">
        <v>1</v>
      </c>
    </row>
    <row r="1707" customFormat="false" ht="15" hidden="false" customHeight="false" outlineLevel="0" collapsed="false">
      <c r="A1707" s="652" t="n">
        <v>45886</v>
      </c>
      <c r="B1707" s="123" t="n">
        <v>1347</v>
      </c>
      <c r="C1707" s="124" t="s">
        <v>77</v>
      </c>
      <c r="D1707" s="124" t="s">
        <v>75</v>
      </c>
      <c r="E1707" s="123" t="n">
        <v>138</v>
      </c>
      <c r="G1707" s="653" t="n">
        <v>617.75</v>
      </c>
      <c r="O1707" s="123" t="n">
        <v>1</v>
      </c>
    </row>
    <row r="1708" customFormat="false" ht="15" hidden="false" customHeight="false" outlineLevel="0" collapsed="false">
      <c r="A1708" s="652" t="n">
        <v>45886</v>
      </c>
      <c r="B1708" s="123" t="n">
        <v>1348</v>
      </c>
      <c r="C1708" s="124" t="s">
        <v>76</v>
      </c>
      <c r="D1708" s="124" t="s">
        <v>75</v>
      </c>
      <c r="E1708" s="653" t="n">
        <v>885.5</v>
      </c>
      <c r="G1708" s="653" t="n">
        <v>1503.25</v>
      </c>
      <c r="O1708" s="123" t="n">
        <v>2</v>
      </c>
      <c r="P1708" s="123" t="n">
        <v>3</v>
      </c>
    </row>
    <row r="1709" customFormat="false" ht="15" hidden="false" customHeight="false" outlineLevel="0" collapsed="false">
      <c r="A1709" s="652" t="n">
        <v>45886</v>
      </c>
      <c r="B1709" s="123" t="n">
        <v>1349</v>
      </c>
      <c r="C1709" s="124" t="s">
        <v>95</v>
      </c>
      <c r="D1709" s="124" t="s">
        <v>75</v>
      </c>
      <c r="E1709" s="653" t="n">
        <v>2455.25</v>
      </c>
      <c r="G1709" s="653" t="n">
        <v>3958.5</v>
      </c>
      <c r="H1709" s="653" t="n">
        <v>0.25</v>
      </c>
      <c r="J1709" s="123" t="n">
        <v>1</v>
      </c>
      <c r="L1709" s="123" t="n">
        <v>6</v>
      </c>
      <c r="O1709" s="123" t="n">
        <v>3</v>
      </c>
    </row>
    <row r="1710" customFormat="false" ht="15" hidden="false" customHeight="false" outlineLevel="0" collapsed="false">
      <c r="A1710" s="652" t="n">
        <v>45886</v>
      </c>
      <c r="B1710" s="123" t="n">
        <v>1350</v>
      </c>
      <c r="C1710" s="124" t="s">
        <v>107</v>
      </c>
      <c r="D1710" s="124" t="s">
        <v>105</v>
      </c>
      <c r="E1710" s="123" t="n">
        <v>966</v>
      </c>
      <c r="G1710" s="653" t="n">
        <v>4924.5</v>
      </c>
      <c r="H1710" s="123" t="n">
        <v>0</v>
      </c>
      <c r="K1710" s="123" t="n">
        <v>4</v>
      </c>
    </row>
    <row r="1711" customFormat="false" ht="15" hidden="false" customHeight="false" outlineLevel="0" collapsed="false">
      <c r="A1711" s="652" t="n">
        <v>45886</v>
      </c>
      <c r="B1711" s="123" t="n">
        <v>1351</v>
      </c>
      <c r="C1711" s="124" t="s">
        <v>108</v>
      </c>
      <c r="D1711" s="124" t="s">
        <v>105</v>
      </c>
      <c r="E1711" s="653" t="n">
        <v>1098.25</v>
      </c>
      <c r="G1711" s="653" t="n">
        <v>6022.75</v>
      </c>
      <c r="H1711" s="653" t="n">
        <v>0.25</v>
      </c>
      <c r="I1711" s="123" t="n">
        <v>3</v>
      </c>
      <c r="K1711" s="123" t="n">
        <v>1</v>
      </c>
    </row>
    <row r="1712" customFormat="false" ht="15" hidden="false" customHeight="false" outlineLevel="0" collapsed="false">
      <c r="A1712" s="652" t="n">
        <v>45886</v>
      </c>
      <c r="B1712" s="123" t="n">
        <v>1352</v>
      </c>
      <c r="C1712" s="124" t="s">
        <v>115</v>
      </c>
      <c r="D1712" s="124" t="s">
        <v>105</v>
      </c>
      <c r="E1712" s="653" t="n">
        <v>310.5</v>
      </c>
      <c r="G1712" s="653" t="n">
        <v>6333.25</v>
      </c>
      <c r="H1712" s="123" t="n">
        <v>0</v>
      </c>
      <c r="P1712" s="123" t="n">
        <v>2</v>
      </c>
    </row>
    <row r="1713" customFormat="false" ht="15" hidden="false" customHeight="false" outlineLevel="0" collapsed="false">
      <c r="A1713" s="652" t="n">
        <v>45886</v>
      </c>
      <c r="B1713" s="123" t="n">
        <v>1353</v>
      </c>
      <c r="C1713" s="124" t="s">
        <v>104</v>
      </c>
      <c r="D1713" s="124" t="s">
        <v>105</v>
      </c>
      <c r="E1713" s="653" t="n">
        <v>155.25</v>
      </c>
      <c r="G1713" s="653" t="n">
        <v>6488.5</v>
      </c>
      <c r="H1713" s="123" t="n">
        <v>0</v>
      </c>
      <c r="P1713" s="123" t="n">
        <v>1</v>
      </c>
    </row>
    <row r="1714" customFormat="false" ht="15" hidden="false" customHeight="false" outlineLevel="0" collapsed="false">
      <c r="A1714" s="652" t="n">
        <v>45886</v>
      </c>
      <c r="B1714" s="123" t="n">
        <v>1354</v>
      </c>
      <c r="C1714" s="124" t="s">
        <v>89</v>
      </c>
      <c r="D1714" s="124" t="s">
        <v>75</v>
      </c>
      <c r="E1714" s="123" t="n">
        <v>1196</v>
      </c>
      <c r="G1714" s="653" t="n">
        <v>7684.5</v>
      </c>
      <c r="H1714" s="123" t="n">
        <v>1</v>
      </c>
      <c r="K1714" s="123" t="n">
        <v>4</v>
      </c>
      <c r="O1714" s="123" t="n">
        <v>2</v>
      </c>
    </row>
    <row r="1715" customFormat="false" ht="15" hidden="false" customHeight="false" outlineLevel="0" collapsed="false">
      <c r="A1715" s="652" t="n">
        <v>45886</v>
      </c>
      <c r="B1715" s="123" t="n">
        <v>1355</v>
      </c>
      <c r="C1715" s="124" t="s">
        <v>91</v>
      </c>
      <c r="D1715" s="124" t="s">
        <v>75</v>
      </c>
      <c r="E1715" s="653" t="n">
        <v>845.25</v>
      </c>
      <c r="G1715" s="653" t="n">
        <v>8529.75</v>
      </c>
      <c r="I1715" s="123" t="n">
        <v>3</v>
      </c>
    </row>
    <row r="1716" customFormat="false" ht="15" hidden="false" customHeight="false" outlineLevel="0" collapsed="false">
      <c r="A1716" s="652" t="n">
        <v>45886</v>
      </c>
      <c r="B1716" s="124" t="s">
        <v>662</v>
      </c>
      <c r="C1716" s="124" t="s">
        <v>393</v>
      </c>
      <c r="F1716" s="123" t="n">
        <v>1098</v>
      </c>
      <c r="G1716" s="653" t="n">
        <v>7431.75</v>
      </c>
    </row>
    <row r="1717" customFormat="false" ht="15" hidden="false" customHeight="false" outlineLevel="0" collapsed="false">
      <c r="A1717" s="652" t="n">
        <v>45887</v>
      </c>
      <c r="B1717" s="124" t="s">
        <v>653</v>
      </c>
      <c r="C1717" s="124" t="s">
        <v>393</v>
      </c>
      <c r="F1717" s="123" t="n">
        <v>7431</v>
      </c>
      <c r="G1717" s="653" t="n">
        <v>0.75</v>
      </c>
    </row>
    <row r="1718" customFormat="false" ht="15" hidden="false" customHeight="false" outlineLevel="0" collapsed="false">
      <c r="A1718" s="652" t="n">
        <v>45887</v>
      </c>
      <c r="B1718" s="123" t="n">
        <v>1356</v>
      </c>
      <c r="C1718" s="124" t="s">
        <v>275</v>
      </c>
      <c r="D1718" s="124" t="s">
        <v>127</v>
      </c>
      <c r="E1718" s="653" t="n">
        <v>1466.25</v>
      </c>
      <c r="G1718" s="123" t="n">
        <v>1467</v>
      </c>
      <c r="H1718" s="653" t="n">
        <v>-0.75</v>
      </c>
      <c r="I1718" s="123" t="n">
        <v>3</v>
      </c>
      <c r="K1718" s="123" t="n">
        <v>2</v>
      </c>
      <c r="O1718" s="123" t="n">
        <v>1</v>
      </c>
    </row>
    <row r="1719" customFormat="false" ht="15" hidden="false" customHeight="false" outlineLevel="0" collapsed="false">
      <c r="A1719" s="652" t="n">
        <v>45887</v>
      </c>
      <c r="B1719" s="123" t="n">
        <v>1357</v>
      </c>
      <c r="C1719" s="124" t="s">
        <v>295</v>
      </c>
      <c r="D1719" s="124" t="s">
        <v>286</v>
      </c>
      <c r="E1719" s="653" t="n">
        <v>822.25</v>
      </c>
      <c r="G1719" s="653" t="n">
        <v>2289.25</v>
      </c>
      <c r="L1719" s="123" t="n">
        <v>3</v>
      </c>
    </row>
    <row r="1720" customFormat="false" ht="15" hidden="false" customHeight="false" outlineLevel="0" collapsed="false">
      <c r="A1720" s="652" t="n">
        <v>45887</v>
      </c>
      <c r="B1720" s="124" t="s">
        <v>470</v>
      </c>
      <c r="C1720" s="124" t="s">
        <v>393</v>
      </c>
      <c r="F1720" s="653" t="n">
        <v>2288.75</v>
      </c>
      <c r="G1720" s="653" t="n">
        <v>0.5</v>
      </c>
    </row>
    <row r="1721" customFormat="false" ht="15" hidden="false" customHeight="false" outlineLevel="0" collapsed="false">
      <c r="A1721" s="652" t="n">
        <v>45888</v>
      </c>
      <c r="B1721" s="123" t="n">
        <v>1358</v>
      </c>
      <c r="C1721" s="124" t="s">
        <v>275</v>
      </c>
      <c r="D1721" s="124" t="s">
        <v>127</v>
      </c>
      <c r="E1721" s="123" t="n">
        <v>805</v>
      </c>
      <c r="G1721" s="653" t="n">
        <v>805.5</v>
      </c>
      <c r="H1721" s="123" t="n">
        <v>0</v>
      </c>
      <c r="J1721" s="123" t="n">
        <v>1</v>
      </c>
      <c r="K1721" s="123" t="n">
        <v>1</v>
      </c>
      <c r="M1721" s="123" t="n">
        <v>1</v>
      </c>
      <c r="P1721" s="123" t="n">
        <v>1</v>
      </c>
    </row>
    <row r="1722" customFormat="false" ht="15" hidden="false" customHeight="false" outlineLevel="0" collapsed="false">
      <c r="A1722" s="652" t="n">
        <v>45888</v>
      </c>
      <c r="B1722" s="123" t="n">
        <v>1359</v>
      </c>
      <c r="C1722" s="124" t="s">
        <v>289</v>
      </c>
      <c r="D1722" s="124" t="s">
        <v>286</v>
      </c>
      <c r="E1722" s="653" t="n">
        <v>1086.75</v>
      </c>
      <c r="G1722" s="653" t="n">
        <v>1892.25</v>
      </c>
      <c r="I1722" s="123" t="n">
        <v>3</v>
      </c>
      <c r="O1722" s="123" t="n">
        <v>1</v>
      </c>
    </row>
    <row r="1723" customFormat="false" ht="15" hidden="false" customHeight="false" outlineLevel="0" collapsed="false">
      <c r="A1723" s="652" t="n">
        <v>45888</v>
      </c>
      <c r="B1723" s="123" t="n">
        <v>1360</v>
      </c>
      <c r="C1723" s="124" t="s">
        <v>290</v>
      </c>
      <c r="D1723" s="124" t="s">
        <v>286</v>
      </c>
      <c r="E1723" s="653" t="n">
        <v>845.25</v>
      </c>
      <c r="G1723" s="653" t="n">
        <v>2737.5</v>
      </c>
      <c r="H1723" s="123" t="n">
        <v>0</v>
      </c>
      <c r="I1723" s="123" t="n">
        <v>3</v>
      </c>
    </row>
    <row r="1724" customFormat="false" ht="15" hidden="false" customHeight="false" outlineLevel="0" collapsed="false">
      <c r="A1724" s="652" t="n">
        <v>45888</v>
      </c>
      <c r="B1724" s="123" t="n">
        <v>1363</v>
      </c>
      <c r="C1724" s="124" t="s">
        <v>309</v>
      </c>
      <c r="D1724" s="124" t="s">
        <v>301</v>
      </c>
      <c r="E1724" s="653" t="n">
        <v>488.75</v>
      </c>
      <c r="G1724" s="653" t="n">
        <v>3226.25</v>
      </c>
      <c r="O1724" s="123" t="n">
        <v>1</v>
      </c>
      <c r="P1724" s="123" t="n">
        <v>2</v>
      </c>
    </row>
    <row r="1725" customFormat="false" ht="15" hidden="false" customHeight="false" outlineLevel="0" collapsed="false">
      <c r="A1725" s="652" t="n">
        <v>45888</v>
      </c>
      <c r="B1725" s="123" t="n">
        <v>1362</v>
      </c>
      <c r="C1725" s="124" t="s">
        <v>312</v>
      </c>
      <c r="D1725" s="124" t="s">
        <v>301</v>
      </c>
      <c r="E1725" s="653" t="n">
        <v>845.25</v>
      </c>
      <c r="G1725" s="653" t="n">
        <v>4071.5</v>
      </c>
      <c r="I1725" s="123" t="n">
        <v>3</v>
      </c>
    </row>
    <row r="1726" customFormat="false" ht="15" hidden="false" customHeight="false" outlineLevel="0" collapsed="false">
      <c r="A1726" s="652" t="n">
        <v>45888</v>
      </c>
      <c r="B1726" s="123" t="n">
        <v>1364</v>
      </c>
      <c r="C1726" s="124" t="s">
        <v>308</v>
      </c>
      <c r="D1726" s="124" t="s">
        <v>301</v>
      </c>
      <c r="E1726" s="653" t="n">
        <v>845.25</v>
      </c>
      <c r="G1726" s="653" t="n">
        <v>4916.75</v>
      </c>
      <c r="H1726" s="653" t="n">
        <v>0.25</v>
      </c>
      <c r="I1726" s="123" t="n">
        <v>3</v>
      </c>
    </row>
    <row r="1727" customFormat="false" ht="15" hidden="false" customHeight="false" outlineLevel="0" collapsed="false">
      <c r="A1727" s="652" t="n">
        <v>45888</v>
      </c>
      <c r="B1727" s="123" t="n">
        <v>1365</v>
      </c>
      <c r="C1727" s="124" t="s">
        <v>300</v>
      </c>
      <c r="D1727" s="124" t="s">
        <v>301</v>
      </c>
      <c r="E1727" s="653" t="n">
        <v>155.25</v>
      </c>
      <c r="G1727" s="123" t="n">
        <v>5072</v>
      </c>
      <c r="P1727" s="123" t="n">
        <v>1</v>
      </c>
    </row>
    <row r="1728" customFormat="false" ht="15" hidden="false" customHeight="false" outlineLevel="0" collapsed="false">
      <c r="A1728" s="652" t="n">
        <v>45888</v>
      </c>
      <c r="B1728" s="123" t="n">
        <v>1366</v>
      </c>
      <c r="C1728" s="124" t="s">
        <v>316</v>
      </c>
      <c r="D1728" s="124" t="s">
        <v>301</v>
      </c>
      <c r="E1728" s="123" t="n">
        <v>1035</v>
      </c>
      <c r="G1728" s="123" t="n">
        <v>6107</v>
      </c>
      <c r="O1728" s="123" t="n">
        <v>3</v>
      </c>
      <c r="P1728" s="123" t="n">
        <v>4</v>
      </c>
    </row>
    <row r="1729" customFormat="false" ht="15" hidden="false" customHeight="false" outlineLevel="0" collapsed="false">
      <c r="A1729" s="652" t="n">
        <v>45888</v>
      </c>
      <c r="B1729" s="123" t="n">
        <v>1367</v>
      </c>
      <c r="C1729" s="124" t="s">
        <v>316</v>
      </c>
      <c r="D1729" s="124" t="s">
        <v>301</v>
      </c>
      <c r="E1729" s="653" t="n">
        <v>845.25</v>
      </c>
      <c r="G1729" s="653" t="n">
        <v>6952.25</v>
      </c>
      <c r="H1729" s="653" t="n">
        <v>0.25</v>
      </c>
      <c r="I1729" s="123" t="n">
        <v>3</v>
      </c>
    </row>
    <row r="1730" customFormat="false" ht="15" hidden="false" customHeight="false" outlineLevel="0" collapsed="false">
      <c r="A1730" s="652" t="n">
        <v>45889</v>
      </c>
      <c r="B1730" s="123" t="n">
        <v>1368</v>
      </c>
      <c r="C1730" s="124" t="s">
        <v>182</v>
      </c>
      <c r="D1730" s="124" t="s">
        <v>127</v>
      </c>
      <c r="E1730" s="653" t="n">
        <v>2679.5</v>
      </c>
      <c r="G1730" s="653" t="n">
        <v>9631.75</v>
      </c>
      <c r="H1730" s="653" t="n">
        <v>-0.5</v>
      </c>
      <c r="I1730" s="123" t="n">
        <v>6</v>
      </c>
      <c r="K1730" s="123" t="n">
        <v>4</v>
      </c>
    </row>
    <row r="1731" customFormat="false" ht="15" hidden="false" customHeight="false" outlineLevel="0" collapsed="false">
      <c r="A1731" s="652" t="n">
        <v>45889</v>
      </c>
      <c r="B1731" s="124" t="s">
        <v>470</v>
      </c>
      <c r="C1731" s="124" t="s">
        <v>393</v>
      </c>
      <c r="F1731" s="123" t="n">
        <v>7049</v>
      </c>
      <c r="G1731" s="653" t="n">
        <v>2582.75</v>
      </c>
    </row>
    <row r="1732" customFormat="false" ht="15" hidden="false" customHeight="false" outlineLevel="0" collapsed="false">
      <c r="A1732" s="652" t="n">
        <v>45890</v>
      </c>
      <c r="B1732" s="124" t="s">
        <v>653</v>
      </c>
      <c r="C1732" s="124" t="s">
        <v>393</v>
      </c>
      <c r="F1732" s="123" t="n">
        <v>2582</v>
      </c>
      <c r="G1732" s="653" t="n">
        <v>0.75</v>
      </c>
    </row>
    <row r="1733" customFormat="false" ht="15" hidden="false" customHeight="false" outlineLevel="0" collapsed="false">
      <c r="A1733" s="652" t="n">
        <v>45890</v>
      </c>
      <c r="B1733" s="123" t="n">
        <v>1369</v>
      </c>
      <c r="C1733" s="124" t="s">
        <v>259</v>
      </c>
      <c r="D1733" s="124" t="s">
        <v>127</v>
      </c>
      <c r="E1733" s="653" t="n">
        <v>845.25</v>
      </c>
      <c r="G1733" s="123" t="n">
        <v>846</v>
      </c>
      <c r="H1733" s="653" t="n">
        <v>0.25</v>
      </c>
      <c r="I1733" s="123" t="n">
        <v>3</v>
      </c>
    </row>
    <row r="1734" customFormat="false" ht="15" hidden="false" customHeight="false" outlineLevel="0" collapsed="false">
      <c r="A1734" s="652" t="n">
        <v>45890</v>
      </c>
      <c r="B1734" s="123" t="n">
        <v>1370</v>
      </c>
      <c r="C1734" s="124" t="s">
        <v>178</v>
      </c>
      <c r="D1734" s="124" t="s">
        <v>127</v>
      </c>
      <c r="E1734" s="653" t="n">
        <v>845.25</v>
      </c>
      <c r="G1734" s="653" t="n">
        <v>1691.25</v>
      </c>
      <c r="H1734" s="653" t="n">
        <v>0.25</v>
      </c>
      <c r="I1734" s="123" t="n">
        <v>3</v>
      </c>
    </row>
    <row r="1735" customFormat="false" ht="15" hidden="false" customHeight="false" outlineLevel="0" collapsed="false">
      <c r="A1735" s="652" t="n">
        <v>45890</v>
      </c>
      <c r="B1735" s="124" t="s">
        <v>470</v>
      </c>
      <c r="C1735" s="124" t="s">
        <v>393</v>
      </c>
      <c r="E1735" s="653" t="n">
        <v>-0.25</v>
      </c>
      <c r="F1735" s="123" t="n">
        <v>1691</v>
      </c>
      <c r="G1735" s="123" t="n">
        <v>0</v>
      </c>
    </row>
    <row r="1736" customFormat="false" ht="15" hidden="false" customHeight="false" outlineLevel="0" collapsed="false">
      <c r="A1736" s="652" t="n">
        <v>45893</v>
      </c>
      <c r="B1736" s="124" t="s">
        <v>470</v>
      </c>
      <c r="C1736" s="124" t="s">
        <v>393</v>
      </c>
      <c r="E1736" s="653" t="n">
        <v>-0.25</v>
      </c>
      <c r="F1736" s="123" t="n">
        <v>1236</v>
      </c>
      <c r="G1736" s="653" t="n">
        <v>-1236.25</v>
      </c>
    </row>
    <row r="1737" customFormat="false" ht="15" hidden="false" customHeight="false" outlineLevel="0" collapsed="false">
      <c r="A1737" s="652" t="n">
        <v>45893</v>
      </c>
      <c r="B1737" s="123" t="n">
        <v>1371</v>
      </c>
      <c r="C1737" s="124" t="s">
        <v>264</v>
      </c>
      <c r="D1737" s="124" t="s">
        <v>127</v>
      </c>
      <c r="E1737" s="653" t="n">
        <v>1236.25</v>
      </c>
      <c r="G1737" s="123" t="n">
        <v>0</v>
      </c>
      <c r="H1737" s="653" t="n">
        <v>0.25</v>
      </c>
      <c r="I1737" s="123" t="n">
        <v>3</v>
      </c>
      <c r="K1737" s="123" t="n">
        <v>1</v>
      </c>
      <c r="O1737" s="123" t="n">
        <v>1</v>
      </c>
    </row>
    <row r="1738" customFormat="false" ht="15" hidden="false" customHeight="false" outlineLevel="0" collapsed="false">
      <c r="A1738" s="652" t="n">
        <v>45894</v>
      </c>
      <c r="B1738" s="123" t="n">
        <v>1372</v>
      </c>
      <c r="C1738" s="124" t="s">
        <v>96</v>
      </c>
      <c r="D1738" s="124" t="s">
        <v>75</v>
      </c>
      <c r="E1738" s="123" t="n">
        <v>345</v>
      </c>
      <c r="G1738" s="123" t="n">
        <v>345</v>
      </c>
      <c r="K1738" s="123" t="n">
        <v>1</v>
      </c>
    </row>
    <row r="1739" customFormat="false" ht="15" hidden="false" customHeight="false" outlineLevel="0" collapsed="false">
      <c r="A1739" s="652" t="n">
        <v>45894</v>
      </c>
      <c r="B1739" s="123" t="n">
        <v>1373</v>
      </c>
      <c r="C1739" s="124" t="s">
        <v>95</v>
      </c>
      <c r="D1739" s="124" t="s">
        <v>75</v>
      </c>
      <c r="E1739" s="653" t="n">
        <v>1086.75</v>
      </c>
      <c r="G1739" s="653" t="n">
        <v>1431.75</v>
      </c>
      <c r="H1739" s="653" t="n">
        <v>0.75</v>
      </c>
      <c r="I1739" s="123" t="n">
        <v>3</v>
      </c>
      <c r="O1739" s="123" t="n">
        <v>1</v>
      </c>
    </row>
    <row r="1740" customFormat="false" ht="15" hidden="false" customHeight="false" outlineLevel="0" collapsed="false">
      <c r="A1740" s="652" t="n">
        <v>45894</v>
      </c>
      <c r="B1740" s="123" t="n">
        <v>1374</v>
      </c>
      <c r="C1740" s="124" t="s">
        <v>101</v>
      </c>
      <c r="D1740" s="124" t="s">
        <v>75</v>
      </c>
      <c r="E1740" s="653" t="n">
        <v>155.25</v>
      </c>
      <c r="G1740" s="123" t="n">
        <v>1587</v>
      </c>
      <c r="H1740" s="653" t="n">
        <v>0.25</v>
      </c>
      <c r="P1740" s="123" t="n">
        <v>1</v>
      </c>
    </row>
    <row r="1741" customFormat="false" ht="15" hidden="false" customHeight="false" outlineLevel="0" collapsed="false">
      <c r="A1741" s="652" t="n">
        <v>45894</v>
      </c>
      <c r="B1741" s="123" t="n">
        <v>1375</v>
      </c>
      <c r="C1741" s="124" t="s">
        <v>107</v>
      </c>
      <c r="D1741" s="124" t="s">
        <v>105</v>
      </c>
      <c r="E1741" s="653" t="n">
        <v>1351.25</v>
      </c>
      <c r="G1741" s="653" t="n">
        <v>2938.25</v>
      </c>
      <c r="H1741" s="653" t="n">
        <v>1.25</v>
      </c>
      <c r="I1741" s="123" t="n">
        <v>3</v>
      </c>
      <c r="P1741" s="123" t="n">
        <v>3</v>
      </c>
    </row>
    <row r="1742" customFormat="false" ht="15" hidden="false" customHeight="false" outlineLevel="0" collapsed="false">
      <c r="A1742" s="652" t="n">
        <v>45894</v>
      </c>
      <c r="B1742" s="123" t="n">
        <v>1376</v>
      </c>
      <c r="C1742" s="124" t="s">
        <v>108</v>
      </c>
      <c r="D1742" s="124" t="s">
        <v>105</v>
      </c>
      <c r="E1742" s="653" t="n">
        <v>1690.5</v>
      </c>
      <c r="G1742" s="653" t="n">
        <v>4628.75</v>
      </c>
      <c r="H1742" s="653" t="n">
        <v>0.5</v>
      </c>
      <c r="I1742" s="123" t="n">
        <v>6</v>
      </c>
    </row>
    <row r="1743" customFormat="false" ht="15" hidden="false" customHeight="false" outlineLevel="0" collapsed="false">
      <c r="A1743" s="652" t="n">
        <v>45894</v>
      </c>
      <c r="B1743" s="123" t="n">
        <v>1377</v>
      </c>
      <c r="C1743" s="124" t="s">
        <v>115</v>
      </c>
      <c r="D1743" s="124" t="s">
        <v>105</v>
      </c>
      <c r="E1743" s="653" t="n">
        <v>1121.25</v>
      </c>
      <c r="G1743" s="123" t="n">
        <v>5750</v>
      </c>
      <c r="H1743" s="123" t="n">
        <v>0</v>
      </c>
      <c r="I1743" s="123" t="n">
        <v>3</v>
      </c>
      <c r="O1743" s="123" t="n">
        <v>2</v>
      </c>
    </row>
    <row r="1744" customFormat="false" ht="15" hidden="false" customHeight="false" outlineLevel="0" collapsed="false">
      <c r="A1744" s="652" t="n">
        <v>45894</v>
      </c>
      <c r="B1744" s="123" t="n">
        <v>1378</v>
      </c>
      <c r="C1744" s="124" t="s">
        <v>109</v>
      </c>
      <c r="D1744" s="124" t="s">
        <v>105</v>
      </c>
      <c r="E1744" s="653" t="n">
        <v>1799.75</v>
      </c>
      <c r="G1744" s="653" t="n">
        <v>7549.75</v>
      </c>
      <c r="H1744" s="653" t="n">
        <v>-0.25</v>
      </c>
      <c r="I1744" s="123" t="n">
        <v>3</v>
      </c>
      <c r="K1744" s="123" t="n">
        <v>1</v>
      </c>
      <c r="O1744" s="123" t="n">
        <v>3</v>
      </c>
      <c r="P1744" s="123" t="n">
        <v>2</v>
      </c>
    </row>
    <row r="1745" customFormat="false" ht="15" hidden="false" customHeight="false" outlineLevel="0" collapsed="false">
      <c r="A1745" s="652" t="n">
        <v>45894</v>
      </c>
      <c r="B1745" s="123" t="n">
        <v>1379</v>
      </c>
      <c r="C1745" s="124" t="s">
        <v>110</v>
      </c>
      <c r="D1745" s="124" t="s">
        <v>105</v>
      </c>
      <c r="E1745" s="123" t="n">
        <v>3381</v>
      </c>
      <c r="G1745" s="653" t="n">
        <v>10930.75</v>
      </c>
      <c r="I1745" s="123" t="n">
        <v>12</v>
      </c>
    </row>
    <row r="1746" customFormat="false" ht="15" hidden="false" customHeight="false" outlineLevel="0" collapsed="false">
      <c r="A1746" s="652" t="n">
        <v>45894</v>
      </c>
      <c r="B1746" s="123" t="n">
        <v>1380</v>
      </c>
      <c r="C1746" s="124" t="s">
        <v>113</v>
      </c>
      <c r="D1746" s="124" t="s">
        <v>105</v>
      </c>
      <c r="E1746" s="653" t="n">
        <v>845.25</v>
      </c>
      <c r="G1746" s="123" t="n">
        <v>11776</v>
      </c>
      <c r="H1746" s="123" t="n">
        <v>0</v>
      </c>
      <c r="I1746" s="123" t="n">
        <v>3</v>
      </c>
    </row>
    <row r="1747" customFormat="false" ht="15" hidden="false" customHeight="false" outlineLevel="0" collapsed="false">
      <c r="A1747" s="652" t="n">
        <v>45894</v>
      </c>
      <c r="B1747" s="124" t="s">
        <v>470</v>
      </c>
      <c r="C1747" s="124" t="s">
        <v>393</v>
      </c>
      <c r="F1747" s="653" t="n">
        <v>1845.25</v>
      </c>
      <c r="G1747" s="653" t="n">
        <v>9930.75</v>
      </c>
    </row>
    <row r="1748" customFormat="false" ht="15" hidden="false" customHeight="false" outlineLevel="0" collapsed="false">
      <c r="A1748" s="652" t="n">
        <v>45895</v>
      </c>
      <c r="B1748" s="124" t="s">
        <v>653</v>
      </c>
      <c r="C1748" s="124" t="s">
        <v>393</v>
      </c>
      <c r="F1748" s="123" t="n">
        <v>9930</v>
      </c>
      <c r="G1748" s="653" t="n">
        <v>0.75</v>
      </c>
    </row>
    <row r="1749" customFormat="false" ht="15" hidden="false" customHeight="false" outlineLevel="0" collapsed="false">
      <c r="A1749" s="652" t="n">
        <v>45895</v>
      </c>
      <c r="B1749" s="123" t="n">
        <v>1381</v>
      </c>
      <c r="C1749" s="124" t="s">
        <v>263</v>
      </c>
      <c r="D1749" s="124" t="s">
        <v>127</v>
      </c>
      <c r="E1749" s="653" t="n">
        <v>845.25</v>
      </c>
      <c r="G1749" s="123" t="n">
        <v>846</v>
      </c>
      <c r="H1749" s="653" t="n">
        <v>0.25</v>
      </c>
      <c r="I1749" s="123" t="n">
        <v>3</v>
      </c>
    </row>
    <row r="1750" customFormat="false" ht="15" hidden="false" customHeight="false" outlineLevel="0" collapsed="false">
      <c r="A1750" s="652" t="n">
        <v>45895</v>
      </c>
      <c r="B1750" s="123" t="n">
        <v>1383</v>
      </c>
      <c r="C1750" s="124" t="s">
        <v>227</v>
      </c>
      <c r="D1750" s="124" t="s">
        <v>127</v>
      </c>
      <c r="E1750" s="123" t="n">
        <v>391</v>
      </c>
      <c r="G1750" s="123" t="n">
        <v>1237</v>
      </c>
      <c r="H1750" s="123" t="n">
        <v>0</v>
      </c>
      <c r="O1750" s="123" t="n">
        <v>2</v>
      </c>
    </row>
    <row r="1751" customFormat="false" ht="15" hidden="false" customHeight="false" outlineLevel="0" collapsed="false">
      <c r="A1751" s="652" t="n">
        <v>45895</v>
      </c>
      <c r="B1751" s="124" t="s">
        <v>653</v>
      </c>
      <c r="C1751" s="124" t="s">
        <v>393</v>
      </c>
      <c r="F1751" s="123" t="n">
        <v>1237</v>
      </c>
      <c r="G1751" s="123" t="n">
        <v>0</v>
      </c>
    </row>
    <row r="1752" customFormat="false" ht="15" hidden="false" customHeight="false" outlineLevel="0" collapsed="false">
      <c r="A1752" s="652" t="n">
        <v>45896</v>
      </c>
      <c r="B1752" s="123" t="n">
        <v>1383</v>
      </c>
      <c r="C1752" s="124" t="s">
        <v>242</v>
      </c>
      <c r="D1752" s="124" t="s">
        <v>127</v>
      </c>
      <c r="E1752" s="123" t="n">
        <v>138</v>
      </c>
      <c r="G1752" s="123" t="n">
        <v>138</v>
      </c>
      <c r="O1752" s="123" t="n">
        <v>1</v>
      </c>
    </row>
    <row r="1753" customFormat="false" ht="15" hidden="false" customHeight="false" outlineLevel="0" collapsed="false">
      <c r="A1753" s="652" t="n">
        <v>45896</v>
      </c>
      <c r="B1753" s="123" t="n">
        <v>1384</v>
      </c>
      <c r="C1753" s="124" t="s">
        <v>664</v>
      </c>
      <c r="E1753" s="653" t="n">
        <v>845.25</v>
      </c>
      <c r="G1753" s="653" t="n">
        <v>983.25</v>
      </c>
      <c r="H1753" s="123" t="n">
        <v>0</v>
      </c>
      <c r="I1753" s="123" t="n">
        <v>3</v>
      </c>
    </row>
    <row r="1754" customFormat="false" ht="15" hidden="false" customHeight="false" outlineLevel="0" collapsed="false">
      <c r="A1754" s="652" t="n">
        <v>45896</v>
      </c>
      <c r="B1754" s="123" t="n">
        <v>1385</v>
      </c>
      <c r="C1754" s="124" t="s">
        <v>169</v>
      </c>
      <c r="D1754" s="124" t="s">
        <v>127</v>
      </c>
      <c r="E1754" s="653" t="n">
        <v>1098.25</v>
      </c>
      <c r="G1754" s="653" t="n">
        <v>2081.5</v>
      </c>
      <c r="I1754" s="123" t="n">
        <v>3</v>
      </c>
      <c r="K1754" s="123" t="n">
        <v>1</v>
      </c>
    </row>
    <row r="1755" customFormat="false" ht="15" hidden="false" customHeight="false" outlineLevel="0" collapsed="false">
      <c r="A1755" s="652" t="n">
        <v>45896</v>
      </c>
      <c r="B1755" s="123" t="n">
        <v>1386</v>
      </c>
      <c r="C1755" s="124" t="s">
        <v>196</v>
      </c>
      <c r="D1755" s="124" t="s">
        <v>127</v>
      </c>
      <c r="E1755" s="123" t="n">
        <v>299</v>
      </c>
      <c r="G1755" s="653" t="n">
        <v>2380.5</v>
      </c>
      <c r="H1755" s="123" t="n">
        <v>-1</v>
      </c>
      <c r="P1755" s="123" t="n">
        <v>1</v>
      </c>
    </row>
    <row r="1756" customFormat="false" ht="15" hidden="false" customHeight="false" outlineLevel="0" collapsed="false">
      <c r="A1756" s="652" t="n">
        <v>45896</v>
      </c>
      <c r="B1756" s="124" t="s">
        <v>662</v>
      </c>
      <c r="C1756" s="124" t="s">
        <v>393</v>
      </c>
      <c r="F1756" s="123" t="n">
        <v>1098</v>
      </c>
      <c r="G1756" s="653" t="n">
        <v>1282.5</v>
      </c>
    </row>
    <row r="1757" customFormat="false" ht="15" hidden="false" customHeight="false" outlineLevel="0" collapsed="false">
      <c r="A1757" s="652" t="n">
        <v>45896</v>
      </c>
      <c r="B1757" s="124" t="s">
        <v>470</v>
      </c>
      <c r="C1757" s="124" t="s">
        <v>393</v>
      </c>
      <c r="F1757" s="653" t="n">
        <v>1282.5</v>
      </c>
      <c r="G1757" s="123" t="n">
        <v>0</v>
      </c>
    </row>
    <row r="1758" customFormat="false" ht="15" hidden="false" customHeight="false" outlineLevel="0" collapsed="false">
      <c r="A1758" s="652" t="n">
        <v>45897</v>
      </c>
      <c r="B1758" s="123" t="n">
        <v>1387</v>
      </c>
      <c r="C1758" s="124" t="s">
        <v>178</v>
      </c>
      <c r="D1758" s="124" t="s">
        <v>127</v>
      </c>
      <c r="E1758" s="653" t="n">
        <v>1161.5</v>
      </c>
      <c r="G1758" s="653" t="n">
        <v>1161.5</v>
      </c>
      <c r="H1758" s="123" t="n">
        <v>0</v>
      </c>
      <c r="I1758" s="123" t="n">
        <v>3</v>
      </c>
      <c r="J1758" s="123" t="n">
        <v>1</v>
      </c>
      <c r="O1758" s="123" t="n">
        <v>1</v>
      </c>
    </row>
    <row r="1759" customFormat="false" ht="15" hidden="false" customHeight="false" outlineLevel="0" collapsed="false">
      <c r="A1759" s="652" t="n">
        <v>45897</v>
      </c>
      <c r="B1759" s="123" t="n">
        <v>1391</v>
      </c>
      <c r="C1759" s="124" t="s">
        <v>177</v>
      </c>
      <c r="D1759" s="124" t="s">
        <v>127</v>
      </c>
      <c r="E1759" s="653" t="n">
        <v>845.25</v>
      </c>
      <c r="G1759" s="653" t="n">
        <v>2006.75</v>
      </c>
      <c r="H1759" s="123" t="n">
        <v>0</v>
      </c>
      <c r="I1759" s="123" t="n">
        <v>3</v>
      </c>
    </row>
    <row r="1760" customFormat="false" ht="15" hidden="false" customHeight="false" outlineLevel="0" collapsed="false">
      <c r="A1760" s="652" t="n">
        <v>45897</v>
      </c>
      <c r="B1760" s="123" t="n">
        <v>1389</v>
      </c>
      <c r="C1760" s="124" t="s">
        <v>204</v>
      </c>
      <c r="D1760" s="124" t="s">
        <v>127</v>
      </c>
      <c r="E1760" s="653" t="n">
        <v>1000.5</v>
      </c>
      <c r="G1760" s="653" t="n">
        <v>3007.25</v>
      </c>
      <c r="H1760" s="653" t="n">
        <v>0.5</v>
      </c>
      <c r="I1760" s="123" t="n">
        <v>3</v>
      </c>
      <c r="P1760" s="123" t="n">
        <v>1</v>
      </c>
    </row>
    <row r="1761" customFormat="false" ht="15" hidden="false" customHeight="false" outlineLevel="0" collapsed="false">
      <c r="A1761" s="652" t="n">
        <v>45897</v>
      </c>
      <c r="B1761" s="123" t="n">
        <v>1388</v>
      </c>
      <c r="C1761" s="124" t="s">
        <v>226</v>
      </c>
      <c r="D1761" s="124" t="s">
        <v>127</v>
      </c>
      <c r="E1761" s="123" t="n">
        <v>1748</v>
      </c>
      <c r="G1761" s="653" t="n">
        <v>4755.25</v>
      </c>
      <c r="H1761" s="123" t="n">
        <v>-2</v>
      </c>
      <c r="L1761" s="123" t="n">
        <v>6</v>
      </c>
    </row>
    <row r="1762" customFormat="false" ht="15" hidden="false" customHeight="false" outlineLevel="0" collapsed="false">
      <c r="A1762" s="652" t="n">
        <v>45897</v>
      </c>
      <c r="B1762" s="123" t="n">
        <v>1390</v>
      </c>
      <c r="C1762" s="124" t="s">
        <v>244</v>
      </c>
      <c r="D1762" s="124" t="s">
        <v>127</v>
      </c>
      <c r="E1762" s="653" t="n">
        <v>3927.25</v>
      </c>
      <c r="G1762" s="653" t="n">
        <v>8682.5</v>
      </c>
      <c r="H1762" s="653" t="n">
        <v>0.25</v>
      </c>
      <c r="I1762" s="123" t="n">
        <v>3</v>
      </c>
      <c r="K1762" s="123" t="n">
        <v>10</v>
      </c>
      <c r="O1762" s="123" t="n">
        <v>1</v>
      </c>
      <c r="P1762" s="123" t="n">
        <v>2</v>
      </c>
    </row>
    <row r="1763" customFormat="false" ht="15" hidden="false" customHeight="false" outlineLevel="0" collapsed="false">
      <c r="A1763" s="652" t="n">
        <v>45899</v>
      </c>
      <c r="B1763" s="123" t="n">
        <v>1392</v>
      </c>
      <c r="C1763" s="124" t="s">
        <v>298</v>
      </c>
      <c r="D1763" s="124" t="s">
        <v>286</v>
      </c>
      <c r="E1763" s="653" t="n">
        <v>822.25</v>
      </c>
      <c r="G1763" s="653" t="n">
        <v>9504.75</v>
      </c>
      <c r="H1763" s="653" t="n">
        <v>0.25</v>
      </c>
      <c r="I1763" s="123" t="n">
        <v>1</v>
      </c>
      <c r="L1763" s="123" t="n">
        <v>2</v>
      </c>
    </row>
    <row r="1764" customFormat="false" ht="15" hidden="false" customHeight="false" outlineLevel="0" collapsed="false">
      <c r="A1764" s="652" t="n">
        <v>45899</v>
      </c>
      <c r="B1764" s="123" t="n">
        <v>1393</v>
      </c>
      <c r="C1764" s="124" t="s">
        <v>295</v>
      </c>
      <c r="D1764" s="124" t="s">
        <v>286</v>
      </c>
      <c r="E1764" s="123" t="n">
        <v>483</v>
      </c>
      <c r="G1764" s="653" t="n">
        <v>9987.75</v>
      </c>
      <c r="H1764" s="123" t="n">
        <v>0</v>
      </c>
      <c r="I1764" s="123" t="n">
        <v>1</v>
      </c>
      <c r="L1764" s="123" t="n">
        <v>1</v>
      </c>
      <c r="M1764" s="123" t="n">
        <v>2</v>
      </c>
    </row>
    <row r="1765" customFormat="false" ht="15" hidden="false" customHeight="false" outlineLevel="0" collapsed="false">
      <c r="A1765" s="652" t="n">
        <v>45899</v>
      </c>
      <c r="B1765" s="123" t="n">
        <v>1394</v>
      </c>
      <c r="C1765" s="124" t="s">
        <v>290</v>
      </c>
      <c r="D1765" s="124" t="s">
        <v>286</v>
      </c>
      <c r="E1765" s="653" t="n">
        <v>241.5</v>
      </c>
      <c r="G1765" s="653" t="n">
        <v>10229.25</v>
      </c>
      <c r="H1765" s="653" t="n">
        <v>-0.25</v>
      </c>
      <c r="O1765" s="123" t="n">
        <v>1</v>
      </c>
    </row>
    <row r="1766" customFormat="false" ht="15" hidden="false" customHeight="false" outlineLevel="0" collapsed="false">
      <c r="A1766" s="652" t="n">
        <v>45899</v>
      </c>
      <c r="B1766" s="123" t="n">
        <v>1395</v>
      </c>
      <c r="C1766" s="124" t="s">
        <v>293</v>
      </c>
      <c r="D1766" s="124" t="s">
        <v>286</v>
      </c>
      <c r="E1766" s="653" t="n">
        <v>1328.25</v>
      </c>
      <c r="G1766" s="653" t="n">
        <v>11557.5</v>
      </c>
      <c r="I1766" s="123" t="n">
        <v>3</v>
      </c>
      <c r="M1766" s="123" t="n">
        <v>2</v>
      </c>
    </row>
    <row r="1767" customFormat="false" ht="15" hidden="false" customHeight="false" outlineLevel="0" collapsed="false">
      <c r="A1767" s="652" t="n">
        <v>45899</v>
      </c>
      <c r="B1767" s="123" t="n">
        <v>1396</v>
      </c>
      <c r="C1767" s="124" t="s">
        <v>293</v>
      </c>
      <c r="D1767" s="124" t="s">
        <v>286</v>
      </c>
      <c r="E1767" s="653" t="n">
        <v>155.25</v>
      </c>
      <c r="G1767" s="653" t="n">
        <v>11712.75</v>
      </c>
      <c r="P1767" s="123" t="n">
        <v>1</v>
      </c>
    </row>
    <row r="1768" customFormat="false" ht="15" hidden="false" customHeight="false" outlineLevel="0" collapsed="false">
      <c r="A1768" s="652" t="n">
        <v>45899</v>
      </c>
      <c r="B1768" s="123" t="n">
        <v>1397</v>
      </c>
      <c r="C1768" s="124" t="s">
        <v>310</v>
      </c>
      <c r="D1768" s="124" t="s">
        <v>301</v>
      </c>
      <c r="E1768" s="653" t="n">
        <v>1178.75</v>
      </c>
      <c r="G1768" s="653" t="n">
        <v>12891.5</v>
      </c>
      <c r="H1768" s="123" t="n">
        <v>0</v>
      </c>
      <c r="K1768" s="123" t="n">
        <v>5</v>
      </c>
    </row>
    <row r="1769" customFormat="false" ht="15" hidden="false" customHeight="false" outlineLevel="0" collapsed="false">
      <c r="A1769" s="652" t="n">
        <v>45899</v>
      </c>
      <c r="B1769" s="123" t="n">
        <v>1398</v>
      </c>
      <c r="C1769" s="124" t="s">
        <v>315</v>
      </c>
      <c r="D1769" s="124" t="s">
        <v>301</v>
      </c>
      <c r="E1769" s="653" t="n">
        <v>845.25</v>
      </c>
      <c r="G1769" s="653" t="n">
        <v>13736.75</v>
      </c>
      <c r="I1769" s="123" t="n">
        <v>3</v>
      </c>
    </row>
    <row r="1770" customFormat="false" ht="15" hidden="false" customHeight="false" outlineLevel="0" collapsed="false">
      <c r="A1770" s="652" t="n">
        <v>45899</v>
      </c>
      <c r="B1770" s="123" t="n">
        <v>1399</v>
      </c>
      <c r="C1770" s="124" t="s">
        <v>298</v>
      </c>
      <c r="D1770" s="124" t="s">
        <v>286</v>
      </c>
      <c r="E1770" s="123" t="n">
        <v>230</v>
      </c>
      <c r="G1770" s="653" t="n">
        <v>13966.75</v>
      </c>
      <c r="H1770" s="123" t="n">
        <v>0</v>
      </c>
      <c r="K1770" s="123" t="n">
        <v>1</v>
      </c>
    </row>
    <row r="1771" customFormat="false" ht="15" hidden="false" customHeight="false" outlineLevel="0" collapsed="false">
      <c r="A1771" s="652" t="n">
        <v>45899</v>
      </c>
      <c r="B1771" s="123" t="n">
        <v>1400</v>
      </c>
      <c r="C1771" s="124" t="s">
        <v>130</v>
      </c>
      <c r="D1771" s="124" t="s">
        <v>127</v>
      </c>
      <c r="E1771" s="653" t="n">
        <v>845.25</v>
      </c>
      <c r="G1771" s="123" t="n">
        <v>14812</v>
      </c>
      <c r="H1771" s="653" t="n">
        <v>0.25</v>
      </c>
      <c r="I1771" s="123" t="n">
        <v>3</v>
      </c>
    </row>
    <row r="1772" customFormat="false" ht="15" hidden="false" customHeight="false" outlineLevel="0" collapsed="false">
      <c r="A1772" s="652" t="n">
        <v>45899</v>
      </c>
      <c r="B1772" s="123" t="n">
        <v>1401</v>
      </c>
      <c r="C1772" s="124" t="s">
        <v>275</v>
      </c>
      <c r="D1772" s="124" t="s">
        <v>127</v>
      </c>
      <c r="E1772" s="653" t="n">
        <v>983.25</v>
      </c>
      <c r="G1772" s="653" t="n">
        <v>15795.25</v>
      </c>
      <c r="H1772" s="123" t="n">
        <v>0</v>
      </c>
      <c r="I1772" s="123" t="n">
        <v>1</v>
      </c>
      <c r="O1772" s="123" t="n">
        <v>1</v>
      </c>
    </row>
    <row r="1773" customFormat="false" ht="15" hidden="false" customHeight="false" outlineLevel="0" collapsed="false">
      <c r="A1773" s="652" t="n">
        <v>45899</v>
      </c>
      <c r="B1773" s="123" t="n">
        <v>1402</v>
      </c>
      <c r="C1773" s="124" t="s">
        <v>159</v>
      </c>
      <c r="D1773" s="124" t="s">
        <v>127</v>
      </c>
      <c r="E1773" s="123" t="n">
        <v>2576</v>
      </c>
      <c r="G1773" s="653" t="n">
        <v>18371.25</v>
      </c>
      <c r="H1773" s="123" t="n">
        <v>0</v>
      </c>
      <c r="I1773" s="123" t="n">
        <v>3</v>
      </c>
      <c r="K1773" s="123" t="n">
        <v>3</v>
      </c>
      <c r="O1773" s="123" t="n">
        <v>1</v>
      </c>
      <c r="P1773" s="123" t="n">
        <v>3</v>
      </c>
    </row>
    <row r="1774" customFormat="false" ht="15" hidden="false" customHeight="false" outlineLevel="0" collapsed="false">
      <c r="A1774" s="652" t="n">
        <v>45899</v>
      </c>
      <c r="B1774" s="123" t="n">
        <v>1403</v>
      </c>
      <c r="C1774" s="124" t="s">
        <v>199</v>
      </c>
      <c r="D1774" s="124" t="s">
        <v>127</v>
      </c>
      <c r="E1774" s="653" t="n">
        <v>264.5</v>
      </c>
      <c r="G1774" s="653" t="n">
        <v>18635.75</v>
      </c>
      <c r="H1774" s="653" t="n">
        <v>0.5</v>
      </c>
      <c r="P1774" s="123" t="n">
        <v>1</v>
      </c>
    </row>
    <row r="1775" customFormat="false" ht="15" hidden="false" customHeight="false" outlineLevel="0" collapsed="false">
      <c r="A1775" s="652" t="n">
        <v>45899</v>
      </c>
      <c r="B1775" s="124" t="s">
        <v>662</v>
      </c>
      <c r="C1775" s="124" t="s">
        <v>393</v>
      </c>
      <c r="F1775" s="123" t="n">
        <v>1976</v>
      </c>
      <c r="G1775" s="653" t="n">
        <v>16659.75</v>
      </c>
    </row>
    <row r="1776" customFormat="false" ht="15" hidden="false" customHeight="false" outlineLevel="0" collapsed="false">
      <c r="A1776" s="652" t="n">
        <v>45900</v>
      </c>
      <c r="B1776" s="124" t="s">
        <v>470</v>
      </c>
      <c r="C1776" s="124" t="s">
        <v>393</v>
      </c>
      <c r="F1776" s="653" t="n">
        <v>16659.25</v>
      </c>
      <c r="G1776" s="653" t="n">
        <v>0.5</v>
      </c>
    </row>
    <row r="1777" customFormat="false" ht="15" hidden="false" customHeight="false" outlineLevel="0" collapsed="false">
      <c r="A1777" s="652" t="n">
        <v>45902</v>
      </c>
      <c r="B1777" s="123" t="n">
        <v>1404</v>
      </c>
      <c r="C1777" s="124" t="s">
        <v>238</v>
      </c>
      <c r="D1777" s="124" t="s">
        <v>127</v>
      </c>
      <c r="E1777" s="653" t="n">
        <v>845.25</v>
      </c>
      <c r="G1777" s="653" t="n">
        <v>845.75</v>
      </c>
      <c r="H1777" s="653" t="n">
        <v>0.25</v>
      </c>
      <c r="I1777" s="123" t="n">
        <v>3</v>
      </c>
    </row>
    <row r="1778" customFormat="false" ht="15" hidden="false" customHeight="false" outlineLevel="0" collapsed="false">
      <c r="A1778" s="652" t="n">
        <v>45902</v>
      </c>
      <c r="B1778" s="123" t="n">
        <v>1405</v>
      </c>
      <c r="C1778" s="124" t="s">
        <v>137</v>
      </c>
      <c r="D1778" s="124" t="s">
        <v>127</v>
      </c>
      <c r="E1778" s="653" t="n">
        <v>103.5</v>
      </c>
      <c r="G1778" s="653" t="n">
        <v>949.25</v>
      </c>
      <c r="P1778" s="123" t="n">
        <v>2</v>
      </c>
    </row>
    <row r="1779" customFormat="false" ht="15" hidden="false" customHeight="false" outlineLevel="0" collapsed="false">
      <c r="A1779" s="652" t="n">
        <v>45902</v>
      </c>
      <c r="B1779" s="123" t="n">
        <v>1406</v>
      </c>
      <c r="C1779" s="124" t="s">
        <v>183</v>
      </c>
      <c r="D1779" s="124" t="s">
        <v>127</v>
      </c>
      <c r="E1779" s="123" t="n">
        <v>575</v>
      </c>
      <c r="G1779" s="653" t="n">
        <v>1524.25</v>
      </c>
      <c r="K1779" s="123" t="n">
        <v>2</v>
      </c>
    </row>
    <row r="1780" customFormat="false" ht="15" hidden="false" customHeight="false" outlineLevel="0" collapsed="false">
      <c r="A1780" s="652" t="n">
        <v>45902</v>
      </c>
      <c r="B1780" s="124" t="s">
        <v>470</v>
      </c>
      <c r="C1780" s="124" t="s">
        <v>393</v>
      </c>
      <c r="F1780" s="123" t="n">
        <v>1799</v>
      </c>
      <c r="G1780" s="653" t="n">
        <v>-274.75</v>
      </c>
    </row>
    <row r="1781" customFormat="false" ht="15" hidden="false" customHeight="false" outlineLevel="0" collapsed="false">
      <c r="A1781" s="652" t="n">
        <v>45903</v>
      </c>
      <c r="B1781" s="123" t="n">
        <v>1407</v>
      </c>
      <c r="C1781" s="124" t="s">
        <v>95</v>
      </c>
      <c r="D1781" s="124" t="s">
        <v>75</v>
      </c>
      <c r="E1781" s="123" t="n">
        <v>3450</v>
      </c>
      <c r="G1781" s="653" t="n">
        <v>3175.25</v>
      </c>
      <c r="K1781" s="123" t="n">
        <v>10</v>
      </c>
    </row>
    <row r="1782" customFormat="false" ht="15" hidden="false" customHeight="false" outlineLevel="0" collapsed="false">
      <c r="A1782" s="652" t="n">
        <v>45903</v>
      </c>
      <c r="B1782" s="123" t="n">
        <v>1408</v>
      </c>
      <c r="C1782" s="124" t="s">
        <v>97</v>
      </c>
      <c r="D1782" s="124" t="s">
        <v>75</v>
      </c>
      <c r="E1782" s="123" t="n">
        <v>230</v>
      </c>
      <c r="G1782" s="653" t="n">
        <v>3405.25</v>
      </c>
      <c r="H1782" s="123" t="n">
        <v>0</v>
      </c>
      <c r="K1782" s="123" t="n">
        <v>1</v>
      </c>
    </row>
    <row r="1783" customFormat="false" ht="15" hidden="false" customHeight="false" outlineLevel="0" collapsed="false">
      <c r="A1783" s="652" t="n">
        <v>45903</v>
      </c>
      <c r="B1783" s="124" t="s">
        <v>653</v>
      </c>
      <c r="C1783" s="124" t="s">
        <v>393</v>
      </c>
      <c r="E1783" s="653" t="n">
        <v>-0.25</v>
      </c>
      <c r="F1783" s="123" t="n">
        <v>3405</v>
      </c>
      <c r="G1783" s="123" t="n">
        <v>0</v>
      </c>
    </row>
    <row r="1784" customFormat="false" ht="15" hidden="false" customHeight="false" outlineLevel="0" collapsed="false">
      <c r="A1784" s="652" t="n">
        <v>45904</v>
      </c>
      <c r="B1784" s="123" t="n">
        <v>1409</v>
      </c>
      <c r="C1784" s="124" t="s">
        <v>184</v>
      </c>
      <c r="D1784" s="124" t="s">
        <v>127</v>
      </c>
      <c r="E1784" s="653" t="n">
        <v>1000.5</v>
      </c>
      <c r="G1784" s="653" t="n">
        <v>1000.5</v>
      </c>
      <c r="H1784" s="653" t="n">
        <v>0.5</v>
      </c>
      <c r="I1784" s="123" t="n">
        <v>3</v>
      </c>
      <c r="P1784" s="123" t="n">
        <v>1</v>
      </c>
    </row>
    <row r="1785" customFormat="false" ht="15" hidden="false" customHeight="false" outlineLevel="0" collapsed="false">
      <c r="A1785" s="652" t="n">
        <v>45904</v>
      </c>
      <c r="B1785" s="123" t="n">
        <v>1410</v>
      </c>
      <c r="C1785" s="124" t="s">
        <v>132</v>
      </c>
      <c r="D1785" s="124" t="s">
        <v>127</v>
      </c>
      <c r="E1785" s="123" t="n">
        <v>253</v>
      </c>
      <c r="G1785" s="653" t="n">
        <v>1253.5</v>
      </c>
      <c r="H1785" s="123" t="n">
        <v>0</v>
      </c>
      <c r="K1785" s="123" t="n">
        <v>1</v>
      </c>
    </row>
    <row r="1786" customFormat="false" ht="15" hidden="false" customHeight="false" outlineLevel="0" collapsed="false">
      <c r="A1786" s="652" t="n">
        <v>45904</v>
      </c>
      <c r="B1786" s="123" t="n">
        <v>1411</v>
      </c>
      <c r="C1786" s="124" t="s">
        <v>141</v>
      </c>
      <c r="D1786" s="124" t="s">
        <v>127</v>
      </c>
      <c r="E1786" s="123" t="n">
        <v>851</v>
      </c>
      <c r="G1786" s="653" t="n">
        <v>2104.5</v>
      </c>
      <c r="K1786" s="123" t="n">
        <v>3</v>
      </c>
    </row>
    <row r="1787" customFormat="false" ht="15" hidden="false" customHeight="false" outlineLevel="0" collapsed="false">
      <c r="A1787" s="652" t="n">
        <v>45907</v>
      </c>
      <c r="B1787" s="123" t="n">
        <v>1412</v>
      </c>
      <c r="C1787" s="124" t="s">
        <v>165</v>
      </c>
      <c r="D1787" s="124" t="s">
        <v>127</v>
      </c>
      <c r="E1787" s="653" t="n">
        <v>1328.25</v>
      </c>
      <c r="G1787" s="653" t="n">
        <v>3432.75</v>
      </c>
      <c r="I1787" s="123" t="n">
        <v>3</v>
      </c>
      <c r="K1787" s="123" t="n">
        <v>1</v>
      </c>
      <c r="O1787" s="123" t="n">
        <v>1</v>
      </c>
    </row>
    <row r="1788" customFormat="false" ht="15" hidden="false" customHeight="false" outlineLevel="0" collapsed="false">
      <c r="A1788" s="652" t="n">
        <v>45907</v>
      </c>
      <c r="B1788" s="123" t="n">
        <v>1413</v>
      </c>
      <c r="C1788" s="124" t="s">
        <v>136</v>
      </c>
      <c r="D1788" s="124" t="s">
        <v>127</v>
      </c>
      <c r="E1788" s="123" t="n">
        <v>529</v>
      </c>
      <c r="G1788" s="653" t="n">
        <v>3961.75</v>
      </c>
      <c r="H1788" s="123" t="n">
        <v>0</v>
      </c>
      <c r="K1788" s="123" t="n">
        <v>1</v>
      </c>
      <c r="O1788" s="123" t="n">
        <v>2</v>
      </c>
    </row>
    <row r="1789" customFormat="false" ht="15" hidden="false" customHeight="false" outlineLevel="0" collapsed="false">
      <c r="A1789" s="652" t="n">
        <v>45907</v>
      </c>
      <c r="B1789" s="123" t="n">
        <v>1415</v>
      </c>
      <c r="C1789" s="124" t="s">
        <v>131</v>
      </c>
      <c r="D1789" s="124" t="s">
        <v>127</v>
      </c>
      <c r="E1789" s="123" t="n">
        <v>506</v>
      </c>
      <c r="G1789" s="653" t="n">
        <v>4467.75</v>
      </c>
      <c r="H1789" s="123" t="n">
        <v>0</v>
      </c>
      <c r="K1789" s="123" t="n">
        <v>2</v>
      </c>
    </row>
    <row r="1790" customFormat="false" ht="15" hidden="false" customHeight="false" outlineLevel="0" collapsed="false">
      <c r="A1790" s="652" t="n">
        <v>45907</v>
      </c>
      <c r="B1790" s="123" t="n">
        <v>1414</v>
      </c>
      <c r="C1790" s="124" t="s">
        <v>238</v>
      </c>
      <c r="D1790" s="124" t="s">
        <v>127</v>
      </c>
      <c r="E1790" s="123" t="n">
        <v>230</v>
      </c>
      <c r="G1790" s="653" t="n">
        <v>4697.75</v>
      </c>
      <c r="H1790" s="123" t="n">
        <v>0</v>
      </c>
      <c r="K1790" s="123" t="n">
        <v>1</v>
      </c>
    </row>
    <row r="1791" customFormat="false" ht="15" hidden="false" customHeight="false" outlineLevel="0" collapsed="false">
      <c r="A1791" s="652" t="n">
        <v>45907</v>
      </c>
      <c r="B1791" s="124" t="s">
        <v>470</v>
      </c>
      <c r="C1791" s="124" t="s">
        <v>393</v>
      </c>
      <c r="F1791" s="123" t="n">
        <v>4697</v>
      </c>
      <c r="G1791" s="653" t="n">
        <v>0.75</v>
      </c>
    </row>
    <row r="1792" customFormat="false" ht="15" hidden="false" customHeight="false" outlineLevel="0" collapsed="false">
      <c r="A1792" s="652" t="n">
        <v>45908</v>
      </c>
      <c r="B1792" s="123" t="n">
        <v>1416</v>
      </c>
      <c r="C1792" s="124" t="s">
        <v>290</v>
      </c>
      <c r="D1792" s="124" t="s">
        <v>286</v>
      </c>
      <c r="E1792" s="653" t="n">
        <v>845.25</v>
      </c>
      <c r="G1792" s="123" t="n">
        <v>846</v>
      </c>
      <c r="H1792" s="123" t="n">
        <v>0</v>
      </c>
      <c r="I1792" s="123" t="n">
        <v>3</v>
      </c>
    </row>
    <row r="1793" customFormat="false" ht="15" hidden="false" customHeight="false" outlineLevel="0" collapsed="false">
      <c r="A1793" s="652" t="n">
        <v>45908</v>
      </c>
      <c r="B1793" s="123" t="n">
        <v>1417</v>
      </c>
      <c r="C1793" s="124" t="s">
        <v>295</v>
      </c>
      <c r="D1793" s="124" t="s">
        <v>286</v>
      </c>
      <c r="E1793" s="653" t="n">
        <v>241.5</v>
      </c>
      <c r="G1793" s="653" t="n">
        <v>1087.5</v>
      </c>
      <c r="M1793" s="123" t="n">
        <v>1</v>
      </c>
    </row>
    <row r="1794" customFormat="false" ht="15" hidden="false" customHeight="false" outlineLevel="0" collapsed="false">
      <c r="A1794" s="652" t="n">
        <v>45908</v>
      </c>
      <c r="B1794" s="123" t="n">
        <v>1418</v>
      </c>
      <c r="C1794" s="124" t="s">
        <v>295</v>
      </c>
      <c r="D1794" s="124" t="s">
        <v>286</v>
      </c>
      <c r="E1794" s="653" t="n">
        <v>195.5</v>
      </c>
      <c r="G1794" s="123" t="n">
        <v>1283</v>
      </c>
      <c r="O1794" s="123" t="n">
        <v>1</v>
      </c>
    </row>
    <row r="1795" customFormat="false" ht="15" hidden="false" customHeight="false" outlineLevel="0" collapsed="false">
      <c r="A1795" s="652" t="n">
        <v>45908</v>
      </c>
      <c r="B1795" s="123" t="n">
        <v>1419</v>
      </c>
      <c r="C1795" s="124" t="s">
        <v>295</v>
      </c>
      <c r="D1795" s="124" t="s">
        <v>286</v>
      </c>
      <c r="E1795" s="653" t="n">
        <v>178.25</v>
      </c>
      <c r="G1795" s="653" t="n">
        <v>1461.25</v>
      </c>
      <c r="H1795" s="123" t="n">
        <v>0</v>
      </c>
      <c r="J1795" s="123" t="n">
        <v>1</v>
      </c>
    </row>
    <row r="1796" customFormat="false" ht="15" hidden="false" customHeight="false" outlineLevel="0" collapsed="false">
      <c r="A1796" s="652" t="n">
        <v>45908</v>
      </c>
      <c r="B1796" s="123" t="n">
        <v>1421</v>
      </c>
      <c r="C1796" s="124" t="s">
        <v>298</v>
      </c>
      <c r="D1796" s="124" t="s">
        <v>286</v>
      </c>
      <c r="E1796" s="653" t="n">
        <v>1822.75</v>
      </c>
      <c r="G1796" s="123" t="n">
        <v>3284</v>
      </c>
      <c r="H1796" s="123" t="n">
        <v>0</v>
      </c>
      <c r="I1796" s="123" t="n">
        <v>3</v>
      </c>
      <c r="L1796" s="123" t="n">
        <v>3</v>
      </c>
      <c r="P1796" s="123" t="n">
        <v>1</v>
      </c>
    </row>
    <row r="1797" customFormat="false" ht="15" hidden="false" customHeight="false" outlineLevel="0" collapsed="false">
      <c r="A1797" s="652" t="n">
        <v>45908</v>
      </c>
      <c r="B1797" s="123" t="n">
        <v>1420</v>
      </c>
      <c r="C1797" s="124" t="s">
        <v>296</v>
      </c>
      <c r="D1797" s="124" t="s">
        <v>286</v>
      </c>
      <c r="E1797" s="123" t="n">
        <v>1104</v>
      </c>
      <c r="G1797" s="123" t="n">
        <v>4388</v>
      </c>
      <c r="O1797" s="123" t="n">
        <v>2</v>
      </c>
      <c r="P1797" s="123" t="n">
        <v>4</v>
      </c>
    </row>
    <row r="1798" customFormat="false" ht="15" hidden="false" customHeight="false" outlineLevel="0" collapsed="false">
      <c r="A1798" s="652" t="n">
        <v>45908</v>
      </c>
      <c r="B1798" s="124" t="s">
        <v>470</v>
      </c>
      <c r="C1798" s="124" t="s">
        <v>393</v>
      </c>
      <c r="F1798" s="123" t="n">
        <v>2138</v>
      </c>
      <c r="G1798" s="123" t="n">
        <v>2250</v>
      </c>
    </row>
    <row r="1799" customFormat="false" ht="15" hidden="false" customHeight="false" outlineLevel="0" collapsed="false">
      <c r="A1799" s="652" t="n">
        <v>45908</v>
      </c>
      <c r="B1799" s="124" t="s">
        <v>653</v>
      </c>
      <c r="C1799" s="124" t="s">
        <v>393</v>
      </c>
      <c r="F1799" s="123" t="n">
        <v>2250</v>
      </c>
      <c r="G1799" s="123" t="n">
        <v>0</v>
      </c>
    </row>
    <row r="1800" customFormat="false" ht="15" hidden="false" customHeight="false" outlineLevel="0" collapsed="false">
      <c r="A1800" s="652" t="n">
        <v>45909</v>
      </c>
      <c r="B1800" s="123" t="n">
        <v>1422</v>
      </c>
      <c r="C1800" s="124" t="s">
        <v>226</v>
      </c>
      <c r="D1800" s="124" t="s">
        <v>127</v>
      </c>
      <c r="E1800" s="653" t="n">
        <v>310.5</v>
      </c>
      <c r="G1800" s="653" t="n">
        <v>310.5</v>
      </c>
      <c r="H1800" s="123" t="n">
        <v>0</v>
      </c>
      <c r="P1800" s="123" t="n">
        <v>2</v>
      </c>
    </row>
    <row r="1801" customFormat="false" ht="15" hidden="false" customHeight="false" outlineLevel="0" collapsed="false">
      <c r="A1801" s="652" t="n">
        <v>45909</v>
      </c>
      <c r="B1801" s="123" t="n">
        <v>1423</v>
      </c>
      <c r="C1801" s="124" t="s">
        <v>204</v>
      </c>
      <c r="D1801" s="124" t="s">
        <v>127</v>
      </c>
      <c r="E1801" s="123" t="n">
        <v>253</v>
      </c>
      <c r="G1801" s="653" t="n">
        <v>563.5</v>
      </c>
      <c r="H1801" s="123" t="n">
        <v>3</v>
      </c>
      <c r="K1801" s="123" t="n">
        <v>1</v>
      </c>
    </row>
    <row r="1802" customFormat="false" ht="15" hidden="false" customHeight="false" outlineLevel="0" collapsed="false">
      <c r="A1802" s="652" t="n">
        <v>45910</v>
      </c>
      <c r="B1802" s="124" t="s">
        <v>470</v>
      </c>
      <c r="C1802" s="124" t="s">
        <v>393</v>
      </c>
      <c r="E1802" s="653" t="n">
        <v>-0.5</v>
      </c>
      <c r="F1802" s="123" t="n">
        <v>563</v>
      </c>
      <c r="G1802" s="123" t="n">
        <v>0</v>
      </c>
    </row>
    <row r="1803" customFormat="false" ht="15" hidden="false" customHeight="false" outlineLevel="0" collapsed="false">
      <c r="A1803" s="652" t="n">
        <v>45910</v>
      </c>
      <c r="B1803" s="123" t="n">
        <v>1425</v>
      </c>
      <c r="C1803" s="124" t="s">
        <v>179</v>
      </c>
      <c r="D1803" s="124" t="s">
        <v>127</v>
      </c>
      <c r="E1803" s="653" t="n">
        <v>845.25</v>
      </c>
      <c r="G1803" s="653" t="n">
        <v>845.25</v>
      </c>
      <c r="I1803" s="123" t="n">
        <v>3</v>
      </c>
    </row>
    <row r="1804" customFormat="false" ht="15" hidden="false" customHeight="false" outlineLevel="0" collapsed="false">
      <c r="A1804" s="652" t="n">
        <v>45910</v>
      </c>
      <c r="B1804" s="123" t="n">
        <v>1424</v>
      </c>
      <c r="C1804" s="124" t="s">
        <v>276</v>
      </c>
      <c r="D1804" s="124" t="s">
        <v>127</v>
      </c>
      <c r="E1804" s="653" t="n">
        <v>1466.25</v>
      </c>
      <c r="G1804" s="653" t="n">
        <v>2311.5</v>
      </c>
      <c r="H1804" s="653" t="n">
        <v>0.25</v>
      </c>
      <c r="O1804" s="123" t="n">
        <v>5</v>
      </c>
      <c r="P1804" s="123" t="n">
        <v>5</v>
      </c>
    </row>
    <row r="1805" customFormat="false" ht="15" hidden="false" customHeight="false" outlineLevel="0" collapsed="false">
      <c r="A1805" s="652" t="n">
        <v>45910</v>
      </c>
      <c r="B1805" s="123" t="n">
        <v>1426</v>
      </c>
      <c r="C1805" s="124" t="s">
        <v>130</v>
      </c>
      <c r="D1805" s="124" t="s">
        <v>127</v>
      </c>
      <c r="E1805" s="123" t="n">
        <v>299</v>
      </c>
      <c r="G1805" s="653" t="n">
        <v>2610.5</v>
      </c>
      <c r="P1805" s="123" t="n">
        <v>1</v>
      </c>
    </row>
    <row r="1806" customFormat="false" ht="15" hidden="false" customHeight="false" outlineLevel="0" collapsed="false">
      <c r="A1806" s="652" t="n">
        <v>45910</v>
      </c>
      <c r="B1806" s="123" t="n">
        <v>1427</v>
      </c>
      <c r="C1806" s="124" t="s">
        <v>134</v>
      </c>
      <c r="D1806" s="124" t="s">
        <v>127</v>
      </c>
      <c r="E1806" s="653" t="n">
        <v>1983.75</v>
      </c>
      <c r="G1806" s="653" t="n">
        <v>4594.25</v>
      </c>
      <c r="H1806" s="123" t="n">
        <v>0</v>
      </c>
      <c r="I1806" s="123" t="n">
        <v>3</v>
      </c>
      <c r="K1806" s="123" t="n">
        <v>1</v>
      </c>
      <c r="M1806" s="123" t="n">
        <v>2</v>
      </c>
      <c r="P1806" s="123" t="n">
        <v>3</v>
      </c>
    </row>
    <row r="1807" customFormat="false" ht="15" hidden="false" customHeight="false" outlineLevel="0" collapsed="false">
      <c r="A1807" s="652" t="n">
        <v>45910</v>
      </c>
      <c r="B1807" s="124" t="s">
        <v>470</v>
      </c>
      <c r="C1807" s="124" t="s">
        <v>393</v>
      </c>
      <c r="F1807" s="123" t="n">
        <v>2366</v>
      </c>
      <c r="G1807" s="653" t="n">
        <v>2228.25</v>
      </c>
    </row>
    <row r="1808" customFormat="false" ht="15" hidden="false" customHeight="false" outlineLevel="0" collapsed="false">
      <c r="A1808" s="652" t="n">
        <v>45911</v>
      </c>
      <c r="B1808" s="124" t="s">
        <v>662</v>
      </c>
      <c r="C1808" s="124" t="s">
        <v>393</v>
      </c>
      <c r="E1808" s="653" t="n">
        <v>-0.25</v>
      </c>
      <c r="F1808" s="123" t="n">
        <v>2228</v>
      </c>
      <c r="G1808" s="123" t="n">
        <v>0</v>
      </c>
    </row>
    <row r="1809" customFormat="false" ht="15" hidden="false" customHeight="false" outlineLevel="0" collapsed="false">
      <c r="A1809" s="652" t="n">
        <v>45911</v>
      </c>
      <c r="B1809" s="123" t="n">
        <v>1428</v>
      </c>
      <c r="C1809" s="124" t="s">
        <v>260</v>
      </c>
      <c r="D1809" s="124" t="s">
        <v>127</v>
      </c>
      <c r="E1809" s="653" t="n">
        <v>845.25</v>
      </c>
      <c r="G1809" s="653" t="n">
        <v>845.25</v>
      </c>
      <c r="H1809" s="123" t="n">
        <v>0</v>
      </c>
      <c r="I1809" s="123" t="n">
        <v>3</v>
      </c>
    </row>
    <row r="1810" customFormat="false" ht="15" hidden="false" customHeight="false" outlineLevel="0" collapsed="false">
      <c r="A1810" s="652" t="n">
        <v>45911</v>
      </c>
      <c r="B1810" s="123" t="n">
        <v>1429</v>
      </c>
      <c r="C1810" s="124" t="s">
        <v>264</v>
      </c>
      <c r="D1810" s="124" t="s">
        <v>127</v>
      </c>
      <c r="E1810" s="653" t="n">
        <v>310.5</v>
      </c>
      <c r="G1810" s="653" t="n">
        <v>1155.75</v>
      </c>
      <c r="H1810" s="123" t="n">
        <v>0</v>
      </c>
      <c r="P1810" s="123" t="n">
        <v>2</v>
      </c>
    </row>
    <row r="1811" customFormat="false" ht="15" hidden="false" customHeight="false" outlineLevel="0" collapsed="false">
      <c r="A1811" s="652" t="n">
        <v>45911</v>
      </c>
      <c r="B1811" s="123" t="s">
        <v>665</v>
      </c>
      <c r="C1811" s="124" t="s">
        <v>233</v>
      </c>
      <c r="D1811" s="124" t="s">
        <v>127</v>
      </c>
      <c r="E1811" s="123" t="n">
        <v>138</v>
      </c>
      <c r="G1811" s="653" t="n">
        <v>1293.75</v>
      </c>
      <c r="H1811" s="653" t="n">
        <v>1.75</v>
      </c>
      <c r="O1811" s="123" t="n">
        <v>1</v>
      </c>
    </row>
    <row r="1812" customFormat="false" ht="15" hidden="false" customHeight="false" outlineLevel="0" collapsed="false">
      <c r="A1812" s="652" t="n">
        <v>45914</v>
      </c>
      <c r="B1812" s="123" t="n">
        <v>1431</v>
      </c>
      <c r="C1812" s="124" t="s">
        <v>77</v>
      </c>
      <c r="D1812" s="124" t="s">
        <v>75</v>
      </c>
      <c r="E1812" s="123" t="n">
        <v>138</v>
      </c>
      <c r="G1812" s="653" t="n">
        <v>1431.75</v>
      </c>
      <c r="O1812" s="123" t="n">
        <v>1</v>
      </c>
    </row>
    <row r="1813" customFormat="false" ht="15" hidden="false" customHeight="false" outlineLevel="0" collapsed="false">
      <c r="A1813" s="652" t="n">
        <v>45914</v>
      </c>
      <c r="B1813" s="123" t="n">
        <v>1432</v>
      </c>
      <c r="C1813" s="124" t="s">
        <v>95</v>
      </c>
      <c r="D1813" s="124" t="s">
        <v>75</v>
      </c>
      <c r="E1813" s="653" t="n">
        <v>1828.5</v>
      </c>
      <c r="G1813" s="653" t="n">
        <v>3260.25</v>
      </c>
      <c r="I1813" s="123" t="n">
        <v>3</v>
      </c>
      <c r="K1813" s="123" t="n">
        <v>2</v>
      </c>
      <c r="O1813" s="123" t="n">
        <v>1</v>
      </c>
      <c r="P1813" s="123" t="n">
        <v>1</v>
      </c>
    </row>
    <row r="1814" customFormat="false" ht="15" hidden="false" customHeight="false" outlineLevel="0" collapsed="false">
      <c r="A1814" s="652" t="n">
        <v>45914</v>
      </c>
      <c r="B1814" s="123" t="n">
        <v>1433</v>
      </c>
      <c r="C1814" s="124" t="s">
        <v>96</v>
      </c>
      <c r="D1814" s="124" t="s">
        <v>75</v>
      </c>
      <c r="E1814" s="653" t="n">
        <v>1075.25</v>
      </c>
      <c r="G1814" s="653" t="n">
        <v>4335.5</v>
      </c>
      <c r="I1814" s="123" t="n">
        <v>3</v>
      </c>
      <c r="K1814" s="123" t="n">
        <v>1</v>
      </c>
    </row>
    <row r="1815" customFormat="false" ht="15" hidden="false" customHeight="false" outlineLevel="0" collapsed="false">
      <c r="A1815" s="652" t="n">
        <v>45914</v>
      </c>
      <c r="B1815" s="123" t="n">
        <v>1434</v>
      </c>
      <c r="C1815" s="124" t="s">
        <v>115</v>
      </c>
      <c r="D1815" s="124" t="s">
        <v>105</v>
      </c>
      <c r="E1815" s="653" t="n">
        <v>293.25</v>
      </c>
      <c r="G1815" s="653" t="n">
        <v>4628.75</v>
      </c>
      <c r="H1815" s="653" t="n">
        <v>0.25</v>
      </c>
      <c r="O1815" s="123" t="n">
        <v>1</v>
      </c>
      <c r="P1815" s="123" t="n">
        <v>1</v>
      </c>
    </row>
    <row r="1816" customFormat="false" ht="15" hidden="false" customHeight="false" outlineLevel="0" collapsed="false">
      <c r="A1816" s="652" t="n">
        <v>45914</v>
      </c>
      <c r="B1816" s="123" t="n">
        <v>1435</v>
      </c>
      <c r="C1816" s="124" t="s">
        <v>104</v>
      </c>
      <c r="D1816" s="124" t="s">
        <v>105</v>
      </c>
      <c r="E1816" s="123" t="n">
        <v>230</v>
      </c>
      <c r="G1816" s="653" t="n">
        <v>4858.75</v>
      </c>
      <c r="K1816" s="123" t="n">
        <v>1</v>
      </c>
    </row>
    <row r="1817" customFormat="false" ht="15" hidden="false" customHeight="false" outlineLevel="0" collapsed="false">
      <c r="A1817" s="652" t="n">
        <v>45914</v>
      </c>
      <c r="B1817" s="123" t="n">
        <v>1436</v>
      </c>
      <c r="C1817" s="124" t="s">
        <v>104</v>
      </c>
      <c r="D1817" s="124" t="s">
        <v>105</v>
      </c>
      <c r="E1817" s="123" t="n">
        <v>138</v>
      </c>
      <c r="G1817" s="653" t="n">
        <v>4996.75</v>
      </c>
      <c r="O1817" s="123" t="n">
        <v>1</v>
      </c>
    </row>
    <row r="1818" customFormat="false" ht="15" hidden="false" customHeight="false" outlineLevel="0" collapsed="false">
      <c r="A1818" s="652" t="n">
        <v>45914</v>
      </c>
      <c r="B1818" s="123" t="n">
        <v>1437</v>
      </c>
      <c r="C1818" s="124" t="s">
        <v>104</v>
      </c>
      <c r="D1818" s="124" t="s">
        <v>105</v>
      </c>
      <c r="E1818" s="653" t="n">
        <v>845.25</v>
      </c>
      <c r="G1818" s="123" t="n">
        <v>5842</v>
      </c>
      <c r="H1818" s="123" t="n">
        <v>0</v>
      </c>
      <c r="I1818" s="123" t="n">
        <v>3</v>
      </c>
    </row>
    <row r="1819" customFormat="false" ht="15" hidden="false" customHeight="false" outlineLevel="0" collapsed="false">
      <c r="A1819" s="652" t="n">
        <v>45914</v>
      </c>
      <c r="B1819" s="124" t="s">
        <v>662</v>
      </c>
      <c r="C1819" s="124" t="s">
        <v>393</v>
      </c>
      <c r="F1819" s="653" t="n">
        <v>1828.5</v>
      </c>
      <c r="G1819" s="653" t="n">
        <v>4013.5</v>
      </c>
    </row>
    <row r="1820" customFormat="false" ht="15" hidden="false" customHeight="false" outlineLevel="0" collapsed="false">
      <c r="A1820" s="652" t="n">
        <v>45915</v>
      </c>
      <c r="B1820" s="124" t="s">
        <v>470</v>
      </c>
      <c r="C1820" s="124" t="s">
        <v>393</v>
      </c>
      <c r="F1820" s="653" t="n">
        <v>2138.75</v>
      </c>
      <c r="G1820" s="653" t="n">
        <v>1874.75</v>
      </c>
    </row>
    <row r="1821" customFormat="false" ht="15" hidden="false" customHeight="false" outlineLevel="0" collapsed="false">
      <c r="A1821" s="652" t="n">
        <v>45915</v>
      </c>
      <c r="B1821" s="124" t="s">
        <v>653</v>
      </c>
      <c r="C1821" s="124" t="s">
        <v>393</v>
      </c>
      <c r="F1821" s="123" t="n">
        <v>1874</v>
      </c>
      <c r="G1821" s="653" t="n">
        <v>0.75</v>
      </c>
    </row>
    <row r="1822" customFormat="false" ht="15" hidden="false" customHeight="false" outlineLevel="0" collapsed="false">
      <c r="A1822" s="652" t="n">
        <v>45915</v>
      </c>
      <c r="B1822" s="123" t="n">
        <v>1438</v>
      </c>
      <c r="C1822" s="124" t="s">
        <v>241</v>
      </c>
      <c r="D1822" s="124" t="s">
        <v>127</v>
      </c>
      <c r="E1822" s="653" t="n">
        <v>293.25</v>
      </c>
      <c r="G1822" s="123" t="n">
        <v>294</v>
      </c>
      <c r="H1822" s="653" t="n">
        <v>0.25</v>
      </c>
      <c r="O1822" s="123" t="n">
        <v>1</v>
      </c>
      <c r="P1822" s="123" t="n">
        <v>1</v>
      </c>
    </row>
    <row r="1823" customFormat="false" ht="15" hidden="false" customHeight="false" outlineLevel="0" collapsed="false">
      <c r="A1823" s="652" t="n">
        <v>45915</v>
      </c>
      <c r="B1823" s="123" t="n">
        <v>1439</v>
      </c>
      <c r="C1823" s="124" t="s">
        <v>145</v>
      </c>
      <c r="D1823" s="124" t="s">
        <v>127</v>
      </c>
      <c r="E1823" s="653" t="n">
        <v>822.25</v>
      </c>
      <c r="G1823" s="653" t="n">
        <v>1116.25</v>
      </c>
      <c r="H1823" s="123" t="n">
        <v>0</v>
      </c>
      <c r="L1823" s="123" t="n">
        <v>3</v>
      </c>
    </row>
    <row r="1824" customFormat="false" ht="15" hidden="false" customHeight="false" outlineLevel="0" collapsed="false">
      <c r="A1824" s="652" t="n">
        <v>45915</v>
      </c>
      <c r="B1824" s="123" t="n">
        <v>1441</v>
      </c>
      <c r="C1824" s="124" t="s">
        <v>141</v>
      </c>
      <c r="D1824" s="124" t="s">
        <v>127</v>
      </c>
      <c r="E1824" s="123" t="n">
        <v>1518</v>
      </c>
      <c r="G1824" s="653" t="n">
        <v>2634.25</v>
      </c>
      <c r="H1824" s="123" t="n">
        <v>0</v>
      </c>
      <c r="K1824" s="123" t="n">
        <v>6</v>
      </c>
    </row>
    <row r="1825" customFormat="false" ht="15" hidden="false" customHeight="false" outlineLevel="0" collapsed="false">
      <c r="A1825" s="652" t="n">
        <v>45915</v>
      </c>
      <c r="B1825" s="123" t="n">
        <v>1440</v>
      </c>
      <c r="C1825" s="124" t="s">
        <v>234</v>
      </c>
      <c r="D1825" s="124" t="s">
        <v>127</v>
      </c>
      <c r="E1825" s="653" t="n">
        <v>310.5</v>
      </c>
      <c r="G1825" s="653" t="n">
        <v>2944.75</v>
      </c>
      <c r="P1825" s="123" t="n">
        <v>2</v>
      </c>
    </row>
    <row r="1826" customFormat="false" ht="15" hidden="false" customHeight="false" outlineLevel="0" collapsed="false">
      <c r="A1826" s="652" t="n">
        <v>45915</v>
      </c>
      <c r="B1826" s="124" t="s">
        <v>470</v>
      </c>
      <c r="C1826" s="124" t="s">
        <v>393</v>
      </c>
      <c r="E1826" s="653" t="n">
        <v>-0.25</v>
      </c>
      <c r="F1826" s="653" t="n">
        <v>2944.5</v>
      </c>
      <c r="G1826" s="123" t="n">
        <v>0</v>
      </c>
    </row>
    <row r="1827" customFormat="false" ht="15" hidden="false" customHeight="false" outlineLevel="0" collapsed="false">
      <c r="A1827" s="652" t="n">
        <v>45915</v>
      </c>
      <c r="B1827" s="123" t="n">
        <v>1442</v>
      </c>
      <c r="C1827" s="124" t="s">
        <v>131</v>
      </c>
      <c r="D1827" s="124" t="s">
        <v>127</v>
      </c>
      <c r="E1827" s="653" t="n">
        <v>2892.25</v>
      </c>
      <c r="G1827" s="653" t="n">
        <v>2892.25</v>
      </c>
      <c r="H1827" s="653" t="n">
        <v>0.25</v>
      </c>
      <c r="J1827" s="123" t="n">
        <v>2</v>
      </c>
      <c r="K1827" s="123" t="n">
        <v>5</v>
      </c>
      <c r="O1827" s="123" t="n">
        <v>2</v>
      </c>
      <c r="P1827" s="123" t="n">
        <v>4</v>
      </c>
    </row>
    <row r="1828" customFormat="false" ht="15" hidden="false" customHeight="false" outlineLevel="0" collapsed="false">
      <c r="A1828" s="652" t="n">
        <v>45917</v>
      </c>
      <c r="B1828" s="124" t="s">
        <v>662</v>
      </c>
      <c r="C1828" s="124" t="s">
        <v>393</v>
      </c>
      <c r="F1828" s="123" t="n">
        <v>1690</v>
      </c>
      <c r="G1828" s="653" t="n">
        <v>1202.25</v>
      </c>
    </row>
    <row r="1829" customFormat="false" ht="15" hidden="false" customHeight="false" outlineLevel="0" collapsed="false">
      <c r="A1829" s="652" t="n">
        <v>45917</v>
      </c>
      <c r="B1829" s="124" t="s">
        <v>470</v>
      </c>
      <c r="C1829" s="124" t="s">
        <v>393</v>
      </c>
      <c r="F1829" s="123" t="n">
        <v>450</v>
      </c>
      <c r="G1829" s="653" t="n">
        <v>752.25</v>
      </c>
    </row>
    <row r="1830" customFormat="false" ht="15" hidden="false" customHeight="false" outlineLevel="0" collapsed="false">
      <c r="A1830" s="652" t="n">
        <v>45917</v>
      </c>
      <c r="B1830" s="124" t="s">
        <v>653</v>
      </c>
      <c r="C1830" s="124" t="s">
        <v>393</v>
      </c>
      <c r="E1830" s="653" t="n">
        <v>-0.25</v>
      </c>
      <c r="F1830" s="123" t="n">
        <v>752</v>
      </c>
      <c r="G1830" s="123" t="n">
        <v>0</v>
      </c>
    </row>
    <row r="1831" customFormat="false" ht="15" hidden="false" customHeight="false" outlineLevel="0" collapsed="false">
      <c r="A1831" s="652" t="n">
        <v>45917</v>
      </c>
      <c r="B1831" s="123" t="n">
        <v>1443</v>
      </c>
      <c r="C1831" s="124" t="s">
        <v>144</v>
      </c>
      <c r="D1831" s="124" t="s">
        <v>127</v>
      </c>
      <c r="E1831" s="653" t="n">
        <v>143.75</v>
      </c>
      <c r="G1831" s="653" t="n">
        <v>143.75</v>
      </c>
      <c r="H1831" s="653" t="n">
        <v>0.75</v>
      </c>
      <c r="N1831" s="123" t="n">
        <v>1</v>
      </c>
    </row>
    <row r="1832" customFormat="false" ht="15" hidden="false" customHeight="false" outlineLevel="0" collapsed="false">
      <c r="A1832" s="652" t="n">
        <v>45917</v>
      </c>
      <c r="B1832" s="123" t="n">
        <v>1444</v>
      </c>
      <c r="C1832" s="124" t="s">
        <v>183</v>
      </c>
      <c r="D1832" s="124" t="s">
        <v>127</v>
      </c>
      <c r="E1832" s="123" t="n">
        <v>253</v>
      </c>
      <c r="G1832" s="653" t="n">
        <v>396.75</v>
      </c>
      <c r="K1832" s="123" t="n">
        <v>1</v>
      </c>
    </row>
    <row r="1833" customFormat="false" ht="15" hidden="false" customHeight="false" outlineLevel="0" collapsed="false">
      <c r="A1833" s="652" t="n">
        <v>45917</v>
      </c>
      <c r="B1833" s="123" t="n">
        <v>1445</v>
      </c>
      <c r="C1833" s="124" t="s">
        <v>183</v>
      </c>
      <c r="D1833" s="124" t="s">
        <v>127</v>
      </c>
      <c r="E1833" s="653" t="n">
        <v>264.5</v>
      </c>
      <c r="G1833" s="653" t="n">
        <v>661.25</v>
      </c>
      <c r="P1833" s="123" t="n">
        <v>1</v>
      </c>
    </row>
    <row r="1834" customFormat="false" ht="15" hidden="false" customHeight="false" outlineLevel="0" collapsed="false">
      <c r="A1834" s="652" t="n">
        <v>45917</v>
      </c>
      <c r="B1834" s="123" t="n">
        <v>1446</v>
      </c>
      <c r="C1834" s="124" t="s">
        <v>263</v>
      </c>
      <c r="D1834" s="124" t="s">
        <v>127</v>
      </c>
      <c r="E1834" s="653" t="n">
        <v>845.25</v>
      </c>
      <c r="G1834" s="653" t="n">
        <v>1506.5</v>
      </c>
      <c r="I1834" s="123" t="n">
        <v>3</v>
      </c>
    </row>
    <row r="1835" customFormat="false" ht="15" hidden="false" customHeight="false" outlineLevel="0" collapsed="false">
      <c r="A1835" s="652" t="n">
        <v>45917</v>
      </c>
      <c r="B1835" s="123" t="n">
        <v>1447</v>
      </c>
      <c r="C1835" s="124" t="s">
        <v>260</v>
      </c>
      <c r="D1835" s="124" t="s">
        <v>127</v>
      </c>
      <c r="E1835" s="653" t="n">
        <v>845.25</v>
      </c>
      <c r="G1835" s="653" t="n">
        <v>2351.75</v>
      </c>
      <c r="H1835" s="123" t="n">
        <v>0</v>
      </c>
      <c r="I1835" s="123" t="n">
        <v>3</v>
      </c>
    </row>
    <row r="1836" customFormat="false" ht="15" hidden="false" customHeight="false" outlineLevel="0" collapsed="false">
      <c r="A1836" s="652" t="n">
        <v>45917</v>
      </c>
      <c r="B1836" s="123" t="n">
        <v>1448</v>
      </c>
      <c r="C1836" s="124" t="s">
        <v>264</v>
      </c>
      <c r="D1836" s="124" t="s">
        <v>127</v>
      </c>
      <c r="E1836" s="653" t="n">
        <v>845.25</v>
      </c>
      <c r="G1836" s="123" t="n">
        <v>3197</v>
      </c>
      <c r="H1836" s="123" t="n">
        <v>0</v>
      </c>
      <c r="I1836" s="123" t="n">
        <v>3</v>
      </c>
    </row>
    <row r="1837" customFormat="false" ht="15" hidden="false" customHeight="false" outlineLevel="0" collapsed="false">
      <c r="A1837" s="652" t="n">
        <v>45917</v>
      </c>
      <c r="B1837" s="123" t="n">
        <v>1449</v>
      </c>
      <c r="C1837" s="124" t="s">
        <v>141</v>
      </c>
      <c r="D1837" s="124" t="s">
        <v>127</v>
      </c>
      <c r="E1837" s="653" t="n">
        <v>1500.75</v>
      </c>
      <c r="G1837" s="653" t="n">
        <v>4697.75</v>
      </c>
      <c r="H1837" s="653" t="n">
        <v>0.75</v>
      </c>
      <c r="K1837" s="123" t="n">
        <v>6</v>
      </c>
    </row>
    <row r="1838" customFormat="false" ht="15" hidden="false" customHeight="false" outlineLevel="0" collapsed="false">
      <c r="A1838" s="652" t="n">
        <v>45917</v>
      </c>
      <c r="B1838" s="124" t="s">
        <v>470</v>
      </c>
      <c r="C1838" s="124" t="s">
        <v>393</v>
      </c>
      <c r="F1838" s="123" t="n">
        <v>4697</v>
      </c>
      <c r="G1838" s="653" t="n">
        <v>0.75</v>
      </c>
    </row>
    <row r="1839" customFormat="false" ht="15" hidden="false" customHeight="false" outlineLevel="0" collapsed="false">
      <c r="A1839" s="652" t="n">
        <v>45918</v>
      </c>
      <c r="B1839" s="123" t="n">
        <v>1450</v>
      </c>
      <c r="C1839" s="124" t="s">
        <v>131</v>
      </c>
      <c r="D1839" s="124" t="s">
        <v>127</v>
      </c>
      <c r="E1839" s="123" t="n">
        <v>299</v>
      </c>
      <c r="G1839" s="653" t="n">
        <v>299.75</v>
      </c>
      <c r="P1839" s="123" t="n">
        <v>1</v>
      </c>
    </row>
    <row r="1840" customFormat="false" ht="15" hidden="false" customHeight="false" outlineLevel="0" collapsed="false">
      <c r="A1840" s="652" t="n">
        <v>45918</v>
      </c>
      <c r="B1840" s="123" t="n">
        <v>1451</v>
      </c>
      <c r="C1840" s="124" t="s">
        <v>141</v>
      </c>
      <c r="D1840" s="124" t="s">
        <v>127</v>
      </c>
      <c r="E1840" s="123" t="n">
        <v>345</v>
      </c>
      <c r="G1840" s="653" t="n">
        <v>644.75</v>
      </c>
      <c r="H1840" s="123" t="n">
        <v>0</v>
      </c>
      <c r="K1840" s="123" t="n">
        <v>1</v>
      </c>
    </row>
    <row r="1841" customFormat="false" ht="15" hidden="false" customHeight="false" outlineLevel="0" collapsed="false">
      <c r="A1841" s="652" t="n">
        <v>45918</v>
      </c>
      <c r="B1841" s="123" t="n">
        <v>1452</v>
      </c>
      <c r="C1841" s="124" t="s">
        <v>229</v>
      </c>
      <c r="D1841" s="124" t="s">
        <v>127</v>
      </c>
      <c r="E1841" s="653" t="n">
        <v>1121.25</v>
      </c>
      <c r="G1841" s="123" t="n">
        <v>1766</v>
      </c>
      <c r="H1841" s="653" t="n">
        <v>1.25</v>
      </c>
      <c r="I1841" s="123" t="n">
        <v>3</v>
      </c>
      <c r="O1841" s="123" t="n">
        <v>2</v>
      </c>
    </row>
    <row r="1842" customFormat="false" ht="15" hidden="false" customHeight="false" outlineLevel="0" collapsed="false">
      <c r="A1842" s="652" t="n">
        <v>45918</v>
      </c>
      <c r="B1842" s="123" t="n">
        <v>1453</v>
      </c>
      <c r="C1842" s="124" t="s">
        <v>296</v>
      </c>
      <c r="D1842" s="124" t="s">
        <v>286</v>
      </c>
      <c r="E1842" s="123" t="n">
        <v>1748</v>
      </c>
      <c r="G1842" s="123" t="n">
        <v>3514</v>
      </c>
      <c r="H1842" s="123" t="n">
        <v>0</v>
      </c>
      <c r="O1842" s="123" t="n">
        <v>8</v>
      </c>
    </row>
    <row r="1843" customFormat="false" ht="15" hidden="false" customHeight="false" outlineLevel="0" collapsed="false">
      <c r="A1843" s="652" t="n">
        <v>45918</v>
      </c>
      <c r="B1843" s="123" t="n">
        <v>1454</v>
      </c>
      <c r="C1843" s="124" t="s">
        <v>298</v>
      </c>
      <c r="D1843" s="124" t="s">
        <v>286</v>
      </c>
      <c r="E1843" s="123" t="n">
        <v>483</v>
      </c>
      <c r="G1843" s="123" t="n">
        <v>3997</v>
      </c>
      <c r="H1843" s="123" t="n">
        <v>0</v>
      </c>
      <c r="K1843" s="123" t="n">
        <v>2</v>
      </c>
    </row>
    <row r="1844" customFormat="false" ht="15" hidden="false" customHeight="false" outlineLevel="0" collapsed="false">
      <c r="A1844" s="652" t="n">
        <v>45918</v>
      </c>
      <c r="B1844" s="124" t="s">
        <v>470</v>
      </c>
      <c r="C1844" s="124" t="s">
        <v>393</v>
      </c>
      <c r="F1844" s="123" t="n">
        <v>2444</v>
      </c>
      <c r="G1844" s="123" t="n">
        <v>1553</v>
      </c>
    </row>
    <row r="1845" customFormat="false" ht="15" hidden="false" customHeight="false" outlineLevel="0" collapsed="false">
      <c r="A1845" s="652" t="n">
        <v>45918</v>
      </c>
      <c r="B1845" s="124" t="s">
        <v>653</v>
      </c>
      <c r="C1845" s="124" t="s">
        <v>393</v>
      </c>
      <c r="F1845" s="123" t="n">
        <v>1553</v>
      </c>
      <c r="G1845" s="123" t="n">
        <v>0</v>
      </c>
    </row>
    <row r="1846" customFormat="false" ht="15" hidden="false" customHeight="false" outlineLevel="0" collapsed="false">
      <c r="A1846" s="652" t="n">
        <v>45922</v>
      </c>
      <c r="B1846" s="123" t="n">
        <v>1457</v>
      </c>
      <c r="C1846" s="124" t="s">
        <v>234</v>
      </c>
      <c r="D1846" s="124" t="s">
        <v>127</v>
      </c>
      <c r="E1846" s="653" t="n">
        <v>563.5</v>
      </c>
      <c r="G1846" s="653" t="n">
        <v>563.5</v>
      </c>
      <c r="H1846" s="653" t="n">
        <v>0.5</v>
      </c>
      <c r="P1846" s="123" t="n">
        <v>2</v>
      </c>
    </row>
    <row r="1847" customFormat="false" ht="15" hidden="false" customHeight="false" outlineLevel="0" collapsed="false">
      <c r="A1847" s="652" t="n">
        <v>45922</v>
      </c>
      <c r="B1847" s="123" t="n">
        <v>1455</v>
      </c>
      <c r="C1847" s="124" t="s">
        <v>277</v>
      </c>
      <c r="D1847" s="124" t="s">
        <v>127</v>
      </c>
      <c r="E1847" s="123" t="n">
        <v>621</v>
      </c>
      <c r="G1847" s="653" t="n">
        <v>1184.5</v>
      </c>
      <c r="K1847" s="123" t="n">
        <v>2</v>
      </c>
      <c r="O1847" s="123" t="n">
        <v>1</v>
      </c>
    </row>
    <row r="1848" customFormat="false" ht="15" hidden="false" customHeight="false" outlineLevel="0" collapsed="false">
      <c r="A1848" s="652" t="n">
        <v>45922</v>
      </c>
      <c r="B1848" s="123" t="n">
        <v>1459</v>
      </c>
      <c r="C1848" s="124" t="s">
        <v>132</v>
      </c>
      <c r="D1848" s="124" t="s">
        <v>127</v>
      </c>
      <c r="E1848" s="653" t="n">
        <v>1667.5</v>
      </c>
      <c r="G1848" s="123" t="n">
        <v>2852</v>
      </c>
      <c r="H1848" s="653" t="n">
        <v>-0.5</v>
      </c>
      <c r="I1848" s="123" t="n">
        <v>3</v>
      </c>
      <c r="L1848" s="123" t="n">
        <v>3</v>
      </c>
    </row>
    <row r="1849" customFormat="false" ht="15" hidden="false" customHeight="false" outlineLevel="0" collapsed="false">
      <c r="A1849" s="652" t="n">
        <v>45922</v>
      </c>
      <c r="B1849" s="123" t="n">
        <v>1456</v>
      </c>
      <c r="C1849" s="124" t="s">
        <v>183</v>
      </c>
      <c r="D1849" s="124" t="s">
        <v>127</v>
      </c>
      <c r="E1849" s="123" t="n">
        <v>414</v>
      </c>
      <c r="G1849" s="123" t="n">
        <v>3266</v>
      </c>
      <c r="J1849" s="123" t="n">
        <v>2</v>
      </c>
    </row>
    <row r="1850" customFormat="false" ht="15" hidden="false" customHeight="false" outlineLevel="0" collapsed="false">
      <c r="A1850" s="652" t="n">
        <v>45922</v>
      </c>
      <c r="B1850" s="123" t="n">
        <v>1458</v>
      </c>
      <c r="C1850" s="124" t="s">
        <v>275</v>
      </c>
      <c r="D1850" s="124" t="s">
        <v>127</v>
      </c>
      <c r="E1850" s="653" t="n">
        <v>1000.5</v>
      </c>
      <c r="G1850" s="653" t="n">
        <v>4266.5</v>
      </c>
      <c r="H1850" s="123" t="n">
        <v>0</v>
      </c>
      <c r="I1850" s="123" t="n">
        <v>3</v>
      </c>
      <c r="P1850" s="123" t="n">
        <v>1</v>
      </c>
    </row>
    <row r="1851" customFormat="false" ht="15" hidden="false" customHeight="false" outlineLevel="0" collapsed="false">
      <c r="A1851" s="652" t="n">
        <v>45922</v>
      </c>
      <c r="B1851" s="123" t="n">
        <v>1460</v>
      </c>
      <c r="C1851" s="124" t="s">
        <v>134</v>
      </c>
      <c r="D1851" s="124" t="s">
        <v>127</v>
      </c>
      <c r="E1851" s="653" t="n">
        <v>103.5</v>
      </c>
      <c r="G1851" s="123" t="n">
        <v>4370</v>
      </c>
      <c r="H1851" s="653" t="n">
        <v>1.25</v>
      </c>
      <c r="P1851" s="123" t="n">
        <v>2</v>
      </c>
    </row>
    <row r="1852" customFormat="false" ht="15" hidden="false" customHeight="false" outlineLevel="0" collapsed="false">
      <c r="A1852" s="652" t="n">
        <v>45922</v>
      </c>
      <c r="B1852" s="124" t="s">
        <v>470</v>
      </c>
      <c r="C1852" s="124" t="s">
        <v>393</v>
      </c>
      <c r="F1852" s="653" t="n">
        <v>2081.5</v>
      </c>
      <c r="G1852" s="653" t="n">
        <v>2288.5</v>
      </c>
    </row>
    <row r="1853" customFormat="false" ht="15" hidden="false" customHeight="false" outlineLevel="0" collapsed="false">
      <c r="A1853" s="652" t="n">
        <v>45924</v>
      </c>
      <c r="B1853" s="124" t="s">
        <v>653</v>
      </c>
      <c r="C1853" s="124" t="s">
        <v>393</v>
      </c>
      <c r="F1853" s="123" t="n">
        <v>2288</v>
      </c>
      <c r="G1853" s="653" t="n">
        <v>0.5</v>
      </c>
    </row>
    <row r="1854" customFormat="false" ht="15" hidden="false" customHeight="false" outlineLevel="0" collapsed="false">
      <c r="A1854" s="652" t="n">
        <v>45924</v>
      </c>
      <c r="B1854" s="123" t="n">
        <v>1461</v>
      </c>
      <c r="C1854" s="124" t="s">
        <v>295</v>
      </c>
      <c r="D1854" s="124" t="s">
        <v>286</v>
      </c>
      <c r="E1854" s="123" t="n">
        <v>483</v>
      </c>
      <c r="G1854" s="653" t="n">
        <v>483.5</v>
      </c>
      <c r="H1854" s="123" t="n">
        <v>0</v>
      </c>
      <c r="M1854" s="123" t="n">
        <v>2</v>
      </c>
    </row>
    <row r="1855" customFormat="false" ht="15" hidden="false" customHeight="false" outlineLevel="0" collapsed="false">
      <c r="A1855" s="652" t="n">
        <v>45924</v>
      </c>
      <c r="B1855" s="123" t="n">
        <v>1462</v>
      </c>
      <c r="C1855" s="124" t="s">
        <v>293</v>
      </c>
      <c r="D1855" s="124" t="s">
        <v>286</v>
      </c>
      <c r="E1855" s="653" t="n">
        <v>2173.5</v>
      </c>
      <c r="G1855" s="123" t="n">
        <v>2657</v>
      </c>
      <c r="I1855" s="123" t="n">
        <v>6</v>
      </c>
      <c r="M1855" s="123" t="n">
        <v>2</v>
      </c>
    </row>
    <row r="1856" customFormat="false" ht="15" hidden="false" customHeight="false" outlineLevel="0" collapsed="false">
      <c r="A1856" s="652" t="n">
        <v>45924</v>
      </c>
      <c r="B1856" s="123" t="n">
        <v>1463</v>
      </c>
      <c r="C1856" s="124" t="s">
        <v>317</v>
      </c>
      <c r="D1856" s="124" t="s">
        <v>224</v>
      </c>
      <c r="E1856" s="653" t="n">
        <v>333.5</v>
      </c>
      <c r="G1856" s="653" t="n">
        <v>2990.5</v>
      </c>
      <c r="O1856" s="123" t="n">
        <v>2</v>
      </c>
    </row>
    <row r="1857" customFormat="false" ht="15" hidden="false" customHeight="false" outlineLevel="0" collapsed="false">
      <c r="A1857" s="652" t="n">
        <v>45924</v>
      </c>
      <c r="B1857" s="123" t="n">
        <v>1464</v>
      </c>
      <c r="C1857" s="124" t="s">
        <v>104</v>
      </c>
      <c r="D1857" s="124" t="s">
        <v>105</v>
      </c>
      <c r="E1857" s="653" t="n">
        <v>178.25</v>
      </c>
      <c r="G1857" s="653" t="n">
        <v>3168.75</v>
      </c>
      <c r="H1857" s="123" t="n">
        <v>0</v>
      </c>
      <c r="J1857" s="123" t="n">
        <v>1</v>
      </c>
    </row>
    <row r="1858" customFormat="false" ht="15" hidden="false" customHeight="false" outlineLevel="0" collapsed="false">
      <c r="A1858" s="652" t="n">
        <v>45924</v>
      </c>
      <c r="B1858" s="123" t="n">
        <v>1465</v>
      </c>
      <c r="C1858" s="124" t="s">
        <v>116</v>
      </c>
      <c r="D1858" s="124" t="s">
        <v>105</v>
      </c>
      <c r="E1858" s="653" t="n">
        <v>1897.5</v>
      </c>
      <c r="G1858" s="653" t="n">
        <v>5066.25</v>
      </c>
      <c r="H1858" s="123" t="n">
        <v>0</v>
      </c>
      <c r="I1858" s="123" t="n">
        <v>3</v>
      </c>
      <c r="K1858" s="123" t="n">
        <v>1</v>
      </c>
      <c r="L1858" s="123" t="n">
        <v>3</v>
      </c>
    </row>
    <row r="1859" customFormat="false" ht="15" hidden="false" customHeight="false" outlineLevel="0" collapsed="false">
      <c r="A1859" s="652" t="n">
        <v>45924</v>
      </c>
      <c r="B1859" s="123" t="n">
        <v>1466</v>
      </c>
      <c r="C1859" s="124" t="s">
        <v>108</v>
      </c>
      <c r="D1859" s="124" t="s">
        <v>105</v>
      </c>
      <c r="E1859" s="653" t="n">
        <v>1690.5</v>
      </c>
      <c r="G1859" s="653" t="n">
        <v>6756.75</v>
      </c>
      <c r="H1859" s="653" t="n">
        <v>0.5</v>
      </c>
      <c r="I1859" s="123" t="n">
        <v>6</v>
      </c>
    </row>
    <row r="1860" customFormat="false" ht="15" hidden="false" customHeight="false" outlineLevel="0" collapsed="false">
      <c r="A1860" s="652" t="n">
        <v>45924</v>
      </c>
      <c r="B1860" s="123" t="n">
        <v>1467</v>
      </c>
      <c r="C1860" s="124" t="s">
        <v>107</v>
      </c>
      <c r="D1860" s="124" t="s">
        <v>105</v>
      </c>
      <c r="E1860" s="123" t="n">
        <v>966</v>
      </c>
      <c r="G1860" s="653" t="n">
        <v>7722.75</v>
      </c>
      <c r="K1860" s="123" t="n">
        <v>4</v>
      </c>
    </row>
    <row r="1861" customFormat="false" ht="15" hidden="false" customHeight="false" outlineLevel="0" collapsed="false">
      <c r="A1861" s="652" t="n">
        <v>45924</v>
      </c>
      <c r="B1861" s="123" t="n">
        <v>1468</v>
      </c>
      <c r="C1861" s="124" t="s">
        <v>108</v>
      </c>
      <c r="D1861" s="124" t="s">
        <v>105</v>
      </c>
      <c r="E1861" s="653" t="n">
        <v>845.25</v>
      </c>
      <c r="G1861" s="123" t="n">
        <v>8568</v>
      </c>
      <c r="H1861" s="653" t="n">
        <v>0.25</v>
      </c>
      <c r="I1861" s="123" t="n">
        <v>3</v>
      </c>
    </row>
    <row r="1862" customFormat="false" ht="15" hidden="false" customHeight="false" outlineLevel="0" collapsed="false">
      <c r="A1862" s="652" t="n">
        <v>45924</v>
      </c>
      <c r="B1862" s="123" t="n">
        <v>1469</v>
      </c>
      <c r="C1862" s="124" t="s">
        <v>108</v>
      </c>
      <c r="D1862" s="124" t="s">
        <v>105</v>
      </c>
      <c r="E1862" s="123" t="n">
        <v>690</v>
      </c>
      <c r="G1862" s="123" t="n">
        <v>9258</v>
      </c>
      <c r="K1862" s="123" t="n">
        <v>3</v>
      </c>
    </row>
    <row r="1863" customFormat="false" ht="15" hidden="false" customHeight="false" outlineLevel="0" collapsed="false">
      <c r="A1863" s="652" t="n">
        <v>45924</v>
      </c>
      <c r="B1863" s="124" t="s">
        <v>470</v>
      </c>
      <c r="C1863" s="124" t="s">
        <v>393</v>
      </c>
      <c r="F1863" s="123" t="n">
        <v>6067</v>
      </c>
      <c r="G1863" s="123" t="n">
        <v>3191</v>
      </c>
      <c r="H1863" s="123" t="n">
        <v>0</v>
      </c>
    </row>
    <row r="1864" customFormat="false" ht="15" hidden="false" customHeight="false" outlineLevel="0" collapsed="false">
      <c r="A1864" s="652" t="n">
        <v>45925</v>
      </c>
      <c r="B1864" s="124" t="s">
        <v>662</v>
      </c>
      <c r="C1864" s="124" t="s">
        <v>393</v>
      </c>
      <c r="F1864" s="123" t="n">
        <v>3191</v>
      </c>
      <c r="G1864" s="123" t="n">
        <v>0</v>
      </c>
    </row>
    <row r="1865" customFormat="false" ht="15" hidden="false" customHeight="false" outlineLevel="0" collapsed="false">
      <c r="A1865" s="652" t="n">
        <v>45927</v>
      </c>
      <c r="B1865" s="123" t="n">
        <v>1470</v>
      </c>
      <c r="C1865" s="124" t="s">
        <v>131</v>
      </c>
      <c r="D1865" s="124" t="s">
        <v>127</v>
      </c>
      <c r="E1865" s="653" t="n">
        <v>408.25</v>
      </c>
      <c r="G1865" s="653" t="n">
        <v>408.25</v>
      </c>
      <c r="H1865" s="653" t="n">
        <v>0.25</v>
      </c>
      <c r="K1865" s="123" t="n">
        <v>1</v>
      </c>
      <c r="P1865" s="123" t="n">
        <v>1</v>
      </c>
    </row>
    <row r="1866" customFormat="false" ht="15" hidden="false" customHeight="false" outlineLevel="0" collapsed="false">
      <c r="A1866" s="652" t="n">
        <v>45927</v>
      </c>
      <c r="B1866" s="123" t="n">
        <v>1471</v>
      </c>
      <c r="C1866" s="124" t="s">
        <v>199</v>
      </c>
      <c r="D1866" s="124" t="s">
        <v>127</v>
      </c>
      <c r="E1866" s="123" t="n">
        <v>230</v>
      </c>
      <c r="G1866" s="653" t="n">
        <v>638.25</v>
      </c>
      <c r="H1866" s="123" t="n">
        <v>0</v>
      </c>
      <c r="K1866" s="123" t="n">
        <v>1</v>
      </c>
    </row>
    <row r="1867" customFormat="false" ht="15" hidden="false" customHeight="false" outlineLevel="0" collapsed="false">
      <c r="A1867" s="652" t="n">
        <v>45927</v>
      </c>
      <c r="B1867" s="123" t="n">
        <v>1472</v>
      </c>
      <c r="C1867" s="124" t="s">
        <v>166</v>
      </c>
      <c r="D1867" s="124" t="s">
        <v>127</v>
      </c>
      <c r="E1867" s="653" t="n">
        <v>155.25</v>
      </c>
      <c r="G1867" s="653" t="n">
        <v>793.5</v>
      </c>
      <c r="P1867" s="123" t="n">
        <v>1</v>
      </c>
    </row>
    <row r="1868" customFormat="false" ht="15" hidden="false" customHeight="false" outlineLevel="0" collapsed="false">
      <c r="A1868" s="652" t="n">
        <v>45927</v>
      </c>
      <c r="B1868" s="123" t="n">
        <v>1473</v>
      </c>
      <c r="C1868" s="124" t="s">
        <v>183</v>
      </c>
      <c r="D1868" s="124" t="s">
        <v>127</v>
      </c>
      <c r="E1868" s="653" t="n">
        <v>1190.25</v>
      </c>
      <c r="G1868" s="653" t="n">
        <v>1983.75</v>
      </c>
      <c r="I1868" s="123" t="n">
        <v>3</v>
      </c>
      <c r="K1868" s="123" t="n">
        <v>1</v>
      </c>
    </row>
    <row r="1869" customFormat="false" ht="15" hidden="false" customHeight="false" outlineLevel="0" collapsed="false">
      <c r="A1869" s="652" t="n">
        <v>45927</v>
      </c>
      <c r="B1869" s="123" t="n">
        <v>1474</v>
      </c>
      <c r="C1869" s="124" t="s">
        <v>181</v>
      </c>
      <c r="D1869" s="124" t="s">
        <v>127</v>
      </c>
      <c r="E1869" s="123" t="n">
        <v>207</v>
      </c>
      <c r="G1869" s="653" t="n">
        <v>2190.75</v>
      </c>
      <c r="H1869" s="123" t="n">
        <v>0</v>
      </c>
      <c r="K1869" s="123" t="n">
        <v>1</v>
      </c>
    </row>
    <row r="1870" customFormat="false" ht="15" hidden="false" customHeight="false" outlineLevel="0" collapsed="false">
      <c r="A1870" s="652" t="n">
        <v>45928</v>
      </c>
      <c r="B1870" s="123" t="n">
        <v>1475</v>
      </c>
      <c r="C1870" s="124" t="s">
        <v>157</v>
      </c>
      <c r="D1870" s="124" t="s">
        <v>127</v>
      </c>
      <c r="E1870" s="653" t="n">
        <v>845.25</v>
      </c>
      <c r="G1870" s="123" t="n">
        <v>3036</v>
      </c>
      <c r="H1870" s="653" t="n">
        <v>0.5</v>
      </c>
      <c r="I1870" s="123" t="n">
        <v>3</v>
      </c>
    </row>
    <row r="1871" customFormat="false" ht="15" hidden="false" customHeight="false" outlineLevel="0" collapsed="false">
      <c r="A1871" s="652" t="n">
        <v>45926</v>
      </c>
      <c r="B1871" s="123" t="n">
        <v>1476</v>
      </c>
      <c r="C1871" s="124" t="s">
        <v>263</v>
      </c>
      <c r="D1871" s="124" t="s">
        <v>127</v>
      </c>
      <c r="E1871" s="653" t="n">
        <v>454.25</v>
      </c>
      <c r="G1871" s="653" t="n">
        <v>3490.25</v>
      </c>
      <c r="P1871" s="123" t="n">
        <v>2</v>
      </c>
    </row>
    <row r="1872" customFormat="false" ht="15" hidden="false" customHeight="false" outlineLevel="0" collapsed="false">
      <c r="A1872" s="652" t="n">
        <v>45928</v>
      </c>
      <c r="B1872" s="123" t="n">
        <v>1477</v>
      </c>
      <c r="C1872" s="124" t="s">
        <v>285</v>
      </c>
      <c r="D1872" s="124" t="s">
        <v>286</v>
      </c>
      <c r="E1872" s="653" t="n">
        <v>224.25</v>
      </c>
      <c r="G1872" s="653" t="n">
        <v>3714.5</v>
      </c>
      <c r="H1872" s="123" t="n">
        <v>0</v>
      </c>
      <c r="P1872" s="123" t="n">
        <v>1</v>
      </c>
    </row>
    <row r="1873" customFormat="false" ht="15" hidden="false" customHeight="false" outlineLevel="0" collapsed="false">
      <c r="A1873" s="652" t="n">
        <v>45921</v>
      </c>
      <c r="B1873" s="123" t="n">
        <v>1456</v>
      </c>
      <c r="C1873" s="124" t="s">
        <v>298</v>
      </c>
      <c r="D1873" s="124" t="s">
        <v>286</v>
      </c>
      <c r="E1873" s="653" t="n">
        <v>1017.75</v>
      </c>
      <c r="G1873" s="653" t="n">
        <v>4732.25</v>
      </c>
      <c r="H1873" s="123" t="n">
        <v>0</v>
      </c>
      <c r="L1873" s="123" t="n">
        <v>3</v>
      </c>
      <c r="O1873" s="123" t="n">
        <v>1</v>
      </c>
    </row>
    <row r="1874" customFormat="false" ht="15" hidden="false" customHeight="false" outlineLevel="0" collapsed="false">
      <c r="A1874" s="652" t="n">
        <v>45928</v>
      </c>
      <c r="B1874" s="123" t="n">
        <v>1479</v>
      </c>
      <c r="C1874" s="124" t="s">
        <v>295</v>
      </c>
      <c r="D1874" s="124" t="s">
        <v>286</v>
      </c>
      <c r="E1874" s="653" t="n">
        <v>2288.5</v>
      </c>
      <c r="G1874" s="653" t="n">
        <v>7020.75</v>
      </c>
      <c r="H1874" s="653" t="n">
        <v>0.5</v>
      </c>
      <c r="K1874" s="123" t="n">
        <v>1</v>
      </c>
      <c r="L1874" s="123" t="n">
        <v>6</v>
      </c>
      <c r="O1874" s="123" t="n">
        <v>2</v>
      </c>
    </row>
    <row r="1875" customFormat="false" ht="15" hidden="false" customHeight="false" outlineLevel="0" collapsed="false">
      <c r="A1875" s="652" t="n">
        <v>45924</v>
      </c>
      <c r="B1875" s="123" t="n">
        <v>1480</v>
      </c>
      <c r="C1875" s="124" t="s">
        <v>322</v>
      </c>
      <c r="D1875" s="124" t="s">
        <v>224</v>
      </c>
      <c r="E1875" s="653" t="n">
        <v>3622.5</v>
      </c>
      <c r="G1875" s="653" t="n">
        <v>10643.25</v>
      </c>
      <c r="H1875" s="653" t="n">
        <v>2.5</v>
      </c>
      <c r="I1875" s="123" t="n">
        <v>6</v>
      </c>
      <c r="K1875" s="123" t="n">
        <v>6</v>
      </c>
      <c r="M1875" s="123" t="n">
        <v>2</v>
      </c>
    </row>
    <row r="1876" customFormat="false" ht="15" hidden="false" customHeight="false" outlineLevel="0" collapsed="false">
      <c r="A1876" s="652" t="n">
        <v>45928</v>
      </c>
      <c r="B1876" s="123" t="n">
        <v>1481</v>
      </c>
      <c r="C1876" s="124" t="s">
        <v>312</v>
      </c>
      <c r="D1876" s="124" t="s">
        <v>301</v>
      </c>
      <c r="E1876" s="653" t="n">
        <v>845.25</v>
      </c>
      <c r="G1876" s="653" t="n">
        <v>11488.5</v>
      </c>
      <c r="H1876" s="653" t="n">
        <v>0.25</v>
      </c>
      <c r="I1876" s="123" t="n">
        <v>3</v>
      </c>
    </row>
    <row r="1877" customFormat="false" ht="15" hidden="false" customHeight="false" outlineLevel="0" collapsed="false">
      <c r="A1877" s="652" t="n">
        <v>45928</v>
      </c>
      <c r="B1877" s="123" t="n">
        <v>1482</v>
      </c>
      <c r="C1877" s="124" t="s">
        <v>316</v>
      </c>
      <c r="D1877" s="124" t="s">
        <v>301</v>
      </c>
      <c r="E1877" s="123" t="n">
        <v>391</v>
      </c>
      <c r="G1877" s="653" t="n">
        <v>11879.5</v>
      </c>
      <c r="H1877" s="123" t="n">
        <v>0</v>
      </c>
      <c r="K1877" s="123" t="n">
        <v>1</v>
      </c>
      <c r="O1877" s="123" t="n">
        <v>1</v>
      </c>
    </row>
    <row r="1878" customFormat="false" ht="15" hidden="false" customHeight="false" outlineLevel="0" collapsed="false">
      <c r="A1878" s="652" t="n">
        <v>45928</v>
      </c>
      <c r="B1878" s="123" t="n">
        <v>1483</v>
      </c>
      <c r="C1878" s="124" t="s">
        <v>298</v>
      </c>
      <c r="D1878" s="124" t="s">
        <v>286</v>
      </c>
      <c r="E1878" s="123" t="n">
        <v>230</v>
      </c>
      <c r="G1878" s="653" t="n">
        <v>12109.5</v>
      </c>
      <c r="K1878" s="123" t="n">
        <v>1</v>
      </c>
    </row>
    <row r="1879" customFormat="false" ht="15" hidden="false" customHeight="false" outlineLevel="0" collapsed="false">
      <c r="A1879" s="652" t="n">
        <v>45928</v>
      </c>
      <c r="B1879" s="124" t="s">
        <v>470</v>
      </c>
      <c r="C1879" s="124" t="s">
        <v>393</v>
      </c>
      <c r="E1879" s="653" t="n">
        <v>0.25</v>
      </c>
      <c r="F1879" s="653" t="n">
        <v>12109.75</v>
      </c>
      <c r="G1879" s="123" t="n">
        <v>0</v>
      </c>
    </row>
    <row r="1880" customFormat="false" ht="15" hidden="false" customHeight="false" outlineLevel="0" collapsed="false">
      <c r="A1880" s="652" t="n">
        <v>45929</v>
      </c>
      <c r="B1880" s="123" t="n">
        <v>1484</v>
      </c>
      <c r="C1880" s="124" t="s">
        <v>264</v>
      </c>
      <c r="D1880" s="124" t="s">
        <v>127</v>
      </c>
      <c r="E1880" s="653" t="n">
        <v>845.25</v>
      </c>
      <c r="G1880" s="653" t="n">
        <v>845.25</v>
      </c>
      <c r="H1880" s="653" t="n">
        <v>0.25</v>
      </c>
      <c r="I1880" s="123" t="n">
        <v>3</v>
      </c>
    </row>
    <row r="1881" customFormat="false" ht="15" hidden="false" customHeight="false" outlineLevel="0" collapsed="false">
      <c r="A1881" s="652" t="n">
        <v>45929</v>
      </c>
      <c r="B1881" s="123" t="n">
        <v>1485</v>
      </c>
      <c r="C1881" s="124" t="s">
        <v>184</v>
      </c>
      <c r="D1881" s="124" t="s">
        <v>127</v>
      </c>
      <c r="E1881" s="653" t="n">
        <v>845.25</v>
      </c>
      <c r="G1881" s="653" t="n">
        <v>1690.5</v>
      </c>
      <c r="H1881" s="653" t="n">
        <v>0.25</v>
      </c>
      <c r="I1881" s="123" t="n">
        <v>3</v>
      </c>
    </row>
    <row r="1882" customFormat="false" ht="15" hidden="false" customHeight="false" outlineLevel="0" collapsed="false">
      <c r="A1882" s="652" t="n">
        <v>45929</v>
      </c>
      <c r="B1882" s="123" t="n">
        <v>1486</v>
      </c>
      <c r="C1882" s="124" t="s">
        <v>199</v>
      </c>
      <c r="D1882" s="124" t="s">
        <v>127</v>
      </c>
      <c r="E1882" s="123" t="n">
        <v>253</v>
      </c>
      <c r="G1882" s="653" t="n">
        <v>1943.5</v>
      </c>
      <c r="H1882" s="123" t="n">
        <v>1</v>
      </c>
      <c r="K1882" s="123" t="n">
        <v>1</v>
      </c>
    </row>
    <row r="1883" customFormat="false" ht="15" hidden="false" customHeight="false" outlineLevel="0" collapsed="false">
      <c r="A1883" s="652" t="n">
        <v>45929</v>
      </c>
      <c r="B1883" s="123" t="n">
        <v>1487</v>
      </c>
      <c r="C1883" s="124" t="s">
        <v>137</v>
      </c>
      <c r="D1883" s="124" t="s">
        <v>127</v>
      </c>
      <c r="E1883" s="123" t="n">
        <v>138</v>
      </c>
      <c r="G1883" s="653" t="n">
        <v>2081.5</v>
      </c>
      <c r="H1883" s="123" t="n">
        <v>0</v>
      </c>
      <c r="O1883" s="123" t="n">
        <v>1</v>
      </c>
    </row>
    <row r="1884" customFormat="false" ht="15" hidden="false" customHeight="false" outlineLevel="0" collapsed="false">
      <c r="A1884" s="652" t="n">
        <v>45929</v>
      </c>
      <c r="B1884" s="123" t="n">
        <v>1488</v>
      </c>
      <c r="C1884" s="124" t="s">
        <v>178</v>
      </c>
      <c r="D1884" s="124" t="s">
        <v>127</v>
      </c>
      <c r="E1884" s="653" t="n">
        <v>845.25</v>
      </c>
      <c r="G1884" s="653" t="n">
        <v>2926.75</v>
      </c>
      <c r="H1884" s="653" t="n">
        <v>0.25</v>
      </c>
      <c r="I1884" s="123" t="n">
        <v>3</v>
      </c>
    </row>
    <row r="1885" customFormat="false" ht="15" hidden="false" customHeight="false" outlineLevel="0" collapsed="false">
      <c r="A1885" s="652" t="n">
        <v>45929</v>
      </c>
      <c r="B1885" s="123" t="n">
        <v>1489</v>
      </c>
      <c r="C1885" s="124" t="s">
        <v>180</v>
      </c>
      <c r="D1885" s="124" t="s">
        <v>127</v>
      </c>
      <c r="E1885" s="653" t="n">
        <v>845.25</v>
      </c>
      <c r="G1885" s="123" t="n">
        <v>3772</v>
      </c>
      <c r="H1885" s="123" t="n">
        <v>0</v>
      </c>
      <c r="I1885" s="123" t="n">
        <v>3</v>
      </c>
    </row>
    <row r="1886" customFormat="false" ht="15" hidden="false" customHeight="false" outlineLevel="0" collapsed="false">
      <c r="A1886" s="652" t="n">
        <v>45929</v>
      </c>
      <c r="B1886" s="123" t="n">
        <v>1490</v>
      </c>
      <c r="C1886" s="124" t="s">
        <v>154</v>
      </c>
      <c r="D1886" s="124" t="s">
        <v>127</v>
      </c>
      <c r="E1886" s="653" t="n">
        <v>2081.5</v>
      </c>
      <c r="G1886" s="653" t="n">
        <v>5853.5</v>
      </c>
      <c r="H1886" s="653" t="n">
        <v>1.5</v>
      </c>
      <c r="I1886" s="123" t="n">
        <v>6</v>
      </c>
      <c r="K1886" s="123" t="n">
        <v>1</v>
      </c>
      <c r="O1886" s="123" t="n">
        <v>1</v>
      </c>
    </row>
    <row r="1887" customFormat="false" ht="15" hidden="false" customHeight="false" outlineLevel="0" collapsed="false">
      <c r="A1887" s="652" t="n">
        <v>45929</v>
      </c>
      <c r="B1887" s="123" t="n">
        <v>1491</v>
      </c>
      <c r="C1887" s="124" t="s">
        <v>278</v>
      </c>
      <c r="D1887" s="124" t="s">
        <v>127</v>
      </c>
      <c r="E1887" s="653" t="n">
        <v>563.5</v>
      </c>
      <c r="G1887" s="123" t="n">
        <v>6417</v>
      </c>
      <c r="H1887" s="123" t="n">
        <v>0</v>
      </c>
      <c r="K1887" s="123" t="n">
        <v>1</v>
      </c>
      <c r="P1887" s="123" t="n">
        <v>2</v>
      </c>
    </row>
    <row r="1888" customFormat="false" ht="15" hidden="false" customHeight="false" outlineLevel="0" collapsed="false">
      <c r="A1888" s="652" t="n">
        <v>45929</v>
      </c>
      <c r="B1888" s="123" t="n">
        <v>1492</v>
      </c>
      <c r="C1888" s="124" t="s">
        <v>169</v>
      </c>
      <c r="D1888" s="124" t="s">
        <v>127</v>
      </c>
      <c r="E1888" s="653" t="n">
        <v>983.25</v>
      </c>
      <c r="G1888" s="653" t="n">
        <v>7400.25</v>
      </c>
      <c r="H1888" s="653" t="n">
        <v>-0.75</v>
      </c>
      <c r="I1888" s="123" t="n">
        <v>3</v>
      </c>
      <c r="O1888" s="123" t="n">
        <v>1</v>
      </c>
    </row>
    <row r="1889" customFormat="false" ht="15" hidden="false" customHeight="false" outlineLevel="0" collapsed="false">
      <c r="A1889" s="652" t="n">
        <v>45929</v>
      </c>
      <c r="B1889" s="123" t="n">
        <v>1493</v>
      </c>
      <c r="C1889" s="124" t="s">
        <v>95</v>
      </c>
      <c r="D1889" s="124" t="s">
        <v>75</v>
      </c>
      <c r="E1889" s="123" t="n">
        <v>690</v>
      </c>
      <c r="G1889" s="653" t="n">
        <v>8090.25</v>
      </c>
      <c r="H1889" s="123" t="n">
        <v>0</v>
      </c>
      <c r="O1889" s="123" t="n">
        <v>5</v>
      </c>
    </row>
    <row r="1890" customFormat="false" ht="15" hidden="false" customHeight="false" outlineLevel="0" collapsed="false">
      <c r="A1890" s="652" t="n">
        <v>45929</v>
      </c>
      <c r="B1890" s="123" t="n">
        <v>1494</v>
      </c>
      <c r="C1890" s="124" t="s">
        <v>96</v>
      </c>
      <c r="D1890" s="124" t="s">
        <v>75</v>
      </c>
      <c r="E1890" s="653" t="n">
        <v>822.25</v>
      </c>
      <c r="G1890" s="653" t="n">
        <v>8912.5</v>
      </c>
      <c r="L1890" s="123" t="n">
        <v>3</v>
      </c>
    </row>
    <row r="1891" customFormat="false" ht="15" hidden="false" customHeight="false" outlineLevel="0" collapsed="false">
      <c r="A1891" s="652" t="n">
        <v>45929</v>
      </c>
      <c r="B1891" s="123" t="n">
        <v>1495</v>
      </c>
      <c r="C1891" s="124" t="s">
        <v>89</v>
      </c>
      <c r="D1891" s="124" t="s">
        <v>75</v>
      </c>
      <c r="E1891" s="123" t="n">
        <v>1311</v>
      </c>
      <c r="G1891" s="653" t="n">
        <v>10223.5</v>
      </c>
      <c r="K1891" s="123" t="n">
        <v>5</v>
      </c>
    </row>
    <row r="1892" customFormat="false" ht="15" hidden="false" customHeight="false" outlineLevel="0" collapsed="false">
      <c r="A1892" s="652" t="n">
        <v>45929</v>
      </c>
      <c r="B1892" s="123" t="n">
        <v>1496</v>
      </c>
      <c r="C1892" s="124" t="s">
        <v>107</v>
      </c>
      <c r="D1892" s="124" t="s">
        <v>105</v>
      </c>
      <c r="E1892" s="653" t="n">
        <v>845.25</v>
      </c>
      <c r="G1892" s="653" t="n">
        <v>11068.75</v>
      </c>
      <c r="H1892" s="123" t="n">
        <v>0</v>
      </c>
      <c r="I1892" s="123" t="n">
        <v>3</v>
      </c>
    </row>
    <row r="1893" customFormat="false" ht="15" hidden="false" customHeight="false" outlineLevel="0" collapsed="false">
      <c r="A1893" s="652" t="n">
        <v>45929</v>
      </c>
      <c r="B1893" s="123" t="n">
        <v>1497</v>
      </c>
      <c r="C1893" s="124" t="s">
        <v>110</v>
      </c>
      <c r="D1893" s="124" t="s">
        <v>105</v>
      </c>
      <c r="E1893" s="123" t="n">
        <v>10143</v>
      </c>
      <c r="G1893" s="653" t="n">
        <v>21211.75</v>
      </c>
      <c r="H1893" s="123" t="n">
        <v>0</v>
      </c>
      <c r="I1893" s="123" t="n">
        <v>36</v>
      </c>
    </row>
    <row r="1894" customFormat="false" ht="15" hidden="false" customHeight="false" outlineLevel="0" collapsed="false">
      <c r="A1894" s="652" t="n">
        <v>45929</v>
      </c>
      <c r="B1894" s="123" t="n">
        <v>1498</v>
      </c>
      <c r="C1894" s="124" t="s">
        <v>109</v>
      </c>
      <c r="D1894" s="124" t="s">
        <v>105</v>
      </c>
      <c r="E1894" s="653" t="n">
        <v>1690.5</v>
      </c>
      <c r="G1894" s="653" t="n">
        <v>22902.25</v>
      </c>
      <c r="H1894" s="653" t="n">
        <v>0.5</v>
      </c>
      <c r="I1894" s="123" t="n">
        <v>6</v>
      </c>
    </row>
    <row r="1895" customFormat="false" ht="15" hidden="false" customHeight="false" outlineLevel="0" collapsed="false">
      <c r="A1895" s="652" t="n">
        <v>45929</v>
      </c>
      <c r="B1895" s="123" t="n">
        <v>1499</v>
      </c>
      <c r="C1895" s="124" t="s">
        <v>145</v>
      </c>
      <c r="D1895" s="124" t="s">
        <v>127</v>
      </c>
      <c r="E1895" s="653" t="n">
        <v>1667.5</v>
      </c>
      <c r="G1895" s="653" t="n">
        <v>24569.75</v>
      </c>
      <c r="H1895" s="123" t="n">
        <v>0</v>
      </c>
      <c r="I1895" s="123" t="n">
        <v>3</v>
      </c>
      <c r="L1895" s="123" t="n">
        <v>3</v>
      </c>
    </row>
    <row r="1896" customFormat="false" ht="15" hidden="false" customHeight="false" outlineLevel="0" collapsed="false">
      <c r="A1896" s="652" t="n">
        <v>45930</v>
      </c>
      <c r="B1896" s="123" t="n">
        <v>1501</v>
      </c>
      <c r="C1896" s="124" t="s">
        <v>181</v>
      </c>
      <c r="D1896" s="124" t="s">
        <v>127</v>
      </c>
      <c r="E1896" s="123" t="n">
        <v>1403</v>
      </c>
      <c r="G1896" s="653" t="n">
        <v>25972.75</v>
      </c>
      <c r="H1896" s="123" t="n">
        <v>0</v>
      </c>
      <c r="I1896" s="123" t="n">
        <v>3</v>
      </c>
      <c r="O1896" s="123" t="n">
        <v>1</v>
      </c>
      <c r="P1896" s="123" t="n">
        <v>2</v>
      </c>
    </row>
    <row r="1897" customFormat="false" ht="15" hidden="false" customHeight="false" outlineLevel="0" collapsed="false">
      <c r="A1897" s="652" t="n">
        <v>45930</v>
      </c>
      <c r="B1897" s="123" t="n">
        <v>1500</v>
      </c>
      <c r="C1897" s="124" t="s">
        <v>276</v>
      </c>
      <c r="D1897" s="124" t="s">
        <v>127</v>
      </c>
      <c r="E1897" s="123" t="n">
        <v>414</v>
      </c>
      <c r="G1897" s="653" t="n">
        <v>26386.75</v>
      </c>
      <c r="O1897" s="123" t="n">
        <v>3</v>
      </c>
    </row>
    <row r="1898" customFormat="false" ht="15" hidden="false" customHeight="false" outlineLevel="0" collapsed="false">
      <c r="A1898" s="652" t="n">
        <v>45930</v>
      </c>
      <c r="B1898" s="124" t="s">
        <v>470</v>
      </c>
      <c r="C1898" s="124" t="s">
        <v>393</v>
      </c>
      <c r="F1898" s="123" t="n">
        <v>12998</v>
      </c>
      <c r="G1898" s="653" t="n">
        <v>13388.75</v>
      </c>
    </row>
    <row r="1899" customFormat="false" ht="15" hidden="false" customHeight="false" outlineLevel="0" collapsed="false">
      <c r="A1899" s="652" t="n">
        <v>45930</v>
      </c>
      <c r="B1899" s="124" t="s">
        <v>653</v>
      </c>
      <c r="C1899" s="124" t="s">
        <v>393</v>
      </c>
      <c r="F1899" s="123" t="n">
        <v>5650</v>
      </c>
      <c r="G1899" s="653" t="n">
        <v>7738.75</v>
      </c>
    </row>
    <row r="1900" customFormat="false" ht="15" hidden="false" customHeight="false" outlineLevel="0" collapsed="false">
      <c r="A1900" s="652" t="n">
        <v>45930</v>
      </c>
      <c r="B1900" s="124" t="s">
        <v>662</v>
      </c>
      <c r="C1900" s="124" t="s">
        <v>393</v>
      </c>
      <c r="F1900" s="123" t="n">
        <v>7738</v>
      </c>
      <c r="G1900" s="653" t="n">
        <v>0.75</v>
      </c>
    </row>
    <row r="1901" customFormat="false" ht="15" hidden="false" customHeight="false" outlineLevel="0" collapsed="false">
      <c r="A1901" s="652" t="n">
        <v>45935</v>
      </c>
      <c r="B1901" s="123" t="n">
        <v>1502</v>
      </c>
      <c r="C1901" s="124" t="s">
        <v>263</v>
      </c>
      <c r="D1901" s="124" t="s">
        <v>127</v>
      </c>
      <c r="E1901" s="653" t="n">
        <v>845.25</v>
      </c>
      <c r="G1901" s="123" t="n">
        <v>846</v>
      </c>
      <c r="I1901" s="123" t="n">
        <v>3</v>
      </c>
    </row>
    <row r="1902" customFormat="false" ht="15" hidden="false" customHeight="false" outlineLevel="0" collapsed="false">
      <c r="A1902" s="652" t="n">
        <v>45935</v>
      </c>
      <c r="B1902" s="123" t="n">
        <v>1503</v>
      </c>
      <c r="C1902" s="124" t="s">
        <v>298</v>
      </c>
      <c r="D1902" s="124" t="s">
        <v>286</v>
      </c>
      <c r="E1902" s="123" t="n">
        <v>1242</v>
      </c>
      <c r="G1902" s="123" t="n">
        <v>2088</v>
      </c>
      <c r="H1902" s="123" t="n">
        <v>0</v>
      </c>
      <c r="I1902" s="123" t="n">
        <v>3</v>
      </c>
      <c r="O1902" s="123" t="n">
        <v>1</v>
      </c>
      <c r="P1902" s="123" t="n">
        <v>1</v>
      </c>
    </row>
    <row r="1903" customFormat="false" ht="15" hidden="false" customHeight="false" outlineLevel="0" collapsed="false">
      <c r="A1903" s="652" t="n">
        <v>45935</v>
      </c>
      <c r="B1903" s="124" t="s">
        <v>470</v>
      </c>
      <c r="C1903" s="124" t="s">
        <v>393</v>
      </c>
      <c r="F1903" s="653" t="n">
        <v>2087.75</v>
      </c>
      <c r="G1903" s="653" t="n">
        <v>0.25</v>
      </c>
    </row>
    <row r="1904" customFormat="false" ht="15" hidden="false" customHeight="false" outlineLevel="0" collapsed="false">
      <c r="A1904" s="652" t="n">
        <v>45936</v>
      </c>
      <c r="B1904" s="123" t="n">
        <v>1504</v>
      </c>
      <c r="C1904" s="124" t="s">
        <v>238</v>
      </c>
      <c r="D1904" s="124" t="s">
        <v>127</v>
      </c>
      <c r="E1904" s="653" t="n">
        <v>1224.75</v>
      </c>
      <c r="G1904" s="123" t="n">
        <v>1225</v>
      </c>
      <c r="H1904" s="123" t="n">
        <v>0</v>
      </c>
      <c r="I1904" s="123" t="n">
        <v>3</v>
      </c>
      <c r="M1904" s="123" t="n">
        <v>1</v>
      </c>
      <c r="O1904" s="123" t="n">
        <v>1</v>
      </c>
    </row>
    <row r="1905" customFormat="false" ht="15" hidden="false" customHeight="false" outlineLevel="0" collapsed="false">
      <c r="A1905" s="652" t="n">
        <v>45937</v>
      </c>
      <c r="B1905" s="123" t="n">
        <v>1505</v>
      </c>
      <c r="C1905" s="124" t="s">
        <v>184</v>
      </c>
      <c r="D1905" s="124" t="s">
        <v>127</v>
      </c>
      <c r="E1905" s="653" t="n">
        <v>155.25</v>
      </c>
      <c r="G1905" s="653" t="n">
        <v>1380.25</v>
      </c>
      <c r="H1905" s="653" t="n">
        <v>0.25</v>
      </c>
      <c r="P1905" s="123" t="n">
        <v>1</v>
      </c>
    </row>
    <row r="1906" customFormat="false" ht="15" hidden="false" customHeight="false" outlineLevel="0" collapsed="false">
      <c r="A1906" s="652" t="n">
        <v>45936</v>
      </c>
      <c r="B1906" s="124" t="s">
        <v>662</v>
      </c>
      <c r="C1906" s="124" t="s">
        <v>393</v>
      </c>
      <c r="F1906" s="123" t="n">
        <v>494</v>
      </c>
      <c r="G1906" s="653" t="n">
        <v>886.25</v>
      </c>
    </row>
    <row r="1907" customFormat="false" ht="15" hidden="false" customHeight="false" outlineLevel="0" collapsed="false">
      <c r="A1907" s="652" t="n">
        <v>45937</v>
      </c>
      <c r="B1907" s="124" t="s">
        <v>470</v>
      </c>
      <c r="C1907" s="124" t="s">
        <v>393</v>
      </c>
      <c r="E1907" s="653" t="n">
        <v>-0.25</v>
      </c>
      <c r="F1907" s="123" t="n">
        <v>886</v>
      </c>
      <c r="G1907" s="123" t="n">
        <v>0</v>
      </c>
    </row>
    <row r="1908" customFormat="false" ht="15" hidden="false" customHeight="false" outlineLevel="0" collapsed="false">
      <c r="A1908" s="652" t="n">
        <v>45937</v>
      </c>
      <c r="B1908" s="123" t="n">
        <v>1506</v>
      </c>
      <c r="C1908" s="124" t="s">
        <v>267</v>
      </c>
      <c r="D1908" s="124" t="s">
        <v>127</v>
      </c>
      <c r="E1908" s="653" t="n">
        <v>845.25</v>
      </c>
      <c r="G1908" s="653" t="n">
        <v>845.25</v>
      </c>
      <c r="I1908" s="123" t="n">
        <v>3</v>
      </c>
    </row>
    <row r="1909" customFormat="false" ht="15" hidden="false" customHeight="false" outlineLevel="0" collapsed="false">
      <c r="A1909" s="652" t="n">
        <v>45937</v>
      </c>
      <c r="B1909" s="124" t="s">
        <v>470</v>
      </c>
      <c r="C1909" s="124" t="s">
        <v>393</v>
      </c>
      <c r="E1909" s="653" t="n">
        <v>-0.25</v>
      </c>
      <c r="F1909" s="123" t="n">
        <v>845</v>
      </c>
      <c r="G1909" s="123" t="n">
        <v>0</v>
      </c>
    </row>
    <row r="1910" customFormat="false" ht="15" hidden="false" customHeight="false" outlineLevel="0" collapsed="false">
      <c r="A1910" s="652" t="n">
        <v>45938</v>
      </c>
      <c r="B1910" s="123" t="n">
        <v>1507</v>
      </c>
      <c r="C1910" s="124" t="s">
        <v>94</v>
      </c>
      <c r="D1910" s="124" t="s">
        <v>75</v>
      </c>
      <c r="E1910" s="123" t="n">
        <v>345</v>
      </c>
      <c r="G1910" s="123" t="n">
        <v>345</v>
      </c>
      <c r="K1910" s="123" t="n">
        <v>1</v>
      </c>
    </row>
    <row r="1911" customFormat="false" ht="15" hidden="false" customHeight="false" outlineLevel="0" collapsed="false">
      <c r="A1911" s="652" t="n">
        <v>45938</v>
      </c>
      <c r="B1911" s="123" t="n">
        <v>1508</v>
      </c>
      <c r="C1911" s="124" t="s">
        <v>96</v>
      </c>
      <c r="D1911" s="124" t="s">
        <v>75</v>
      </c>
      <c r="E1911" s="123" t="n">
        <v>345</v>
      </c>
      <c r="G1911" s="123" t="n">
        <v>690</v>
      </c>
      <c r="H1911" s="123" t="n">
        <v>0</v>
      </c>
      <c r="K1911" s="123" t="n">
        <v>1</v>
      </c>
    </row>
    <row r="1912" customFormat="false" ht="15" hidden="false" customHeight="false" outlineLevel="0" collapsed="false">
      <c r="A1912" s="652" t="n">
        <v>45938</v>
      </c>
      <c r="B1912" s="123" t="n">
        <v>1509</v>
      </c>
      <c r="C1912" s="124" t="s">
        <v>104</v>
      </c>
      <c r="D1912" s="124" t="s">
        <v>105</v>
      </c>
      <c r="E1912" s="653" t="n">
        <v>333.5</v>
      </c>
      <c r="G1912" s="653" t="n">
        <v>1023.5</v>
      </c>
      <c r="H1912" s="653" t="n">
        <v>2.5</v>
      </c>
      <c r="O1912" s="123" t="n">
        <v>2</v>
      </c>
    </row>
    <row r="1913" customFormat="false" ht="15" hidden="false" customHeight="false" outlineLevel="0" collapsed="false">
      <c r="A1913" s="652" t="n">
        <v>45938</v>
      </c>
      <c r="B1913" s="123" t="n">
        <v>1510</v>
      </c>
      <c r="C1913" s="124" t="s">
        <v>107</v>
      </c>
      <c r="D1913" s="124" t="s">
        <v>105</v>
      </c>
      <c r="E1913" s="123" t="n">
        <v>506</v>
      </c>
      <c r="G1913" s="653" t="n">
        <v>1529.5</v>
      </c>
      <c r="H1913" s="123" t="n">
        <v>0</v>
      </c>
      <c r="K1913" s="123" t="n">
        <v>2</v>
      </c>
    </row>
    <row r="1914" customFormat="false" ht="15" hidden="false" customHeight="false" outlineLevel="0" collapsed="false">
      <c r="A1914" s="652" t="n">
        <v>45938</v>
      </c>
      <c r="B1914" s="123" t="n">
        <v>1511</v>
      </c>
      <c r="C1914" s="124" t="s">
        <v>109</v>
      </c>
      <c r="D1914" s="124" t="s">
        <v>105</v>
      </c>
      <c r="E1914" s="653" t="n">
        <v>241.5</v>
      </c>
      <c r="G1914" s="123" t="n">
        <v>1771</v>
      </c>
      <c r="H1914" s="653" t="n">
        <v>0.5</v>
      </c>
      <c r="M1914" s="123" t="n">
        <v>1</v>
      </c>
    </row>
    <row r="1915" customFormat="false" ht="15" hidden="false" customHeight="false" outlineLevel="0" collapsed="false">
      <c r="A1915" s="652" t="n">
        <v>45938</v>
      </c>
      <c r="B1915" s="123" t="n">
        <v>1512</v>
      </c>
      <c r="C1915" s="124" t="s">
        <v>104</v>
      </c>
      <c r="D1915" s="124" t="s">
        <v>105</v>
      </c>
      <c r="E1915" s="653" t="n">
        <v>822.25</v>
      </c>
      <c r="G1915" s="653" t="n">
        <v>2593.25</v>
      </c>
      <c r="L1915" s="123" t="n">
        <v>3</v>
      </c>
    </row>
    <row r="1916" customFormat="false" ht="15" hidden="false" customHeight="false" outlineLevel="0" collapsed="false">
      <c r="A1916" s="652" t="n">
        <v>45938</v>
      </c>
      <c r="B1916" s="123" t="n">
        <v>1513</v>
      </c>
      <c r="C1916" s="124" t="s">
        <v>89</v>
      </c>
      <c r="D1916" s="124" t="s">
        <v>75</v>
      </c>
      <c r="E1916" s="123" t="n">
        <v>460</v>
      </c>
      <c r="G1916" s="653" t="n">
        <v>3053.25</v>
      </c>
      <c r="H1916" s="123" t="n">
        <v>0</v>
      </c>
      <c r="K1916" s="123" t="n">
        <v>2</v>
      </c>
    </row>
    <row r="1917" customFormat="false" ht="15" hidden="false" customHeight="false" outlineLevel="0" collapsed="false">
      <c r="A1917" s="652" t="n">
        <v>45939</v>
      </c>
      <c r="B1917" s="124" t="s">
        <v>653</v>
      </c>
      <c r="C1917" s="124" t="s">
        <v>393</v>
      </c>
      <c r="F1917" s="123" t="n">
        <v>353</v>
      </c>
      <c r="G1917" s="653" t="n">
        <v>2700.25</v>
      </c>
    </row>
    <row r="1918" customFormat="false" ht="15" hidden="false" customHeight="false" outlineLevel="0" collapsed="false">
      <c r="A1918" s="652" t="n">
        <v>45939</v>
      </c>
      <c r="B1918" s="124" t="s">
        <v>470</v>
      </c>
      <c r="C1918" s="124" t="s">
        <v>393</v>
      </c>
      <c r="F1918" s="123" t="n">
        <v>2700</v>
      </c>
      <c r="G1918" s="653" t="n">
        <v>0.25</v>
      </c>
    </row>
    <row r="1919" customFormat="false" ht="15" hidden="false" customHeight="false" outlineLevel="0" collapsed="false">
      <c r="A1919" s="652" t="n">
        <v>45939</v>
      </c>
      <c r="B1919" s="123" t="n">
        <v>1514</v>
      </c>
      <c r="C1919" s="124" t="s">
        <v>160</v>
      </c>
      <c r="D1919" s="124" t="s">
        <v>127</v>
      </c>
      <c r="E1919" s="653" t="n">
        <v>1506.5</v>
      </c>
      <c r="G1919" s="653" t="n">
        <v>1506.75</v>
      </c>
      <c r="H1919" s="123" t="n">
        <v>0</v>
      </c>
      <c r="I1919" s="123" t="n">
        <v>3</v>
      </c>
      <c r="K1919" s="123" t="n">
        <v>2</v>
      </c>
      <c r="P1919" s="123" t="n">
        <v>1</v>
      </c>
    </row>
    <row r="1920" customFormat="false" ht="15" hidden="false" customHeight="false" outlineLevel="0" collapsed="false">
      <c r="A1920" s="652" t="n">
        <v>45939</v>
      </c>
      <c r="B1920" s="123" t="n">
        <v>1515</v>
      </c>
      <c r="C1920" s="124" t="s">
        <v>168</v>
      </c>
      <c r="D1920" s="124" t="s">
        <v>127</v>
      </c>
      <c r="E1920" s="653" t="n">
        <v>1828.5</v>
      </c>
      <c r="G1920" s="653" t="n">
        <v>3335.25</v>
      </c>
      <c r="H1920" s="653" t="n">
        <v>0.5</v>
      </c>
      <c r="I1920" s="123" t="n">
        <v>6</v>
      </c>
      <c r="O1920" s="123" t="n">
        <v>1</v>
      </c>
    </row>
    <row r="1921" customFormat="false" ht="15" hidden="false" customHeight="false" outlineLevel="0" collapsed="false">
      <c r="A1921" s="652" t="n">
        <v>45939</v>
      </c>
      <c r="B1921" s="123" t="n">
        <v>1516</v>
      </c>
      <c r="C1921" s="124" t="s">
        <v>132</v>
      </c>
      <c r="D1921" s="124" t="s">
        <v>127</v>
      </c>
      <c r="E1921" s="653" t="n">
        <v>1443.25</v>
      </c>
      <c r="G1921" s="653" t="n">
        <v>4778.5</v>
      </c>
      <c r="H1921" s="653" t="n">
        <v>0.25</v>
      </c>
      <c r="I1921" s="123" t="n">
        <v>3</v>
      </c>
      <c r="K1921" s="123" t="n">
        <v>2</v>
      </c>
    </row>
    <row r="1922" customFormat="false" ht="15" hidden="false" customHeight="false" outlineLevel="0" collapsed="false">
      <c r="A1922" s="652" t="n">
        <v>45939</v>
      </c>
      <c r="B1922" s="123" t="n">
        <v>1517</v>
      </c>
      <c r="C1922" s="124" t="s">
        <v>134</v>
      </c>
      <c r="D1922" s="124" t="s">
        <v>127</v>
      </c>
      <c r="E1922" s="653" t="n">
        <v>2748.5</v>
      </c>
      <c r="G1922" s="123" t="n">
        <v>7527</v>
      </c>
      <c r="H1922" s="653" t="n">
        <v>-1.5</v>
      </c>
      <c r="I1922" s="123" t="n">
        <v>3</v>
      </c>
      <c r="K1922" s="123" t="n">
        <v>1</v>
      </c>
      <c r="M1922" s="123" t="n">
        <v>3</v>
      </c>
      <c r="O1922" s="123" t="n">
        <v>2</v>
      </c>
      <c r="P1922" s="123" t="n">
        <v>2</v>
      </c>
    </row>
    <row r="1923" customFormat="false" ht="15" hidden="false" customHeight="false" outlineLevel="0" collapsed="false">
      <c r="A1923" s="652" t="n">
        <v>45939</v>
      </c>
      <c r="B1923" s="123" t="n">
        <v>1518</v>
      </c>
      <c r="C1923" s="124" t="s">
        <v>277</v>
      </c>
      <c r="D1923" s="124" t="s">
        <v>127</v>
      </c>
      <c r="E1923" s="123" t="n">
        <v>253</v>
      </c>
      <c r="G1923" s="123" t="n">
        <v>7780</v>
      </c>
      <c r="H1923" s="123" t="n">
        <v>0</v>
      </c>
      <c r="K1923" s="123" t="n">
        <v>1</v>
      </c>
    </row>
    <row r="1924" customFormat="false" ht="15" hidden="false" customHeight="false" outlineLevel="0" collapsed="false">
      <c r="A1924" s="652" t="n">
        <v>45939</v>
      </c>
      <c r="B1924" s="124" t="s">
        <v>470</v>
      </c>
      <c r="C1924" s="124" t="s">
        <v>393</v>
      </c>
      <c r="F1924" s="123" t="n">
        <v>1638</v>
      </c>
      <c r="G1924" s="123" t="n">
        <v>6142</v>
      </c>
    </row>
    <row r="1925" customFormat="false" ht="15" hidden="false" customHeight="false" outlineLevel="0" collapsed="false">
      <c r="A1925" s="652" t="n">
        <v>45939</v>
      </c>
      <c r="B1925" s="124" t="s">
        <v>662</v>
      </c>
      <c r="C1925" s="124" t="s">
        <v>393</v>
      </c>
      <c r="F1925" s="123" t="n">
        <v>6142</v>
      </c>
      <c r="G1925" s="123" t="n">
        <v>0</v>
      </c>
    </row>
    <row r="1926" customFormat="false" ht="15" hidden="false" customHeight="false" outlineLevel="0" collapsed="false">
      <c r="A1926" s="652" t="n">
        <v>45942</v>
      </c>
      <c r="B1926" s="123" t="n">
        <v>1519</v>
      </c>
      <c r="C1926" s="124" t="s">
        <v>298</v>
      </c>
      <c r="D1926" s="124" t="s">
        <v>286</v>
      </c>
      <c r="E1926" s="653" t="n">
        <v>845.25</v>
      </c>
      <c r="G1926" s="653" t="n">
        <v>845.25</v>
      </c>
      <c r="H1926" s="653" t="n">
        <v>0.75</v>
      </c>
      <c r="I1926" s="123" t="n">
        <v>3</v>
      </c>
    </row>
    <row r="1927" customFormat="false" ht="15" hidden="false" customHeight="false" outlineLevel="0" collapsed="false">
      <c r="A1927" s="652" t="n">
        <v>45942</v>
      </c>
      <c r="B1927" s="123" t="n">
        <v>1520</v>
      </c>
      <c r="C1927" s="124" t="s">
        <v>298</v>
      </c>
      <c r="D1927" s="124" t="s">
        <v>286</v>
      </c>
      <c r="E1927" s="653" t="n">
        <v>310.5</v>
      </c>
      <c r="G1927" s="653" t="n">
        <v>1155.75</v>
      </c>
      <c r="O1927" s="123" t="n">
        <v>1</v>
      </c>
    </row>
    <row r="1928" customFormat="false" ht="15" hidden="false" customHeight="false" outlineLevel="0" collapsed="false">
      <c r="A1928" s="652" t="n">
        <v>45942</v>
      </c>
      <c r="B1928" s="123" t="n">
        <v>1521</v>
      </c>
      <c r="C1928" s="124" t="s">
        <v>290</v>
      </c>
      <c r="D1928" s="124" t="s">
        <v>286</v>
      </c>
      <c r="E1928" s="653" t="n">
        <v>845.25</v>
      </c>
      <c r="G1928" s="123" t="n">
        <v>2001</v>
      </c>
      <c r="H1928" s="123" t="n">
        <v>0</v>
      </c>
      <c r="I1928" s="123" t="n">
        <v>3</v>
      </c>
    </row>
    <row r="1929" customFormat="false" ht="15" hidden="false" customHeight="false" outlineLevel="0" collapsed="false">
      <c r="A1929" s="652" t="n">
        <v>45942</v>
      </c>
      <c r="B1929" s="124" t="s">
        <v>662</v>
      </c>
      <c r="C1929" s="124" t="s">
        <v>393</v>
      </c>
      <c r="F1929" s="123" t="n">
        <v>2000</v>
      </c>
      <c r="G1929" s="123" t="n">
        <v>1</v>
      </c>
    </row>
    <row r="1930" customFormat="false" ht="15" hidden="false" customHeight="false" outlineLevel="0" collapsed="false">
      <c r="A1930" s="652" t="n">
        <v>45943</v>
      </c>
      <c r="B1930" s="123" t="n">
        <v>1522</v>
      </c>
      <c r="C1930" s="124" t="s">
        <v>315</v>
      </c>
      <c r="D1930" s="124" t="s">
        <v>301</v>
      </c>
      <c r="E1930" s="653" t="n">
        <v>845.25</v>
      </c>
      <c r="G1930" s="653" t="n">
        <v>846.25</v>
      </c>
      <c r="I1930" s="123" t="n">
        <v>3</v>
      </c>
    </row>
    <row r="1931" customFormat="false" ht="15" hidden="false" customHeight="false" outlineLevel="0" collapsed="false">
      <c r="A1931" s="652" t="n">
        <v>45943</v>
      </c>
      <c r="B1931" s="123" t="n">
        <v>1523</v>
      </c>
      <c r="C1931" s="124" t="s">
        <v>225</v>
      </c>
      <c r="D1931" s="124" t="s">
        <v>127</v>
      </c>
      <c r="E1931" s="653" t="n">
        <v>1661.75</v>
      </c>
      <c r="G1931" s="123" t="n">
        <v>2508</v>
      </c>
      <c r="H1931" s="123" t="n">
        <v>0</v>
      </c>
      <c r="I1931" s="123" t="n">
        <v>3</v>
      </c>
      <c r="J1931" s="123" t="n">
        <v>1</v>
      </c>
      <c r="K1931" s="123" t="n">
        <v>2</v>
      </c>
      <c r="P1931" s="123" t="n">
        <v>1</v>
      </c>
    </row>
    <row r="1932" customFormat="false" ht="15" hidden="false" customHeight="false" outlineLevel="0" collapsed="false">
      <c r="A1932" s="652" t="n">
        <v>45943</v>
      </c>
      <c r="B1932" s="124" t="s">
        <v>653</v>
      </c>
      <c r="C1932" s="124" t="s">
        <v>393</v>
      </c>
      <c r="F1932" s="123" t="n">
        <v>2508</v>
      </c>
      <c r="G1932" s="123" t="n">
        <v>0</v>
      </c>
    </row>
    <row r="1933" customFormat="false" ht="15" hidden="false" customHeight="false" outlineLevel="0" collapsed="false">
      <c r="A1933" s="652" t="n">
        <v>45943</v>
      </c>
      <c r="B1933" s="123" t="n">
        <v>1524</v>
      </c>
      <c r="C1933" s="124" t="s">
        <v>244</v>
      </c>
      <c r="D1933" s="124" t="s">
        <v>127</v>
      </c>
      <c r="E1933" s="123" t="n">
        <v>1679</v>
      </c>
      <c r="G1933" s="123" t="n">
        <v>1679</v>
      </c>
      <c r="H1933" s="123" t="n">
        <v>0</v>
      </c>
      <c r="O1933" s="123" t="n">
        <v>3</v>
      </c>
      <c r="P1933" s="123" t="n">
        <v>4</v>
      </c>
    </row>
    <row r="1934" customFormat="false" ht="15" hidden="false" customHeight="false" outlineLevel="0" collapsed="false">
      <c r="A1934" s="652" t="n">
        <v>45943</v>
      </c>
      <c r="B1934" s="123" t="n">
        <v>1525</v>
      </c>
      <c r="C1934" s="124" t="s">
        <v>259</v>
      </c>
      <c r="D1934" s="124" t="s">
        <v>127</v>
      </c>
      <c r="E1934" s="653" t="n">
        <v>845.25</v>
      </c>
      <c r="G1934" s="653" t="n">
        <v>2524.25</v>
      </c>
      <c r="I1934" s="123" t="n">
        <v>3</v>
      </c>
    </row>
    <row r="1935" customFormat="false" ht="15" hidden="false" customHeight="false" outlineLevel="0" collapsed="false">
      <c r="A1935" s="652" t="n">
        <v>45943</v>
      </c>
      <c r="B1935" s="124" t="s">
        <v>470</v>
      </c>
      <c r="C1935" s="124" t="s">
        <v>393</v>
      </c>
      <c r="F1935" s="123" t="n">
        <v>2523</v>
      </c>
      <c r="G1935" s="653" t="n">
        <v>1.25</v>
      </c>
    </row>
    <row r="1936" customFormat="false" ht="15" hidden="false" customHeight="false" outlineLevel="0" collapsed="false">
      <c r="A1936" s="652" t="n">
        <v>45945</v>
      </c>
      <c r="B1936" s="123" t="n">
        <v>1526</v>
      </c>
      <c r="C1936" s="124" t="s">
        <v>95</v>
      </c>
      <c r="D1936" s="124" t="s">
        <v>75</v>
      </c>
      <c r="E1936" s="653" t="n">
        <v>822.25</v>
      </c>
      <c r="G1936" s="653" t="n">
        <v>823.5</v>
      </c>
      <c r="H1936" s="653" t="n">
        <v>0.25</v>
      </c>
      <c r="L1936" s="123" t="n">
        <v>3</v>
      </c>
    </row>
    <row r="1937" customFormat="false" ht="15" hidden="false" customHeight="false" outlineLevel="0" collapsed="false">
      <c r="A1937" s="652" t="n">
        <v>45945</v>
      </c>
      <c r="B1937" s="123" t="n">
        <v>1527</v>
      </c>
      <c r="C1937" s="124" t="s">
        <v>92</v>
      </c>
      <c r="D1937" s="124" t="s">
        <v>75</v>
      </c>
      <c r="E1937" s="123" t="n">
        <v>483</v>
      </c>
      <c r="G1937" s="653" t="n">
        <v>1306.5</v>
      </c>
      <c r="M1937" s="123" t="n">
        <v>2</v>
      </c>
    </row>
    <row r="1938" customFormat="false" ht="15" hidden="false" customHeight="false" outlineLevel="0" collapsed="false">
      <c r="A1938" s="652" t="n">
        <v>45945</v>
      </c>
      <c r="B1938" s="123" t="n">
        <v>1528</v>
      </c>
      <c r="C1938" s="124" t="s">
        <v>94</v>
      </c>
      <c r="D1938" s="124" t="s">
        <v>75</v>
      </c>
      <c r="E1938" s="123" t="n">
        <v>207</v>
      </c>
      <c r="G1938" s="653" t="n">
        <v>1513.5</v>
      </c>
      <c r="P1938" s="123" t="n">
        <v>1</v>
      </c>
    </row>
    <row r="1939" customFormat="false" ht="15" hidden="false" customHeight="false" outlineLevel="0" collapsed="false">
      <c r="A1939" s="652" t="n">
        <v>45945</v>
      </c>
      <c r="B1939" s="123" t="n">
        <v>1529</v>
      </c>
      <c r="C1939" s="124" t="s">
        <v>106</v>
      </c>
      <c r="D1939" s="124" t="s">
        <v>105</v>
      </c>
      <c r="E1939" s="653" t="n">
        <v>845.25</v>
      </c>
      <c r="G1939" s="653" t="n">
        <v>2358.75</v>
      </c>
      <c r="H1939" s="653" t="n">
        <v>0.25</v>
      </c>
      <c r="I1939" s="123" t="n">
        <v>3</v>
      </c>
    </row>
    <row r="1940" customFormat="false" ht="15" hidden="false" customHeight="false" outlineLevel="0" collapsed="false">
      <c r="A1940" s="652" t="n">
        <v>45945</v>
      </c>
      <c r="B1940" s="123" t="n">
        <v>1530</v>
      </c>
      <c r="C1940" s="124" t="s">
        <v>113</v>
      </c>
      <c r="D1940" s="124" t="s">
        <v>105</v>
      </c>
      <c r="E1940" s="653" t="n">
        <v>1667.5</v>
      </c>
      <c r="G1940" s="653" t="n">
        <v>4026.25</v>
      </c>
      <c r="H1940" s="653" t="n">
        <v>-1.5</v>
      </c>
      <c r="I1940" s="123" t="n">
        <v>3</v>
      </c>
      <c r="L1940" s="123" t="n">
        <v>3</v>
      </c>
    </row>
    <row r="1941" customFormat="false" ht="15" hidden="false" customHeight="false" outlineLevel="0" collapsed="false">
      <c r="A1941" s="652" t="n">
        <v>45945</v>
      </c>
      <c r="B1941" s="123" t="n">
        <v>1531</v>
      </c>
      <c r="C1941" s="124" t="s">
        <v>112</v>
      </c>
      <c r="D1941" s="124" t="s">
        <v>105</v>
      </c>
      <c r="E1941" s="653" t="n">
        <v>845.25</v>
      </c>
      <c r="G1941" s="653" t="n">
        <v>4871.5</v>
      </c>
      <c r="H1941" s="653" t="n">
        <v>0.25</v>
      </c>
      <c r="I1941" s="123" t="n">
        <v>3</v>
      </c>
    </row>
    <row r="1942" customFormat="false" ht="15" hidden="false" customHeight="false" outlineLevel="0" collapsed="false">
      <c r="A1942" s="652" t="n">
        <v>45945</v>
      </c>
      <c r="B1942" s="123" t="n">
        <v>1532</v>
      </c>
      <c r="C1942" s="124" t="s">
        <v>104</v>
      </c>
      <c r="D1942" s="124" t="s">
        <v>105</v>
      </c>
      <c r="E1942" s="653" t="n">
        <v>845.25</v>
      </c>
      <c r="G1942" s="653" t="n">
        <v>5716.75</v>
      </c>
      <c r="I1942" s="123" t="n">
        <v>3</v>
      </c>
    </row>
    <row r="1943" customFormat="false" ht="15" hidden="false" customHeight="false" outlineLevel="0" collapsed="false">
      <c r="A1943" s="652" t="n">
        <v>45945</v>
      </c>
      <c r="B1943" s="123" t="n">
        <v>1533</v>
      </c>
      <c r="C1943" s="124" t="s">
        <v>107</v>
      </c>
      <c r="D1943" s="124" t="s">
        <v>105</v>
      </c>
      <c r="E1943" s="653" t="n">
        <v>845.25</v>
      </c>
      <c r="G1943" s="123" t="n">
        <v>6562</v>
      </c>
      <c r="I1943" s="123" t="n">
        <v>3</v>
      </c>
    </row>
    <row r="1944" customFormat="false" ht="15" hidden="false" customHeight="false" outlineLevel="0" collapsed="false">
      <c r="A1944" s="652" t="n">
        <v>45945</v>
      </c>
      <c r="B1944" s="123" t="n">
        <v>1534</v>
      </c>
      <c r="C1944" s="124" t="s">
        <v>108</v>
      </c>
      <c r="D1944" s="124" t="s">
        <v>105</v>
      </c>
      <c r="E1944" s="653" t="n">
        <v>3524.75</v>
      </c>
      <c r="G1944" s="653" t="n">
        <v>10086.75</v>
      </c>
      <c r="H1944" s="123" t="n">
        <v>0</v>
      </c>
      <c r="I1944" s="123" t="n">
        <v>6</v>
      </c>
      <c r="J1944" s="123" t="n">
        <v>1</v>
      </c>
      <c r="K1944" s="123" t="n">
        <v>7</v>
      </c>
    </row>
    <row r="1945" customFormat="false" ht="15" hidden="false" customHeight="false" outlineLevel="0" collapsed="false">
      <c r="A1945" s="652" t="n">
        <v>45945</v>
      </c>
      <c r="B1945" s="123" t="n">
        <v>1535</v>
      </c>
      <c r="C1945" s="124" t="s">
        <v>147</v>
      </c>
      <c r="D1945" s="124" t="s">
        <v>127</v>
      </c>
      <c r="E1945" s="123" t="n">
        <v>138</v>
      </c>
      <c r="G1945" s="653" t="n">
        <v>10224.75</v>
      </c>
      <c r="O1945" s="123" t="n">
        <v>1</v>
      </c>
    </row>
    <row r="1946" customFormat="false" ht="15" hidden="false" customHeight="false" outlineLevel="0" collapsed="false">
      <c r="A1946" s="652" t="n">
        <v>45945</v>
      </c>
      <c r="B1946" s="124" t="s">
        <v>470</v>
      </c>
      <c r="C1946" s="124" t="s">
        <v>393</v>
      </c>
      <c r="F1946" s="653" t="n">
        <v>9379.25</v>
      </c>
      <c r="G1946" s="653" t="n">
        <v>845.5</v>
      </c>
    </row>
    <row r="1947" customFormat="false" ht="15" hidden="false" customHeight="false" outlineLevel="0" collapsed="false">
      <c r="A1947" s="652" t="n">
        <v>45945</v>
      </c>
      <c r="B1947" s="124" t="s">
        <v>662</v>
      </c>
      <c r="C1947" s="124" t="s">
        <v>393</v>
      </c>
      <c r="F1947" s="123" t="n">
        <v>845</v>
      </c>
      <c r="G1947" s="653" t="n">
        <v>0.5</v>
      </c>
    </row>
    <row r="1948" customFormat="false" ht="15" hidden="false" customHeight="false" outlineLevel="0" collapsed="false">
      <c r="A1948" s="652" t="n">
        <v>45948</v>
      </c>
      <c r="B1948" s="123" t="n">
        <v>1536</v>
      </c>
      <c r="C1948" s="124" t="s">
        <v>298</v>
      </c>
      <c r="D1948" s="124" t="s">
        <v>286</v>
      </c>
      <c r="E1948" s="653" t="n">
        <v>1558.25</v>
      </c>
      <c r="G1948" s="653" t="n">
        <v>1558.75</v>
      </c>
      <c r="H1948" s="653" t="n">
        <v>0.25</v>
      </c>
      <c r="K1948" s="123" t="n">
        <v>2</v>
      </c>
      <c r="L1948" s="123" t="n">
        <v>3</v>
      </c>
      <c r="O1948" s="123" t="n">
        <v>1</v>
      </c>
    </row>
    <row r="1949" customFormat="false" ht="15" hidden="false" customHeight="false" outlineLevel="0" collapsed="false">
      <c r="A1949" s="652" t="n">
        <v>45949</v>
      </c>
      <c r="B1949" s="123" t="n">
        <v>1537</v>
      </c>
      <c r="C1949" s="124" t="s">
        <v>293</v>
      </c>
      <c r="D1949" s="124" t="s">
        <v>286</v>
      </c>
      <c r="E1949" s="123" t="n">
        <v>483</v>
      </c>
      <c r="G1949" s="653" t="n">
        <v>2041.75</v>
      </c>
      <c r="H1949" s="123" t="n">
        <v>0</v>
      </c>
      <c r="M1949" s="123" t="n">
        <v>2</v>
      </c>
    </row>
    <row r="1950" customFormat="false" ht="15" hidden="false" customHeight="false" outlineLevel="0" collapsed="false">
      <c r="A1950" s="652" t="n">
        <v>45949</v>
      </c>
      <c r="B1950" s="123" t="n">
        <v>1538</v>
      </c>
      <c r="C1950" s="124" t="s">
        <v>309</v>
      </c>
      <c r="D1950" s="124" t="s">
        <v>301</v>
      </c>
      <c r="E1950" s="653" t="n">
        <v>402.5</v>
      </c>
      <c r="G1950" s="653" t="n">
        <v>2444.25</v>
      </c>
      <c r="H1950" s="653" t="n">
        <v>1.5</v>
      </c>
      <c r="O1950" s="123" t="n">
        <v>1</v>
      </c>
      <c r="P1950" s="123" t="n">
        <v>1</v>
      </c>
    </row>
    <row r="1951" customFormat="false" ht="15" hidden="false" customHeight="false" outlineLevel="0" collapsed="false">
      <c r="A1951" s="652" t="n">
        <v>45949</v>
      </c>
      <c r="B1951" s="123" t="n">
        <v>1539</v>
      </c>
      <c r="C1951" s="124" t="s">
        <v>317</v>
      </c>
      <c r="D1951" s="124" t="s">
        <v>224</v>
      </c>
      <c r="E1951" s="123" t="n">
        <v>391</v>
      </c>
      <c r="G1951" s="653" t="n">
        <v>2835.25</v>
      </c>
      <c r="O1951" s="123" t="n">
        <v>2</v>
      </c>
    </row>
    <row r="1952" customFormat="false" ht="15" hidden="false" customHeight="false" outlineLevel="0" collapsed="false">
      <c r="A1952" s="652" t="n">
        <v>45949</v>
      </c>
      <c r="B1952" s="123" t="n">
        <v>1540</v>
      </c>
      <c r="C1952" s="124" t="s">
        <v>317</v>
      </c>
      <c r="D1952" s="124" t="s">
        <v>224</v>
      </c>
      <c r="E1952" s="653" t="n">
        <v>241.5</v>
      </c>
      <c r="G1952" s="653" t="n">
        <v>3076.75</v>
      </c>
      <c r="H1952" s="653" t="n">
        <v>0.25</v>
      </c>
      <c r="M1952" s="123" t="n">
        <v>1</v>
      </c>
    </row>
    <row r="1953" customFormat="false" ht="15" hidden="false" customHeight="false" outlineLevel="0" collapsed="false">
      <c r="A1953" s="652" t="n">
        <v>45949</v>
      </c>
      <c r="B1953" s="124" t="s">
        <v>470</v>
      </c>
      <c r="C1953" s="124" t="s">
        <v>393</v>
      </c>
      <c r="F1953" s="123" t="n">
        <v>1722</v>
      </c>
      <c r="G1953" s="653" t="n">
        <v>1354.75</v>
      </c>
    </row>
    <row r="1954" customFormat="false" ht="15" hidden="false" customHeight="false" outlineLevel="0" collapsed="false">
      <c r="A1954" s="652" t="n">
        <v>45949</v>
      </c>
      <c r="B1954" s="124" t="s">
        <v>653</v>
      </c>
      <c r="C1954" s="124" t="s">
        <v>393</v>
      </c>
      <c r="F1954" s="123" t="n">
        <v>1354</v>
      </c>
      <c r="G1954" s="653" t="n">
        <v>0.75</v>
      </c>
    </row>
    <row r="1955" customFormat="false" ht="15" hidden="false" customHeight="false" outlineLevel="0" collapsed="false">
      <c r="A1955" s="652" t="n">
        <v>45950</v>
      </c>
      <c r="B1955" s="123" t="n">
        <v>1541</v>
      </c>
      <c r="C1955" s="124" t="s">
        <v>145</v>
      </c>
      <c r="D1955" s="124" t="s">
        <v>127</v>
      </c>
      <c r="E1955" s="653" t="n">
        <v>822.25</v>
      </c>
      <c r="G1955" s="123" t="n">
        <v>823</v>
      </c>
      <c r="H1955" s="653" t="n">
        <v>-3.75</v>
      </c>
      <c r="L1955" s="123" t="n">
        <v>3</v>
      </c>
    </row>
    <row r="1956" customFormat="false" ht="15" hidden="false" customHeight="false" outlineLevel="0" collapsed="false">
      <c r="A1956" s="652" t="n">
        <v>45950</v>
      </c>
      <c r="B1956" s="123" t="n">
        <v>1542</v>
      </c>
      <c r="C1956" s="124" t="s">
        <v>184</v>
      </c>
      <c r="D1956" s="124" t="s">
        <v>127</v>
      </c>
      <c r="E1956" s="123" t="n">
        <v>253</v>
      </c>
      <c r="G1956" s="123" t="n">
        <v>1076</v>
      </c>
      <c r="K1956" s="123" t="n">
        <v>1</v>
      </c>
    </row>
    <row r="1957" customFormat="false" ht="15" hidden="false" customHeight="false" outlineLevel="0" collapsed="false">
      <c r="A1957" s="652" t="n">
        <v>45950</v>
      </c>
      <c r="B1957" s="123" t="n">
        <v>1543</v>
      </c>
      <c r="C1957" s="124" t="s">
        <v>178</v>
      </c>
      <c r="D1957" s="124" t="s">
        <v>127</v>
      </c>
      <c r="E1957" s="653" t="n">
        <v>310.5</v>
      </c>
      <c r="G1957" s="653" t="n">
        <v>1386.5</v>
      </c>
      <c r="O1957" s="123" t="n">
        <v>1</v>
      </c>
    </row>
    <row r="1958" customFormat="false" ht="15" hidden="false" customHeight="false" outlineLevel="0" collapsed="false">
      <c r="A1958" s="652" t="n">
        <v>45950</v>
      </c>
      <c r="B1958" s="123" t="n">
        <v>1544</v>
      </c>
      <c r="C1958" s="124" t="s">
        <v>264</v>
      </c>
      <c r="D1958" s="124" t="s">
        <v>127</v>
      </c>
      <c r="E1958" s="653" t="n">
        <v>310.5</v>
      </c>
      <c r="G1958" s="123" t="n">
        <v>1697</v>
      </c>
      <c r="H1958" s="123" t="n">
        <v>0</v>
      </c>
      <c r="P1958" s="123" t="n">
        <v>2</v>
      </c>
    </row>
    <row r="1959" customFormat="false" ht="15" hidden="false" customHeight="false" outlineLevel="0" collapsed="false">
      <c r="A1959" s="652" t="n">
        <v>45950</v>
      </c>
      <c r="B1959" s="124" t="s">
        <v>470</v>
      </c>
      <c r="C1959" s="124" t="s">
        <v>393</v>
      </c>
      <c r="F1959" s="653" t="n">
        <v>1696.75</v>
      </c>
      <c r="G1959" s="653" t="n">
        <v>0.25</v>
      </c>
    </row>
    <row r="1960" customFormat="false" ht="15" hidden="false" customHeight="false" outlineLevel="0" collapsed="false">
      <c r="A1960" s="652" t="n">
        <v>45951</v>
      </c>
      <c r="B1960" s="123" t="n">
        <v>1545</v>
      </c>
      <c r="C1960" s="124" t="s">
        <v>183</v>
      </c>
      <c r="D1960" s="124" t="s">
        <v>127</v>
      </c>
      <c r="E1960" s="123" t="n">
        <v>345</v>
      </c>
      <c r="G1960" s="653" t="n">
        <v>345.25</v>
      </c>
      <c r="K1960" s="123" t="n">
        <v>1</v>
      </c>
    </row>
    <row r="1961" customFormat="false" ht="15" hidden="false" customHeight="false" outlineLevel="0" collapsed="false">
      <c r="A1961" s="652" t="n">
        <v>45951</v>
      </c>
      <c r="B1961" s="123" t="n">
        <v>1546</v>
      </c>
      <c r="C1961" s="124" t="s">
        <v>277</v>
      </c>
      <c r="D1961" s="124" t="s">
        <v>127</v>
      </c>
      <c r="E1961" s="653" t="n">
        <v>1213.25</v>
      </c>
      <c r="G1961" s="653" t="n">
        <v>1558.5</v>
      </c>
      <c r="H1961" s="123" t="n">
        <v>0</v>
      </c>
      <c r="I1961" s="123" t="n">
        <v>3</v>
      </c>
      <c r="K1961" s="123" t="n">
        <v>1</v>
      </c>
      <c r="O1961" s="123" t="n">
        <v>1</v>
      </c>
    </row>
    <row r="1962" customFormat="false" ht="15" hidden="false" customHeight="false" outlineLevel="0" collapsed="false">
      <c r="A1962" s="652" t="n">
        <v>45951</v>
      </c>
      <c r="B1962" s="124" t="s">
        <v>470</v>
      </c>
      <c r="C1962" s="124" t="s">
        <v>393</v>
      </c>
      <c r="F1962" s="653" t="n">
        <v>1558.25</v>
      </c>
      <c r="G1962" s="653" t="n">
        <v>0.25</v>
      </c>
    </row>
    <row r="1963" customFormat="false" ht="15" hidden="false" customHeight="false" outlineLevel="0" collapsed="false">
      <c r="A1963" s="652" t="n">
        <v>45943</v>
      </c>
      <c r="B1963" s="123" t="n">
        <v>1548</v>
      </c>
      <c r="C1963" s="124" t="s">
        <v>116</v>
      </c>
      <c r="D1963" s="124" t="s">
        <v>105</v>
      </c>
      <c r="E1963" s="653" t="n">
        <v>1023.5</v>
      </c>
      <c r="G1963" s="653" t="n">
        <v>1023.75</v>
      </c>
      <c r="H1963" s="653" t="n">
        <v>0.5</v>
      </c>
      <c r="I1963" s="123" t="n">
        <v>3</v>
      </c>
      <c r="J1963" s="123" t="n">
        <v>1</v>
      </c>
    </row>
    <row r="1964" customFormat="false" ht="15" hidden="false" customHeight="false" outlineLevel="0" collapsed="false">
      <c r="A1964" s="652" t="n">
        <v>45952</v>
      </c>
      <c r="B1964" s="123" t="n">
        <v>1547</v>
      </c>
      <c r="C1964" s="124" t="s">
        <v>96</v>
      </c>
      <c r="D1964" s="124" t="s">
        <v>75</v>
      </c>
      <c r="E1964" s="123" t="n">
        <v>345</v>
      </c>
      <c r="G1964" s="653" t="n">
        <v>1368.75</v>
      </c>
      <c r="H1964" s="123" t="n">
        <v>0</v>
      </c>
      <c r="K1964" s="123" t="n">
        <v>1</v>
      </c>
    </row>
    <row r="1965" customFormat="false" ht="15" hidden="false" customHeight="false" outlineLevel="0" collapsed="false">
      <c r="A1965" s="652" t="n">
        <v>45945</v>
      </c>
      <c r="B1965" s="123" t="n">
        <v>1550</v>
      </c>
      <c r="C1965" s="124" t="s">
        <v>90</v>
      </c>
      <c r="D1965" s="124" t="s">
        <v>75</v>
      </c>
      <c r="E1965" s="653" t="n">
        <v>845.25</v>
      </c>
      <c r="G1965" s="123" t="n">
        <v>2214</v>
      </c>
      <c r="I1965" s="123" t="n">
        <v>3</v>
      </c>
    </row>
    <row r="1966" customFormat="false" ht="15" hidden="false" customHeight="false" outlineLevel="0" collapsed="false">
      <c r="A1966" s="652" t="n">
        <v>45952</v>
      </c>
      <c r="B1966" s="123" t="n">
        <v>1551</v>
      </c>
      <c r="C1966" s="124" t="s">
        <v>94</v>
      </c>
      <c r="D1966" s="124" t="s">
        <v>75</v>
      </c>
      <c r="E1966" s="653" t="n">
        <v>937.25</v>
      </c>
      <c r="G1966" s="653" t="n">
        <v>3151.25</v>
      </c>
      <c r="H1966" s="653" t="n">
        <v>0.25</v>
      </c>
      <c r="K1966" s="123" t="n">
        <v>1</v>
      </c>
      <c r="O1966" s="123" t="n">
        <v>1</v>
      </c>
      <c r="P1966" s="123" t="n">
        <v>2</v>
      </c>
    </row>
    <row r="1967" customFormat="false" ht="15" hidden="false" customHeight="false" outlineLevel="0" collapsed="false">
      <c r="A1967" s="652" t="n">
        <v>45952</v>
      </c>
      <c r="B1967" s="123" t="n">
        <v>1549</v>
      </c>
      <c r="C1967" s="124" t="s">
        <v>89</v>
      </c>
      <c r="D1967" s="124" t="s">
        <v>75</v>
      </c>
      <c r="E1967" s="123" t="n">
        <v>138</v>
      </c>
      <c r="G1967" s="653" t="n">
        <v>3289.25</v>
      </c>
      <c r="O1967" s="123" t="n">
        <v>1</v>
      </c>
    </row>
    <row r="1968" customFormat="false" ht="15" hidden="false" customHeight="false" outlineLevel="0" collapsed="false">
      <c r="A1968" s="652" t="n">
        <v>45952</v>
      </c>
      <c r="B1968" s="124" t="s">
        <v>470</v>
      </c>
      <c r="C1968" s="124" t="s">
        <v>393</v>
      </c>
      <c r="F1968" s="653" t="n">
        <v>863.5</v>
      </c>
      <c r="G1968" s="653" t="n">
        <v>2425.75</v>
      </c>
    </row>
    <row r="1969" customFormat="false" ht="15" hidden="false" customHeight="false" outlineLevel="0" collapsed="false">
      <c r="A1969" s="652" t="n">
        <v>45953</v>
      </c>
      <c r="B1969" s="124" t="s">
        <v>653</v>
      </c>
      <c r="C1969" s="124" t="s">
        <v>393</v>
      </c>
      <c r="F1969" s="123" t="n">
        <v>2425</v>
      </c>
      <c r="G1969" s="653" t="n">
        <v>0.75</v>
      </c>
    </row>
    <row r="1970" customFormat="false" ht="15" hidden="false" customHeight="false" outlineLevel="0" collapsed="false">
      <c r="A1970" s="652" t="n">
        <v>45953</v>
      </c>
      <c r="B1970" s="123" t="n">
        <v>1552</v>
      </c>
      <c r="C1970" s="124" t="s">
        <v>143</v>
      </c>
      <c r="D1970" s="124" t="s">
        <v>127</v>
      </c>
      <c r="E1970" s="653" t="n">
        <v>845.25</v>
      </c>
      <c r="G1970" s="123" t="n">
        <v>846</v>
      </c>
      <c r="H1970" s="653" t="n">
        <v>0.25</v>
      </c>
      <c r="I1970" s="123" t="n">
        <v>3</v>
      </c>
    </row>
    <row r="1971" customFormat="false" ht="15" hidden="false" customHeight="false" outlineLevel="0" collapsed="false">
      <c r="A1971" s="652" t="n">
        <v>45953</v>
      </c>
      <c r="B1971" s="123" t="n">
        <v>1553</v>
      </c>
      <c r="C1971" s="124" t="s">
        <v>234</v>
      </c>
      <c r="D1971" s="124" t="s">
        <v>127</v>
      </c>
      <c r="E1971" s="123" t="n">
        <v>575</v>
      </c>
      <c r="G1971" s="123" t="n">
        <v>1421</v>
      </c>
      <c r="H1971" s="123" t="n">
        <v>3</v>
      </c>
      <c r="O1971" s="123" t="n">
        <v>2</v>
      </c>
      <c r="P1971" s="123" t="n">
        <v>1</v>
      </c>
    </row>
    <row r="1972" customFormat="false" ht="15" hidden="false" customHeight="false" outlineLevel="0" collapsed="false">
      <c r="A1972" s="652" t="n">
        <v>45953</v>
      </c>
      <c r="B1972" s="123" t="n">
        <v>1554</v>
      </c>
      <c r="C1972" s="124" t="s">
        <v>184</v>
      </c>
      <c r="D1972" s="124" t="s">
        <v>127</v>
      </c>
      <c r="E1972" s="653" t="n">
        <v>845.25</v>
      </c>
      <c r="G1972" s="653" t="n">
        <v>2266.25</v>
      </c>
      <c r="H1972" s="653" t="n">
        <v>0.25</v>
      </c>
      <c r="I1972" s="123" t="n">
        <v>3</v>
      </c>
    </row>
    <row r="1973" customFormat="false" ht="15" hidden="false" customHeight="false" outlineLevel="0" collapsed="false">
      <c r="A1973" s="652" t="n">
        <v>45953</v>
      </c>
      <c r="B1973" s="123" t="n">
        <v>1555</v>
      </c>
      <c r="C1973" s="124" t="s">
        <v>242</v>
      </c>
      <c r="D1973" s="124" t="s">
        <v>127</v>
      </c>
      <c r="E1973" s="653" t="n">
        <v>845.25</v>
      </c>
      <c r="G1973" s="653" t="n">
        <v>3111.5</v>
      </c>
      <c r="I1973" s="123" t="n">
        <v>3</v>
      </c>
    </row>
    <row r="1974" customFormat="false" ht="15" hidden="false" customHeight="false" outlineLevel="0" collapsed="false">
      <c r="A1974" s="652" t="n">
        <v>45955</v>
      </c>
      <c r="B1974" s="123" t="n">
        <v>1556</v>
      </c>
      <c r="C1974" s="124" t="s">
        <v>275</v>
      </c>
      <c r="D1974" s="124" t="s">
        <v>127</v>
      </c>
      <c r="E1974" s="123" t="n">
        <v>1725</v>
      </c>
      <c r="G1974" s="653" t="n">
        <v>4836.5</v>
      </c>
      <c r="I1974" s="123" t="n">
        <v>3</v>
      </c>
      <c r="K1974" s="123" t="n">
        <v>2</v>
      </c>
      <c r="M1974" s="123" t="n">
        <v>1</v>
      </c>
      <c r="P1974" s="123" t="n">
        <v>1</v>
      </c>
    </row>
    <row r="1975" customFormat="false" ht="15" hidden="false" customHeight="false" outlineLevel="0" collapsed="false">
      <c r="A1975" s="652" t="n">
        <v>45953</v>
      </c>
      <c r="B1975" s="124" t="s">
        <v>470</v>
      </c>
      <c r="C1975" s="124" t="s">
        <v>393</v>
      </c>
      <c r="F1975" s="653" t="n">
        <v>3813.5</v>
      </c>
      <c r="G1975" s="123" t="n">
        <v>1023</v>
      </c>
    </row>
    <row r="1976" customFormat="false" ht="15" hidden="false" customHeight="false" outlineLevel="0" collapsed="false">
      <c r="A1976" s="652" t="n">
        <v>45953</v>
      </c>
      <c r="B1976" s="124" t="s">
        <v>662</v>
      </c>
      <c r="C1976" s="124" t="s">
        <v>393</v>
      </c>
      <c r="F1976" s="123" t="n">
        <v>1023</v>
      </c>
      <c r="G1976" s="123" t="n">
        <v>0</v>
      </c>
    </row>
    <row r="1977" customFormat="false" ht="15" hidden="false" customHeight="false" outlineLevel="0" collapsed="false">
      <c r="A1977" s="652" t="n">
        <v>45956</v>
      </c>
      <c r="B1977" s="123" t="n">
        <v>1557</v>
      </c>
      <c r="C1977" s="124" t="s">
        <v>226</v>
      </c>
      <c r="D1977" s="124" t="s">
        <v>127</v>
      </c>
      <c r="E1977" s="123" t="n">
        <v>1357</v>
      </c>
      <c r="G1977" s="123" t="n">
        <v>1357</v>
      </c>
      <c r="H1977" s="123" t="n">
        <v>0</v>
      </c>
      <c r="L1977" s="123" t="n">
        <v>3</v>
      </c>
      <c r="O1977" s="123" t="n">
        <v>2</v>
      </c>
    </row>
    <row r="1978" customFormat="false" ht="15" hidden="false" customHeight="false" outlineLevel="0" collapsed="false">
      <c r="A1978" s="652" t="n">
        <v>45956</v>
      </c>
      <c r="B1978" s="123" t="n">
        <v>1558</v>
      </c>
      <c r="C1978" s="124" t="s">
        <v>276</v>
      </c>
      <c r="D1978" s="124" t="s">
        <v>127</v>
      </c>
      <c r="E1978" s="653" t="n">
        <v>776.25</v>
      </c>
      <c r="G1978" s="653" t="n">
        <v>2133.25</v>
      </c>
      <c r="H1978" s="653" t="n">
        <v>0.25</v>
      </c>
      <c r="P1978" s="123" t="n">
        <v>5</v>
      </c>
    </row>
    <row r="1979" customFormat="false" ht="15" hidden="false" customHeight="false" outlineLevel="0" collapsed="false">
      <c r="A1979" s="652" t="n">
        <v>45956</v>
      </c>
      <c r="B1979" s="123" t="n">
        <v>1660</v>
      </c>
      <c r="C1979" s="124" t="s">
        <v>182</v>
      </c>
      <c r="D1979" s="124" t="s">
        <v>127</v>
      </c>
      <c r="E1979" s="653" t="n">
        <v>1328.25</v>
      </c>
      <c r="G1979" s="653" t="n">
        <v>3461.5</v>
      </c>
      <c r="H1979" s="653" t="n">
        <v>0.25</v>
      </c>
      <c r="I1979" s="123" t="n">
        <v>3</v>
      </c>
      <c r="K1979" s="123" t="n">
        <v>2</v>
      </c>
    </row>
    <row r="1980" customFormat="false" ht="15" hidden="false" customHeight="false" outlineLevel="0" collapsed="false">
      <c r="A1980" s="652" t="n">
        <v>45956</v>
      </c>
      <c r="B1980" s="123" t="n">
        <v>1559</v>
      </c>
      <c r="C1980" s="124" t="s">
        <v>141</v>
      </c>
      <c r="D1980" s="124" t="s">
        <v>127</v>
      </c>
      <c r="E1980" s="653" t="n">
        <v>373.75</v>
      </c>
      <c r="G1980" s="653" t="n">
        <v>3835.25</v>
      </c>
      <c r="H1980" s="653" t="n">
        <v>-1.25</v>
      </c>
      <c r="K1980" s="123" t="n">
        <v>1</v>
      </c>
      <c r="O1980" s="123" t="n">
        <v>1</v>
      </c>
    </row>
    <row r="1981" customFormat="false" ht="15" hidden="false" customHeight="false" outlineLevel="0" collapsed="false">
      <c r="A1981" s="652" t="n">
        <v>45956</v>
      </c>
      <c r="B1981" s="123" t="n">
        <v>1561</v>
      </c>
      <c r="C1981" s="124" t="s">
        <v>146</v>
      </c>
      <c r="D1981" s="124" t="s">
        <v>127</v>
      </c>
      <c r="E1981" s="653" t="n">
        <v>845.25</v>
      </c>
      <c r="G1981" s="653" t="n">
        <v>4680.5</v>
      </c>
      <c r="I1981" s="123" t="n">
        <v>3</v>
      </c>
    </row>
    <row r="1982" customFormat="false" ht="15" hidden="false" customHeight="false" outlineLevel="0" collapsed="false">
      <c r="A1982" s="652" t="n">
        <v>45956</v>
      </c>
      <c r="B1982" s="124" t="s">
        <v>470</v>
      </c>
      <c r="C1982" s="124" t="s">
        <v>393</v>
      </c>
      <c r="E1982" s="653" t="n">
        <v>-0.5</v>
      </c>
      <c r="F1982" s="123" t="n">
        <v>4680</v>
      </c>
      <c r="G1982" s="123" t="n">
        <v>0</v>
      </c>
    </row>
    <row r="1983" customFormat="false" ht="15" hidden="false" customHeight="false" outlineLevel="0" collapsed="false">
      <c r="A1983" s="652" t="n">
        <v>45957</v>
      </c>
      <c r="B1983" s="123" t="n">
        <v>1562</v>
      </c>
      <c r="C1983" s="124" t="s">
        <v>238</v>
      </c>
      <c r="D1983" s="124" t="s">
        <v>127</v>
      </c>
      <c r="E1983" s="123" t="n">
        <v>253</v>
      </c>
      <c r="G1983" s="123" t="n">
        <v>253</v>
      </c>
      <c r="H1983" s="123" t="n">
        <v>0</v>
      </c>
      <c r="K1983" s="123" t="n">
        <v>1</v>
      </c>
    </row>
    <row r="1984" customFormat="false" ht="15" hidden="false" customHeight="false" outlineLevel="0" collapsed="false">
      <c r="A1984" s="652" t="n">
        <v>45957</v>
      </c>
      <c r="B1984" s="123" t="n">
        <v>1563</v>
      </c>
      <c r="C1984" s="124" t="s">
        <v>264</v>
      </c>
      <c r="D1984" s="124" t="s">
        <v>127</v>
      </c>
      <c r="E1984" s="653" t="n">
        <v>310.5</v>
      </c>
      <c r="G1984" s="653" t="n">
        <v>563.5</v>
      </c>
      <c r="H1984" s="653" t="n">
        <v>0.5</v>
      </c>
      <c r="P1984" s="123" t="n">
        <v>2</v>
      </c>
    </row>
    <row r="1985" customFormat="false" ht="15" hidden="false" customHeight="false" outlineLevel="0" collapsed="false">
      <c r="A1985" s="652" t="n">
        <v>45957</v>
      </c>
      <c r="B1985" s="123" t="n">
        <v>1564</v>
      </c>
      <c r="C1985" s="124" t="s">
        <v>196</v>
      </c>
      <c r="D1985" s="124" t="s">
        <v>127</v>
      </c>
      <c r="E1985" s="653" t="n">
        <v>603.75</v>
      </c>
      <c r="G1985" s="653" t="n">
        <v>1167.25</v>
      </c>
      <c r="H1985" s="123" t="n">
        <v>0</v>
      </c>
      <c r="K1985" s="123" t="n">
        <v>1</v>
      </c>
      <c r="P1985" s="123" t="n">
        <v>2</v>
      </c>
    </row>
    <row r="1986" customFormat="false" ht="15" hidden="false" customHeight="false" outlineLevel="0" collapsed="false">
      <c r="A1986" s="652" t="n">
        <v>45957</v>
      </c>
      <c r="B1986" s="123" t="n">
        <v>1565</v>
      </c>
      <c r="C1986" s="124" t="s">
        <v>180</v>
      </c>
      <c r="D1986" s="124" t="s">
        <v>127</v>
      </c>
      <c r="E1986" s="653" t="n">
        <v>1109.75</v>
      </c>
      <c r="G1986" s="123" t="n">
        <v>2277</v>
      </c>
      <c r="H1986" s="123" t="n">
        <v>0</v>
      </c>
      <c r="I1986" s="123" t="n">
        <v>3</v>
      </c>
      <c r="P1986" s="123" t="n">
        <v>1</v>
      </c>
    </row>
    <row r="1987" customFormat="false" ht="15" hidden="false" customHeight="false" outlineLevel="0" collapsed="false">
      <c r="A1987" s="652" t="n">
        <v>45957</v>
      </c>
      <c r="B1987" s="123" t="n">
        <v>1566</v>
      </c>
      <c r="C1987" s="124" t="s">
        <v>181</v>
      </c>
      <c r="D1987" s="124" t="s">
        <v>127</v>
      </c>
      <c r="E1987" s="123" t="n">
        <v>299</v>
      </c>
      <c r="G1987" s="123" t="n">
        <v>2576</v>
      </c>
      <c r="H1987" s="123" t="n">
        <v>0</v>
      </c>
      <c r="P1987" s="123" t="n">
        <v>1</v>
      </c>
    </row>
    <row r="1988" customFormat="false" ht="15" hidden="false" customHeight="false" outlineLevel="0" collapsed="false">
      <c r="A1988" s="652" t="n">
        <v>45958</v>
      </c>
      <c r="B1988" s="124" t="s">
        <v>470</v>
      </c>
      <c r="C1988" s="124" t="s">
        <v>393</v>
      </c>
      <c r="F1988" s="123" t="n">
        <v>2576</v>
      </c>
      <c r="G1988" s="123" t="n">
        <v>0</v>
      </c>
    </row>
    <row r="1989" customFormat="false" ht="15" hidden="false" customHeight="false" outlineLevel="0" collapsed="false">
      <c r="A1989" s="652" t="n">
        <v>45958</v>
      </c>
      <c r="B1989" s="123" t="n">
        <v>1567</v>
      </c>
      <c r="C1989" s="124" t="s">
        <v>160</v>
      </c>
      <c r="D1989" s="124" t="s">
        <v>127</v>
      </c>
      <c r="E1989" s="653" t="n">
        <v>408.25</v>
      </c>
      <c r="G1989" s="653" t="n">
        <v>408.25</v>
      </c>
      <c r="H1989" s="653" t="n">
        <v>-0.25</v>
      </c>
      <c r="J1989" s="123" t="n">
        <v>1</v>
      </c>
      <c r="K1989" s="123" t="n">
        <v>1</v>
      </c>
    </row>
    <row r="1990" customFormat="false" ht="15" hidden="false" customHeight="false" outlineLevel="0" collapsed="false">
      <c r="A1990" s="652" t="n">
        <v>45958</v>
      </c>
      <c r="B1990" s="123" t="n">
        <v>1568</v>
      </c>
      <c r="C1990" s="124" t="s">
        <v>278</v>
      </c>
      <c r="D1990" s="124" t="s">
        <v>127</v>
      </c>
      <c r="E1990" s="123" t="n">
        <v>253</v>
      </c>
      <c r="G1990" s="653" t="n">
        <v>661.25</v>
      </c>
      <c r="K1990" s="123" t="n">
        <v>1</v>
      </c>
    </row>
    <row r="1991" customFormat="false" ht="15" hidden="false" customHeight="false" outlineLevel="0" collapsed="false">
      <c r="A1991" s="652" t="n">
        <v>45958</v>
      </c>
      <c r="B1991" s="123" t="n">
        <v>1569</v>
      </c>
      <c r="C1991" s="124" t="s">
        <v>278</v>
      </c>
      <c r="D1991" s="124" t="s">
        <v>127</v>
      </c>
      <c r="E1991" s="653" t="n">
        <v>1109.75</v>
      </c>
      <c r="G1991" s="123" t="n">
        <v>1771</v>
      </c>
      <c r="H1991" s="653" t="n">
        <v>-0.25</v>
      </c>
      <c r="I1991" s="123" t="n">
        <v>3</v>
      </c>
      <c r="P1991" s="123" t="n">
        <v>1</v>
      </c>
    </row>
    <row r="1992" customFormat="false" ht="15" hidden="false" customHeight="false" outlineLevel="0" collapsed="false">
      <c r="A1992" s="652" t="n">
        <v>45958</v>
      </c>
      <c r="B1992" s="123" t="n">
        <v>1570</v>
      </c>
      <c r="C1992" s="124" t="s">
        <v>298</v>
      </c>
      <c r="D1992" s="124" t="s">
        <v>286</v>
      </c>
      <c r="E1992" s="653" t="n">
        <v>385.25</v>
      </c>
      <c r="G1992" s="653" t="n">
        <v>2156.25</v>
      </c>
      <c r="H1992" s="653" t="n">
        <v>0.25</v>
      </c>
      <c r="K1992" s="123" t="n">
        <v>1</v>
      </c>
      <c r="P1992" s="123" t="n">
        <v>1</v>
      </c>
    </row>
    <row r="1993" customFormat="false" ht="15" hidden="false" customHeight="false" outlineLevel="0" collapsed="false">
      <c r="A1993" s="652" t="n">
        <v>45958</v>
      </c>
      <c r="B1993" s="123" t="n">
        <v>1571</v>
      </c>
      <c r="C1993" s="124" t="s">
        <v>295</v>
      </c>
      <c r="D1993" s="124" t="s">
        <v>286</v>
      </c>
      <c r="E1993" s="653" t="n">
        <v>1454.75</v>
      </c>
      <c r="G1993" s="123" t="n">
        <v>3611</v>
      </c>
      <c r="H1993" s="123" t="n">
        <v>0</v>
      </c>
      <c r="L1993" s="123" t="n">
        <v>3</v>
      </c>
      <c r="O1993" s="123" t="n">
        <v>3</v>
      </c>
    </row>
    <row r="1994" customFormat="false" ht="15" hidden="false" customHeight="false" outlineLevel="0" collapsed="false">
      <c r="A1994" s="652" t="n">
        <v>45958</v>
      </c>
      <c r="B1994" s="123" t="n">
        <v>1572</v>
      </c>
      <c r="C1994" s="124" t="s">
        <v>303</v>
      </c>
      <c r="D1994" s="124" t="s">
        <v>301</v>
      </c>
      <c r="E1994" s="653" t="n">
        <v>845.25</v>
      </c>
      <c r="G1994" s="653" t="n">
        <v>4456.25</v>
      </c>
      <c r="I1994" s="123" t="n">
        <v>3</v>
      </c>
    </row>
    <row r="1995" customFormat="false" ht="15" hidden="false" customHeight="false" outlineLevel="0" collapsed="false">
      <c r="A1995" s="652" t="n">
        <v>45958</v>
      </c>
      <c r="B1995" s="123" t="n">
        <v>1573</v>
      </c>
      <c r="C1995" s="124" t="s">
        <v>316</v>
      </c>
      <c r="D1995" s="124" t="s">
        <v>301</v>
      </c>
      <c r="E1995" s="123" t="n">
        <v>1104</v>
      </c>
      <c r="G1995" s="653" t="n">
        <v>5560.25</v>
      </c>
      <c r="O1995" s="123" t="n">
        <v>8</v>
      </c>
    </row>
    <row r="1996" customFormat="false" ht="15" hidden="false" customHeight="false" outlineLevel="0" collapsed="false">
      <c r="A1996" s="652" t="n">
        <v>45958</v>
      </c>
      <c r="B1996" s="123" t="n">
        <v>1574</v>
      </c>
      <c r="C1996" s="124" t="s">
        <v>310</v>
      </c>
      <c r="D1996" s="124" t="s">
        <v>301</v>
      </c>
      <c r="E1996" s="653" t="n">
        <v>2535.75</v>
      </c>
      <c r="G1996" s="123" t="n">
        <v>8096</v>
      </c>
      <c r="I1996" s="123" t="n">
        <v>9</v>
      </c>
    </row>
    <row r="1997" customFormat="false" ht="15" hidden="false" customHeight="false" outlineLevel="0" collapsed="false">
      <c r="A1997" s="652" t="n">
        <v>45958</v>
      </c>
      <c r="B1997" s="123" t="n">
        <v>1575</v>
      </c>
      <c r="C1997" s="124" t="s">
        <v>317</v>
      </c>
      <c r="D1997" s="124" t="s">
        <v>224</v>
      </c>
      <c r="E1997" s="123" t="n">
        <v>230</v>
      </c>
      <c r="G1997" s="123" t="n">
        <v>8326</v>
      </c>
      <c r="K1997" s="123" t="n">
        <v>1</v>
      </c>
    </row>
    <row r="1998" customFormat="false" ht="15" hidden="false" customHeight="false" outlineLevel="0" collapsed="false">
      <c r="A1998" s="652" t="n">
        <v>45958</v>
      </c>
      <c r="B1998" s="123" t="n">
        <v>1576</v>
      </c>
      <c r="C1998" s="124" t="s">
        <v>325</v>
      </c>
      <c r="D1998" s="124" t="s">
        <v>224</v>
      </c>
      <c r="E1998" s="653" t="n">
        <v>3317.75</v>
      </c>
      <c r="G1998" s="653" t="n">
        <v>11643.75</v>
      </c>
      <c r="I1998" s="123" t="n">
        <v>6</v>
      </c>
      <c r="J1998" s="123" t="n">
        <v>1</v>
      </c>
      <c r="K1998" s="123" t="n">
        <v>6</v>
      </c>
    </row>
    <row r="1999" customFormat="false" ht="15" hidden="false" customHeight="false" outlineLevel="0" collapsed="false">
      <c r="A1999" s="652" t="n">
        <v>45958</v>
      </c>
      <c r="B1999" s="123" t="n">
        <v>1577</v>
      </c>
      <c r="C1999" s="124" t="s">
        <v>294</v>
      </c>
      <c r="D1999" s="124" t="s">
        <v>286</v>
      </c>
      <c r="E1999" s="653" t="n">
        <v>845.25</v>
      </c>
      <c r="G1999" s="123" t="n">
        <v>12489</v>
      </c>
      <c r="I1999" s="123" t="n">
        <v>3</v>
      </c>
    </row>
    <row r="2000" customFormat="false" ht="15" hidden="false" customHeight="false" outlineLevel="0" collapsed="false">
      <c r="A2000" s="652" t="n">
        <v>45958</v>
      </c>
      <c r="B2000" s="124" t="s">
        <v>662</v>
      </c>
      <c r="C2000" s="124" t="s">
        <v>393</v>
      </c>
      <c r="F2000" s="123" t="n">
        <v>2719</v>
      </c>
      <c r="G2000" s="123" t="n">
        <v>9770</v>
      </c>
    </row>
    <row r="2001" customFormat="false" ht="15" hidden="false" customHeight="false" outlineLevel="0" collapsed="false">
      <c r="A2001" s="652" t="n">
        <v>45958</v>
      </c>
      <c r="B2001" s="124" t="s">
        <v>470</v>
      </c>
      <c r="C2001" s="124" t="s">
        <v>393</v>
      </c>
      <c r="F2001" s="653" t="n">
        <v>9769.25</v>
      </c>
      <c r="G2001" s="653" t="n">
        <v>0.75</v>
      </c>
    </row>
    <row r="2002" customFormat="false" ht="15" hidden="false" customHeight="false" outlineLevel="0" collapsed="false">
      <c r="A2002" s="652" t="n">
        <v>45959</v>
      </c>
      <c r="B2002" s="123" t="n">
        <v>1578</v>
      </c>
      <c r="C2002" s="124" t="s">
        <v>264</v>
      </c>
      <c r="D2002" s="124" t="s">
        <v>127</v>
      </c>
      <c r="E2002" s="653" t="n">
        <v>845.25</v>
      </c>
      <c r="G2002" s="123" t="n">
        <v>846</v>
      </c>
      <c r="H2002" s="653" t="n">
        <v>0.25</v>
      </c>
      <c r="I2002" s="123" t="n">
        <v>3</v>
      </c>
    </row>
    <row r="2003" customFormat="false" ht="15" hidden="false" customHeight="false" outlineLevel="0" collapsed="false">
      <c r="A2003" s="652" t="n">
        <v>45959</v>
      </c>
      <c r="B2003" s="123" t="n">
        <v>1579</v>
      </c>
      <c r="C2003" s="124" t="s">
        <v>134</v>
      </c>
      <c r="D2003" s="124" t="s">
        <v>127</v>
      </c>
      <c r="E2003" s="653" t="n">
        <v>2800.25</v>
      </c>
      <c r="G2003" s="653" t="n">
        <v>3646.25</v>
      </c>
      <c r="H2003" s="653" t="n">
        <v>0.25</v>
      </c>
      <c r="I2003" s="123" t="n">
        <v>3</v>
      </c>
      <c r="K2003" s="123" t="n">
        <v>3</v>
      </c>
      <c r="M2003" s="123" t="n">
        <v>4</v>
      </c>
      <c r="O2003" s="123" t="n">
        <v>1</v>
      </c>
    </row>
    <row r="2004" customFormat="false" ht="15" hidden="false" customHeight="false" outlineLevel="0" collapsed="false">
      <c r="A2004" s="652" t="n">
        <v>45959</v>
      </c>
      <c r="B2004" s="123" t="n">
        <v>1580</v>
      </c>
      <c r="C2004" s="124" t="s">
        <v>178</v>
      </c>
      <c r="D2004" s="124" t="s">
        <v>127</v>
      </c>
      <c r="E2004" s="653" t="n">
        <v>1023.5</v>
      </c>
      <c r="G2004" s="653" t="n">
        <v>4669.75</v>
      </c>
      <c r="H2004" s="653" t="n">
        <v>0.5</v>
      </c>
      <c r="I2004" s="123" t="n">
        <v>3</v>
      </c>
      <c r="J2004" s="123" t="n">
        <v>1</v>
      </c>
    </row>
    <row r="2005" customFormat="false" ht="15" hidden="false" customHeight="false" outlineLevel="0" collapsed="false">
      <c r="A2005" s="652" t="n">
        <v>45959</v>
      </c>
      <c r="B2005" s="123" t="n">
        <v>1581</v>
      </c>
      <c r="C2005" s="124" t="s">
        <v>176</v>
      </c>
      <c r="D2005" s="124" t="s">
        <v>127</v>
      </c>
      <c r="E2005" s="653" t="n">
        <v>845.25</v>
      </c>
      <c r="G2005" s="123" t="n">
        <v>5515</v>
      </c>
      <c r="H2005" s="653" t="n">
        <v>0.5</v>
      </c>
      <c r="I2005" s="123" t="n">
        <v>3</v>
      </c>
    </row>
    <row r="2006" customFormat="false" ht="15" hidden="false" customHeight="false" outlineLevel="0" collapsed="false">
      <c r="A2006" s="652" t="n">
        <v>45959</v>
      </c>
      <c r="B2006" s="123" t="n">
        <v>1582</v>
      </c>
      <c r="C2006" s="124" t="s">
        <v>157</v>
      </c>
      <c r="D2006" s="124" t="s">
        <v>127</v>
      </c>
      <c r="E2006" s="653" t="n">
        <v>845.25</v>
      </c>
      <c r="G2006" s="653" t="n">
        <v>6360.25</v>
      </c>
      <c r="H2006" s="653" t="n">
        <v>0.25</v>
      </c>
      <c r="I2006" s="123" t="n">
        <v>3</v>
      </c>
    </row>
    <row r="2007" customFormat="false" ht="15" hidden="false" customHeight="false" outlineLevel="0" collapsed="false">
      <c r="A2007" s="652" t="n">
        <v>45959</v>
      </c>
      <c r="B2007" s="123" t="n">
        <v>1583</v>
      </c>
      <c r="C2007" s="124" t="s">
        <v>89</v>
      </c>
      <c r="D2007" s="124" t="s">
        <v>75</v>
      </c>
      <c r="E2007" s="123" t="n">
        <v>759</v>
      </c>
      <c r="G2007" s="653" t="n">
        <v>7119.25</v>
      </c>
      <c r="K2007" s="123" t="n">
        <v>1</v>
      </c>
      <c r="O2007" s="123" t="n">
        <v>3</v>
      </c>
    </row>
    <row r="2008" customFormat="false" ht="15" hidden="false" customHeight="false" outlineLevel="0" collapsed="false">
      <c r="A2008" s="652" t="n">
        <v>45959</v>
      </c>
      <c r="B2008" s="123" t="n">
        <v>1584</v>
      </c>
      <c r="C2008" s="124" t="s">
        <v>97</v>
      </c>
      <c r="D2008" s="124" t="s">
        <v>75</v>
      </c>
      <c r="E2008" s="653" t="n">
        <v>977.5</v>
      </c>
      <c r="G2008" s="653" t="n">
        <v>8096.75</v>
      </c>
      <c r="H2008" s="123" t="n">
        <v>0</v>
      </c>
      <c r="L2008" s="123" t="n">
        <v>3</v>
      </c>
      <c r="P2008" s="123" t="n">
        <v>1</v>
      </c>
    </row>
    <row r="2009" customFormat="false" ht="15" hidden="false" customHeight="false" outlineLevel="0" collapsed="false">
      <c r="A2009" s="652" t="n">
        <v>45959</v>
      </c>
      <c r="B2009" s="123" t="n">
        <v>1585</v>
      </c>
      <c r="C2009" s="124" t="s">
        <v>117</v>
      </c>
      <c r="D2009" s="124" t="s">
        <v>105</v>
      </c>
      <c r="E2009" s="653" t="n">
        <v>822.25</v>
      </c>
      <c r="G2009" s="123" t="n">
        <v>8919</v>
      </c>
      <c r="L2009" s="123" t="n">
        <v>3</v>
      </c>
    </row>
    <row r="2010" customFormat="false" ht="15" hidden="false" customHeight="false" outlineLevel="0" collapsed="false">
      <c r="A2010" s="652" t="n">
        <v>45959</v>
      </c>
      <c r="B2010" s="123" t="n">
        <v>1586</v>
      </c>
      <c r="C2010" s="124" t="s">
        <v>107</v>
      </c>
      <c r="D2010" s="124" t="s">
        <v>105</v>
      </c>
      <c r="E2010" s="653" t="n">
        <v>1000.5</v>
      </c>
      <c r="G2010" s="653" t="n">
        <v>9919.5</v>
      </c>
      <c r="H2010" s="653" t="n">
        <v>0.25</v>
      </c>
      <c r="I2010" s="123" t="n">
        <v>3</v>
      </c>
      <c r="P2010" s="123" t="n">
        <v>1</v>
      </c>
    </row>
    <row r="2011" customFormat="false" ht="15" hidden="false" customHeight="false" outlineLevel="0" collapsed="false">
      <c r="A2011" s="652" t="n">
        <v>45959</v>
      </c>
      <c r="B2011" s="123" t="n">
        <v>1587</v>
      </c>
      <c r="C2011" s="124" t="s">
        <v>108</v>
      </c>
      <c r="D2011" s="124" t="s">
        <v>105</v>
      </c>
      <c r="E2011" s="653" t="n">
        <v>2725.5</v>
      </c>
      <c r="G2011" s="123" t="n">
        <v>12645</v>
      </c>
      <c r="H2011" s="123" t="n">
        <v>0</v>
      </c>
      <c r="I2011" s="123" t="n">
        <v>6</v>
      </c>
      <c r="K2011" s="123" t="n">
        <v>4</v>
      </c>
    </row>
    <row r="2012" customFormat="false" ht="15" hidden="false" customHeight="false" outlineLevel="0" collapsed="false">
      <c r="A2012" s="652" t="n">
        <v>45959</v>
      </c>
      <c r="B2012" s="123" t="n">
        <v>1588</v>
      </c>
      <c r="C2012" s="124" t="s">
        <v>115</v>
      </c>
      <c r="D2012" s="124" t="s">
        <v>105</v>
      </c>
      <c r="E2012" s="653" t="n">
        <v>1138.5</v>
      </c>
      <c r="G2012" s="653" t="n">
        <v>13783.5</v>
      </c>
      <c r="H2012" s="123" t="n">
        <v>0</v>
      </c>
      <c r="I2012" s="123" t="n">
        <v>3</v>
      </c>
      <c r="O2012" s="123" t="n">
        <v>1</v>
      </c>
      <c r="P2012" s="123" t="n">
        <v>1</v>
      </c>
    </row>
    <row r="2013" customFormat="false" ht="15" hidden="false" customHeight="false" outlineLevel="0" collapsed="false">
      <c r="A2013" s="652" t="n">
        <v>45959</v>
      </c>
      <c r="B2013" s="123" t="n">
        <v>1589</v>
      </c>
      <c r="C2013" s="124" t="s">
        <v>109</v>
      </c>
      <c r="D2013" s="124" t="s">
        <v>105</v>
      </c>
      <c r="E2013" s="653" t="n">
        <v>310.5</v>
      </c>
      <c r="G2013" s="123" t="n">
        <v>14094</v>
      </c>
      <c r="P2013" s="123" t="n">
        <v>2</v>
      </c>
    </row>
    <row r="2014" customFormat="false" ht="15" hidden="false" customHeight="false" outlineLevel="0" collapsed="false">
      <c r="A2014" s="652" t="n">
        <v>45959</v>
      </c>
      <c r="B2014" s="123" t="n">
        <v>1590</v>
      </c>
      <c r="C2014" s="124" t="s">
        <v>112</v>
      </c>
      <c r="D2014" s="124" t="s">
        <v>105</v>
      </c>
      <c r="E2014" s="653" t="n">
        <v>845.25</v>
      </c>
      <c r="G2014" s="653" t="n">
        <v>14939.25</v>
      </c>
      <c r="H2014" s="653" t="n">
        <v>0.25</v>
      </c>
      <c r="I2014" s="123" t="n">
        <v>3</v>
      </c>
    </row>
    <row r="2015" customFormat="false" ht="15" hidden="false" customHeight="false" outlineLevel="0" collapsed="false">
      <c r="A2015" s="652" t="n">
        <v>45959</v>
      </c>
      <c r="B2015" s="123" t="n">
        <v>1591</v>
      </c>
      <c r="C2015" s="124" t="s">
        <v>113</v>
      </c>
      <c r="D2015" s="124" t="s">
        <v>105</v>
      </c>
      <c r="E2015" s="653" t="n">
        <v>845.25</v>
      </c>
      <c r="G2015" s="653" t="n">
        <v>15784.5</v>
      </c>
      <c r="H2015" s="653" t="n">
        <v>0.25</v>
      </c>
      <c r="I2015" s="123" t="n">
        <v>3</v>
      </c>
    </row>
    <row r="2016" customFormat="false" ht="15" hidden="false" customHeight="false" outlineLevel="0" collapsed="false">
      <c r="A2016" s="652" t="n">
        <v>45959</v>
      </c>
      <c r="B2016" s="123" t="n">
        <v>1592</v>
      </c>
      <c r="C2016" s="124" t="s">
        <v>104</v>
      </c>
      <c r="D2016" s="124" t="s">
        <v>105</v>
      </c>
      <c r="E2016" s="653" t="n">
        <v>845.25</v>
      </c>
      <c r="G2016" s="653" t="n">
        <v>16629.75</v>
      </c>
      <c r="H2016" s="653" t="n">
        <v>0.5</v>
      </c>
      <c r="I2016" s="123" t="n">
        <v>3</v>
      </c>
    </row>
    <row r="2017" customFormat="false" ht="15" hidden="false" customHeight="false" outlineLevel="0" collapsed="false">
      <c r="A2017" s="652" t="n">
        <v>45959</v>
      </c>
      <c r="B2017" s="123" t="n">
        <v>1593</v>
      </c>
      <c r="C2017" s="124" t="s">
        <v>116</v>
      </c>
      <c r="D2017" s="124" t="s">
        <v>105</v>
      </c>
      <c r="E2017" s="653" t="n">
        <v>1017.75</v>
      </c>
      <c r="G2017" s="653" t="n">
        <v>17647.5</v>
      </c>
      <c r="H2017" s="653" t="n">
        <v>0.75</v>
      </c>
      <c r="P2017" s="123" t="n">
        <v>4</v>
      </c>
    </row>
    <row r="2018" customFormat="false" ht="15" hidden="false" customHeight="false" outlineLevel="0" collapsed="false">
      <c r="A2018" s="652" t="n">
        <v>45959</v>
      </c>
      <c r="B2018" s="123" t="n">
        <v>1594</v>
      </c>
      <c r="C2018" s="124" t="s">
        <v>106</v>
      </c>
      <c r="D2018" s="124" t="s">
        <v>105</v>
      </c>
      <c r="E2018" s="653" t="n">
        <v>845.25</v>
      </c>
      <c r="G2018" s="653" t="n">
        <v>18492.75</v>
      </c>
      <c r="H2018" s="653" t="n">
        <v>0.25</v>
      </c>
      <c r="I2018" s="123" t="n">
        <v>3</v>
      </c>
    </row>
    <row r="2019" customFormat="false" ht="15" hidden="false" customHeight="false" outlineLevel="0" collapsed="false">
      <c r="A2019" s="652" t="n">
        <v>45959</v>
      </c>
      <c r="B2019" s="123" t="n">
        <v>1595</v>
      </c>
      <c r="C2019" s="124" t="s">
        <v>117</v>
      </c>
      <c r="D2019" s="124" t="s">
        <v>105</v>
      </c>
      <c r="E2019" s="653" t="n">
        <v>822.25</v>
      </c>
      <c r="G2019" s="123" t="n">
        <v>19315</v>
      </c>
      <c r="H2019" s="653" t="n">
        <v>0.25</v>
      </c>
      <c r="L2019" s="123" t="n">
        <v>3</v>
      </c>
    </row>
    <row r="2020" customFormat="false" ht="15" hidden="false" customHeight="false" outlineLevel="0" collapsed="false">
      <c r="A2020" s="652" t="n">
        <v>45960</v>
      </c>
      <c r="B2020" s="123" t="n">
        <v>1596</v>
      </c>
      <c r="C2020" s="124" t="s">
        <v>132</v>
      </c>
      <c r="D2020" s="124" t="s">
        <v>127</v>
      </c>
      <c r="E2020" s="653" t="n">
        <v>1098.25</v>
      </c>
      <c r="G2020" s="653" t="n">
        <v>20413.25</v>
      </c>
      <c r="H2020" s="653" t="n">
        <v>0.25</v>
      </c>
      <c r="I2020" s="123" t="n">
        <v>3</v>
      </c>
      <c r="K2020" s="123" t="n">
        <v>1</v>
      </c>
    </row>
    <row r="2021" customFormat="false" ht="15" hidden="false" customHeight="false" outlineLevel="0" collapsed="false">
      <c r="A2021" s="652" t="n">
        <v>45960</v>
      </c>
      <c r="B2021" s="123" t="n">
        <v>1198</v>
      </c>
      <c r="C2021" s="124" t="s">
        <v>141</v>
      </c>
      <c r="D2021" s="124" t="s">
        <v>127</v>
      </c>
      <c r="E2021" s="653" t="n">
        <v>1155.75</v>
      </c>
      <c r="G2021" s="123" t="n">
        <v>21569</v>
      </c>
      <c r="H2021" s="123" t="n">
        <v>0</v>
      </c>
      <c r="K2021" s="123" t="n">
        <v>4</v>
      </c>
    </row>
    <row r="2022" customFormat="false" ht="15" hidden="false" customHeight="false" outlineLevel="0" collapsed="false">
      <c r="A2022" s="652" t="n">
        <v>45960</v>
      </c>
      <c r="B2022" s="123" t="n">
        <v>1597</v>
      </c>
      <c r="C2022" s="124" t="s">
        <v>199</v>
      </c>
      <c r="D2022" s="124" t="s">
        <v>127</v>
      </c>
      <c r="E2022" s="653" t="n">
        <v>1109.75</v>
      </c>
      <c r="G2022" s="653" t="n">
        <v>22678.75</v>
      </c>
      <c r="H2022" s="653" t="n">
        <v>-0.25</v>
      </c>
      <c r="I2022" s="123" t="n">
        <v>3</v>
      </c>
      <c r="P2022" s="123" t="n">
        <v>1</v>
      </c>
    </row>
    <row r="2023" customFormat="false" ht="15" hidden="false" customHeight="false" outlineLevel="0" collapsed="false">
      <c r="A2023" s="652" t="n">
        <v>45960</v>
      </c>
      <c r="B2023" s="123" t="n">
        <v>1599</v>
      </c>
      <c r="C2023" s="124" t="s">
        <v>275</v>
      </c>
      <c r="D2023" s="124" t="s">
        <v>127</v>
      </c>
      <c r="E2023" s="653" t="n">
        <v>1811.25</v>
      </c>
      <c r="G2023" s="123" t="n">
        <v>24490</v>
      </c>
      <c r="H2023" s="653" t="n">
        <v>0.75</v>
      </c>
      <c r="I2023" s="123" t="n">
        <v>3</v>
      </c>
      <c r="K2023" s="123" t="n">
        <v>4</v>
      </c>
    </row>
    <row r="2024" customFormat="false" ht="15" hidden="false" customHeight="false" outlineLevel="0" collapsed="false">
      <c r="A2024" s="652" t="n">
        <v>45960</v>
      </c>
      <c r="B2024" s="124" t="s">
        <v>470</v>
      </c>
      <c r="C2024" s="124" t="s">
        <v>393</v>
      </c>
      <c r="F2024" s="123" t="n">
        <v>10449</v>
      </c>
      <c r="G2024" s="123" t="n">
        <v>14041</v>
      </c>
    </row>
    <row r="2025" customFormat="false" ht="15" hidden="false" customHeight="false" outlineLevel="0" collapsed="false">
      <c r="A2025" s="652" t="n">
        <v>45960</v>
      </c>
      <c r="B2025" s="124" t="s">
        <v>653</v>
      </c>
      <c r="C2025" s="124" t="s">
        <v>393</v>
      </c>
      <c r="F2025" s="123" t="n">
        <v>7890</v>
      </c>
      <c r="G2025" s="123" t="n">
        <v>6151</v>
      </c>
    </row>
    <row r="2026" customFormat="false" ht="15" hidden="false" customHeight="false" outlineLevel="0" collapsed="false">
      <c r="A2026" s="652" t="n">
        <v>45960</v>
      </c>
      <c r="B2026" s="124" t="s">
        <v>470</v>
      </c>
      <c r="C2026" s="124" t="s">
        <v>393</v>
      </c>
      <c r="F2026" s="123" t="n">
        <v>2740</v>
      </c>
      <c r="G2026" s="123" t="n">
        <v>3411</v>
      </c>
    </row>
    <row r="2027" customFormat="false" ht="15" hidden="false" customHeight="false" outlineLevel="0" collapsed="false">
      <c r="A2027" s="652" t="n">
        <v>45960</v>
      </c>
      <c r="B2027" s="124" t="s">
        <v>470</v>
      </c>
      <c r="C2027" s="124" t="s">
        <v>393</v>
      </c>
      <c r="F2027" s="123" t="n">
        <v>3411</v>
      </c>
      <c r="G2027" s="123" t="n">
        <v>0</v>
      </c>
    </row>
    <row r="2028" customFormat="false" ht="15" hidden="false" customHeight="false" outlineLevel="0" collapsed="false">
      <c r="A2028" s="652" t="n">
        <v>45964</v>
      </c>
      <c r="B2028" s="123" t="n">
        <v>53001601</v>
      </c>
      <c r="C2028" s="124" t="s">
        <v>298</v>
      </c>
      <c r="D2028" s="124" t="s">
        <v>286</v>
      </c>
      <c r="E2028" s="653" t="n">
        <v>1000.5</v>
      </c>
      <c r="G2028" s="653" t="n">
        <v>1000.5</v>
      </c>
      <c r="H2028" s="123" t="n">
        <v>0</v>
      </c>
      <c r="I2028" s="123" t="n">
        <v>3</v>
      </c>
      <c r="P2028" s="123" t="n">
        <v>1</v>
      </c>
    </row>
    <row r="2029" customFormat="false" ht="15" hidden="false" customHeight="false" outlineLevel="0" collapsed="false">
      <c r="A2029" s="652" t="n">
        <v>45964</v>
      </c>
      <c r="B2029" s="123" t="n">
        <v>53001600</v>
      </c>
      <c r="C2029" s="124" t="s">
        <v>290</v>
      </c>
      <c r="D2029" s="124" t="s">
        <v>286</v>
      </c>
      <c r="E2029" s="653" t="n">
        <v>1690.5</v>
      </c>
      <c r="G2029" s="123" t="n">
        <v>2691</v>
      </c>
      <c r="H2029" s="653" t="n">
        <v>0.5</v>
      </c>
      <c r="I2029" s="123" t="n">
        <v>6</v>
      </c>
    </row>
    <row r="2030" customFormat="false" ht="15" hidden="false" customHeight="false" outlineLevel="0" collapsed="false">
      <c r="A2030" s="652" t="n">
        <v>45964</v>
      </c>
      <c r="B2030" s="123" t="s">
        <v>666</v>
      </c>
      <c r="C2030" s="124" t="s">
        <v>393</v>
      </c>
      <c r="F2030" s="123" t="n">
        <v>1375</v>
      </c>
      <c r="G2030" s="123" t="n">
        <v>1316</v>
      </c>
    </row>
    <row r="2031" customFormat="false" ht="15" hidden="false" customHeight="false" outlineLevel="0" collapsed="false">
      <c r="A2031" s="652" t="n">
        <v>45964</v>
      </c>
      <c r="B2031" s="123" t="s">
        <v>667</v>
      </c>
      <c r="C2031" s="124" t="s">
        <v>393</v>
      </c>
      <c r="F2031" s="123" t="n">
        <v>1316</v>
      </c>
      <c r="G2031" s="123" t="n">
        <v>0</v>
      </c>
    </row>
    <row r="2032" customFormat="false" ht="15" hidden="false" customHeight="false" outlineLevel="0" collapsed="false">
      <c r="A2032" s="652" t="n">
        <v>45965</v>
      </c>
      <c r="B2032" s="123" t="n">
        <v>1602</v>
      </c>
      <c r="C2032" s="124" t="s">
        <v>264</v>
      </c>
      <c r="D2032" s="124" t="s">
        <v>127</v>
      </c>
      <c r="E2032" s="653" t="n">
        <v>983.25</v>
      </c>
      <c r="G2032" s="653" t="n">
        <v>983.25</v>
      </c>
      <c r="H2032" s="123" t="n">
        <v>0</v>
      </c>
      <c r="I2032" s="123" t="n">
        <v>3</v>
      </c>
      <c r="O2032" s="123" t="n">
        <v>1</v>
      </c>
    </row>
    <row r="2033" customFormat="false" ht="15" hidden="false" customHeight="false" outlineLevel="0" collapsed="false">
      <c r="A2033" s="652" t="n">
        <v>45965</v>
      </c>
      <c r="B2033" s="123" t="n">
        <v>1603</v>
      </c>
      <c r="C2033" s="124" t="s">
        <v>238</v>
      </c>
      <c r="D2033" s="124" t="s">
        <v>127</v>
      </c>
      <c r="E2033" s="653" t="n">
        <v>310.5</v>
      </c>
      <c r="G2033" s="653" t="n">
        <v>1293.75</v>
      </c>
      <c r="H2033" s="653" t="n">
        <v>0.25</v>
      </c>
      <c r="P2033" s="123" t="n">
        <v>1</v>
      </c>
    </row>
    <row r="2034" customFormat="false" ht="15" hidden="false" customHeight="false" outlineLevel="0" collapsed="false">
      <c r="A2034" s="652" t="n">
        <v>45966</v>
      </c>
      <c r="B2034" s="123" t="s">
        <v>668</v>
      </c>
      <c r="C2034" s="124" t="s">
        <v>393</v>
      </c>
      <c r="F2034" s="123" t="n">
        <v>1293</v>
      </c>
      <c r="G2034" s="653" t="n">
        <v>0.75</v>
      </c>
    </row>
    <row r="2035" customFormat="false" ht="15" hidden="false" customHeight="false" outlineLevel="0" collapsed="false">
      <c r="A2035" s="652" t="n">
        <v>45966</v>
      </c>
      <c r="B2035" s="123" t="n">
        <v>53001604</v>
      </c>
      <c r="C2035" s="124" t="s">
        <v>161</v>
      </c>
      <c r="D2035" s="124" t="s">
        <v>127</v>
      </c>
      <c r="E2035" s="123" t="n">
        <v>437</v>
      </c>
      <c r="G2035" s="653" t="n">
        <v>437.75</v>
      </c>
      <c r="O2035" s="123" t="n">
        <v>1</v>
      </c>
      <c r="P2035" s="123" t="n">
        <v>1</v>
      </c>
    </row>
    <row r="2036" customFormat="false" ht="15" hidden="false" customHeight="false" outlineLevel="0" collapsed="false">
      <c r="A2036" s="652" t="n">
        <v>45966</v>
      </c>
      <c r="B2036" s="123" t="n">
        <v>53001605</v>
      </c>
      <c r="C2036" s="124" t="s">
        <v>271</v>
      </c>
      <c r="D2036" s="124" t="s">
        <v>127</v>
      </c>
      <c r="E2036" s="653" t="n">
        <v>1690.5</v>
      </c>
      <c r="G2036" s="653" t="n">
        <v>2128.25</v>
      </c>
      <c r="H2036" s="653" t="n">
        <v>0.5</v>
      </c>
      <c r="I2036" s="123" t="n">
        <v>6</v>
      </c>
    </row>
    <row r="2037" customFormat="false" ht="15" hidden="false" customHeight="false" outlineLevel="0" collapsed="false">
      <c r="A2037" s="652" t="n">
        <v>45966</v>
      </c>
      <c r="B2037" s="123" t="n">
        <v>53001606</v>
      </c>
      <c r="C2037" s="124" t="s">
        <v>270</v>
      </c>
      <c r="D2037" s="124" t="s">
        <v>127</v>
      </c>
      <c r="E2037" s="653" t="n">
        <v>845.25</v>
      </c>
      <c r="G2037" s="653" t="n">
        <v>2973.5</v>
      </c>
      <c r="I2037" s="123" t="n">
        <v>3</v>
      </c>
    </row>
    <row r="2038" customFormat="false" ht="15" hidden="false" customHeight="false" outlineLevel="0" collapsed="false">
      <c r="A2038" s="652" t="n">
        <v>45966</v>
      </c>
      <c r="B2038" s="123" t="n">
        <v>53001607</v>
      </c>
      <c r="C2038" s="124" t="s">
        <v>170</v>
      </c>
      <c r="D2038" s="124" t="s">
        <v>127</v>
      </c>
      <c r="E2038" s="653" t="n">
        <v>845.25</v>
      </c>
      <c r="G2038" s="653" t="n">
        <v>3818.75</v>
      </c>
      <c r="H2038" s="653" t="n">
        <v>0.25</v>
      </c>
      <c r="I2038" s="123" t="n">
        <v>3</v>
      </c>
    </row>
    <row r="2039" customFormat="false" ht="15" hidden="false" customHeight="false" outlineLevel="0" collapsed="false">
      <c r="A2039" s="652" t="n">
        <v>45966</v>
      </c>
      <c r="B2039" s="123" t="n">
        <v>53001608</v>
      </c>
      <c r="C2039" s="124" t="s">
        <v>195</v>
      </c>
      <c r="D2039" s="124" t="s">
        <v>127</v>
      </c>
      <c r="E2039" s="653" t="n">
        <v>845.25</v>
      </c>
      <c r="G2039" s="123" t="n">
        <v>4664</v>
      </c>
      <c r="I2039" s="123" t="n">
        <v>3</v>
      </c>
    </row>
    <row r="2040" customFormat="false" ht="15" hidden="false" customHeight="false" outlineLevel="0" collapsed="false">
      <c r="A2040" s="652" t="n">
        <v>45966</v>
      </c>
      <c r="B2040" s="123" t="n">
        <v>53001609</v>
      </c>
      <c r="C2040" s="124" t="s">
        <v>247</v>
      </c>
      <c r="D2040" s="124" t="s">
        <v>127</v>
      </c>
      <c r="E2040" s="123" t="n">
        <v>506</v>
      </c>
      <c r="G2040" s="123" t="n">
        <v>5170</v>
      </c>
      <c r="K2040" s="123" t="n">
        <v>2</v>
      </c>
    </row>
    <row r="2041" customFormat="false" ht="15" hidden="false" customHeight="false" outlineLevel="0" collapsed="false">
      <c r="A2041" s="652" t="n">
        <v>45966</v>
      </c>
      <c r="B2041" s="123" t="s">
        <v>667</v>
      </c>
      <c r="C2041" s="124" t="s">
        <v>393</v>
      </c>
      <c r="F2041" s="653" t="n">
        <v>655.75</v>
      </c>
      <c r="G2041" s="653" t="n">
        <v>4514.25</v>
      </c>
    </row>
    <row r="2042" customFormat="false" ht="15" hidden="false" customHeight="false" outlineLevel="0" collapsed="false">
      <c r="A2042" s="652" t="n">
        <v>45966</v>
      </c>
      <c r="B2042" s="123" t="s">
        <v>666</v>
      </c>
      <c r="C2042" s="124" t="s">
        <v>393</v>
      </c>
      <c r="F2042" s="123" t="n">
        <v>2811</v>
      </c>
      <c r="G2042" s="653" t="n">
        <v>1703.25</v>
      </c>
    </row>
    <row r="2043" customFormat="false" ht="15" hidden="false" customHeight="false" outlineLevel="0" collapsed="false">
      <c r="A2043" s="652" t="n">
        <v>45967</v>
      </c>
      <c r="B2043" s="123" t="s">
        <v>668</v>
      </c>
      <c r="C2043" s="124" t="s">
        <v>393</v>
      </c>
      <c r="F2043" s="123" t="n">
        <v>1703</v>
      </c>
      <c r="G2043" s="653" t="n">
        <v>0.25</v>
      </c>
    </row>
    <row r="2044" customFormat="false" ht="15" hidden="false" customHeight="false" outlineLevel="0" collapsed="false">
      <c r="A2044" s="652" t="n">
        <v>45967</v>
      </c>
      <c r="B2044" s="123" t="n">
        <v>53001610</v>
      </c>
      <c r="C2044" s="124" t="s">
        <v>283</v>
      </c>
      <c r="D2044" s="124" t="s">
        <v>127</v>
      </c>
      <c r="E2044" s="123" t="n">
        <v>506</v>
      </c>
      <c r="G2044" s="653" t="n">
        <v>506.25</v>
      </c>
      <c r="K2044" s="123" t="n">
        <v>2</v>
      </c>
    </row>
    <row r="2045" customFormat="false" ht="15" hidden="false" customHeight="false" outlineLevel="0" collapsed="false">
      <c r="A2045" s="652" t="n">
        <v>45967</v>
      </c>
      <c r="B2045" s="123" t="n">
        <v>53001611</v>
      </c>
      <c r="C2045" s="124" t="s">
        <v>283</v>
      </c>
      <c r="D2045" s="124" t="s">
        <v>127</v>
      </c>
      <c r="E2045" s="123" t="n">
        <v>138</v>
      </c>
      <c r="G2045" s="653" t="n">
        <v>644.25</v>
      </c>
      <c r="O2045" s="123" t="n">
        <v>1</v>
      </c>
    </row>
    <row r="2046" customFormat="false" ht="15" hidden="false" customHeight="false" outlineLevel="0" collapsed="false">
      <c r="A2046" s="652" t="n">
        <v>45967</v>
      </c>
      <c r="B2046" s="123" t="n">
        <v>53001612</v>
      </c>
      <c r="C2046" s="124" t="s">
        <v>275</v>
      </c>
      <c r="D2046" s="124" t="s">
        <v>127</v>
      </c>
      <c r="E2046" s="653" t="n">
        <v>845.25</v>
      </c>
      <c r="G2046" s="653" t="n">
        <v>1489.5</v>
      </c>
      <c r="H2046" s="653" t="n">
        <v>-1.75</v>
      </c>
      <c r="I2046" s="123" t="n">
        <v>3</v>
      </c>
    </row>
    <row r="2047" customFormat="false" ht="15" hidden="false" customHeight="false" outlineLevel="0" collapsed="false">
      <c r="A2047" s="652" t="n">
        <v>45967</v>
      </c>
      <c r="B2047" s="123" t="n">
        <v>53001613</v>
      </c>
      <c r="C2047" s="124" t="s">
        <v>248</v>
      </c>
      <c r="D2047" s="124" t="s">
        <v>127</v>
      </c>
      <c r="E2047" s="123" t="n">
        <v>598</v>
      </c>
      <c r="G2047" s="653" t="n">
        <v>2087.5</v>
      </c>
      <c r="H2047" s="123" t="n">
        <v>0</v>
      </c>
      <c r="K2047" s="123" t="n">
        <v>2</v>
      </c>
    </row>
    <row r="2048" customFormat="false" ht="15" hidden="false" customHeight="false" outlineLevel="0" collapsed="false">
      <c r="A2048" s="652" t="n">
        <v>45967</v>
      </c>
      <c r="B2048" s="123" t="n">
        <v>53001614</v>
      </c>
      <c r="C2048" s="124" t="s">
        <v>273</v>
      </c>
      <c r="D2048" s="124" t="s">
        <v>127</v>
      </c>
      <c r="E2048" s="653" t="n">
        <v>845.25</v>
      </c>
      <c r="G2048" s="653" t="n">
        <v>2932.75</v>
      </c>
      <c r="H2048" s="653" t="n">
        <v>0.25</v>
      </c>
      <c r="I2048" s="123" t="n">
        <v>3</v>
      </c>
    </row>
    <row r="2049" customFormat="false" ht="15" hidden="false" customHeight="false" outlineLevel="0" collapsed="false">
      <c r="A2049" s="652" t="n">
        <v>45967</v>
      </c>
      <c r="B2049" s="123" t="n">
        <v>53001615</v>
      </c>
      <c r="C2049" s="124" t="s">
        <v>246</v>
      </c>
      <c r="D2049" s="124" t="s">
        <v>127</v>
      </c>
      <c r="E2049" s="123" t="n">
        <v>506</v>
      </c>
      <c r="G2049" s="653" t="n">
        <v>3438.75</v>
      </c>
      <c r="H2049" s="123" t="n">
        <v>1</v>
      </c>
      <c r="K2049" s="123" t="n">
        <v>2</v>
      </c>
    </row>
    <row r="2050" customFormat="false" ht="15" hidden="false" customHeight="false" outlineLevel="0" collapsed="false">
      <c r="A2050" s="652" t="n">
        <v>45967</v>
      </c>
      <c r="B2050" s="123" t="n">
        <v>53001616</v>
      </c>
      <c r="C2050" s="124" t="s">
        <v>142</v>
      </c>
      <c r="D2050" s="124" t="s">
        <v>127</v>
      </c>
      <c r="E2050" s="653" t="n">
        <v>563.5</v>
      </c>
      <c r="G2050" s="653" t="n">
        <v>4002.25</v>
      </c>
      <c r="H2050" s="123" t="n">
        <v>0</v>
      </c>
      <c r="P2050" s="123" t="n">
        <v>2</v>
      </c>
    </row>
    <row r="2051" customFormat="false" ht="15" hidden="false" customHeight="false" outlineLevel="0" collapsed="false">
      <c r="A2051" s="652" t="n">
        <v>45967</v>
      </c>
      <c r="B2051" s="123" t="n">
        <v>53001617</v>
      </c>
      <c r="C2051" s="124" t="s">
        <v>142</v>
      </c>
      <c r="D2051" s="124" t="s">
        <v>127</v>
      </c>
      <c r="E2051" s="653" t="n">
        <v>155.25</v>
      </c>
      <c r="G2051" s="653" t="n">
        <v>4157.5</v>
      </c>
      <c r="P2051" s="123" t="n">
        <v>1</v>
      </c>
    </row>
    <row r="2052" customFormat="false" ht="15" hidden="false" customHeight="false" outlineLevel="0" collapsed="false">
      <c r="A2052" s="652" t="n">
        <v>45967</v>
      </c>
      <c r="B2052" s="123" t="n">
        <v>53001618</v>
      </c>
      <c r="C2052" s="124" t="s">
        <v>139</v>
      </c>
      <c r="D2052" s="124" t="s">
        <v>127</v>
      </c>
      <c r="E2052" s="123" t="n">
        <v>506</v>
      </c>
      <c r="G2052" s="653" t="n">
        <v>4663.5</v>
      </c>
      <c r="H2052" s="123" t="n">
        <v>0</v>
      </c>
      <c r="K2052" s="123" t="n">
        <v>2</v>
      </c>
    </row>
    <row r="2053" customFormat="false" ht="15" hidden="false" customHeight="false" outlineLevel="0" collapsed="false">
      <c r="A2053" s="652" t="n">
        <v>45970</v>
      </c>
      <c r="B2053" s="123" t="s">
        <v>666</v>
      </c>
      <c r="C2053" s="124" t="s">
        <v>393</v>
      </c>
      <c r="F2053" s="123" t="n">
        <v>1978</v>
      </c>
      <c r="G2053" s="653" t="n">
        <v>2685.5</v>
      </c>
    </row>
    <row r="2054" customFormat="false" ht="15" hidden="false" customHeight="false" outlineLevel="0" collapsed="false">
      <c r="A2054" s="652" t="n">
        <v>45970</v>
      </c>
      <c r="B2054" s="123" t="s">
        <v>668</v>
      </c>
      <c r="C2054" s="124" t="s">
        <v>393</v>
      </c>
      <c r="E2054" s="653" t="n">
        <v>-0.5</v>
      </c>
      <c r="F2054" s="123" t="n">
        <v>1840</v>
      </c>
      <c r="G2054" s="123" t="n">
        <v>845</v>
      </c>
    </row>
    <row r="2055" customFormat="false" ht="15" hidden="false" customHeight="false" outlineLevel="0" collapsed="false">
      <c r="A2055" s="652" t="n">
        <v>45970</v>
      </c>
      <c r="B2055" s="123" t="s">
        <v>669</v>
      </c>
      <c r="C2055" s="124" t="s">
        <v>393</v>
      </c>
      <c r="F2055" s="123" t="n">
        <v>845</v>
      </c>
      <c r="G2055" s="123" t="n">
        <v>0</v>
      </c>
    </row>
    <row r="2056" customFormat="false" ht="15" hidden="false" customHeight="false" outlineLevel="0" collapsed="false">
      <c r="A2056" s="652" t="n">
        <v>45970</v>
      </c>
      <c r="B2056" s="123" t="n">
        <v>53001619</v>
      </c>
      <c r="C2056" s="124" t="s">
        <v>282</v>
      </c>
      <c r="D2056" s="124" t="s">
        <v>127</v>
      </c>
      <c r="E2056" s="653" t="n">
        <v>5755.75</v>
      </c>
      <c r="G2056" s="653" t="n">
        <v>5755.75</v>
      </c>
      <c r="L2056" s="123" t="n">
        <v>21</v>
      </c>
    </row>
    <row r="2057" customFormat="false" ht="15" hidden="false" customHeight="false" outlineLevel="0" collapsed="false">
      <c r="A2057" s="652" t="n">
        <v>45970</v>
      </c>
      <c r="B2057" s="123" t="n">
        <v>53001620</v>
      </c>
      <c r="C2057" s="124" t="s">
        <v>198</v>
      </c>
      <c r="D2057" s="124" t="s">
        <v>127</v>
      </c>
      <c r="E2057" s="653" t="n">
        <v>845.25</v>
      </c>
      <c r="G2057" s="123" t="n">
        <v>6601</v>
      </c>
      <c r="H2057" s="653" t="n">
        <v>0.25</v>
      </c>
      <c r="I2057" s="123" t="n">
        <v>3</v>
      </c>
    </row>
    <row r="2058" customFormat="false" ht="15" hidden="false" customHeight="false" outlineLevel="0" collapsed="false">
      <c r="A2058" s="652" t="n">
        <v>45970</v>
      </c>
      <c r="B2058" s="123" t="n">
        <v>53001621</v>
      </c>
      <c r="C2058" s="124" t="s">
        <v>197</v>
      </c>
      <c r="D2058" s="124" t="s">
        <v>127</v>
      </c>
      <c r="E2058" s="653" t="n">
        <v>845.25</v>
      </c>
      <c r="G2058" s="653" t="n">
        <v>7446.25</v>
      </c>
      <c r="H2058" s="653" t="n">
        <v>0.25</v>
      </c>
      <c r="I2058" s="123" t="n">
        <v>3</v>
      </c>
    </row>
    <row r="2059" customFormat="false" ht="15" hidden="false" customHeight="false" outlineLevel="0" collapsed="false">
      <c r="A2059" s="652" t="n">
        <v>45966</v>
      </c>
      <c r="B2059" s="123" t="n">
        <v>53001622</v>
      </c>
      <c r="C2059" s="124" t="s">
        <v>260</v>
      </c>
      <c r="D2059" s="124" t="s">
        <v>127</v>
      </c>
      <c r="E2059" s="653" t="n">
        <v>845.25</v>
      </c>
      <c r="G2059" s="653" t="n">
        <v>8291.5</v>
      </c>
      <c r="H2059" s="653" t="n">
        <v>3.5</v>
      </c>
      <c r="I2059" s="123" t="n">
        <v>3</v>
      </c>
    </row>
    <row r="2060" customFormat="false" ht="15" hidden="false" customHeight="false" outlineLevel="0" collapsed="false">
      <c r="A2060" s="652" t="n">
        <v>45967</v>
      </c>
      <c r="B2060" s="123" t="s">
        <v>667</v>
      </c>
      <c r="C2060" s="124" t="s">
        <v>393</v>
      </c>
      <c r="F2060" s="123" t="n">
        <v>5754</v>
      </c>
      <c r="G2060" s="653" t="n">
        <v>2537.5</v>
      </c>
    </row>
    <row r="2061" customFormat="false" ht="15" hidden="false" customHeight="false" outlineLevel="0" collapsed="false">
      <c r="A2061" s="652" t="n">
        <v>45968</v>
      </c>
      <c r="B2061" s="123" t="s">
        <v>666</v>
      </c>
      <c r="C2061" s="124" t="s">
        <v>393</v>
      </c>
      <c r="F2061" s="123" t="n">
        <v>733</v>
      </c>
      <c r="G2061" s="653" t="n">
        <v>1804.5</v>
      </c>
    </row>
    <row r="2062" customFormat="false" ht="15" hidden="false" customHeight="false" outlineLevel="0" collapsed="false">
      <c r="A2062" s="652" t="n">
        <v>45971</v>
      </c>
      <c r="B2062" s="123" t="s">
        <v>668</v>
      </c>
      <c r="C2062" s="124" t="s">
        <v>393</v>
      </c>
      <c r="E2062" s="653" t="n">
        <v>-0.5</v>
      </c>
      <c r="F2062" s="123" t="n">
        <v>1804</v>
      </c>
      <c r="G2062" s="123" t="n">
        <v>0</v>
      </c>
    </row>
    <row r="2063" customFormat="false" ht="15" hidden="false" customHeight="false" outlineLevel="0" collapsed="false">
      <c r="A2063" s="652" t="n">
        <v>45971</v>
      </c>
      <c r="B2063" s="123" t="n">
        <v>53001623</v>
      </c>
      <c r="C2063" s="124" t="s">
        <v>274</v>
      </c>
      <c r="D2063" s="124" t="s">
        <v>127</v>
      </c>
      <c r="E2063" s="123" t="n">
        <v>483</v>
      </c>
      <c r="G2063" s="123" t="n">
        <v>483</v>
      </c>
      <c r="H2063" s="123" t="n">
        <v>0</v>
      </c>
      <c r="K2063" s="123" t="n">
        <v>1</v>
      </c>
      <c r="O2063" s="123" t="n">
        <v>1</v>
      </c>
    </row>
    <row r="2064" customFormat="false" ht="15" hidden="false" customHeight="false" outlineLevel="0" collapsed="false">
      <c r="A2064" s="652" t="n">
        <v>45971</v>
      </c>
      <c r="B2064" s="123" t="n">
        <v>53001624</v>
      </c>
      <c r="C2064" s="124" t="s">
        <v>279</v>
      </c>
      <c r="D2064" s="124" t="s">
        <v>127</v>
      </c>
      <c r="E2064" s="653" t="n">
        <v>747.5</v>
      </c>
      <c r="G2064" s="653" t="n">
        <v>1230.5</v>
      </c>
      <c r="O2064" s="123" t="n">
        <v>4</v>
      </c>
      <c r="P2064" s="123" t="n">
        <v>1</v>
      </c>
    </row>
    <row r="2065" customFormat="false" ht="15" hidden="false" customHeight="false" outlineLevel="0" collapsed="false">
      <c r="A2065" s="652" t="n">
        <v>45971</v>
      </c>
      <c r="B2065" s="123" t="n">
        <v>53001625</v>
      </c>
      <c r="C2065" s="124" t="s">
        <v>96</v>
      </c>
      <c r="D2065" s="124" t="s">
        <v>75</v>
      </c>
      <c r="E2065" s="653" t="n">
        <v>845.25</v>
      </c>
      <c r="G2065" s="653" t="n">
        <v>2075.75</v>
      </c>
      <c r="I2065" s="123" t="n">
        <v>3</v>
      </c>
    </row>
    <row r="2066" customFormat="false" ht="15" hidden="false" customHeight="false" outlineLevel="0" collapsed="false">
      <c r="A2066" s="652" t="n">
        <v>45971</v>
      </c>
      <c r="B2066" s="123" t="n">
        <v>53001626</v>
      </c>
      <c r="C2066" s="124" t="s">
        <v>107</v>
      </c>
      <c r="D2066" s="124" t="s">
        <v>105</v>
      </c>
      <c r="E2066" s="653" t="n">
        <v>845.25</v>
      </c>
      <c r="G2066" s="123" t="n">
        <v>2921</v>
      </c>
      <c r="H2066" s="653" t="n">
        <v>0.25</v>
      </c>
      <c r="I2066" s="123" t="n">
        <v>3</v>
      </c>
    </row>
    <row r="2067" customFormat="false" ht="15" hidden="false" customHeight="false" outlineLevel="0" collapsed="false">
      <c r="A2067" s="652" t="n">
        <v>45971</v>
      </c>
      <c r="B2067" s="123" t="n">
        <v>53001627</v>
      </c>
      <c r="C2067" s="124" t="s">
        <v>108</v>
      </c>
      <c r="D2067" s="124" t="s">
        <v>105</v>
      </c>
      <c r="E2067" s="123" t="n">
        <v>943</v>
      </c>
      <c r="G2067" s="123" t="n">
        <v>3864</v>
      </c>
      <c r="H2067" s="123" t="n">
        <v>0</v>
      </c>
      <c r="K2067" s="123" t="n">
        <v>2</v>
      </c>
      <c r="M2067" s="123" t="n">
        <v>2</v>
      </c>
    </row>
    <row r="2068" customFormat="false" ht="15" hidden="false" customHeight="false" outlineLevel="0" collapsed="false">
      <c r="A2068" s="652" t="n">
        <v>45971</v>
      </c>
      <c r="B2068" s="123" t="n">
        <v>53001628</v>
      </c>
      <c r="C2068" s="124" t="s">
        <v>104</v>
      </c>
      <c r="D2068" s="124" t="s">
        <v>105</v>
      </c>
      <c r="E2068" s="123" t="n">
        <v>230</v>
      </c>
      <c r="G2068" s="123" t="n">
        <v>4094</v>
      </c>
      <c r="K2068" s="123" t="n">
        <v>1</v>
      </c>
    </row>
    <row r="2069" customFormat="false" ht="15" hidden="false" customHeight="false" outlineLevel="0" collapsed="false">
      <c r="A2069" s="652" t="n">
        <v>45971</v>
      </c>
      <c r="B2069" s="123" t="n">
        <v>53001629</v>
      </c>
      <c r="C2069" s="124" t="s">
        <v>104</v>
      </c>
      <c r="D2069" s="124" t="s">
        <v>105</v>
      </c>
      <c r="E2069" s="653" t="n">
        <v>155.25</v>
      </c>
      <c r="G2069" s="653" t="n">
        <v>4249.25</v>
      </c>
      <c r="H2069" s="653" t="n">
        <v>0.25</v>
      </c>
      <c r="P2069" s="123" t="n">
        <v>1</v>
      </c>
    </row>
    <row r="2070" customFormat="false" ht="15" hidden="false" customHeight="false" outlineLevel="0" collapsed="false">
      <c r="A2070" s="652" t="n">
        <v>45971</v>
      </c>
      <c r="B2070" s="123" t="n">
        <v>53001630</v>
      </c>
      <c r="C2070" s="124" t="s">
        <v>109</v>
      </c>
      <c r="D2070" s="124" t="s">
        <v>105</v>
      </c>
      <c r="E2070" s="123" t="n">
        <v>598</v>
      </c>
      <c r="G2070" s="653" t="n">
        <v>4847.25</v>
      </c>
      <c r="H2070" s="123" t="n">
        <v>0</v>
      </c>
      <c r="K2070" s="123" t="n">
        <v>2</v>
      </c>
    </row>
    <row r="2071" customFormat="false" ht="15" hidden="false" customHeight="false" outlineLevel="0" collapsed="false">
      <c r="A2071" s="652" t="n">
        <v>45971</v>
      </c>
      <c r="B2071" s="123" t="s">
        <v>666</v>
      </c>
      <c r="C2071" s="124" t="s">
        <v>393</v>
      </c>
      <c r="F2071" s="123" t="n">
        <v>900</v>
      </c>
      <c r="G2071" s="653" t="n">
        <v>3947.25</v>
      </c>
    </row>
    <row r="2072" customFormat="false" ht="15" hidden="false" customHeight="false" outlineLevel="0" collapsed="false">
      <c r="A2072" s="652" t="n">
        <v>45972</v>
      </c>
      <c r="B2072" s="123" t="s">
        <v>668</v>
      </c>
      <c r="C2072" s="124" t="s">
        <v>393</v>
      </c>
      <c r="E2072" s="653" t="n">
        <v>-0.25</v>
      </c>
      <c r="F2072" s="123" t="n">
        <v>3947</v>
      </c>
      <c r="G2072" s="123" t="n">
        <v>0</v>
      </c>
    </row>
    <row r="2073" customFormat="false" ht="15" hidden="false" customHeight="false" outlineLevel="0" collapsed="false">
      <c r="A2073" s="652" t="n">
        <v>45972</v>
      </c>
      <c r="B2073" s="123" t="n">
        <v>53001631</v>
      </c>
      <c r="C2073" s="124" t="s">
        <v>248</v>
      </c>
      <c r="D2073" s="124" t="s">
        <v>127</v>
      </c>
      <c r="E2073" s="653" t="n">
        <v>931.5</v>
      </c>
      <c r="G2073" s="653" t="n">
        <v>931.5</v>
      </c>
      <c r="H2073" s="653" t="n">
        <v>0.5</v>
      </c>
      <c r="P2073" s="123" t="n">
        <v>6</v>
      </c>
    </row>
    <row r="2074" customFormat="false" ht="15" hidden="false" customHeight="false" outlineLevel="0" collapsed="false">
      <c r="A2074" s="652" t="n">
        <v>45972</v>
      </c>
      <c r="B2074" s="123" t="n">
        <v>53001632</v>
      </c>
      <c r="C2074" s="124" t="s">
        <v>155</v>
      </c>
      <c r="D2074" s="124" t="s">
        <v>127</v>
      </c>
      <c r="E2074" s="653" t="n">
        <v>845.25</v>
      </c>
      <c r="G2074" s="653" t="n">
        <v>1776.75</v>
      </c>
      <c r="H2074" s="653" t="n">
        <v>0.25</v>
      </c>
      <c r="I2074" s="123" t="n">
        <v>3</v>
      </c>
    </row>
    <row r="2075" customFormat="false" ht="15" hidden="false" customHeight="false" outlineLevel="0" collapsed="false">
      <c r="A2075" s="652" t="n">
        <v>45972</v>
      </c>
      <c r="B2075" s="123" t="n">
        <v>53001633</v>
      </c>
      <c r="C2075" s="124" t="s">
        <v>183</v>
      </c>
      <c r="D2075" s="124" t="s">
        <v>127</v>
      </c>
      <c r="E2075" s="123" t="n">
        <v>598</v>
      </c>
      <c r="G2075" s="653" t="n">
        <v>2374.75</v>
      </c>
      <c r="K2075" s="123" t="n">
        <v>2</v>
      </c>
    </row>
    <row r="2076" customFormat="false" ht="15" hidden="false" customHeight="false" outlineLevel="0" collapsed="false">
      <c r="A2076" s="652" t="n">
        <v>45972</v>
      </c>
      <c r="B2076" s="123" t="n">
        <v>53001634</v>
      </c>
      <c r="C2076" s="124" t="s">
        <v>233</v>
      </c>
      <c r="D2076" s="124" t="s">
        <v>127</v>
      </c>
      <c r="E2076" s="123" t="n">
        <v>138</v>
      </c>
      <c r="G2076" s="653" t="n">
        <v>2512.75</v>
      </c>
      <c r="O2076" s="123" t="n">
        <v>1</v>
      </c>
    </row>
    <row r="2077" customFormat="false" ht="15" hidden="false" customHeight="false" outlineLevel="0" collapsed="false">
      <c r="A2077" s="652" t="n">
        <v>45972</v>
      </c>
      <c r="B2077" s="123" t="n">
        <v>53001635</v>
      </c>
      <c r="C2077" s="124" t="s">
        <v>264</v>
      </c>
      <c r="D2077" s="124" t="s">
        <v>127</v>
      </c>
      <c r="E2077" s="653" t="n">
        <v>310.5</v>
      </c>
      <c r="G2077" s="653" t="n">
        <v>2823.25</v>
      </c>
      <c r="H2077" s="123" t="n">
        <v>0</v>
      </c>
      <c r="P2077" s="123" t="n">
        <v>2</v>
      </c>
    </row>
    <row r="2078" customFormat="false" ht="15" hidden="false" customHeight="false" outlineLevel="0" collapsed="false">
      <c r="A2078" s="652" t="n">
        <v>45972</v>
      </c>
      <c r="B2078" s="123" t="n">
        <v>53001636</v>
      </c>
      <c r="C2078" s="124" t="s">
        <v>258</v>
      </c>
      <c r="D2078" s="124" t="s">
        <v>127</v>
      </c>
      <c r="E2078" s="123" t="n">
        <v>506</v>
      </c>
      <c r="G2078" s="653" t="n">
        <v>3329.25</v>
      </c>
      <c r="K2078" s="123" t="n">
        <v>2</v>
      </c>
    </row>
    <row r="2079" customFormat="false" ht="15" hidden="false" customHeight="false" outlineLevel="0" collapsed="false">
      <c r="A2079" s="652" t="n">
        <v>45972</v>
      </c>
      <c r="B2079" s="123" t="s">
        <v>666</v>
      </c>
      <c r="C2079" s="124" t="s">
        <v>393</v>
      </c>
      <c r="F2079" s="123" t="n">
        <v>778</v>
      </c>
      <c r="G2079" s="653" t="n">
        <v>2551.25</v>
      </c>
    </row>
    <row r="2080" customFormat="false" ht="15" hidden="false" customHeight="false" outlineLevel="0" collapsed="false">
      <c r="A2080" s="652" t="n">
        <v>45972</v>
      </c>
      <c r="B2080" s="123" t="s">
        <v>667</v>
      </c>
      <c r="C2080" s="124" t="s">
        <v>393</v>
      </c>
      <c r="F2080" s="123" t="n">
        <v>800</v>
      </c>
      <c r="G2080" s="653" t="n">
        <v>1751.25</v>
      </c>
    </row>
    <row r="2081" customFormat="false" ht="15" hidden="false" customHeight="false" outlineLevel="0" collapsed="false">
      <c r="A2081" s="652" t="n">
        <v>45972</v>
      </c>
      <c r="B2081" s="123" t="s">
        <v>668</v>
      </c>
      <c r="C2081" s="124" t="s">
        <v>393</v>
      </c>
      <c r="F2081" s="653" t="n">
        <v>1750.5</v>
      </c>
      <c r="G2081" s="653" t="n">
        <v>0.75</v>
      </c>
    </row>
    <row r="2082" customFormat="false" ht="15" hidden="false" customHeight="false" outlineLevel="0" collapsed="false">
      <c r="A2082" s="652" t="n">
        <v>45973</v>
      </c>
      <c r="B2082" s="123" t="n">
        <v>53001637</v>
      </c>
      <c r="C2082" s="124" t="s">
        <v>138</v>
      </c>
      <c r="D2082" s="124" t="s">
        <v>127</v>
      </c>
      <c r="E2082" s="123" t="n">
        <v>506</v>
      </c>
      <c r="G2082" s="653" t="n">
        <v>506.75</v>
      </c>
      <c r="K2082" s="123" t="n">
        <v>2</v>
      </c>
    </row>
    <row r="2083" customFormat="false" ht="15" hidden="false" customHeight="false" outlineLevel="0" collapsed="false">
      <c r="A2083" s="652" t="n">
        <v>45973</v>
      </c>
      <c r="B2083" s="123" t="n">
        <v>53001638</v>
      </c>
      <c r="C2083" s="124" t="s">
        <v>314</v>
      </c>
      <c r="D2083" s="124" t="s">
        <v>301</v>
      </c>
      <c r="E2083" s="123" t="n">
        <v>506</v>
      </c>
      <c r="G2083" s="653" t="n">
        <v>1012.75</v>
      </c>
      <c r="K2083" s="123" t="n">
        <v>2</v>
      </c>
    </row>
    <row r="2084" customFormat="false" ht="15" hidden="false" customHeight="false" outlineLevel="0" collapsed="false">
      <c r="A2084" s="652" t="n">
        <v>45973</v>
      </c>
      <c r="B2084" s="123" t="n">
        <v>53001639</v>
      </c>
      <c r="C2084" s="124" t="s">
        <v>280</v>
      </c>
      <c r="D2084" s="124" t="s">
        <v>127</v>
      </c>
      <c r="E2084" s="123" t="n">
        <v>253</v>
      </c>
      <c r="G2084" s="653" t="n">
        <v>1265.75</v>
      </c>
      <c r="K2084" s="123" t="n">
        <v>1</v>
      </c>
    </row>
    <row r="2085" customFormat="false" ht="15" hidden="false" customHeight="false" outlineLevel="0" collapsed="false">
      <c r="A2085" s="652" t="n">
        <v>45973</v>
      </c>
      <c r="B2085" s="123" t="n">
        <v>53001640</v>
      </c>
      <c r="C2085" s="124" t="s">
        <v>221</v>
      </c>
      <c r="D2085" s="124" t="s">
        <v>127</v>
      </c>
      <c r="E2085" s="653" t="n">
        <v>845.25</v>
      </c>
      <c r="G2085" s="123" t="n">
        <v>2111</v>
      </c>
      <c r="I2085" s="123" t="n">
        <v>3</v>
      </c>
    </row>
    <row r="2086" customFormat="false" ht="15" hidden="false" customHeight="false" outlineLevel="0" collapsed="false">
      <c r="A2086" s="652" t="n">
        <v>45973</v>
      </c>
      <c r="B2086" s="123" t="n">
        <v>53001641</v>
      </c>
      <c r="C2086" s="124" t="s">
        <v>252</v>
      </c>
      <c r="D2086" s="124" t="s">
        <v>127</v>
      </c>
      <c r="E2086" s="123" t="n">
        <v>276</v>
      </c>
      <c r="G2086" s="123" t="n">
        <v>2387</v>
      </c>
      <c r="H2086" s="123" t="n">
        <v>76</v>
      </c>
      <c r="O2086" s="123" t="n">
        <v>2</v>
      </c>
    </row>
    <row r="2087" customFormat="false" ht="15" hidden="false" customHeight="false" outlineLevel="0" collapsed="false">
      <c r="A2087" s="652" t="n">
        <v>45973</v>
      </c>
      <c r="B2087" s="123" t="n">
        <v>53001642</v>
      </c>
      <c r="C2087" s="124" t="s">
        <v>269</v>
      </c>
      <c r="D2087" s="124" t="s">
        <v>127</v>
      </c>
      <c r="E2087" s="653" t="n">
        <v>845.25</v>
      </c>
      <c r="G2087" s="653" t="n">
        <v>3232.25</v>
      </c>
      <c r="I2087" s="123" t="n">
        <v>3</v>
      </c>
    </row>
    <row r="2088" customFormat="false" ht="15" hidden="false" customHeight="false" outlineLevel="0" collapsed="false">
      <c r="A2088" s="652" t="n">
        <v>45973</v>
      </c>
      <c r="B2088" s="123" t="s">
        <v>666</v>
      </c>
      <c r="C2088" s="124" t="s">
        <v>393</v>
      </c>
      <c r="F2088" s="653" t="n">
        <v>1911.5</v>
      </c>
      <c r="G2088" s="653" t="n">
        <v>1320.75</v>
      </c>
    </row>
    <row r="2089" customFormat="false" ht="15" hidden="false" customHeight="false" outlineLevel="0" collapsed="false">
      <c r="A2089" s="652" t="n">
        <v>45974</v>
      </c>
      <c r="B2089" s="123" t="s">
        <v>668</v>
      </c>
      <c r="C2089" s="124" t="s">
        <v>393</v>
      </c>
      <c r="F2089" s="123" t="n">
        <v>1320</v>
      </c>
      <c r="G2089" s="653" t="n">
        <v>0.75</v>
      </c>
    </row>
    <row r="2090" customFormat="false" ht="15" hidden="false" customHeight="false" outlineLevel="0" collapsed="false">
      <c r="A2090" s="652" t="n">
        <v>45974</v>
      </c>
      <c r="B2090" s="123" t="n">
        <v>53001643</v>
      </c>
      <c r="C2090" s="124" t="s">
        <v>281</v>
      </c>
      <c r="D2090" s="124" t="s">
        <v>127</v>
      </c>
      <c r="E2090" s="653" t="n">
        <v>845.25</v>
      </c>
      <c r="G2090" s="123" t="n">
        <v>846</v>
      </c>
      <c r="H2090" s="653" t="n">
        <v>0.25</v>
      </c>
      <c r="I2090" s="123" t="n">
        <v>3</v>
      </c>
    </row>
    <row r="2091" customFormat="false" ht="15" hidden="false" customHeight="false" outlineLevel="0" collapsed="false">
      <c r="A2091" s="652" t="n">
        <v>45974</v>
      </c>
      <c r="B2091" s="123" t="n">
        <v>53001644</v>
      </c>
      <c r="C2091" s="124" t="s">
        <v>246</v>
      </c>
      <c r="D2091" s="124" t="s">
        <v>127</v>
      </c>
      <c r="E2091" s="653" t="n">
        <v>1604.25</v>
      </c>
      <c r="G2091" s="653" t="n">
        <v>2450.25</v>
      </c>
      <c r="H2091" s="653" t="n">
        <v>-0.75</v>
      </c>
      <c r="I2091" s="123" t="n">
        <v>3</v>
      </c>
      <c r="K2091" s="123" t="n">
        <v>3</v>
      </c>
    </row>
    <row r="2092" customFormat="false" ht="15" hidden="false" customHeight="false" outlineLevel="0" collapsed="false">
      <c r="A2092" s="652" t="n">
        <v>45974</v>
      </c>
      <c r="B2092" s="123" t="n">
        <v>53001645</v>
      </c>
      <c r="C2092" s="124" t="s">
        <v>259</v>
      </c>
      <c r="D2092" s="124" t="s">
        <v>127</v>
      </c>
      <c r="E2092" s="653" t="n">
        <v>845.25</v>
      </c>
      <c r="G2092" s="653" t="n">
        <v>3295.5</v>
      </c>
      <c r="I2092" s="123" t="n">
        <v>3</v>
      </c>
    </row>
    <row r="2093" customFormat="false" ht="15" hidden="false" customHeight="false" outlineLevel="0" collapsed="false">
      <c r="A2093" s="652" t="n">
        <v>45974</v>
      </c>
      <c r="B2093" s="123" t="n">
        <v>53001646</v>
      </c>
      <c r="C2093" s="124" t="s">
        <v>769</v>
      </c>
      <c r="E2093" s="653" t="n">
        <v>845.25</v>
      </c>
      <c r="G2093" s="653" t="n">
        <v>4140.75</v>
      </c>
      <c r="H2093" s="653" t="n">
        <v>0.25</v>
      </c>
      <c r="I2093" s="123" t="n">
        <v>3</v>
      </c>
    </row>
    <row r="2094" customFormat="false" ht="15" hidden="false" customHeight="false" outlineLevel="0" collapsed="false">
      <c r="A2094" s="652" t="n">
        <v>45974</v>
      </c>
      <c r="B2094" s="123" t="n">
        <v>53001647</v>
      </c>
      <c r="C2094" s="124" t="s">
        <v>183</v>
      </c>
      <c r="D2094" s="124" t="s">
        <v>127</v>
      </c>
      <c r="E2094" s="123" t="n">
        <v>138</v>
      </c>
      <c r="G2094" s="653" t="n">
        <v>4278.75</v>
      </c>
      <c r="O2094" s="123" t="n">
        <v>1</v>
      </c>
    </row>
    <row r="2095" customFormat="false" ht="15" hidden="false" customHeight="false" outlineLevel="0" collapsed="false">
      <c r="A2095" s="652" t="n">
        <v>45974</v>
      </c>
      <c r="B2095" s="123" t="n">
        <v>53001648</v>
      </c>
      <c r="C2095" s="124" t="s">
        <v>257</v>
      </c>
      <c r="D2095" s="124" t="s">
        <v>127</v>
      </c>
      <c r="E2095" s="653" t="n">
        <v>845.25</v>
      </c>
      <c r="G2095" s="123" t="n">
        <v>5124</v>
      </c>
      <c r="I2095" s="123" t="n">
        <v>3</v>
      </c>
    </row>
    <row r="2096" customFormat="false" ht="15" hidden="false" customHeight="false" outlineLevel="0" collapsed="false">
      <c r="A2096" s="652" t="n">
        <v>45974</v>
      </c>
      <c r="B2096" s="123" t="s">
        <v>666</v>
      </c>
      <c r="C2096" s="124" t="s">
        <v>393</v>
      </c>
      <c r="F2096" s="653" t="n">
        <v>2553.5</v>
      </c>
      <c r="G2096" s="653" t="n">
        <v>2570.5</v>
      </c>
    </row>
    <row r="2097" customFormat="false" ht="15" hidden="false" customHeight="false" outlineLevel="0" collapsed="false">
      <c r="A2097" s="652" t="n">
        <v>45974</v>
      </c>
      <c r="B2097" s="123" t="s">
        <v>667</v>
      </c>
      <c r="C2097" s="124" t="s">
        <v>393</v>
      </c>
      <c r="F2097" s="123" t="n">
        <v>2570</v>
      </c>
      <c r="G2097" s="653" t="n">
        <v>0.5</v>
      </c>
    </row>
    <row r="2098" customFormat="false" ht="15" hidden="false" customHeight="false" outlineLevel="0" collapsed="false">
      <c r="A2098" s="652" t="n">
        <v>45977</v>
      </c>
      <c r="B2098" s="123" t="n">
        <v>53001649</v>
      </c>
      <c r="C2098" s="124" t="s">
        <v>184</v>
      </c>
      <c r="D2098" s="124" t="s">
        <v>127</v>
      </c>
      <c r="E2098" s="653" t="n">
        <v>385.25</v>
      </c>
      <c r="G2098" s="653" t="n">
        <v>385.75</v>
      </c>
      <c r="H2098" s="653" t="n">
        <v>0.25</v>
      </c>
      <c r="K2098" s="123" t="n">
        <v>1</v>
      </c>
      <c r="P2098" s="123" t="n">
        <v>1</v>
      </c>
    </row>
    <row r="2099" customFormat="false" ht="15" hidden="false" customHeight="false" outlineLevel="0" collapsed="false">
      <c r="A2099" s="652" t="n">
        <v>45977</v>
      </c>
      <c r="B2099" s="123" t="n">
        <v>53001650</v>
      </c>
      <c r="C2099" s="124" t="s">
        <v>197</v>
      </c>
      <c r="D2099" s="124" t="s">
        <v>127</v>
      </c>
      <c r="E2099" s="653" t="n">
        <v>983.25</v>
      </c>
      <c r="G2099" s="123" t="n">
        <v>1369</v>
      </c>
      <c r="H2099" s="653" t="n">
        <v>0.25</v>
      </c>
      <c r="I2099" s="123" t="n">
        <v>3</v>
      </c>
      <c r="O2099" s="123" t="n">
        <v>1</v>
      </c>
    </row>
    <row r="2100" customFormat="false" ht="15" hidden="false" customHeight="false" outlineLevel="0" collapsed="false">
      <c r="A2100" s="652" t="n">
        <v>45977</v>
      </c>
      <c r="B2100" s="123" t="n">
        <v>53001651</v>
      </c>
      <c r="C2100" s="124" t="s">
        <v>171</v>
      </c>
      <c r="D2100" s="124" t="s">
        <v>127</v>
      </c>
      <c r="E2100" s="653" t="n">
        <v>845.25</v>
      </c>
      <c r="G2100" s="653" t="n">
        <v>2214.25</v>
      </c>
      <c r="I2100" s="123" t="n">
        <v>3</v>
      </c>
    </row>
    <row r="2101" customFormat="false" ht="15" hidden="false" customHeight="false" outlineLevel="0" collapsed="false">
      <c r="A2101" s="652" t="n">
        <v>45977</v>
      </c>
      <c r="B2101" s="123" t="n">
        <v>53001652</v>
      </c>
      <c r="C2101" s="124" t="s">
        <v>671</v>
      </c>
      <c r="E2101" s="123" t="n">
        <v>138</v>
      </c>
      <c r="G2101" s="653" t="n">
        <v>2352.25</v>
      </c>
      <c r="O2101" s="123" t="n">
        <v>1</v>
      </c>
    </row>
    <row r="2102" customFormat="false" ht="15" hidden="false" customHeight="false" outlineLevel="0" collapsed="false">
      <c r="A2102" s="652" t="n">
        <v>45977</v>
      </c>
      <c r="B2102" s="123" t="s">
        <v>666</v>
      </c>
      <c r="C2102" s="124" t="s">
        <v>393</v>
      </c>
      <c r="F2102" s="123" t="n">
        <v>1716</v>
      </c>
      <c r="G2102" s="653" t="n">
        <v>636.25</v>
      </c>
    </row>
    <row r="2103" customFormat="false" ht="15" hidden="false" customHeight="false" outlineLevel="0" collapsed="false">
      <c r="A2103" s="652" t="n">
        <v>45976</v>
      </c>
      <c r="B2103" s="123" t="s">
        <v>667</v>
      </c>
      <c r="C2103" s="124" t="s">
        <v>393</v>
      </c>
      <c r="E2103" s="653" t="n">
        <v>-0.25</v>
      </c>
      <c r="F2103" s="123" t="n">
        <v>636</v>
      </c>
      <c r="G2103" s="123" t="n">
        <v>0</v>
      </c>
    </row>
    <row r="2104" customFormat="false" ht="15" hidden="false" customHeight="false" outlineLevel="0" collapsed="false">
      <c r="A2104" s="652" t="n">
        <v>45978</v>
      </c>
      <c r="B2104" s="123" t="n">
        <v>53001653</v>
      </c>
      <c r="C2104" s="124" t="s">
        <v>274</v>
      </c>
      <c r="D2104" s="124" t="s">
        <v>127</v>
      </c>
      <c r="E2104" s="123" t="n">
        <v>345</v>
      </c>
      <c r="G2104" s="123" t="n">
        <v>345</v>
      </c>
      <c r="K2104" s="123" t="n">
        <v>1</v>
      </c>
    </row>
    <row r="2105" customFormat="false" ht="15" hidden="false" customHeight="false" outlineLevel="0" collapsed="false">
      <c r="A2105" s="652" t="n">
        <v>45973</v>
      </c>
      <c r="B2105" s="123" t="n">
        <v>53001654</v>
      </c>
      <c r="C2105" s="124" t="s">
        <v>242</v>
      </c>
      <c r="D2105" s="124" t="s">
        <v>127</v>
      </c>
      <c r="E2105" s="123" t="n">
        <v>253</v>
      </c>
      <c r="G2105" s="123" t="n">
        <v>598</v>
      </c>
      <c r="K2105" s="123" t="n">
        <v>1</v>
      </c>
    </row>
    <row r="2106" customFormat="false" ht="15" hidden="false" customHeight="false" outlineLevel="0" collapsed="false">
      <c r="A2106" s="652" t="n">
        <v>45978</v>
      </c>
      <c r="B2106" s="123" t="n">
        <v>53001655</v>
      </c>
      <c r="C2106" s="124" t="s">
        <v>298</v>
      </c>
      <c r="D2106" s="124" t="s">
        <v>286</v>
      </c>
      <c r="E2106" s="123" t="n">
        <v>460</v>
      </c>
      <c r="G2106" s="123" t="n">
        <v>1058</v>
      </c>
      <c r="H2106" s="653" t="n">
        <v>-2.5</v>
      </c>
      <c r="K2106" s="123" t="n">
        <v>2</v>
      </c>
    </row>
    <row r="2107" customFormat="false" ht="15" hidden="false" customHeight="false" outlineLevel="0" collapsed="false">
      <c r="A2107" s="652" t="n">
        <v>45978</v>
      </c>
      <c r="B2107" s="123" t="n">
        <v>53001656</v>
      </c>
      <c r="C2107" s="124" t="s">
        <v>295</v>
      </c>
      <c r="D2107" s="124" t="s">
        <v>286</v>
      </c>
      <c r="E2107" s="653" t="n">
        <v>1040.75</v>
      </c>
      <c r="G2107" s="653" t="n">
        <v>2098.75</v>
      </c>
      <c r="H2107" s="653" t="n">
        <v>0.25</v>
      </c>
      <c r="I2107" s="123" t="n">
        <v>3</v>
      </c>
      <c r="O2107" s="123" t="n">
        <v>1</v>
      </c>
    </row>
    <row r="2108" customFormat="false" ht="15" hidden="false" customHeight="false" outlineLevel="0" collapsed="false">
      <c r="A2108" s="652" t="n">
        <v>45978</v>
      </c>
      <c r="B2108" s="123" t="n">
        <v>53001657</v>
      </c>
      <c r="C2108" s="124" t="s">
        <v>290</v>
      </c>
      <c r="D2108" s="124" t="s">
        <v>286</v>
      </c>
      <c r="E2108" s="653" t="n">
        <v>845.25</v>
      </c>
      <c r="G2108" s="123" t="n">
        <v>2944</v>
      </c>
      <c r="H2108" s="123" t="n">
        <v>0</v>
      </c>
      <c r="I2108" s="123" t="n">
        <v>3</v>
      </c>
    </row>
    <row r="2109" customFormat="false" ht="15" hidden="false" customHeight="false" outlineLevel="0" collapsed="false">
      <c r="A2109" s="652" t="n">
        <v>45978</v>
      </c>
      <c r="B2109" s="123" t="n">
        <v>53001658</v>
      </c>
      <c r="C2109" s="124" t="s">
        <v>315</v>
      </c>
      <c r="D2109" s="124" t="s">
        <v>301</v>
      </c>
      <c r="E2109" s="653" t="n">
        <v>845.25</v>
      </c>
      <c r="G2109" s="653" t="n">
        <v>3789.25</v>
      </c>
      <c r="I2109" s="123" t="n">
        <v>3</v>
      </c>
    </row>
    <row r="2110" customFormat="false" ht="15" hidden="false" customHeight="false" outlineLevel="0" collapsed="false">
      <c r="A2110" s="652" t="n">
        <v>45978</v>
      </c>
      <c r="B2110" s="123" t="n">
        <v>53001659</v>
      </c>
      <c r="C2110" s="124" t="s">
        <v>316</v>
      </c>
      <c r="D2110" s="124" t="s">
        <v>301</v>
      </c>
      <c r="E2110" s="653" t="n">
        <v>747.5</v>
      </c>
      <c r="G2110" s="653" t="n">
        <v>4536.75</v>
      </c>
      <c r="H2110" s="653" t="n">
        <v>0.5</v>
      </c>
      <c r="K2110" s="123" t="n">
        <v>2</v>
      </c>
      <c r="M2110" s="123" t="n">
        <v>1</v>
      </c>
    </row>
    <row r="2111" customFormat="false" ht="15" hidden="false" customHeight="false" outlineLevel="0" collapsed="false">
      <c r="A2111" s="652" t="n">
        <v>45978</v>
      </c>
      <c r="B2111" s="123" t="s">
        <v>666</v>
      </c>
      <c r="C2111" s="124" t="s">
        <v>393</v>
      </c>
      <c r="F2111" s="123" t="n">
        <v>2612</v>
      </c>
      <c r="G2111" s="653" t="n">
        <v>1924.75</v>
      </c>
    </row>
    <row r="2112" customFormat="false" ht="15" hidden="false" customHeight="false" outlineLevel="0" collapsed="false">
      <c r="A2112" s="652" t="n">
        <v>45979</v>
      </c>
      <c r="B2112" s="123" t="s">
        <v>668</v>
      </c>
      <c r="C2112" s="124" t="s">
        <v>393</v>
      </c>
      <c r="F2112" s="123" t="n">
        <v>1924</v>
      </c>
      <c r="G2112" s="653" t="n">
        <v>0.75</v>
      </c>
    </row>
    <row r="2113" customFormat="false" ht="15" hidden="false" customHeight="false" outlineLevel="0" collapsed="false">
      <c r="A2113" s="652" t="n">
        <v>45979</v>
      </c>
      <c r="B2113" s="123" t="n">
        <v>53001660</v>
      </c>
      <c r="C2113" s="124" t="s">
        <v>167</v>
      </c>
      <c r="D2113" s="124" t="s">
        <v>127</v>
      </c>
      <c r="E2113" s="123" t="n">
        <v>138</v>
      </c>
      <c r="G2113" s="653" t="n">
        <v>138.75</v>
      </c>
      <c r="H2113" s="123" t="n">
        <v>0</v>
      </c>
      <c r="O2113" s="123" t="n">
        <v>1</v>
      </c>
    </row>
    <row r="2114" customFormat="false" ht="15" hidden="false" customHeight="false" outlineLevel="0" collapsed="false">
      <c r="A2114" s="652" t="n">
        <v>45979</v>
      </c>
      <c r="B2114" s="123" t="n">
        <v>53001661</v>
      </c>
      <c r="C2114" s="124" t="s">
        <v>276</v>
      </c>
      <c r="D2114" s="124" t="s">
        <v>127</v>
      </c>
      <c r="E2114" s="653" t="n">
        <v>1052.25</v>
      </c>
      <c r="G2114" s="123" t="n">
        <v>1191</v>
      </c>
      <c r="H2114" s="123" t="n">
        <v>0</v>
      </c>
      <c r="O2114" s="123" t="n">
        <v>2</v>
      </c>
      <c r="P2114" s="123" t="n">
        <v>5</v>
      </c>
    </row>
    <row r="2115" customFormat="false" ht="15" hidden="false" customHeight="false" outlineLevel="0" collapsed="false">
      <c r="A2115" s="652" t="n">
        <v>45979</v>
      </c>
      <c r="B2115" s="123" t="n">
        <v>53001662</v>
      </c>
      <c r="C2115" s="124" t="s">
        <v>246</v>
      </c>
      <c r="D2115" s="124" t="s">
        <v>127</v>
      </c>
      <c r="E2115" s="123" t="n">
        <v>897</v>
      </c>
      <c r="G2115" s="123" t="n">
        <v>2088</v>
      </c>
      <c r="P2115" s="123" t="n">
        <v>3</v>
      </c>
    </row>
    <row r="2116" customFormat="false" ht="15" hidden="false" customHeight="false" outlineLevel="0" collapsed="false">
      <c r="A2116" s="652" t="n">
        <v>45979</v>
      </c>
      <c r="B2116" s="123" t="n">
        <v>53001663</v>
      </c>
      <c r="C2116" s="124" t="s">
        <v>141</v>
      </c>
      <c r="D2116" s="124" t="s">
        <v>127</v>
      </c>
      <c r="E2116" s="653" t="n">
        <v>1167.25</v>
      </c>
      <c r="G2116" s="653" t="n">
        <v>3255.25</v>
      </c>
      <c r="H2116" s="123" t="n">
        <v>0</v>
      </c>
      <c r="K2116" s="123" t="n">
        <v>5</v>
      </c>
    </row>
    <row r="2117" customFormat="false" ht="15" hidden="false" customHeight="false" outlineLevel="0" collapsed="false">
      <c r="A2117" s="652" t="n">
        <v>45980</v>
      </c>
      <c r="B2117" s="123" t="s">
        <v>668</v>
      </c>
      <c r="C2117" s="124" t="s">
        <v>393</v>
      </c>
      <c r="E2117" s="653" t="n">
        <v>-0.25</v>
      </c>
      <c r="F2117" s="123" t="n">
        <v>3255</v>
      </c>
      <c r="G2117" s="123" t="n">
        <v>0</v>
      </c>
    </row>
    <row r="2118" customFormat="false" ht="15" hidden="false" customHeight="false" outlineLevel="0" collapsed="false">
      <c r="A2118" s="652" t="n">
        <v>45980</v>
      </c>
      <c r="B2118" s="123" t="n">
        <v>53001664</v>
      </c>
      <c r="C2118" s="124" t="s">
        <v>162</v>
      </c>
      <c r="D2118" s="124" t="s">
        <v>127</v>
      </c>
      <c r="E2118" s="653" t="n">
        <v>845.25</v>
      </c>
      <c r="G2118" s="653" t="n">
        <v>845.25</v>
      </c>
      <c r="H2118" s="653" t="n">
        <v>0.25</v>
      </c>
      <c r="I2118" s="123" t="n">
        <v>3</v>
      </c>
    </row>
    <row r="2119" customFormat="false" ht="15" hidden="false" customHeight="false" outlineLevel="0" collapsed="false">
      <c r="A2119" s="652" t="n">
        <v>45980</v>
      </c>
      <c r="B2119" s="123" t="n">
        <v>53001665</v>
      </c>
      <c r="C2119" s="124" t="s">
        <v>243</v>
      </c>
      <c r="D2119" s="124" t="s">
        <v>127</v>
      </c>
      <c r="E2119" s="123" t="n">
        <v>1725</v>
      </c>
      <c r="G2119" s="653" t="n">
        <v>2570.25</v>
      </c>
      <c r="H2119" s="123" t="n">
        <v>0</v>
      </c>
      <c r="K2119" s="123" t="n">
        <v>5</v>
      </c>
    </row>
    <row r="2120" customFormat="false" ht="15" hidden="false" customHeight="false" outlineLevel="0" collapsed="false">
      <c r="A2120" s="652" t="n">
        <v>45980</v>
      </c>
      <c r="B2120" s="123" t="n">
        <v>53001666</v>
      </c>
      <c r="C2120" s="124" t="s">
        <v>94</v>
      </c>
      <c r="D2120" s="124" t="s">
        <v>75</v>
      </c>
      <c r="E2120" s="653" t="n">
        <v>845.25</v>
      </c>
      <c r="G2120" s="653" t="n">
        <v>3415.5</v>
      </c>
      <c r="H2120" s="653" t="n">
        <v>0.25</v>
      </c>
      <c r="I2120" s="123" t="n">
        <v>3</v>
      </c>
    </row>
    <row r="2121" customFormat="false" ht="15" hidden="false" customHeight="false" outlineLevel="0" collapsed="false">
      <c r="A2121" s="652" t="n">
        <v>45980</v>
      </c>
      <c r="B2121" s="123" t="n">
        <v>53001667</v>
      </c>
      <c r="C2121" s="124" t="s">
        <v>95</v>
      </c>
      <c r="D2121" s="124" t="s">
        <v>75</v>
      </c>
      <c r="E2121" s="653" t="n">
        <v>822.25</v>
      </c>
      <c r="G2121" s="653" t="n">
        <v>4237.75</v>
      </c>
      <c r="H2121" s="653" t="n">
        <v>0.25</v>
      </c>
      <c r="L2121" s="123" t="n">
        <v>3</v>
      </c>
    </row>
    <row r="2122" customFormat="false" ht="15" hidden="false" customHeight="false" outlineLevel="0" collapsed="false">
      <c r="A2122" s="652" t="n">
        <v>45980</v>
      </c>
      <c r="B2122" s="123" t="n">
        <v>53001668</v>
      </c>
      <c r="C2122" s="124" t="s">
        <v>117</v>
      </c>
      <c r="D2122" s="124" t="s">
        <v>105</v>
      </c>
      <c r="E2122" s="653" t="n">
        <v>822.25</v>
      </c>
      <c r="G2122" s="123" t="n">
        <v>5060</v>
      </c>
      <c r="L2122" s="123" t="n">
        <v>3</v>
      </c>
    </row>
    <row r="2123" customFormat="false" ht="15" hidden="false" customHeight="false" outlineLevel="0" collapsed="false">
      <c r="A2123" s="652" t="n">
        <v>45980</v>
      </c>
      <c r="B2123" s="123" t="n">
        <v>53001669</v>
      </c>
      <c r="C2123" s="124" t="s">
        <v>110</v>
      </c>
      <c r="D2123" s="124" t="s">
        <v>105</v>
      </c>
      <c r="E2123" s="123" t="n">
        <v>690</v>
      </c>
      <c r="G2123" s="123" t="n">
        <v>5750</v>
      </c>
      <c r="K2123" s="123" t="n">
        <v>2</v>
      </c>
    </row>
    <row r="2124" customFormat="false" ht="15" hidden="false" customHeight="false" outlineLevel="0" collapsed="false">
      <c r="A2124" s="652" t="n">
        <v>45980</v>
      </c>
      <c r="B2124" s="123" t="n">
        <v>53001670</v>
      </c>
      <c r="C2124" s="124" t="s">
        <v>112</v>
      </c>
      <c r="D2124" s="124" t="s">
        <v>105</v>
      </c>
      <c r="E2124" s="653" t="n">
        <v>845.25</v>
      </c>
      <c r="G2124" s="653" t="n">
        <v>6595.25</v>
      </c>
      <c r="H2124" s="653" t="n">
        <v>0.25</v>
      </c>
      <c r="I2124" s="123" t="n">
        <v>3</v>
      </c>
    </row>
    <row r="2125" customFormat="false" ht="15" hidden="false" customHeight="false" outlineLevel="0" collapsed="false">
      <c r="A2125" s="652" t="n">
        <v>45980</v>
      </c>
      <c r="B2125" s="123" t="n">
        <v>53001671</v>
      </c>
      <c r="C2125" s="124" t="s">
        <v>89</v>
      </c>
      <c r="D2125" s="124" t="s">
        <v>75</v>
      </c>
      <c r="E2125" s="123" t="n">
        <v>230</v>
      </c>
      <c r="G2125" s="653" t="n">
        <v>6825.25</v>
      </c>
      <c r="H2125" s="123" t="n">
        <v>0</v>
      </c>
      <c r="K2125" s="123" t="n">
        <v>1</v>
      </c>
    </row>
    <row r="2126" customFormat="false" ht="15" hidden="false" customHeight="false" outlineLevel="0" collapsed="false">
      <c r="A2126" s="652" t="n">
        <v>45981</v>
      </c>
      <c r="B2126" s="123" t="s">
        <v>668</v>
      </c>
      <c r="C2126" s="124" t="s">
        <v>393</v>
      </c>
      <c r="F2126" s="123" t="n">
        <v>1241</v>
      </c>
      <c r="G2126" s="653" t="n">
        <v>5584.25</v>
      </c>
    </row>
    <row r="2127" customFormat="false" ht="15" hidden="false" customHeight="false" outlineLevel="0" collapsed="false">
      <c r="A2127" s="652" t="n">
        <v>45981</v>
      </c>
      <c r="B2127" s="123" t="s">
        <v>666</v>
      </c>
      <c r="C2127" s="124" t="s">
        <v>393</v>
      </c>
      <c r="F2127" s="653" t="n">
        <v>1666.75</v>
      </c>
      <c r="G2127" s="653" t="n">
        <v>3917.5</v>
      </c>
    </row>
    <row r="2128" customFormat="false" ht="15" hidden="false" customHeight="false" outlineLevel="0" collapsed="false">
      <c r="A2128" s="652" t="n">
        <v>45981</v>
      </c>
      <c r="B2128" s="123" t="s">
        <v>672</v>
      </c>
      <c r="C2128" s="124" t="s">
        <v>393</v>
      </c>
      <c r="F2128" s="123" t="n">
        <v>1725</v>
      </c>
      <c r="G2128" s="653" t="n">
        <v>2192.5</v>
      </c>
    </row>
    <row r="2129" customFormat="false" ht="15" hidden="false" customHeight="false" outlineLevel="0" collapsed="false">
      <c r="A2129" s="652" t="n">
        <v>45981</v>
      </c>
      <c r="B2129" s="123" t="s">
        <v>668</v>
      </c>
      <c r="C2129" s="124" t="s">
        <v>393</v>
      </c>
      <c r="F2129" s="123" t="n">
        <v>2192</v>
      </c>
      <c r="G2129" s="653" t="n">
        <v>0.5</v>
      </c>
    </row>
    <row r="2130" customFormat="false" ht="15" hidden="false" customHeight="false" outlineLevel="0" collapsed="false">
      <c r="A2130" s="652" t="n">
        <v>45981</v>
      </c>
      <c r="B2130" s="123" t="n">
        <v>53001672</v>
      </c>
      <c r="C2130" s="124" t="s">
        <v>137</v>
      </c>
      <c r="D2130" s="124" t="s">
        <v>127</v>
      </c>
      <c r="E2130" s="123" t="n">
        <v>207</v>
      </c>
      <c r="G2130" s="653" t="n">
        <v>207.5</v>
      </c>
      <c r="P2130" s="123" t="n">
        <v>4</v>
      </c>
    </row>
    <row r="2131" customFormat="false" ht="15" hidden="false" customHeight="false" outlineLevel="0" collapsed="false">
      <c r="A2131" s="652" t="n">
        <v>45981</v>
      </c>
      <c r="B2131" s="123" t="n">
        <v>53001673</v>
      </c>
      <c r="C2131" s="124" t="s">
        <v>130</v>
      </c>
      <c r="D2131" s="124" t="s">
        <v>127</v>
      </c>
      <c r="E2131" s="653" t="n">
        <v>845.25</v>
      </c>
      <c r="G2131" s="653" t="n">
        <v>1052.75</v>
      </c>
      <c r="H2131" s="653" t="n">
        <v>0.5</v>
      </c>
      <c r="I2131" s="123" t="n">
        <v>3</v>
      </c>
    </row>
    <row r="2132" customFormat="false" ht="15" hidden="false" customHeight="false" outlineLevel="0" collapsed="false">
      <c r="A2132" s="652" t="n">
        <v>45981</v>
      </c>
      <c r="B2132" s="123" t="n">
        <v>53001674</v>
      </c>
      <c r="C2132" s="124" t="s">
        <v>248</v>
      </c>
      <c r="D2132" s="124" t="s">
        <v>127</v>
      </c>
      <c r="E2132" s="653" t="n">
        <v>1391.5</v>
      </c>
      <c r="G2132" s="653" t="n">
        <v>2444.25</v>
      </c>
      <c r="H2132" s="123" t="n">
        <v>0</v>
      </c>
      <c r="P2132" s="123" t="n">
        <v>5</v>
      </c>
    </row>
    <row r="2133" customFormat="false" ht="15" hidden="false" customHeight="false" outlineLevel="0" collapsed="false">
      <c r="A2133" s="652" t="n">
        <v>45981</v>
      </c>
      <c r="B2133" s="123" t="n">
        <v>53001675</v>
      </c>
      <c r="C2133" s="124" t="s">
        <v>201</v>
      </c>
      <c r="D2133" s="124" t="s">
        <v>127</v>
      </c>
      <c r="E2133" s="123" t="n">
        <v>644</v>
      </c>
      <c r="G2133" s="653" t="n">
        <v>3088.25</v>
      </c>
      <c r="K2133" s="123" t="n">
        <v>2</v>
      </c>
      <c r="O2133" s="123" t="n">
        <v>1</v>
      </c>
    </row>
    <row r="2134" customFormat="false" ht="15" hidden="false" customHeight="false" outlineLevel="0" collapsed="false">
      <c r="A2134" s="652" t="n">
        <v>45981</v>
      </c>
      <c r="B2134" s="123" t="n">
        <v>53001677</v>
      </c>
      <c r="C2134" s="124" t="s">
        <v>169</v>
      </c>
      <c r="D2134" s="124" t="s">
        <v>127</v>
      </c>
      <c r="E2134" s="653" t="n">
        <v>845.25</v>
      </c>
      <c r="G2134" s="653" t="n">
        <v>3933.5</v>
      </c>
      <c r="H2134" s="653" t="n">
        <v>0.5</v>
      </c>
      <c r="I2134" s="123" t="n">
        <v>3</v>
      </c>
    </row>
    <row r="2135" customFormat="false" ht="15" hidden="false" customHeight="false" outlineLevel="0" collapsed="false">
      <c r="A2135" s="652" t="n">
        <v>45981</v>
      </c>
      <c r="B2135" s="123" t="n">
        <v>53001676</v>
      </c>
      <c r="C2135" s="124" t="s">
        <v>243</v>
      </c>
      <c r="D2135" s="124" t="s">
        <v>127</v>
      </c>
      <c r="E2135" s="123" t="n">
        <v>1265</v>
      </c>
      <c r="G2135" s="653" t="n">
        <v>5198.5</v>
      </c>
      <c r="K2135" s="123" t="n">
        <v>5</v>
      </c>
    </row>
    <row r="2136" customFormat="false" ht="15" hidden="false" customHeight="false" outlineLevel="0" collapsed="false">
      <c r="A2136" s="652" t="n">
        <v>45981</v>
      </c>
      <c r="B2136" s="123" t="n">
        <v>53001679</v>
      </c>
      <c r="C2136" s="124" t="s">
        <v>194</v>
      </c>
      <c r="D2136" s="124" t="s">
        <v>127</v>
      </c>
      <c r="E2136" s="653" t="n">
        <v>1690.5</v>
      </c>
      <c r="G2136" s="123" t="n">
        <v>6889</v>
      </c>
      <c r="H2136" s="653" t="n">
        <v>0.5</v>
      </c>
      <c r="I2136" s="123" t="n">
        <v>6</v>
      </c>
    </row>
    <row r="2137" customFormat="false" ht="15" hidden="false" customHeight="false" outlineLevel="0" collapsed="false">
      <c r="A2137" s="652" t="n">
        <v>45981</v>
      </c>
      <c r="B2137" s="123" t="n">
        <v>53001678</v>
      </c>
      <c r="C2137" s="124" t="s">
        <v>195</v>
      </c>
      <c r="D2137" s="124" t="s">
        <v>127</v>
      </c>
      <c r="E2137" s="653" t="n">
        <v>310.5</v>
      </c>
      <c r="G2137" s="653" t="n">
        <v>7199.5</v>
      </c>
      <c r="H2137" s="653" t="n">
        <v>0.5</v>
      </c>
      <c r="P2137" s="123" t="n">
        <v>2</v>
      </c>
    </row>
    <row r="2138" customFormat="false" ht="15" hidden="false" customHeight="false" outlineLevel="0" collapsed="false">
      <c r="A2138" s="652" t="n">
        <v>45984</v>
      </c>
      <c r="B2138" s="123" t="s">
        <v>668</v>
      </c>
      <c r="C2138" s="124" t="s">
        <v>393</v>
      </c>
      <c r="F2138" s="123" t="n">
        <v>2650</v>
      </c>
      <c r="G2138" s="653" t="n">
        <v>4549.5</v>
      </c>
    </row>
    <row r="2139" customFormat="false" ht="15" hidden="false" customHeight="false" outlineLevel="0" collapsed="false">
      <c r="A2139" s="652" t="n">
        <v>45981</v>
      </c>
      <c r="B2139" s="123" t="s">
        <v>672</v>
      </c>
      <c r="C2139" s="124" t="s">
        <v>393</v>
      </c>
      <c r="F2139" s="123" t="n">
        <v>1265</v>
      </c>
      <c r="G2139" s="653" t="n">
        <v>3284.5</v>
      </c>
    </row>
    <row r="2140" customFormat="false" ht="15" hidden="false" customHeight="false" outlineLevel="0" collapsed="false">
      <c r="A2140" s="652" t="n">
        <v>45981</v>
      </c>
      <c r="B2140" s="123" t="s">
        <v>666</v>
      </c>
      <c r="C2140" s="124" t="s">
        <v>393</v>
      </c>
      <c r="F2140" s="123" t="n">
        <v>2784</v>
      </c>
      <c r="G2140" s="653" t="n">
        <v>500.5</v>
      </c>
    </row>
    <row r="2141" customFormat="false" ht="15" hidden="false" customHeight="false" outlineLevel="0" collapsed="false">
      <c r="A2141" s="652" t="n">
        <v>45981</v>
      </c>
      <c r="B2141" s="123" t="s">
        <v>667</v>
      </c>
      <c r="C2141" s="124" t="s">
        <v>393</v>
      </c>
      <c r="E2141" s="653" t="n">
        <v>-0.5</v>
      </c>
      <c r="F2141" s="123" t="n">
        <v>500</v>
      </c>
      <c r="G2141" s="123" t="n">
        <v>0</v>
      </c>
    </row>
    <row r="2142" customFormat="false" ht="15" hidden="false" customHeight="false" outlineLevel="0" collapsed="false">
      <c r="A2142" s="652" t="n">
        <v>45984</v>
      </c>
      <c r="B2142" s="123" t="n">
        <v>53001680</v>
      </c>
      <c r="C2142" s="124" t="s">
        <v>237</v>
      </c>
      <c r="D2142" s="124" t="s">
        <v>127</v>
      </c>
      <c r="E2142" s="653" t="n">
        <v>178.25</v>
      </c>
      <c r="G2142" s="653" t="n">
        <v>178.25</v>
      </c>
      <c r="H2142" s="653" t="n">
        <v>0.25</v>
      </c>
      <c r="J2142" s="123" t="n">
        <v>1</v>
      </c>
    </row>
    <row r="2143" customFormat="false" ht="15" hidden="false" customHeight="false" outlineLevel="0" collapsed="false">
      <c r="A2143" s="652" t="n">
        <v>45984</v>
      </c>
      <c r="B2143" s="123" t="n">
        <v>53001681</v>
      </c>
      <c r="C2143" s="124" t="s">
        <v>277</v>
      </c>
      <c r="D2143" s="124" t="s">
        <v>127</v>
      </c>
      <c r="E2143" s="123" t="n">
        <v>138</v>
      </c>
      <c r="G2143" s="653" t="n">
        <v>316.25</v>
      </c>
      <c r="H2143" s="123" t="n">
        <v>0</v>
      </c>
      <c r="O2143" s="123" t="n">
        <v>1</v>
      </c>
    </row>
    <row r="2144" customFormat="false" ht="15" hidden="false" customHeight="false" outlineLevel="0" collapsed="false">
      <c r="A2144" s="652" t="n">
        <v>45984</v>
      </c>
      <c r="B2144" s="123" t="n">
        <v>53001682</v>
      </c>
      <c r="C2144" s="124" t="s">
        <v>673</v>
      </c>
      <c r="E2144" s="653" t="n">
        <v>983.25</v>
      </c>
      <c r="G2144" s="653" t="n">
        <v>1299.5</v>
      </c>
      <c r="H2144" s="653" t="n">
        <v>0.25</v>
      </c>
      <c r="I2144" s="123" t="n">
        <v>3</v>
      </c>
      <c r="O2144" s="123" t="n">
        <v>1</v>
      </c>
    </row>
    <row r="2145" customFormat="false" ht="15" hidden="false" customHeight="false" outlineLevel="0" collapsed="false">
      <c r="A2145" s="652" t="n">
        <v>45984</v>
      </c>
      <c r="B2145" s="123" t="n">
        <v>53001683</v>
      </c>
      <c r="C2145" s="124" t="s">
        <v>225</v>
      </c>
      <c r="D2145" s="124" t="s">
        <v>127</v>
      </c>
      <c r="E2145" s="653" t="n">
        <v>1328.25</v>
      </c>
      <c r="G2145" s="653" t="n">
        <v>2627.75</v>
      </c>
      <c r="H2145" s="123" t="n">
        <v>0</v>
      </c>
      <c r="I2145" s="123" t="n">
        <v>3</v>
      </c>
      <c r="K2145" s="123" t="n">
        <v>2</v>
      </c>
    </row>
    <row r="2146" customFormat="false" ht="15" hidden="false" customHeight="false" outlineLevel="0" collapsed="false">
      <c r="A2146" s="652" t="n">
        <v>45985</v>
      </c>
      <c r="B2146" s="123" t="s">
        <v>668</v>
      </c>
      <c r="C2146" s="124" t="s">
        <v>393</v>
      </c>
      <c r="F2146" s="123" t="n">
        <v>2627</v>
      </c>
      <c r="G2146" s="653" t="n">
        <v>0.75</v>
      </c>
    </row>
    <row r="2147" customFormat="false" ht="15" hidden="false" customHeight="false" outlineLevel="0" collapsed="false">
      <c r="A2147" s="652" t="n">
        <v>45985</v>
      </c>
      <c r="B2147" s="123" t="n">
        <v>53001684</v>
      </c>
      <c r="C2147" s="124" t="s">
        <v>148</v>
      </c>
      <c r="D2147" s="124" t="s">
        <v>127</v>
      </c>
      <c r="E2147" s="653" t="n">
        <v>983.25</v>
      </c>
      <c r="G2147" s="123" t="n">
        <v>984</v>
      </c>
      <c r="I2147" s="123" t="n">
        <v>3</v>
      </c>
      <c r="O2147" s="123" t="n">
        <v>1</v>
      </c>
    </row>
    <row r="2148" customFormat="false" ht="15" hidden="false" customHeight="false" outlineLevel="0" collapsed="false">
      <c r="A2148" s="652" t="n">
        <v>45985</v>
      </c>
      <c r="B2148" s="123" t="n">
        <v>53001685</v>
      </c>
      <c r="C2148" s="124" t="s">
        <v>248</v>
      </c>
      <c r="D2148" s="124" t="s">
        <v>127</v>
      </c>
      <c r="E2148" s="653" t="n">
        <v>845.25</v>
      </c>
      <c r="G2148" s="653" t="n">
        <v>1829.25</v>
      </c>
      <c r="H2148" s="653" t="n">
        <v>0.75</v>
      </c>
      <c r="I2148" s="123" t="n">
        <v>3</v>
      </c>
    </row>
    <row r="2149" customFormat="false" ht="15" hidden="false" customHeight="false" outlineLevel="0" collapsed="false">
      <c r="A2149" s="652" t="n">
        <v>45985</v>
      </c>
      <c r="B2149" s="123" t="n">
        <v>53001686</v>
      </c>
      <c r="C2149" s="124" t="s">
        <v>223</v>
      </c>
      <c r="D2149" s="124" t="s">
        <v>224</v>
      </c>
      <c r="E2149" s="653" t="n">
        <v>3898.5</v>
      </c>
      <c r="G2149" s="653" t="n">
        <v>5727.75</v>
      </c>
      <c r="H2149" s="653" t="n">
        <v>18.75</v>
      </c>
      <c r="I2149" s="123" t="n">
        <v>3</v>
      </c>
      <c r="L2149" s="123" t="n">
        <v>3</v>
      </c>
      <c r="M2149" s="123" t="n">
        <v>2</v>
      </c>
      <c r="O2149" s="123" t="n">
        <v>8</v>
      </c>
    </row>
    <row r="2150" customFormat="false" ht="15" hidden="false" customHeight="false" outlineLevel="0" collapsed="false">
      <c r="A2150" s="652" t="n">
        <v>45985</v>
      </c>
      <c r="B2150" s="123" t="n">
        <v>53001687</v>
      </c>
      <c r="C2150" s="124" t="s">
        <v>226</v>
      </c>
      <c r="D2150" s="124" t="s">
        <v>127</v>
      </c>
      <c r="E2150" s="653" t="n">
        <v>310.5</v>
      </c>
      <c r="G2150" s="653" t="n">
        <v>6038.25</v>
      </c>
      <c r="P2150" s="123" t="n">
        <v>2</v>
      </c>
    </row>
    <row r="2151" customFormat="false" ht="15" hidden="false" customHeight="false" outlineLevel="0" collapsed="false">
      <c r="A2151" s="652" t="n">
        <v>45985</v>
      </c>
      <c r="B2151" s="123" t="n">
        <v>53001688</v>
      </c>
      <c r="C2151" s="124" t="s">
        <v>204</v>
      </c>
      <c r="D2151" s="124" t="s">
        <v>127</v>
      </c>
      <c r="E2151" s="653" t="n">
        <v>155.25</v>
      </c>
      <c r="G2151" s="653" t="n">
        <v>6193.5</v>
      </c>
      <c r="H2151" s="653" t="n">
        <v>0.25</v>
      </c>
      <c r="P2151" s="123" t="n">
        <v>1</v>
      </c>
    </row>
    <row r="2152" customFormat="false" ht="15" hidden="false" customHeight="false" outlineLevel="0" collapsed="false">
      <c r="A2152" s="652" t="n">
        <v>45985</v>
      </c>
      <c r="B2152" s="123" t="n">
        <v>53001689</v>
      </c>
      <c r="C2152" s="124" t="s">
        <v>278</v>
      </c>
      <c r="D2152" s="124" t="s">
        <v>127</v>
      </c>
      <c r="E2152" s="123" t="n">
        <v>506</v>
      </c>
      <c r="G2152" s="653" t="n">
        <v>6699.5</v>
      </c>
      <c r="H2152" s="123" t="n">
        <v>0</v>
      </c>
      <c r="K2152" s="123" t="n">
        <v>2</v>
      </c>
    </row>
    <row r="2153" customFormat="false" ht="15" hidden="false" customHeight="false" outlineLevel="0" collapsed="false">
      <c r="A2153" s="652" t="n">
        <v>45985</v>
      </c>
      <c r="B2153" s="123" t="s">
        <v>674</v>
      </c>
      <c r="C2153" s="124" t="s">
        <v>393</v>
      </c>
      <c r="F2153" s="123" t="n">
        <v>512</v>
      </c>
      <c r="G2153" s="653" t="n">
        <v>6187.5</v>
      </c>
    </row>
    <row r="2154" customFormat="false" ht="15" hidden="false" customHeight="false" outlineLevel="0" collapsed="false">
      <c r="A2154" s="652" t="n">
        <v>45985</v>
      </c>
      <c r="B2154" s="123" t="s">
        <v>675</v>
      </c>
      <c r="C2154" s="124" t="s">
        <v>393</v>
      </c>
      <c r="F2154" s="653" t="n">
        <v>4148.25</v>
      </c>
      <c r="G2154" s="653" t="n">
        <v>2039.25</v>
      </c>
    </row>
    <row r="2155" customFormat="false" ht="15" hidden="false" customHeight="false" outlineLevel="0" collapsed="false">
      <c r="A2155" s="652" t="n">
        <v>45986</v>
      </c>
      <c r="B2155" s="123" t="s">
        <v>668</v>
      </c>
      <c r="C2155" s="124" t="s">
        <v>393</v>
      </c>
      <c r="F2155" s="123" t="n">
        <v>2039</v>
      </c>
      <c r="G2155" s="653" t="n">
        <v>0.25</v>
      </c>
    </row>
    <row r="2156" customFormat="false" ht="15" hidden="false" customHeight="false" outlineLevel="0" collapsed="false">
      <c r="A2156" s="652" t="n">
        <v>45986</v>
      </c>
      <c r="B2156" s="123" t="n">
        <v>53001690</v>
      </c>
      <c r="C2156" s="124" t="s">
        <v>281</v>
      </c>
      <c r="D2156" s="124" t="s">
        <v>127</v>
      </c>
      <c r="E2156" s="123" t="n">
        <v>391</v>
      </c>
      <c r="G2156" s="653" t="n">
        <v>391.25</v>
      </c>
      <c r="K2156" s="123" t="n">
        <v>1</v>
      </c>
      <c r="O2156" s="123" t="n">
        <v>1</v>
      </c>
    </row>
    <row r="2157" customFormat="false" ht="15" hidden="false" customHeight="false" outlineLevel="0" collapsed="false">
      <c r="A2157" s="652" t="n">
        <v>45986</v>
      </c>
      <c r="B2157" s="123" t="n">
        <v>53001691</v>
      </c>
      <c r="C2157" s="124" t="s">
        <v>143</v>
      </c>
      <c r="D2157" s="124" t="s">
        <v>127</v>
      </c>
      <c r="E2157" s="653" t="n">
        <v>293.25</v>
      </c>
      <c r="G2157" s="653" t="n">
        <v>684.5</v>
      </c>
      <c r="H2157" s="653" t="n">
        <v>0.25</v>
      </c>
      <c r="O2157" s="123" t="n">
        <v>1</v>
      </c>
      <c r="P2157" s="123" t="n">
        <v>1</v>
      </c>
    </row>
    <row r="2158" customFormat="false" ht="15" hidden="false" customHeight="false" outlineLevel="0" collapsed="false">
      <c r="A2158" s="652" t="n">
        <v>45986</v>
      </c>
      <c r="B2158" s="123" t="n">
        <v>53001692</v>
      </c>
      <c r="C2158" s="124" t="s">
        <v>275</v>
      </c>
      <c r="D2158" s="124" t="s">
        <v>127</v>
      </c>
      <c r="E2158" s="653" t="n">
        <v>603.75</v>
      </c>
      <c r="G2158" s="653" t="n">
        <v>1288.25</v>
      </c>
      <c r="H2158" s="653" t="n">
        <v>3.75</v>
      </c>
      <c r="O2158" s="123" t="n">
        <v>2</v>
      </c>
      <c r="P2158" s="123" t="n">
        <v>1</v>
      </c>
    </row>
    <row r="2159" customFormat="false" ht="15" hidden="false" customHeight="false" outlineLevel="0" collapsed="false">
      <c r="A2159" s="652" t="n">
        <v>45986</v>
      </c>
      <c r="B2159" s="123" t="n">
        <v>53001693</v>
      </c>
      <c r="C2159" s="124" t="s">
        <v>180</v>
      </c>
      <c r="D2159" s="124" t="s">
        <v>127</v>
      </c>
      <c r="E2159" s="653" t="n">
        <v>845.25</v>
      </c>
      <c r="G2159" s="653" t="n">
        <v>2133.5</v>
      </c>
      <c r="H2159" s="653" t="n">
        <v>-0.25</v>
      </c>
      <c r="I2159" s="123" t="n">
        <v>3</v>
      </c>
    </row>
    <row r="2160" customFormat="false" ht="15" hidden="false" customHeight="false" outlineLevel="0" collapsed="false">
      <c r="A2160" s="652" t="n">
        <v>45986</v>
      </c>
      <c r="B2160" s="123" t="n">
        <v>53001694</v>
      </c>
      <c r="C2160" s="124" t="s">
        <v>178</v>
      </c>
      <c r="D2160" s="124" t="s">
        <v>127</v>
      </c>
      <c r="E2160" s="653" t="n">
        <v>1023.5</v>
      </c>
      <c r="G2160" s="123" t="n">
        <v>3157</v>
      </c>
      <c r="H2160" s="653" t="n">
        <v>1.75</v>
      </c>
      <c r="I2160" s="123" t="n">
        <v>3</v>
      </c>
      <c r="J2160" s="123" t="n">
        <v>1</v>
      </c>
    </row>
    <row r="2161" customFormat="false" ht="15" hidden="false" customHeight="false" outlineLevel="0" collapsed="false">
      <c r="A2161" s="652" t="n">
        <v>45986</v>
      </c>
      <c r="B2161" s="123" t="s">
        <v>675</v>
      </c>
      <c r="C2161" s="124" t="s">
        <v>393</v>
      </c>
      <c r="F2161" s="653" t="n">
        <v>563.5</v>
      </c>
      <c r="G2161" s="653" t="n">
        <v>2593.5</v>
      </c>
    </row>
    <row r="2162" customFormat="false" ht="15" hidden="false" customHeight="false" outlineLevel="0" collapsed="false">
      <c r="A2162" s="652" t="n">
        <v>45986</v>
      </c>
      <c r="B2162" s="123" t="s">
        <v>668</v>
      </c>
      <c r="C2162" s="124" t="s">
        <v>393</v>
      </c>
      <c r="F2162" s="123" t="n">
        <v>2593</v>
      </c>
      <c r="G2162" s="653" t="n">
        <v>0.5</v>
      </c>
    </row>
    <row r="2163" customFormat="false" ht="15" hidden="false" customHeight="false" outlineLevel="0" collapsed="false">
      <c r="A2163" s="652" t="n">
        <v>45987</v>
      </c>
      <c r="B2163" s="123" t="n">
        <v>53001695</v>
      </c>
      <c r="C2163" s="124" t="s">
        <v>132</v>
      </c>
      <c r="D2163" s="124" t="s">
        <v>127</v>
      </c>
      <c r="E2163" s="653" t="n">
        <v>1155.75</v>
      </c>
      <c r="G2163" s="653" t="n">
        <v>1156.25</v>
      </c>
      <c r="H2163" s="653" t="n">
        <v>-7.25</v>
      </c>
      <c r="I2163" s="123" t="n">
        <v>3</v>
      </c>
      <c r="O2163" s="123" t="n">
        <v>1</v>
      </c>
    </row>
    <row r="2164" customFormat="false" ht="15" hidden="false" customHeight="false" outlineLevel="0" collapsed="false">
      <c r="A2164" s="652" t="n">
        <v>45987</v>
      </c>
      <c r="B2164" s="123" t="n">
        <v>53001696</v>
      </c>
      <c r="C2164" s="124" t="s">
        <v>155</v>
      </c>
      <c r="D2164" s="124" t="s">
        <v>127</v>
      </c>
      <c r="E2164" s="123" t="n">
        <v>345</v>
      </c>
      <c r="G2164" s="653" t="n">
        <v>1501.25</v>
      </c>
      <c r="K2164" s="123" t="n">
        <v>1</v>
      </c>
    </row>
    <row r="2165" customFormat="false" ht="15" hidden="false" customHeight="false" outlineLevel="0" collapsed="false">
      <c r="A2165" s="652" t="n">
        <v>45987</v>
      </c>
      <c r="B2165" s="123" t="n">
        <v>53001697</v>
      </c>
      <c r="C2165" s="124" t="s">
        <v>142</v>
      </c>
      <c r="D2165" s="124" t="s">
        <v>127</v>
      </c>
      <c r="E2165" s="123" t="n">
        <v>506</v>
      </c>
      <c r="G2165" s="653" t="n">
        <v>2007.25</v>
      </c>
      <c r="H2165" s="123" t="n">
        <v>0</v>
      </c>
      <c r="K2165" s="123" t="n">
        <v>2</v>
      </c>
    </row>
    <row r="2166" customFormat="false" ht="15" hidden="false" customHeight="false" outlineLevel="0" collapsed="false">
      <c r="A2166" s="652" t="n">
        <v>45987</v>
      </c>
      <c r="B2166" s="123" t="n">
        <v>53001698</v>
      </c>
      <c r="C2166" s="124" t="s">
        <v>141</v>
      </c>
      <c r="D2166" s="124" t="s">
        <v>127</v>
      </c>
      <c r="E2166" s="123" t="n">
        <v>1035</v>
      </c>
      <c r="G2166" s="653" t="n">
        <v>3042.25</v>
      </c>
      <c r="H2166" s="653" t="n">
        <v>2.25</v>
      </c>
      <c r="K2166" s="123" t="n">
        <v>3</v>
      </c>
    </row>
    <row r="2167" customFormat="false" ht="15" hidden="false" customHeight="false" outlineLevel="0" collapsed="false">
      <c r="A2167" s="652" t="n">
        <v>45987</v>
      </c>
      <c r="B2167" s="123" t="s">
        <v>675</v>
      </c>
      <c r="C2167" s="124" t="s">
        <v>393</v>
      </c>
      <c r="F2167" s="123" t="n">
        <v>775</v>
      </c>
      <c r="G2167" s="653" t="n">
        <v>2267.25</v>
      </c>
    </row>
    <row r="2168" customFormat="false" ht="15" hidden="false" customHeight="false" outlineLevel="0" collapsed="false">
      <c r="A2168" s="652" t="n">
        <v>45988</v>
      </c>
      <c r="B2168" s="123" t="s">
        <v>668</v>
      </c>
      <c r="C2168" s="124" t="s">
        <v>393</v>
      </c>
      <c r="E2168" s="653" t="n">
        <v>-0.25</v>
      </c>
      <c r="F2168" s="123" t="n">
        <v>2267</v>
      </c>
      <c r="G2168" s="123" t="n">
        <v>0</v>
      </c>
    </row>
    <row r="2169" customFormat="false" ht="15" hidden="false" customHeight="false" outlineLevel="0" collapsed="false">
      <c r="A2169" s="652" t="n">
        <v>45988</v>
      </c>
      <c r="B2169" s="123" t="n">
        <v>53001699</v>
      </c>
      <c r="C2169" s="124" t="s">
        <v>234</v>
      </c>
      <c r="D2169" s="124" t="s">
        <v>127</v>
      </c>
      <c r="E2169" s="653" t="n">
        <v>408.25</v>
      </c>
      <c r="G2169" s="653" t="n">
        <v>408.25</v>
      </c>
      <c r="H2169" s="653" t="n">
        <v>0.25</v>
      </c>
      <c r="K2169" s="123" t="n">
        <v>1</v>
      </c>
      <c r="P2169" s="123" t="n">
        <v>1</v>
      </c>
    </row>
    <row r="2170" customFormat="false" ht="15" hidden="false" customHeight="false" outlineLevel="0" collapsed="false">
      <c r="A2170" s="652" t="n">
        <v>45988</v>
      </c>
      <c r="B2170" s="123" t="n">
        <v>53001700</v>
      </c>
      <c r="C2170" s="124" t="s">
        <v>161</v>
      </c>
      <c r="D2170" s="124" t="s">
        <v>127</v>
      </c>
      <c r="E2170" s="653" t="n">
        <v>983.25</v>
      </c>
      <c r="G2170" s="653" t="n">
        <v>1391.5</v>
      </c>
      <c r="H2170" s="653" t="n">
        <v>0.25</v>
      </c>
      <c r="I2170" s="123" t="n">
        <v>3</v>
      </c>
      <c r="O2170" s="123" t="n">
        <v>1</v>
      </c>
    </row>
    <row r="2171" customFormat="false" ht="15" hidden="false" customHeight="false" outlineLevel="0" collapsed="false">
      <c r="A2171" s="652" t="n">
        <v>45988</v>
      </c>
      <c r="B2171" s="123" t="n">
        <v>53001701</v>
      </c>
      <c r="C2171" s="124" t="s">
        <v>244</v>
      </c>
      <c r="D2171" s="124" t="s">
        <v>127</v>
      </c>
      <c r="E2171" s="653" t="n">
        <v>2351.75</v>
      </c>
      <c r="G2171" s="653" t="n">
        <v>3743.25</v>
      </c>
      <c r="H2171" s="123" t="n">
        <v>0</v>
      </c>
      <c r="I2171" s="123" t="n">
        <v>3</v>
      </c>
      <c r="K2171" s="123" t="n">
        <v>4</v>
      </c>
      <c r="M2171" s="123" t="n">
        <v>1</v>
      </c>
      <c r="P2171" s="123" t="n">
        <v>1</v>
      </c>
    </row>
    <row r="2172" customFormat="false" ht="15" hidden="false" customHeight="false" outlineLevel="0" collapsed="false">
      <c r="A2172" s="652" t="n">
        <v>45988</v>
      </c>
      <c r="B2172" s="123" t="n">
        <v>53001702</v>
      </c>
      <c r="C2172" s="124" t="s">
        <v>182</v>
      </c>
      <c r="D2172" s="124" t="s">
        <v>127</v>
      </c>
      <c r="E2172" s="653" t="n">
        <v>1730.75</v>
      </c>
      <c r="G2172" s="123" t="n">
        <v>5474</v>
      </c>
      <c r="H2172" s="123" t="n">
        <v>0</v>
      </c>
      <c r="I2172" s="123" t="n">
        <v>3</v>
      </c>
      <c r="K2172" s="123" t="n">
        <v>2</v>
      </c>
      <c r="M2172" s="123" t="n">
        <v>1</v>
      </c>
      <c r="O2172" s="123" t="n">
        <v>1</v>
      </c>
    </row>
    <row r="2173" customFormat="false" ht="15" hidden="false" customHeight="false" outlineLevel="0" collapsed="false">
      <c r="A2173" s="652" t="n">
        <v>45988</v>
      </c>
      <c r="B2173" s="123" t="n">
        <v>53001703</v>
      </c>
      <c r="C2173" s="124" t="s">
        <v>175</v>
      </c>
      <c r="D2173" s="124" t="s">
        <v>127</v>
      </c>
      <c r="E2173" s="653" t="n">
        <v>1690.5</v>
      </c>
      <c r="G2173" s="653" t="n">
        <v>7164.5</v>
      </c>
      <c r="H2173" s="653" t="n">
        <v>0.5</v>
      </c>
      <c r="I2173" s="123" t="n">
        <v>6</v>
      </c>
    </row>
    <row r="2174" customFormat="false" ht="15" hidden="false" customHeight="false" outlineLevel="0" collapsed="false">
      <c r="A2174" s="652" t="n">
        <v>45988</v>
      </c>
      <c r="B2174" s="123" t="n">
        <v>53001704</v>
      </c>
      <c r="C2174" s="124" t="s">
        <v>176</v>
      </c>
      <c r="D2174" s="124" t="s">
        <v>127</v>
      </c>
      <c r="E2174" s="653" t="n">
        <v>155.25</v>
      </c>
      <c r="G2174" s="653" t="n">
        <v>7319.75</v>
      </c>
      <c r="H2174" s="653" t="n">
        <v>0.25</v>
      </c>
      <c r="P2174" s="123" t="n">
        <v>1</v>
      </c>
    </row>
    <row r="2175" customFormat="false" ht="15" hidden="false" customHeight="false" outlineLevel="0" collapsed="false">
      <c r="A2175" s="652" t="n">
        <v>45988</v>
      </c>
      <c r="B2175" s="123" t="n">
        <v>53001705</v>
      </c>
      <c r="C2175" s="124" t="s">
        <v>201</v>
      </c>
      <c r="D2175" s="124" t="s">
        <v>127</v>
      </c>
      <c r="E2175" s="653" t="n">
        <v>845.25</v>
      </c>
      <c r="G2175" s="123" t="n">
        <v>8165</v>
      </c>
      <c r="H2175" s="653" t="n">
        <v>0.25</v>
      </c>
      <c r="I2175" s="123" t="n">
        <v>3</v>
      </c>
    </row>
    <row r="2176" customFormat="false" ht="15" hidden="false" customHeight="false" outlineLevel="0" collapsed="false">
      <c r="A2176" s="652" t="n">
        <v>45988</v>
      </c>
      <c r="B2176" s="123" t="n">
        <v>53001706</v>
      </c>
      <c r="C2176" s="124" t="s">
        <v>247</v>
      </c>
      <c r="D2176" s="124" t="s">
        <v>127</v>
      </c>
      <c r="E2176" s="653" t="n">
        <v>1874.5</v>
      </c>
      <c r="G2176" s="653" t="n">
        <v>10039.5</v>
      </c>
      <c r="H2176" s="653" t="n">
        <v>-0.5</v>
      </c>
      <c r="I2176" s="123" t="n">
        <v>3</v>
      </c>
      <c r="J2176" s="123" t="n">
        <v>1</v>
      </c>
      <c r="K2176" s="123" t="n">
        <v>3</v>
      </c>
    </row>
    <row r="2177" customFormat="false" ht="15" hidden="false" customHeight="false" outlineLevel="0" collapsed="false">
      <c r="A2177" s="652" t="n">
        <v>45988</v>
      </c>
      <c r="B2177" s="123" t="n">
        <v>53001707</v>
      </c>
      <c r="C2177" s="124" t="s">
        <v>272</v>
      </c>
      <c r="D2177" s="124" t="s">
        <v>127</v>
      </c>
      <c r="E2177" s="653" t="n">
        <v>925.75</v>
      </c>
      <c r="G2177" s="653" t="n">
        <v>10965.25</v>
      </c>
      <c r="H2177" s="653" t="n">
        <v>5.5</v>
      </c>
      <c r="J2177" s="123" t="n">
        <v>1</v>
      </c>
      <c r="K2177" s="123" t="n">
        <v>2</v>
      </c>
      <c r="M2177" s="123" t="n">
        <v>1</v>
      </c>
    </row>
    <row r="2178" customFormat="false" ht="15" hidden="false" customHeight="false" outlineLevel="0" collapsed="false">
      <c r="A2178" s="652" t="n">
        <v>45988</v>
      </c>
      <c r="B2178" s="123" t="n">
        <v>53001708</v>
      </c>
      <c r="C2178" s="124" t="s">
        <v>140</v>
      </c>
      <c r="D2178" s="124" t="s">
        <v>127</v>
      </c>
      <c r="E2178" s="653" t="n">
        <v>822.25</v>
      </c>
      <c r="G2178" s="653" t="n">
        <v>11787.5</v>
      </c>
      <c r="H2178" s="653" t="n">
        <v>0.25</v>
      </c>
      <c r="L2178" s="123" t="n">
        <v>3</v>
      </c>
    </row>
    <row r="2179" customFormat="false" ht="15" hidden="false" customHeight="false" outlineLevel="0" collapsed="false">
      <c r="A2179" s="652" t="n">
        <v>45988</v>
      </c>
      <c r="B2179" s="123" t="n">
        <v>53001709</v>
      </c>
      <c r="C2179" s="124" t="s">
        <v>769</v>
      </c>
      <c r="E2179" s="653" t="n">
        <v>1690.5</v>
      </c>
      <c r="G2179" s="123" t="n">
        <v>13478</v>
      </c>
      <c r="H2179" s="653" t="n">
        <v>0.5</v>
      </c>
      <c r="I2179" s="123" t="n">
        <v>6</v>
      </c>
    </row>
    <row r="2180" customFormat="false" ht="15" hidden="false" customHeight="false" outlineLevel="0" collapsed="false">
      <c r="A2180" s="652" t="n">
        <v>45988</v>
      </c>
      <c r="B2180" s="123" t="n">
        <v>53001710</v>
      </c>
      <c r="C2180" s="124" t="s">
        <v>155</v>
      </c>
      <c r="D2180" s="124" t="s">
        <v>127</v>
      </c>
      <c r="E2180" s="653" t="n">
        <v>845.25</v>
      </c>
      <c r="G2180" s="653" t="n">
        <v>14323.25</v>
      </c>
      <c r="H2180" s="653" t="n">
        <v>0.25</v>
      </c>
      <c r="I2180" s="123" t="n">
        <v>3</v>
      </c>
    </row>
    <row r="2181" customFormat="false" ht="15" hidden="false" customHeight="false" outlineLevel="0" collapsed="false">
      <c r="A2181" s="652" t="n">
        <v>45988</v>
      </c>
      <c r="B2181" s="123" t="n">
        <v>53001711</v>
      </c>
      <c r="C2181" s="124" t="s">
        <v>95</v>
      </c>
      <c r="D2181" s="124" t="s">
        <v>75</v>
      </c>
      <c r="E2181" s="123" t="n">
        <v>1725</v>
      </c>
      <c r="G2181" s="653" t="n">
        <v>16048.25</v>
      </c>
      <c r="H2181" s="123" t="n">
        <v>0</v>
      </c>
      <c r="K2181" s="123" t="n">
        <v>4</v>
      </c>
      <c r="P2181" s="123" t="n">
        <v>1</v>
      </c>
    </row>
    <row r="2182" customFormat="false" ht="15" hidden="false" customHeight="false" outlineLevel="0" collapsed="false">
      <c r="A2182" s="652" t="n">
        <v>45988</v>
      </c>
      <c r="B2182" s="123" t="n">
        <v>53001712</v>
      </c>
      <c r="C2182" s="124" t="s">
        <v>96</v>
      </c>
      <c r="D2182" s="124" t="s">
        <v>75</v>
      </c>
      <c r="E2182" s="123" t="n">
        <v>345</v>
      </c>
      <c r="G2182" s="653" t="n">
        <v>16393.25</v>
      </c>
      <c r="K2182" s="123" t="n">
        <v>1</v>
      </c>
    </row>
    <row r="2183" customFormat="false" ht="15" hidden="false" customHeight="false" outlineLevel="0" collapsed="false">
      <c r="A2183" s="652" t="n">
        <v>45988</v>
      </c>
      <c r="B2183" s="123" t="n">
        <v>53001713</v>
      </c>
      <c r="C2183" s="124" t="s">
        <v>89</v>
      </c>
      <c r="D2183" s="124" t="s">
        <v>75</v>
      </c>
      <c r="E2183" s="653" t="n">
        <v>845.25</v>
      </c>
      <c r="G2183" s="653" t="n">
        <v>17238.5</v>
      </c>
      <c r="H2183" s="653" t="n">
        <v>0.25</v>
      </c>
      <c r="K2183" s="123" t="n">
        <v>3</v>
      </c>
      <c r="P2183" s="123" t="n">
        <v>1</v>
      </c>
    </row>
    <row r="2184" customFormat="false" ht="15" hidden="false" customHeight="false" outlineLevel="0" collapsed="false">
      <c r="A2184" s="652" t="n">
        <v>45988</v>
      </c>
      <c r="B2184" s="123" t="n">
        <v>53001714</v>
      </c>
      <c r="C2184" s="124" t="s">
        <v>107</v>
      </c>
      <c r="D2184" s="124" t="s">
        <v>105</v>
      </c>
      <c r="E2184" s="653" t="n">
        <v>845.25</v>
      </c>
      <c r="G2184" s="653" t="n">
        <v>18083.75</v>
      </c>
      <c r="I2184" s="123" t="n">
        <v>3</v>
      </c>
    </row>
    <row r="2185" customFormat="false" ht="15" hidden="false" customHeight="false" outlineLevel="0" collapsed="false">
      <c r="A2185" s="652" t="n">
        <v>45988</v>
      </c>
      <c r="B2185" s="123" t="n">
        <v>53001715</v>
      </c>
      <c r="C2185" s="124" t="s">
        <v>108</v>
      </c>
      <c r="D2185" s="124" t="s">
        <v>105</v>
      </c>
      <c r="E2185" s="123" t="n">
        <v>690</v>
      </c>
      <c r="G2185" s="653" t="n">
        <v>18773.75</v>
      </c>
      <c r="H2185" s="123" t="n">
        <v>0</v>
      </c>
      <c r="K2185" s="123" t="n">
        <v>3</v>
      </c>
    </row>
    <row r="2186" customFormat="false" ht="15" hidden="false" customHeight="false" outlineLevel="0" collapsed="false">
      <c r="A2186" s="652" t="n">
        <v>45988</v>
      </c>
      <c r="B2186" s="123" t="n">
        <v>53001716</v>
      </c>
      <c r="C2186" s="124" t="s">
        <v>115</v>
      </c>
      <c r="D2186" s="124" t="s">
        <v>105</v>
      </c>
      <c r="E2186" s="123" t="n">
        <v>391</v>
      </c>
      <c r="G2186" s="653" t="n">
        <v>19164.75</v>
      </c>
      <c r="H2186" s="653" t="n">
        <v>-2.5</v>
      </c>
      <c r="K2186" s="123" t="n">
        <v>1</v>
      </c>
      <c r="O2186" s="123" t="n">
        <v>1</v>
      </c>
    </row>
    <row r="2187" customFormat="false" ht="15" hidden="false" customHeight="false" outlineLevel="0" collapsed="false">
      <c r="A2187" s="652" t="n">
        <v>45988</v>
      </c>
      <c r="B2187" s="123" t="n">
        <v>53001717</v>
      </c>
      <c r="C2187" s="124" t="s">
        <v>109</v>
      </c>
      <c r="D2187" s="124" t="s">
        <v>105</v>
      </c>
      <c r="E2187" s="653" t="n">
        <v>845.25</v>
      </c>
      <c r="G2187" s="123" t="n">
        <v>20010</v>
      </c>
      <c r="I2187" s="123" t="n">
        <v>3</v>
      </c>
    </row>
    <row r="2188" customFormat="false" ht="15" hidden="false" customHeight="false" outlineLevel="0" collapsed="false">
      <c r="A2188" s="652" t="n">
        <v>45988</v>
      </c>
      <c r="B2188" s="123" t="n">
        <v>53001718</v>
      </c>
      <c r="C2188" s="124" t="s">
        <v>112</v>
      </c>
      <c r="D2188" s="124" t="s">
        <v>105</v>
      </c>
      <c r="E2188" s="653" t="n">
        <v>845.25</v>
      </c>
      <c r="G2188" s="653" t="n">
        <v>20855.25</v>
      </c>
      <c r="H2188" s="653" t="n">
        <v>0.25</v>
      </c>
      <c r="I2188" s="123" t="n">
        <v>3</v>
      </c>
    </row>
    <row r="2189" customFormat="false" ht="15" hidden="false" customHeight="false" outlineLevel="0" collapsed="false">
      <c r="A2189" s="652" t="n">
        <v>45988</v>
      </c>
      <c r="B2189" s="123" t="n">
        <v>53001719</v>
      </c>
      <c r="C2189" s="124" t="s">
        <v>113</v>
      </c>
      <c r="D2189" s="124" t="s">
        <v>105</v>
      </c>
      <c r="E2189" s="653" t="n">
        <v>845.25</v>
      </c>
      <c r="G2189" s="653" t="n">
        <v>21700.5</v>
      </c>
      <c r="H2189" s="123" t="n">
        <v>1</v>
      </c>
      <c r="I2189" s="123" t="n">
        <v>3</v>
      </c>
    </row>
    <row r="2190" customFormat="false" ht="15" hidden="false" customHeight="false" outlineLevel="0" collapsed="false">
      <c r="A2190" s="652" t="n">
        <v>45988</v>
      </c>
      <c r="B2190" s="123" t="n">
        <v>53001720</v>
      </c>
      <c r="C2190" s="124" t="s">
        <v>104</v>
      </c>
      <c r="D2190" s="124" t="s">
        <v>105</v>
      </c>
      <c r="E2190" s="123" t="n">
        <v>138</v>
      </c>
      <c r="G2190" s="653" t="n">
        <v>21838.5</v>
      </c>
      <c r="H2190" s="653" t="n">
        <v>1.75</v>
      </c>
      <c r="O2190" s="123" t="n">
        <v>1</v>
      </c>
    </row>
    <row r="2191" customFormat="false" ht="15" hidden="false" customHeight="false" outlineLevel="0" collapsed="false">
      <c r="A2191" s="652" t="n">
        <v>45988</v>
      </c>
      <c r="B2191" s="123" t="n">
        <v>53001721</v>
      </c>
      <c r="C2191" s="124" t="s">
        <v>104</v>
      </c>
      <c r="D2191" s="124" t="s">
        <v>105</v>
      </c>
      <c r="E2191" s="653" t="n">
        <v>845.25</v>
      </c>
      <c r="G2191" s="653" t="n">
        <v>22683.75</v>
      </c>
      <c r="I2191" s="123" t="n">
        <v>3</v>
      </c>
    </row>
    <row r="2192" customFormat="false" ht="15" hidden="false" customHeight="false" outlineLevel="0" collapsed="false">
      <c r="A2192" s="652" t="n">
        <v>45988</v>
      </c>
      <c r="B2192" s="123" t="n">
        <v>53001722</v>
      </c>
      <c r="C2192" s="124" t="s">
        <v>116</v>
      </c>
      <c r="D2192" s="124" t="s">
        <v>105</v>
      </c>
      <c r="E2192" s="123" t="n">
        <v>966</v>
      </c>
      <c r="G2192" s="653" t="n">
        <v>23649.75</v>
      </c>
      <c r="H2192" s="123" t="n">
        <v>0</v>
      </c>
      <c r="K2192" s="123" t="n">
        <v>4</v>
      </c>
    </row>
    <row r="2193" customFormat="false" ht="15" hidden="false" customHeight="false" outlineLevel="0" collapsed="false">
      <c r="A2193" s="652" t="n">
        <v>45988</v>
      </c>
      <c r="B2193" s="123" t="n">
        <v>53001723</v>
      </c>
      <c r="C2193" s="124" t="s">
        <v>117</v>
      </c>
      <c r="D2193" s="124" t="s">
        <v>105</v>
      </c>
      <c r="E2193" s="653" t="n">
        <v>1644.5</v>
      </c>
      <c r="G2193" s="653" t="n">
        <v>25294.25</v>
      </c>
      <c r="H2193" s="653" t="n">
        <v>-2.5</v>
      </c>
      <c r="L2193" s="123" t="n">
        <v>6</v>
      </c>
    </row>
    <row r="2194" customFormat="false" ht="15" hidden="false" customHeight="false" outlineLevel="0" collapsed="false">
      <c r="A2194" s="652" t="n">
        <v>45989</v>
      </c>
      <c r="B2194" s="123" t="n">
        <v>53001724</v>
      </c>
      <c r="C2194" s="124" t="s">
        <v>199</v>
      </c>
      <c r="D2194" s="124" t="s">
        <v>127</v>
      </c>
      <c r="E2194" s="653" t="n">
        <v>845.25</v>
      </c>
      <c r="G2194" s="653" t="n">
        <v>26139.5</v>
      </c>
      <c r="H2194" s="653" t="n">
        <v>0.25</v>
      </c>
      <c r="I2194" s="123" t="n">
        <v>3</v>
      </c>
    </row>
    <row r="2195" customFormat="false" ht="15" hidden="false" customHeight="false" outlineLevel="0" collapsed="false">
      <c r="A2195" s="652" t="n">
        <v>45990</v>
      </c>
      <c r="B2195" s="123" t="n">
        <v>53001725</v>
      </c>
      <c r="C2195" s="124" t="s">
        <v>285</v>
      </c>
      <c r="D2195" s="124" t="s">
        <v>286</v>
      </c>
      <c r="E2195" s="653" t="n">
        <v>310.5</v>
      </c>
      <c r="G2195" s="123" t="n">
        <v>26450</v>
      </c>
      <c r="H2195" s="653" t="n">
        <v>0.5</v>
      </c>
      <c r="O2195" s="123" t="n">
        <v>1</v>
      </c>
    </row>
    <row r="2196" customFormat="false" ht="15" hidden="false" customHeight="false" outlineLevel="0" collapsed="false">
      <c r="A2196" s="652" t="n">
        <v>45990</v>
      </c>
      <c r="B2196" s="123" t="n">
        <v>53001726</v>
      </c>
      <c r="C2196" s="124" t="s">
        <v>290</v>
      </c>
      <c r="D2196" s="124" t="s">
        <v>286</v>
      </c>
      <c r="E2196" s="123" t="n">
        <v>552</v>
      </c>
      <c r="G2196" s="123" t="n">
        <v>27002</v>
      </c>
      <c r="H2196" s="653" t="n">
        <v>0.25</v>
      </c>
      <c r="O2196" s="123" t="n">
        <v>2</v>
      </c>
    </row>
    <row r="2197" customFormat="false" ht="15" hidden="false" customHeight="false" outlineLevel="0" collapsed="false">
      <c r="A2197" s="652" t="n">
        <v>45990</v>
      </c>
      <c r="B2197" s="123" t="n">
        <v>53001727</v>
      </c>
      <c r="C2197" s="124" t="s">
        <v>309</v>
      </c>
      <c r="D2197" s="124" t="s">
        <v>301</v>
      </c>
      <c r="E2197" s="653" t="n">
        <v>1138.5</v>
      </c>
      <c r="G2197" s="653" t="n">
        <v>28140.5</v>
      </c>
      <c r="H2197" s="123" t="n">
        <v>0</v>
      </c>
      <c r="I2197" s="123" t="n">
        <v>3</v>
      </c>
      <c r="O2197" s="123" t="n">
        <v>1</v>
      </c>
    </row>
    <row r="2198" customFormat="false" ht="15" hidden="false" customHeight="false" outlineLevel="0" collapsed="false">
      <c r="A2198" s="652" t="n">
        <v>45990</v>
      </c>
      <c r="B2198" s="123" t="n">
        <v>53001728</v>
      </c>
      <c r="C2198" s="124" t="s">
        <v>310</v>
      </c>
      <c r="D2198" s="124" t="s">
        <v>301</v>
      </c>
      <c r="E2198" s="123" t="n">
        <v>690</v>
      </c>
      <c r="F2198" s="123" t="n">
        <v>690</v>
      </c>
      <c r="G2198" s="653" t="n">
        <v>28140.5</v>
      </c>
      <c r="H2198" s="123" t="n">
        <v>0</v>
      </c>
      <c r="K2198" s="123" t="n">
        <v>2</v>
      </c>
    </row>
    <row r="2199" customFormat="false" ht="15" hidden="false" customHeight="false" outlineLevel="0" collapsed="false">
      <c r="A2199" s="652" t="n">
        <v>45990</v>
      </c>
      <c r="B2199" s="123" t="n">
        <v>53001729</v>
      </c>
      <c r="C2199" s="124" t="s">
        <v>316</v>
      </c>
      <c r="D2199" s="124" t="s">
        <v>301</v>
      </c>
      <c r="E2199" s="123" t="n">
        <v>253</v>
      </c>
      <c r="G2199" s="653" t="n">
        <v>28393.5</v>
      </c>
      <c r="P2199" s="123" t="n">
        <v>1</v>
      </c>
    </row>
    <row r="2200" customFormat="false" ht="15" hidden="false" customHeight="false" outlineLevel="0" collapsed="false">
      <c r="A2200" s="652" t="n">
        <v>45990</v>
      </c>
      <c r="B2200" s="123" t="n">
        <v>53001730</v>
      </c>
      <c r="C2200" s="124" t="s">
        <v>303</v>
      </c>
      <c r="D2200" s="124" t="s">
        <v>301</v>
      </c>
      <c r="E2200" s="653" t="n">
        <v>845.25</v>
      </c>
      <c r="G2200" s="653" t="n">
        <v>29238.75</v>
      </c>
      <c r="H2200" s="653" t="n">
        <v>-0.25</v>
      </c>
      <c r="I2200" s="123" t="n">
        <v>3</v>
      </c>
    </row>
    <row r="2201" customFormat="false" ht="15" hidden="false" customHeight="false" outlineLevel="0" collapsed="false">
      <c r="A2201" s="652" t="n">
        <v>45991</v>
      </c>
      <c r="B2201" s="123" t="n">
        <v>53001731</v>
      </c>
      <c r="C2201" s="124" t="s">
        <v>137</v>
      </c>
      <c r="D2201" s="124" t="s">
        <v>127</v>
      </c>
      <c r="E2201" s="653" t="n">
        <v>155.25</v>
      </c>
      <c r="G2201" s="123" t="n">
        <v>29394</v>
      </c>
      <c r="P2201" s="123" t="n">
        <v>3</v>
      </c>
    </row>
    <row r="2202" customFormat="false" ht="15" hidden="false" customHeight="false" outlineLevel="0" collapsed="false">
      <c r="A2202" s="652" t="n">
        <v>45991</v>
      </c>
      <c r="B2202" s="123" t="n">
        <v>53001733</v>
      </c>
      <c r="C2202" s="124" t="s">
        <v>158</v>
      </c>
      <c r="D2202" s="124" t="s">
        <v>127</v>
      </c>
      <c r="E2202" s="123" t="n">
        <v>1357</v>
      </c>
      <c r="G2202" s="123" t="n">
        <v>30751</v>
      </c>
      <c r="K2202" s="123" t="n">
        <v>5</v>
      </c>
    </row>
    <row r="2203" customFormat="false" ht="15" hidden="false" customHeight="false" outlineLevel="0" collapsed="false">
      <c r="A2203" s="652" t="n">
        <v>45991</v>
      </c>
      <c r="B2203" s="123" t="n">
        <v>53001732</v>
      </c>
      <c r="C2203" s="124" t="s">
        <v>200</v>
      </c>
      <c r="D2203" s="124" t="s">
        <v>127</v>
      </c>
      <c r="E2203" s="653" t="n">
        <v>845.25</v>
      </c>
      <c r="G2203" s="653" t="n">
        <v>31596.25</v>
      </c>
      <c r="I2203" s="123" t="n">
        <v>3</v>
      </c>
    </row>
    <row r="2204" customFormat="false" ht="15" hidden="false" customHeight="false" outlineLevel="0" collapsed="false">
      <c r="A2204" s="652" t="n">
        <v>45991</v>
      </c>
      <c r="B2204" s="123" t="n">
        <v>53001734</v>
      </c>
      <c r="C2204" s="124" t="s">
        <v>157</v>
      </c>
      <c r="D2204" s="124" t="s">
        <v>127</v>
      </c>
      <c r="E2204" s="653" t="n">
        <v>845.25</v>
      </c>
      <c r="G2204" s="653" t="n">
        <v>32441.5</v>
      </c>
      <c r="H2204" s="653" t="n">
        <v>1.75</v>
      </c>
      <c r="I2204" s="123" t="n">
        <v>3</v>
      </c>
    </row>
    <row r="2205" customFormat="false" ht="15" hidden="false" customHeight="false" outlineLevel="0" collapsed="false">
      <c r="A2205" s="652" t="n">
        <v>45988</v>
      </c>
      <c r="B2205" s="123" t="s">
        <v>675</v>
      </c>
      <c r="C2205" s="124" t="s">
        <v>393</v>
      </c>
      <c r="F2205" s="653" t="n">
        <v>6387.5</v>
      </c>
      <c r="G2205" s="123" t="n">
        <v>26054</v>
      </c>
    </row>
    <row r="2206" customFormat="false" ht="15" hidden="false" customHeight="false" outlineLevel="0" collapsed="false">
      <c r="A2206" s="652" t="n">
        <v>45991</v>
      </c>
      <c r="B2206" s="123" t="s">
        <v>675</v>
      </c>
      <c r="C2206" s="124" t="s">
        <v>393</v>
      </c>
      <c r="F2206" s="123" t="n">
        <v>8726</v>
      </c>
      <c r="G2206" s="123" t="n">
        <v>17328</v>
      </c>
    </row>
    <row r="2207" customFormat="false" ht="15" hidden="false" customHeight="false" outlineLevel="0" collapsed="false">
      <c r="A2207" s="652" t="n">
        <v>45990</v>
      </c>
      <c r="B2207" s="123" t="s">
        <v>667</v>
      </c>
      <c r="C2207" s="124" t="s">
        <v>393</v>
      </c>
      <c r="F2207" s="123" t="n">
        <v>5984</v>
      </c>
      <c r="G2207" s="123" t="n">
        <v>11344</v>
      </c>
    </row>
    <row r="2208" customFormat="false" ht="15" hidden="false" customHeight="false" outlineLevel="0" collapsed="false">
      <c r="A2208" s="652" t="n">
        <v>45992</v>
      </c>
      <c r="B2208" s="123" t="s">
        <v>668</v>
      </c>
      <c r="C2208" s="124" t="s">
        <v>393</v>
      </c>
      <c r="F2208" s="123" t="n">
        <v>11344</v>
      </c>
      <c r="G2208" s="123" t="n">
        <v>0</v>
      </c>
    </row>
    <row r="2209" customFormat="false" ht="15" hidden="false" customHeight="false" outlineLevel="0" collapsed="false">
      <c r="A2209" s="652" t="n">
        <v>45993</v>
      </c>
      <c r="B2209" s="123" t="n">
        <v>53001735</v>
      </c>
      <c r="C2209" s="124" t="s">
        <v>264</v>
      </c>
      <c r="D2209" s="124" t="s">
        <v>127</v>
      </c>
      <c r="E2209" s="653" t="n">
        <v>1155.75</v>
      </c>
      <c r="G2209" s="653" t="n">
        <v>1155.75</v>
      </c>
      <c r="H2209" s="653" t="n">
        <v>-1.25</v>
      </c>
      <c r="I2209" s="123" t="n">
        <v>3</v>
      </c>
      <c r="P2209" s="123" t="n">
        <v>2</v>
      </c>
    </row>
    <row r="2210" customFormat="false" ht="15" hidden="false" customHeight="false" outlineLevel="0" collapsed="false">
      <c r="A2210" s="652" t="n">
        <v>45993</v>
      </c>
      <c r="B2210" s="123" t="n">
        <v>53001736</v>
      </c>
      <c r="C2210" s="124" t="s">
        <v>295</v>
      </c>
      <c r="D2210" s="124" t="s">
        <v>286</v>
      </c>
      <c r="E2210" s="123" t="n">
        <v>391</v>
      </c>
      <c r="G2210" s="653" t="n">
        <v>1546.75</v>
      </c>
      <c r="O2210" s="123" t="n">
        <v>2</v>
      </c>
    </row>
    <row r="2211" customFormat="false" ht="15" hidden="false" customHeight="false" outlineLevel="0" collapsed="false">
      <c r="A2211" s="652" t="n">
        <v>45993</v>
      </c>
      <c r="B2211" s="123" t="n">
        <v>53001737</v>
      </c>
      <c r="C2211" s="124" t="s">
        <v>289</v>
      </c>
      <c r="D2211" s="124" t="s">
        <v>286</v>
      </c>
      <c r="E2211" s="653" t="n">
        <v>241.5</v>
      </c>
      <c r="G2211" s="653" t="n">
        <v>1788.25</v>
      </c>
      <c r="O2211" s="123" t="n">
        <v>1</v>
      </c>
    </row>
    <row r="2212" customFormat="false" ht="15" hidden="false" customHeight="false" outlineLevel="0" collapsed="false">
      <c r="A2212" s="652" t="n">
        <v>45993</v>
      </c>
      <c r="B2212" s="123" t="n">
        <v>53001738</v>
      </c>
      <c r="C2212" s="124" t="s">
        <v>290</v>
      </c>
      <c r="D2212" s="124" t="s">
        <v>286</v>
      </c>
      <c r="E2212" s="653" t="n">
        <v>845.25</v>
      </c>
      <c r="G2212" s="653" t="n">
        <v>2633.5</v>
      </c>
      <c r="H2212" s="653" t="n">
        <v>0.25</v>
      </c>
      <c r="I2212" s="123" t="n">
        <v>3</v>
      </c>
    </row>
    <row r="2213" customFormat="false" ht="15" hidden="false" customHeight="false" outlineLevel="0" collapsed="false">
      <c r="A2213" s="652" t="n">
        <v>45993</v>
      </c>
      <c r="B2213" s="123" t="s">
        <v>675</v>
      </c>
      <c r="C2213" s="124" t="s">
        <v>393</v>
      </c>
      <c r="F2213" s="653" t="n">
        <v>2633.5</v>
      </c>
      <c r="G2213" s="123" t="n">
        <v>0</v>
      </c>
    </row>
    <row r="2214" customFormat="false" ht="15" hidden="false" customHeight="false" outlineLevel="0" collapsed="false">
      <c r="A2214" s="652" t="n">
        <v>45994</v>
      </c>
      <c r="B2214" s="123" t="n">
        <v>53001739</v>
      </c>
      <c r="C2214" s="124" t="s">
        <v>184</v>
      </c>
      <c r="D2214" s="124" t="s">
        <v>127</v>
      </c>
      <c r="E2214" s="123" t="n">
        <v>253</v>
      </c>
      <c r="G2214" s="123" t="n">
        <v>253</v>
      </c>
      <c r="K2214" s="123" t="n">
        <v>1</v>
      </c>
    </row>
    <row r="2215" customFormat="false" ht="15" hidden="false" customHeight="false" outlineLevel="0" collapsed="false">
      <c r="A2215" s="652" t="n">
        <v>45994</v>
      </c>
      <c r="B2215" s="123" t="n">
        <v>53001740</v>
      </c>
      <c r="C2215" s="124" t="s">
        <v>96</v>
      </c>
      <c r="D2215" s="124" t="s">
        <v>75</v>
      </c>
      <c r="E2215" s="653" t="n">
        <v>845.25</v>
      </c>
      <c r="G2215" s="653" t="n">
        <v>1098.25</v>
      </c>
      <c r="I2215" s="123" t="n">
        <v>3</v>
      </c>
    </row>
    <row r="2216" customFormat="false" ht="15" hidden="false" customHeight="false" outlineLevel="0" collapsed="false">
      <c r="A2216" s="652" t="n">
        <v>45994</v>
      </c>
      <c r="B2216" s="123" t="n">
        <v>53001741</v>
      </c>
      <c r="C2216" s="124" t="s">
        <v>89</v>
      </c>
      <c r="D2216" s="124" t="s">
        <v>75</v>
      </c>
      <c r="E2216" s="653" t="n">
        <v>2150.5</v>
      </c>
      <c r="G2216" s="653" t="n">
        <v>3248.75</v>
      </c>
      <c r="I2216" s="123" t="n">
        <v>3</v>
      </c>
      <c r="L2216" s="123" t="n">
        <v>3</v>
      </c>
      <c r="M2216" s="123" t="n">
        <v>2</v>
      </c>
    </row>
    <row r="2217" customFormat="false" ht="15" hidden="false" customHeight="false" outlineLevel="0" collapsed="false">
      <c r="A2217" s="652" t="n">
        <v>45994</v>
      </c>
      <c r="B2217" s="123" t="n">
        <v>53001742</v>
      </c>
      <c r="C2217" s="124" t="s">
        <v>97</v>
      </c>
      <c r="D2217" s="124" t="s">
        <v>75</v>
      </c>
      <c r="E2217" s="123" t="n">
        <v>506</v>
      </c>
      <c r="G2217" s="653" t="n">
        <v>3754.75</v>
      </c>
      <c r="K2217" s="123" t="n">
        <v>2</v>
      </c>
    </row>
    <row r="2218" customFormat="false" ht="15" hidden="false" customHeight="false" outlineLevel="0" collapsed="false">
      <c r="A2218" s="652" t="n">
        <v>45994</v>
      </c>
      <c r="B2218" s="123" t="n">
        <v>53001743</v>
      </c>
      <c r="C2218" s="124" t="s">
        <v>112</v>
      </c>
      <c r="D2218" s="124" t="s">
        <v>105</v>
      </c>
      <c r="E2218" s="653" t="n">
        <v>1023.5</v>
      </c>
      <c r="G2218" s="653" t="n">
        <v>4778.25</v>
      </c>
      <c r="H2218" s="653" t="n">
        <v>-1.5</v>
      </c>
      <c r="I2218" s="123" t="n">
        <v>3</v>
      </c>
      <c r="J2218" s="123" t="n">
        <v>1</v>
      </c>
    </row>
    <row r="2219" customFormat="false" ht="15" hidden="false" customHeight="false" outlineLevel="0" collapsed="false">
      <c r="A2219" s="652" t="n">
        <v>45994</v>
      </c>
      <c r="B2219" s="123" t="n">
        <v>53001744</v>
      </c>
      <c r="C2219" s="124" t="s">
        <v>107</v>
      </c>
      <c r="D2219" s="124" t="s">
        <v>105</v>
      </c>
      <c r="E2219" s="653" t="n">
        <v>845.25</v>
      </c>
      <c r="G2219" s="653" t="n">
        <v>5623.5</v>
      </c>
      <c r="I2219" s="123" t="n">
        <v>3</v>
      </c>
    </row>
    <row r="2220" customFormat="false" ht="15" hidden="false" customHeight="false" outlineLevel="0" collapsed="false">
      <c r="A2220" s="652" t="n">
        <v>45994</v>
      </c>
      <c r="B2220" s="123" t="n">
        <v>53001745</v>
      </c>
      <c r="C2220" s="124" t="s">
        <v>108</v>
      </c>
      <c r="D2220" s="124" t="s">
        <v>105</v>
      </c>
      <c r="E2220" s="653" t="n">
        <v>1328.25</v>
      </c>
      <c r="G2220" s="653" t="n">
        <v>6951.75</v>
      </c>
      <c r="H2220" s="123" t="n">
        <v>0</v>
      </c>
      <c r="I2220" s="123" t="n">
        <v>3</v>
      </c>
      <c r="K2220" s="123" t="n">
        <v>2</v>
      </c>
    </row>
    <row r="2221" customFormat="false" ht="15" hidden="false" customHeight="false" outlineLevel="0" collapsed="false">
      <c r="A2221" s="652" t="n">
        <v>45995</v>
      </c>
      <c r="B2221" s="123" t="s">
        <v>675</v>
      </c>
      <c r="C2221" s="124" t="s">
        <v>393</v>
      </c>
      <c r="F2221" s="123" t="n">
        <v>5899</v>
      </c>
      <c r="G2221" s="653" t="n">
        <v>1052.75</v>
      </c>
    </row>
    <row r="2222" customFormat="false" ht="15" hidden="false" customHeight="false" outlineLevel="0" collapsed="false">
      <c r="A2222" s="652" t="n">
        <v>45995</v>
      </c>
      <c r="B2222" s="123" t="s">
        <v>668</v>
      </c>
      <c r="C2222" s="124" t="s">
        <v>393</v>
      </c>
      <c r="F2222" s="123" t="n">
        <v>1052</v>
      </c>
      <c r="G2222" s="653" t="n">
        <v>0.75</v>
      </c>
    </row>
    <row r="2223" customFormat="false" ht="15" hidden="false" customHeight="false" outlineLevel="0" collapsed="false">
      <c r="A2223" s="652" t="n">
        <v>45995</v>
      </c>
      <c r="B2223" s="123" t="n">
        <v>53001746</v>
      </c>
      <c r="C2223" s="124" t="s">
        <v>131</v>
      </c>
      <c r="D2223" s="124" t="s">
        <v>127</v>
      </c>
      <c r="E2223" s="653" t="n">
        <v>1276.5</v>
      </c>
      <c r="G2223" s="653" t="n">
        <v>1277.25</v>
      </c>
      <c r="H2223" s="123" t="n">
        <v>0</v>
      </c>
      <c r="I2223" s="123" t="n">
        <v>3</v>
      </c>
      <c r="O2223" s="123" t="n">
        <v>2</v>
      </c>
      <c r="P2223" s="123" t="n">
        <v>1</v>
      </c>
    </row>
    <row r="2224" customFormat="false" ht="15" hidden="false" customHeight="false" outlineLevel="0" collapsed="false">
      <c r="A2224" s="652" t="n">
        <v>45995</v>
      </c>
      <c r="B2224" s="123" t="n">
        <v>53001747</v>
      </c>
      <c r="C2224" s="124" t="s">
        <v>142</v>
      </c>
      <c r="D2224" s="124" t="s">
        <v>127</v>
      </c>
      <c r="E2224" s="123" t="n">
        <v>1012</v>
      </c>
      <c r="G2224" s="653" t="n">
        <v>2289.25</v>
      </c>
      <c r="K2224" s="123" t="n">
        <v>4</v>
      </c>
    </row>
    <row r="2225" customFormat="false" ht="15" hidden="false" customHeight="false" outlineLevel="0" collapsed="false">
      <c r="A2225" s="652" t="n">
        <v>45995</v>
      </c>
      <c r="B2225" s="123" t="n">
        <v>53001748</v>
      </c>
      <c r="C2225" s="124" t="s">
        <v>241</v>
      </c>
      <c r="D2225" s="124" t="s">
        <v>127</v>
      </c>
      <c r="E2225" s="653" t="n">
        <v>241.5</v>
      </c>
      <c r="G2225" s="653" t="n">
        <v>2530.75</v>
      </c>
      <c r="H2225" s="653" t="n">
        <v>0.25</v>
      </c>
      <c r="O2225" s="123" t="n">
        <v>1</v>
      </c>
    </row>
    <row r="2226" customFormat="false" ht="15" hidden="false" customHeight="false" outlineLevel="0" collapsed="false">
      <c r="A2226" s="652" t="n">
        <v>45995</v>
      </c>
      <c r="B2226" s="123" t="n">
        <v>53001749</v>
      </c>
      <c r="C2226" s="124" t="s">
        <v>242</v>
      </c>
      <c r="D2226" s="124" t="s">
        <v>127</v>
      </c>
      <c r="E2226" s="123" t="n">
        <v>138</v>
      </c>
      <c r="G2226" s="653" t="n">
        <v>2668.75</v>
      </c>
      <c r="H2226" s="653" t="n">
        <v>-0.25</v>
      </c>
      <c r="O2226" s="123" t="n">
        <v>1</v>
      </c>
    </row>
    <row r="2227" customFormat="false" ht="15" hidden="false" customHeight="false" outlineLevel="0" collapsed="false">
      <c r="A2227" s="652" t="n">
        <v>45995</v>
      </c>
      <c r="B2227" s="123" t="n">
        <v>53001750</v>
      </c>
      <c r="C2227" s="124" t="s">
        <v>278</v>
      </c>
      <c r="D2227" s="124" t="s">
        <v>127</v>
      </c>
      <c r="E2227" s="653" t="n">
        <v>1558.25</v>
      </c>
      <c r="G2227" s="123" t="n">
        <v>4227</v>
      </c>
      <c r="H2227" s="653" t="n">
        <v>0.25</v>
      </c>
      <c r="I2227" s="123" t="n">
        <v>3</v>
      </c>
      <c r="K2227" s="123" t="n">
        <v>3</v>
      </c>
    </row>
    <row r="2228" customFormat="false" ht="15" hidden="false" customHeight="false" outlineLevel="0" collapsed="false">
      <c r="A2228" s="652" t="n">
        <v>45995</v>
      </c>
      <c r="B2228" s="123" t="s">
        <v>675</v>
      </c>
      <c r="C2228" s="124" t="s">
        <v>393</v>
      </c>
      <c r="F2228" s="653" t="n">
        <v>4226.25</v>
      </c>
      <c r="G2228" s="653" t="n">
        <v>0.75</v>
      </c>
    </row>
    <row r="2229" customFormat="false" ht="15" hidden="false" customHeight="false" outlineLevel="0" collapsed="false">
      <c r="A2229" s="652" t="n">
        <v>45998</v>
      </c>
      <c r="B2229" s="123" t="n">
        <v>53001751</v>
      </c>
      <c r="C2229" s="124" t="s">
        <v>143</v>
      </c>
      <c r="D2229" s="124" t="s">
        <v>127</v>
      </c>
      <c r="E2229" s="653" t="n">
        <v>845.25</v>
      </c>
      <c r="G2229" s="123" t="n">
        <v>846</v>
      </c>
      <c r="H2229" s="653" t="n">
        <v>-1.5</v>
      </c>
      <c r="I2229" s="123" t="n">
        <v>3</v>
      </c>
    </row>
    <row r="2230" customFormat="false" ht="15" hidden="false" customHeight="false" outlineLevel="0" collapsed="false">
      <c r="A2230" s="652" t="n">
        <v>45998</v>
      </c>
      <c r="B2230" s="123" t="n">
        <v>53001752</v>
      </c>
      <c r="C2230" s="124" t="s">
        <v>183</v>
      </c>
      <c r="D2230" s="124" t="s">
        <v>127</v>
      </c>
      <c r="E2230" s="123" t="n">
        <v>253</v>
      </c>
      <c r="G2230" s="123" t="n">
        <v>1099</v>
      </c>
      <c r="H2230" s="123" t="n">
        <v>0</v>
      </c>
      <c r="K2230" s="123" t="n">
        <v>1</v>
      </c>
    </row>
    <row r="2231" customFormat="false" ht="15" hidden="false" customHeight="false" outlineLevel="0" collapsed="false">
      <c r="A2231" s="652" t="n">
        <v>45998</v>
      </c>
      <c r="B2231" s="123" t="n">
        <v>53001753</v>
      </c>
      <c r="C2231" s="124" t="s">
        <v>234</v>
      </c>
      <c r="D2231" s="124" t="s">
        <v>127</v>
      </c>
      <c r="E2231" s="653" t="n">
        <v>615.25</v>
      </c>
      <c r="G2231" s="653" t="n">
        <v>1714.25</v>
      </c>
      <c r="H2231" s="123" t="n">
        <v>-3</v>
      </c>
      <c r="K2231" s="123" t="n">
        <v>2</v>
      </c>
      <c r="P2231" s="123" t="n">
        <v>1</v>
      </c>
    </row>
    <row r="2232" customFormat="false" ht="15" hidden="false" customHeight="false" outlineLevel="0" collapsed="false">
      <c r="A2232" s="652" t="n">
        <v>45999</v>
      </c>
      <c r="B2232" s="123" t="s">
        <v>668</v>
      </c>
      <c r="C2232" s="124" t="s">
        <v>393</v>
      </c>
      <c r="F2232" s="123" t="n">
        <v>1714</v>
      </c>
      <c r="G2232" s="653" t="n">
        <v>0.25</v>
      </c>
    </row>
    <row r="2233" customFormat="false" ht="15" hidden="false" customHeight="false" outlineLevel="0" collapsed="false">
      <c r="A2233" s="652" t="n">
        <v>45999</v>
      </c>
      <c r="B2233" s="123" t="n">
        <v>53001754</v>
      </c>
      <c r="C2233" s="124" t="s">
        <v>295</v>
      </c>
      <c r="D2233" s="124" t="s">
        <v>286</v>
      </c>
      <c r="E2233" s="653" t="n">
        <v>448.5</v>
      </c>
      <c r="G2233" s="653" t="n">
        <v>448.75</v>
      </c>
      <c r="H2233" s="653" t="n">
        <v>0.5</v>
      </c>
      <c r="K2233" s="123" t="n">
        <v>1</v>
      </c>
      <c r="O2233" s="123" t="n">
        <v>1</v>
      </c>
    </row>
    <row r="2234" customFormat="false" ht="15" hidden="false" customHeight="false" outlineLevel="0" collapsed="false">
      <c r="A2234" s="652" t="n">
        <v>45999</v>
      </c>
      <c r="B2234" s="123" t="n">
        <v>53001755</v>
      </c>
      <c r="C2234" s="124" t="s">
        <v>309</v>
      </c>
      <c r="D2234" s="124" t="s">
        <v>301</v>
      </c>
      <c r="E2234" s="653" t="n">
        <v>845.25</v>
      </c>
      <c r="G2234" s="123" t="n">
        <v>1294</v>
      </c>
      <c r="H2234" s="653" t="n">
        <v>0.25</v>
      </c>
      <c r="I2234" s="123" t="n">
        <v>3</v>
      </c>
    </row>
    <row r="2235" customFormat="false" ht="15" hidden="false" customHeight="false" outlineLevel="0" collapsed="false">
      <c r="A2235" s="652" t="n">
        <v>45999</v>
      </c>
      <c r="B2235" s="123" t="n">
        <v>53001756</v>
      </c>
      <c r="C2235" s="124" t="s">
        <v>312</v>
      </c>
      <c r="D2235" s="124" t="s">
        <v>301</v>
      </c>
      <c r="E2235" s="653" t="n">
        <v>1000.5</v>
      </c>
      <c r="G2235" s="653" t="n">
        <v>2294.5</v>
      </c>
      <c r="H2235" s="653" t="n">
        <v>0.5</v>
      </c>
      <c r="I2235" s="123" t="n">
        <v>3</v>
      </c>
      <c r="P2235" s="123" t="n">
        <v>1</v>
      </c>
    </row>
    <row r="2236" customFormat="false" ht="15" hidden="false" customHeight="false" outlineLevel="0" collapsed="false">
      <c r="A2236" s="652" t="n">
        <v>45999</v>
      </c>
      <c r="B2236" s="123" t="n">
        <v>53001757</v>
      </c>
      <c r="C2236" s="124" t="s">
        <v>317</v>
      </c>
      <c r="D2236" s="124" t="s">
        <v>224</v>
      </c>
      <c r="E2236" s="653" t="n">
        <v>471.5</v>
      </c>
      <c r="G2236" s="123" t="n">
        <v>2766</v>
      </c>
      <c r="H2236" s="653" t="n">
        <v>0.5</v>
      </c>
      <c r="K2236" s="123" t="n">
        <v>1</v>
      </c>
      <c r="O2236" s="123" t="n">
        <v>1</v>
      </c>
    </row>
    <row r="2237" customFormat="false" ht="15" hidden="false" customHeight="false" outlineLevel="0" collapsed="false">
      <c r="A2237" s="652" t="n">
        <v>45999</v>
      </c>
      <c r="B2237" s="123" t="n">
        <v>53001758</v>
      </c>
      <c r="C2237" s="124" t="s">
        <v>322</v>
      </c>
      <c r="D2237" s="124" t="s">
        <v>224</v>
      </c>
      <c r="E2237" s="653" t="n">
        <v>2610.5</v>
      </c>
      <c r="G2237" s="653" t="n">
        <v>5376.5</v>
      </c>
      <c r="H2237" s="653" t="n">
        <v>0.5</v>
      </c>
      <c r="I2237" s="123" t="n">
        <v>6</v>
      </c>
      <c r="K2237" s="123" t="n">
        <v>4</v>
      </c>
    </row>
    <row r="2238" customFormat="false" ht="15" hidden="false" customHeight="false" outlineLevel="0" collapsed="false">
      <c r="A2238" s="652" t="n">
        <v>46000</v>
      </c>
      <c r="B2238" s="123" t="s">
        <v>675</v>
      </c>
      <c r="C2238" s="124" t="s">
        <v>393</v>
      </c>
      <c r="F2238" s="123" t="n">
        <v>2004</v>
      </c>
      <c r="G2238" s="653" t="n">
        <v>3372.5</v>
      </c>
    </row>
    <row r="2239" customFormat="false" ht="15" hidden="false" customHeight="false" outlineLevel="0" collapsed="false">
      <c r="A2239" s="652" t="n">
        <v>46000</v>
      </c>
      <c r="B2239" s="123" t="s">
        <v>667</v>
      </c>
      <c r="C2239" s="124" t="s">
        <v>393</v>
      </c>
      <c r="F2239" s="123" t="n">
        <v>1000</v>
      </c>
      <c r="G2239" s="653" t="n">
        <v>2372.5</v>
      </c>
    </row>
    <row r="2240" customFormat="false" ht="15" hidden="false" customHeight="false" outlineLevel="0" collapsed="false">
      <c r="A2240" s="652" t="n">
        <v>46000</v>
      </c>
      <c r="B2240" s="123" t="s">
        <v>668</v>
      </c>
      <c r="C2240" s="124" t="s">
        <v>393</v>
      </c>
      <c r="E2240" s="653" t="n">
        <v>-0.5</v>
      </c>
      <c r="F2240" s="123" t="n">
        <v>2372</v>
      </c>
      <c r="G2240" s="123" t="n">
        <v>0</v>
      </c>
    </row>
    <row r="2241" customFormat="false" ht="15" hidden="false" customHeight="false" outlineLevel="0" collapsed="false">
      <c r="A2241" s="652" t="n">
        <v>46000</v>
      </c>
      <c r="B2241" s="123" t="n">
        <v>53001759</v>
      </c>
      <c r="C2241" s="124" t="s">
        <v>147</v>
      </c>
      <c r="D2241" s="124" t="s">
        <v>127</v>
      </c>
      <c r="E2241" s="123" t="n">
        <v>276</v>
      </c>
      <c r="G2241" s="123" t="n">
        <v>276</v>
      </c>
      <c r="O2241" s="123" t="n">
        <v>2</v>
      </c>
    </row>
    <row r="2242" customFormat="false" ht="15" hidden="false" customHeight="false" outlineLevel="0" collapsed="false">
      <c r="A2242" s="652" t="n">
        <v>46000</v>
      </c>
      <c r="B2242" s="123" t="n">
        <v>53001760</v>
      </c>
      <c r="C2242" s="124" t="s">
        <v>157</v>
      </c>
      <c r="D2242" s="124" t="s">
        <v>127</v>
      </c>
      <c r="E2242" s="653" t="n">
        <v>241.5</v>
      </c>
      <c r="G2242" s="653" t="n">
        <v>517.5</v>
      </c>
      <c r="H2242" s="653" t="n">
        <v>-2.5</v>
      </c>
      <c r="O2242" s="123" t="n">
        <v>1</v>
      </c>
    </row>
    <row r="2243" customFormat="false" ht="15" hidden="false" customHeight="false" outlineLevel="0" collapsed="false">
      <c r="A2243" s="652" t="n">
        <v>46000</v>
      </c>
      <c r="B2243" s="123" t="s">
        <v>667</v>
      </c>
      <c r="C2243" s="124" t="s">
        <v>393</v>
      </c>
      <c r="E2243" s="653" t="n">
        <v>-0.5</v>
      </c>
      <c r="F2243" s="123" t="n">
        <v>517</v>
      </c>
      <c r="G2243" s="123" t="n">
        <v>0</v>
      </c>
    </row>
    <row r="2244" customFormat="false" ht="15" hidden="false" customHeight="false" outlineLevel="0" collapsed="false">
      <c r="A2244" s="652" t="n">
        <v>46001</v>
      </c>
      <c r="B2244" s="123" t="n">
        <v>53001761</v>
      </c>
      <c r="C2244" s="124" t="s">
        <v>279</v>
      </c>
      <c r="D2244" s="124" t="s">
        <v>127</v>
      </c>
      <c r="E2244" s="123" t="n">
        <v>828</v>
      </c>
      <c r="G2244" s="123" t="n">
        <v>828</v>
      </c>
      <c r="O2244" s="123" t="n">
        <v>1</v>
      </c>
      <c r="P2244" s="123" t="n">
        <v>2</v>
      </c>
    </row>
    <row r="2245" customFormat="false" ht="15" hidden="false" customHeight="false" outlineLevel="0" collapsed="false">
      <c r="A2245" s="652" t="n">
        <v>46001</v>
      </c>
      <c r="B2245" s="123" t="n">
        <v>53001762</v>
      </c>
      <c r="C2245" s="124" t="s">
        <v>99</v>
      </c>
      <c r="D2245" s="124" t="s">
        <v>75</v>
      </c>
      <c r="E2245" s="123" t="n">
        <v>253</v>
      </c>
      <c r="G2245" s="123" t="n">
        <v>1081</v>
      </c>
      <c r="K2245" s="123" t="n">
        <v>1</v>
      </c>
    </row>
    <row r="2246" customFormat="false" ht="15" hidden="false" customHeight="false" outlineLevel="0" collapsed="false">
      <c r="A2246" s="652" t="n">
        <v>46001</v>
      </c>
      <c r="B2246" s="123" t="n">
        <v>53001763</v>
      </c>
      <c r="C2246" s="124" t="s">
        <v>96</v>
      </c>
      <c r="D2246" s="124" t="s">
        <v>75</v>
      </c>
      <c r="E2246" s="123" t="n">
        <v>345</v>
      </c>
      <c r="G2246" s="123" t="n">
        <v>1426</v>
      </c>
      <c r="K2246" s="123" t="n">
        <v>1</v>
      </c>
    </row>
    <row r="2247" customFormat="false" ht="15" hidden="false" customHeight="false" outlineLevel="0" collapsed="false">
      <c r="A2247" s="652" t="n">
        <v>46001</v>
      </c>
      <c r="B2247" s="123" t="n">
        <v>53001764</v>
      </c>
      <c r="C2247" s="124" t="s">
        <v>106</v>
      </c>
      <c r="D2247" s="124" t="s">
        <v>105</v>
      </c>
      <c r="E2247" s="653" t="n">
        <v>845.25</v>
      </c>
      <c r="G2247" s="653" t="n">
        <v>2271.25</v>
      </c>
      <c r="H2247" s="653" t="n">
        <v>0.25</v>
      </c>
      <c r="I2247" s="123" t="n">
        <v>3</v>
      </c>
    </row>
    <row r="2248" customFormat="false" ht="15" hidden="false" customHeight="false" outlineLevel="0" collapsed="false">
      <c r="A2248" s="652" t="n">
        <v>46001</v>
      </c>
      <c r="B2248" s="123" t="n">
        <v>53001765</v>
      </c>
      <c r="C2248" s="124" t="s">
        <v>113</v>
      </c>
      <c r="D2248" s="124" t="s">
        <v>105</v>
      </c>
      <c r="E2248" s="653" t="n">
        <v>845.25</v>
      </c>
      <c r="G2248" s="653" t="n">
        <v>3116.5</v>
      </c>
      <c r="H2248" s="123" t="n">
        <v>0</v>
      </c>
      <c r="I2248" s="123" t="n">
        <v>3</v>
      </c>
    </row>
    <row r="2249" customFormat="false" ht="15" hidden="false" customHeight="false" outlineLevel="0" collapsed="false">
      <c r="A2249" s="652" t="n">
        <v>46001</v>
      </c>
      <c r="B2249" s="123" t="n">
        <v>53001766</v>
      </c>
      <c r="C2249" s="124" t="s">
        <v>115</v>
      </c>
      <c r="D2249" s="124" t="s">
        <v>105</v>
      </c>
      <c r="E2249" s="653" t="n">
        <v>310.5</v>
      </c>
      <c r="G2249" s="123" t="n">
        <v>3427</v>
      </c>
      <c r="H2249" s="653" t="n">
        <v>0.5</v>
      </c>
      <c r="P2249" s="123" t="n">
        <v>2</v>
      </c>
    </row>
    <row r="2250" customFormat="false" ht="15" hidden="false" customHeight="false" outlineLevel="0" collapsed="false">
      <c r="A2250" s="652" t="n">
        <v>46001</v>
      </c>
      <c r="B2250" s="123" t="n">
        <v>53001767</v>
      </c>
      <c r="C2250" s="124" t="s">
        <v>109</v>
      </c>
      <c r="D2250" s="124" t="s">
        <v>105</v>
      </c>
      <c r="E2250" s="123" t="n">
        <v>276</v>
      </c>
      <c r="G2250" s="123" t="n">
        <v>3703</v>
      </c>
      <c r="O2250" s="123" t="n">
        <v>2</v>
      </c>
    </row>
    <row r="2251" customFormat="false" ht="15" hidden="false" customHeight="false" outlineLevel="0" collapsed="false">
      <c r="A2251" s="652" t="n">
        <v>46001</v>
      </c>
      <c r="B2251" s="123" t="n">
        <v>53001768</v>
      </c>
      <c r="C2251" s="124" t="s">
        <v>107</v>
      </c>
      <c r="D2251" s="124" t="s">
        <v>105</v>
      </c>
      <c r="E2251" s="653" t="n">
        <v>1811.25</v>
      </c>
      <c r="G2251" s="653" t="n">
        <v>5514.25</v>
      </c>
      <c r="I2251" s="123" t="n">
        <v>3</v>
      </c>
      <c r="K2251" s="123" t="n">
        <v>4</v>
      </c>
    </row>
    <row r="2252" customFormat="false" ht="15" hidden="false" customHeight="false" outlineLevel="0" collapsed="false">
      <c r="A2252" s="652" t="n">
        <v>46001</v>
      </c>
      <c r="B2252" s="123" t="n">
        <v>53001769</v>
      </c>
      <c r="C2252" s="124" t="s">
        <v>108</v>
      </c>
      <c r="D2252" s="124" t="s">
        <v>105</v>
      </c>
      <c r="E2252" s="123" t="n">
        <v>230</v>
      </c>
      <c r="G2252" s="653" t="n">
        <v>5744.25</v>
      </c>
      <c r="H2252" s="123" t="n">
        <v>0</v>
      </c>
      <c r="K2252" s="123" t="n">
        <v>1</v>
      </c>
    </row>
    <row r="2253" customFormat="false" ht="15" hidden="false" customHeight="false" outlineLevel="0" collapsed="false">
      <c r="A2253" s="652" t="n">
        <v>46001</v>
      </c>
      <c r="B2253" s="123" t="n">
        <v>53001770</v>
      </c>
      <c r="C2253" s="124" t="s">
        <v>113</v>
      </c>
      <c r="D2253" s="124" t="s">
        <v>105</v>
      </c>
      <c r="E2253" s="653" t="n">
        <v>845.25</v>
      </c>
      <c r="G2253" s="653" t="n">
        <v>6589.5</v>
      </c>
      <c r="H2253" s="123" t="n">
        <v>0</v>
      </c>
      <c r="I2253" s="123" t="n">
        <v>3</v>
      </c>
    </row>
    <row r="2254" customFormat="false" ht="15" hidden="false" customHeight="false" outlineLevel="0" collapsed="false">
      <c r="A2254" s="652" t="n">
        <v>46002</v>
      </c>
      <c r="B2254" s="123" t="s">
        <v>675</v>
      </c>
      <c r="C2254" s="124" t="s">
        <v>393</v>
      </c>
      <c r="F2254" s="653" t="n">
        <v>6589.25</v>
      </c>
      <c r="G2254" s="653" t="n">
        <v>0.25</v>
      </c>
    </row>
    <row r="2255" customFormat="false" ht="15" hidden="false" customHeight="false" outlineLevel="0" collapsed="false">
      <c r="A2255" s="652" t="n">
        <v>46002</v>
      </c>
      <c r="B2255" s="123" t="n">
        <v>53001771</v>
      </c>
      <c r="C2255" s="124" t="s">
        <v>244</v>
      </c>
      <c r="D2255" s="124" t="s">
        <v>127</v>
      </c>
      <c r="E2255" s="123" t="n">
        <v>460</v>
      </c>
      <c r="G2255" s="653" t="n">
        <v>460.25</v>
      </c>
      <c r="H2255" s="123" t="n">
        <v>0</v>
      </c>
      <c r="K2255" s="123" t="n">
        <v>2</v>
      </c>
    </row>
    <row r="2256" customFormat="false" ht="15" hidden="false" customHeight="false" outlineLevel="0" collapsed="false">
      <c r="A2256" s="652" t="n">
        <v>46002</v>
      </c>
      <c r="B2256" s="123" t="n">
        <v>53001772</v>
      </c>
      <c r="C2256" s="124" t="s">
        <v>141</v>
      </c>
      <c r="D2256" s="124" t="s">
        <v>127</v>
      </c>
      <c r="E2256" s="653" t="n">
        <v>2742.75</v>
      </c>
      <c r="G2256" s="123" t="n">
        <v>3203</v>
      </c>
      <c r="H2256" s="123" t="n">
        <v>0</v>
      </c>
      <c r="K2256" s="123" t="n">
        <v>5</v>
      </c>
      <c r="P2256" s="123" t="n">
        <v>6</v>
      </c>
    </row>
    <row r="2257" customFormat="false" ht="15" hidden="false" customHeight="false" outlineLevel="0" collapsed="false">
      <c r="A2257" s="652" t="n">
        <v>46004</v>
      </c>
      <c r="B2257" s="123" t="n">
        <v>53001773</v>
      </c>
      <c r="C2257" s="124" t="s">
        <v>141</v>
      </c>
      <c r="D2257" s="124" t="s">
        <v>127</v>
      </c>
      <c r="E2257" s="123" t="n">
        <v>299</v>
      </c>
      <c r="G2257" s="123" t="n">
        <v>3502</v>
      </c>
      <c r="H2257" s="653" t="n">
        <v>0.75</v>
      </c>
      <c r="P2257" s="123" t="n">
        <v>1</v>
      </c>
    </row>
    <row r="2258" customFormat="false" ht="15" hidden="false" customHeight="false" outlineLevel="0" collapsed="false">
      <c r="A2258" s="652" t="n">
        <v>46004</v>
      </c>
      <c r="B2258" s="123" t="n">
        <v>53001774</v>
      </c>
      <c r="C2258" s="124" t="s">
        <v>277</v>
      </c>
      <c r="D2258" s="124" t="s">
        <v>127</v>
      </c>
      <c r="E2258" s="123" t="n">
        <v>368</v>
      </c>
      <c r="G2258" s="123" t="n">
        <v>3870</v>
      </c>
      <c r="H2258" s="123" t="n">
        <v>0</v>
      </c>
      <c r="K2258" s="123" t="n">
        <v>1</v>
      </c>
      <c r="O2258" s="123" t="n">
        <v>1</v>
      </c>
    </row>
    <row r="2259" customFormat="false" ht="15" hidden="false" customHeight="false" outlineLevel="0" collapsed="false">
      <c r="A2259" s="652" t="n">
        <v>46004</v>
      </c>
      <c r="B2259" s="123" t="n">
        <v>53001775</v>
      </c>
      <c r="C2259" s="124" t="s">
        <v>178</v>
      </c>
      <c r="D2259" s="124" t="s">
        <v>127</v>
      </c>
      <c r="E2259" s="653" t="n">
        <v>1276.5</v>
      </c>
      <c r="G2259" s="653" t="n">
        <v>5146.5</v>
      </c>
      <c r="I2259" s="123" t="n">
        <v>3</v>
      </c>
      <c r="J2259" s="123" t="n">
        <v>1</v>
      </c>
      <c r="K2259" s="123" t="n">
        <v>1</v>
      </c>
    </row>
    <row r="2260" customFormat="false" ht="15" hidden="false" customHeight="false" outlineLevel="0" collapsed="false">
      <c r="A2260" s="652" t="n">
        <v>46004</v>
      </c>
      <c r="B2260" s="123" t="s">
        <v>675</v>
      </c>
      <c r="C2260" s="124" t="s">
        <v>393</v>
      </c>
      <c r="F2260" s="123" t="n">
        <v>3480</v>
      </c>
      <c r="G2260" s="653" t="n">
        <v>1666.5</v>
      </c>
    </row>
    <row r="2261" customFormat="false" ht="15" hidden="false" customHeight="false" outlineLevel="0" collapsed="false">
      <c r="A2261" s="652" t="n">
        <v>46005</v>
      </c>
      <c r="B2261" s="123" t="s">
        <v>675</v>
      </c>
      <c r="C2261" s="124" t="s">
        <v>393</v>
      </c>
      <c r="F2261" s="123" t="n">
        <v>1666</v>
      </c>
      <c r="G2261" s="653" t="n">
        <v>0.5</v>
      </c>
    </row>
    <row r="2262" customFormat="false" ht="15" hidden="false" customHeight="false" outlineLevel="0" collapsed="false">
      <c r="A2262" s="652" t="n">
        <v>46005</v>
      </c>
      <c r="B2262" s="123" t="n">
        <v>53001776</v>
      </c>
      <c r="C2262" s="124" t="s">
        <v>145</v>
      </c>
      <c r="D2262" s="124" t="s">
        <v>127</v>
      </c>
      <c r="E2262" s="653" t="n">
        <v>839.5</v>
      </c>
      <c r="G2262" s="123" t="n">
        <v>840</v>
      </c>
      <c r="H2262" s="653" t="n">
        <v>0.75</v>
      </c>
      <c r="L2262" s="123" t="n">
        <v>3</v>
      </c>
    </row>
    <row r="2263" customFormat="false" ht="15" hidden="false" customHeight="false" outlineLevel="0" collapsed="false">
      <c r="A2263" s="652" t="n">
        <v>46005</v>
      </c>
      <c r="B2263" s="123" t="n">
        <v>53001777</v>
      </c>
      <c r="C2263" s="124" t="s">
        <v>325</v>
      </c>
      <c r="D2263" s="124" t="s">
        <v>224</v>
      </c>
      <c r="E2263" s="123" t="n">
        <v>1449</v>
      </c>
      <c r="G2263" s="123" t="n">
        <v>2289</v>
      </c>
      <c r="H2263" s="653" t="n">
        <v>12.25</v>
      </c>
      <c r="I2263" s="123" t="n">
        <v>3</v>
      </c>
      <c r="K2263" s="123" t="n">
        <v>1</v>
      </c>
      <c r="P2263" s="123" t="n">
        <v>2</v>
      </c>
    </row>
    <row r="2264" customFormat="false" ht="15" hidden="false" customHeight="false" outlineLevel="0" collapsed="false">
      <c r="A2264" s="652" t="n">
        <v>46005</v>
      </c>
      <c r="B2264" s="123" t="n">
        <v>53001778</v>
      </c>
      <c r="C2264" s="124" t="s">
        <v>322</v>
      </c>
      <c r="D2264" s="124" t="s">
        <v>224</v>
      </c>
      <c r="E2264" s="123" t="n">
        <v>2070</v>
      </c>
      <c r="G2264" s="123" t="n">
        <v>4359</v>
      </c>
      <c r="H2264" s="123" t="n">
        <v>0</v>
      </c>
      <c r="P2264" s="123" t="n">
        <v>40</v>
      </c>
    </row>
    <row r="2265" customFormat="false" ht="15" hidden="false" customHeight="false" outlineLevel="0" collapsed="false">
      <c r="A2265" s="652" t="n">
        <v>46005</v>
      </c>
      <c r="B2265" s="123" t="n">
        <v>53001779</v>
      </c>
      <c r="C2265" s="124" t="s">
        <v>327</v>
      </c>
      <c r="D2265" s="124" t="s">
        <v>224</v>
      </c>
      <c r="E2265" s="123" t="n">
        <v>253</v>
      </c>
      <c r="G2265" s="123" t="n">
        <v>4612</v>
      </c>
      <c r="K2265" s="123" t="n">
        <v>1</v>
      </c>
    </row>
    <row r="2266" customFormat="false" ht="15" hidden="false" customHeight="false" outlineLevel="0" collapsed="false">
      <c r="A2266" s="652" t="n">
        <v>46005</v>
      </c>
      <c r="B2266" s="123" t="s">
        <v>668</v>
      </c>
      <c r="C2266" s="124" t="s">
        <v>393</v>
      </c>
      <c r="F2266" s="123" t="n">
        <v>3500</v>
      </c>
      <c r="G2266" s="123" t="n">
        <v>1112</v>
      </c>
    </row>
    <row r="2267" customFormat="false" ht="15" hidden="false" customHeight="false" outlineLevel="0" collapsed="false">
      <c r="A2267" s="652" t="n">
        <v>46005</v>
      </c>
      <c r="B2267" s="123" t="s">
        <v>667</v>
      </c>
      <c r="C2267" s="124" t="s">
        <v>393</v>
      </c>
      <c r="F2267" s="123" t="n">
        <v>820</v>
      </c>
      <c r="G2267" s="123" t="n">
        <v>292</v>
      </c>
    </row>
    <row r="2268" customFormat="false" ht="15" hidden="false" customHeight="false" outlineLevel="0" collapsed="false">
      <c r="A2268" s="652" t="n">
        <v>46005</v>
      </c>
      <c r="B2268" s="123" t="s">
        <v>667</v>
      </c>
      <c r="C2268" s="124" t="s">
        <v>393</v>
      </c>
      <c r="F2268" s="123" t="n">
        <v>290</v>
      </c>
      <c r="G2268" s="123" t="n">
        <v>2</v>
      </c>
    </row>
    <row r="2269" customFormat="false" ht="15" hidden="false" customHeight="false" outlineLevel="0" collapsed="false">
      <c r="A2269" s="652" t="n">
        <v>46006</v>
      </c>
      <c r="B2269" s="123" t="n">
        <v>53001780</v>
      </c>
      <c r="C2269" s="124" t="s">
        <v>279</v>
      </c>
      <c r="D2269" s="124" t="s">
        <v>127</v>
      </c>
      <c r="E2269" s="123" t="n">
        <v>759</v>
      </c>
      <c r="G2269" s="123" t="n">
        <v>761</v>
      </c>
      <c r="K2269" s="123" t="n">
        <v>3</v>
      </c>
    </row>
    <row r="2270" customFormat="false" ht="15" hidden="false" customHeight="false" outlineLevel="0" collapsed="false">
      <c r="A2270" s="652" t="n">
        <v>46007</v>
      </c>
      <c r="B2270" s="123" t="s">
        <v>667</v>
      </c>
      <c r="C2270" s="124" t="s">
        <v>393</v>
      </c>
      <c r="F2270" s="653" t="n">
        <v>760.5</v>
      </c>
      <c r="G2270" s="653" t="n">
        <v>0.5</v>
      </c>
    </row>
    <row r="2271" customFormat="false" ht="15" hidden="false" customHeight="false" outlineLevel="0" collapsed="false">
      <c r="A2271" s="652" t="n">
        <v>46007</v>
      </c>
      <c r="B2271" s="123" t="n">
        <v>53001781</v>
      </c>
      <c r="C2271" s="124" t="s">
        <v>183</v>
      </c>
      <c r="D2271" s="124" t="s">
        <v>127</v>
      </c>
      <c r="E2271" s="653" t="n">
        <v>373.75</v>
      </c>
      <c r="G2271" s="653" t="n">
        <v>374.25</v>
      </c>
      <c r="K2271" s="123" t="n">
        <v>1</v>
      </c>
      <c r="O2271" s="123" t="n">
        <v>1</v>
      </c>
    </row>
    <row r="2272" customFormat="false" ht="15" hidden="false" customHeight="false" outlineLevel="0" collapsed="false">
      <c r="A2272" s="652" t="n">
        <v>46007</v>
      </c>
      <c r="B2272" s="123" t="n">
        <v>53001782</v>
      </c>
      <c r="C2272" s="124" t="s">
        <v>264</v>
      </c>
      <c r="D2272" s="124" t="s">
        <v>127</v>
      </c>
      <c r="E2272" s="653" t="n">
        <v>845.25</v>
      </c>
      <c r="G2272" s="653" t="n">
        <v>1219.5</v>
      </c>
      <c r="H2272" s="653" t="n">
        <v>1.25</v>
      </c>
      <c r="I2272" s="123" t="n">
        <v>3</v>
      </c>
    </row>
    <row r="2273" customFormat="false" ht="15" hidden="false" customHeight="false" outlineLevel="0" collapsed="false">
      <c r="A2273" s="652" t="n">
        <v>46007</v>
      </c>
      <c r="B2273" s="123" t="n">
        <v>53001783</v>
      </c>
      <c r="C2273" s="124" t="s">
        <v>130</v>
      </c>
      <c r="D2273" s="124" t="s">
        <v>127</v>
      </c>
      <c r="E2273" s="653" t="n">
        <v>1190.25</v>
      </c>
      <c r="G2273" s="653" t="n">
        <v>2409.75</v>
      </c>
      <c r="I2273" s="123" t="n">
        <v>3</v>
      </c>
      <c r="K2273" s="123" t="n">
        <v>1</v>
      </c>
    </row>
    <row r="2274" customFormat="false" ht="15" hidden="false" customHeight="false" outlineLevel="0" collapsed="false">
      <c r="A2274" s="652" t="n">
        <v>46007</v>
      </c>
      <c r="B2274" s="123" t="s">
        <v>675</v>
      </c>
      <c r="C2274" s="124" t="s">
        <v>393</v>
      </c>
      <c r="F2274" s="653" t="n">
        <v>2409.5</v>
      </c>
      <c r="G2274" s="653" t="n">
        <v>0.25</v>
      </c>
    </row>
    <row r="2275" customFormat="false" ht="15" hidden="false" customHeight="false" outlineLevel="0" collapsed="false">
      <c r="A2275" s="652" t="n">
        <v>46008</v>
      </c>
      <c r="B2275" s="123" t="n">
        <v>53001784</v>
      </c>
      <c r="C2275" s="124" t="s">
        <v>104</v>
      </c>
      <c r="D2275" s="124" t="s">
        <v>105</v>
      </c>
      <c r="E2275" s="653" t="n">
        <v>845.25</v>
      </c>
      <c r="G2275" s="653" t="n">
        <v>845.5</v>
      </c>
      <c r="H2275" s="653" t="n">
        <v>1.75</v>
      </c>
      <c r="I2275" s="123" t="n">
        <v>3</v>
      </c>
    </row>
    <row r="2276" customFormat="false" ht="15" hidden="false" customHeight="false" outlineLevel="0" collapsed="false">
      <c r="A2276" s="652" t="n">
        <v>46008</v>
      </c>
      <c r="B2276" s="123" t="n">
        <v>53001785</v>
      </c>
      <c r="C2276" s="124" t="s">
        <v>107</v>
      </c>
      <c r="D2276" s="124" t="s">
        <v>105</v>
      </c>
      <c r="E2276" s="123" t="n">
        <v>345</v>
      </c>
      <c r="G2276" s="653" t="n">
        <v>1190.5</v>
      </c>
      <c r="K2276" s="123" t="n">
        <v>1</v>
      </c>
    </row>
    <row r="2277" customFormat="false" ht="15" hidden="false" customHeight="false" outlineLevel="0" collapsed="false">
      <c r="A2277" s="652" t="n">
        <v>46008</v>
      </c>
      <c r="B2277" s="123" t="n">
        <v>53001786</v>
      </c>
      <c r="C2277" s="124" t="s">
        <v>112</v>
      </c>
      <c r="D2277" s="124" t="s">
        <v>105</v>
      </c>
      <c r="E2277" s="653" t="n">
        <v>845.25</v>
      </c>
      <c r="G2277" s="653" t="n">
        <v>2035.75</v>
      </c>
      <c r="H2277" s="653" t="n">
        <v>0.25</v>
      </c>
      <c r="I2277" s="123" t="n">
        <v>3</v>
      </c>
    </row>
    <row r="2278" customFormat="false" ht="15" hidden="false" customHeight="false" outlineLevel="0" collapsed="false">
      <c r="A2278" s="652" t="n">
        <v>46008</v>
      </c>
      <c r="B2278" s="123" t="n">
        <v>53001787</v>
      </c>
      <c r="C2278" s="124" t="s">
        <v>116</v>
      </c>
      <c r="D2278" s="124" t="s">
        <v>105</v>
      </c>
      <c r="E2278" s="123" t="n">
        <v>782</v>
      </c>
      <c r="G2278" s="653" t="n">
        <v>2817.75</v>
      </c>
      <c r="H2278" s="123" t="n">
        <v>0</v>
      </c>
      <c r="K2278" s="123" t="n">
        <v>1</v>
      </c>
      <c r="P2278" s="123" t="n">
        <v>2</v>
      </c>
    </row>
    <row r="2279" customFormat="false" ht="15" hidden="false" customHeight="false" outlineLevel="0" collapsed="false">
      <c r="A2279" s="652" t="n">
        <v>46008</v>
      </c>
      <c r="B2279" s="123" t="n">
        <v>53001788</v>
      </c>
      <c r="C2279" s="124" t="s">
        <v>117</v>
      </c>
      <c r="D2279" s="124" t="s">
        <v>105</v>
      </c>
      <c r="E2279" s="653" t="n">
        <v>822.25</v>
      </c>
      <c r="G2279" s="123" t="n">
        <v>3640</v>
      </c>
      <c r="L2279" s="123" t="n">
        <v>3</v>
      </c>
    </row>
    <row r="2280" customFormat="false" ht="15" hidden="false" customHeight="false" outlineLevel="0" collapsed="false">
      <c r="A2280" s="652" t="n">
        <v>46008</v>
      </c>
      <c r="B2280" s="123" t="s">
        <v>675</v>
      </c>
      <c r="C2280" s="124" t="s">
        <v>393</v>
      </c>
      <c r="F2280" s="123" t="n">
        <v>720</v>
      </c>
      <c r="G2280" s="123" t="n">
        <v>2920</v>
      </c>
    </row>
    <row r="2281" customFormat="false" ht="15" hidden="false" customHeight="false" outlineLevel="0" collapsed="false">
      <c r="A2281" s="652" t="n">
        <v>46008</v>
      </c>
      <c r="B2281" s="123" t="s">
        <v>667</v>
      </c>
      <c r="C2281" s="124" t="s">
        <v>393</v>
      </c>
      <c r="F2281" s="653" t="n">
        <v>563.5</v>
      </c>
      <c r="G2281" s="653" t="n">
        <v>2356.5</v>
      </c>
    </row>
    <row r="2282" customFormat="false" ht="15" hidden="false" customHeight="false" outlineLevel="0" collapsed="false">
      <c r="A2282" s="652" t="n">
        <v>46009</v>
      </c>
      <c r="B2282" s="123" t="s">
        <v>668</v>
      </c>
      <c r="C2282" s="124" t="s">
        <v>393</v>
      </c>
      <c r="F2282" s="123" t="n">
        <v>2356</v>
      </c>
      <c r="G2282" s="653" t="n">
        <v>0.5</v>
      </c>
    </row>
    <row r="2283" customFormat="false" ht="15" hidden="false" customHeight="false" outlineLevel="0" collapsed="false">
      <c r="A2283" s="652" t="n">
        <v>46009</v>
      </c>
      <c r="B2283" s="123" t="n">
        <v>53001789</v>
      </c>
      <c r="C2283" s="124" t="s">
        <v>158</v>
      </c>
      <c r="D2283" s="124" t="s">
        <v>127</v>
      </c>
      <c r="E2283" s="123" t="n">
        <v>10810</v>
      </c>
      <c r="G2283" s="653" t="n">
        <v>10810.5</v>
      </c>
      <c r="H2283" s="653" t="n">
        <v>0.25</v>
      </c>
      <c r="K2283" s="123" t="n">
        <v>40</v>
      </c>
    </row>
    <row r="2284" customFormat="false" ht="15" hidden="false" customHeight="false" outlineLevel="0" collapsed="false">
      <c r="A2284" s="652" t="n">
        <v>46009</v>
      </c>
      <c r="B2284" s="123" t="n">
        <v>53001790</v>
      </c>
      <c r="C2284" s="124" t="s">
        <v>158</v>
      </c>
      <c r="D2284" s="124" t="s">
        <v>127</v>
      </c>
      <c r="E2284" s="653" t="n">
        <v>845.25</v>
      </c>
      <c r="G2284" s="653" t="n">
        <v>11655.75</v>
      </c>
      <c r="I2284" s="123" t="n">
        <v>3</v>
      </c>
    </row>
    <row r="2285" customFormat="false" ht="15" hidden="false" customHeight="false" outlineLevel="0" collapsed="false">
      <c r="A2285" s="652" t="n">
        <v>46009</v>
      </c>
      <c r="B2285" s="123" t="n">
        <v>53001791</v>
      </c>
      <c r="C2285" s="124" t="s">
        <v>180</v>
      </c>
      <c r="D2285" s="124" t="s">
        <v>127</v>
      </c>
      <c r="E2285" s="653" t="n">
        <v>845.25</v>
      </c>
      <c r="G2285" s="123" t="n">
        <v>12501</v>
      </c>
      <c r="H2285" s="123" t="n">
        <v>0</v>
      </c>
      <c r="I2285" s="123" t="n">
        <v>3</v>
      </c>
    </row>
    <row r="2286" customFormat="false" ht="15" hidden="false" customHeight="false" outlineLevel="0" collapsed="false">
      <c r="A2286" s="652" t="n">
        <v>46009</v>
      </c>
      <c r="B2286" s="123" t="s">
        <v>675</v>
      </c>
      <c r="C2286" s="124" t="s">
        <v>393</v>
      </c>
      <c r="F2286" s="123" t="n">
        <v>665</v>
      </c>
      <c r="G2286" s="123" t="n">
        <v>11836</v>
      </c>
    </row>
    <row r="2287" customFormat="false" ht="15" hidden="false" customHeight="false" outlineLevel="0" collapsed="false">
      <c r="A2287" s="652" t="n">
        <v>46009</v>
      </c>
      <c r="B2287" s="123" t="s">
        <v>668</v>
      </c>
      <c r="C2287" s="124" t="s">
        <v>393</v>
      </c>
      <c r="F2287" s="123" t="n">
        <v>1205</v>
      </c>
      <c r="G2287" s="123" t="n">
        <v>10631</v>
      </c>
    </row>
    <row r="2288" customFormat="false" ht="15" hidden="false" customHeight="false" outlineLevel="0" collapsed="false">
      <c r="A2288" s="652" t="n">
        <v>46012</v>
      </c>
      <c r="B2288" s="123" t="s">
        <v>667</v>
      </c>
      <c r="C2288" s="124" t="s">
        <v>393</v>
      </c>
      <c r="F2288" s="123" t="n">
        <v>10630</v>
      </c>
      <c r="G2288" s="123" t="n">
        <v>1</v>
      </c>
    </row>
    <row r="2289" customFormat="false" ht="15" hidden="false" customHeight="false" outlineLevel="0" collapsed="false">
      <c r="A2289" s="652" t="n">
        <v>46012</v>
      </c>
      <c r="B2289" s="123" t="n">
        <v>53001792</v>
      </c>
      <c r="C2289" s="124" t="s">
        <v>290</v>
      </c>
      <c r="D2289" s="124" t="s">
        <v>286</v>
      </c>
      <c r="E2289" s="653" t="n">
        <v>845.25</v>
      </c>
      <c r="G2289" s="653" t="n">
        <v>846.25</v>
      </c>
      <c r="H2289" s="653" t="n">
        <v>0.25</v>
      </c>
      <c r="I2289" s="123" t="n">
        <v>3</v>
      </c>
    </row>
    <row r="2290" customFormat="false" ht="15" hidden="false" customHeight="false" outlineLevel="0" collapsed="false">
      <c r="A2290" s="652" t="n">
        <v>46012</v>
      </c>
      <c r="B2290" s="123" t="n">
        <v>53001793</v>
      </c>
      <c r="C2290" s="124" t="s">
        <v>295</v>
      </c>
      <c r="D2290" s="124" t="s">
        <v>286</v>
      </c>
      <c r="E2290" s="653" t="n">
        <v>1282.25</v>
      </c>
      <c r="G2290" s="653" t="n">
        <v>2128.5</v>
      </c>
      <c r="H2290" s="123" t="n">
        <v>0</v>
      </c>
      <c r="I2290" s="123" t="n">
        <v>3</v>
      </c>
      <c r="M2290" s="123" t="n">
        <v>1</v>
      </c>
      <c r="O2290" s="123" t="n">
        <v>1</v>
      </c>
    </row>
    <row r="2291" customFormat="false" ht="15" hidden="false" customHeight="false" outlineLevel="0" collapsed="false">
      <c r="A2291" s="652" t="n">
        <v>46012</v>
      </c>
      <c r="B2291" s="123" t="n">
        <v>53001794</v>
      </c>
      <c r="C2291" s="124" t="s">
        <v>295</v>
      </c>
      <c r="D2291" s="124" t="s">
        <v>286</v>
      </c>
      <c r="E2291" s="653" t="n">
        <v>241.5</v>
      </c>
      <c r="G2291" s="123" t="n">
        <v>2370</v>
      </c>
      <c r="M2291" s="123" t="n">
        <v>1</v>
      </c>
    </row>
    <row r="2292" customFormat="false" ht="15" hidden="false" customHeight="false" outlineLevel="0" collapsed="false">
      <c r="A2292" s="652" t="n">
        <v>46012</v>
      </c>
      <c r="B2292" s="123" t="n">
        <v>53001795</v>
      </c>
      <c r="C2292" s="124" t="s">
        <v>277</v>
      </c>
      <c r="D2292" s="124" t="s">
        <v>127</v>
      </c>
      <c r="E2292" s="653" t="n">
        <v>1397.25</v>
      </c>
      <c r="G2292" s="653" t="n">
        <v>3767.25</v>
      </c>
      <c r="H2292" s="123" t="n">
        <v>0</v>
      </c>
      <c r="K2292" s="123" t="n">
        <v>4</v>
      </c>
      <c r="O2292" s="123" t="n">
        <v>2</v>
      </c>
      <c r="P2292" s="123" t="n">
        <v>1</v>
      </c>
    </row>
    <row r="2293" customFormat="false" ht="15" hidden="false" customHeight="false" outlineLevel="0" collapsed="false">
      <c r="A2293" s="652" t="n">
        <v>46012</v>
      </c>
      <c r="B2293" s="123" t="s">
        <v>675</v>
      </c>
      <c r="C2293" s="124" t="s">
        <v>393</v>
      </c>
      <c r="F2293" s="653" t="n">
        <v>3187.25</v>
      </c>
      <c r="G2293" s="123" t="n">
        <v>580</v>
      </c>
    </row>
    <row r="2294" customFormat="false" ht="15" hidden="false" customHeight="false" outlineLevel="0" collapsed="false">
      <c r="A2294" s="652" t="n">
        <v>46012</v>
      </c>
      <c r="B2294" s="123" t="s">
        <v>668</v>
      </c>
      <c r="C2294" s="124" t="s">
        <v>393</v>
      </c>
      <c r="F2294" s="123" t="n">
        <v>580</v>
      </c>
      <c r="G2294" s="123" t="n">
        <v>0</v>
      </c>
    </row>
    <row r="2295" customFormat="false" ht="15" hidden="false" customHeight="false" outlineLevel="0" collapsed="false">
      <c r="A2295" s="652" t="n">
        <v>46013</v>
      </c>
      <c r="B2295" s="123" t="n">
        <v>53001796</v>
      </c>
      <c r="C2295" s="124" t="s">
        <v>136</v>
      </c>
      <c r="D2295" s="124" t="s">
        <v>127</v>
      </c>
      <c r="E2295" s="123" t="n">
        <v>345</v>
      </c>
      <c r="G2295" s="123" t="n">
        <v>345</v>
      </c>
      <c r="H2295" s="123" t="n">
        <v>0</v>
      </c>
      <c r="K2295" s="123" t="n">
        <v>1</v>
      </c>
    </row>
    <row r="2296" customFormat="false" ht="15" hidden="false" customHeight="false" outlineLevel="0" collapsed="false">
      <c r="A2296" s="652" t="n">
        <v>46013</v>
      </c>
      <c r="B2296" s="123" t="n">
        <v>53001797</v>
      </c>
      <c r="C2296" s="124" t="s">
        <v>184</v>
      </c>
      <c r="D2296" s="124" t="s">
        <v>127</v>
      </c>
      <c r="E2296" s="653" t="n">
        <v>1023.5</v>
      </c>
      <c r="G2296" s="653" t="n">
        <v>1368.5</v>
      </c>
      <c r="H2296" s="653" t="n">
        <v>3.5</v>
      </c>
      <c r="I2296" s="123" t="n">
        <v>3</v>
      </c>
      <c r="J2296" s="123" t="n">
        <v>1</v>
      </c>
    </row>
    <row r="2297" customFormat="false" ht="15" hidden="false" customHeight="false" outlineLevel="0" collapsed="false">
      <c r="A2297" s="652" t="n">
        <v>46013</v>
      </c>
      <c r="B2297" s="123" t="n">
        <v>53001798</v>
      </c>
      <c r="C2297" s="124" t="s">
        <v>196</v>
      </c>
      <c r="D2297" s="124" t="s">
        <v>127</v>
      </c>
      <c r="E2297" s="653" t="n">
        <v>155.25</v>
      </c>
      <c r="G2297" s="653" t="n">
        <v>1523.75</v>
      </c>
      <c r="H2297" s="653" t="n">
        <v>0.75</v>
      </c>
      <c r="P2297" s="123" t="n">
        <v>1</v>
      </c>
    </row>
    <row r="2298" customFormat="false" ht="15" hidden="false" customHeight="false" outlineLevel="0" collapsed="false">
      <c r="A2298" s="652" t="n">
        <v>46013</v>
      </c>
      <c r="B2298" s="123" t="n">
        <v>53001799</v>
      </c>
      <c r="C2298" s="124" t="s">
        <v>182</v>
      </c>
      <c r="D2298" s="124" t="s">
        <v>127</v>
      </c>
      <c r="E2298" s="653" t="n">
        <v>1420.25</v>
      </c>
      <c r="G2298" s="123" t="n">
        <v>2944</v>
      </c>
      <c r="H2298" s="653" t="n">
        <v>0.25</v>
      </c>
      <c r="I2298" s="123" t="n">
        <v>3</v>
      </c>
      <c r="J2298" s="123" t="n">
        <v>1</v>
      </c>
      <c r="M2298" s="123" t="n">
        <v>1</v>
      </c>
      <c r="P2298" s="123" t="n">
        <v>1</v>
      </c>
    </row>
    <row r="2299" customFormat="false" ht="15" hidden="false" customHeight="false" outlineLevel="0" collapsed="false">
      <c r="A2299" s="652" t="n">
        <v>46013</v>
      </c>
      <c r="B2299" s="123" t="s">
        <v>675</v>
      </c>
      <c r="C2299" s="124" t="s">
        <v>393</v>
      </c>
      <c r="F2299" s="653" t="n">
        <v>2332.5</v>
      </c>
      <c r="G2299" s="653" t="n">
        <v>611.5</v>
      </c>
    </row>
    <row r="2300" customFormat="false" ht="15" hidden="false" customHeight="false" outlineLevel="0" collapsed="false">
      <c r="A2300" s="652" t="n">
        <v>46013</v>
      </c>
      <c r="B2300" s="123" t="s">
        <v>668</v>
      </c>
      <c r="C2300" s="124" t="s">
        <v>393</v>
      </c>
      <c r="F2300" s="123" t="n">
        <v>611</v>
      </c>
      <c r="G2300" s="653" t="n">
        <v>0.5</v>
      </c>
    </row>
    <row r="2301" customFormat="false" ht="15" hidden="false" customHeight="false" outlineLevel="0" collapsed="false">
      <c r="A2301" s="652" t="n">
        <v>46014</v>
      </c>
      <c r="B2301" s="123" t="n">
        <v>53001800</v>
      </c>
      <c r="C2301" s="124" t="s">
        <v>279</v>
      </c>
      <c r="D2301" s="124" t="s">
        <v>127</v>
      </c>
      <c r="E2301" s="123" t="n">
        <v>1817</v>
      </c>
      <c r="G2301" s="653" t="n">
        <v>1817.5</v>
      </c>
      <c r="H2301" s="123" t="n">
        <v>0</v>
      </c>
      <c r="K2301" s="123" t="n">
        <v>5</v>
      </c>
      <c r="O2301" s="123" t="n">
        <v>2</v>
      </c>
    </row>
    <row r="2302" customFormat="false" ht="15" hidden="false" customHeight="false" outlineLevel="0" collapsed="false">
      <c r="A2302" s="652" t="n">
        <v>46014</v>
      </c>
      <c r="B2302" s="123" t="n">
        <v>53001801</v>
      </c>
      <c r="C2302" s="124" t="s">
        <v>263</v>
      </c>
      <c r="D2302" s="124" t="s">
        <v>127</v>
      </c>
      <c r="E2302" s="653" t="n">
        <v>155.25</v>
      </c>
      <c r="G2302" s="653" t="n">
        <v>1972.75</v>
      </c>
      <c r="P2302" s="123" t="n">
        <v>1</v>
      </c>
    </row>
    <row r="2303" customFormat="false" ht="15" hidden="false" customHeight="false" outlineLevel="0" collapsed="false">
      <c r="A2303" s="652" t="n">
        <v>46014</v>
      </c>
      <c r="B2303" s="123" t="n">
        <v>53001802</v>
      </c>
      <c r="C2303" s="124" t="s">
        <v>276</v>
      </c>
      <c r="D2303" s="124" t="s">
        <v>127</v>
      </c>
      <c r="E2303" s="123" t="n">
        <v>690</v>
      </c>
      <c r="G2303" s="653" t="n">
        <v>2662.75</v>
      </c>
      <c r="H2303" s="653" t="n">
        <v>2.25</v>
      </c>
      <c r="O2303" s="123" t="n">
        <v>5</v>
      </c>
    </row>
    <row r="2304" customFormat="false" ht="15" hidden="false" customHeight="false" outlineLevel="0" collapsed="false">
      <c r="A2304" s="652" t="n">
        <v>46014</v>
      </c>
      <c r="B2304" s="123" t="n">
        <v>53001803</v>
      </c>
      <c r="C2304" s="124" t="s">
        <v>135</v>
      </c>
      <c r="D2304" s="124" t="s">
        <v>127</v>
      </c>
      <c r="E2304" s="653" t="n">
        <v>379.5</v>
      </c>
      <c r="G2304" s="653" t="n">
        <v>3042.25</v>
      </c>
      <c r="H2304" s="123" t="n">
        <v>0</v>
      </c>
      <c r="O2304" s="123" t="n">
        <v>2</v>
      </c>
    </row>
    <row r="2305" customFormat="false" ht="15" hidden="false" customHeight="false" outlineLevel="0" collapsed="false">
      <c r="A2305" s="652" t="n">
        <v>46014</v>
      </c>
      <c r="B2305" s="123" t="s">
        <v>675</v>
      </c>
      <c r="C2305" s="124" t="s">
        <v>393</v>
      </c>
      <c r="F2305" s="653" t="n">
        <v>480.5</v>
      </c>
      <c r="G2305" s="653" t="n">
        <v>2561.75</v>
      </c>
    </row>
    <row r="2306" customFormat="false" ht="15" hidden="false" customHeight="false" outlineLevel="0" collapsed="false">
      <c r="A2306" s="652" t="n">
        <v>46014</v>
      </c>
      <c r="B2306" s="123" t="s">
        <v>667</v>
      </c>
      <c r="C2306" s="124" t="s">
        <v>393</v>
      </c>
      <c r="F2306" s="123" t="n">
        <v>1211</v>
      </c>
      <c r="G2306" s="653" t="n">
        <v>1350.75</v>
      </c>
    </row>
    <row r="2307" customFormat="false" ht="15" hidden="false" customHeight="false" outlineLevel="0" collapsed="false">
      <c r="A2307" s="652" t="n">
        <v>46014</v>
      </c>
      <c r="B2307" s="123" t="s">
        <v>668</v>
      </c>
      <c r="C2307" s="124" t="s">
        <v>393</v>
      </c>
      <c r="F2307" s="123" t="n">
        <v>1350</v>
      </c>
      <c r="G2307" s="653" t="n">
        <v>0.75</v>
      </c>
    </row>
    <row r="2308" customFormat="false" ht="15" hidden="false" customHeight="false" outlineLevel="0" collapsed="false">
      <c r="A2308" s="652" t="n">
        <v>46015</v>
      </c>
      <c r="B2308" s="123" t="n">
        <v>53001804</v>
      </c>
      <c r="C2308" s="124" t="s">
        <v>141</v>
      </c>
      <c r="D2308" s="124" t="s">
        <v>127</v>
      </c>
      <c r="E2308" s="123" t="n">
        <v>1380</v>
      </c>
      <c r="G2308" s="653" t="n">
        <v>1380.75</v>
      </c>
      <c r="H2308" s="123" t="n">
        <v>0</v>
      </c>
      <c r="K2308" s="123" t="n">
        <v>4</v>
      </c>
    </row>
    <row r="2309" customFormat="false" ht="15" hidden="false" customHeight="false" outlineLevel="0" collapsed="false">
      <c r="A2309" s="652" t="n">
        <v>46015</v>
      </c>
      <c r="B2309" s="123" t="n">
        <v>53001805</v>
      </c>
      <c r="C2309" s="124" t="s">
        <v>97</v>
      </c>
      <c r="D2309" s="124" t="s">
        <v>75</v>
      </c>
      <c r="E2309" s="123" t="n">
        <v>230</v>
      </c>
      <c r="G2309" s="653" t="n">
        <v>1610.75</v>
      </c>
      <c r="H2309" s="653" t="n">
        <v>1.75</v>
      </c>
      <c r="K2309" s="123" t="n">
        <v>1</v>
      </c>
    </row>
    <row r="2310" customFormat="false" ht="15" hidden="false" customHeight="false" outlineLevel="0" collapsed="false">
      <c r="A2310" s="652" t="n">
        <v>46015</v>
      </c>
      <c r="B2310" s="123" t="n">
        <v>53001806</v>
      </c>
      <c r="C2310" s="124" t="s">
        <v>89</v>
      </c>
      <c r="D2310" s="124" t="s">
        <v>75</v>
      </c>
      <c r="E2310" s="123" t="n">
        <v>138</v>
      </c>
      <c r="G2310" s="653" t="n">
        <v>1748.75</v>
      </c>
      <c r="O2310" s="123" t="n">
        <v>1</v>
      </c>
    </row>
    <row r="2311" customFormat="false" ht="15" hidden="false" customHeight="false" outlineLevel="0" collapsed="false">
      <c r="A2311" s="652" t="n">
        <v>46015</v>
      </c>
      <c r="B2311" s="123" t="n">
        <v>53001807</v>
      </c>
      <c r="C2311" s="124" t="s">
        <v>106</v>
      </c>
      <c r="D2311" s="124" t="s">
        <v>105</v>
      </c>
      <c r="E2311" s="653" t="n">
        <v>845.25</v>
      </c>
      <c r="G2311" s="123" t="n">
        <v>2594</v>
      </c>
      <c r="I2311" s="123" t="n">
        <v>3</v>
      </c>
    </row>
    <row r="2312" customFormat="false" ht="15" hidden="false" customHeight="false" outlineLevel="0" collapsed="false">
      <c r="A2312" s="652" t="n">
        <v>46015</v>
      </c>
      <c r="B2312" s="123" t="n">
        <v>53001808</v>
      </c>
      <c r="C2312" s="124" t="s">
        <v>112</v>
      </c>
      <c r="D2312" s="124" t="s">
        <v>105</v>
      </c>
      <c r="E2312" s="653" t="n">
        <v>845.25</v>
      </c>
      <c r="G2312" s="653" t="n">
        <v>3439.25</v>
      </c>
      <c r="H2312" s="653" t="n">
        <v>0.25</v>
      </c>
      <c r="I2312" s="123" t="n">
        <v>3</v>
      </c>
    </row>
    <row r="2313" customFormat="false" ht="15" hidden="false" customHeight="false" outlineLevel="0" collapsed="false">
      <c r="A2313" s="652" t="n">
        <v>46015</v>
      </c>
      <c r="B2313" s="123" t="n">
        <v>53001809</v>
      </c>
      <c r="C2313" s="124" t="s">
        <v>104</v>
      </c>
      <c r="D2313" s="124" t="s">
        <v>105</v>
      </c>
      <c r="E2313" s="653" t="n">
        <v>178.25</v>
      </c>
      <c r="G2313" s="653" t="n">
        <v>3617.5</v>
      </c>
      <c r="H2313" s="123" t="n">
        <v>0</v>
      </c>
      <c r="J2313" s="123" t="n">
        <v>1</v>
      </c>
    </row>
    <row r="2314" customFormat="false" ht="15" hidden="false" customHeight="false" outlineLevel="0" collapsed="false">
      <c r="A2314" s="652" t="n">
        <v>46015</v>
      </c>
      <c r="B2314" s="123" t="n">
        <v>53001810</v>
      </c>
      <c r="C2314" s="124" t="s">
        <v>117</v>
      </c>
      <c r="D2314" s="124" t="s">
        <v>105</v>
      </c>
      <c r="E2314" s="653" t="n">
        <v>822.25</v>
      </c>
      <c r="G2314" s="653" t="n">
        <v>4439.75</v>
      </c>
      <c r="H2314" s="123" t="n">
        <v>0</v>
      </c>
      <c r="L2314" s="123" t="n">
        <v>3</v>
      </c>
    </row>
    <row r="2315" customFormat="false" ht="15" hidden="false" customHeight="false" outlineLevel="0" collapsed="false">
      <c r="A2315" s="652" t="n">
        <v>46015</v>
      </c>
      <c r="B2315" s="123" t="n">
        <v>53001811</v>
      </c>
      <c r="C2315" s="124" t="s">
        <v>108</v>
      </c>
      <c r="D2315" s="124" t="s">
        <v>105</v>
      </c>
      <c r="E2315" s="123" t="n">
        <v>690</v>
      </c>
      <c r="G2315" s="653" t="n">
        <v>5129.75</v>
      </c>
      <c r="H2315" s="653" t="n">
        <v>0.25</v>
      </c>
      <c r="K2315" s="123" t="n">
        <v>3</v>
      </c>
    </row>
    <row r="2316" customFormat="false" ht="15" hidden="false" customHeight="false" outlineLevel="0" collapsed="false">
      <c r="A2316" s="652" t="n">
        <v>46015</v>
      </c>
      <c r="B2316" s="123" t="s">
        <v>675</v>
      </c>
      <c r="C2316" s="124" t="s">
        <v>393</v>
      </c>
      <c r="F2316" s="653" t="n">
        <v>1149.25</v>
      </c>
      <c r="G2316" s="653" t="n">
        <v>3980.5</v>
      </c>
    </row>
    <row r="2317" customFormat="false" ht="15" hidden="false" customHeight="false" outlineLevel="0" collapsed="false">
      <c r="A2317" s="652" t="n">
        <v>46015</v>
      </c>
      <c r="B2317" s="123" t="s">
        <v>667</v>
      </c>
      <c r="C2317" s="124" t="s">
        <v>393</v>
      </c>
      <c r="F2317" s="123" t="n">
        <v>155</v>
      </c>
      <c r="G2317" s="653" t="n">
        <v>3825.5</v>
      </c>
    </row>
    <row r="2318" customFormat="false" ht="15" hidden="false" customHeight="false" outlineLevel="0" collapsed="false">
      <c r="A2318" s="652" t="n">
        <v>46015</v>
      </c>
      <c r="B2318" s="123" t="s">
        <v>668</v>
      </c>
      <c r="C2318" s="124" t="s">
        <v>393</v>
      </c>
      <c r="F2318" s="123" t="n">
        <v>3825</v>
      </c>
      <c r="G2318" s="653" t="n">
        <v>0.5</v>
      </c>
    </row>
    <row r="2319" customFormat="false" ht="15" hidden="false" customHeight="false" outlineLevel="0" collapsed="false">
      <c r="A2319" s="652" t="n">
        <v>46016</v>
      </c>
      <c r="B2319" s="123" t="n">
        <v>53001812</v>
      </c>
      <c r="C2319" s="124" t="s">
        <v>260</v>
      </c>
      <c r="D2319" s="124" t="s">
        <v>127</v>
      </c>
      <c r="E2319" s="653" t="n">
        <v>845.25</v>
      </c>
      <c r="G2319" s="653" t="n">
        <v>845.75</v>
      </c>
      <c r="H2319" s="653" t="n">
        <v>-1.5</v>
      </c>
      <c r="I2319" s="123" t="n">
        <v>3</v>
      </c>
    </row>
    <row r="2320" customFormat="false" ht="15" hidden="false" customHeight="false" outlineLevel="0" collapsed="false">
      <c r="A2320" s="652" t="n">
        <v>46016</v>
      </c>
      <c r="B2320" s="123" t="n">
        <v>53001813</v>
      </c>
      <c r="C2320" s="124" t="s">
        <v>159</v>
      </c>
      <c r="D2320" s="124" t="s">
        <v>127</v>
      </c>
      <c r="E2320" s="653" t="n">
        <v>1144.25</v>
      </c>
      <c r="G2320" s="123" t="n">
        <v>1990</v>
      </c>
      <c r="H2320" s="653" t="n">
        <v>0.25</v>
      </c>
      <c r="I2320" s="123" t="n">
        <v>3</v>
      </c>
      <c r="P2320" s="123" t="n">
        <v>1</v>
      </c>
    </row>
    <row r="2321" customFormat="false" ht="15" hidden="false" customHeight="false" outlineLevel="0" collapsed="false">
      <c r="A2321" s="652" t="n">
        <v>46016</v>
      </c>
      <c r="B2321" s="123" t="n">
        <v>53001814</v>
      </c>
      <c r="C2321" s="124" t="s">
        <v>179</v>
      </c>
      <c r="D2321" s="124" t="s">
        <v>127</v>
      </c>
      <c r="E2321" s="653" t="n">
        <v>845.25</v>
      </c>
      <c r="G2321" s="653" t="n">
        <v>2835.25</v>
      </c>
      <c r="H2321" s="123" t="n">
        <v>0</v>
      </c>
      <c r="I2321" s="123" t="n">
        <v>3</v>
      </c>
    </row>
    <row r="2322" customFormat="false" ht="15" hidden="false" customHeight="false" outlineLevel="0" collapsed="false">
      <c r="A2322" s="652" t="n">
        <v>46016</v>
      </c>
      <c r="B2322" s="123" t="n">
        <v>53001815</v>
      </c>
      <c r="C2322" s="124" t="s">
        <v>145</v>
      </c>
      <c r="D2322" s="124" t="s">
        <v>127</v>
      </c>
      <c r="E2322" s="653" t="n">
        <v>822.25</v>
      </c>
      <c r="G2322" s="653" t="n">
        <v>3657.5</v>
      </c>
      <c r="H2322" s="653" t="n">
        <v>3.25</v>
      </c>
      <c r="L2322" s="123" t="n">
        <v>3</v>
      </c>
    </row>
    <row r="2323" customFormat="false" ht="15" hidden="false" customHeight="false" outlineLevel="0" collapsed="false">
      <c r="A2323" s="652" t="n">
        <v>46016</v>
      </c>
      <c r="B2323" s="123" t="n">
        <v>53001816</v>
      </c>
      <c r="C2323" s="124" t="s">
        <v>131</v>
      </c>
      <c r="D2323" s="124" t="s">
        <v>127</v>
      </c>
      <c r="E2323" s="123" t="n">
        <v>276</v>
      </c>
      <c r="G2323" s="653" t="n">
        <v>3933.5</v>
      </c>
      <c r="H2323" s="123" t="n">
        <v>0</v>
      </c>
      <c r="O2323" s="123" t="n">
        <v>2</v>
      </c>
    </row>
    <row r="2324" customFormat="false" ht="15" hidden="false" customHeight="false" outlineLevel="0" collapsed="false">
      <c r="A2324" s="652" t="n">
        <v>46016</v>
      </c>
      <c r="B2324" s="123" t="n">
        <v>53001817</v>
      </c>
      <c r="C2324" s="124" t="s">
        <v>141</v>
      </c>
      <c r="D2324" s="124" t="s">
        <v>127</v>
      </c>
      <c r="E2324" s="653" t="n">
        <v>2236.75</v>
      </c>
      <c r="G2324" s="653" t="n">
        <v>6170.25</v>
      </c>
      <c r="H2324" s="653" t="n">
        <v>-0.25</v>
      </c>
      <c r="K2324" s="123" t="n">
        <v>3</v>
      </c>
      <c r="P2324" s="123" t="n">
        <v>6</v>
      </c>
    </row>
    <row r="2325" customFormat="false" ht="15" hidden="false" customHeight="false" outlineLevel="0" collapsed="false">
      <c r="A2325" s="652" t="n">
        <v>46016</v>
      </c>
      <c r="B2325" s="123" t="n">
        <v>53001818</v>
      </c>
      <c r="C2325" s="124" t="s">
        <v>136</v>
      </c>
      <c r="D2325" s="124" t="s">
        <v>127</v>
      </c>
      <c r="E2325" s="653" t="n">
        <v>2535.75</v>
      </c>
      <c r="G2325" s="123" t="n">
        <v>8706</v>
      </c>
      <c r="I2325" s="123" t="n">
        <v>9</v>
      </c>
    </row>
    <row r="2326" customFormat="false" ht="15" hidden="false" customHeight="false" outlineLevel="0" collapsed="false">
      <c r="A2326" s="652" t="n">
        <v>46016</v>
      </c>
      <c r="B2326" s="123" t="s">
        <v>666</v>
      </c>
      <c r="C2326" s="124" t="s">
        <v>393</v>
      </c>
      <c r="F2326" s="653" t="n">
        <v>1713.75</v>
      </c>
      <c r="G2326" s="653" t="n">
        <v>6992.25</v>
      </c>
    </row>
    <row r="2327" customFormat="false" ht="15" hidden="false" customHeight="false" outlineLevel="0" collapsed="false">
      <c r="A2327" s="652" t="n">
        <v>46017</v>
      </c>
      <c r="B2327" s="123" t="s">
        <v>666</v>
      </c>
      <c r="C2327" s="124" t="s">
        <v>393</v>
      </c>
      <c r="F2327" s="123" t="n">
        <v>2427</v>
      </c>
      <c r="G2327" s="653" t="n">
        <v>4565.25</v>
      </c>
    </row>
    <row r="2328" customFormat="false" ht="15" hidden="false" customHeight="false" outlineLevel="0" collapsed="false">
      <c r="A2328" s="652" t="n">
        <v>46018</v>
      </c>
      <c r="B2328" s="123" t="s">
        <v>667</v>
      </c>
      <c r="C2328" s="124" t="s">
        <v>393</v>
      </c>
      <c r="F2328" s="123" t="n">
        <v>1289</v>
      </c>
      <c r="G2328" s="653" t="n">
        <v>3276.25</v>
      </c>
    </row>
    <row r="2329" customFormat="false" ht="15" hidden="false" customHeight="false" outlineLevel="0" collapsed="false">
      <c r="A2329" s="652" t="n">
        <v>46019</v>
      </c>
      <c r="B2329" s="123" t="s">
        <v>668</v>
      </c>
      <c r="C2329" s="124" t="s">
        <v>393</v>
      </c>
      <c r="F2329" s="123" t="n">
        <v>3276</v>
      </c>
      <c r="G2329" s="653" t="n">
        <v>0.25</v>
      </c>
    </row>
    <row r="2330" customFormat="false" ht="15" hidden="false" customHeight="false" outlineLevel="0" collapsed="false">
      <c r="A2330" s="652" t="n">
        <v>46019</v>
      </c>
      <c r="B2330" s="123" t="n">
        <v>53001819</v>
      </c>
      <c r="C2330" s="124" t="s">
        <v>135</v>
      </c>
      <c r="D2330" s="124" t="s">
        <v>127</v>
      </c>
      <c r="E2330" s="653" t="n">
        <v>2426.5</v>
      </c>
      <c r="G2330" s="653" t="n">
        <v>2426.75</v>
      </c>
      <c r="H2330" s="653" t="n">
        <v>-0.5</v>
      </c>
      <c r="I2330" s="123" t="n">
        <v>6</v>
      </c>
      <c r="K2330" s="123" t="n">
        <v>3</v>
      </c>
    </row>
    <row r="2331" customFormat="false" ht="15" hidden="false" customHeight="false" outlineLevel="0" collapsed="false">
      <c r="A2331" s="652" t="n">
        <v>46019</v>
      </c>
      <c r="B2331" s="123" t="n">
        <v>53001820</v>
      </c>
      <c r="C2331" s="124" t="s">
        <v>132</v>
      </c>
      <c r="D2331" s="124" t="s">
        <v>127</v>
      </c>
      <c r="E2331" s="123" t="n">
        <v>1242</v>
      </c>
      <c r="G2331" s="653" t="n">
        <v>3668.75</v>
      </c>
      <c r="I2331" s="123" t="n">
        <v>3</v>
      </c>
      <c r="M2331" s="123" t="n">
        <v>1</v>
      </c>
      <c r="P2331" s="123" t="n">
        <v>1</v>
      </c>
    </row>
    <row r="2332" customFormat="false" ht="15" hidden="false" customHeight="false" outlineLevel="0" collapsed="false">
      <c r="A2332" s="652" t="n">
        <v>46019</v>
      </c>
      <c r="B2332" s="123" t="n">
        <v>53001821</v>
      </c>
      <c r="C2332" s="124" t="s">
        <v>160</v>
      </c>
      <c r="D2332" s="124" t="s">
        <v>127</v>
      </c>
      <c r="E2332" s="653" t="n">
        <v>471.5</v>
      </c>
      <c r="G2332" s="653" t="n">
        <v>4140.25</v>
      </c>
      <c r="H2332" s="123" t="n">
        <v>0</v>
      </c>
      <c r="J2332" s="123" t="n">
        <v>1</v>
      </c>
      <c r="O2332" s="123" t="n">
        <v>1</v>
      </c>
      <c r="P2332" s="123" t="n">
        <v>1</v>
      </c>
    </row>
    <row r="2333" customFormat="false" ht="15" hidden="false" customHeight="false" outlineLevel="0" collapsed="false">
      <c r="A2333" s="652" t="n">
        <v>46019</v>
      </c>
      <c r="B2333" s="123" t="n">
        <v>53001822</v>
      </c>
      <c r="C2333" s="124" t="s">
        <v>258</v>
      </c>
      <c r="D2333" s="124" t="s">
        <v>127</v>
      </c>
      <c r="E2333" s="653" t="n">
        <v>845.25</v>
      </c>
      <c r="G2333" s="653" t="n">
        <v>4985.5</v>
      </c>
      <c r="H2333" s="653" t="n">
        <v>0.25</v>
      </c>
      <c r="I2333" s="123" t="n">
        <v>3</v>
      </c>
    </row>
    <row r="2334" customFormat="false" ht="15" hidden="false" customHeight="false" outlineLevel="0" collapsed="false">
      <c r="A2334" s="652" t="n">
        <v>46019</v>
      </c>
      <c r="B2334" s="123" t="n">
        <v>53001823</v>
      </c>
      <c r="C2334" s="124" t="s">
        <v>264</v>
      </c>
      <c r="D2334" s="124" t="s">
        <v>127</v>
      </c>
      <c r="E2334" s="123" t="n">
        <v>253</v>
      </c>
      <c r="G2334" s="653" t="n">
        <v>5238.5</v>
      </c>
      <c r="H2334" s="123" t="n">
        <v>0</v>
      </c>
      <c r="K2334" s="123" t="n">
        <v>1</v>
      </c>
    </row>
    <row r="2335" customFormat="false" ht="15" hidden="false" customHeight="false" outlineLevel="0" collapsed="false">
      <c r="A2335" s="652" t="n">
        <v>46019</v>
      </c>
      <c r="B2335" s="123" t="s">
        <v>666</v>
      </c>
      <c r="C2335" s="124" t="s">
        <v>393</v>
      </c>
      <c r="F2335" s="123" t="n">
        <v>1118</v>
      </c>
      <c r="G2335" s="653" t="n">
        <v>4120.5</v>
      </c>
    </row>
    <row r="2336" customFormat="false" ht="15" hidden="false" customHeight="false" outlineLevel="0" collapsed="false">
      <c r="A2336" s="652" t="n">
        <v>46019</v>
      </c>
      <c r="B2336" s="123" t="s">
        <v>668</v>
      </c>
      <c r="C2336" s="124" t="s">
        <v>393</v>
      </c>
      <c r="E2336" s="653" t="n">
        <v>-0.5</v>
      </c>
      <c r="F2336" s="123" t="n">
        <v>4120</v>
      </c>
      <c r="G2336" s="123" t="n">
        <v>0</v>
      </c>
    </row>
    <row r="2337" customFormat="false" ht="15" hidden="false" customHeight="false" outlineLevel="0" collapsed="false">
      <c r="A2337" s="652" t="n">
        <v>46020</v>
      </c>
      <c r="B2337" s="123" t="n">
        <v>53001824</v>
      </c>
      <c r="C2337" s="124" t="s">
        <v>279</v>
      </c>
      <c r="D2337" s="124" t="s">
        <v>127</v>
      </c>
      <c r="E2337" s="123" t="n">
        <v>1794</v>
      </c>
      <c r="G2337" s="123" t="n">
        <v>1794</v>
      </c>
      <c r="H2337" s="123" t="n">
        <v>1</v>
      </c>
      <c r="K2337" s="123" t="n">
        <v>6</v>
      </c>
      <c r="O2337" s="123" t="n">
        <v>2</v>
      </c>
    </row>
    <row r="2338" customFormat="false" ht="15" hidden="false" customHeight="false" outlineLevel="0" collapsed="false">
      <c r="A2338" s="652" t="n">
        <v>46020</v>
      </c>
      <c r="B2338" s="123" t="n">
        <v>53001825</v>
      </c>
      <c r="C2338" s="124" t="s">
        <v>258</v>
      </c>
      <c r="D2338" s="124" t="s">
        <v>127</v>
      </c>
      <c r="E2338" s="123" t="n">
        <v>1012</v>
      </c>
      <c r="G2338" s="123" t="n">
        <v>2806</v>
      </c>
      <c r="K2338" s="123" t="n">
        <v>4</v>
      </c>
    </row>
    <row r="2339" customFormat="false" ht="15" hidden="false" customHeight="false" outlineLevel="0" collapsed="false">
      <c r="A2339" s="652" t="n">
        <v>46020</v>
      </c>
      <c r="B2339" s="123" t="n">
        <v>53001826</v>
      </c>
      <c r="C2339" s="124" t="s">
        <v>258</v>
      </c>
      <c r="D2339" s="124" t="s">
        <v>127</v>
      </c>
      <c r="E2339" s="123" t="n">
        <v>230</v>
      </c>
      <c r="G2339" s="123" t="n">
        <v>3036</v>
      </c>
      <c r="K2339" s="123" t="n">
        <v>1</v>
      </c>
    </row>
    <row r="2340" customFormat="false" ht="15" hidden="false" customHeight="false" outlineLevel="0" collapsed="false">
      <c r="A2340" s="652" t="n">
        <v>46020</v>
      </c>
      <c r="B2340" s="123" t="n">
        <v>53001827</v>
      </c>
      <c r="C2340" s="124" t="s">
        <v>244</v>
      </c>
      <c r="D2340" s="124" t="s">
        <v>127</v>
      </c>
      <c r="E2340" s="653" t="n">
        <v>1943.5</v>
      </c>
      <c r="G2340" s="653" t="n">
        <v>4979.5</v>
      </c>
      <c r="I2340" s="123" t="n">
        <v>6</v>
      </c>
      <c r="K2340" s="123" t="n">
        <v>1</v>
      </c>
    </row>
    <row r="2341" customFormat="false" ht="15" hidden="false" customHeight="false" outlineLevel="0" collapsed="false">
      <c r="A2341" s="652" t="n">
        <v>46020</v>
      </c>
      <c r="B2341" s="123" t="n">
        <v>53001828</v>
      </c>
      <c r="C2341" s="124" t="s">
        <v>225</v>
      </c>
      <c r="D2341" s="124" t="s">
        <v>127</v>
      </c>
      <c r="E2341" s="653" t="n">
        <v>356.5</v>
      </c>
      <c r="G2341" s="123" t="n">
        <v>5336</v>
      </c>
      <c r="H2341" s="653" t="n">
        <v>0.75</v>
      </c>
      <c r="J2341" s="123" t="n">
        <v>2</v>
      </c>
    </row>
    <row r="2342" customFormat="false" ht="15" hidden="false" customHeight="false" outlineLevel="0" collapsed="false">
      <c r="A2342" s="652" t="n">
        <v>46020</v>
      </c>
      <c r="B2342" s="123" t="s">
        <v>666</v>
      </c>
      <c r="C2342" s="124" t="s">
        <v>393</v>
      </c>
      <c r="F2342" s="123" t="n">
        <v>580</v>
      </c>
      <c r="G2342" s="123" t="n">
        <v>4756</v>
      </c>
    </row>
    <row r="2343" customFormat="false" ht="15" hidden="false" customHeight="false" outlineLevel="0" collapsed="false">
      <c r="A2343" s="652" t="n">
        <v>46020</v>
      </c>
      <c r="B2343" s="123" t="s">
        <v>668</v>
      </c>
      <c r="C2343" s="124" t="s">
        <v>393</v>
      </c>
      <c r="F2343" s="123" t="n">
        <v>4756</v>
      </c>
      <c r="G2343" s="123" t="n">
        <v>0</v>
      </c>
    </row>
    <row r="2344" customFormat="false" ht="15" hidden="false" customHeight="false" outlineLevel="0" collapsed="false">
      <c r="A2344" s="652" t="n">
        <v>46021</v>
      </c>
      <c r="B2344" s="123" t="n">
        <v>53001829</v>
      </c>
      <c r="C2344" s="124" t="s">
        <v>158</v>
      </c>
      <c r="D2344" s="124" t="s">
        <v>127</v>
      </c>
      <c r="E2344" s="123" t="n">
        <v>5060</v>
      </c>
      <c r="G2344" s="123" t="n">
        <v>5060</v>
      </c>
      <c r="H2344" s="123" t="n">
        <v>0</v>
      </c>
      <c r="K2344" s="123" t="n">
        <v>20</v>
      </c>
    </row>
    <row r="2345" customFormat="false" ht="15" hidden="false" customHeight="false" outlineLevel="0" collapsed="false">
      <c r="A2345" s="652" t="n">
        <v>46021</v>
      </c>
      <c r="B2345" s="123" t="n">
        <v>53001830</v>
      </c>
      <c r="C2345" s="124" t="s">
        <v>199</v>
      </c>
      <c r="D2345" s="124" t="s">
        <v>127</v>
      </c>
      <c r="E2345" s="653" t="n">
        <v>2466.75</v>
      </c>
      <c r="G2345" s="653" t="n">
        <v>7526.75</v>
      </c>
      <c r="H2345" s="653" t="n">
        <v>3.75</v>
      </c>
      <c r="I2345" s="123" t="n">
        <v>3</v>
      </c>
      <c r="K2345" s="123" t="n">
        <v>2</v>
      </c>
      <c r="P2345" s="123" t="n">
        <v>5</v>
      </c>
    </row>
    <row r="2346" customFormat="false" ht="15" hidden="false" customHeight="false" outlineLevel="0" collapsed="false">
      <c r="A2346" s="652" t="n">
        <v>46021</v>
      </c>
      <c r="B2346" s="123" t="n">
        <v>53001831</v>
      </c>
      <c r="C2346" s="124" t="s">
        <v>298</v>
      </c>
      <c r="D2346" s="124" t="s">
        <v>286</v>
      </c>
      <c r="E2346" s="653" t="n">
        <v>845.25</v>
      </c>
      <c r="G2346" s="123" t="n">
        <v>8372</v>
      </c>
      <c r="H2346" s="653" t="n">
        <v>0.25</v>
      </c>
      <c r="I2346" s="123" t="n">
        <v>3</v>
      </c>
    </row>
    <row r="2347" customFormat="false" ht="15" hidden="false" customHeight="false" outlineLevel="0" collapsed="false">
      <c r="A2347" s="652" t="n">
        <v>46021</v>
      </c>
      <c r="B2347" s="123" t="n">
        <v>53001832</v>
      </c>
      <c r="C2347" s="124" t="s">
        <v>295</v>
      </c>
      <c r="D2347" s="124" t="s">
        <v>286</v>
      </c>
      <c r="E2347" s="653" t="n">
        <v>195.5</v>
      </c>
      <c r="G2347" s="653" t="n">
        <v>8567.5</v>
      </c>
      <c r="H2347" s="123" t="n">
        <v>0</v>
      </c>
      <c r="O2347" s="123" t="n">
        <v>1</v>
      </c>
    </row>
    <row r="2348" customFormat="false" ht="15" hidden="false" customHeight="false" outlineLevel="0" collapsed="false">
      <c r="A2348" s="652" t="n">
        <v>46021</v>
      </c>
      <c r="B2348" s="123" t="n">
        <v>53001833</v>
      </c>
      <c r="C2348" s="124" t="s">
        <v>310</v>
      </c>
      <c r="D2348" s="124" t="s">
        <v>301</v>
      </c>
      <c r="E2348" s="653" t="n">
        <v>2035.5</v>
      </c>
      <c r="G2348" s="123" t="n">
        <v>10603</v>
      </c>
      <c r="H2348" s="653" t="n">
        <v>0.5</v>
      </c>
      <c r="I2348" s="123" t="n">
        <v>6</v>
      </c>
      <c r="L2348" s="123" t="n">
        <v>1</v>
      </c>
    </row>
    <row r="2349" customFormat="false" ht="15" hidden="false" customHeight="false" outlineLevel="0" collapsed="false">
      <c r="A2349" s="652" t="n">
        <v>46021</v>
      </c>
      <c r="B2349" s="123" t="n">
        <v>53001834</v>
      </c>
      <c r="C2349" s="124" t="s">
        <v>309</v>
      </c>
      <c r="D2349" s="124" t="s">
        <v>301</v>
      </c>
      <c r="E2349" s="123" t="n">
        <v>138</v>
      </c>
      <c r="G2349" s="123" t="n">
        <v>10741</v>
      </c>
      <c r="H2349" s="123" t="n">
        <v>0</v>
      </c>
      <c r="O2349" s="123" t="n">
        <v>1</v>
      </c>
    </row>
    <row r="2350" customFormat="false" ht="15" hidden="false" customHeight="false" outlineLevel="0" collapsed="false">
      <c r="A2350" s="652" t="n">
        <v>46021</v>
      </c>
      <c r="B2350" s="123" t="n">
        <v>53001835</v>
      </c>
      <c r="C2350" s="124" t="s">
        <v>315</v>
      </c>
      <c r="D2350" s="124" t="s">
        <v>301</v>
      </c>
      <c r="E2350" s="653" t="n">
        <v>845.25</v>
      </c>
      <c r="G2350" s="653" t="n">
        <v>11586.25</v>
      </c>
      <c r="H2350" s="653" t="n">
        <v>0.5</v>
      </c>
      <c r="I2350" s="123" t="n">
        <v>3</v>
      </c>
    </row>
    <row r="2351" customFormat="false" ht="15" hidden="false" customHeight="false" outlineLevel="0" collapsed="false">
      <c r="A2351" s="652" t="n">
        <v>46021</v>
      </c>
      <c r="B2351" s="123" t="n">
        <v>53001836</v>
      </c>
      <c r="C2351" s="124" t="s">
        <v>96</v>
      </c>
      <c r="D2351" s="124" t="s">
        <v>75</v>
      </c>
      <c r="E2351" s="653" t="n">
        <v>845.25</v>
      </c>
      <c r="G2351" s="653" t="n">
        <v>12431.5</v>
      </c>
      <c r="H2351" s="653" t="n">
        <v>0.25</v>
      </c>
      <c r="I2351" s="123" t="n">
        <v>3</v>
      </c>
    </row>
    <row r="2352" customFormat="false" ht="15" hidden="false" customHeight="false" outlineLevel="0" collapsed="false">
      <c r="A2352" s="652" t="n">
        <v>46021</v>
      </c>
      <c r="B2352" s="123" t="n">
        <v>53001837</v>
      </c>
      <c r="C2352" s="124" t="s">
        <v>89</v>
      </c>
      <c r="D2352" s="124" t="s">
        <v>75</v>
      </c>
      <c r="E2352" s="653" t="n">
        <v>241.5</v>
      </c>
      <c r="G2352" s="123" t="n">
        <v>12673</v>
      </c>
      <c r="M2352" s="123" t="n">
        <v>1</v>
      </c>
    </row>
    <row r="2353" customFormat="false" ht="15" hidden="false" customHeight="false" outlineLevel="0" collapsed="false">
      <c r="A2353" s="652" t="n">
        <v>46021</v>
      </c>
      <c r="B2353" s="123" t="n">
        <v>53001838</v>
      </c>
      <c r="C2353" s="124" t="s">
        <v>92</v>
      </c>
      <c r="D2353" s="124" t="s">
        <v>75</v>
      </c>
      <c r="E2353" s="123" t="n">
        <v>483</v>
      </c>
      <c r="G2353" s="123" t="n">
        <v>13156</v>
      </c>
      <c r="H2353" s="123" t="n">
        <v>0</v>
      </c>
      <c r="M2353" s="123" t="n">
        <v>2</v>
      </c>
    </row>
    <row r="2354" customFormat="false" ht="15" hidden="false" customHeight="false" outlineLevel="0" collapsed="false">
      <c r="A2354" s="652" t="n">
        <v>46021</v>
      </c>
      <c r="B2354" s="123" t="n">
        <v>53001839</v>
      </c>
      <c r="C2354" s="124" t="s">
        <v>92</v>
      </c>
      <c r="D2354" s="124" t="s">
        <v>75</v>
      </c>
      <c r="E2354" s="653" t="n">
        <v>845.25</v>
      </c>
      <c r="G2354" s="653" t="n">
        <v>14001.25</v>
      </c>
      <c r="I2354" s="123" t="n">
        <v>3</v>
      </c>
    </row>
    <row r="2355" customFormat="false" ht="15" hidden="false" customHeight="false" outlineLevel="0" collapsed="false">
      <c r="A2355" s="652" t="n">
        <v>46021</v>
      </c>
      <c r="B2355" s="123" t="n">
        <v>53001840</v>
      </c>
      <c r="C2355" s="124" t="s">
        <v>117</v>
      </c>
      <c r="D2355" s="124" t="s">
        <v>105</v>
      </c>
      <c r="E2355" s="653" t="n">
        <v>1644.5</v>
      </c>
      <c r="G2355" s="653" t="n">
        <v>15645.75</v>
      </c>
      <c r="H2355" s="653" t="n">
        <v>-0.5</v>
      </c>
      <c r="L2355" s="123" t="n">
        <v>6</v>
      </c>
    </row>
    <row r="2356" customFormat="false" ht="15" hidden="false" customHeight="false" outlineLevel="0" collapsed="false">
      <c r="A2356" s="652" t="n">
        <v>46021</v>
      </c>
      <c r="B2356" s="123" t="n">
        <v>53001841</v>
      </c>
      <c r="C2356" s="124" t="s">
        <v>110</v>
      </c>
      <c r="D2356" s="124" t="s">
        <v>105</v>
      </c>
      <c r="E2356" s="123" t="n">
        <v>3381</v>
      </c>
      <c r="G2356" s="653" t="n">
        <v>19026.75</v>
      </c>
      <c r="H2356" s="123" t="n">
        <v>0</v>
      </c>
      <c r="I2356" s="123" t="n">
        <v>12</v>
      </c>
    </row>
    <row r="2357" customFormat="false" ht="15" hidden="false" customHeight="false" outlineLevel="0" collapsed="false">
      <c r="A2357" s="652" t="n">
        <v>46021</v>
      </c>
      <c r="B2357" s="123" t="n">
        <v>53001842</v>
      </c>
      <c r="C2357" s="124" t="s">
        <v>107</v>
      </c>
      <c r="D2357" s="124" t="s">
        <v>105</v>
      </c>
      <c r="E2357" s="653" t="n">
        <v>845.25</v>
      </c>
      <c r="G2357" s="123" t="n">
        <v>19872</v>
      </c>
      <c r="H2357" s="653" t="n">
        <v>0.25</v>
      </c>
      <c r="I2357" s="123" t="n">
        <v>3</v>
      </c>
    </row>
    <row r="2358" customFormat="false" ht="15" hidden="false" customHeight="false" outlineLevel="0" collapsed="false">
      <c r="A2358" s="652" t="n">
        <v>46021</v>
      </c>
      <c r="B2358" s="123" t="n">
        <v>53001843</v>
      </c>
      <c r="C2358" s="124" t="s">
        <v>108</v>
      </c>
      <c r="D2358" s="124" t="s">
        <v>105</v>
      </c>
      <c r="E2358" s="653" t="n">
        <v>1535.25</v>
      </c>
      <c r="G2358" s="653" t="n">
        <v>21407.25</v>
      </c>
      <c r="H2358" s="653" t="n">
        <v>0.25</v>
      </c>
      <c r="I2358" s="123" t="n">
        <v>3</v>
      </c>
      <c r="K2358" s="123" t="n">
        <v>3</v>
      </c>
    </row>
    <row r="2359" customFormat="false" ht="15" hidden="false" customHeight="false" outlineLevel="0" collapsed="false">
      <c r="A2359" s="652" t="n">
        <v>46021</v>
      </c>
      <c r="B2359" s="123" t="n">
        <v>53001844</v>
      </c>
      <c r="C2359" s="124" t="s">
        <v>116</v>
      </c>
      <c r="D2359" s="124" t="s">
        <v>105</v>
      </c>
      <c r="E2359" s="653" t="n">
        <v>1690.5</v>
      </c>
      <c r="G2359" s="653" t="n">
        <v>23097.75</v>
      </c>
      <c r="H2359" s="123" t="n">
        <v>0</v>
      </c>
      <c r="I2359" s="123" t="n">
        <v>6</v>
      </c>
    </row>
    <row r="2360" customFormat="false" ht="15" hidden="false" customHeight="false" outlineLevel="0" collapsed="false">
      <c r="A2360" s="652" t="n">
        <v>46021</v>
      </c>
      <c r="B2360" s="123" t="n">
        <v>53001845</v>
      </c>
      <c r="C2360" s="124" t="s">
        <v>115</v>
      </c>
      <c r="D2360" s="124" t="s">
        <v>105</v>
      </c>
      <c r="E2360" s="123" t="n">
        <v>138</v>
      </c>
      <c r="G2360" s="653" t="n">
        <v>23235.75</v>
      </c>
      <c r="H2360" s="653" t="n">
        <v>4.75</v>
      </c>
      <c r="O2360" s="123" t="n">
        <v>1</v>
      </c>
    </row>
    <row r="2361" customFormat="false" ht="15" hidden="false" customHeight="false" outlineLevel="0" collapsed="false">
      <c r="A2361" s="652" t="n">
        <v>46021</v>
      </c>
      <c r="B2361" s="123" t="n">
        <v>53001846</v>
      </c>
      <c r="C2361" s="124" t="s">
        <v>109</v>
      </c>
      <c r="D2361" s="124" t="s">
        <v>105</v>
      </c>
      <c r="E2361" s="123" t="n">
        <v>690</v>
      </c>
      <c r="G2361" s="653" t="n">
        <v>23925.75</v>
      </c>
      <c r="H2361" s="123" t="n">
        <v>0</v>
      </c>
      <c r="K2361" s="123" t="n">
        <v>2</v>
      </c>
    </row>
    <row r="2362" customFormat="false" ht="15" hidden="false" customHeight="false" outlineLevel="0" collapsed="false">
      <c r="A2362" s="652" t="n">
        <v>46022</v>
      </c>
      <c r="B2362" s="123" t="n">
        <v>53001847</v>
      </c>
      <c r="C2362" s="124" t="s">
        <v>241</v>
      </c>
      <c r="D2362" s="124" t="s">
        <v>127</v>
      </c>
      <c r="E2362" s="653" t="n">
        <v>1000.5</v>
      </c>
      <c r="G2362" s="653" t="n">
        <v>24926.25</v>
      </c>
      <c r="H2362" s="123" t="n">
        <v>0</v>
      </c>
      <c r="I2362" s="123" t="n">
        <v>3</v>
      </c>
      <c r="P2362" s="123" t="n">
        <v>1</v>
      </c>
    </row>
    <row r="2363" customFormat="false" ht="15" hidden="false" customHeight="false" outlineLevel="0" collapsed="false">
      <c r="A2363" s="652" t="n">
        <v>46022</v>
      </c>
      <c r="B2363" s="123" t="s">
        <v>667</v>
      </c>
      <c r="C2363" s="124" t="s">
        <v>393</v>
      </c>
      <c r="F2363" s="123" t="n">
        <v>9441</v>
      </c>
      <c r="G2363" s="653" t="n">
        <v>15485.25</v>
      </c>
    </row>
    <row r="2364" customFormat="false" ht="15" hidden="false" customHeight="false" outlineLevel="0" collapsed="false">
      <c r="A2364" s="652" t="n">
        <v>46022</v>
      </c>
      <c r="B2364" s="123" t="s">
        <v>666</v>
      </c>
      <c r="C2364" s="124" t="s">
        <v>393</v>
      </c>
      <c r="F2364" s="653" t="n">
        <v>5101.5</v>
      </c>
      <c r="G2364" s="653" t="n">
        <v>10383.75</v>
      </c>
    </row>
    <row r="2365" customFormat="false" ht="15" hidden="false" customHeight="false" outlineLevel="0" collapsed="false">
      <c r="A2365" s="652" t="n">
        <v>46022</v>
      </c>
      <c r="B2365" s="123" t="n">
        <v>53001848</v>
      </c>
      <c r="C2365" s="124" t="s">
        <v>259</v>
      </c>
      <c r="D2365" s="124" t="s">
        <v>127</v>
      </c>
      <c r="E2365" s="653" t="n">
        <v>1098.25</v>
      </c>
      <c r="G2365" s="123" t="n">
        <v>11482</v>
      </c>
      <c r="H2365" s="123" t="n">
        <v>0</v>
      </c>
      <c r="I2365" s="123" t="n">
        <v>3</v>
      </c>
      <c r="K2365" s="123" t="n">
        <v>1</v>
      </c>
    </row>
    <row r="2366" customFormat="false" ht="15" hidden="false" customHeight="false" outlineLevel="0" collapsed="false">
      <c r="A2366" s="652" t="n">
        <v>46022</v>
      </c>
      <c r="B2366" s="123" t="s">
        <v>667</v>
      </c>
      <c r="C2366" s="124" t="s">
        <v>393</v>
      </c>
      <c r="F2366" s="653" t="n">
        <v>1707.5</v>
      </c>
      <c r="G2366" s="653" t="n">
        <v>9774.5</v>
      </c>
    </row>
    <row r="2367" customFormat="false" ht="15" hidden="false" customHeight="false" outlineLevel="0" collapsed="false">
      <c r="A2367" s="652" t="n">
        <v>46022</v>
      </c>
      <c r="B2367" s="123" t="s">
        <v>666</v>
      </c>
      <c r="C2367" s="124" t="s">
        <v>393</v>
      </c>
      <c r="F2367" s="653" t="n">
        <v>1256.5</v>
      </c>
      <c r="G2367" s="123" t="n">
        <v>8518</v>
      </c>
    </row>
    <row r="2368" customFormat="false" ht="15" hidden="false" customHeight="false" outlineLevel="0" collapsed="false">
      <c r="A2368" s="652" t="n">
        <v>46022</v>
      </c>
      <c r="B2368" s="123" t="s">
        <v>668</v>
      </c>
      <c r="C2368" s="124" t="s">
        <v>393</v>
      </c>
      <c r="F2368" s="123" t="n">
        <v>5230</v>
      </c>
      <c r="G2368" s="123" t="n">
        <v>3288</v>
      </c>
    </row>
    <row r="2369" customFormat="false" ht="15" hidden="false" customHeight="false" outlineLevel="0" collapsed="false">
      <c r="A2369" s="652" t="n">
        <v>46022</v>
      </c>
      <c r="B2369" s="123" t="s">
        <v>667</v>
      </c>
      <c r="C2369" s="124" t="s">
        <v>393</v>
      </c>
      <c r="F2369" s="123" t="n">
        <v>1320</v>
      </c>
      <c r="G2369" s="123" t="n">
        <v>1968</v>
      </c>
    </row>
    <row r="2370" customFormat="false" ht="15" hidden="false" customHeight="false" outlineLevel="0" collapsed="false">
      <c r="A2370" s="652" t="n">
        <v>46022</v>
      </c>
      <c r="B2370" s="123" t="s">
        <v>675</v>
      </c>
      <c r="C2370" s="124" t="s">
        <v>393</v>
      </c>
      <c r="F2370" s="123" t="n">
        <v>1968</v>
      </c>
      <c r="G2370" s="123" t="n">
        <v>0</v>
      </c>
    </row>
    <row r="2371" customFormat="false" ht="15" hidden="false" customHeight="false" outlineLevel="0" collapsed="false">
      <c r="A2371" s="652" t="n">
        <v>46026</v>
      </c>
      <c r="B2371" s="123" t="n">
        <v>53001849</v>
      </c>
      <c r="C2371" s="124" t="s">
        <v>298</v>
      </c>
      <c r="D2371" s="124" t="s">
        <v>286</v>
      </c>
      <c r="E2371" s="123" t="n">
        <v>943</v>
      </c>
      <c r="G2371" s="123" t="n">
        <v>943</v>
      </c>
      <c r="H2371" s="123" t="n">
        <v>-1</v>
      </c>
      <c r="K2371" s="123" t="n">
        <v>2</v>
      </c>
      <c r="O2371" s="123" t="n">
        <v>2</v>
      </c>
    </row>
    <row r="2372" customFormat="false" ht="15" hidden="false" customHeight="false" outlineLevel="0" collapsed="false">
      <c r="A2372" s="652" t="n">
        <v>46026</v>
      </c>
      <c r="B2372" s="123" t="n">
        <v>53001850</v>
      </c>
      <c r="C2372" s="124" t="s">
        <v>295</v>
      </c>
      <c r="D2372" s="124" t="s">
        <v>286</v>
      </c>
      <c r="E2372" s="123" t="n">
        <v>437</v>
      </c>
      <c r="G2372" s="123" t="n">
        <v>1380</v>
      </c>
      <c r="H2372" s="123" t="n">
        <v>0</v>
      </c>
      <c r="O2372" s="123" t="n">
        <v>2</v>
      </c>
    </row>
    <row r="2373" customFormat="false" ht="15" hidden="false" customHeight="false" outlineLevel="0" collapsed="false">
      <c r="A2373" s="652" t="n">
        <v>46026</v>
      </c>
      <c r="B2373" s="123" t="n">
        <v>53001851</v>
      </c>
      <c r="C2373" s="124" t="s">
        <v>136</v>
      </c>
      <c r="D2373" s="124" t="s">
        <v>127</v>
      </c>
      <c r="E2373" s="653" t="n">
        <v>155.25</v>
      </c>
      <c r="G2373" s="653" t="n">
        <v>1535.25</v>
      </c>
      <c r="P2373" s="123" t="n">
        <v>1</v>
      </c>
    </row>
    <row r="2374" customFormat="false" ht="15" hidden="false" customHeight="false" outlineLevel="0" collapsed="false">
      <c r="A2374" s="652" t="n">
        <v>46026</v>
      </c>
      <c r="B2374" s="123" t="s">
        <v>667</v>
      </c>
      <c r="C2374" s="124" t="s">
        <v>393</v>
      </c>
      <c r="F2374" s="653" t="n">
        <v>1534.5</v>
      </c>
      <c r="G2374" s="653" t="n">
        <v>0.75</v>
      </c>
    </row>
    <row r="2375" customFormat="false" ht="15" hidden="false" customHeight="false" outlineLevel="0" collapsed="false">
      <c r="A2375" s="652" t="n">
        <v>46027</v>
      </c>
      <c r="B2375" s="123" t="n">
        <v>53001852</v>
      </c>
      <c r="C2375" s="124" t="s">
        <v>290</v>
      </c>
      <c r="D2375" s="124" t="s">
        <v>286</v>
      </c>
      <c r="E2375" s="653" t="n">
        <v>1966.5</v>
      </c>
      <c r="G2375" s="653" t="n">
        <v>1967.25</v>
      </c>
      <c r="I2375" s="123" t="n">
        <v>7</v>
      </c>
    </row>
    <row r="2376" customFormat="false" ht="15" hidden="false" customHeight="false" outlineLevel="0" collapsed="false">
      <c r="A2376" s="652" t="n">
        <v>46028</v>
      </c>
      <c r="B2376" s="123" t="s">
        <v>675</v>
      </c>
      <c r="C2376" s="124" t="s">
        <v>393</v>
      </c>
      <c r="E2376" s="653" t="n">
        <v>0.5</v>
      </c>
      <c r="F2376" s="653" t="n">
        <v>1967.75</v>
      </c>
      <c r="G2376" s="123" t="n">
        <v>0</v>
      </c>
    </row>
    <row r="2377" customFormat="false" ht="15" hidden="false" customHeight="false" outlineLevel="0" collapsed="false">
      <c r="A2377" s="652" t="n">
        <v>46028</v>
      </c>
      <c r="B2377" s="123" t="n">
        <v>53001853</v>
      </c>
      <c r="C2377" s="124" t="s">
        <v>94</v>
      </c>
      <c r="D2377" s="124" t="s">
        <v>75</v>
      </c>
      <c r="E2377" s="653" t="n">
        <v>155.25</v>
      </c>
      <c r="G2377" s="653" t="n">
        <v>155.25</v>
      </c>
      <c r="P2377" s="123" t="n">
        <v>1</v>
      </c>
    </row>
    <row r="2378" customFormat="false" ht="15" hidden="false" customHeight="false" outlineLevel="0" collapsed="false">
      <c r="A2378" s="652" t="n">
        <v>46028</v>
      </c>
      <c r="B2378" s="123" t="n">
        <v>53001854</v>
      </c>
      <c r="C2378" s="124" t="s">
        <v>89</v>
      </c>
      <c r="D2378" s="124" t="s">
        <v>75</v>
      </c>
      <c r="E2378" s="653" t="n">
        <v>241.5</v>
      </c>
      <c r="G2378" s="653" t="n">
        <v>396.75</v>
      </c>
      <c r="M2378" s="123" t="n">
        <v>1</v>
      </c>
    </row>
    <row r="2379" customFormat="false" ht="15" hidden="false" customHeight="false" outlineLevel="0" collapsed="false">
      <c r="A2379" s="652" t="n">
        <v>46028</v>
      </c>
      <c r="B2379" s="123" t="n">
        <v>53001855</v>
      </c>
      <c r="C2379" s="124" t="s">
        <v>89</v>
      </c>
      <c r="D2379" s="124" t="s">
        <v>75</v>
      </c>
      <c r="E2379" s="653" t="n">
        <v>1966.5</v>
      </c>
      <c r="G2379" s="653" t="n">
        <v>2363.25</v>
      </c>
      <c r="K2379" s="123" t="n">
        <v>7</v>
      </c>
    </row>
    <row r="2380" customFormat="false" ht="15" hidden="false" customHeight="false" outlineLevel="0" collapsed="false">
      <c r="A2380" s="652" t="n">
        <v>46028</v>
      </c>
      <c r="B2380" s="123" t="n">
        <v>53001856</v>
      </c>
      <c r="C2380" s="124" t="s">
        <v>97</v>
      </c>
      <c r="D2380" s="124" t="s">
        <v>75</v>
      </c>
      <c r="E2380" s="123" t="n">
        <v>460</v>
      </c>
      <c r="G2380" s="653" t="n">
        <v>2823.25</v>
      </c>
      <c r="K2380" s="123" t="n">
        <v>2</v>
      </c>
    </row>
    <row r="2381" customFormat="false" ht="15" hidden="false" customHeight="false" outlineLevel="0" collapsed="false">
      <c r="A2381" s="652" t="n">
        <v>46028</v>
      </c>
      <c r="B2381" s="123" t="n">
        <v>53001857</v>
      </c>
      <c r="C2381" s="124" t="s">
        <v>92</v>
      </c>
      <c r="D2381" s="124" t="s">
        <v>75</v>
      </c>
      <c r="E2381" s="653" t="n">
        <v>241.5</v>
      </c>
      <c r="G2381" s="653" t="n">
        <v>3064.75</v>
      </c>
      <c r="M2381" s="123" t="n">
        <v>1</v>
      </c>
    </row>
    <row r="2382" customFormat="false" ht="15" hidden="false" customHeight="false" outlineLevel="0" collapsed="false">
      <c r="A2382" s="652" t="n">
        <v>46028</v>
      </c>
      <c r="B2382" s="123" t="n">
        <v>53001858</v>
      </c>
      <c r="C2382" s="124" t="s">
        <v>112</v>
      </c>
      <c r="D2382" s="124" t="s">
        <v>105</v>
      </c>
      <c r="E2382" s="653" t="n">
        <v>1966.5</v>
      </c>
      <c r="G2382" s="653" t="n">
        <v>5031.25</v>
      </c>
      <c r="I2382" s="123" t="n">
        <v>7</v>
      </c>
    </row>
    <row r="2383" customFormat="false" ht="15" hidden="false" customHeight="false" outlineLevel="0" collapsed="false">
      <c r="A2383" s="652" t="n">
        <v>46028</v>
      </c>
      <c r="B2383" s="123" t="n">
        <v>53001859</v>
      </c>
      <c r="C2383" s="124" t="s">
        <v>116</v>
      </c>
      <c r="D2383" s="124" t="s">
        <v>105</v>
      </c>
      <c r="E2383" s="653" t="n">
        <v>2104.5</v>
      </c>
      <c r="G2383" s="653" t="n">
        <v>7135.75</v>
      </c>
      <c r="I2383" s="123" t="n">
        <v>7</v>
      </c>
      <c r="O2383" s="123" t="n">
        <v>1</v>
      </c>
    </row>
    <row r="2384" customFormat="false" ht="15" hidden="false" customHeight="false" outlineLevel="0" collapsed="false">
      <c r="A2384" s="652" t="n">
        <v>46028</v>
      </c>
      <c r="B2384" s="123" t="n">
        <v>53001860</v>
      </c>
      <c r="C2384" s="124" t="s">
        <v>117</v>
      </c>
      <c r="D2384" s="124" t="s">
        <v>105</v>
      </c>
      <c r="E2384" s="653" t="n">
        <v>2213.75</v>
      </c>
      <c r="G2384" s="653" t="n">
        <v>9349.5</v>
      </c>
      <c r="H2384" s="653" t="n">
        <v>0.75</v>
      </c>
      <c r="L2384" s="123" t="n">
        <v>8</v>
      </c>
    </row>
    <row r="2385" customFormat="false" ht="15" hidden="false" customHeight="false" outlineLevel="0" collapsed="false">
      <c r="A2385" s="652" t="n">
        <v>46028</v>
      </c>
      <c r="B2385" s="123" t="n">
        <v>53001861</v>
      </c>
      <c r="C2385" s="124" t="s">
        <v>107</v>
      </c>
      <c r="D2385" s="124" t="s">
        <v>105</v>
      </c>
      <c r="E2385" s="653" t="n">
        <v>1966.5</v>
      </c>
      <c r="G2385" s="123" t="n">
        <v>11316</v>
      </c>
      <c r="H2385" s="123" t="n">
        <v>0</v>
      </c>
      <c r="I2385" s="123" t="n">
        <v>7</v>
      </c>
    </row>
    <row r="2386" customFormat="false" ht="15" hidden="false" customHeight="false" outlineLevel="0" collapsed="false">
      <c r="A2386" s="652" t="n">
        <v>46028</v>
      </c>
      <c r="B2386" s="123" t="n">
        <v>53001862</v>
      </c>
      <c r="C2386" s="124" t="s">
        <v>109</v>
      </c>
      <c r="D2386" s="124" t="s">
        <v>105</v>
      </c>
      <c r="E2386" s="123" t="n">
        <v>138</v>
      </c>
      <c r="G2386" s="123" t="n">
        <v>11454</v>
      </c>
      <c r="H2386" s="653" t="n">
        <v>2.75</v>
      </c>
      <c r="O2386" s="123" t="n">
        <v>1</v>
      </c>
    </row>
    <row r="2387" customFormat="false" ht="15" hidden="false" customHeight="false" outlineLevel="0" collapsed="false">
      <c r="A2387" s="652" t="n">
        <v>46028</v>
      </c>
      <c r="B2387" s="123" t="s">
        <v>675</v>
      </c>
      <c r="C2387" s="124" t="s">
        <v>393</v>
      </c>
      <c r="F2387" s="123" t="n">
        <v>2168</v>
      </c>
      <c r="G2387" s="123" t="n">
        <v>9286</v>
      </c>
    </row>
    <row r="2388" customFormat="false" ht="15" hidden="false" customHeight="false" outlineLevel="0" collapsed="false">
      <c r="A2388" s="652" t="n">
        <v>46028</v>
      </c>
      <c r="B2388" s="123" t="s">
        <v>675</v>
      </c>
      <c r="C2388" s="124" t="s">
        <v>393</v>
      </c>
      <c r="F2388" s="123" t="n">
        <v>5613</v>
      </c>
      <c r="G2388" s="123" t="n">
        <v>3673</v>
      </c>
    </row>
    <row r="2389" customFormat="false" ht="15" hidden="false" customHeight="false" outlineLevel="0" collapsed="false">
      <c r="A2389" s="652" t="n">
        <v>46029</v>
      </c>
      <c r="B2389" s="123" t="s">
        <v>668</v>
      </c>
      <c r="C2389" s="124" t="s">
        <v>393</v>
      </c>
      <c r="F2389" s="123" t="n">
        <v>3673</v>
      </c>
      <c r="G2389" s="123" t="n">
        <v>0</v>
      </c>
    </row>
    <row r="2390" customFormat="false" ht="15" hidden="false" customHeight="false" outlineLevel="0" collapsed="false">
      <c r="A2390" s="652" t="n">
        <v>46029</v>
      </c>
      <c r="B2390" s="123" t="n">
        <v>53001866</v>
      </c>
      <c r="C2390" s="124" t="s">
        <v>181</v>
      </c>
      <c r="D2390" s="124" t="s">
        <v>127</v>
      </c>
      <c r="E2390" s="123" t="n">
        <v>253</v>
      </c>
      <c r="G2390" s="123" t="n">
        <v>253</v>
      </c>
      <c r="H2390" s="123" t="n">
        <v>3</v>
      </c>
      <c r="K2390" s="123" t="n">
        <v>1</v>
      </c>
    </row>
    <row r="2391" customFormat="false" ht="15" hidden="false" customHeight="false" outlineLevel="0" collapsed="false">
      <c r="A2391" s="652" t="n">
        <v>46029</v>
      </c>
      <c r="B2391" s="123" t="n">
        <v>53001867</v>
      </c>
      <c r="C2391" s="124" t="s">
        <v>198</v>
      </c>
      <c r="D2391" s="124" t="s">
        <v>127</v>
      </c>
      <c r="E2391" s="653" t="n">
        <v>1759.5</v>
      </c>
      <c r="G2391" s="653" t="n">
        <v>2012.5</v>
      </c>
      <c r="H2391" s="653" t="n">
        <v>0.610000000000127</v>
      </c>
      <c r="K2391" s="123" t="n">
        <v>7</v>
      </c>
    </row>
    <row r="2392" customFormat="false" ht="15" hidden="false" customHeight="false" outlineLevel="0" collapsed="false">
      <c r="A2392" s="652" t="n">
        <v>46029</v>
      </c>
      <c r="B2392" s="123" t="s">
        <v>668</v>
      </c>
      <c r="C2392" s="124" t="s">
        <v>393</v>
      </c>
      <c r="E2392" s="653" t="n">
        <v>-0.5</v>
      </c>
      <c r="F2392" s="123" t="n">
        <v>2012</v>
      </c>
      <c r="G2392" s="123" t="n">
        <v>0</v>
      </c>
    </row>
    <row r="2393" customFormat="false" ht="15" hidden="false" customHeight="false" outlineLevel="0" collapsed="false">
      <c r="A2393" s="652" t="n">
        <v>46030</v>
      </c>
      <c r="B2393" s="123" t="n">
        <v>53001863</v>
      </c>
      <c r="C2393" s="124" t="s">
        <v>166</v>
      </c>
      <c r="D2393" s="124" t="s">
        <v>127</v>
      </c>
      <c r="E2393" s="653" t="n">
        <v>155.25</v>
      </c>
      <c r="G2393" s="653" t="n">
        <v>155.25</v>
      </c>
      <c r="H2393" s="653" t="n">
        <v>0.25</v>
      </c>
      <c r="P2393" s="123" t="n">
        <v>1</v>
      </c>
    </row>
    <row r="2394" customFormat="false" ht="15" hidden="false" customHeight="false" outlineLevel="0" collapsed="false">
      <c r="A2394" s="652" t="n">
        <v>46030</v>
      </c>
      <c r="B2394" s="123" t="n">
        <v>53001864</v>
      </c>
      <c r="C2394" s="124" t="s">
        <v>138</v>
      </c>
      <c r="D2394" s="124" t="s">
        <v>127</v>
      </c>
      <c r="E2394" s="653" t="n">
        <v>195.5</v>
      </c>
      <c r="G2394" s="653" t="n">
        <v>350.75</v>
      </c>
      <c r="H2394" s="653" t="n">
        <v>0.5</v>
      </c>
      <c r="P2394" s="123" t="n">
        <v>1</v>
      </c>
    </row>
    <row r="2395" customFormat="false" ht="15" hidden="false" customHeight="false" outlineLevel="0" collapsed="false">
      <c r="A2395" s="652" t="n">
        <v>46030</v>
      </c>
      <c r="B2395" s="123" t="n">
        <v>53001865</v>
      </c>
      <c r="C2395" s="124" t="s">
        <v>130</v>
      </c>
      <c r="D2395" s="124" t="s">
        <v>127</v>
      </c>
      <c r="E2395" s="653" t="n">
        <v>1966.5</v>
      </c>
      <c r="G2395" s="653" t="n">
        <v>2317.25</v>
      </c>
      <c r="H2395" s="653" t="n">
        <v>0.25</v>
      </c>
      <c r="I2395" s="123" t="n">
        <v>7</v>
      </c>
    </row>
    <row r="2396" customFormat="false" ht="15" hidden="false" customHeight="false" outlineLevel="0" collapsed="false">
      <c r="A2396" s="652" t="n">
        <v>46030</v>
      </c>
      <c r="B2396" s="123" t="n">
        <v>53001866</v>
      </c>
      <c r="C2396" s="124" t="s">
        <v>169</v>
      </c>
      <c r="D2396" s="124" t="s">
        <v>127</v>
      </c>
      <c r="E2396" s="653" t="n">
        <v>1966.5</v>
      </c>
      <c r="G2396" s="653" t="n">
        <v>4283.75</v>
      </c>
      <c r="H2396" s="123" t="n">
        <v>2</v>
      </c>
      <c r="I2396" s="123" t="n">
        <v>7</v>
      </c>
    </row>
    <row r="2397" customFormat="false" ht="15" hidden="false" customHeight="false" outlineLevel="0" collapsed="false">
      <c r="A2397" s="652" t="n">
        <v>46030</v>
      </c>
      <c r="B2397" s="123" t="s">
        <v>675</v>
      </c>
      <c r="C2397" s="124" t="s">
        <v>393</v>
      </c>
      <c r="F2397" s="123" t="n">
        <v>3866</v>
      </c>
      <c r="G2397" s="653" t="n">
        <v>417.75</v>
      </c>
    </row>
    <row r="2398" customFormat="false" ht="15" hidden="false" customHeight="false" outlineLevel="0" collapsed="false">
      <c r="A2398" s="652" t="n">
        <v>46029</v>
      </c>
      <c r="B2398" s="123" t="s">
        <v>675</v>
      </c>
      <c r="C2398" s="124" t="s">
        <v>393</v>
      </c>
      <c r="F2398" s="123" t="n">
        <v>417</v>
      </c>
      <c r="G2398" s="653" t="n">
        <v>0.75</v>
      </c>
    </row>
    <row r="2399" customFormat="false" ht="15" hidden="false" customHeight="false" outlineLevel="0" collapsed="false">
      <c r="A2399" s="652" t="n">
        <v>46033</v>
      </c>
      <c r="B2399" s="123" t="n">
        <v>53001870</v>
      </c>
      <c r="C2399" s="124" t="s">
        <v>183</v>
      </c>
      <c r="D2399" s="124" t="s">
        <v>127</v>
      </c>
      <c r="E2399" s="123" t="n">
        <v>138</v>
      </c>
      <c r="G2399" s="653" t="n">
        <v>138.75</v>
      </c>
      <c r="O2399" s="123" t="n">
        <v>1</v>
      </c>
    </row>
    <row r="2400" customFormat="false" ht="15" hidden="false" customHeight="false" outlineLevel="0" collapsed="false">
      <c r="A2400" s="652" t="n">
        <v>46033</v>
      </c>
      <c r="B2400" s="123" t="n">
        <v>53001871</v>
      </c>
      <c r="C2400" s="124" t="s">
        <v>130</v>
      </c>
      <c r="D2400" s="124" t="s">
        <v>127</v>
      </c>
      <c r="E2400" s="653" t="n">
        <v>1966.5</v>
      </c>
      <c r="G2400" s="653" t="n">
        <v>2105.25</v>
      </c>
      <c r="I2400" s="123" t="n">
        <v>7</v>
      </c>
    </row>
    <row r="2401" customFormat="false" ht="15" hidden="false" customHeight="false" outlineLevel="0" collapsed="false">
      <c r="A2401" s="652" t="n">
        <v>46033</v>
      </c>
      <c r="B2401" s="123" t="n">
        <v>53001872</v>
      </c>
      <c r="C2401" s="124" t="s">
        <v>143</v>
      </c>
      <c r="D2401" s="124" t="s">
        <v>127</v>
      </c>
      <c r="E2401" s="123" t="n">
        <v>276</v>
      </c>
      <c r="G2401" s="653" t="n">
        <v>2381.25</v>
      </c>
      <c r="O2401" s="123" t="n">
        <v>2</v>
      </c>
    </row>
    <row r="2402" customFormat="false" ht="15" hidden="false" customHeight="false" outlineLevel="0" collapsed="false">
      <c r="A2402" s="652" t="n">
        <v>46033</v>
      </c>
      <c r="B2402" s="123" t="s">
        <v>675</v>
      </c>
      <c r="C2402" s="124" t="s">
        <v>393</v>
      </c>
      <c r="F2402" s="123" t="n">
        <v>1260</v>
      </c>
      <c r="G2402" s="653" t="n">
        <v>1121.25</v>
      </c>
    </row>
    <row r="2403" customFormat="false" ht="15" hidden="false" customHeight="false" outlineLevel="0" collapsed="false">
      <c r="A2403" s="652" t="n">
        <v>46034</v>
      </c>
      <c r="B2403" s="123" t="s">
        <v>675</v>
      </c>
      <c r="C2403" s="124" t="s">
        <v>393</v>
      </c>
      <c r="E2403" s="653" t="n">
        <v>-0.25</v>
      </c>
      <c r="F2403" s="123" t="n">
        <v>1121</v>
      </c>
      <c r="G2403" s="123" t="n">
        <v>0</v>
      </c>
    </row>
    <row r="2404" customFormat="false" ht="15" hidden="false" customHeight="false" outlineLevel="0" collapsed="false">
      <c r="A2404" s="652" t="n">
        <v>46034</v>
      </c>
      <c r="B2404" s="123" t="n">
        <v>53001874</v>
      </c>
      <c r="C2404" s="124" t="s">
        <v>161</v>
      </c>
      <c r="D2404" s="124" t="s">
        <v>127</v>
      </c>
      <c r="E2404" s="123" t="n">
        <v>4209</v>
      </c>
      <c r="G2404" s="123" t="n">
        <v>4209</v>
      </c>
      <c r="I2404" s="123" t="n">
        <v>7</v>
      </c>
      <c r="K2404" s="123" t="n">
        <v>4</v>
      </c>
      <c r="P2404" s="123" t="n">
        <v>5</v>
      </c>
    </row>
    <row r="2405" customFormat="false" ht="15" hidden="false" customHeight="false" outlineLevel="0" collapsed="false">
      <c r="A2405" s="652" t="n">
        <v>46034</v>
      </c>
      <c r="B2405" s="123" t="n">
        <v>53001873</v>
      </c>
      <c r="C2405" s="124" t="s">
        <v>137</v>
      </c>
      <c r="D2405" s="124" t="s">
        <v>127</v>
      </c>
      <c r="E2405" s="653" t="n">
        <v>517.5</v>
      </c>
      <c r="G2405" s="653" t="n">
        <v>4726.5</v>
      </c>
      <c r="P2405" s="123" t="n">
        <v>10</v>
      </c>
    </row>
    <row r="2406" customFormat="false" ht="15" hidden="false" customHeight="false" outlineLevel="0" collapsed="false">
      <c r="A2406" s="652" t="n">
        <v>46034</v>
      </c>
      <c r="B2406" s="123" t="n">
        <v>53001875</v>
      </c>
      <c r="C2406" s="124" t="s">
        <v>179</v>
      </c>
      <c r="D2406" s="124" t="s">
        <v>127</v>
      </c>
      <c r="E2406" s="123" t="n">
        <v>345</v>
      </c>
      <c r="G2406" s="653" t="n">
        <v>5071.5</v>
      </c>
      <c r="K2406" s="123" t="n">
        <v>1</v>
      </c>
    </row>
    <row r="2407" customFormat="false" ht="15" hidden="false" customHeight="false" outlineLevel="0" collapsed="false">
      <c r="A2407" s="652" t="n">
        <v>46034</v>
      </c>
      <c r="B2407" s="123" t="s">
        <v>675</v>
      </c>
      <c r="C2407" s="124" t="s">
        <v>393</v>
      </c>
      <c r="E2407" s="653" t="n">
        <v>-0.5</v>
      </c>
      <c r="F2407" s="123" t="n">
        <v>5071</v>
      </c>
      <c r="G2407" s="123" t="n">
        <v>0</v>
      </c>
    </row>
    <row r="2408" customFormat="false" ht="15" hidden="false" customHeight="false" outlineLevel="0" collapsed="false">
      <c r="A2408" s="652" t="n">
        <v>46035</v>
      </c>
      <c r="B2408" s="123" t="n">
        <v>53001876</v>
      </c>
      <c r="C2408" s="124" t="s">
        <v>92</v>
      </c>
      <c r="D2408" s="124" t="s">
        <v>75</v>
      </c>
      <c r="E2408" s="653" t="n">
        <v>724.5</v>
      </c>
      <c r="G2408" s="653" t="n">
        <v>724.5</v>
      </c>
      <c r="M2408" s="123" t="n">
        <v>3</v>
      </c>
    </row>
    <row r="2409" customFormat="false" ht="15" hidden="false" customHeight="false" outlineLevel="0" collapsed="false">
      <c r="A2409" s="652" t="n">
        <v>46035</v>
      </c>
      <c r="B2409" s="123" t="n">
        <v>53001877</v>
      </c>
      <c r="C2409" s="124" t="s">
        <v>117</v>
      </c>
      <c r="D2409" s="124" t="s">
        <v>105</v>
      </c>
      <c r="E2409" s="653" t="n">
        <v>2213.75</v>
      </c>
      <c r="G2409" s="653" t="n">
        <v>2938.25</v>
      </c>
      <c r="L2409" s="123" t="n">
        <v>8</v>
      </c>
    </row>
    <row r="2410" customFormat="false" ht="15" hidden="false" customHeight="false" outlineLevel="0" collapsed="false">
      <c r="A2410" s="652" t="n">
        <v>46035</v>
      </c>
      <c r="B2410" s="123" t="n">
        <v>53001878</v>
      </c>
      <c r="C2410" s="124" t="s">
        <v>108</v>
      </c>
      <c r="D2410" s="124" t="s">
        <v>105</v>
      </c>
      <c r="E2410" s="653" t="n">
        <v>2426.5</v>
      </c>
      <c r="G2410" s="653" t="n">
        <v>5364.75</v>
      </c>
      <c r="I2410" s="123" t="n">
        <v>7</v>
      </c>
      <c r="K2410" s="123" t="n">
        <v>2</v>
      </c>
    </row>
    <row r="2411" customFormat="false" ht="15" hidden="false" customHeight="false" outlineLevel="0" collapsed="false">
      <c r="A2411" s="652" t="n">
        <v>46035</v>
      </c>
      <c r="B2411" s="123" t="n">
        <v>53001879</v>
      </c>
      <c r="C2411" s="124" t="s">
        <v>115</v>
      </c>
      <c r="D2411" s="124" t="s">
        <v>105</v>
      </c>
      <c r="E2411" s="123" t="n">
        <v>138</v>
      </c>
      <c r="G2411" s="653" t="n">
        <v>5502.75</v>
      </c>
      <c r="O2411" s="123" t="n">
        <v>1</v>
      </c>
    </row>
    <row r="2412" customFormat="false" ht="15" hidden="false" customHeight="false" outlineLevel="0" collapsed="false">
      <c r="A2412" s="652" t="n">
        <v>46035</v>
      </c>
      <c r="B2412" s="123" t="n">
        <v>53001880</v>
      </c>
      <c r="C2412" s="124" t="s">
        <v>114</v>
      </c>
      <c r="D2412" s="124" t="s">
        <v>105</v>
      </c>
      <c r="E2412" s="653" t="n">
        <v>1069.5</v>
      </c>
      <c r="G2412" s="653" t="n">
        <v>6572.25</v>
      </c>
      <c r="J2412" s="123" t="n">
        <v>7</v>
      </c>
    </row>
    <row r="2413" customFormat="false" ht="15" hidden="false" customHeight="false" outlineLevel="0" collapsed="false">
      <c r="A2413" s="652" t="n">
        <v>46035</v>
      </c>
      <c r="B2413" s="123" t="n">
        <v>53001881</v>
      </c>
      <c r="C2413" s="124" t="s">
        <v>106</v>
      </c>
      <c r="D2413" s="124" t="s">
        <v>105</v>
      </c>
      <c r="E2413" s="653" t="n">
        <v>1966.5</v>
      </c>
      <c r="G2413" s="653" t="n">
        <v>8538.75</v>
      </c>
      <c r="I2413" s="123" t="n">
        <v>7</v>
      </c>
    </row>
    <row r="2414" customFormat="false" ht="15" hidden="false" customHeight="false" outlineLevel="0" collapsed="false">
      <c r="A2414" s="652" t="n">
        <v>46035</v>
      </c>
      <c r="B2414" s="123" t="s">
        <v>667</v>
      </c>
      <c r="C2414" s="124" t="s">
        <v>393</v>
      </c>
      <c r="F2414" s="123" t="n">
        <v>500</v>
      </c>
      <c r="G2414" s="653" t="n">
        <v>8038.75</v>
      </c>
    </row>
    <row r="2415" customFormat="false" ht="15" hidden="false" customHeight="false" outlineLevel="0" collapsed="false">
      <c r="A2415" s="652" t="n">
        <v>46035</v>
      </c>
      <c r="B2415" s="123" t="s">
        <v>675</v>
      </c>
      <c r="C2415" s="124" t="s">
        <v>393</v>
      </c>
      <c r="F2415" s="653" t="n">
        <v>4614.75</v>
      </c>
      <c r="G2415" s="123" t="n">
        <v>3424</v>
      </c>
    </row>
    <row r="2416" customFormat="false" ht="15" hidden="false" customHeight="false" outlineLevel="0" collapsed="false">
      <c r="A2416" s="652" t="n">
        <v>46035</v>
      </c>
      <c r="B2416" s="123" t="s">
        <v>668</v>
      </c>
      <c r="C2416" s="124" t="s">
        <v>393</v>
      </c>
      <c r="F2416" s="123" t="n">
        <v>3424</v>
      </c>
      <c r="G2416" s="123" t="n">
        <v>0</v>
      </c>
    </row>
    <row r="2417" customFormat="false" ht="15" hidden="false" customHeight="false" outlineLevel="0" collapsed="false">
      <c r="A2417" s="652" t="n">
        <v>46036</v>
      </c>
      <c r="B2417" s="123" t="n">
        <v>53001882</v>
      </c>
      <c r="C2417" s="124" t="s">
        <v>135</v>
      </c>
      <c r="D2417" s="124" t="s">
        <v>127</v>
      </c>
      <c r="E2417" s="653" t="n">
        <v>2213.75</v>
      </c>
      <c r="G2417" s="653" t="n">
        <v>2213.75</v>
      </c>
      <c r="L2417" s="123" t="n">
        <v>8</v>
      </c>
    </row>
    <row r="2418" customFormat="false" ht="15" hidden="false" customHeight="false" outlineLevel="0" collapsed="false">
      <c r="A2418" s="652" t="n">
        <v>46036</v>
      </c>
      <c r="B2418" s="123" t="n">
        <v>53001883</v>
      </c>
      <c r="C2418" s="124" t="s">
        <v>132</v>
      </c>
      <c r="D2418" s="124" t="s">
        <v>127</v>
      </c>
      <c r="E2418" s="653" t="n">
        <v>241.5</v>
      </c>
      <c r="G2418" s="653" t="n">
        <v>2455.25</v>
      </c>
      <c r="M2418" s="123" t="n">
        <v>1</v>
      </c>
    </row>
    <row r="2419" customFormat="false" ht="15" hidden="false" customHeight="false" outlineLevel="0" collapsed="false">
      <c r="A2419" s="652" t="n">
        <v>46036</v>
      </c>
      <c r="B2419" s="123" t="s">
        <v>675</v>
      </c>
      <c r="C2419" s="124" t="s">
        <v>393</v>
      </c>
      <c r="F2419" s="653" t="n">
        <v>2454.75</v>
      </c>
      <c r="G2419" s="653" t="n">
        <v>0.5</v>
      </c>
    </row>
    <row r="2420" customFormat="false" ht="15" hidden="false" customHeight="false" outlineLevel="0" collapsed="false">
      <c r="A2420" s="652" t="n">
        <v>46037</v>
      </c>
      <c r="B2420" s="123" t="n">
        <v>53001884</v>
      </c>
      <c r="C2420" s="124" t="s">
        <v>141</v>
      </c>
      <c r="D2420" s="124" t="s">
        <v>127</v>
      </c>
      <c r="E2420" s="123" t="n">
        <v>3082</v>
      </c>
      <c r="G2420" s="653" t="n">
        <v>3082.5</v>
      </c>
      <c r="K2420" s="123" t="n">
        <v>7</v>
      </c>
      <c r="P2420" s="123" t="n">
        <v>5</v>
      </c>
    </row>
    <row r="2421" customFormat="false" ht="15" hidden="false" customHeight="false" outlineLevel="0" collapsed="false">
      <c r="A2421" s="652" t="n">
        <v>46037</v>
      </c>
      <c r="B2421" s="123" t="n">
        <v>53001885</v>
      </c>
      <c r="C2421" s="124" t="s">
        <v>160</v>
      </c>
      <c r="D2421" s="124" t="s">
        <v>127</v>
      </c>
      <c r="E2421" s="653" t="n">
        <v>396.75</v>
      </c>
      <c r="G2421" s="653" t="n">
        <v>3479.25</v>
      </c>
      <c r="M2421" s="123" t="n">
        <v>1</v>
      </c>
      <c r="P2421" s="123" t="n">
        <v>1</v>
      </c>
    </row>
    <row r="2422" customFormat="false" ht="15" hidden="false" customHeight="false" outlineLevel="0" collapsed="false">
      <c r="A2422" s="652" t="n">
        <v>46037</v>
      </c>
      <c r="B2422" s="123" t="n">
        <v>53001886</v>
      </c>
      <c r="C2422" s="124" t="s">
        <v>156</v>
      </c>
      <c r="D2422" s="124" t="s">
        <v>127</v>
      </c>
      <c r="E2422" s="653" t="n">
        <v>155.25</v>
      </c>
      <c r="G2422" s="653" t="n">
        <v>3634.5</v>
      </c>
      <c r="P2422" s="123" t="n">
        <v>1</v>
      </c>
    </row>
    <row r="2423" customFormat="false" ht="15" hidden="false" customHeight="false" outlineLevel="0" collapsed="false">
      <c r="A2423" s="652" t="n">
        <v>46037</v>
      </c>
      <c r="B2423" s="123" t="n">
        <v>53001887</v>
      </c>
      <c r="C2423" s="124" t="s">
        <v>152</v>
      </c>
      <c r="D2423" s="124" t="s">
        <v>127</v>
      </c>
      <c r="E2423" s="653" t="n">
        <v>1966.5</v>
      </c>
      <c r="G2423" s="123" t="n">
        <v>5601</v>
      </c>
      <c r="I2423" s="123" t="n">
        <v>7</v>
      </c>
    </row>
    <row r="2424" customFormat="false" ht="15" hidden="false" customHeight="false" outlineLevel="0" collapsed="false">
      <c r="A2424" s="652" t="n">
        <v>46037</v>
      </c>
      <c r="B2424" s="123" t="n">
        <v>53001888</v>
      </c>
      <c r="C2424" s="124" t="s">
        <v>155</v>
      </c>
      <c r="D2424" s="124" t="s">
        <v>127</v>
      </c>
      <c r="E2424" s="653" t="n">
        <v>1966.5</v>
      </c>
      <c r="G2424" s="653" t="n">
        <v>7567.5</v>
      </c>
      <c r="I2424" s="123" t="n">
        <v>7</v>
      </c>
    </row>
    <row r="2425" customFormat="false" ht="15" hidden="false" customHeight="false" outlineLevel="0" collapsed="false">
      <c r="A2425" s="652" t="n">
        <v>46037</v>
      </c>
      <c r="B2425" s="123" t="n">
        <v>53001889</v>
      </c>
      <c r="C2425" s="124" t="s">
        <v>153</v>
      </c>
      <c r="D2425" s="124" t="s">
        <v>127</v>
      </c>
      <c r="E2425" s="123" t="n">
        <v>138</v>
      </c>
      <c r="G2425" s="653" t="n">
        <v>7705.5</v>
      </c>
      <c r="O2425" s="123" t="n">
        <v>1</v>
      </c>
    </row>
    <row r="2426" customFormat="false" ht="15" hidden="false" customHeight="false" outlineLevel="0" collapsed="false">
      <c r="A2426" s="652" t="n">
        <v>46037</v>
      </c>
      <c r="B2426" s="123" t="s">
        <v>675</v>
      </c>
      <c r="C2426" s="124" t="s">
        <v>393</v>
      </c>
      <c r="F2426" s="653" t="n">
        <v>2491.75</v>
      </c>
      <c r="G2426" s="653" t="n">
        <v>5213.75</v>
      </c>
    </row>
    <row r="2427" customFormat="false" ht="15" hidden="false" customHeight="false" outlineLevel="0" collapsed="false">
      <c r="A2427" s="652" t="n">
        <v>46037</v>
      </c>
      <c r="B2427" s="123" t="s">
        <v>675</v>
      </c>
      <c r="C2427" s="124" t="s">
        <v>393</v>
      </c>
      <c r="F2427" s="123" t="n">
        <v>3096</v>
      </c>
      <c r="G2427" s="653" t="n">
        <v>2117.75</v>
      </c>
    </row>
    <row r="2428" customFormat="false" ht="15" hidden="false" customHeight="false" outlineLevel="0" collapsed="false">
      <c r="A2428" s="652" t="n">
        <v>46040</v>
      </c>
      <c r="B2428" s="123" t="s">
        <v>675</v>
      </c>
      <c r="C2428" s="124" t="s">
        <v>393</v>
      </c>
      <c r="F2428" s="123" t="n">
        <v>581</v>
      </c>
      <c r="G2428" s="653" t="n">
        <v>1536.75</v>
      </c>
    </row>
    <row r="2429" customFormat="false" ht="15" hidden="false" customHeight="false" outlineLevel="0" collapsed="false">
      <c r="A2429" s="652" t="n">
        <v>46040</v>
      </c>
      <c r="B2429" s="123" t="n">
        <v>53001890</v>
      </c>
      <c r="C2429" s="124" t="s">
        <v>136</v>
      </c>
      <c r="D2429" s="124" t="s">
        <v>127</v>
      </c>
      <c r="E2429" s="123" t="n">
        <v>230</v>
      </c>
      <c r="G2429" s="653" t="n">
        <v>1766.75</v>
      </c>
      <c r="H2429" s="123" t="n">
        <v>0</v>
      </c>
      <c r="K2429" s="123" t="n">
        <v>1</v>
      </c>
    </row>
    <row r="2430" customFormat="false" ht="15" hidden="false" customHeight="false" outlineLevel="0" collapsed="false">
      <c r="A2430" s="652" t="n">
        <v>46040</v>
      </c>
      <c r="B2430" s="123" t="n">
        <v>53001891</v>
      </c>
      <c r="C2430" s="124" t="s">
        <v>201</v>
      </c>
      <c r="D2430" s="124" t="s">
        <v>127</v>
      </c>
      <c r="E2430" s="123" t="n">
        <v>276</v>
      </c>
      <c r="G2430" s="653" t="n">
        <v>2042.75</v>
      </c>
      <c r="H2430" s="123" t="n">
        <v>0</v>
      </c>
      <c r="O2430" s="123" t="n">
        <v>2</v>
      </c>
    </row>
    <row r="2431" customFormat="false" ht="15" hidden="false" customHeight="false" outlineLevel="0" collapsed="false">
      <c r="A2431" s="652" t="n">
        <v>46040</v>
      </c>
      <c r="B2431" s="123" t="n">
        <v>53001892</v>
      </c>
      <c r="C2431" s="124" t="s">
        <v>141</v>
      </c>
      <c r="D2431" s="124" t="s">
        <v>127</v>
      </c>
      <c r="E2431" s="653" t="n">
        <v>1069.5</v>
      </c>
      <c r="G2431" s="653" t="n">
        <v>3112.25</v>
      </c>
      <c r="J2431" s="123" t="n">
        <v>7</v>
      </c>
    </row>
    <row r="2432" customFormat="false" ht="15" hidden="false" customHeight="false" outlineLevel="0" collapsed="false">
      <c r="A2432" s="652" t="n">
        <v>46041</v>
      </c>
      <c r="B2432" s="123" t="s">
        <v>668</v>
      </c>
      <c r="C2432" s="124" t="s">
        <v>393</v>
      </c>
      <c r="F2432" s="123" t="n">
        <v>3112</v>
      </c>
      <c r="G2432" s="653" t="n">
        <v>0.25</v>
      </c>
    </row>
    <row r="2433" customFormat="false" ht="15" hidden="false" customHeight="false" outlineLevel="0" collapsed="false">
      <c r="A2433" s="652" t="n">
        <v>46041</v>
      </c>
      <c r="B2433" s="123" t="n">
        <v>53001893</v>
      </c>
      <c r="C2433" s="124" t="s">
        <v>194</v>
      </c>
      <c r="D2433" s="124" t="s">
        <v>127</v>
      </c>
      <c r="E2433" s="123" t="n">
        <v>483</v>
      </c>
      <c r="G2433" s="653" t="n">
        <v>483.25</v>
      </c>
      <c r="M2433" s="123" t="n">
        <v>2</v>
      </c>
    </row>
    <row r="2434" customFormat="false" ht="15" hidden="false" customHeight="false" outlineLevel="0" collapsed="false">
      <c r="A2434" s="652" t="n">
        <v>46041</v>
      </c>
      <c r="B2434" s="123" t="n">
        <v>53001894</v>
      </c>
      <c r="C2434" s="124" t="s">
        <v>141</v>
      </c>
      <c r="D2434" s="124" t="s">
        <v>127</v>
      </c>
      <c r="E2434" s="653" t="n">
        <v>1966.5</v>
      </c>
      <c r="G2434" s="653" t="n">
        <v>2449.75</v>
      </c>
      <c r="I2434" s="123" t="n">
        <v>7</v>
      </c>
    </row>
    <row r="2435" customFormat="false" ht="15" hidden="false" customHeight="false" outlineLevel="0" collapsed="false">
      <c r="A2435" s="652" t="n">
        <v>46040</v>
      </c>
      <c r="B2435" s="123" t="s">
        <v>675</v>
      </c>
      <c r="C2435" s="124" t="s">
        <v>393</v>
      </c>
      <c r="F2435" s="123" t="n">
        <v>1449</v>
      </c>
      <c r="G2435" s="653" t="n">
        <v>1000.75</v>
      </c>
    </row>
    <row r="2436" customFormat="false" ht="15" hidden="false" customHeight="false" outlineLevel="0" collapsed="false">
      <c r="A2436" s="652" t="n">
        <v>46040</v>
      </c>
      <c r="B2436" s="123" t="s">
        <v>667</v>
      </c>
      <c r="C2436" s="124" t="s">
        <v>393</v>
      </c>
      <c r="F2436" s="123" t="n">
        <v>1000</v>
      </c>
      <c r="G2436" s="653" t="n">
        <v>0.75</v>
      </c>
    </row>
    <row r="2437" customFormat="false" ht="15" hidden="false" customHeight="false" outlineLevel="0" collapsed="false">
      <c r="A2437" s="652" t="n">
        <v>46042</v>
      </c>
      <c r="B2437" s="123" t="n">
        <v>53001895</v>
      </c>
      <c r="C2437" s="124" t="s">
        <v>145</v>
      </c>
      <c r="D2437" s="124" t="s">
        <v>127</v>
      </c>
      <c r="E2437" s="123" t="n">
        <v>483</v>
      </c>
      <c r="G2437" s="653" t="n">
        <v>483.75</v>
      </c>
      <c r="M2437" s="123" t="n">
        <v>1</v>
      </c>
      <c r="O2437" s="123" t="n">
        <v>1</v>
      </c>
    </row>
    <row r="2438" customFormat="false" ht="15" hidden="false" customHeight="false" outlineLevel="0" collapsed="false">
      <c r="A2438" s="652" t="n">
        <v>46042</v>
      </c>
      <c r="B2438" s="123" t="n">
        <v>53001896</v>
      </c>
      <c r="C2438" s="124" t="s">
        <v>175</v>
      </c>
      <c r="D2438" s="124" t="s">
        <v>127</v>
      </c>
      <c r="E2438" s="653" t="n">
        <v>1759.5</v>
      </c>
      <c r="G2438" s="653" t="n">
        <v>2243.25</v>
      </c>
      <c r="K2438" s="123" t="n">
        <v>7</v>
      </c>
    </row>
    <row r="2439" customFormat="false" ht="15" hidden="false" customHeight="false" outlineLevel="0" collapsed="false">
      <c r="A2439" s="652" t="n">
        <v>46042</v>
      </c>
      <c r="B2439" s="123" t="n">
        <v>53001897</v>
      </c>
      <c r="C2439" s="124" t="s">
        <v>196</v>
      </c>
      <c r="D2439" s="124" t="s">
        <v>127</v>
      </c>
      <c r="E2439" s="653" t="n">
        <v>155.25</v>
      </c>
      <c r="G2439" s="653" t="n">
        <v>2398.5</v>
      </c>
      <c r="P2439" s="123" t="n">
        <v>1</v>
      </c>
    </row>
    <row r="2440" customFormat="false" ht="15" hidden="false" customHeight="false" outlineLevel="0" collapsed="false">
      <c r="A2440" s="652" t="n">
        <v>46042</v>
      </c>
      <c r="B2440" s="123" t="n">
        <v>53001898</v>
      </c>
      <c r="C2440" s="124" t="s">
        <v>192</v>
      </c>
      <c r="D2440" s="124" t="s">
        <v>127</v>
      </c>
      <c r="E2440" s="653" t="n">
        <v>2104.5</v>
      </c>
      <c r="G2440" s="123" t="n">
        <v>4503</v>
      </c>
      <c r="I2440" s="123" t="n">
        <v>7</v>
      </c>
      <c r="O2440" s="123" t="n">
        <v>1</v>
      </c>
    </row>
    <row r="2441" customFormat="false" ht="15" hidden="false" customHeight="false" outlineLevel="0" collapsed="false">
      <c r="A2441" s="652" t="n">
        <v>46044</v>
      </c>
      <c r="B2441" s="123" t="s">
        <v>675</v>
      </c>
      <c r="C2441" s="124" t="s">
        <v>393</v>
      </c>
      <c r="F2441" s="123" t="n">
        <v>1860</v>
      </c>
      <c r="G2441" s="123" t="n">
        <v>2643</v>
      </c>
    </row>
    <row r="2442" customFormat="false" ht="15" hidden="false" customHeight="false" outlineLevel="0" collapsed="false">
      <c r="A2442" s="652" t="n">
        <v>46042</v>
      </c>
      <c r="B2442" s="123" t="s">
        <v>668</v>
      </c>
      <c r="C2442" s="124" t="s">
        <v>393</v>
      </c>
      <c r="F2442" s="123" t="n">
        <v>2643</v>
      </c>
      <c r="G2442" s="123" t="n">
        <v>0</v>
      </c>
    </row>
    <row r="2443" customFormat="false" ht="15" hidden="false" customHeight="false" outlineLevel="0" collapsed="false">
      <c r="A2443" s="652" t="n">
        <v>46043</v>
      </c>
      <c r="B2443" s="123" t="n">
        <v>53001899</v>
      </c>
      <c r="C2443" s="124" t="s">
        <v>142</v>
      </c>
      <c r="D2443" s="124" t="s">
        <v>127</v>
      </c>
      <c r="E2443" s="653" t="n">
        <v>155.25</v>
      </c>
      <c r="G2443" s="653" t="n">
        <v>155.25</v>
      </c>
      <c r="P2443" s="123" t="n">
        <v>1</v>
      </c>
    </row>
    <row r="2444" customFormat="false" ht="15" hidden="false" customHeight="false" outlineLevel="0" collapsed="false">
      <c r="A2444" s="652" t="n">
        <v>46043</v>
      </c>
      <c r="B2444" s="123" t="n">
        <v>53001900</v>
      </c>
      <c r="C2444" s="124" t="s">
        <v>195</v>
      </c>
      <c r="D2444" s="124" t="s">
        <v>127</v>
      </c>
      <c r="E2444" s="653" t="n">
        <v>1966.5</v>
      </c>
      <c r="G2444" s="653" t="n">
        <v>2121.75</v>
      </c>
      <c r="I2444" s="123" t="n">
        <v>7</v>
      </c>
    </row>
    <row r="2445" customFormat="false" ht="15" hidden="false" customHeight="false" outlineLevel="0" collapsed="false">
      <c r="A2445" s="652" t="n">
        <v>46043</v>
      </c>
      <c r="B2445" s="123" t="n">
        <v>53001901</v>
      </c>
      <c r="C2445" s="124" t="s">
        <v>141</v>
      </c>
      <c r="D2445" s="124" t="s">
        <v>127</v>
      </c>
      <c r="E2445" s="123" t="n">
        <v>2162</v>
      </c>
      <c r="G2445" s="653" t="n">
        <v>4283.75</v>
      </c>
      <c r="K2445" s="123" t="n">
        <v>8</v>
      </c>
      <c r="O2445" s="123" t="n">
        <v>1</v>
      </c>
    </row>
    <row r="2446" customFormat="false" ht="15" hidden="false" customHeight="false" outlineLevel="0" collapsed="false">
      <c r="A2446" s="652" t="n">
        <v>46043</v>
      </c>
      <c r="B2446" s="123" t="s">
        <v>675</v>
      </c>
      <c r="C2446" s="124" t="s">
        <v>393</v>
      </c>
      <c r="F2446" s="123" t="n">
        <v>3019</v>
      </c>
      <c r="G2446" s="653" t="n">
        <v>1264.75</v>
      </c>
    </row>
    <row r="2447" customFormat="false" ht="15" hidden="false" customHeight="false" outlineLevel="0" collapsed="false">
      <c r="A2447" s="652" t="n">
        <v>46043</v>
      </c>
      <c r="B2447" s="123" t="s">
        <v>668</v>
      </c>
      <c r="C2447" s="124" t="s">
        <v>393</v>
      </c>
      <c r="F2447" s="123" t="n">
        <v>1264</v>
      </c>
      <c r="G2447" s="653" t="n">
        <v>0.75</v>
      </c>
    </row>
    <row r="2448" customFormat="false" ht="15" hidden="false" customHeight="false" outlineLevel="0" collapsed="false">
      <c r="A2448" s="652" t="n">
        <v>46044</v>
      </c>
      <c r="B2448" s="123" t="n">
        <v>53001902</v>
      </c>
      <c r="C2448" s="124" t="s">
        <v>135</v>
      </c>
      <c r="D2448" s="124" t="s">
        <v>127</v>
      </c>
      <c r="E2448" s="123" t="n">
        <v>1173</v>
      </c>
      <c r="G2448" s="653" t="n">
        <v>1173.75</v>
      </c>
      <c r="K2448" s="123" t="n">
        <v>3</v>
      </c>
      <c r="M2448" s="123" t="n">
        <v>2</v>
      </c>
    </row>
    <row r="2449" customFormat="false" ht="15" hidden="false" customHeight="false" outlineLevel="0" collapsed="false">
      <c r="A2449" s="652" t="n">
        <v>46044</v>
      </c>
      <c r="B2449" s="123" t="n">
        <v>53001903</v>
      </c>
      <c r="C2449" s="124" t="s">
        <v>138</v>
      </c>
      <c r="D2449" s="124" t="s">
        <v>127</v>
      </c>
      <c r="E2449" s="653" t="n">
        <v>1966.5</v>
      </c>
      <c r="G2449" s="653" t="n">
        <v>3140.25</v>
      </c>
      <c r="I2449" s="123" t="n">
        <v>7</v>
      </c>
    </row>
    <row r="2450" customFormat="false" ht="15" hidden="false" customHeight="false" outlineLevel="0" collapsed="false">
      <c r="A2450" s="652" t="n">
        <v>46044</v>
      </c>
      <c r="B2450" s="123" t="n">
        <v>53001904</v>
      </c>
      <c r="C2450" s="124" t="s">
        <v>198</v>
      </c>
      <c r="D2450" s="124" t="s">
        <v>127</v>
      </c>
      <c r="E2450" s="123" t="n">
        <v>460</v>
      </c>
      <c r="G2450" s="653" t="n">
        <v>3600.25</v>
      </c>
      <c r="K2450" s="123" t="n">
        <v>2</v>
      </c>
    </row>
    <row r="2451" customFormat="false" ht="15" hidden="false" customHeight="false" outlineLevel="0" collapsed="false">
      <c r="A2451" s="652" t="n">
        <v>46044</v>
      </c>
      <c r="B2451" s="123" t="n">
        <v>53001905</v>
      </c>
      <c r="C2451" s="124" t="s">
        <v>141</v>
      </c>
      <c r="D2451" s="124" t="s">
        <v>127</v>
      </c>
      <c r="E2451" s="653" t="n">
        <v>1828.5</v>
      </c>
      <c r="G2451" s="653" t="n">
        <v>5428.75</v>
      </c>
      <c r="K2451" s="123" t="n">
        <v>7</v>
      </c>
    </row>
    <row r="2452" customFormat="false" ht="15" hidden="false" customHeight="false" outlineLevel="0" collapsed="false">
      <c r="A2452" s="652" t="n">
        <v>46044</v>
      </c>
      <c r="B2452" s="123" t="s">
        <v>675</v>
      </c>
      <c r="C2452" s="124" t="s">
        <v>393</v>
      </c>
      <c r="F2452" s="123" t="n">
        <v>595</v>
      </c>
      <c r="G2452" s="653" t="n">
        <v>4833.75</v>
      </c>
    </row>
    <row r="2453" customFormat="false" ht="15" hidden="false" customHeight="false" outlineLevel="0" collapsed="false">
      <c r="A2453" s="652" t="n">
        <v>46044</v>
      </c>
      <c r="B2453" s="123" t="s">
        <v>675</v>
      </c>
      <c r="C2453" s="124" t="s">
        <v>393</v>
      </c>
      <c r="F2453" s="123" t="n">
        <v>2158</v>
      </c>
      <c r="G2453" s="653" t="n">
        <v>2675.75</v>
      </c>
    </row>
    <row r="2454" customFormat="false" ht="15" hidden="false" customHeight="false" outlineLevel="0" collapsed="false">
      <c r="A2454" s="652" t="n">
        <v>46044</v>
      </c>
      <c r="B2454" s="123" t="s">
        <v>667</v>
      </c>
      <c r="C2454" s="124" t="s">
        <v>393</v>
      </c>
      <c r="F2454" s="123" t="n">
        <v>2162</v>
      </c>
      <c r="G2454" s="653" t="n">
        <v>513.75</v>
      </c>
    </row>
    <row r="2455" customFormat="false" ht="15" hidden="false" customHeight="false" outlineLevel="0" collapsed="false">
      <c r="A2455" s="652" t="n">
        <v>46047</v>
      </c>
      <c r="B2455" s="123" t="n">
        <v>53001906</v>
      </c>
      <c r="C2455" s="124" t="s">
        <v>158</v>
      </c>
      <c r="D2455" s="124" t="s">
        <v>127</v>
      </c>
      <c r="E2455" s="653" t="n">
        <v>3829.5</v>
      </c>
      <c r="G2455" s="653" t="n">
        <v>4343.25</v>
      </c>
      <c r="K2455" s="123" t="n">
        <v>14</v>
      </c>
    </row>
    <row r="2456" customFormat="false" ht="15" hidden="false" customHeight="false" outlineLevel="0" collapsed="false">
      <c r="A2456" s="652" t="n">
        <v>46047</v>
      </c>
      <c r="B2456" s="123" t="n">
        <v>53001907</v>
      </c>
      <c r="C2456" s="124" t="s">
        <v>182</v>
      </c>
      <c r="D2456" s="124" t="s">
        <v>127</v>
      </c>
      <c r="E2456" s="653" t="n">
        <v>1069.5</v>
      </c>
      <c r="G2456" s="653" t="n">
        <v>5412.75</v>
      </c>
      <c r="J2456" s="123" t="n">
        <v>7</v>
      </c>
    </row>
    <row r="2457" customFormat="false" ht="15" hidden="false" customHeight="false" outlineLevel="0" collapsed="false">
      <c r="A2457" s="652" t="n">
        <v>46047</v>
      </c>
      <c r="B2457" s="123" t="n">
        <v>53001908</v>
      </c>
      <c r="C2457" s="124" t="s">
        <v>182</v>
      </c>
      <c r="D2457" s="124" t="s">
        <v>127</v>
      </c>
      <c r="E2457" s="653" t="n">
        <v>1845.75</v>
      </c>
      <c r="G2457" s="653" t="n">
        <v>7258.5</v>
      </c>
      <c r="K2457" s="123" t="n">
        <v>7</v>
      </c>
    </row>
    <row r="2458" customFormat="false" ht="15" hidden="false" customHeight="false" outlineLevel="0" collapsed="false">
      <c r="A2458" s="652" t="n">
        <v>46048</v>
      </c>
      <c r="B2458" s="123" t="s">
        <v>667</v>
      </c>
      <c r="C2458" s="124" t="s">
        <v>393</v>
      </c>
      <c r="F2458" s="123" t="n">
        <v>1880</v>
      </c>
      <c r="G2458" s="653" t="n">
        <v>5378.5</v>
      </c>
    </row>
    <row r="2459" customFormat="false" ht="15" hidden="false" customHeight="false" outlineLevel="0" collapsed="false">
      <c r="A2459" s="652" t="n">
        <v>46049</v>
      </c>
      <c r="B2459" s="123" t="s">
        <v>675</v>
      </c>
      <c r="C2459" s="124" t="s">
        <v>393</v>
      </c>
      <c r="F2459" s="123" t="n">
        <v>1300</v>
      </c>
      <c r="G2459" s="653" t="n">
        <v>4078.5</v>
      </c>
    </row>
    <row r="2460" customFormat="false" ht="15" hidden="false" customHeight="false" outlineLevel="0" collapsed="false">
      <c r="A2460" s="652" t="n">
        <v>46049</v>
      </c>
      <c r="B2460" s="123" t="s">
        <v>675</v>
      </c>
      <c r="C2460" s="124" t="s">
        <v>393</v>
      </c>
      <c r="F2460" s="123" t="n">
        <v>1500</v>
      </c>
      <c r="G2460" s="653" t="n">
        <v>2578.5</v>
      </c>
    </row>
    <row r="2461" customFormat="false" ht="15" hidden="false" customHeight="false" outlineLevel="0" collapsed="false">
      <c r="A2461" s="652" t="n">
        <v>46049</v>
      </c>
      <c r="B2461" s="123" t="s">
        <v>668</v>
      </c>
      <c r="C2461" s="124" t="s">
        <v>393</v>
      </c>
      <c r="E2461" s="653" t="n">
        <v>-0.5</v>
      </c>
      <c r="F2461" s="123" t="n">
        <v>2578</v>
      </c>
      <c r="G2461" s="123" t="n">
        <v>0</v>
      </c>
    </row>
    <row r="2462" customFormat="false" ht="15" hidden="false" customHeight="false" outlineLevel="0" collapsed="false">
      <c r="A2462" s="652" t="n">
        <v>46049</v>
      </c>
      <c r="B2462" s="123" t="n">
        <v>53001909</v>
      </c>
      <c r="C2462" s="124" t="s">
        <v>258</v>
      </c>
      <c r="D2462" s="124" t="s">
        <v>127</v>
      </c>
      <c r="E2462" s="653" t="n">
        <v>1966.5</v>
      </c>
      <c r="G2462" s="653" t="n">
        <v>1966.5</v>
      </c>
      <c r="I2462" s="123" t="n">
        <v>7</v>
      </c>
    </row>
    <row r="2463" customFormat="false" ht="15" hidden="false" customHeight="false" outlineLevel="0" collapsed="false">
      <c r="A2463" s="652" t="n">
        <v>46049</v>
      </c>
      <c r="B2463" s="123" t="n">
        <v>53001910</v>
      </c>
      <c r="C2463" s="124" t="s">
        <v>243</v>
      </c>
      <c r="D2463" s="124" t="s">
        <v>127</v>
      </c>
      <c r="E2463" s="123" t="n">
        <v>1656</v>
      </c>
      <c r="G2463" s="653" t="n">
        <v>3622.5</v>
      </c>
      <c r="K2463" s="123" t="n">
        <v>7</v>
      </c>
    </row>
    <row r="2464" customFormat="false" ht="15" hidden="false" customHeight="false" outlineLevel="0" collapsed="false">
      <c r="A2464" s="652" t="n">
        <v>46049</v>
      </c>
      <c r="B2464" s="123" t="n">
        <v>53001911</v>
      </c>
      <c r="C2464" s="124" t="s">
        <v>171</v>
      </c>
      <c r="D2464" s="124" t="s">
        <v>127</v>
      </c>
      <c r="E2464" s="653" t="n">
        <v>1966.5</v>
      </c>
      <c r="G2464" s="123" t="n">
        <v>5589</v>
      </c>
      <c r="I2464" s="123" t="n">
        <v>7</v>
      </c>
    </row>
    <row r="2465" customFormat="false" ht="15" hidden="false" customHeight="false" outlineLevel="0" collapsed="false">
      <c r="A2465" s="652" t="n">
        <v>46049</v>
      </c>
      <c r="B2465" s="123" t="n">
        <v>53001912</v>
      </c>
      <c r="C2465" s="124" t="s">
        <v>195</v>
      </c>
      <c r="D2465" s="124" t="s">
        <v>127</v>
      </c>
      <c r="E2465" s="123" t="n">
        <v>483</v>
      </c>
      <c r="G2465" s="123" t="n">
        <v>6072</v>
      </c>
      <c r="M2465" s="123" t="n">
        <v>2</v>
      </c>
    </row>
    <row r="2466" customFormat="false" ht="15" hidden="false" customHeight="false" outlineLevel="0" collapsed="false">
      <c r="A2466" s="652" t="n">
        <v>46044</v>
      </c>
      <c r="B2466" s="123" t="s">
        <v>667</v>
      </c>
      <c r="C2466" s="124" t="s">
        <v>393</v>
      </c>
      <c r="F2466" s="123" t="n">
        <v>1656</v>
      </c>
      <c r="G2466" s="123" t="n">
        <v>4416</v>
      </c>
    </row>
    <row r="2467" customFormat="false" ht="15" hidden="false" customHeight="false" outlineLevel="0" collapsed="false">
      <c r="A2467" s="652" t="n">
        <v>46044</v>
      </c>
      <c r="B2467" s="123" t="s">
        <v>675</v>
      </c>
      <c r="C2467" s="124" t="s">
        <v>393</v>
      </c>
      <c r="F2467" s="653" t="n">
        <v>4415.5</v>
      </c>
      <c r="G2467" s="653" t="n">
        <v>0.5</v>
      </c>
    </row>
    <row r="2468" customFormat="false" ht="15" hidden="false" customHeight="false" outlineLevel="0" collapsed="false">
      <c r="A2468" s="652" t="n">
        <v>46050</v>
      </c>
      <c r="B2468" s="123" t="n">
        <v>53001913</v>
      </c>
      <c r="C2468" s="124" t="s">
        <v>150</v>
      </c>
      <c r="D2468" s="124" t="s">
        <v>127</v>
      </c>
      <c r="E2468" s="653" t="n">
        <v>793.5</v>
      </c>
      <c r="G2468" s="123" t="n">
        <v>794</v>
      </c>
      <c r="K2468" s="123" t="n">
        <v>1</v>
      </c>
      <c r="P2468" s="123" t="n">
        <v>2</v>
      </c>
    </row>
    <row r="2469" customFormat="false" ht="15" hidden="false" customHeight="false" outlineLevel="0" collapsed="false">
      <c r="A2469" s="652" t="n">
        <v>46050</v>
      </c>
      <c r="B2469" s="123" t="n">
        <v>53001914</v>
      </c>
      <c r="C2469" s="124" t="s">
        <v>158</v>
      </c>
      <c r="D2469" s="124" t="s">
        <v>127</v>
      </c>
      <c r="E2469" s="123" t="n">
        <v>3519</v>
      </c>
      <c r="G2469" s="123" t="n">
        <v>4313</v>
      </c>
      <c r="K2469" s="123" t="n">
        <v>14</v>
      </c>
    </row>
    <row r="2470" customFormat="false" ht="15" hidden="false" customHeight="false" outlineLevel="0" collapsed="false">
      <c r="A2470" s="652" t="n">
        <v>46050</v>
      </c>
      <c r="B2470" s="123" t="n">
        <v>53001915</v>
      </c>
      <c r="C2470" s="124" t="s">
        <v>90</v>
      </c>
      <c r="D2470" s="124" t="s">
        <v>75</v>
      </c>
      <c r="E2470" s="653" t="n">
        <v>155.25</v>
      </c>
      <c r="G2470" s="653" t="n">
        <v>4468.25</v>
      </c>
      <c r="P2470" s="123" t="n">
        <v>1</v>
      </c>
    </row>
    <row r="2471" customFormat="false" ht="15" hidden="false" customHeight="false" outlineLevel="0" collapsed="false">
      <c r="A2471" s="652" t="n">
        <v>46050</v>
      </c>
      <c r="B2471" s="123" t="n">
        <v>53001916</v>
      </c>
      <c r="C2471" s="124" t="s">
        <v>113</v>
      </c>
      <c r="D2471" s="124" t="s">
        <v>105</v>
      </c>
      <c r="E2471" s="653" t="n">
        <v>1966.5</v>
      </c>
      <c r="G2471" s="653" t="n">
        <v>6434.75</v>
      </c>
      <c r="I2471" s="123" t="n">
        <v>7</v>
      </c>
    </row>
    <row r="2472" customFormat="false" ht="15" hidden="false" customHeight="false" outlineLevel="0" collapsed="false">
      <c r="A2472" s="652" t="n">
        <v>46050</v>
      </c>
      <c r="B2472" s="123" t="n">
        <v>53001917</v>
      </c>
      <c r="C2472" s="124" t="s">
        <v>104</v>
      </c>
      <c r="D2472" s="124" t="s">
        <v>105</v>
      </c>
      <c r="E2472" s="653" t="n">
        <v>1759.5</v>
      </c>
      <c r="G2472" s="653" t="n">
        <v>8194.25</v>
      </c>
      <c r="K2472" s="123" t="n">
        <v>7</v>
      </c>
    </row>
    <row r="2473" customFormat="false" ht="15" hidden="false" customHeight="false" outlineLevel="0" collapsed="false">
      <c r="A2473" s="652" t="n">
        <v>46050</v>
      </c>
      <c r="B2473" s="123" t="n">
        <v>53001918</v>
      </c>
      <c r="C2473" s="124" t="s">
        <v>117</v>
      </c>
      <c r="D2473" s="124" t="s">
        <v>105</v>
      </c>
      <c r="E2473" s="653" t="n">
        <v>2213.75</v>
      </c>
      <c r="G2473" s="123" t="n">
        <v>10408</v>
      </c>
      <c r="L2473" s="123" t="n">
        <v>8</v>
      </c>
    </row>
    <row r="2474" customFormat="false" ht="15" hidden="false" customHeight="false" outlineLevel="0" collapsed="false">
      <c r="A2474" s="652" t="n">
        <v>46050</v>
      </c>
      <c r="B2474" s="123" t="n">
        <v>53001919</v>
      </c>
      <c r="C2474" s="124" t="s">
        <v>108</v>
      </c>
      <c r="D2474" s="124" t="s">
        <v>105</v>
      </c>
      <c r="E2474" s="123" t="n">
        <v>2231</v>
      </c>
      <c r="G2474" s="123" t="n">
        <v>12639</v>
      </c>
      <c r="I2474" s="123" t="n">
        <v>7</v>
      </c>
      <c r="P2474" s="123" t="n">
        <v>1</v>
      </c>
    </row>
    <row r="2475" customFormat="false" ht="15" hidden="false" customHeight="false" outlineLevel="0" collapsed="false">
      <c r="A2475" s="652" t="n">
        <v>46050</v>
      </c>
      <c r="B2475" s="123" t="n">
        <v>53001920</v>
      </c>
      <c r="C2475" s="124" t="s">
        <v>108</v>
      </c>
      <c r="D2475" s="124" t="s">
        <v>105</v>
      </c>
      <c r="E2475" s="123" t="n">
        <v>460</v>
      </c>
      <c r="G2475" s="123" t="n">
        <v>13099</v>
      </c>
      <c r="K2475" s="123" t="n">
        <v>2</v>
      </c>
    </row>
    <row r="2476" customFormat="false" ht="15" hidden="false" customHeight="false" outlineLevel="0" collapsed="false">
      <c r="A2476" s="652" t="n">
        <v>46050</v>
      </c>
      <c r="B2476" s="123" t="n">
        <v>53001921</v>
      </c>
      <c r="C2476" s="124" t="s">
        <v>109</v>
      </c>
      <c r="D2476" s="124" t="s">
        <v>105</v>
      </c>
      <c r="E2476" s="653" t="n">
        <v>310.5</v>
      </c>
      <c r="G2476" s="653" t="n">
        <v>13409.5</v>
      </c>
      <c r="P2476" s="123" t="n">
        <v>2</v>
      </c>
    </row>
    <row r="2477" customFormat="false" ht="15" hidden="false" customHeight="false" outlineLevel="0" collapsed="false">
      <c r="A2477" s="652" t="n">
        <v>46050</v>
      </c>
      <c r="B2477" s="123" t="n">
        <v>53001922</v>
      </c>
      <c r="C2477" s="124" t="s">
        <v>109</v>
      </c>
      <c r="D2477" s="124" t="s">
        <v>105</v>
      </c>
      <c r="E2477" s="653" t="n">
        <v>1966.5</v>
      </c>
      <c r="G2477" s="123" t="n">
        <v>15376</v>
      </c>
      <c r="I2477" s="123" t="n">
        <v>7</v>
      </c>
    </row>
    <row r="2478" customFormat="false" ht="15" hidden="false" customHeight="false" outlineLevel="0" collapsed="false">
      <c r="A2478" s="652" t="n">
        <v>46050</v>
      </c>
      <c r="B2478" s="123" t="n">
        <v>53001923</v>
      </c>
      <c r="C2478" s="124" t="s">
        <v>111</v>
      </c>
      <c r="D2478" s="124" t="s">
        <v>105</v>
      </c>
      <c r="E2478" s="653" t="n">
        <v>155.25</v>
      </c>
      <c r="G2478" s="653" t="n">
        <v>15531.25</v>
      </c>
      <c r="P2478" s="123" t="n">
        <v>1</v>
      </c>
    </row>
    <row r="2479" customFormat="false" ht="15" hidden="false" customHeight="false" outlineLevel="0" collapsed="false">
      <c r="A2479" s="652" t="n">
        <v>46050</v>
      </c>
      <c r="B2479" s="123" t="n">
        <v>53001924</v>
      </c>
      <c r="C2479" s="124" t="s">
        <v>96</v>
      </c>
      <c r="D2479" s="124" t="s">
        <v>75</v>
      </c>
      <c r="E2479" s="653" t="n">
        <v>1069.5</v>
      </c>
      <c r="G2479" s="653" t="n">
        <v>16600.75</v>
      </c>
      <c r="J2479" s="123" t="n">
        <v>7</v>
      </c>
    </row>
    <row r="2480" customFormat="false" ht="15" hidden="false" customHeight="false" outlineLevel="0" collapsed="false">
      <c r="A2480" s="652" t="n">
        <v>46050</v>
      </c>
      <c r="B2480" s="123" t="n">
        <v>53001925</v>
      </c>
      <c r="C2480" s="124" t="s">
        <v>95</v>
      </c>
      <c r="D2480" s="124" t="s">
        <v>75</v>
      </c>
      <c r="E2480" s="653" t="n">
        <v>1914.75</v>
      </c>
      <c r="G2480" s="653" t="n">
        <v>18515.5</v>
      </c>
      <c r="K2480" s="123" t="n">
        <v>7</v>
      </c>
    </row>
    <row r="2481" customFormat="false" ht="15" hidden="false" customHeight="false" outlineLevel="0" collapsed="false">
      <c r="A2481" s="652" t="n">
        <v>46051</v>
      </c>
      <c r="B2481" s="123" t="s">
        <v>675</v>
      </c>
      <c r="C2481" s="124" t="s">
        <v>393</v>
      </c>
      <c r="F2481" s="123" t="n">
        <v>16338</v>
      </c>
      <c r="G2481" s="653" t="n">
        <v>2177.5</v>
      </c>
    </row>
    <row r="2482" customFormat="false" ht="15" hidden="false" customHeight="false" outlineLevel="0" collapsed="false">
      <c r="A2482" s="652" t="n">
        <v>46051</v>
      </c>
      <c r="B2482" s="123" t="n">
        <v>53001926</v>
      </c>
      <c r="C2482" s="124" t="s">
        <v>130</v>
      </c>
      <c r="D2482" s="124" t="s">
        <v>127</v>
      </c>
      <c r="E2482" s="653" t="n">
        <v>264.5</v>
      </c>
      <c r="G2482" s="123" t="n">
        <v>2442</v>
      </c>
      <c r="P2482" s="123" t="n">
        <v>1</v>
      </c>
    </row>
    <row r="2483" customFormat="false" ht="15" hidden="false" customHeight="false" outlineLevel="0" collapsed="false">
      <c r="A2483" s="652" t="n">
        <v>46051</v>
      </c>
      <c r="B2483" s="123" t="n">
        <v>53001927</v>
      </c>
      <c r="C2483" s="124" t="s">
        <v>135</v>
      </c>
      <c r="D2483" s="124" t="s">
        <v>127</v>
      </c>
      <c r="E2483" s="653" t="n">
        <v>2213.75</v>
      </c>
      <c r="G2483" s="653" t="n">
        <v>4655.75</v>
      </c>
      <c r="L2483" s="123" t="n">
        <v>8</v>
      </c>
    </row>
    <row r="2484" customFormat="false" ht="15" hidden="false" customHeight="false" outlineLevel="0" collapsed="false">
      <c r="A2484" s="652" t="n">
        <v>46051</v>
      </c>
      <c r="B2484" s="123" t="n">
        <v>53001928</v>
      </c>
      <c r="C2484" s="124" t="s">
        <v>141</v>
      </c>
      <c r="D2484" s="124" t="s">
        <v>127</v>
      </c>
      <c r="E2484" s="123" t="n">
        <v>2070</v>
      </c>
      <c r="G2484" s="653" t="n">
        <v>6725.75</v>
      </c>
      <c r="K2484" s="123" t="n">
        <v>7</v>
      </c>
    </row>
    <row r="2485" customFormat="false" ht="15" hidden="false" customHeight="false" outlineLevel="0" collapsed="false">
      <c r="A2485" s="652" t="n">
        <v>46051</v>
      </c>
      <c r="B2485" s="123" t="n">
        <v>53001929</v>
      </c>
      <c r="C2485" s="124" t="s">
        <v>269</v>
      </c>
      <c r="D2485" s="124" t="s">
        <v>127</v>
      </c>
      <c r="E2485" s="653" t="n">
        <v>241.5</v>
      </c>
      <c r="G2485" s="653" t="n">
        <v>6967.25</v>
      </c>
      <c r="M2485" s="123" t="n">
        <v>1</v>
      </c>
    </row>
    <row r="2486" customFormat="false" ht="15" hidden="false" customHeight="false" outlineLevel="0" collapsed="false">
      <c r="A2486" s="652" t="n">
        <v>46051</v>
      </c>
      <c r="B2486" s="123" t="n">
        <v>53001930</v>
      </c>
      <c r="C2486" s="124" t="s">
        <v>178</v>
      </c>
      <c r="D2486" s="124" t="s">
        <v>127</v>
      </c>
      <c r="E2486" s="653" t="n">
        <v>293.25</v>
      </c>
      <c r="G2486" s="653" t="n">
        <v>7260.5</v>
      </c>
      <c r="H2486" s="653" t="n">
        <v>533.5</v>
      </c>
      <c r="O2486" s="123" t="n">
        <v>1</v>
      </c>
      <c r="P2486" s="123" t="n">
        <v>1</v>
      </c>
    </row>
    <row r="2487" customFormat="false" ht="15" hidden="false" customHeight="false" outlineLevel="0" collapsed="false">
      <c r="A2487" s="652" t="n">
        <v>46051</v>
      </c>
      <c r="B2487" s="123" t="n">
        <v>53001931</v>
      </c>
      <c r="C2487" s="124" t="s">
        <v>185</v>
      </c>
      <c r="D2487" s="124" t="s">
        <v>127</v>
      </c>
      <c r="E2487" s="123" t="n">
        <v>506</v>
      </c>
      <c r="G2487" s="653" t="n">
        <v>7766.5</v>
      </c>
      <c r="H2487" s="123" t="n">
        <v>0</v>
      </c>
      <c r="K2487" s="123" t="n">
        <v>1</v>
      </c>
      <c r="O2487" s="123" t="n">
        <v>2</v>
      </c>
    </row>
    <row r="2488" customFormat="false" ht="15" hidden="false" customHeight="false" outlineLevel="0" collapsed="false">
      <c r="A2488" s="652" t="n">
        <v>46051</v>
      </c>
      <c r="B2488" s="123" t="n">
        <v>53001932</v>
      </c>
      <c r="C2488" s="124" t="s">
        <v>187</v>
      </c>
      <c r="D2488" s="124" t="s">
        <v>127</v>
      </c>
      <c r="E2488" s="653" t="n">
        <v>1966.5</v>
      </c>
      <c r="G2488" s="123" t="n">
        <v>9733</v>
      </c>
      <c r="I2488" s="123" t="n">
        <v>7</v>
      </c>
    </row>
    <row r="2489" customFormat="false" ht="15" hidden="false" customHeight="false" outlineLevel="0" collapsed="false">
      <c r="A2489" s="652" t="n">
        <v>46051</v>
      </c>
      <c r="B2489" s="123" t="n">
        <v>53001933</v>
      </c>
      <c r="C2489" s="124" t="s">
        <v>168</v>
      </c>
      <c r="D2489" s="124" t="s">
        <v>127</v>
      </c>
      <c r="E2489" s="653" t="n">
        <v>2265.5</v>
      </c>
      <c r="G2489" s="653" t="n">
        <v>11998.5</v>
      </c>
      <c r="I2489" s="123" t="n">
        <v>7</v>
      </c>
      <c r="P2489" s="123" t="n">
        <v>1</v>
      </c>
    </row>
    <row r="2490" customFormat="false" ht="15" hidden="false" customHeight="false" outlineLevel="0" collapsed="false">
      <c r="A2490" s="652" t="n">
        <v>46051</v>
      </c>
      <c r="B2490" s="123" t="n">
        <v>53001934</v>
      </c>
      <c r="C2490" s="124" t="s">
        <v>174</v>
      </c>
      <c r="D2490" s="124" t="s">
        <v>127</v>
      </c>
      <c r="E2490" s="653" t="n">
        <v>977.5</v>
      </c>
      <c r="G2490" s="123" t="n">
        <v>12976</v>
      </c>
      <c r="O2490" s="123" t="n">
        <v>1</v>
      </c>
      <c r="P2490" s="123" t="n">
        <v>4</v>
      </c>
    </row>
    <row r="2491" customFormat="false" ht="15" hidden="false" customHeight="false" outlineLevel="0" collapsed="false">
      <c r="A2491" s="652" t="n">
        <v>46051</v>
      </c>
      <c r="B2491" s="123" t="n">
        <v>53001935</v>
      </c>
      <c r="C2491" s="124" t="s">
        <v>166</v>
      </c>
      <c r="D2491" s="124" t="s">
        <v>127</v>
      </c>
      <c r="E2491" s="123" t="n">
        <v>138</v>
      </c>
      <c r="G2491" s="123" t="n">
        <v>13114</v>
      </c>
      <c r="H2491" s="123" t="n">
        <v>0</v>
      </c>
      <c r="O2491" s="123" t="n">
        <v>1</v>
      </c>
    </row>
    <row r="2492" customFormat="false" ht="15" hidden="false" customHeight="false" outlineLevel="0" collapsed="false">
      <c r="A2492" s="652" t="n">
        <v>46051</v>
      </c>
      <c r="B2492" s="123" t="n">
        <v>53001936</v>
      </c>
      <c r="C2492" s="124" t="s">
        <v>132</v>
      </c>
      <c r="D2492" s="124" t="s">
        <v>127</v>
      </c>
      <c r="E2492" s="653" t="n">
        <v>241.5</v>
      </c>
      <c r="G2492" s="653" t="n">
        <v>13355.5</v>
      </c>
      <c r="M2492" s="123" t="n">
        <v>1</v>
      </c>
    </row>
    <row r="2493" customFormat="false" ht="15" hidden="false" customHeight="false" outlineLevel="0" collapsed="false">
      <c r="A2493" s="652" t="n">
        <v>46051</v>
      </c>
      <c r="B2493" s="123" t="n">
        <v>53001937</v>
      </c>
      <c r="C2493" s="124" t="s">
        <v>135</v>
      </c>
      <c r="D2493" s="124" t="s">
        <v>127</v>
      </c>
      <c r="E2493" s="653" t="n">
        <v>2213.75</v>
      </c>
      <c r="G2493" s="653" t="n">
        <v>15569.25</v>
      </c>
      <c r="L2493" s="123" t="n">
        <v>8</v>
      </c>
    </row>
    <row r="2494" customFormat="false" ht="15" hidden="false" customHeight="false" outlineLevel="0" collapsed="false">
      <c r="A2494" s="652" t="n">
        <v>46051</v>
      </c>
      <c r="B2494" s="123" t="n">
        <v>53001938</v>
      </c>
      <c r="C2494" s="124" t="s">
        <v>141</v>
      </c>
      <c r="D2494" s="124" t="s">
        <v>127</v>
      </c>
      <c r="E2494" s="653" t="n">
        <v>753.25</v>
      </c>
      <c r="G2494" s="653" t="n">
        <v>16322.5</v>
      </c>
      <c r="K2494" s="123" t="n">
        <v>2</v>
      </c>
      <c r="O2494" s="123" t="n">
        <v>1</v>
      </c>
      <c r="P2494" s="123" t="n">
        <v>1</v>
      </c>
    </row>
    <row r="2495" customFormat="false" ht="15" hidden="false" customHeight="false" outlineLevel="0" collapsed="false">
      <c r="A2495" s="652" t="n">
        <v>46052</v>
      </c>
      <c r="B2495" s="123" t="s">
        <v>675</v>
      </c>
      <c r="C2495" s="124" t="s">
        <v>393</v>
      </c>
      <c r="F2495" s="653" t="n">
        <v>6982.5</v>
      </c>
      <c r="G2495" s="123" t="n">
        <v>9340</v>
      </c>
    </row>
    <row r="2496" customFormat="false" ht="15" hidden="false" customHeight="false" outlineLevel="0" collapsed="false">
      <c r="A2496" s="652" t="n">
        <v>46053</v>
      </c>
      <c r="B2496" s="123" t="s">
        <v>667</v>
      </c>
      <c r="C2496" s="124" t="s">
        <v>393</v>
      </c>
      <c r="F2496" s="123" t="n">
        <v>7365</v>
      </c>
      <c r="G2496" s="123" t="n">
        <v>1975</v>
      </c>
      <c r="I2496" s="123" t="n">
        <v>1</v>
      </c>
      <c r="K2496" s="123" t="n">
        <v>1</v>
      </c>
    </row>
    <row r="2497" customFormat="false" ht="15" hidden="false" customHeight="false" outlineLevel="0" collapsed="false">
      <c r="A2497" s="652" t="n">
        <v>46053</v>
      </c>
      <c r="B2497" s="123" t="s">
        <v>675</v>
      </c>
      <c r="C2497" s="124" t="s">
        <v>393</v>
      </c>
      <c r="F2497" s="123" t="n">
        <v>1975</v>
      </c>
      <c r="G2497" s="123" t="n">
        <v>0</v>
      </c>
    </row>
    <row r="2498" customFormat="false" ht="15" hidden="false" customHeight="false" outlineLevel="0" collapsed="false">
      <c r="A2498" s="652" t="n">
        <v>46055</v>
      </c>
      <c r="B2498" s="123" t="n">
        <v>53001939</v>
      </c>
      <c r="C2498" s="124" t="s">
        <v>183</v>
      </c>
      <c r="D2498" s="124" t="s">
        <v>127</v>
      </c>
      <c r="E2498" s="123" t="n">
        <v>230</v>
      </c>
      <c r="G2498" s="123" t="n">
        <v>230</v>
      </c>
      <c r="K2498" s="123" t="n">
        <v>1</v>
      </c>
    </row>
    <row r="2499" customFormat="false" ht="15" hidden="false" customHeight="false" outlineLevel="0" collapsed="false">
      <c r="A2499" s="652" t="n">
        <v>46055</v>
      </c>
      <c r="B2499" s="123" t="n">
        <v>53001940</v>
      </c>
      <c r="C2499" s="124" t="s">
        <v>219</v>
      </c>
      <c r="D2499" s="124" t="s">
        <v>127</v>
      </c>
      <c r="E2499" s="653" t="n">
        <v>1322.5</v>
      </c>
      <c r="G2499" s="653" t="n">
        <v>1552.5</v>
      </c>
      <c r="P2499" s="123" t="n">
        <v>5</v>
      </c>
    </row>
    <row r="2500" customFormat="false" ht="15" hidden="false" customHeight="false" outlineLevel="0" collapsed="false">
      <c r="A2500" s="652" t="n">
        <v>46056</v>
      </c>
      <c r="B2500" s="123" t="s">
        <v>675</v>
      </c>
      <c r="C2500" s="124" t="s">
        <v>393</v>
      </c>
      <c r="F2500" s="123" t="n">
        <v>1552</v>
      </c>
      <c r="G2500" s="653" t="n">
        <v>0.5</v>
      </c>
    </row>
    <row r="2501" customFormat="false" ht="15" hidden="false" customHeight="false" outlineLevel="0" collapsed="false">
      <c r="A2501" s="652" t="n">
        <v>46056</v>
      </c>
      <c r="B2501" s="123" t="n">
        <v>53001941</v>
      </c>
      <c r="C2501" s="124" t="s">
        <v>110</v>
      </c>
      <c r="D2501" s="124" t="s">
        <v>105</v>
      </c>
      <c r="E2501" s="123" t="n">
        <v>3933</v>
      </c>
      <c r="G2501" s="653" t="n">
        <v>3933.5</v>
      </c>
      <c r="I2501" s="123" t="n">
        <v>14</v>
      </c>
    </row>
    <row r="2502" customFormat="false" ht="15" hidden="false" customHeight="false" outlineLevel="0" collapsed="false">
      <c r="A2502" s="652" t="n">
        <v>46056</v>
      </c>
      <c r="B2502" s="123" t="n">
        <v>53001942</v>
      </c>
      <c r="C2502" s="124" t="s">
        <v>115</v>
      </c>
      <c r="D2502" s="124" t="s">
        <v>105</v>
      </c>
      <c r="E2502" s="653" t="n">
        <v>155.25</v>
      </c>
      <c r="G2502" s="653" t="n">
        <v>4088.75</v>
      </c>
      <c r="P2502" s="123" t="n">
        <v>1</v>
      </c>
    </row>
    <row r="2503" customFormat="false" ht="15" hidden="false" customHeight="false" outlineLevel="0" collapsed="false">
      <c r="A2503" s="652" t="n">
        <v>46056</v>
      </c>
      <c r="B2503" s="123" t="n">
        <v>53001943</v>
      </c>
      <c r="C2503" s="124" t="s">
        <v>109</v>
      </c>
      <c r="D2503" s="124" t="s">
        <v>105</v>
      </c>
      <c r="E2503" s="653" t="n">
        <v>2495.5</v>
      </c>
      <c r="G2503" s="653" t="n">
        <v>6584.25</v>
      </c>
      <c r="I2503" s="123" t="n">
        <v>7</v>
      </c>
      <c r="P2503" s="123" t="n">
        <v>2</v>
      </c>
    </row>
    <row r="2504" customFormat="false" ht="15" hidden="false" customHeight="false" outlineLevel="0" collapsed="false">
      <c r="A2504" s="652" t="n">
        <v>46056</v>
      </c>
      <c r="B2504" s="123" t="n">
        <v>53001944</v>
      </c>
      <c r="C2504" s="124" t="s">
        <v>107</v>
      </c>
      <c r="D2504" s="124" t="s">
        <v>105</v>
      </c>
      <c r="E2504" s="653" t="n">
        <v>1966.5</v>
      </c>
      <c r="G2504" s="653" t="n">
        <v>8550.75</v>
      </c>
      <c r="I2504" s="123" t="n">
        <v>7</v>
      </c>
    </row>
    <row r="2505" customFormat="false" ht="15" hidden="false" customHeight="false" outlineLevel="0" collapsed="false">
      <c r="A2505" s="652" t="n">
        <v>46056</v>
      </c>
      <c r="B2505" s="123" t="n">
        <v>53001945</v>
      </c>
      <c r="C2505" s="124" t="s">
        <v>108</v>
      </c>
      <c r="D2505" s="124" t="s">
        <v>105</v>
      </c>
      <c r="E2505" s="653" t="n">
        <v>264.5</v>
      </c>
      <c r="G2505" s="653" t="n">
        <v>8815.25</v>
      </c>
      <c r="P2505" s="123" t="n">
        <v>1</v>
      </c>
    </row>
    <row r="2506" customFormat="false" ht="15" hidden="false" customHeight="false" outlineLevel="0" collapsed="false">
      <c r="A2506" s="652" t="n">
        <v>46056</v>
      </c>
      <c r="B2506" s="123" t="n">
        <v>53001946</v>
      </c>
      <c r="C2506" s="124" t="s">
        <v>104</v>
      </c>
      <c r="D2506" s="124" t="s">
        <v>105</v>
      </c>
      <c r="E2506" s="653" t="n">
        <v>293.25</v>
      </c>
      <c r="G2506" s="653" t="n">
        <v>9108.5</v>
      </c>
      <c r="O2506" s="123" t="n">
        <v>1</v>
      </c>
      <c r="P2506" s="123" t="n">
        <v>1</v>
      </c>
    </row>
    <row r="2507" customFormat="false" ht="15" hidden="false" customHeight="false" outlineLevel="0" collapsed="false">
      <c r="A2507" s="652" t="n">
        <v>46056</v>
      </c>
      <c r="B2507" s="123" t="s">
        <v>667</v>
      </c>
      <c r="C2507" s="124" t="s">
        <v>393</v>
      </c>
      <c r="F2507" s="123" t="n">
        <v>1016</v>
      </c>
      <c r="G2507" s="653" t="n">
        <v>8092.5</v>
      </c>
    </row>
    <row r="2508" customFormat="false" ht="15" hidden="false" customHeight="false" outlineLevel="0" collapsed="false">
      <c r="A2508" s="652" t="n">
        <v>46056</v>
      </c>
      <c r="B2508" s="123" t="s">
        <v>675</v>
      </c>
      <c r="C2508" s="124" t="s">
        <v>393</v>
      </c>
      <c r="F2508" s="123" t="n">
        <v>8092</v>
      </c>
      <c r="G2508" s="653" t="n">
        <v>0.5</v>
      </c>
    </row>
    <row r="2509" customFormat="false" ht="15" hidden="false" customHeight="false" outlineLevel="0" collapsed="false">
      <c r="A2509" s="652" t="n">
        <v>46057</v>
      </c>
      <c r="B2509" s="123" t="n">
        <v>53001947</v>
      </c>
      <c r="C2509" s="124" t="s">
        <v>132</v>
      </c>
      <c r="D2509" s="124" t="s">
        <v>127</v>
      </c>
      <c r="E2509" s="653" t="n">
        <v>638.25</v>
      </c>
      <c r="G2509" s="653" t="n">
        <v>638.75</v>
      </c>
      <c r="M2509" s="123" t="n">
        <v>2</v>
      </c>
      <c r="P2509" s="123" t="n">
        <v>1</v>
      </c>
    </row>
    <row r="2510" customFormat="false" ht="15" hidden="false" customHeight="false" outlineLevel="0" collapsed="false">
      <c r="A2510" s="652" t="n">
        <v>46057</v>
      </c>
      <c r="B2510" s="123" t="n">
        <v>53001948</v>
      </c>
      <c r="C2510" s="124" t="s">
        <v>152</v>
      </c>
      <c r="D2510" s="124" t="s">
        <v>127</v>
      </c>
      <c r="E2510" s="653" t="n">
        <v>1966.5</v>
      </c>
      <c r="G2510" s="653" t="n">
        <v>2605.25</v>
      </c>
      <c r="I2510" s="123" t="n">
        <v>7</v>
      </c>
    </row>
    <row r="2511" customFormat="false" ht="15" hidden="false" customHeight="false" outlineLevel="0" collapsed="false">
      <c r="A2511" s="652" t="n">
        <v>46057</v>
      </c>
      <c r="C2511" s="124" t="s">
        <v>393</v>
      </c>
      <c r="E2511" s="653" t="n">
        <v>-0.25</v>
      </c>
      <c r="F2511" s="123" t="n">
        <v>2605</v>
      </c>
      <c r="G2511" s="123" t="n">
        <v>0</v>
      </c>
    </row>
    <row r="2512" customFormat="false" ht="15" hidden="false" customHeight="false" outlineLevel="0" collapsed="false">
      <c r="A2512" s="652" t="n">
        <v>46058</v>
      </c>
      <c r="B2512" s="123" t="n">
        <v>53001949</v>
      </c>
      <c r="C2512" s="124" t="s">
        <v>92</v>
      </c>
      <c r="D2512" s="124" t="s">
        <v>75</v>
      </c>
      <c r="E2512" s="123" t="n">
        <v>483</v>
      </c>
      <c r="G2512" s="123" t="n">
        <v>483</v>
      </c>
      <c r="M2512" s="123" t="n">
        <v>2</v>
      </c>
    </row>
    <row r="2513" customFormat="false" ht="15" hidden="false" customHeight="false" outlineLevel="0" collapsed="false">
      <c r="A2513" s="652" t="n">
        <v>46058</v>
      </c>
      <c r="B2513" s="123" t="n">
        <v>53001950</v>
      </c>
      <c r="C2513" s="124" t="s">
        <v>130</v>
      </c>
      <c r="D2513" s="124" t="s">
        <v>127</v>
      </c>
      <c r="E2513" s="653" t="n">
        <v>615.25</v>
      </c>
      <c r="G2513" s="653" t="n">
        <v>1098.25</v>
      </c>
      <c r="P2513" s="123" t="n">
        <v>3</v>
      </c>
    </row>
    <row r="2514" customFormat="false" ht="15" hidden="false" customHeight="false" outlineLevel="0" collapsed="false">
      <c r="A2514" s="652" t="n">
        <v>46058</v>
      </c>
      <c r="B2514" s="123" t="n">
        <v>53001951</v>
      </c>
      <c r="C2514" s="124" t="s">
        <v>141</v>
      </c>
      <c r="D2514" s="124" t="s">
        <v>127</v>
      </c>
      <c r="E2514" s="653" t="n">
        <v>1322.5</v>
      </c>
      <c r="G2514" s="653" t="n">
        <v>2420.75</v>
      </c>
      <c r="P2514" s="123" t="n">
        <v>5</v>
      </c>
    </row>
    <row r="2515" customFormat="false" ht="15" hidden="false" customHeight="false" outlineLevel="0" collapsed="false">
      <c r="A2515" s="652" t="n">
        <v>46058</v>
      </c>
      <c r="B2515" s="123" t="n">
        <v>53001952</v>
      </c>
      <c r="C2515" s="124" t="s">
        <v>141</v>
      </c>
      <c r="D2515" s="124" t="s">
        <v>127</v>
      </c>
      <c r="E2515" s="653" t="n">
        <v>1966.5</v>
      </c>
      <c r="G2515" s="653" t="n">
        <v>4387.25</v>
      </c>
      <c r="I2515" s="123" t="n">
        <v>7</v>
      </c>
    </row>
    <row r="2516" customFormat="false" ht="15" hidden="false" customHeight="false" outlineLevel="0" collapsed="false">
      <c r="A2516" s="652" t="n">
        <v>46058</v>
      </c>
      <c r="B2516" s="123" t="s">
        <v>675</v>
      </c>
      <c r="C2516" s="124" t="s">
        <v>393</v>
      </c>
      <c r="F2516" s="123" t="n">
        <v>2731</v>
      </c>
      <c r="G2516" s="653" t="n">
        <v>1656.25</v>
      </c>
    </row>
    <row r="2517" customFormat="false" ht="15" hidden="false" customHeight="false" outlineLevel="0" collapsed="false">
      <c r="A2517" s="652" t="n">
        <v>46058</v>
      </c>
      <c r="B2517" s="123" t="s">
        <v>667</v>
      </c>
      <c r="C2517" s="124" t="s">
        <v>393</v>
      </c>
      <c r="E2517" s="653" t="n">
        <v>-0.25</v>
      </c>
      <c r="F2517" s="123" t="n">
        <v>1656</v>
      </c>
      <c r="G2517" s="123" t="n">
        <v>0</v>
      </c>
    </row>
    <row r="2518" customFormat="false" ht="15" hidden="false" customHeight="false" outlineLevel="0" collapsed="false">
      <c r="A2518" s="652" t="n">
        <v>46064</v>
      </c>
      <c r="B2518" s="123" t="n">
        <v>53001953</v>
      </c>
      <c r="C2518" s="124" t="s">
        <v>89</v>
      </c>
      <c r="D2518" s="124" t="s">
        <v>75</v>
      </c>
      <c r="E2518" s="653" t="n">
        <v>776.25</v>
      </c>
      <c r="G2518" s="653" t="n">
        <v>776.25</v>
      </c>
      <c r="M2518" s="123" t="n">
        <v>2</v>
      </c>
      <c r="O2518" s="123" t="n">
        <v>1</v>
      </c>
      <c r="P2518" s="123" t="n">
        <v>1</v>
      </c>
    </row>
    <row r="2519" customFormat="false" ht="15" hidden="false" customHeight="false" outlineLevel="0" collapsed="false">
      <c r="A2519" s="652" t="n">
        <v>46064</v>
      </c>
      <c r="B2519" s="123" t="n">
        <v>53001954</v>
      </c>
      <c r="C2519" s="124" t="s">
        <v>97</v>
      </c>
      <c r="D2519" s="124" t="s">
        <v>75</v>
      </c>
      <c r="E2519" s="123" t="n">
        <v>138</v>
      </c>
      <c r="G2519" s="653" t="n">
        <v>914.25</v>
      </c>
      <c r="O2519" s="123" t="n">
        <v>1</v>
      </c>
    </row>
    <row r="2520" customFormat="false" ht="15" hidden="false" customHeight="false" outlineLevel="0" collapsed="false">
      <c r="A2520" s="652" t="n">
        <v>46064</v>
      </c>
      <c r="B2520" s="123" t="n">
        <v>53001955</v>
      </c>
      <c r="C2520" s="124" t="s">
        <v>117</v>
      </c>
      <c r="D2520" s="124" t="s">
        <v>105</v>
      </c>
      <c r="E2520" s="653" t="n">
        <v>2213.75</v>
      </c>
      <c r="G2520" s="123" t="n">
        <v>3128</v>
      </c>
      <c r="L2520" s="123" t="n">
        <v>8</v>
      </c>
    </row>
    <row r="2521" customFormat="false" ht="15" hidden="false" customHeight="false" outlineLevel="0" collapsed="false">
      <c r="A2521" s="652" t="n">
        <v>46064</v>
      </c>
      <c r="B2521" s="123" t="n">
        <v>53001956</v>
      </c>
      <c r="C2521" s="124" t="s">
        <v>110</v>
      </c>
      <c r="D2521" s="124" t="s">
        <v>105</v>
      </c>
      <c r="E2521" s="123" t="n">
        <v>2070</v>
      </c>
      <c r="G2521" s="123" t="n">
        <v>5198</v>
      </c>
      <c r="K2521" s="123" t="n">
        <v>7</v>
      </c>
    </row>
    <row r="2522" customFormat="false" ht="15" hidden="false" customHeight="false" outlineLevel="0" collapsed="false">
      <c r="A2522" s="652" t="n">
        <v>46064</v>
      </c>
      <c r="B2522" s="123" t="n">
        <v>53001957</v>
      </c>
      <c r="C2522" s="124" t="s">
        <v>115</v>
      </c>
      <c r="D2522" s="124" t="s">
        <v>105</v>
      </c>
      <c r="E2522" s="653" t="n">
        <v>310.5</v>
      </c>
      <c r="G2522" s="653" t="n">
        <v>5508.5</v>
      </c>
      <c r="P2522" s="123" t="n">
        <v>2</v>
      </c>
    </row>
    <row r="2523" customFormat="false" ht="15" hidden="false" customHeight="false" outlineLevel="0" collapsed="false">
      <c r="A2523" s="652" t="n">
        <v>46064</v>
      </c>
      <c r="B2523" s="123" t="n">
        <v>53001958</v>
      </c>
      <c r="C2523" s="124" t="s">
        <v>109</v>
      </c>
      <c r="D2523" s="124" t="s">
        <v>105</v>
      </c>
      <c r="E2523" s="653" t="n">
        <v>2196.5</v>
      </c>
      <c r="G2523" s="123" t="n">
        <v>7705</v>
      </c>
      <c r="I2523" s="123" t="n">
        <v>7</v>
      </c>
      <c r="K2523" s="123" t="n">
        <v>1</v>
      </c>
    </row>
    <row r="2524" customFormat="false" ht="15" hidden="false" customHeight="false" outlineLevel="0" collapsed="false">
      <c r="A2524" s="652" t="n">
        <v>46064</v>
      </c>
      <c r="B2524" s="123" t="n">
        <v>53001959</v>
      </c>
      <c r="C2524" s="124" t="s">
        <v>116</v>
      </c>
      <c r="D2524" s="124" t="s">
        <v>105</v>
      </c>
      <c r="E2524" s="653" t="n">
        <v>1759.5</v>
      </c>
      <c r="G2524" s="653" t="n">
        <v>9464.5</v>
      </c>
      <c r="K2524" s="123" t="n">
        <v>7</v>
      </c>
    </row>
    <row r="2525" customFormat="false" ht="15" hidden="false" customHeight="false" outlineLevel="0" collapsed="false">
      <c r="A2525" s="652" t="n">
        <v>46064</v>
      </c>
      <c r="B2525" s="123" t="s">
        <v>675</v>
      </c>
      <c r="C2525" s="124" t="s">
        <v>393</v>
      </c>
      <c r="F2525" s="123" t="n">
        <v>1808</v>
      </c>
      <c r="G2525" s="653" t="n">
        <v>7656.5</v>
      </c>
    </row>
    <row r="2526" customFormat="false" ht="15" hidden="false" customHeight="false" outlineLevel="0" collapsed="false">
      <c r="A2526" s="652" t="n">
        <v>46064</v>
      </c>
      <c r="B2526" s="123" t="s">
        <v>675</v>
      </c>
      <c r="C2526" s="124" t="s">
        <v>393</v>
      </c>
      <c r="F2526" s="653" t="n">
        <v>5896.75</v>
      </c>
      <c r="G2526" s="653" t="n">
        <v>1759.75</v>
      </c>
    </row>
    <row r="2527" customFormat="false" ht="15" hidden="false" customHeight="false" outlineLevel="0" collapsed="false">
      <c r="A2527" s="652" t="n">
        <v>46065</v>
      </c>
      <c r="B2527" s="123" t="n">
        <v>53001960</v>
      </c>
      <c r="C2527" s="124" t="s">
        <v>135</v>
      </c>
      <c r="D2527" s="124" t="s">
        <v>127</v>
      </c>
      <c r="E2527" s="123" t="n">
        <v>1173</v>
      </c>
      <c r="G2527" s="653" t="n">
        <v>2932.75</v>
      </c>
      <c r="K2527" s="123" t="n">
        <v>3</v>
      </c>
      <c r="O2527" s="123" t="n">
        <v>2</v>
      </c>
    </row>
    <row r="2528" customFormat="false" ht="15" hidden="false" customHeight="false" outlineLevel="0" collapsed="false">
      <c r="A2528" s="652" t="n">
        <v>46065</v>
      </c>
      <c r="B2528" s="123" t="n">
        <v>53001961</v>
      </c>
      <c r="C2528" s="124" t="s">
        <v>161</v>
      </c>
      <c r="D2528" s="124" t="s">
        <v>127</v>
      </c>
      <c r="E2528" s="653" t="n">
        <v>2213.75</v>
      </c>
      <c r="G2528" s="653" t="n">
        <v>5146.5</v>
      </c>
      <c r="L2528" s="123" t="n">
        <v>8</v>
      </c>
    </row>
    <row r="2529" customFormat="false" ht="15" hidden="false" customHeight="false" outlineLevel="0" collapsed="false">
      <c r="A2529" s="652" t="n">
        <v>46068</v>
      </c>
      <c r="B2529" s="123" t="s">
        <v>667</v>
      </c>
      <c r="C2529" s="124" t="s">
        <v>393</v>
      </c>
      <c r="E2529" s="653" t="n">
        <v>-0.5</v>
      </c>
      <c r="F2529" s="123" t="n">
        <v>5146</v>
      </c>
      <c r="G2529" s="123" t="n">
        <v>0</v>
      </c>
    </row>
    <row r="2530" customFormat="false" ht="15" hidden="false" customHeight="false" outlineLevel="0" collapsed="false">
      <c r="A2530" s="652" t="n">
        <v>46068</v>
      </c>
      <c r="B2530" s="123" t="n">
        <v>53001962</v>
      </c>
      <c r="C2530" s="124" t="s">
        <v>158</v>
      </c>
      <c r="D2530" s="124" t="s">
        <v>127</v>
      </c>
      <c r="E2530" s="123" t="n">
        <v>3519</v>
      </c>
      <c r="G2530" s="123" t="n">
        <v>3519</v>
      </c>
      <c r="K2530" s="123" t="n">
        <v>14</v>
      </c>
    </row>
    <row r="2531" customFormat="false" ht="15" hidden="false" customHeight="false" outlineLevel="0" collapsed="false">
      <c r="A2531" s="652" t="n">
        <v>46068</v>
      </c>
      <c r="B2531" s="123" t="n">
        <v>53001963</v>
      </c>
      <c r="C2531" s="124" t="s">
        <v>131</v>
      </c>
      <c r="D2531" s="124" t="s">
        <v>127</v>
      </c>
      <c r="E2531" s="653" t="n">
        <v>1897.5</v>
      </c>
      <c r="G2531" s="653" t="n">
        <v>5416.5</v>
      </c>
      <c r="K2531" s="123" t="n">
        <v>7</v>
      </c>
      <c r="O2531" s="123" t="n">
        <v>1</v>
      </c>
    </row>
    <row r="2532" customFormat="false" ht="15" hidden="false" customHeight="false" outlineLevel="0" collapsed="false">
      <c r="A2532" s="652" t="n">
        <v>46068</v>
      </c>
      <c r="B2532" s="123" t="n">
        <v>53001964</v>
      </c>
      <c r="C2532" s="124" t="s">
        <v>141</v>
      </c>
      <c r="D2532" s="124" t="s">
        <v>127</v>
      </c>
      <c r="E2532" s="123" t="n">
        <v>1863</v>
      </c>
      <c r="G2532" s="653" t="n">
        <v>7279.5</v>
      </c>
      <c r="K2532" s="123" t="n">
        <v>7</v>
      </c>
    </row>
    <row r="2533" customFormat="false" ht="15" hidden="false" customHeight="false" outlineLevel="0" collapsed="false">
      <c r="A2533" s="652" t="n">
        <v>46068</v>
      </c>
      <c r="B2533" s="123" t="n">
        <v>53001965</v>
      </c>
      <c r="C2533" s="124" t="s">
        <v>141</v>
      </c>
      <c r="D2533" s="124" t="s">
        <v>127</v>
      </c>
      <c r="E2533" s="653" t="n">
        <v>1069.5</v>
      </c>
      <c r="G2533" s="123" t="n">
        <v>8349</v>
      </c>
      <c r="J2533" s="123" t="n">
        <v>7</v>
      </c>
    </row>
    <row r="2534" customFormat="false" ht="15" hidden="false" customHeight="false" outlineLevel="0" collapsed="false">
      <c r="A2534" s="652" t="n">
        <v>46068</v>
      </c>
      <c r="B2534" s="123" t="s">
        <v>667</v>
      </c>
      <c r="C2534" s="124" t="s">
        <v>393</v>
      </c>
      <c r="F2534" s="123" t="n">
        <v>3490</v>
      </c>
      <c r="G2534" s="123" t="n">
        <v>4859</v>
      </c>
    </row>
    <row r="2535" customFormat="false" ht="15" hidden="false" customHeight="false" outlineLevel="0" collapsed="false">
      <c r="A2535" s="652" t="n">
        <v>46068</v>
      </c>
      <c r="B2535" s="123" t="s">
        <v>675</v>
      </c>
      <c r="C2535" s="124" t="s">
        <v>393</v>
      </c>
      <c r="F2535" s="653" t="n">
        <v>4858.5</v>
      </c>
      <c r="G2535" s="653" t="n">
        <v>0.5</v>
      </c>
    </row>
    <row r="2536" customFormat="false" ht="15" hidden="false" customHeight="false" outlineLevel="0" collapsed="false">
      <c r="A2536" s="652" t="n">
        <v>46069</v>
      </c>
      <c r="B2536" s="123" t="n">
        <v>53001966</v>
      </c>
      <c r="C2536" s="124" t="s">
        <v>161</v>
      </c>
      <c r="D2536" s="124" t="s">
        <v>127</v>
      </c>
      <c r="E2536" s="653" t="n">
        <v>333.5</v>
      </c>
      <c r="G2536" s="123" t="n">
        <v>334</v>
      </c>
      <c r="O2536" s="123" t="n">
        <v>1</v>
      </c>
      <c r="P2536" s="123" t="n">
        <v>1</v>
      </c>
    </row>
    <row r="2537" customFormat="false" ht="15" hidden="false" customHeight="false" outlineLevel="0" collapsed="false">
      <c r="A2537" s="652" t="n">
        <v>46069</v>
      </c>
      <c r="B2537" s="123" t="n">
        <v>53001967</v>
      </c>
      <c r="C2537" s="124" t="s">
        <v>157</v>
      </c>
      <c r="D2537" s="124" t="s">
        <v>127</v>
      </c>
      <c r="E2537" s="653" t="n">
        <v>1966.5</v>
      </c>
      <c r="G2537" s="653" t="n">
        <v>2300.5</v>
      </c>
      <c r="I2537" s="123" t="n">
        <v>7</v>
      </c>
    </row>
    <row r="2538" customFormat="false" ht="15" hidden="false" customHeight="false" outlineLevel="0" collapsed="false">
      <c r="A2538" s="652" t="n">
        <v>46069</v>
      </c>
      <c r="B2538" s="123" t="n">
        <v>53001968</v>
      </c>
      <c r="C2538" s="124" t="s">
        <v>168</v>
      </c>
      <c r="D2538" s="124" t="s">
        <v>127</v>
      </c>
      <c r="E2538" s="653" t="n">
        <v>1759.5</v>
      </c>
      <c r="G2538" s="123" t="n">
        <v>4060</v>
      </c>
      <c r="K2538" s="123" t="n">
        <v>7</v>
      </c>
    </row>
    <row r="2539" customFormat="false" ht="15" hidden="false" customHeight="false" outlineLevel="0" collapsed="false">
      <c r="A2539" s="652" t="n">
        <v>46069</v>
      </c>
      <c r="B2539" s="123" t="s">
        <v>675</v>
      </c>
      <c r="C2539" s="124" t="s">
        <v>393</v>
      </c>
      <c r="F2539" s="653" t="n">
        <v>2517.75</v>
      </c>
      <c r="G2539" s="653" t="n">
        <v>1542.25</v>
      </c>
    </row>
    <row r="2540" customFormat="false" ht="15" hidden="false" customHeight="false" outlineLevel="0" collapsed="false">
      <c r="A2540" s="652" t="n">
        <v>46069</v>
      </c>
      <c r="B2540" s="123" t="s">
        <v>667</v>
      </c>
      <c r="C2540" s="124" t="s">
        <v>393</v>
      </c>
      <c r="F2540" s="123" t="n">
        <v>220</v>
      </c>
      <c r="G2540" s="653" t="n">
        <v>1322.25</v>
      </c>
    </row>
    <row r="2541" customFormat="false" ht="15" hidden="false" customHeight="false" outlineLevel="0" collapsed="false">
      <c r="A2541" s="652" t="n">
        <v>46070</v>
      </c>
      <c r="B2541" s="123" t="n">
        <v>53001969</v>
      </c>
      <c r="C2541" s="124" t="s">
        <v>94</v>
      </c>
      <c r="D2541" s="124" t="s">
        <v>75</v>
      </c>
      <c r="E2541" s="653" t="n">
        <v>1845.75</v>
      </c>
      <c r="G2541" s="123" t="n">
        <v>3168</v>
      </c>
      <c r="K2541" s="123" t="n">
        <v>7</v>
      </c>
    </row>
    <row r="2542" customFormat="false" ht="15" hidden="false" customHeight="false" outlineLevel="0" collapsed="false">
      <c r="A2542" s="652" t="n">
        <v>46070</v>
      </c>
      <c r="B2542" s="123" t="n">
        <v>53001970</v>
      </c>
      <c r="C2542" s="124" t="s">
        <v>96</v>
      </c>
      <c r="D2542" s="124" t="s">
        <v>75</v>
      </c>
      <c r="E2542" s="653" t="n">
        <v>155.25</v>
      </c>
      <c r="G2542" s="653" t="n">
        <v>3323.25</v>
      </c>
      <c r="P2542" s="123" t="n">
        <v>1</v>
      </c>
    </row>
    <row r="2543" customFormat="false" ht="15" hidden="false" customHeight="false" outlineLevel="0" collapsed="false">
      <c r="A2543" s="652" t="n">
        <v>46070</v>
      </c>
      <c r="B2543" s="123" t="n">
        <v>53001971</v>
      </c>
      <c r="C2543" s="124" t="s">
        <v>107</v>
      </c>
      <c r="D2543" s="124" t="s">
        <v>105</v>
      </c>
      <c r="E2543" s="653" t="n">
        <v>1966.5</v>
      </c>
      <c r="G2543" s="653" t="n">
        <v>5289.75</v>
      </c>
      <c r="I2543" s="123" t="n">
        <v>7</v>
      </c>
    </row>
    <row r="2544" customFormat="false" ht="15" hidden="false" customHeight="false" outlineLevel="0" collapsed="false">
      <c r="A2544" s="652" t="n">
        <v>46070</v>
      </c>
      <c r="B2544" s="123" t="n">
        <v>53001972</v>
      </c>
      <c r="C2544" s="124" t="s">
        <v>108</v>
      </c>
      <c r="D2544" s="124" t="s">
        <v>105</v>
      </c>
      <c r="E2544" s="653" t="n">
        <v>1966.5</v>
      </c>
      <c r="G2544" s="653" t="n">
        <v>7256.25</v>
      </c>
      <c r="I2544" s="123" t="n">
        <v>7</v>
      </c>
    </row>
    <row r="2545" customFormat="false" ht="15" hidden="false" customHeight="false" outlineLevel="0" collapsed="false">
      <c r="A2545" s="652" t="n">
        <v>46070</v>
      </c>
      <c r="B2545" s="123" t="n">
        <v>53001973</v>
      </c>
      <c r="C2545" s="124" t="s">
        <v>106</v>
      </c>
      <c r="D2545" s="124" t="s">
        <v>105</v>
      </c>
      <c r="E2545" s="653" t="n">
        <v>1966.5</v>
      </c>
      <c r="G2545" s="653" t="n">
        <v>9222.75</v>
      </c>
      <c r="I2545" s="123" t="n">
        <v>7</v>
      </c>
    </row>
    <row r="2546" customFormat="false" ht="15" hidden="false" customHeight="false" outlineLevel="0" collapsed="false">
      <c r="A2546" s="652" t="n">
        <v>46071</v>
      </c>
      <c r="B2546" s="123" t="n">
        <v>53001974</v>
      </c>
      <c r="C2546" s="124" t="s">
        <v>116</v>
      </c>
      <c r="D2546" s="124" t="s">
        <v>105</v>
      </c>
      <c r="E2546" s="123" t="n">
        <v>2737</v>
      </c>
      <c r="G2546" s="653" t="n">
        <v>11959.75</v>
      </c>
      <c r="I2546" s="123" t="n">
        <v>7</v>
      </c>
      <c r="M2546" s="123" t="n">
        <v>1</v>
      </c>
      <c r="P2546" s="123" t="n">
        <v>2</v>
      </c>
    </row>
    <row r="2547" customFormat="false" ht="15" hidden="false" customHeight="false" outlineLevel="0" collapsed="false">
      <c r="A2547" s="652" t="n">
        <v>46071</v>
      </c>
      <c r="B2547" s="123" t="s">
        <v>675</v>
      </c>
      <c r="C2547" s="124" t="s">
        <v>393</v>
      </c>
      <c r="F2547" s="123" t="n">
        <v>5713</v>
      </c>
      <c r="G2547" s="653" t="n">
        <v>6246.75</v>
      </c>
    </row>
    <row r="2548" customFormat="false" ht="15" hidden="false" customHeight="false" outlineLevel="0" collapsed="false">
      <c r="A2548" s="652" t="n">
        <v>46071</v>
      </c>
      <c r="B2548" s="123" t="s">
        <v>667</v>
      </c>
      <c r="C2548" s="124" t="s">
        <v>393</v>
      </c>
      <c r="F2548" s="653" t="n">
        <v>4744.75</v>
      </c>
      <c r="G2548" s="123" t="n">
        <v>1502</v>
      </c>
    </row>
    <row r="2549" customFormat="false" ht="15" hidden="false" customHeight="false" outlineLevel="0" collapsed="false">
      <c r="A2549" s="652" t="n">
        <v>46072</v>
      </c>
      <c r="B2549" s="123" t="n">
        <v>53001975</v>
      </c>
      <c r="C2549" s="124" t="s">
        <v>188</v>
      </c>
      <c r="D2549" s="124" t="s">
        <v>127</v>
      </c>
      <c r="E2549" s="653" t="n">
        <v>1966.5</v>
      </c>
      <c r="G2549" s="653" t="n">
        <v>3468.5</v>
      </c>
      <c r="I2549" s="123" t="n">
        <v>7</v>
      </c>
    </row>
    <row r="2550" customFormat="false" ht="15" hidden="false" customHeight="false" outlineLevel="0" collapsed="false">
      <c r="A2550" s="652" t="n">
        <v>46072</v>
      </c>
      <c r="B2550" s="123" t="s">
        <v>675</v>
      </c>
      <c r="C2550" s="124" t="s">
        <v>393</v>
      </c>
      <c r="F2550" s="123" t="n">
        <v>226</v>
      </c>
      <c r="G2550" s="653" t="n">
        <v>3242.5</v>
      </c>
    </row>
    <row r="2551" customFormat="false" ht="15" hidden="false" customHeight="false" outlineLevel="0" collapsed="false">
      <c r="A2551" s="652" t="n">
        <v>46069</v>
      </c>
      <c r="B2551" s="123" t="s">
        <v>667</v>
      </c>
      <c r="C2551" s="124" t="s">
        <v>393</v>
      </c>
      <c r="E2551" s="653" t="n">
        <v>-0.5</v>
      </c>
      <c r="F2551" s="123" t="n">
        <v>3242</v>
      </c>
      <c r="G2551" s="123" t="n">
        <v>0</v>
      </c>
    </row>
    <row r="2552" customFormat="false" ht="15" hidden="false" customHeight="false" outlineLevel="0" collapsed="false">
      <c r="A2552" s="652" t="n">
        <v>46072</v>
      </c>
      <c r="B2552" s="123" t="n">
        <v>53001976</v>
      </c>
      <c r="C2552" s="124" t="s">
        <v>154</v>
      </c>
      <c r="D2552" s="124" t="s">
        <v>127</v>
      </c>
      <c r="E2552" s="653" t="n">
        <v>1966.5</v>
      </c>
      <c r="G2552" s="653" t="n">
        <v>1966.5</v>
      </c>
      <c r="I2552" s="123" t="n">
        <v>7</v>
      </c>
    </row>
    <row r="2553" customFormat="false" ht="15" hidden="false" customHeight="false" outlineLevel="0" collapsed="false">
      <c r="A2553" s="652" t="n">
        <v>46072</v>
      </c>
      <c r="B2553" s="123" t="n">
        <v>53001977</v>
      </c>
      <c r="C2553" s="124" t="s">
        <v>189</v>
      </c>
      <c r="D2553" s="124" t="s">
        <v>127</v>
      </c>
      <c r="E2553" s="653" t="n">
        <v>155.25</v>
      </c>
      <c r="G2553" s="653" t="n">
        <v>2121.75</v>
      </c>
      <c r="P2553" s="123" t="n">
        <v>1</v>
      </c>
    </row>
    <row r="2554" customFormat="false" ht="15" hidden="false" customHeight="false" outlineLevel="0" collapsed="false">
      <c r="A2554" s="652" t="n">
        <v>46075</v>
      </c>
      <c r="B2554" s="123" t="n">
        <v>53001978</v>
      </c>
      <c r="C2554" s="124" t="s">
        <v>178</v>
      </c>
      <c r="D2554" s="124" t="s">
        <v>127</v>
      </c>
      <c r="E2554" s="653" t="n">
        <v>155.25</v>
      </c>
      <c r="G2554" s="123" t="n">
        <v>2277</v>
      </c>
      <c r="P2554" s="123" t="n">
        <v>1</v>
      </c>
    </row>
    <row r="2555" customFormat="false" ht="15" hidden="false" customHeight="false" outlineLevel="0" collapsed="false">
      <c r="A2555" s="652" t="n">
        <v>46075</v>
      </c>
      <c r="B2555" s="123" t="n">
        <v>53001979</v>
      </c>
      <c r="C2555" s="124" t="s">
        <v>176</v>
      </c>
      <c r="D2555" s="124" t="s">
        <v>127</v>
      </c>
      <c r="E2555" s="653" t="n">
        <v>155.25</v>
      </c>
      <c r="G2555" s="653" t="n">
        <v>2432.25</v>
      </c>
      <c r="P2555" s="123" t="n">
        <v>1</v>
      </c>
    </row>
    <row r="2556" customFormat="false" ht="15" hidden="false" customHeight="false" outlineLevel="0" collapsed="false">
      <c r="A2556" s="652" t="n">
        <v>46075</v>
      </c>
      <c r="B2556" s="123" t="s">
        <v>675</v>
      </c>
      <c r="C2556" s="124" t="s">
        <v>393</v>
      </c>
      <c r="E2556" s="653" t="n">
        <v>-0.25</v>
      </c>
      <c r="F2556" s="123" t="n">
        <v>2432</v>
      </c>
      <c r="G2556" s="123" t="n">
        <v>0</v>
      </c>
    </row>
    <row r="2557" customFormat="false" ht="15" hidden="false" customHeight="false" outlineLevel="0" collapsed="false">
      <c r="A2557" s="652" t="n">
        <v>46076</v>
      </c>
      <c r="B2557" s="123" t="n">
        <v>53001980</v>
      </c>
      <c r="C2557" s="124" t="s">
        <v>130</v>
      </c>
      <c r="D2557" s="124" t="s">
        <v>127</v>
      </c>
      <c r="E2557" s="653" t="n">
        <v>264.5</v>
      </c>
      <c r="G2557" s="653" t="n">
        <v>264.5</v>
      </c>
      <c r="P2557" s="123" t="n">
        <v>1</v>
      </c>
    </row>
    <row r="2558" customFormat="false" ht="15" hidden="false" customHeight="false" outlineLevel="0" collapsed="false">
      <c r="A2558" s="652" t="n">
        <v>46076</v>
      </c>
      <c r="B2558" s="123" t="n">
        <v>53001981</v>
      </c>
      <c r="C2558" s="124" t="s">
        <v>182</v>
      </c>
      <c r="D2558" s="124" t="s">
        <v>127</v>
      </c>
      <c r="E2558" s="653" t="n">
        <v>540.5</v>
      </c>
      <c r="G2558" s="123" t="n">
        <v>805</v>
      </c>
      <c r="M2558" s="123" t="n">
        <v>1</v>
      </c>
      <c r="P2558" s="123" t="n">
        <v>1</v>
      </c>
    </row>
    <row r="2559" customFormat="false" ht="15" hidden="false" customHeight="false" outlineLevel="0" collapsed="false">
      <c r="A2559" s="652" t="n">
        <v>46077</v>
      </c>
      <c r="B2559" s="123" t="n">
        <v>53001982</v>
      </c>
      <c r="C2559" s="124" t="s">
        <v>199</v>
      </c>
      <c r="D2559" s="124" t="s">
        <v>127</v>
      </c>
      <c r="E2559" s="653" t="n">
        <v>1069.5</v>
      </c>
      <c r="G2559" s="653" t="n">
        <v>1874.5</v>
      </c>
      <c r="J2559" s="123" t="n">
        <v>7</v>
      </c>
    </row>
    <row r="2560" customFormat="false" ht="15" hidden="false" customHeight="false" outlineLevel="0" collapsed="false">
      <c r="A2560" s="652" t="n">
        <v>46077</v>
      </c>
      <c r="B2560" s="123" t="n">
        <v>53001983</v>
      </c>
      <c r="C2560" s="124" t="s">
        <v>143</v>
      </c>
      <c r="D2560" s="124" t="s">
        <v>127</v>
      </c>
      <c r="E2560" s="123" t="n">
        <v>138</v>
      </c>
      <c r="G2560" s="653" t="n">
        <v>2012.5</v>
      </c>
      <c r="O2560" s="123" t="n">
        <v>1</v>
      </c>
    </row>
    <row r="2561" customFormat="false" ht="15" hidden="false" customHeight="false" outlineLevel="0" collapsed="false">
      <c r="A2561" s="652" t="n">
        <v>46077</v>
      </c>
      <c r="B2561" s="123" t="n">
        <v>53001984</v>
      </c>
      <c r="C2561" s="124" t="s">
        <v>141</v>
      </c>
      <c r="D2561" s="124" t="s">
        <v>127</v>
      </c>
      <c r="E2561" s="653" t="n">
        <v>1529.5</v>
      </c>
      <c r="G2561" s="123" t="n">
        <v>3542</v>
      </c>
      <c r="J2561" s="123" t="n">
        <v>7</v>
      </c>
      <c r="P2561" s="123" t="n">
        <v>2</v>
      </c>
    </row>
    <row r="2562" customFormat="false" ht="15" hidden="false" customHeight="false" outlineLevel="0" collapsed="false">
      <c r="A2562" s="652" t="n">
        <v>46078</v>
      </c>
      <c r="B2562" s="123" t="n">
        <v>53001985</v>
      </c>
      <c r="C2562" s="124" t="s">
        <v>141</v>
      </c>
      <c r="D2562" s="124" t="s">
        <v>127</v>
      </c>
      <c r="E2562" s="123" t="n">
        <v>529</v>
      </c>
      <c r="G2562" s="123" t="n">
        <v>4071</v>
      </c>
      <c r="P2562" s="123" t="n">
        <v>2</v>
      </c>
    </row>
    <row r="2563" customFormat="false" ht="15" hidden="false" customHeight="false" outlineLevel="0" collapsed="false">
      <c r="A2563" s="652" t="n">
        <v>46078</v>
      </c>
      <c r="B2563" s="123" t="n">
        <v>53001986</v>
      </c>
      <c r="C2563" s="124" t="s">
        <v>141</v>
      </c>
      <c r="D2563" s="124" t="s">
        <v>127</v>
      </c>
      <c r="E2563" s="653" t="n">
        <v>793.5</v>
      </c>
      <c r="G2563" s="653" t="n">
        <v>4864.5</v>
      </c>
      <c r="P2563" s="123" t="n">
        <v>3</v>
      </c>
    </row>
    <row r="2564" customFormat="false" ht="15" hidden="false" customHeight="false" outlineLevel="0" collapsed="false">
      <c r="A2564" s="652" t="n">
        <v>46078</v>
      </c>
      <c r="B2564" s="123" t="n">
        <v>53001987</v>
      </c>
      <c r="C2564" s="124" t="s">
        <v>141</v>
      </c>
      <c r="D2564" s="124" t="s">
        <v>127</v>
      </c>
      <c r="E2564" s="653" t="n">
        <v>3777.75</v>
      </c>
      <c r="G2564" s="653" t="n">
        <v>8642.25</v>
      </c>
      <c r="I2564" s="123" t="n">
        <v>7</v>
      </c>
      <c r="K2564" s="123" t="n">
        <v>7</v>
      </c>
    </row>
    <row r="2565" customFormat="false" ht="15" hidden="false" customHeight="false" outlineLevel="0" collapsed="false">
      <c r="A2565" s="652" t="n">
        <v>46078</v>
      </c>
      <c r="B2565" s="123" t="n">
        <v>53001988</v>
      </c>
      <c r="C2565" s="124" t="s">
        <v>138</v>
      </c>
      <c r="D2565" s="124" t="s">
        <v>127</v>
      </c>
      <c r="E2565" s="653" t="n">
        <v>1966.5</v>
      </c>
      <c r="G2565" s="653" t="n">
        <v>10608.75</v>
      </c>
      <c r="I2565" s="123" t="n">
        <v>7</v>
      </c>
    </row>
    <row r="2566" customFormat="false" ht="15" hidden="false" customHeight="false" outlineLevel="0" collapsed="false">
      <c r="A2566" s="652" t="n">
        <v>46078</v>
      </c>
      <c r="B2566" s="123" t="n">
        <v>53001989</v>
      </c>
      <c r="C2566" s="124" t="s">
        <v>158</v>
      </c>
      <c r="D2566" s="124" t="s">
        <v>127</v>
      </c>
      <c r="E2566" s="653" t="n">
        <v>6037.5</v>
      </c>
      <c r="G2566" s="653" t="n">
        <v>16646.25</v>
      </c>
      <c r="K2566" s="123" t="n">
        <v>21</v>
      </c>
      <c r="O2566" s="123" t="n">
        <v>4</v>
      </c>
    </row>
    <row r="2567" customFormat="false" ht="15" hidden="false" customHeight="false" outlineLevel="0" collapsed="false">
      <c r="A2567" s="652" t="n">
        <v>46079</v>
      </c>
      <c r="B2567" s="123" t="s">
        <v>667</v>
      </c>
      <c r="C2567" s="124" t="s">
        <v>393</v>
      </c>
      <c r="F2567" s="653" t="n">
        <v>4619.5</v>
      </c>
      <c r="G2567" s="653" t="n">
        <v>12026.75</v>
      </c>
    </row>
    <row r="2568" customFormat="false" ht="15" hidden="false" customHeight="false" outlineLevel="0" collapsed="false">
      <c r="A2568" s="652" t="n">
        <v>46079</v>
      </c>
      <c r="B2568" s="123" t="s">
        <v>675</v>
      </c>
      <c r="C2568" s="124" t="s">
        <v>393</v>
      </c>
      <c r="F2568" s="123" t="n">
        <v>1426</v>
      </c>
      <c r="G2568" s="653" t="n">
        <v>10600.75</v>
      </c>
    </row>
    <row r="2569" customFormat="false" ht="15" hidden="false" customHeight="false" outlineLevel="0" collapsed="false">
      <c r="A2569" s="652" t="n">
        <v>46079</v>
      </c>
      <c r="B2569" s="123" t="n">
        <v>53001990</v>
      </c>
      <c r="C2569" s="124" t="s">
        <v>160</v>
      </c>
      <c r="D2569" s="124" t="s">
        <v>127</v>
      </c>
      <c r="E2569" s="653" t="n">
        <v>155.25</v>
      </c>
      <c r="G2569" s="123" t="n">
        <v>10756</v>
      </c>
      <c r="P2569" s="123" t="n">
        <v>1</v>
      </c>
    </row>
    <row r="2570" customFormat="false" ht="15" hidden="false" customHeight="false" outlineLevel="0" collapsed="false">
      <c r="A2570" s="652" t="n">
        <v>46079</v>
      </c>
      <c r="B2570" s="123" t="n">
        <v>53001991</v>
      </c>
      <c r="C2570" s="124" t="s">
        <v>142</v>
      </c>
      <c r="D2570" s="124" t="s">
        <v>127</v>
      </c>
      <c r="E2570" s="653" t="n">
        <v>1811.25</v>
      </c>
      <c r="G2570" s="653" t="n">
        <v>12567.25</v>
      </c>
      <c r="K2570" s="123" t="n">
        <v>7</v>
      </c>
    </row>
    <row r="2571" customFormat="false" ht="15" hidden="false" customHeight="false" outlineLevel="0" collapsed="false">
      <c r="A2571" s="652" t="n">
        <v>46079</v>
      </c>
      <c r="B2571" s="123" t="n">
        <v>53001992</v>
      </c>
      <c r="C2571" s="124" t="s">
        <v>201</v>
      </c>
      <c r="D2571" s="124" t="s">
        <v>127</v>
      </c>
      <c r="E2571" s="653" t="n">
        <v>1966.5</v>
      </c>
      <c r="G2571" s="653" t="n">
        <v>14533.75</v>
      </c>
      <c r="I2571" s="123" t="n">
        <v>7</v>
      </c>
    </row>
    <row r="2572" customFormat="false" ht="15" hidden="false" customHeight="false" outlineLevel="0" collapsed="false">
      <c r="A2572" s="652" t="n">
        <v>46080</v>
      </c>
      <c r="B2572" s="123" t="n">
        <v>53001993</v>
      </c>
      <c r="C2572" s="124" t="s">
        <v>162</v>
      </c>
      <c r="D2572" s="124" t="s">
        <v>127</v>
      </c>
      <c r="E2572" s="653" t="n">
        <v>1966.5</v>
      </c>
      <c r="G2572" s="653" t="n">
        <v>16500.25</v>
      </c>
      <c r="I2572" s="123" t="n">
        <v>7</v>
      </c>
    </row>
    <row r="2573" customFormat="false" ht="15" hidden="false" customHeight="false" outlineLevel="0" collapsed="false">
      <c r="A2573" s="652" t="n">
        <v>46080</v>
      </c>
      <c r="B2573" s="123" t="n">
        <v>53001994</v>
      </c>
      <c r="C2573" s="124" t="s">
        <v>166</v>
      </c>
      <c r="D2573" s="124" t="s">
        <v>127</v>
      </c>
      <c r="E2573" s="653" t="n">
        <v>155.25</v>
      </c>
      <c r="G2573" s="653" t="n">
        <v>16655.5</v>
      </c>
      <c r="P2573" s="123" t="n">
        <v>1</v>
      </c>
    </row>
    <row r="2574" customFormat="false" ht="15" hidden="false" customHeight="false" outlineLevel="0" collapsed="false">
      <c r="A2574" s="652" t="n">
        <v>46080</v>
      </c>
      <c r="B2574" s="123" t="n">
        <v>53001995</v>
      </c>
      <c r="C2574" s="124" t="s">
        <v>174</v>
      </c>
      <c r="D2574" s="124" t="s">
        <v>127</v>
      </c>
      <c r="E2574" s="123" t="n">
        <v>3404</v>
      </c>
      <c r="G2574" s="653" t="n">
        <v>20059.5</v>
      </c>
      <c r="I2574" s="123" t="n">
        <v>7</v>
      </c>
      <c r="J2574" s="123" t="n">
        <v>7</v>
      </c>
      <c r="K2574" s="123" t="n">
        <v>1</v>
      </c>
      <c r="O2574" s="123" t="n">
        <v>1</v>
      </c>
    </row>
    <row r="2575" customFormat="false" ht="15" hidden="false" customHeight="false" outlineLevel="0" collapsed="false">
      <c r="A2575" s="652" t="n">
        <v>46081</v>
      </c>
      <c r="B2575" s="123" t="n">
        <v>53001996</v>
      </c>
      <c r="C2575" s="124" t="s">
        <v>194</v>
      </c>
      <c r="D2575" s="124" t="s">
        <v>127</v>
      </c>
      <c r="E2575" s="653" t="n">
        <v>1966.5</v>
      </c>
      <c r="G2575" s="123" t="n">
        <v>22026</v>
      </c>
      <c r="I2575" s="123" t="n">
        <v>7</v>
      </c>
    </row>
    <row r="2576" customFormat="false" ht="15" hidden="false" customHeight="false" outlineLevel="0" collapsed="false">
      <c r="A2576" s="652" t="n">
        <v>46081</v>
      </c>
      <c r="B2576" s="123" t="n">
        <v>53001997</v>
      </c>
      <c r="C2576" s="124" t="s">
        <v>198</v>
      </c>
      <c r="D2576" s="124" t="s">
        <v>127</v>
      </c>
      <c r="E2576" s="653" t="n">
        <v>1966.5</v>
      </c>
      <c r="G2576" s="653" t="n">
        <v>23992.5</v>
      </c>
      <c r="I2576" s="123" t="n">
        <v>7</v>
      </c>
    </row>
    <row r="2577" customFormat="false" ht="15" hidden="false" customHeight="false" outlineLevel="0" collapsed="false">
      <c r="A2577" s="652" t="n">
        <v>46081</v>
      </c>
      <c r="B2577" s="123" t="n">
        <v>53001998</v>
      </c>
      <c r="C2577" s="124" t="s">
        <v>197</v>
      </c>
      <c r="D2577" s="124" t="s">
        <v>127</v>
      </c>
      <c r="E2577" s="653" t="n">
        <v>1966.5</v>
      </c>
      <c r="G2577" s="123" t="n">
        <v>25959</v>
      </c>
      <c r="I2577" s="123" t="n">
        <v>7</v>
      </c>
    </row>
    <row r="2578" customFormat="false" ht="15" hidden="false" customHeight="false" outlineLevel="0" collapsed="false">
      <c r="A2578" s="652" t="n">
        <v>46081</v>
      </c>
      <c r="B2578" s="123" t="n">
        <v>53001999</v>
      </c>
      <c r="C2578" s="124" t="s">
        <v>169</v>
      </c>
      <c r="D2578" s="124" t="s">
        <v>127</v>
      </c>
      <c r="E2578" s="653" t="n">
        <v>1069.5</v>
      </c>
      <c r="G2578" s="653" t="n">
        <v>27028.5</v>
      </c>
      <c r="J2578" s="123" t="n">
        <v>7</v>
      </c>
    </row>
    <row r="2579" customFormat="false" ht="15" hidden="false" customHeight="false" outlineLevel="0" collapsed="false">
      <c r="A2579" s="652" t="n">
        <v>46081</v>
      </c>
      <c r="B2579" s="123" t="n">
        <v>53002000</v>
      </c>
      <c r="C2579" s="124" t="s">
        <v>175</v>
      </c>
      <c r="D2579" s="124" t="s">
        <v>127</v>
      </c>
      <c r="E2579" s="123" t="n">
        <v>460</v>
      </c>
      <c r="G2579" s="653" t="n">
        <v>27488.5</v>
      </c>
      <c r="K2579" s="123" t="n">
        <v>2</v>
      </c>
    </row>
    <row r="2580" customFormat="false" ht="15" hidden="false" customHeight="false" outlineLevel="0" collapsed="false">
      <c r="A2580" s="652" t="n">
        <v>46081</v>
      </c>
      <c r="B2580" s="123" t="n">
        <v>53002001</v>
      </c>
      <c r="C2580" s="124" t="s">
        <v>185</v>
      </c>
      <c r="D2580" s="124" t="s">
        <v>127</v>
      </c>
      <c r="E2580" s="653" t="n">
        <v>310.5</v>
      </c>
      <c r="G2580" s="123" t="n">
        <v>27799</v>
      </c>
      <c r="P2580" s="123" t="n">
        <v>1</v>
      </c>
    </row>
    <row r="2581" customFormat="false" ht="15" hidden="false" customHeight="false" outlineLevel="0" collapsed="false">
      <c r="A2581" s="652" t="n">
        <v>46081</v>
      </c>
      <c r="B2581" s="123" t="n">
        <v>53002002</v>
      </c>
      <c r="C2581" s="124" t="s">
        <v>180</v>
      </c>
      <c r="D2581" s="124" t="s">
        <v>127</v>
      </c>
      <c r="E2581" s="123" t="n">
        <v>1794</v>
      </c>
      <c r="G2581" s="123" t="n">
        <v>29593</v>
      </c>
      <c r="K2581" s="123" t="n">
        <v>7</v>
      </c>
    </row>
    <row r="2582" customFormat="false" ht="15" hidden="false" customHeight="false" outlineLevel="0" collapsed="false">
      <c r="A2582" s="652" t="n">
        <v>46081</v>
      </c>
      <c r="B2582" s="123" t="n">
        <v>53002003</v>
      </c>
      <c r="C2582" s="124" t="s">
        <v>150</v>
      </c>
      <c r="D2582" s="124" t="s">
        <v>127</v>
      </c>
      <c r="E2582" s="123" t="n">
        <v>299</v>
      </c>
      <c r="G2582" s="123" t="n">
        <v>29892</v>
      </c>
      <c r="P2582" s="123" t="n">
        <v>1</v>
      </c>
    </row>
    <row r="2583" customFormat="false" ht="15" hidden="false" customHeight="false" outlineLevel="0" collapsed="false">
      <c r="A2583" s="652" t="n">
        <v>46081</v>
      </c>
      <c r="B2583" s="123" t="n">
        <v>53002004</v>
      </c>
      <c r="C2583" s="124" t="s">
        <v>149</v>
      </c>
      <c r="D2583" s="124" t="s">
        <v>127</v>
      </c>
      <c r="E2583" s="653" t="n">
        <v>155.25</v>
      </c>
      <c r="G2583" s="653" t="n">
        <v>30047.25</v>
      </c>
      <c r="P2583" s="123" t="n">
        <v>1</v>
      </c>
    </row>
    <row r="2584" customFormat="false" ht="15" hidden="false" customHeight="false" outlineLevel="0" collapsed="false">
      <c r="A2584" s="652" t="n">
        <v>46081</v>
      </c>
      <c r="B2584" s="123" t="s">
        <v>675</v>
      </c>
      <c r="C2584" s="124" t="s">
        <v>393</v>
      </c>
      <c r="F2584" s="123" t="n">
        <v>2703</v>
      </c>
      <c r="G2584" s="653" t="n">
        <v>27344.25</v>
      </c>
    </row>
    <row r="2585" customFormat="false" ht="15" hidden="false" customHeight="false" outlineLevel="0" collapsed="false">
      <c r="A2585" s="652" t="n">
        <v>46081</v>
      </c>
      <c r="B2585" s="123" t="s">
        <v>675</v>
      </c>
      <c r="C2585" s="124" t="s">
        <v>393</v>
      </c>
      <c r="F2585" s="123" t="n">
        <v>3869</v>
      </c>
      <c r="G2585" s="653" t="n">
        <v>23475.25</v>
      </c>
    </row>
    <row r="2586" customFormat="false" ht="15" hidden="false" customHeight="false" outlineLevel="0" collapsed="false">
      <c r="A2586" s="652" t="n">
        <v>46081</v>
      </c>
      <c r="B2586" s="123" t="s">
        <v>675</v>
      </c>
      <c r="C2586" s="124" t="s">
        <v>393</v>
      </c>
      <c r="F2586" s="123" t="n">
        <v>887</v>
      </c>
      <c r="G2586" s="653" t="n">
        <v>22588.25</v>
      </c>
    </row>
    <row r="2587" customFormat="false" ht="15" hidden="false" customHeight="false" outlineLevel="0" collapsed="false">
      <c r="A2587" s="652" t="n">
        <v>46081</v>
      </c>
      <c r="B2587" s="123" t="s">
        <v>675</v>
      </c>
      <c r="C2587" s="124" t="s">
        <v>393</v>
      </c>
      <c r="F2587" s="123" t="n">
        <v>6967</v>
      </c>
      <c r="G2587" s="653" t="n">
        <v>15621.25</v>
      </c>
    </row>
    <row r="2588" customFormat="false" ht="15" hidden="false" customHeight="false" outlineLevel="0" collapsed="false">
      <c r="A2588" s="652" t="n">
        <v>46081</v>
      </c>
      <c r="B2588" s="123" t="s">
        <v>667</v>
      </c>
      <c r="C2588" s="124" t="s">
        <v>393</v>
      </c>
      <c r="F2588" s="123" t="n">
        <v>2079</v>
      </c>
      <c r="G2588" s="653" t="n">
        <v>13542.25</v>
      </c>
    </row>
    <row r="2589" customFormat="false" ht="15" hidden="false" customHeight="false" outlineLevel="0" collapsed="false">
      <c r="A2589" s="652" t="n">
        <v>46081</v>
      </c>
      <c r="B2589" s="123" t="s">
        <v>675</v>
      </c>
      <c r="C2589" s="124" t="s">
        <v>393</v>
      </c>
      <c r="F2589" s="123" t="n">
        <v>1221</v>
      </c>
      <c r="G2589" s="653" t="n">
        <v>12321.25</v>
      </c>
    </row>
    <row r="2590" customFormat="false" ht="15" hidden="false" customHeight="false" outlineLevel="0" collapsed="false">
      <c r="A2590" s="652" t="n">
        <v>46081</v>
      </c>
      <c r="B2590" s="123" t="s">
        <v>667</v>
      </c>
      <c r="C2590" s="124" t="s">
        <v>393</v>
      </c>
      <c r="F2590" s="123" t="n">
        <v>8317</v>
      </c>
      <c r="G2590" s="653" t="n">
        <v>4004.25</v>
      </c>
    </row>
    <row r="2591" customFormat="false" ht="15" hidden="false" customHeight="false" outlineLevel="0" collapsed="false">
      <c r="A2591" s="652" t="n">
        <v>46081</v>
      </c>
      <c r="B2591" s="123" t="s">
        <v>667</v>
      </c>
      <c r="C2591" s="124" t="s">
        <v>393</v>
      </c>
      <c r="F2591" s="123" t="n">
        <v>280</v>
      </c>
      <c r="G2591" s="653" t="n">
        <v>3724.25</v>
      </c>
    </row>
    <row r="2592" customFormat="false" ht="15" hidden="false" customHeight="false" outlineLevel="0" collapsed="false">
      <c r="A2592" s="652" t="n">
        <v>46081</v>
      </c>
      <c r="B2592" s="123" t="s">
        <v>676</v>
      </c>
      <c r="C2592" s="124" t="s">
        <v>393</v>
      </c>
      <c r="E2592" s="653" t="n">
        <v>-0.25</v>
      </c>
      <c r="F2592" s="123" t="n">
        <v>3724</v>
      </c>
      <c r="G2592" s="123" t="n">
        <v>0</v>
      </c>
    </row>
    <row r="2593" customFormat="false" ht="15" hidden="false" customHeight="false" outlineLevel="0" collapsed="false">
      <c r="A2593" s="652" t="n">
        <v>46084</v>
      </c>
      <c r="B2593" s="123" t="n">
        <v>53002005</v>
      </c>
      <c r="C2593" s="124" t="s">
        <v>97</v>
      </c>
      <c r="D2593" s="124" t="s">
        <v>75</v>
      </c>
      <c r="E2593" s="653" t="n">
        <v>155.25</v>
      </c>
      <c r="G2593" s="653" t="n">
        <v>155.25</v>
      </c>
      <c r="P2593" s="123" t="n">
        <v>1</v>
      </c>
    </row>
    <row r="2594" customFormat="false" ht="15" hidden="false" customHeight="false" outlineLevel="0" collapsed="false">
      <c r="A2594" s="652" t="n">
        <v>46084</v>
      </c>
      <c r="B2594" s="123" t="n">
        <v>53002006</v>
      </c>
      <c r="C2594" s="124" t="s">
        <v>104</v>
      </c>
      <c r="D2594" s="124" t="s">
        <v>105</v>
      </c>
      <c r="E2594" s="653" t="n">
        <v>155.25</v>
      </c>
      <c r="G2594" s="653" t="n">
        <v>310.5</v>
      </c>
      <c r="P2594" s="123" t="n">
        <v>1</v>
      </c>
    </row>
    <row r="2595" customFormat="false" ht="15" hidden="false" customHeight="false" outlineLevel="0" collapsed="false">
      <c r="A2595" s="652" t="n">
        <v>46084</v>
      </c>
      <c r="B2595" s="123" t="n">
        <v>53002007</v>
      </c>
      <c r="C2595" s="124" t="s">
        <v>117</v>
      </c>
      <c r="D2595" s="124" t="s">
        <v>105</v>
      </c>
      <c r="E2595" s="653" t="n">
        <v>2213.75</v>
      </c>
      <c r="G2595" s="653" t="n">
        <v>2524.25</v>
      </c>
      <c r="L2595" s="123" t="n">
        <v>8</v>
      </c>
    </row>
    <row r="2596" customFormat="false" ht="15" hidden="false" customHeight="false" outlineLevel="0" collapsed="false">
      <c r="A2596" s="652" t="n">
        <v>46084</v>
      </c>
      <c r="B2596" s="123" t="n">
        <v>53002008</v>
      </c>
      <c r="C2596" s="124" t="s">
        <v>107</v>
      </c>
      <c r="D2596" s="124" t="s">
        <v>105</v>
      </c>
      <c r="E2596" s="653" t="n">
        <v>1966.5</v>
      </c>
      <c r="G2596" s="653" t="n">
        <v>4490.75</v>
      </c>
      <c r="I2596" s="123" t="n">
        <v>7</v>
      </c>
    </row>
    <row r="2597" customFormat="false" ht="15" hidden="false" customHeight="false" outlineLevel="0" collapsed="false">
      <c r="A2597" s="652" t="n">
        <v>46084</v>
      </c>
      <c r="B2597" s="123" t="n">
        <v>53002009</v>
      </c>
      <c r="C2597" s="124" t="s">
        <v>109</v>
      </c>
      <c r="D2597" s="124" t="s">
        <v>105</v>
      </c>
      <c r="E2597" s="653" t="n">
        <v>1966.5</v>
      </c>
      <c r="G2597" s="653" t="n">
        <v>6457.25</v>
      </c>
      <c r="I2597" s="123" t="n">
        <v>7</v>
      </c>
    </row>
    <row r="2598" customFormat="false" ht="15" hidden="false" customHeight="false" outlineLevel="0" collapsed="false">
      <c r="A2598" s="652" t="n">
        <v>46084</v>
      </c>
      <c r="B2598" s="123" t="n">
        <v>53002010</v>
      </c>
      <c r="C2598" s="124" t="s">
        <v>89</v>
      </c>
      <c r="D2598" s="124" t="s">
        <v>75</v>
      </c>
      <c r="E2598" s="123" t="n">
        <v>483</v>
      </c>
      <c r="G2598" s="653" t="n">
        <v>6940.25</v>
      </c>
      <c r="M2598" s="123" t="n">
        <v>2</v>
      </c>
    </row>
    <row r="2599" customFormat="false" ht="15" hidden="false" customHeight="false" outlineLevel="0" collapsed="false">
      <c r="A2599" s="652" t="n">
        <v>46084</v>
      </c>
      <c r="B2599" s="123" t="n">
        <v>53002011</v>
      </c>
      <c r="C2599" s="124" t="s">
        <v>86</v>
      </c>
      <c r="D2599" s="124" t="s">
        <v>75</v>
      </c>
      <c r="E2599" s="653" t="n">
        <v>155.25</v>
      </c>
      <c r="G2599" s="653" t="n">
        <v>7095.5</v>
      </c>
      <c r="P2599" s="123" t="n">
        <v>1</v>
      </c>
    </row>
    <row r="2600" customFormat="false" ht="15" hidden="false" customHeight="false" outlineLevel="0" collapsed="false">
      <c r="A2600" s="652" t="n">
        <v>46084</v>
      </c>
      <c r="B2600" s="123" t="n">
        <v>53002012</v>
      </c>
      <c r="C2600" s="124" t="s">
        <v>88</v>
      </c>
      <c r="D2600" s="124" t="s">
        <v>75</v>
      </c>
      <c r="E2600" s="653" t="n">
        <v>241.5</v>
      </c>
      <c r="G2600" s="123" t="n">
        <v>7337</v>
      </c>
      <c r="M2600" s="123" t="n">
        <v>1</v>
      </c>
    </row>
    <row r="2601" customFormat="false" ht="15" hidden="false" customHeight="false" outlineLevel="0" collapsed="false">
      <c r="A2601" s="652" t="n">
        <v>46084</v>
      </c>
      <c r="B2601" s="123" t="n">
        <v>53002013</v>
      </c>
      <c r="C2601" s="124" t="s">
        <v>90</v>
      </c>
      <c r="D2601" s="124" t="s">
        <v>75</v>
      </c>
      <c r="E2601" s="653" t="n">
        <v>241.5</v>
      </c>
      <c r="G2601" s="653" t="n">
        <v>7578.5</v>
      </c>
      <c r="M2601" s="123" t="n">
        <v>1</v>
      </c>
    </row>
    <row r="2602" customFormat="false" ht="15" hidden="false" customHeight="false" outlineLevel="0" collapsed="false">
      <c r="A2602" s="652" t="n">
        <v>46085</v>
      </c>
      <c r="B2602" s="123" t="n">
        <v>53002014</v>
      </c>
      <c r="C2602" s="124" t="s">
        <v>81</v>
      </c>
      <c r="D2602" s="124" t="s">
        <v>75</v>
      </c>
      <c r="E2602" s="653" t="n">
        <v>6146.75</v>
      </c>
      <c r="G2602" s="653" t="n">
        <v>13725.25</v>
      </c>
      <c r="I2602" s="123" t="n">
        <v>14</v>
      </c>
      <c r="L2602" s="123" t="n">
        <v>8</v>
      </c>
    </row>
    <row r="2603" customFormat="false" ht="15" hidden="false" customHeight="false" outlineLevel="0" collapsed="false">
      <c r="A2603" s="652" t="n">
        <v>46085</v>
      </c>
      <c r="B2603" s="123" t="n">
        <v>53002015</v>
      </c>
      <c r="C2603" s="124" t="s">
        <v>183</v>
      </c>
      <c r="D2603" s="124" t="s">
        <v>127</v>
      </c>
      <c r="E2603" s="653" t="n">
        <v>1845.75</v>
      </c>
      <c r="G2603" s="123" t="n">
        <v>15571</v>
      </c>
      <c r="K2603" s="123" t="n">
        <v>7</v>
      </c>
    </row>
    <row r="2604" customFormat="false" ht="15" hidden="false" customHeight="false" outlineLevel="0" collapsed="false">
      <c r="A2604" s="652" t="n">
        <v>46085</v>
      </c>
      <c r="C2604" s="124" t="s">
        <v>393</v>
      </c>
      <c r="F2604" s="123" t="n">
        <v>2000</v>
      </c>
      <c r="G2604" s="123" t="n">
        <v>13571</v>
      </c>
    </row>
    <row r="2605" customFormat="false" ht="15" hidden="false" customHeight="false" outlineLevel="0" collapsed="false">
      <c r="A2605" s="652" t="n">
        <v>46085</v>
      </c>
      <c r="C2605" s="124" t="s">
        <v>393</v>
      </c>
      <c r="F2605" s="653" t="n">
        <v>9375.75</v>
      </c>
      <c r="G2605" s="653" t="n">
        <v>4195.25</v>
      </c>
    </row>
    <row r="2606" customFormat="false" ht="15" hidden="false" customHeight="false" outlineLevel="0" collapsed="false">
      <c r="A2606" s="652" t="n">
        <v>46086</v>
      </c>
      <c r="B2606" s="123" t="n">
        <v>53002016</v>
      </c>
      <c r="C2606" s="124" t="s">
        <v>160</v>
      </c>
      <c r="D2606" s="124" t="s">
        <v>127</v>
      </c>
      <c r="E2606" s="653" t="n">
        <v>155.25</v>
      </c>
      <c r="G2606" s="653" t="n">
        <v>4350.5</v>
      </c>
      <c r="P2606" s="123" t="n">
        <v>1</v>
      </c>
    </row>
    <row r="2607" customFormat="false" ht="15" hidden="false" customHeight="false" outlineLevel="0" collapsed="false">
      <c r="A2607" s="652" t="n">
        <v>46086</v>
      </c>
      <c r="B2607" s="123" t="n">
        <v>53002017</v>
      </c>
      <c r="C2607" s="124" t="s">
        <v>183</v>
      </c>
      <c r="D2607" s="124" t="s">
        <v>127</v>
      </c>
      <c r="E2607" s="123" t="n">
        <v>253</v>
      </c>
      <c r="G2607" s="653" t="n">
        <v>4603.5</v>
      </c>
      <c r="P2607" s="123" t="n">
        <v>1</v>
      </c>
    </row>
    <row r="2608" customFormat="false" ht="15" hidden="false" customHeight="false" outlineLevel="0" collapsed="false">
      <c r="A2608" s="652" t="n">
        <v>46086</v>
      </c>
      <c r="B2608" s="123" t="n">
        <v>53002018</v>
      </c>
      <c r="C2608" s="124" t="s">
        <v>181</v>
      </c>
      <c r="D2608" s="124" t="s">
        <v>127</v>
      </c>
      <c r="E2608" s="123" t="n">
        <v>253</v>
      </c>
      <c r="G2608" s="653" t="n">
        <v>4856.5</v>
      </c>
      <c r="P2608" s="123" t="n">
        <v>1</v>
      </c>
    </row>
    <row r="2609" customFormat="false" ht="15" hidden="false" customHeight="false" outlineLevel="0" collapsed="false">
      <c r="A2609" s="652" t="n">
        <v>46086</v>
      </c>
      <c r="B2609" s="123" t="n">
        <v>53002019</v>
      </c>
      <c r="C2609" s="124" t="s">
        <v>159</v>
      </c>
      <c r="D2609" s="124" t="s">
        <v>127</v>
      </c>
      <c r="E2609" s="653" t="n">
        <v>563.5</v>
      </c>
      <c r="G2609" s="123" t="n">
        <v>5420</v>
      </c>
      <c r="P2609" s="123" t="n">
        <v>2</v>
      </c>
    </row>
    <row r="2610" customFormat="false" ht="15" hidden="false" customHeight="false" outlineLevel="0" collapsed="false">
      <c r="A2610" s="652" t="n">
        <v>46086</v>
      </c>
      <c r="B2610" s="123" t="n">
        <v>53002020</v>
      </c>
      <c r="C2610" s="124" t="s">
        <v>135</v>
      </c>
      <c r="D2610" s="124" t="s">
        <v>127</v>
      </c>
      <c r="E2610" s="123" t="n">
        <v>598</v>
      </c>
      <c r="G2610" s="123" t="n">
        <v>6018</v>
      </c>
      <c r="P2610" s="123" t="n">
        <v>2</v>
      </c>
    </row>
    <row r="2611" customFormat="false" ht="15" hidden="false" customHeight="false" outlineLevel="0" collapsed="false">
      <c r="A2611" s="652" t="n">
        <v>46086</v>
      </c>
      <c r="B2611" s="123" t="s">
        <v>675</v>
      </c>
      <c r="C2611" s="124" t="s">
        <v>393</v>
      </c>
      <c r="F2611" s="123" t="n">
        <v>961</v>
      </c>
      <c r="G2611" s="123" t="n">
        <v>5057</v>
      </c>
    </row>
    <row r="2612" customFormat="false" ht="15" hidden="false" customHeight="false" outlineLevel="0" collapsed="false">
      <c r="A2612" s="652" t="n">
        <v>46086</v>
      </c>
      <c r="B2612" s="123" t="s">
        <v>677</v>
      </c>
      <c r="C2612" s="124" t="s">
        <v>393</v>
      </c>
      <c r="F2612" s="653" t="n">
        <v>3346.75</v>
      </c>
      <c r="G2612" s="653" t="n">
        <v>1710.25</v>
      </c>
    </row>
    <row r="2613" customFormat="false" ht="15" hidden="false" customHeight="false" outlineLevel="0" collapsed="false">
      <c r="A2613" s="652" t="n">
        <v>46086</v>
      </c>
      <c r="B2613" s="123" t="s">
        <v>675</v>
      </c>
      <c r="C2613" s="124" t="s">
        <v>393</v>
      </c>
      <c r="F2613" s="123" t="n">
        <v>1710</v>
      </c>
      <c r="G2613" s="653" t="n">
        <v>0.25</v>
      </c>
    </row>
    <row r="2614" customFormat="false" ht="15" hidden="false" customHeight="false" outlineLevel="0" collapsed="false">
      <c r="A2614" s="652" t="n">
        <v>46090</v>
      </c>
      <c r="B2614" s="123" t="n">
        <v>53002021</v>
      </c>
      <c r="C2614" s="124" t="s">
        <v>138</v>
      </c>
      <c r="D2614" s="124" t="s">
        <v>127</v>
      </c>
      <c r="E2614" s="653" t="n">
        <v>5675.25</v>
      </c>
      <c r="G2614" s="653" t="n">
        <v>5675.5</v>
      </c>
      <c r="I2614" s="123" t="n">
        <v>14</v>
      </c>
      <c r="K2614" s="123" t="n">
        <v>7</v>
      </c>
    </row>
    <row r="2615" customFormat="false" ht="15" hidden="false" customHeight="false" outlineLevel="0" collapsed="false">
      <c r="A2615" s="652" t="n">
        <v>46090</v>
      </c>
      <c r="B2615" s="123" t="n">
        <v>53002022</v>
      </c>
      <c r="C2615" s="124" t="s">
        <v>184</v>
      </c>
      <c r="D2615" s="124" t="s">
        <v>127</v>
      </c>
      <c r="E2615" s="653" t="n">
        <v>155.25</v>
      </c>
      <c r="G2615" s="653" t="n">
        <v>5830.75</v>
      </c>
      <c r="P2615" s="123" t="n">
        <v>1</v>
      </c>
    </row>
    <row r="2616" customFormat="false" ht="15" hidden="false" customHeight="false" outlineLevel="0" collapsed="false">
      <c r="A2616" s="652" t="n">
        <v>46090</v>
      </c>
      <c r="B2616" s="123" t="n">
        <v>53002023</v>
      </c>
      <c r="C2616" s="124" t="s">
        <v>175</v>
      </c>
      <c r="D2616" s="124" t="s">
        <v>127</v>
      </c>
      <c r="E2616" s="653" t="n">
        <v>2426.5</v>
      </c>
      <c r="G2616" s="653" t="n">
        <v>8257.25</v>
      </c>
      <c r="I2616" s="123" t="n">
        <v>7</v>
      </c>
      <c r="K2616" s="123" t="n">
        <v>2</v>
      </c>
    </row>
    <row r="2617" customFormat="false" ht="15" hidden="false" customHeight="false" outlineLevel="0" collapsed="false">
      <c r="A2617" s="652" t="n">
        <v>46091</v>
      </c>
      <c r="B2617" s="123" t="n">
        <v>53002024</v>
      </c>
      <c r="C2617" s="124" t="s">
        <v>141</v>
      </c>
      <c r="D2617" s="124" t="s">
        <v>127</v>
      </c>
      <c r="E2617" s="653" t="n">
        <v>3208.5</v>
      </c>
      <c r="G2617" s="653" t="n">
        <v>11465.75</v>
      </c>
      <c r="J2617" s="123" t="n">
        <v>21</v>
      </c>
    </row>
    <row r="2618" customFormat="false" ht="15" hidden="false" customHeight="false" outlineLevel="0" collapsed="false">
      <c r="A2618" s="652" t="n">
        <v>46092</v>
      </c>
      <c r="C2618" s="124" t="s">
        <v>393</v>
      </c>
      <c r="F2618" s="123" t="n">
        <v>11300</v>
      </c>
      <c r="G2618" s="653" t="n">
        <v>165.75</v>
      </c>
    </row>
    <row r="2619" customFormat="false" ht="15" hidden="false" customHeight="false" outlineLevel="0" collapsed="false">
      <c r="A2619" s="652" t="n">
        <v>46092</v>
      </c>
      <c r="B2619" s="123" t="n">
        <v>53002025</v>
      </c>
      <c r="C2619" s="124" t="s">
        <v>157</v>
      </c>
      <c r="D2619" s="124" t="s">
        <v>127</v>
      </c>
      <c r="E2619" s="653" t="n">
        <v>155.25</v>
      </c>
      <c r="G2619" s="123" t="n">
        <v>321</v>
      </c>
      <c r="P2619" s="123" t="n">
        <v>1</v>
      </c>
    </row>
    <row r="2620" customFormat="false" ht="15" hidden="false" customHeight="false" outlineLevel="0" collapsed="false">
      <c r="A2620" s="652" t="n">
        <v>46092</v>
      </c>
      <c r="B2620" s="123" t="n">
        <v>53002026</v>
      </c>
      <c r="C2620" s="124" t="s">
        <v>190</v>
      </c>
      <c r="D2620" s="124" t="s">
        <v>127</v>
      </c>
      <c r="E2620" s="653" t="n">
        <v>264.5</v>
      </c>
      <c r="G2620" s="653" t="n">
        <v>585.5</v>
      </c>
      <c r="P2620" s="123" t="n">
        <v>1</v>
      </c>
    </row>
    <row r="2621" customFormat="false" ht="15" hidden="false" customHeight="false" outlineLevel="0" collapsed="false">
      <c r="A2621" s="652" t="n">
        <v>46091</v>
      </c>
      <c r="B2621" s="123" t="n">
        <v>53002027</v>
      </c>
      <c r="C2621" s="124" t="s">
        <v>195</v>
      </c>
      <c r="D2621" s="124" t="s">
        <v>127</v>
      </c>
      <c r="E2621" s="653" t="n">
        <v>1966.5</v>
      </c>
      <c r="G2621" s="123" t="n">
        <v>2552</v>
      </c>
      <c r="I2621" s="123" t="n">
        <v>7</v>
      </c>
    </row>
    <row r="2622" customFormat="false" ht="15" hidden="false" customHeight="false" outlineLevel="0" collapsed="false">
      <c r="A2622" s="652" t="n">
        <v>46092</v>
      </c>
      <c r="B2622" s="123" t="s">
        <v>675</v>
      </c>
      <c r="C2622" s="124" t="s">
        <v>393</v>
      </c>
      <c r="F2622" s="653" t="n">
        <v>1079.58</v>
      </c>
      <c r="G2622" s="653" t="n">
        <v>1472.42</v>
      </c>
    </row>
    <row r="2623" customFormat="false" ht="15" hidden="false" customHeight="false" outlineLevel="0" collapsed="false">
      <c r="A2623" s="652" t="n">
        <v>46092</v>
      </c>
      <c r="B2623" s="123" t="s">
        <v>675</v>
      </c>
      <c r="C2623" s="124" t="s">
        <v>393</v>
      </c>
      <c r="F2623" s="123" t="n">
        <v>1113</v>
      </c>
      <c r="G2623" s="653" t="n">
        <v>359.42</v>
      </c>
    </row>
    <row r="2624" customFormat="false" ht="15" hidden="false" customHeight="false" outlineLevel="0" collapsed="false">
      <c r="A2624" s="652" t="n">
        <v>46093</v>
      </c>
      <c r="B2624" s="123" t="n">
        <v>53002028</v>
      </c>
      <c r="C2624" s="124" t="s">
        <v>188</v>
      </c>
      <c r="D2624" s="124" t="s">
        <v>127</v>
      </c>
      <c r="E2624" s="653" t="n">
        <v>155.25</v>
      </c>
      <c r="G2624" s="653" t="n">
        <v>514.67</v>
      </c>
      <c r="P2624" s="123" t="n">
        <v>1</v>
      </c>
    </row>
    <row r="2625" customFormat="false" ht="15" hidden="false" customHeight="false" outlineLevel="0" collapsed="false">
      <c r="A2625" s="652" t="n">
        <v>46093</v>
      </c>
      <c r="B2625" s="123" t="n">
        <v>53002029</v>
      </c>
      <c r="C2625" s="124" t="s">
        <v>135</v>
      </c>
      <c r="D2625" s="124" t="s">
        <v>127</v>
      </c>
      <c r="E2625" s="123" t="n">
        <v>6003</v>
      </c>
      <c r="G2625" s="653" t="n">
        <v>6517.67</v>
      </c>
      <c r="I2625" s="123" t="n">
        <v>14</v>
      </c>
      <c r="K2625" s="123" t="n">
        <v>7</v>
      </c>
      <c r="P2625" s="123" t="n">
        <v>4</v>
      </c>
    </row>
    <row r="2626" customFormat="false" ht="15" hidden="false" customHeight="false" outlineLevel="0" collapsed="false">
      <c r="A2626" s="652" t="n">
        <v>46095</v>
      </c>
      <c r="B2626" s="123" t="n">
        <v>53002030</v>
      </c>
      <c r="C2626" s="124" t="s">
        <v>106</v>
      </c>
      <c r="D2626" s="124" t="s">
        <v>105</v>
      </c>
      <c r="E2626" s="653" t="n">
        <v>1966.5</v>
      </c>
      <c r="G2626" s="653" t="n">
        <v>8484.17</v>
      </c>
      <c r="I2626" s="123" t="n">
        <v>7</v>
      </c>
    </row>
    <row r="2627" customFormat="false" ht="15" hidden="false" customHeight="false" outlineLevel="0" collapsed="false">
      <c r="A2627" s="652" t="n">
        <v>46095</v>
      </c>
      <c r="B2627" s="123" t="n">
        <v>53002031</v>
      </c>
      <c r="C2627" s="124" t="s">
        <v>113</v>
      </c>
      <c r="D2627" s="124" t="s">
        <v>105</v>
      </c>
      <c r="E2627" s="653" t="n">
        <v>264.5</v>
      </c>
      <c r="G2627" s="653" t="n">
        <v>8748.67</v>
      </c>
      <c r="P2627" s="123" t="n">
        <v>1</v>
      </c>
    </row>
    <row r="2628" customFormat="false" ht="15" hidden="false" customHeight="false" outlineLevel="0" collapsed="false">
      <c r="A2628" s="652" t="n">
        <v>46095</v>
      </c>
      <c r="B2628" s="123" t="n">
        <v>53002032</v>
      </c>
      <c r="C2628" s="124" t="s">
        <v>112</v>
      </c>
      <c r="D2628" s="124" t="s">
        <v>105</v>
      </c>
      <c r="E2628" s="123" t="n">
        <v>299</v>
      </c>
      <c r="G2628" s="653" t="n">
        <v>9047.67</v>
      </c>
      <c r="P2628" s="123" t="n">
        <v>1</v>
      </c>
    </row>
    <row r="2629" customFormat="false" ht="15" hidden="false" customHeight="false" outlineLevel="0" collapsed="false">
      <c r="A2629" s="652" t="n">
        <v>46095</v>
      </c>
      <c r="B2629" s="123" t="n">
        <v>53002033</v>
      </c>
      <c r="C2629" s="124" t="s">
        <v>116</v>
      </c>
      <c r="D2629" s="124" t="s">
        <v>105</v>
      </c>
      <c r="E2629" s="653" t="n">
        <v>1759.5</v>
      </c>
      <c r="G2629" s="653" t="n">
        <v>10807.17</v>
      </c>
      <c r="K2629" s="123" t="n">
        <v>7</v>
      </c>
    </row>
    <row r="2630" customFormat="false" ht="15" hidden="false" customHeight="false" outlineLevel="0" collapsed="false">
      <c r="A2630" s="652" t="n">
        <v>46095</v>
      </c>
      <c r="B2630" s="123" t="n">
        <v>53002034</v>
      </c>
      <c r="C2630" s="124" t="s">
        <v>117</v>
      </c>
      <c r="D2630" s="124" t="s">
        <v>105</v>
      </c>
      <c r="E2630" s="653" t="n">
        <v>2213.75</v>
      </c>
      <c r="G2630" s="653" t="n">
        <v>13020.92</v>
      </c>
      <c r="L2630" s="123" t="n">
        <v>8</v>
      </c>
    </row>
    <row r="2631" customFormat="false" ht="15" hidden="false" customHeight="false" outlineLevel="0" collapsed="false">
      <c r="A2631" s="652" t="n">
        <v>46095</v>
      </c>
      <c r="B2631" s="123" t="n">
        <v>53002035</v>
      </c>
      <c r="C2631" s="124" t="s">
        <v>115</v>
      </c>
      <c r="D2631" s="124" t="s">
        <v>105</v>
      </c>
      <c r="E2631" s="123" t="n">
        <v>230</v>
      </c>
      <c r="G2631" s="653" t="n">
        <v>13250.92</v>
      </c>
      <c r="K2631" s="123" t="n">
        <v>1</v>
      </c>
    </row>
    <row r="2632" customFormat="false" ht="15" hidden="false" customHeight="false" outlineLevel="0" collapsed="false">
      <c r="A2632" s="652" t="n">
        <v>46095</v>
      </c>
      <c r="B2632" s="123" t="n">
        <v>53002036</v>
      </c>
      <c r="C2632" s="124" t="s">
        <v>114</v>
      </c>
      <c r="D2632" s="124" t="s">
        <v>105</v>
      </c>
      <c r="E2632" s="123" t="n">
        <v>230</v>
      </c>
      <c r="G2632" s="653" t="n">
        <v>13480.92</v>
      </c>
      <c r="K2632" s="123" t="n">
        <v>1</v>
      </c>
    </row>
    <row r="2633" customFormat="false" ht="15" hidden="false" customHeight="false" outlineLevel="0" collapsed="false">
      <c r="A2633" s="652" t="n">
        <v>46095</v>
      </c>
      <c r="B2633" s="123" t="n">
        <v>53002037</v>
      </c>
      <c r="C2633" s="124" t="s">
        <v>111</v>
      </c>
      <c r="D2633" s="124" t="s">
        <v>105</v>
      </c>
      <c r="E2633" s="653" t="n">
        <v>241.5</v>
      </c>
      <c r="G2633" s="653" t="n">
        <v>13722.42</v>
      </c>
      <c r="M2633" s="123" t="n">
        <v>1</v>
      </c>
    </row>
    <row r="2634" customFormat="false" ht="15" hidden="false" customHeight="false" outlineLevel="0" collapsed="false">
      <c r="A2634" s="652" t="n">
        <v>46095</v>
      </c>
      <c r="B2634" s="123" t="n">
        <v>53002038</v>
      </c>
      <c r="C2634" s="124" t="s">
        <v>110</v>
      </c>
      <c r="D2634" s="124" t="s">
        <v>105</v>
      </c>
      <c r="E2634" s="653" t="n">
        <v>155.25</v>
      </c>
      <c r="G2634" s="653" t="n">
        <v>13877.67</v>
      </c>
      <c r="P2634" s="123" t="n">
        <v>1</v>
      </c>
    </row>
    <row r="2635" customFormat="false" ht="15" hidden="false" customHeight="false" outlineLevel="0" collapsed="false">
      <c r="A2635" s="652" t="n">
        <v>46096</v>
      </c>
      <c r="B2635" s="123" t="n">
        <v>53002039</v>
      </c>
      <c r="C2635" s="124" t="s">
        <v>158</v>
      </c>
      <c r="D2635" s="124" t="s">
        <v>127</v>
      </c>
      <c r="E2635" s="653" t="n">
        <v>7722.25</v>
      </c>
      <c r="G2635" s="653" t="n">
        <v>21599.92</v>
      </c>
      <c r="K2635" s="123" t="n">
        <v>24</v>
      </c>
      <c r="P2635" s="123" t="n">
        <v>5</v>
      </c>
    </row>
    <row r="2636" customFormat="false" ht="15" hidden="false" customHeight="false" outlineLevel="0" collapsed="false">
      <c r="A2636" s="652" t="n">
        <v>46096</v>
      </c>
      <c r="B2636" s="123" t="s">
        <v>675</v>
      </c>
      <c r="C2636" s="124" t="s">
        <v>393</v>
      </c>
      <c r="F2636" s="653" t="n">
        <v>2650.25</v>
      </c>
      <c r="G2636" s="653" t="n">
        <v>18949.67</v>
      </c>
    </row>
    <row r="2637" customFormat="false" ht="15" hidden="false" customHeight="false" outlineLevel="0" collapsed="false">
      <c r="A2637" s="652" t="n">
        <v>46096</v>
      </c>
      <c r="B2637" s="123" t="s">
        <v>675</v>
      </c>
      <c r="C2637" s="124" t="s">
        <v>393</v>
      </c>
      <c r="F2637" s="123" t="n">
        <v>1012</v>
      </c>
      <c r="G2637" s="653" t="n">
        <v>17937.67</v>
      </c>
    </row>
    <row r="2638" customFormat="false" ht="15" hidden="false" customHeight="false" outlineLevel="0" collapsed="false">
      <c r="A2638" s="652" t="n">
        <v>46096</v>
      </c>
      <c r="B2638" s="123" t="s">
        <v>675</v>
      </c>
      <c r="C2638" s="124" t="s">
        <v>393</v>
      </c>
      <c r="F2638" s="123" t="n">
        <v>8455</v>
      </c>
      <c r="G2638" s="653" t="n">
        <v>9482.67</v>
      </c>
    </row>
    <row r="2639" customFormat="false" ht="15" hidden="false" customHeight="false" outlineLevel="0" collapsed="false">
      <c r="A2639" s="652" t="n">
        <v>46096</v>
      </c>
      <c r="B2639" s="123" t="s">
        <v>677</v>
      </c>
      <c r="C2639" s="124" t="s">
        <v>393</v>
      </c>
      <c r="F2639" s="123" t="n">
        <v>4056</v>
      </c>
      <c r="G2639" s="653" t="n">
        <v>5426.67</v>
      </c>
    </row>
    <row r="2640" customFormat="false" ht="15" hidden="false" customHeight="false" outlineLevel="0" collapsed="false">
      <c r="A2640" s="652" t="n">
        <v>46097</v>
      </c>
      <c r="B2640" s="123" t="n">
        <v>53002040</v>
      </c>
      <c r="C2640" s="124" t="s">
        <v>171</v>
      </c>
      <c r="D2640" s="124" t="s">
        <v>127</v>
      </c>
      <c r="E2640" s="653" t="n">
        <v>1966.5</v>
      </c>
      <c r="G2640" s="653" t="n">
        <v>7393.17</v>
      </c>
      <c r="I2640" s="123" t="n">
        <v>7</v>
      </c>
    </row>
    <row r="2641" customFormat="false" ht="15" hidden="false" customHeight="false" outlineLevel="0" collapsed="false">
      <c r="A2641" s="652" t="n">
        <v>46098</v>
      </c>
      <c r="B2641" s="123" t="n">
        <v>53002041</v>
      </c>
      <c r="C2641" s="124" t="s">
        <v>169</v>
      </c>
      <c r="D2641" s="124" t="s">
        <v>127</v>
      </c>
      <c r="E2641" s="123" t="n">
        <v>230</v>
      </c>
      <c r="G2641" s="653" t="n">
        <v>7623.17</v>
      </c>
      <c r="K2641" s="123" t="n">
        <v>1</v>
      </c>
    </row>
    <row r="2642" customFormat="false" ht="15" hidden="false" customHeight="false" outlineLevel="0" collapsed="false">
      <c r="A2642" s="652" t="n">
        <v>46098</v>
      </c>
      <c r="B2642" s="123" t="n">
        <v>53002042</v>
      </c>
      <c r="C2642" s="124" t="s">
        <v>189</v>
      </c>
      <c r="D2642" s="124" t="s">
        <v>127</v>
      </c>
      <c r="E2642" s="653" t="n">
        <v>5692.5</v>
      </c>
      <c r="G2642" s="653" t="n">
        <v>13315.67</v>
      </c>
      <c r="I2642" s="123" t="n">
        <v>14</v>
      </c>
      <c r="K2642" s="123" t="n">
        <v>7</v>
      </c>
    </row>
    <row r="2643" customFormat="false" ht="15" hidden="false" customHeight="false" outlineLevel="0" collapsed="false">
      <c r="A2643" s="652" t="n">
        <v>46098</v>
      </c>
      <c r="B2643" s="123" t="n">
        <v>53002043</v>
      </c>
      <c r="C2643" s="124" t="s">
        <v>187</v>
      </c>
      <c r="D2643" s="124" t="s">
        <v>127</v>
      </c>
      <c r="E2643" s="123" t="n">
        <v>230</v>
      </c>
      <c r="G2643" s="653" t="n">
        <v>13545.67</v>
      </c>
      <c r="K2643" s="123" t="n">
        <v>1</v>
      </c>
    </row>
    <row r="2644" customFormat="false" ht="15" hidden="false" customHeight="false" outlineLevel="0" collapsed="false">
      <c r="A2644" s="652" t="n">
        <v>46098</v>
      </c>
      <c r="B2644" s="123" t="n">
        <v>53002044</v>
      </c>
      <c r="C2644" s="124" t="s">
        <v>172</v>
      </c>
      <c r="D2644" s="124" t="s">
        <v>127</v>
      </c>
      <c r="E2644" s="653" t="n">
        <v>1966.5</v>
      </c>
      <c r="G2644" s="653" t="n">
        <v>15512.17</v>
      </c>
      <c r="I2644" s="123" t="n">
        <v>7</v>
      </c>
    </row>
    <row r="2645" customFormat="false" ht="15" hidden="false" customHeight="false" outlineLevel="0" collapsed="false">
      <c r="A2645" s="652" t="n">
        <v>46098</v>
      </c>
      <c r="B2645" s="123" t="n">
        <v>53002045</v>
      </c>
      <c r="C2645" s="124" t="s">
        <v>143</v>
      </c>
      <c r="D2645" s="124" t="s">
        <v>127</v>
      </c>
      <c r="E2645" s="123" t="n">
        <v>299</v>
      </c>
      <c r="G2645" s="653" t="n">
        <v>15811.17</v>
      </c>
      <c r="P2645" s="123" t="n">
        <v>1</v>
      </c>
    </row>
    <row r="2646" customFormat="false" ht="15" hidden="false" customHeight="false" outlineLevel="0" collapsed="false">
      <c r="A2646" s="652" t="n">
        <v>46098</v>
      </c>
      <c r="B2646" s="123" t="n">
        <v>53002046</v>
      </c>
      <c r="C2646" s="124" t="s">
        <v>222</v>
      </c>
      <c r="D2646" s="124" t="s">
        <v>127</v>
      </c>
      <c r="E2646" s="123" t="n">
        <v>230</v>
      </c>
      <c r="G2646" s="653" t="n">
        <v>16041.17</v>
      </c>
      <c r="K2646" s="123" t="n">
        <v>1</v>
      </c>
    </row>
    <row r="2647" customFormat="false" ht="15" hidden="false" customHeight="false" outlineLevel="0" collapsed="false">
      <c r="A2647" s="652" t="n">
        <v>46098</v>
      </c>
      <c r="B2647" s="123" t="n">
        <v>53002047</v>
      </c>
      <c r="C2647" s="124" t="s">
        <v>126</v>
      </c>
      <c r="D2647" s="124" t="s">
        <v>127</v>
      </c>
      <c r="E2647" s="123" t="n">
        <v>230</v>
      </c>
      <c r="G2647" s="653" t="n">
        <v>16271.17</v>
      </c>
      <c r="K2647" s="123" t="n">
        <v>1</v>
      </c>
    </row>
    <row r="2648" customFormat="false" ht="15" hidden="false" customHeight="false" outlineLevel="0" collapsed="false">
      <c r="A2648" s="652" t="n">
        <v>46098</v>
      </c>
      <c r="B2648" s="123" t="n">
        <v>53002048</v>
      </c>
      <c r="C2648" s="124" t="s">
        <v>128</v>
      </c>
      <c r="D2648" s="124" t="s">
        <v>127</v>
      </c>
      <c r="E2648" s="123" t="n">
        <v>299</v>
      </c>
      <c r="G2648" s="653" t="n">
        <v>16570.17</v>
      </c>
      <c r="P2648" s="123" t="n">
        <v>1</v>
      </c>
    </row>
    <row r="2649" customFormat="false" ht="15" hidden="false" customHeight="false" outlineLevel="0" collapsed="false">
      <c r="A2649" s="652" t="n">
        <v>46098</v>
      </c>
      <c r="B2649" s="123" t="n">
        <v>53002049</v>
      </c>
      <c r="C2649" s="124" t="s">
        <v>117</v>
      </c>
      <c r="D2649" s="124" t="s">
        <v>105</v>
      </c>
      <c r="E2649" s="653" t="n">
        <v>2213.75</v>
      </c>
      <c r="G2649" s="653" t="n">
        <v>18783.92</v>
      </c>
      <c r="L2649" s="123" t="n">
        <v>8</v>
      </c>
    </row>
    <row r="2650" customFormat="false" ht="15" hidden="false" customHeight="false" outlineLevel="0" collapsed="false">
      <c r="A2650" s="652" t="n">
        <v>46098</v>
      </c>
      <c r="B2650" s="123" t="n">
        <v>53002050</v>
      </c>
      <c r="C2650" s="124" t="s">
        <v>110</v>
      </c>
      <c r="D2650" s="124" t="s">
        <v>105</v>
      </c>
      <c r="E2650" s="123" t="n">
        <v>7866</v>
      </c>
      <c r="G2650" s="653" t="n">
        <v>26649.92</v>
      </c>
      <c r="I2650" s="123" t="n">
        <v>28</v>
      </c>
    </row>
    <row r="2651" customFormat="false" ht="15" hidden="false" customHeight="false" outlineLevel="0" collapsed="false">
      <c r="A2651" s="652" t="n">
        <v>46098</v>
      </c>
      <c r="B2651" s="123" t="n">
        <v>53002051</v>
      </c>
      <c r="C2651" s="124" t="s">
        <v>109</v>
      </c>
      <c r="D2651" s="124" t="s">
        <v>105</v>
      </c>
      <c r="E2651" s="653" t="n">
        <v>1759.5</v>
      </c>
      <c r="G2651" s="653" t="n">
        <v>28409.42</v>
      </c>
      <c r="K2651" s="123" t="n">
        <v>7</v>
      </c>
    </row>
    <row r="2652" customFormat="false" ht="15" hidden="false" customHeight="false" outlineLevel="0" collapsed="false">
      <c r="A2652" s="652" t="n">
        <v>46098</v>
      </c>
      <c r="B2652" s="123" t="n">
        <v>53002052</v>
      </c>
      <c r="C2652" s="124" t="s">
        <v>108</v>
      </c>
      <c r="D2652" s="124" t="s">
        <v>105</v>
      </c>
      <c r="E2652" s="653" t="n">
        <v>1966.5</v>
      </c>
      <c r="G2652" s="653" t="n">
        <v>30375.92</v>
      </c>
      <c r="I2652" s="123" t="n">
        <v>7</v>
      </c>
    </row>
    <row r="2653" customFormat="false" ht="15" hidden="false" customHeight="false" outlineLevel="0" collapsed="false">
      <c r="A2653" s="652" t="n">
        <v>46098</v>
      </c>
      <c r="B2653" s="123" t="n">
        <v>53002053</v>
      </c>
      <c r="C2653" s="124" t="s">
        <v>107</v>
      </c>
      <c r="D2653" s="124" t="s">
        <v>105</v>
      </c>
      <c r="E2653" s="653" t="n">
        <v>310.5</v>
      </c>
      <c r="G2653" s="653" t="n">
        <v>30686.42</v>
      </c>
      <c r="P2653" s="123" t="n">
        <v>2</v>
      </c>
    </row>
    <row r="2654" customFormat="false" ht="15" hidden="false" customHeight="false" outlineLevel="0" collapsed="false">
      <c r="A2654" s="652" t="n">
        <v>46099</v>
      </c>
      <c r="B2654" s="123" t="n">
        <v>53002054</v>
      </c>
      <c r="C2654" s="124" t="s">
        <v>174</v>
      </c>
      <c r="D2654" s="124" t="s">
        <v>127</v>
      </c>
      <c r="E2654" s="653" t="n">
        <v>155.25</v>
      </c>
      <c r="G2654" s="653" t="n">
        <v>30841.67</v>
      </c>
      <c r="P2654" s="123" t="n">
        <v>1</v>
      </c>
    </row>
    <row r="2655" customFormat="false" ht="15" hidden="false" customHeight="false" outlineLevel="0" collapsed="false">
      <c r="A2655" s="652" t="n">
        <v>46099</v>
      </c>
      <c r="B2655" s="123" t="n">
        <v>53002055</v>
      </c>
      <c r="C2655" s="124" t="s">
        <v>150</v>
      </c>
      <c r="D2655" s="124" t="s">
        <v>127</v>
      </c>
      <c r="E2655" s="653" t="n">
        <v>155.25</v>
      </c>
      <c r="G2655" s="653" t="n">
        <v>30996.92</v>
      </c>
      <c r="P2655" s="123" t="n">
        <v>1</v>
      </c>
    </row>
    <row r="2656" customFormat="false" ht="15" hidden="false" customHeight="false" outlineLevel="0" collapsed="false">
      <c r="A2656" s="652" t="n">
        <v>46099</v>
      </c>
      <c r="B2656" s="123" t="n">
        <v>53002056</v>
      </c>
      <c r="C2656" s="124" t="s">
        <v>180</v>
      </c>
      <c r="D2656" s="124" t="s">
        <v>127</v>
      </c>
      <c r="E2656" s="653" t="n">
        <v>264.5</v>
      </c>
      <c r="G2656" s="653" t="n">
        <v>31261.42</v>
      </c>
      <c r="P2656" s="123" t="n">
        <v>1</v>
      </c>
    </row>
    <row r="2657" customFormat="false" ht="15" hidden="false" customHeight="false" outlineLevel="0" collapsed="false">
      <c r="A2657" s="652" t="n">
        <v>46099</v>
      </c>
      <c r="B2657" s="123" t="n">
        <v>53002057</v>
      </c>
      <c r="C2657" s="124" t="s">
        <v>183</v>
      </c>
      <c r="D2657" s="124" t="s">
        <v>127</v>
      </c>
      <c r="E2657" s="653" t="n">
        <v>1069.5</v>
      </c>
      <c r="G2657" s="653" t="n">
        <v>32330.92</v>
      </c>
      <c r="L2657" s="123" t="n">
        <v>3</v>
      </c>
    </row>
    <row r="2658" customFormat="false" ht="15" hidden="false" customHeight="false" outlineLevel="0" collapsed="false">
      <c r="A2658" s="652" t="n">
        <v>46099</v>
      </c>
      <c r="B2658" s="123" t="n">
        <v>53002058</v>
      </c>
      <c r="C2658" s="124" t="s">
        <v>130</v>
      </c>
      <c r="D2658" s="124" t="s">
        <v>127</v>
      </c>
      <c r="E2658" s="653" t="n">
        <v>356.5</v>
      </c>
      <c r="G2658" s="653" t="n">
        <v>32687.42</v>
      </c>
      <c r="L2658" s="123" t="n">
        <v>1</v>
      </c>
    </row>
    <row r="2659" customFormat="false" ht="15" hidden="false" customHeight="false" outlineLevel="0" collapsed="false">
      <c r="A2659" s="652" t="n">
        <v>46099</v>
      </c>
      <c r="B2659" s="123" t="s">
        <v>675</v>
      </c>
      <c r="C2659" s="124" t="s">
        <v>393</v>
      </c>
      <c r="F2659" s="123" t="n">
        <v>478</v>
      </c>
      <c r="G2659" s="653" t="n">
        <v>32209.42</v>
      </c>
    </row>
    <row r="2660" customFormat="false" ht="15" hidden="false" customHeight="false" outlineLevel="0" collapsed="false">
      <c r="A2660" s="652" t="n">
        <v>46099</v>
      </c>
      <c r="B2660" s="123" t="s">
        <v>675</v>
      </c>
      <c r="C2660" s="124" t="s">
        <v>393</v>
      </c>
      <c r="F2660" s="653" t="n">
        <v>3306.5</v>
      </c>
      <c r="G2660" s="653" t="n">
        <v>28902.92</v>
      </c>
    </row>
    <row r="2661" customFormat="false" ht="15" hidden="false" customHeight="false" outlineLevel="0" collapsed="false">
      <c r="A2661" s="652" t="n">
        <v>46099</v>
      </c>
      <c r="B2661" s="123" t="n">
        <v>53002059</v>
      </c>
      <c r="C2661" s="124" t="s">
        <v>155</v>
      </c>
      <c r="D2661" s="124" t="s">
        <v>127</v>
      </c>
      <c r="E2661" s="653" t="n">
        <v>5692.5</v>
      </c>
      <c r="G2661" s="653" t="n">
        <v>34595.42</v>
      </c>
      <c r="I2661" s="123" t="n">
        <v>14</v>
      </c>
      <c r="K2661" s="123" t="n">
        <v>7</v>
      </c>
    </row>
    <row r="2662" customFormat="false" ht="15" hidden="false" customHeight="false" outlineLevel="0" collapsed="false">
      <c r="A2662" s="652" t="n">
        <v>46099</v>
      </c>
      <c r="B2662" s="123" t="n">
        <v>53002060</v>
      </c>
      <c r="C2662" s="124" t="s">
        <v>152</v>
      </c>
      <c r="D2662" s="124" t="s">
        <v>127</v>
      </c>
      <c r="E2662" s="123" t="n">
        <v>6486</v>
      </c>
      <c r="G2662" s="653" t="n">
        <v>41081.42</v>
      </c>
      <c r="I2662" s="123" t="n">
        <v>14</v>
      </c>
      <c r="J2662" s="123" t="n">
        <v>7</v>
      </c>
      <c r="L2662" s="123" t="n">
        <v>1</v>
      </c>
      <c r="P2662" s="123" t="n">
        <v>4</v>
      </c>
    </row>
    <row r="2663" customFormat="false" ht="15" hidden="false" customHeight="false" outlineLevel="0" collapsed="false">
      <c r="A2663" s="652" t="n">
        <v>46100</v>
      </c>
      <c r="B2663" s="123" t="n">
        <v>53002061</v>
      </c>
      <c r="C2663" s="124" t="s">
        <v>141</v>
      </c>
      <c r="D2663" s="124" t="s">
        <v>127</v>
      </c>
      <c r="E2663" s="653" t="n">
        <v>5692.5</v>
      </c>
      <c r="G2663" s="653" t="n">
        <v>46773.92</v>
      </c>
      <c r="I2663" s="123" t="n">
        <v>14</v>
      </c>
      <c r="K2663" s="123" t="n">
        <v>7</v>
      </c>
    </row>
    <row r="2664" customFormat="false" ht="15" hidden="false" customHeight="false" outlineLevel="0" collapsed="false">
      <c r="A2664" s="652" t="n">
        <v>46100</v>
      </c>
      <c r="B2664" s="123" t="n">
        <v>53002062</v>
      </c>
      <c r="C2664" s="124" t="s">
        <v>200</v>
      </c>
      <c r="D2664" s="124" t="s">
        <v>127</v>
      </c>
      <c r="E2664" s="123" t="n">
        <v>230</v>
      </c>
      <c r="G2664" s="653" t="n">
        <v>47003.92</v>
      </c>
      <c r="K2664" s="123" t="n">
        <v>1</v>
      </c>
    </row>
    <row r="2665" customFormat="false" ht="15" hidden="false" customHeight="false" outlineLevel="0" collapsed="false">
      <c r="A2665" s="652" t="n">
        <v>46100</v>
      </c>
      <c r="B2665" s="123" t="n">
        <v>53002063</v>
      </c>
      <c r="C2665" s="124" t="s">
        <v>134</v>
      </c>
      <c r="D2665" s="124" t="s">
        <v>127</v>
      </c>
      <c r="E2665" s="123" t="n">
        <v>230</v>
      </c>
      <c r="G2665" s="653" t="n">
        <v>47233.92</v>
      </c>
      <c r="K2665" s="123" t="n">
        <v>1</v>
      </c>
    </row>
    <row r="2666" customFormat="false" ht="15" hidden="false" customHeight="false" outlineLevel="0" collapsed="false">
      <c r="A2666" s="652" t="n">
        <v>46100</v>
      </c>
      <c r="B2666" s="123" t="n">
        <v>53002064</v>
      </c>
      <c r="C2666" s="124" t="s">
        <v>148</v>
      </c>
      <c r="D2666" s="124" t="s">
        <v>127</v>
      </c>
      <c r="E2666" s="123" t="n">
        <v>230</v>
      </c>
      <c r="G2666" s="653" t="n">
        <v>47463.92</v>
      </c>
      <c r="K2666" s="123" t="n">
        <v>1</v>
      </c>
    </row>
    <row r="2667" customFormat="false" ht="15" hidden="false" customHeight="false" outlineLevel="0" collapsed="false">
      <c r="A2667" s="652" t="n">
        <v>46100</v>
      </c>
      <c r="B2667" s="123" t="n">
        <v>53002065</v>
      </c>
      <c r="C2667" s="124" t="s">
        <v>135</v>
      </c>
      <c r="D2667" s="124" t="s">
        <v>127</v>
      </c>
      <c r="E2667" s="653" t="n">
        <v>1069.5</v>
      </c>
      <c r="G2667" s="653" t="n">
        <v>48533.42</v>
      </c>
      <c r="L2667" s="123" t="n">
        <v>3</v>
      </c>
    </row>
    <row r="2668" customFormat="false" ht="15" hidden="false" customHeight="false" outlineLevel="0" collapsed="false">
      <c r="A2668" s="652" t="n">
        <v>46100</v>
      </c>
      <c r="B2668" s="123" t="n">
        <v>53002066</v>
      </c>
      <c r="C2668" s="124" t="s">
        <v>158</v>
      </c>
      <c r="D2668" s="124" t="s">
        <v>127</v>
      </c>
      <c r="E2668" s="653" t="n">
        <v>3570.75</v>
      </c>
      <c r="G2668" s="653" t="n">
        <v>52104.17</v>
      </c>
      <c r="K2668" s="123" t="n">
        <v>14</v>
      </c>
    </row>
    <row r="2669" customFormat="false" ht="15" hidden="false" customHeight="false" outlineLevel="0" collapsed="false">
      <c r="A2669" s="652" t="n">
        <v>46100</v>
      </c>
      <c r="B2669" s="123" t="n">
        <v>53002067</v>
      </c>
      <c r="C2669" s="124" t="s">
        <v>161</v>
      </c>
      <c r="D2669" s="124" t="s">
        <v>127</v>
      </c>
      <c r="E2669" s="123" t="n">
        <v>7406</v>
      </c>
      <c r="G2669" s="653" t="n">
        <v>59510.17</v>
      </c>
      <c r="I2669" s="123" t="n">
        <v>14</v>
      </c>
      <c r="K2669" s="123" t="n">
        <v>11</v>
      </c>
      <c r="P2669" s="123" t="n">
        <v>3</v>
      </c>
    </row>
    <row r="2670" customFormat="false" ht="15" hidden="false" customHeight="false" outlineLevel="0" collapsed="false">
      <c r="A2670" s="652" t="n">
        <v>46100</v>
      </c>
      <c r="B2670" s="123" t="n">
        <v>53002068</v>
      </c>
      <c r="C2670" s="124" t="s">
        <v>172</v>
      </c>
      <c r="D2670" s="124" t="s">
        <v>127</v>
      </c>
      <c r="E2670" s="653" t="n">
        <v>6146.75</v>
      </c>
      <c r="G2670" s="653" t="n">
        <v>65656.92</v>
      </c>
      <c r="I2670" s="123" t="n">
        <v>14</v>
      </c>
      <c r="L2670" s="123" t="n">
        <v>8</v>
      </c>
    </row>
    <row r="2671" customFormat="false" ht="15" hidden="false" customHeight="false" outlineLevel="0" collapsed="false">
      <c r="A2671" s="652" t="n">
        <v>46100</v>
      </c>
      <c r="B2671" s="123" t="s">
        <v>675</v>
      </c>
      <c r="C2671" s="124" t="s">
        <v>393</v>
      </c>
      <c r="F2671" s="123" t="n">
        <v>550</v>
      </c>
      <c r="G2671" s="653" t="n">
        <v>65106.92</v>
      </c>
    </row>
    <row r="2672" customFormat="false" ht="15" hidden="false" customHeight="false" outlineLevel="0" collapsed="false">
      <c r="A2672" s="652" t="n">
        <v>46100</v>
      </c>
      <c r="B2672" s="123" t="s">
        <v>675</v>
      </c>
      <c r="C2672" s="124" t="s">
        <v>393</v>
      </c>
      <c r="F2672" s="123" t="n">
        <v>2039</v>
      </c>
      <c r="G2672" s="653" t="n">
        <v>63067.92</v>
      </c>
    </row>
    <row r="2673" customFormat="false" ht="15" hidden="false" customHeight="false" outlineLevel="0" collapsed="false">
      <c r="A2673" s="652" t="n">
        <v>46106</v>
      </c>
      <c r="B2673" s="123" t="s">
        <v>677</v>
      </c>
      <c r="C2673" s="124" t="s">
        <v>393</v>
      </c>
      <c r="F2673" s="123" t="n">
        <v>5000</v>
      </c>
      <c r="G2673" s="653" t="n">
        <v>58067.92</v>
      </c>
    </row>
    <row r="2674" customFormat="false" ht="15" hidden="false" customHeight="false" outlineLevel="0" collapsed="false">
      <c r="A2674" s="652" t="n">
        <v>46106</v>
      </c>
      <c r="B2674" s="123" t="n">
        <v>53002069</v>
      </c>
      <c r="C2674" s="124" t="s">
        <v>158</v>
      </c>
      <c r="D2674" s="124" t="s">
        <v>127</v>
      </c>
      <c r="E2674" s="653" t="n">
        <v>5537.25</v>
      </c>
      <c r="G2674" s="653" t="n">
        <v>63605.17</v>
      </c>
      <c r="K2674" s="123" t="n">
        <v>21</v>
      </c>
    </row>
    <row r="2675" customFormat="false" ht="15" hidden="false" customHeight="false" outlineLevel="0" collapsed="false">
      <c r="A2675" s="652" t="n">
        <v>46106</v>
      </c>
      <c r="B2675" s="123" t="n">
        <v>53002070</v>
      </c>
      <c r="C2675" s="124" t="s">
        <v>161</v>
      </c>
      <c r="D2675" s="124" t="s">
        <v>127</v>
      </c>
      <c r="E2675" s="653" t="n">
        <v>1851.5</v>
      </c>
      <c r="G2675" s="653" t="n">
        <v>65456.67</v>
      </c>
      <c r="P2675" s="123" t="n">
        <v>7</v>
      </c>
    </row>
    <row r="2676" customFormat="false" ht="15" hidden="false" customHeight="false" outlineLevel="0" collapsed="false">
      <c r="A2676" s="652" t="n">
        <v>46106</v>
      </c>
      <c r="B2676" s="123" t="s">
        <v>675</v>
      </c>
      <c r="C2676" s="124" t="s">
        <v>393</v>
      </c>
      <c r="F2676" s="123" t="n">
        <v>2871</v>
      </c>
      <c r="G2676" s="653" t="n">
        <v>62585.67</v>
      </c>
    </row>
    <row r="2677" customFormat="false" ht="15" hidden="false" customHeight="false" outlineLevel="0" collapsed="false">
      <c r="A2677" s="652" t="n">
        <v>46107</v>
      </c>
      <c r="B2677" s="123" t="n">
        <v>53002071</v>
      </c>
      <c r="C2677" s="124" t="s">
        <v>135</v>
      </c>
      <c r="D2677" s="124" t="s">
        <v>127</v>
      </c>
      <c r="E2677" s="653" t="n">
        <v>155.25</v>
      </c>
      <c r="G2677" s="653" t="n">
        <v>62740.92</v>
      </c>
      <c r="P2677" s="123" t="n">
        <v>3</v>
      </c>
    </row>
    <row r="2678" customFormat="false" ht="15" hidden="false" customHeight="false" outlineLevel="0" collapsed="false">
      <c r="A2678" s="652" t="n">
        <v>46107</v>
      </c>
      <c r="B2678" s="123" t="n">
        <v>53002072</v>
      </c>
      <c r="C2678" s="124" t="s">
        <v>181</v>
      </c>
      <c r="D2678" s="124" t="s">
        <v>127</v>
      </c>
      <c r="E2678" s="123" t="n">
        <v>1012</v>
      </c>
      <c r="G2678" s="653" t="n">
        <v>63752.92</v>
      </c>
      <c r="P2678" s="123" t="n">
        <v>4</v>
      </c>
    </row>
    <row r="2679" customFormat="false" ht="15" hidden="false" customHeight="false" outlineLevel="0" collapsed="false">
      <c r="A2679" s="652" t="n">
        <v>46107</v>
      </c>
      <c r="B2679" s="123" t="n">
        <v>53002073</v>
      </c>
      <c r="C2679" s="124" t="s">
        <v>155</v>
      </c>
      <c r="D2679" s="124" t="s">
        <v>127</v>
      </c>
      <c r="E2679" s="123" t="n">
        <v>4899</v>
      </c>
      <c r="G2679" s="653" t="n">
        <v>68651.92</v>
      </c>
      <c r="I2679" s="123" t="n">
        <v>7</v>
      </c>
      <c r="J2679" s="123" t="n">
        <v>7</v>
      </c>
      <c r="K2679" s="123" t="n">
        <v>7</v>
      </c>
    </row>
    <row r="2680" customFormat="false" ht="15" hidden="false" customHeight="false" outlineLevel="0" collapsed="false">
      <c r="A2680" s="652" t="n">
        <v>46110</v>
      </c>
      <c r="B2680" s="123" t="s">
        <v>675</v>
      </c>
      <c r="C2680" s="124" t="s">
        <v>393</v>
      </c>
      <c r="F2680" s="123" t="n">
        <v>1153</v>
      </c>
      <c r="G2680" s="653" t="n">
        <v>67498.92</v>
      </c>
    </row>
    <row r="2681" customFormat="false" ht="15" hidden="false" customHeight="false" outlineLevel="0" collapsed="false">
      <c r="A2681" s="652" t="n">
        <v>46110</v>
      </c>
      <c r="B2681" s="123" t="s">
        <v>675</v>
      </c>
      <c r="C2681" s="124" t="s">
        <v>393</v>
      </c>
      <c r="F2681" s="653" t="n">
        <v>2190.75</v>
      </c>
      <c r="G2681" s="653" t="n">
        <v>65308.17</v>
      </c>
    </row>
    <row r="2682" customFormat="false" ht="15" hidden="false" customHeight="false" outlineLevel="0" collapsed="false">
      <c r="A2682" s="652" t="n">
        <v>46110</v>
      </c>
      <c r="B2682" s="123" t="s">
        <v>675</v>
      </c>
      <c r="C2682" s="124" t="s">
        <v>393</v>
      </c>
      <c r="F2682" s="123" t="n">
        <v>1812</v>
      </c>
      <c r="G2682" s="653" t="n">
        <v>63496.17</v>
      </c>
    </row>
    <row r="2683" customFormat="false" ht="15" hidden="false" customHeight="false" outlineLevel="0" collapsed="false">
      <c r="A2683" s="652" t="n">
        <v>46110</v>
      </c>
      <c r="B2683" s="123" t="s">
        <v>675</v>
      </c>
      <c r="C2683" s="124" t="s">
        <v>393</v>
      </c>
      <c r="F2683" s="123" t="n">
        <v>1430</v>
      </c>
      <c r="G2683" s="653" t="n">
        <v>62066.17</v>
      </c>
    </row>
    <row r="2684" customFormat="false" ht="15" hidden="false" customHeight="false" outlineLevel="0" collapsed="false">
      <c r="A2684" s="652" t="n">
        <v>46110</v>
      </c>
      <c r="B2684" s="123" t="s">
        <v>677</v>
      </c>
      <c r="C2684" s="124" t="s">
        <v>393</v>
      </c>
      <c r="F2684" s="123" t="n">
        <v>5491</v>
      </c>
      <c r="G2684" s="653" t="n">
        <v>56575.17</v>
      </c>
    </row>
    <row r="2685" customFormat="false" ht="15" hidden="false" customHeight="false" outlineLevel="0" collapsed="false">
      <c r="A2685" s="652" t="n">
        <v>46110</v>
      </c>
      <c r="B2685" s="123" t="n">
        <v>53002074</v>
      </c>
      <c r="C2685" s="124" t="s">
        <v>141</v>
      </c>
      <c r="D2685" s="124" t="s">
        <v>127</v>
      </c>
      <c r="E2685" s="653" t="n">
        <v>1966.5</v>
      </c>
      <c r="G2685" s="653" t="n">
        <v>58541.67</v>
      </c>
      <c r="I2685" s="123" t="n">
        <v>7</v>
      </c>
    </row>
    <row r="2686" customFormat="false" ht="15" hidden="false" customHeight="false" outlineLevel="0" collapsed="false">
      <c r="A2686" s="652" t="n">
        <v>46110</v>
      </c>
      <c r="B2686" s="123" t="s">
        <v>675</v>
      </c>
      <c r="C2686" s="124" t="s">
        <v>393</v>
      </c>
      <c r="F2686" s="123" t="n">
        <v>10002</v>
      </c>
      <c r="G2686" s="653" t="n">
        <v>48539.67</v>
      </c>
    </row>
    <row r="2687" customFormat="false" ht="15" hidden="false" customHeight="false" outlineLevel="0" collapsed="false">
      <c r="A2687" s="652" t="n">
        <v>46111</v>
      </c>
      <c r="B2687" s="123" t="s">
        <v>677</v>
      </c>
      <c r="C2687" s="124" t="s">
        <v>393</v>
      </c>
      <c r="F2687" s="653" t="n">
        <v>13059.5</v>
      </c>
      <c r="G2687" s="653" t="n">
        <v>35480.17</v>
      </c>
    </row>
    <row r="2688" customFormat="false" ht="15" hidden="false" customHeight="false" outlineLevel="0" collapsed="false">
      <c r="A2688" s="652" t="n">
        <v>46111</v>
      </c>
      <c r="B2688" s="123" t="n">
        <v>53002076</v>
      </c>
      <c r="C2688" s="124" t="s">
        <v>201</v>
      </c>
      <c r="D2688" s="124" t="s">
        <v>127</v>
      </c>
      <c r="E2688" s="653" t="n">
        <v>5514.25</v>
      </c>
      <c r="G2688" s="653" t="n">
        <v>40994.42</v>
      </c>
      <c r="I2688" s="123" t="n">
        <v>14</v>
      </c>
      <c r="K2688" s="123" t="n">
        <v>4</v>
      </c>
      <c r="L2688" s="123" t="n">
        <v>1</v>
      </c>
      <c r="M2688" s="123" t="n">
        <v>1</v>
      </c>
    </row>
    <row r="2689" customFormat="false" ht="15" hidden="false" customHeight="false" outlineLevel="0" collapsed="false">
      <c r="A2689" s="652" t="n">
        <v>46111</v>
      </c>
      <c r="B2689" s="123" t="n">
        <v>53002075</v>
      </c>
      <c r="C2689" s="124" t="s">
        <v>158</v>
      </c>
      <c r="D2689" s="124" t="s">
        <v>127</v>
      </c>
      <c r="E2689" s="123" t="n">
        <v>552</v>
      </c>
      <c r="G2689" s="653" t="n">
        <v>41546.42</v>
      </c>
      <c r="K2689" s="123" t="n">
        <v>2</v>
      </c>
    </row>
    <row r="2690" customFormat="false" ht="15" hidden="false" customHeight="false" outlineLevel="0" collapsed="false">
      <c r="A2690" s="652" t="n">
        <v>46111</v>
      </c>
      <c r="B2690" s="123" t="s">
        <v>675</v>
      </c>
      <c r="C2690" s="124" t="s">
        <v>393</v>
      </c>
      <c r="F2690" s="123" t="n">
        <v>3129</v>
      </c>
      <c r="G2690" s="653" t="n">
        <v>38417.42</v>
      </c>
    </row>
    <row r="2691" customFormat="false" ht="15" hidden="false" customHeight="false" outlineLevel="0" collapsed="false">
      <c r="A2691" s="652" t="n">
        <v>46111</v>
      </c>
      <c r="B2691" s="123" t="s">
        <v>675</v>
      </c>
      <c r="C2691" s="124" t="s">
        <v>393</v>
      </c>
      <c r="F2691" s="123" t="n">
        <v>1400</v>
      </c>
      <c r="G2691" s="653" t="n">
        <v>37017.42</v>
      </c>
    </row>
    <row r="2692" customFormat="false" ht="15" hidden="false" customHeight="false" outlineLevel="0" collapsed="false">
      <c r="A2692" s="652" t="n">
        <v>46112</v>
      </c>
      <c r="B2692" s="123" t="s">
        <v>677</v>
      </c>
      <c r="C2692" s="124" t="s">
        <v>393</v>
      </c>
      <c r="F2692" s="123" t="n">
        <v>1800</v>
      </c>
      <c r="G2692" s="653" t="n">
        <v>35217.42</v>
      </c>
    </row>
    <row r="2693" customFormat="false" ht="15" hidden="false" customHeight="false" outlineLevel="0" collapsed="false">
      <c r="A2693" s="652" t="n">
        <v>46112</v>
      </c>
      <c r="B2693" s="123" t="s">
        <v>675</v>
      </c>
      <c r="C2693" s="124" t="s">
        <v>393</v>
      </c>
      <c r="F2693" s="123" t="n">
        <v>2555</v>
      </c>
      <c r="G2693" s="653" t="n">
        <v>32662.42</v>
      </c>
    </row>
    <row r="2694" customFormat="false" ht="15" hidden="false" customHeight="false" outlineLevel="0" collapsed="false">
      <c r="A2694" s="652" t="n">
        <v>46112</v>
      </c>
      <c r="B2694" s="123" t="s">
        <v>675</v>
      </c>
      <c r="C2694" s="124" t="s">
        <v>393</v>
      </c>
      <c r="F2694" s="123" t="n">
        <v>2178</v>
      </c>
      <c r="G2694" s="653" t="n">
        <v>30484.42</v>
      </c>
    </row>
    <row r="2695" customFormat="false" ht="15" hidden="false" customHeight="false" outlineLevel="0" collapsed="false">
      <c r="A2695" s="652" t="n">
        <v>46112</v>
      </c>
      <c r="B2695" s="123" t="n">
        <v>53002077</v>
      </c>
      <c r="C2695" s="124" t="s">
        <v>168</v>
      </c>
      <c r="D2695" s="124" t="s">
        <v>127</v>
      </c>
      <c r="E2695" s="653" t="n">
        <v>4174.5</v>
      </c>
      <c r="G2695" s="653" t="n">
        <v>34658.92</v>
      </c>
      <c r="I2695" s="123" t="n">
        <v>14</v>
      </c>
      <c r="M2695" s="123" t="n">
        <v>1</v>
      </c>
    </row>
    <row r="2696" customFormat="false" ht="15" hidden="false" customHeight="false" outlineLevel="0" collapsed="false">
      <c r="A2696" s="652" t="n">
        <v>46112</v>
      </c>
      <c r="B2696" s="123" t="s">
        <v>675</v>
      </c>
      <c r="C2696" s="124" t="s">
        <v>393</v>
      </c>
      <c r="F2696" s="123" t="n">
        <v>815</v>
      </c>
      <c r="G2696" s="653" t="n">
        <v>33843.92</v>
      </c>
    </row>
    <row r="2697" customFormat="false" ht="15" hidden="false" customHeight="false" outlineLevel="0" collapsed="false">
      <c r="A2697" s="652" t="n">
        <v>46112</v>
      </c>
      <c r="B2697" s="123" t="s">
        <v>677</v>
      </c>
      <c r="C2697" s="124" t="s">
        <v>393</v>
      </c>
      <c r="F2697" s="123" t="n">
        <v>8456</v>
      </c>
      <c r="G2697" s="653" t="n">
        <v>25387.92</v>
      </c>
    </row>
    <row r="2698" customFormat="false" ht="15" hidden="false" customHeight="false" outlineLevel="0" collapsed="false">
      <c r="A2698" s="652" t="n">
        <v>46112</v>
      </c>
      <c r="B2698" s="123" t="s">
        <v>675</v>
      </c>
      <c r="C2698" s="124" t="s">
        <v>393</v>
      </c>
      <c r="F2698" s="123" t="n">
        <v>2598</v>
      </c>
      <c r="G2698" s="653" t="n">
        <v>22789.92</v>
      </c>
    </row>
    <row r="2699" customFormat="false" ht="15" hidden="false" customHeight="false" outlineLevel="0" collapsed="false">
      <c r="A2699" s="652" t="n">
        <v>46113</v>
      </c>
      <c r="B2699" s="123" t="s">
        <v>675</v>
      </c>
      <c r="C2699" s="124" t="s">
        <v>393</v>
      </c>
      <c r="F2699" s="123" t="n">
        <v>1972</v>
      </c>
      <c r="G2699" s="653" t="n">
        <v>20817.92</v>
      </c>
    </row>
    <row r="2700" customFormat="false" ht="15" hidden="false" customHeight="false" outlineLevel="0" collapsed="false">
      <c r="A2700" s="652" t="n">
        <v>46113</v>
      </c>
      <c r="B2700" s="123" t="s">
        <v>675</v>
      </c>
      <c r="C2700" s="124" t="s">
        <v>393</v>
      </c>
      <c r="F2700" s="123" t="n">
        <v>549</v>
      </c>
      <c r="G2700" s="653" t="n">
        <v>20268.92</v>
      </c>
    </row>
    <row r="2701" customFormat="false" ht="15" hidden="false" customHeight="false" outlineLevel="0" collapsed="false">
      <c r="A2701" s="652" t="n">
        <v>46113</v>
      </c>
      <c r="B2701" s="123" t="s">
        <v>677</v>
      </c>
      <c r="C2701" s="124" t="s">
        <v>393</v>
      </c>
      <c r="F2701" s="123" t="n">
        <v>1978</v>
      </c>
      <c r="G2701" s="653" t="n">
        <v>18290.92</v>
      </c>
    </row>
    <row r="2702" customFormat="false" ht="15" hidden="false" customHeight="false" outlineLevel="0" collapsed="false">
      <c r="A2702" s="652" t="n">
        <v>46113</v>
      </c>
      <c r="B2702" s="123" t="s">
        <v>675</v>
      </c>
      <c r="C2702" s="124" t="s">
        <v>393</v>
      </c>
      <c r="F2702" s="123" t="n">
        <v>763</v>
      </c>
      <c r="G2702" s="653" t="n">
        <v>17527.92</v>
      </c>
    </row>
    <row r="2703" customFormat="false" ht="15" hidden="false" customHeight="false" outlineLevel="0" collapsed="false">
      <c r="A2703" s="652" t="n">
        <v>46113</v>
      </c>
      <c r="B2703" s="123" t="s">
        <v>675</v>
      </c>
      <c r="C2703" s="124" t="s">
        <v>393</v>
      </c>
      <c r="F2703" s="123" t="n">
        <v>11438</v>
      </c>
      <c r="G2703" s="653" t="n">
        <v>6089.92</v>
      </c>
    </row>
    <row r="2704" customFormat="false" ht="15" hidden="false" customHeight="false" outlineLevel="0" collapsed="false">
      <c r="A2704" s="652" t="n">
        <v>46113</v>
      </c>
      <c r="B2704" s="123" t="s">
        <v>677</v>
      </c>
      <c r="C2704" s="124" t="s">
        <v>393</v>
      </c>
      <c r="F2704" s="123" t="n">
        <v>6090</v>
      </c>
      <c r="G2704" s="653" t="n">
        <v>-0.0800000000017462</v>
      </c>
    </row>
    <row r="2705" customFormat="false" ht="15" hidden="false" customHeight="false" outlineLevel="0" collapsed="false">
      <c r="A2705" s="652" t="n">
        <v>46153</v>
      </c>
      <c r="B2705" s="123" t="n">
        <v>53002078</v>
      </c>
      <c r="C2705" s="124" t="s">
        <v>131</v>
      </c>
      <c r="D2705" s="124" t="s">
        <v>127</v>
      </c>
      <c r="E2705" s="653" t="n">
        <v>2150.5</v>
      </c>
      <c r="G2705" s="653" t="n">
        <v>2150.42</v>
      </c>
      <c r="K2705" s="123" t="n">
        <v>7</v>
      </c>
      <c r="O2705" s="123" t="n">
        <v>1</v>
      </c>
    </row>
    <row r="2706" customFormat="false" ht="15" hidden="false" customHeight="false" outlineLevel="0" collapsed="false">
      <c r="A2706" s="652" t="n">
        <v>46153</v>
      </c>
      <c r="B2706" s="123" t="n">
        <v>53002079</v>
      </c>
      <c r="C2706" s="124" t="s">
        <v>132</v>
      </c>
      <c r="D2706" s="124" t="s">
        <v>127</v>
      </c>
      <c r="E2706" s="653" t="n">
        <v>546.25</v>
      </c>
      <c r="G2706" s="653" t="n">
        <v>2696.67</v>
      </c>
      <c r="K2706" s="123" t="n">
        <v>1</v>
      </c>
      <c r="M2706" s="123" t="n">
        <v>1</v>
      </c>
    </row>
    <row r="2707" customFormat="false" ht="15" hidden="false" customHeight="false" outlineLevel="0" collapsed="false">
      <c r="A2707" s="652" t="n">
        <v>46153</v>
      </c>
      <c r="B2707" s="123" t="s">
        <v>675</v>
      </c>
      <c r="C2707" s="124" t="s">
        <v>393</v>
      </c>
      <c r="F2707" s="123" t="n">
        <v>2696</v>
      </c>
      <c r="G2707" s="653" t="n">
        <v>0.669999999998254</v>
      </c>
    </row>
    <row r="2708" customFormat="false" ht="15" hidden="false" customHeight="false" outlineLevel="0" collapsed="false">
      <c r="A2708" s="652" t="n">
        <v>46154</v>
      </c>
      <c r="B2708" s="123" t="n">
        <v>53002080</v>
      </c>
      <c r="C2708" s="124" t="s">
        <v>96</v>
      </c>
      <c r="D2708" s="124" t="s">
        <v>75</v>
      </c>
      <c r="E2708" s="653" t="n">
        <v>1092.5</v>
      </c>
      <c r="G2708" s="653" t="n">
        <v>1093.17</v>
      </c>
      <c r="K2708" s="123" t="n">
        <v>2</v>
      </c>
      <c r="M2708" s="123" t="n">
        <v>2</v>
      </c>
    </row>
    <row r="2709" customFormat="false" ht="15" hidden="false" customHeight="false" outlineLevel="0" collapsed="false">
      <c r="A2709" s="652" t="n">
        <v>46154</v>
      </c>
      <c r="B2709" s="123" t="n">
        <v>53002081</v>
      </c>
      <c r="C2709" s="124" t="s">
        <v>108</v>
      </c>
      <c r="D2709" s="124" t="s">
        <v>105</v>
      </c>
      <c r="E2709" s="123" t="n">
        <v>2277</v>
      </c>
      <c r="G2709" s="653" t="n">
        <v>3370.17</v>
      </c>
      <c r="I2709" s="123" t="n">
        <v>7</v>
      </c>
    </row>
    <row r="2710" customFormat="false" ht="15" hidden="false" customHeight="false" outlineLevel="0" collapsed="false">
      <c r="A2710" s="652" t="n">
        <v>46154</v>
      </c>
      <c r="B2710" s="123" t="s">
        <v>675</v>
      </c>
      <c r="C2710" s="124" t="s">
        <v>393</v>
      </c>
      <c r="F2710" s="123" t="n">
        <v>3370</v>
      </c>
      <c r="G2710" s="653" t="n">
        <v>0.169999999998254</v>
      </c>
    </row>
    <row r="2711" customFormat="false" ht="15" hidden="false" customHeight="false" outlineLevel="0" collapsed="false">
      <c r="A2711" s="652" t="n">
        <v>46156</v>
      </c>
      <c r="B2711" s="123" t="n">
        <v>53002082</v>
      </c>
      <c r="C2711" s="124" t="s">
        <v>161</v>
      </c>
      <c r="D2711" s="124" t="s">
        <v>127</v>
      </c>
      <c r="E2711" s="123" t="n">
        <v>644</v>
      </c>
      <c r="G2711" s="653" t="n">
        <v>644.169999999998</v>
      </c>
      <c r="O2711" s="123" t="n">
        <v>4</v>
      </c>
    </row>
    <row r="2712" customFormat="false" ht="15" hidden="false" customHeight="false" outlineLevel="0" collapsed="false">
      <c r="A2712" s="652" t="n">
        <v>46156</v>
      </c>
      <c r="B2712" s="123" t="n">
        <v>53002083</v>
      </c>
      <c r="C2712" s="124" t="s">
        <v>146</v>
      </c>
      <c r="D2712" s="124" t="s">
        <v>127</v>
      </c>
      <c r="E2712" s="123" t="n">
        <v>184</v>
      </c>
      <c r="G2712" s="653" t="n">
        <v>828.169999999998</v>
      </c>
      <c r="P2712" s="123" t="n">
        <v>1</v>
      </c>
    </row>
    <row r="2713" customFormat="false" ht="15" hidden="false" customHeight="false" outlineLevel="0" collapsed="false">
      <c r="A2713" s="652" t="n">
        <v>46156</v>
      </c>
      <c r="B2713" s="123" t="s">
        <v>675</v>
      </c>
      <c r="C2713" s="124" t="s">
        <v>393</v>
      </c>
      <c r="F2713" s="123" t="n">
        <v>328</v>
      </c>
      <c r="G2713" s="653" t="n">
        <v>500.169999999998</v>
      </c>
    </row>
    <row r="2714" customFormat="false" ht="15" hidden="false" customHeight="false" outlineLevel="0" collapsed="false">
      <c r="A2714" s="652" t="n">
        <v>46156</v>
      </c>
      <c r="B2714" s="123" t="s">
        <v>677</v>
      </c>
      <c r="C2714" s="124" t="s">
        <v>393</v>
      </c>
      <c r="F2714" s="123" t="n">
        <v>500</v>
      </c>
      <c r="G2714" s="653" t="n">
        <v>0.169999999998254</v>
      </c>
    </row>
    <row r="2715" customFormat="false" ht="15" hidden="false" customHeight="false" outlineLevel="0" collapsed="false">
      <c r="A2715" s="652" t="n">
        <v>46159</v>
      </c>
      <c r="B2715" s="123" t="n">
        <v>53002084</v>
      </c>
      <c r="C2715" s="124" t="s">
        <v>158</v>
      </c>
      <c r="D2715" s="124" t="s">
        <v>127</v>
      </c>
      <c r="E2715" s="653" t="n">
        <v>4312.5</v>
      </c>
      <c r="G2715" s="653" t="n">
        <v>4312.67</v>
      </c>
      <c r="I2715" s="123" t="n">
        <v>1</v>
      </c>
      <c r="K2715" s="123" t="n">
        <v>14</v>
      </c>
    </row>
    <row r="2716" customFormat="false" ht="15" hidden="false" customHeight="false" outlineLevel="0" collapsed="false">
      <c r="A2716" s="652" t="n">
        <v>46159</v>
      </c>
      <c r="B2716" s="123" t="n">
        <v>53002085</v>
      </c>
      <c r="C2716" s="124" t="s">
        <v>147</v>
      </c>
      <c r="D2716" s="124" t="s">
        <v>127</v>
      </c>
      <c r="E2716" s="123" t="n">
        <v>322</v>
      </c>
      <c r="G2716" s="653" t="n">
        <v>4634.67</v>
      </c>
      <c r="O2716" s="123" t="n">
        <v>2</v>
      </c>
    </row>
    <row r="2717" customFormat="false" ht="15" hidden="false" customHeight="false" outlineLevel="0" collapsed="false">
      <c r="A2717" s="652" t="n">
        <v>46159</v>
      </c>
      <c r="B2717" s="123" t="n">
        <v>53002086</v>
      </c>
      <c r="C2717" s="124" t="s">
        <v>183</v>
      </c>
      <c r="D2717" s="124" t="s">
        <v>127</v>
      </c>
      <c r="E2717" s="123" t="n">
        <v>322</v>
      </c>
      <c r="G2717" s="653" t="n">
        <v>4956.67</v>
      </c>
      <c r="O2717" s="123" t="n">
        <v>2</v>
      </c>
    </row>
    <row r="2718" customFormat="false" ht="15" hidden="false" customHeight="false" outlineLevel="0" collapsed="false">
      <c r="A2718" s="652" t="n">
        <v>46159</v>
      </c>
      <c r="B2718" s="123" t="s">
        <v>677</v>
      </c>
      <c r="C2718" s="124" t="s">
        <v>393</v>
      </c>
      <c r="F2718" s="653" t="n">
        <v>4312.5</v>
      </c>
      <c r="G2718" s="653" t="n">
        <v>644.169999999998</v>
      </c>
    </row>
    <row r="2719" customFormat="false" ht="15" hidden="false" customHeight="false" outlineLevel="0" collapsed="false">
      <c r="A2719" s="652" t="n">
        <v>46159</v>
      </c>
      <c r="B2719" s="123" t="s">
        <v>675</v>
      </c>
      <c r="C2719" s="124" t="s">
        <v>393</v>
      </c>
      <c r="F2719" s="653" t="n">
        <v>643.5</v>
      </c>
      <c r="G2719" s="653" t="n">
        <v>0.669999999998254</v>
      </c>
    </row>
    <row r="2720" customFormat="false" ht="15" hidden="false" customHeight="false" outlineLevel="0" collapsed="false">
      <c r="A2720" s="652" t="n">
        <v>46160</v>
      </c>
      <c r="B2720" s="123" t="n">
        <v>53002087</v>
      </c>
      <c r="C2720" s="124" t="s">
        <v>155</v>
      </c>
      <c r="D2720" s="124" t="s">
        <v>127</v>
      </c>
      <c r="E2720" s="123" t="n">
        <v>2277</v>
      </c>
      <c r="G2720" s="653" t="n">
        <v>2277.67</v>
      </c>
      <c r="I2720" s="123" t="n">
        <v>7</v>
      </c>
    </row>
    <row r="2721" customFormat="false" ht="15" hidden="false" customHeight="false" outlineLevel="0" collapsed="false">
      <c r="A2721" s="652" t="n">
        <v>46160</v>
      </c>
      <c r="B2721" s="123" t="s">
        <v>675</v>
      </c>
      <c r="C2721" s="124" t="s">
        <v>678</v>
      </c>
      <c r="E2721" s="653" t="n">
        <v>-0.67</v>
      </c>
      <c r="F2721" s="123" t="n">
        <v>2277</v>
      </c>
      <c r="G2721" s="123" t="n">
        <v>0</v>
      </c>
    </row>
    <row r="2722" customFormat="false" ht="15" hidden="false" customHeight="false" outlineLevel="0" collapsed="false">
      <c r="A2722" s="652" t="n">
        <v>46161</v>
      </c>
      <c r="B2722" s="123" t="n">
        <v>53002088</v>
      </c>
      <c r="C2722" s="124" t="s">
        <v>77</v>
      </c>
      <c r="D2722" s="124" t="s">
        <v>75</v>
      </c>
      <c r="E2722" s="123" t="n">
        <v>161</v>
      </c>
      <c r="G2722" s="123" t="n">
        <v>161</v>
      </c>
      <c r="O2722" s="123" t="n">
        <v>1</v>
      </c>
    </row>
    <row r="2723" customFormat="false" ht="15" hidden="false" customHeight="false" outlineLevel="0" collapsed="false">
      <c r="A2723" s="652" t="n">
        <v>46161</v>
      </c>
      <c r="B2723" s="123" t="n">
        <v>53002089</v>
      </c>
      <c r="C2723" s="124" t="s">
        <v>108</v>
      </c>
      <c r="D2723" s="124" t="s">
        <v>105</v>
      </c>
      <c r="E2723" s="653" t="n">
        <v>2518.5</v>
      </c>
      <c r="G2723" s="653" t="n">
        <v>2679.5</v>
      </c>
      <c r="I2723" s="123" t="n">
        <v>7</v>
      </c>
      <c r="K2723" s="123" t="n">
        <v>1</v>
      </c>
    </row>
    <row r="2724" customFormat="false" ht="15" hidden="false" customHeight="false" outlineLevel="0" collapsed="false">
      <c r="A2724" s="652" t="n">
        <v>46161</v>
      </c>
      <c r="B2724" s="123" t="n">
        <v>53002090</v>
      </c>
      <c r="C2724" s="124" t="s">
        <v>115</v>
      </c>
      <c r="D2724" s="124" t="s">
        <v>105</v>
      </c>
      <c r="E2724" s="123" t="n">
        <v>161</v>
      </c>
      <c r="G2724" s="653" t="n">
        <v>2840.5</v>
      </c>
      <c r="O2724" s="123" t="n">
        <v>1</v>
      </c>
    </row>
    <row r="2725" customFormat="false" ht="15" hidden="false" customHeight="false" outlineLevel="0" collapsed="false">
      <c r="A2725" s="652" t="n">
        <v>46161</v>
      </c>
      <c r="B2725" s="123" t="n">
        <v>53002091</v>
      </c>
      <c r="C2725" s="124" t="s">
        <v>109</v>
      </c>
      <c r="D2725" s="124" t="s">
        <v>105</v>
      </c>
      <c r="E2725" s="123" t="n">
        <v>161</v>
      </c>
      <c r="G2725" s="653" t="n">
        <v>3001.5</v>
      </c>
      <c r="O2725" s="123" t="n">
        <v>1</v>
      </c>
    </row>
    <row r="2726" customFormat="false" ht="15" hidden="false" customHeight="false" outlineLevel="0" collapsed="false">
      <c r="A2726" s="652" t="n">
        <v>46161</v>
      </c>
      <c r="B2726" s="123" t="n">
        <v>53002092</v>
      </c>
      <c r="C2726" s="124" t="s">
        <v>116</v>
      </c>
      <c r="D2726" s="124" t="s">
        <v>105</v>
      </c>
      <c r="E2726" s="653" t="n">
        <v>4404.5</v>
      </c>
      <c r="G2726" s="123" t="n">
        <v>7406</v>
      </c>
      <c r="I2726" s="123" t="n">
        <v>7</v>
      </c>
      <c r="K2726" s="123" t="n">
        <v>7</v>
      </c>
      <c r="O2726" s="123" t="n">
        <v>1</v>
      </c>
    </row>
    <row r="2727" customFormat="false" ht="15" hidden="false" customHeight="false" outlineLevel="0" collapsed="false">
      <c r="A2727" s="652" t="n">
        <v>46161</v>
      </c>
      <c r="B2727" s="123" t="n">
        <v>53002093</v>
      </c>
      <c r="C2727" s="124" t="s">
        <v>117</v>
      </c>
      <c r="D2727" s="124" t="s">
        <v>105</v>
      </c>
      <c r="E2727" s="123" t="n">
        <v>2898</v>
      </c>
      <c r="G2727" s="123" t="n">
        <v>10304</v>
      </c>
      <c r="L2727" s="123" t="n">
        <v>8</v>
      </c>
      <c r="O2727" s="123" t="n">
        <v>1</v>
      </c>
    </row>
    <row r="2728" customFormat="false" ht="15" hidden="false" customHeight="false" outlineLevel="0" collapsed="false">
      <c r="A2728" s="652" t="n">
        <v>46161</v>
      </c>
      <c r="B2728" s="123" t="n">
        <v>53002094</v>
      </c>
      <c r="C2728" s="124" t="s">
        <v>94</v>
      </c>
      <c r="D2728" s="124" t="s">
        <v>75</v>
      </c>
      <c r="E2728" s="123" t="n">
        <v>161</v>
      </c>
      <c r="G2728" s="123" t="n">
        <v>10465</v>
      </c>
      <c r="O2728" s="123" t="n">
        <v>1</v>
      </c>
    </row>
    <row r="2729" customFormat="false" ht="15" hidden="false" customHeight="false" outlineLevel="0" collapsed="false">
      <c r="A2729" s="652" t="n">
        <v>46161</v>
      </c>
      <c r="B2729" s="123" t="n">
        <v>53002095</v>
      </c>
      <c r="C2729" s="124" t="s">
        <v>89</v>
      </c>
      <c r="D2729" s="124" t="s">
        <v>75</v>
      </c>
      <c r="E2729" s="653" t="n">
        <v>868.25</v>
      </c>
      <c r="G2729" s="653" t="n">
        <v>11333.25</v>
      </c>
      <c r="K2729" s="123" t="n">
        <v>1</v>
      </c>
      <c r="M2729" s="123" t="n">
        <v>1</v>
      </c>
      <c r="O2729" s="123" t="n">
        <v>2</v>
      </c>
    </row>
    <row r="2730" customFormat="false" ht="15" hidden="false" customHeight="false" outlineLevel="0" collapsed="false">
      <c r="A2730" s="652" t="n">
        <v>46162</v>
      </c>
      <c r="B2730" s="123" t="n">
        <v>53002096</v>
      </c>
      <c r="C2730" s="124" t="s">
        <v>183</v>
      </c>
      <c r="D2730" s="124" t="s">
        <v>127</v>
      </c>
      <c r="E2730" s="123" t="n">
        <v>253</v>
      </c>
      <c r="G2730" s="653" t="n">
        <v>11586.25</v>
      </c>
      <c r="K2730" s="123" t="n">
        <v>1</v>
      </c>
    </row>
    <row r="2731" customFormat="false" ht="15" hidden="false" customHeight="false" outlineLevel="0" collapsed="false">
      <c r="A2731" s="652" t="n">
        <v>46162</v>
      </c>
      <c r="B2731" s="123" t="n">
        <v>53002097</v>
      </c>
      <c r="C2731" s="124" t="s">
        <v>175</v>
      </c>
      <c r="D2731" s="124" t="s">
        <v>127</v>
      </c>
      <c r="E2731" s="653" t="n">
        <v>2518.5</v>
      </c>
      <c r="G2731" s="653" t="n">
        <v>14104.75</v>
      </c>
      <c r="I2731" s="123" t="n">
        <v>7</v>
      </c>
      <c r="K2731" s="123" t="n">
        <v>1</v>
      </c>
    </row>
    <row r="2732" customFormat="false" ht="15" hidden="false" customHeight="false" outlineLevel="0" collapsed="false">
      <c r="A2732" s="652" t="n">
        <v>46162</v>
      </c>
      <c r="B2732" s="123" t="s">
        <v>675</v>
      </c>
      <c r="C2732" s="124" t="s">
        <v>393</v>
      </c>
      <c r="F2732" s="653" t="n">
        <v>6717.5</v>
      </c>
      <c r="G2732" s="653" t="n">
        <v>7387.25</v>
      </c>
    </row>
    <row r="2733" customFormat="false" ht="15" hidden="false" customHeight="false" outlineLevel="0" collapsed="false">
      <c r="A2733" s="652" t="n">
        <v>46162</v>
      </c>
      <c r="B2733" s="123" t="s">
        <v>677</v>
      </c>
      <c r="C2733" s="124" t="s">
        <v>393</v>
      </c>
      <c r="F2733" s="653" t="n">
        <v>3300.29</v>
      </c>
      <c r="G2733" s="653" t="n">
        <v>4086.96</v>
      </c>
    </row>
    <row r="2734" customFormat="false" ht="15" hidden="false" customHeight="false" outlineLevel="0" collapsed="false">
      <c r="A2734" s="652" t="n">
        <v>46162</v>
      </c>
      <c r="B2734" s="123" t="s">
        <v>679</v>
      </c>
      <c r="C2734" s="124" t="s">
        <v>393</v>
      </c>
      <c r="F2734" s="123" t="n">
        <v>4086</v>
      </c>
      <c r="G2734" s="653" t="n">
        <v>0.960000000000036</v>
      </c>
    </row>
    <row r="2735" customFormat="false" ht="15" hidden="false" customHeight="false" outlineLevel="0" collapsed="false">
      <c r="A2735" s="652" t="n">
        <v>46163</v>
      </c>
      <c r="B2735" s="123" t="n">
        <v>53002098</v>
      </c>
      <c r="C2735" s="124" t="s">
        <v>204</v>
      </c>
      <c r="D2735" s="124" t="s">
        <v>127</v>
      </c>
      <c r="E2735" s="653" t="n">
        <v>1207.5</v>
      </c>
      <c r="G2735" s="653" t="n">
        <v>1208.46</v>
      </c>
      <c r="J2735" s="123" t="n">
        <v>7</v>
      </c>
    </row>
    <row r="2736" customFormat="false" ht="15" hidden="false" customHeight="false" outlineLevel="0" collapsed="false">
      <c r="A2736" s="652" t="n">
        <v>46164</v>
      </c>
      <c r="B2736" s="123" t="n">
        <v>53002099</v>
      </c>
      <c r="C2736" s="124" t="s">
        <v>393</v>
      </c>
      <c r="E2736" s="653" t="n">
        <v>-0.46</v>
      </c>
      <c r="F2736" s="123" t="n">
        <v>1208</v>
      </c>
      <c r="G2736" s="123" t="n">
        <v>0</v>
      </c>
    </row>
    <row r="2737" customFormat="false" ht="15" hidden="false" customHeight="false" outlineLevel="0" collapsed="false">
      <c r="A2737" s="652" t="n">
        <v>46166</v>
      </c>
      <c r="B2737" s="123" t="n">
        <v>53002100</v>
      </c>
      <c r="C2737" s="124" t="s">
        <v>189</v>
      </c>
      <c r="D2737" s="124" t="s">
        <v>127</v>
      </c>
      <c r="E2737" s="123" t="n">
        <v>2277</v>
      </c>
      <c r="G2737" s="123" t="n">
        <v>2277</v>
      </c>
      <c r="I2737" s="123" t="n">
        <v>7</v>
      </c>
    </row>
    <row r="2738" customFormat="false" ht="15" hidden="false" customHeight="false" outlineLevel="0" collapsed="false">
      <c r="A2738" s="652" t="n">
        <v>46166</v>
      </c>
      <c r="B2738" s="123" t="n">
        <v>53002101</v>
      </c>
      <c r="C2738" s="124" t="s">
        <v>174</v>
      </c>
      <c r="D2738" s="124" t="s">
        <v>127</v>
      </c>
      <c r="E2738" s="123" t="n">
        <v>161</v>
      </c>
      <c r="G2738" s="123" t="n">
        <v>2438</v>
      </c>
      <c r="O2738" s="123" t="n">
        <v>1</v>
      </c>
    </row>
    <row r="2739" customFormat="false" ht="15" hidden="false" customHeight="false" outlineLevel="0" collapsed="false">
      <c r="A2739" s="652" t="n">
        <v>46166</v>
      </c>
      <c r="B2739" s="123" t="s">
        <v>675</v>
      </c>
      <c r="C2739" s="124" t="s">
        <v>393</v>
      </c>
      <c r="F2739" s="653" t="n">
        <v>2437.25</v>
      </c>
      <c r="G2739" s="653" t="n">
        <v>0.75</v>
      </c>
    </row>
    <row r="2740" customFormat="false" ht="15" hidden="false" customHeight="false" outlineLevel="0" collapsed="false">
      <c r="A2740" s="652" t="n">
        <v>46174</v>
      </c>
      <c r="B2740" s="123" t="n">
        <v>53002101</v>
      </c>
      <c r="C2740" s="124" t="s">
        <v>152</v>
      </c>
      <c r="D2740" s="124" t="s">
        <v>127</v>
      </c>
      <c r="E2740" s="653" t="n">
        <v>3484.5</v>
      </c>
      <c r="G2740" s="653" t="n">
        <v>3485.25</v>
      </c>
      <c r="I2740" s="123" t="n">
        <v>7</v>
      </c>
      <c r="J2740" s="123" t="n">
        <v>7</v>
      </c>
    </row>
    <row r="2741" customFormat="false" ht="15" hidden="false" customHeight="false" outlineLevel="0" collapsed="false">
      <c r="A2741" s="652" t="n">
        <v>46174</v>
      </c>
      <c r="B2741" s="123" t="n">
        <v>53002102</v>
      </c>
      <c r="C2741" s="124" t="s">
        <v>158</v>
      </c>
      <c r="D2741" s="124" t="s">
        <v>127</v>
      </c>
      <c r="E2741" s="653" t="n">
        <v>6704.5</v>
      </c>
      <c r="G2741" s="653" t="n">
        <v>10189.75</v>
      </c>
      <c r="K2741" s="123" t="n">
        <v>23</v>
      </c>
      <c r="O2741" s="123" t="n">
        <v>2</v>
      </c>
    </row>
    <row r="2742" customFormat="false" ht="15" hidden="false" customHeight="false" outlineLevel="0" collapsed="false">
      <c r="A2742" s="652" t="n">
        <v>46174</v>
      </c>
      <c r="B2742" s="123" t="n">
        <v>53002103</v>
      </c>
      <c r="C2742" s="124" t="s">
        <v>172</v>
      </c>
      <c r="D2742" s="124" t="s">
        <v>127</v>
      </c>
      <c r="E2742" s="123" t="n">
        <v>2277</v>
      </c>
      <c r="G2742" s="653" t="n">
        <v>12466.75</v>
      </c>
      <c r="I2742" s="123" t="n">
        <v>7</v>
      </c>
    </row>
    <row r="2743" customFormat="false" ht="15" hidden="false" customHeight="false" outlineLevel="0" collapsed="false">
      <c r="A2743" s="652" t="n">
        <v>46174</v>
      </c>
      <c r="B2743" s="123" t="n">
        <v>53002104</v>
      </c>
      <c r="C2743" s="124" t="s">
        <v>131</v>
      </c>
      <c r="D2743" s="124" t="s">
        <v>127</v>
      </c>
      <c r="E2743" s="123" t="n">
        <v>230</v>
      </c>
      <c r="G2743" s="653" t="n">
        <v>12696.75</v>
      </c>
      <c r="P2743" s="123" t="n">
        <v>1</v>
      </c>
    </row>
    <row r="2744" customFormat="false" ht="15" hidden="false" customHeight="false" outlineLevel="0" collapsed="false">
      <c r="A2744" s="652" t="n">
        <v>46174</v>
      </c>
      <c r="B2744" s="123" t="n">
        <v>53002105</v>
      </c>
      <c r="C2744" s="124" t="s">
        <v>133</v>
      </c>
      <c r="D2744" s="124" t="s">
        <v>127</v>
      </c>
      <c r="E2744" s="653" t="n">
        <v>793.5</v>
      </c>
      <c r="G2744" s="653" t="n">
        <v>13490.25</v>
      </c>
      <c r="P2744" s="123" t="n">
        <v>3</v>
      </c>
    </row>
    <row r="2745" customFormat="false" ht="15" hidden="false" customHeight="false" outlineLevel="0" collapsed="false">
      <c r="A2745" s="652" t="n">
        <v>46174</v>
      </c>
      <c r="B2745" s="123" t="n">
        <v>53002106</v>
      </c>
      <c r="C2745" s="124" t="s">
        <v>141</v>
      </c>
      <c r="D2745" s="124" t="s">
        <v>127</v>
      </c>
      <c r="E2745" s="123" t="n">
        <v>5083</v>
      </c>
      <c r="G2745" s="653" t="n">
        <v>18573.25</v>
      </c>
      <c r="I2745" s="123" t="n">
        <v>7</v>
      </c>
      <c r="J2745" s="123" t="n">
        <v>7</v>
      </c>
      <c r="K2745" s="123" t="n">
        <v>3</v>
      </c>
      <c r="O2745" s="123" t="n">
        <v>2</v>
      </c>
      <c r="P2745" s="123" t="n">
        <v>3</v>
      </c>
    </row>
    <row r="2746" customFormat="false" ht="15" hidden="false" customHeight="false" outlineLevel="0" collapsed="false">
      <c r="A2746" s="652" t="n">
        <v>46174</v>
      </c>
      <c r="B2746" s="123" t="s">
        <v>675</v>
      </c>
      <c r="C2746" s="124" t="s">
        <v>393</v>
      </c>
      <c r="F2746" s="653" t="n">
        <v>2133.5</v>
      </c>
      <c r="G2746" s="653" t="n">
        <v>16439.75</v>
      </c>
    </row>
    <row r="2747" customFormat="false" ht="15" hidden="false" customHeight="false" outlineLevel="0" collapsed="false">
      <c r="A2747" s="652" t="n">
        <v>46174</v>
      </c>
      <c r="B2747" s="123" t="s">
        <v>677</v>
      </c>
      <c r="C2747" s="124" t="s">
        <v>393</v>
      </c>
      <c r="F2747" s="653" t="n">
        <v>9344.5</v>
      </c>
      <c r="G2747" s="653" t="n">
        <v>7095.25</v>
      </c>
    </row>
    <row r="2748" customFormat="false" ht="15" hidden="false" customHeight="false" outlineLevel="0" collapsed="false">
      <c r="A2748" s="652" t="n">
        <v>46174</v>
      </c>
      <c r="B2748" s="123" t="s">
        <v>679</v>
      </c>
      <c r="C2748" s="124" t="s">
        <v>393</v>
      </c>
      <c r="E2748" s="653" t="n">
        <v>-0.25</v>
      </c>
      <c r="F2748" s="123" t="n">
        <v>7095</v>
      </c>
      <c r="G2748" s="123" t="n">
        <v>0</v>
      </c>
    </row>
    <row r="2749" customFormat="false" ht="15" hidden="false" customHeight="false" outlineLevel="0" collapsed="false">
      <c r="A2749" s="652" t="n">
        <v>46176</v>
      </c>
      <c r="B2749" s="123" t="n">
        <v>53002107</v>
      </c>
      <c r="C2749" s="124" t="s">
        <v>89</v>
      </c>
      <c r="D2749" s="124" t="s">
        <v>75</v>
      </c>
      <c r="E2749" s="653" t="n">
        <v>304.75</v>
      </c>
      <c r="G2749" s="653" t="n">
        <v>304.75</v>
      </c>
      <c r="M2749" s="123" t="n">
        <v>1</v>
      </c>
    </row>
    <row r="2750" customFormat="false" ht="15" hidden="false" customHeight="false" outlineLevel="0" collapsed="false">
      <c r="A2750" s="652" t="n">
        <v>46176</v>
      </c>
      <c r="B2750" s="123" t="n">
        <v>53002108</v>
      </c>
      <c r="C2750" s="124" t="s">
        <v>92</v>
      </c>
      <c r="D2750" s="124" t="s">
        <v>75</v>
      </c>
      <c r="E2750" s="653" t="n">
        <v>304.75</v>
      </c>
      <c r="G2750" s="653" t="n">
        <v>609.5</v>
      </c>
      <c r="M2750" s="123" t="n">
        <v>1</v>
      </c>
    </row>
    <row r="2751" customFormat="false" ht="15" hidden="false" customHeight="false" outlineLevel="0" collapsed="false">
      <c r="A2751" s="652" t="n">
        <v>46176</v>
      </c>
      <c r="B2751" s="123" t="n">
        <v>53002109</v>
      </c>
      <c r="C2751" s="124" t="s">
        <v>117</v>
      </c>
      <c r="D2751" s="124" t="s">
        <v>105</v>
      </c>
      <c r="E2751" s="123" t="n">
        <v>5474</v>
      </c>
      <c r="G2751" s="653" t="n">
        <v>6083.5</v>
      </c>
      <c r="L2751" s="123" t="n">
        <v>16</v>
      </c>
    </row>
    <row r="2752" customFormat="false" ht="15" hidden="false" customHeight="false" outlineLevel="0" collapsed="false">
      <c r="A2752" s="652" t="n">
        <v>46176</v>
      </c>
      <c r="B2752" s="123" t="n">
        <v>53002110</v>
      </c>
      <c r="C2752" s="124" t="s">
        <v>108</v>
      </c>
      <c r="D2752" s="124" t="s">
        <v>105</v>
      </c>
      <c r="E2752" s="123" t="n">
        <v>2277</v>
      </c>
      <c r="G2752" s="653" t="n">
        <v>8360.5</v>
      </c>
      <c r="I2752" s="123" t="n">
        <v>7</v>
      </c>
    </row>
    <row r="2753" customFormat="false" ht="15" hidden="false" customHeight="false" outlineLevel="0" collapsed="false">
      <c r="A2753" s="652" t="n">
        <v>46176</v>
      </c>
      <c r="B2753" s="123" t="n">
        <v>53002111</v>
      </c>
      <c r="C2753" s="124" t="s">
        <v>96</v>
      </c>
      <c r="D2753" s="124" t="s">
        <v>75</v>
      </c>
      <c r="E2753" s="123" t="n">
        <v>2277</v>
      </c>
      <c r="G2753" s="653" t="n">
        <v>10637.5</v>
      </c>
      <c r="I2753" s="123" t="n">
        <v>7</v>
      </c>
    </row>
    <row r="2754" customFormat="false" ht="15" hidden="false" customHeight="false" outlineLevel="0" collapsed="false">
      <c r="A2754" s="652" t="n">
        <v>46176</v>
      </c>
      <c r="B2754" s="123" t="s">
        <v>675</v>
      </c>
      <c r="C2754" s="124" t="s">
        <v>393</v>
      </c>
      <c r="F2754" s="123" t="n">
        <v>8137</v>
      </c>
      <c r="G2754" s="653" t="n">
        <v>2500.5</v>
      </c>
    </row>
    <row r="2755" customFormat="false" ht="15" hidden="false" customHeight="false" outlineLevel="0" collapsed="false">
      <c r="A2755" s="652" t="n">
        <v>46176</v>
      </c>
      <c r="B2755" s="123" t="s">
        <v>677</v>
      </c>
      <c r="C2755" s="124" t="s">
        <v>393</v>
      </c>
      <c r="F2755" s="123" t="n">
        <v>2500</v>
      </c>
      <c r="G2755" s="653" t="n">
        <v>0.5</v>
      </c>
    </row>
    <row r="2756" customFormat="false" ht="15" hidden="false" customHeight="false" outlineLevel="0" collapsed="false">
      <c r="A2756" s="652" t="n">
        <v>46177</v>
      </c>
      <c r="B2756" s="123" t="n">
        <v>53002112</v>
      </c>
      <c r="C2756" s="124" t="s">
        <v>202</v>
      </c>
      <c r="D2756" s="124" t="s">
        <v>127</v>
      </c>
      <c r="E2756" s="123" t="n">
        <v>161</v>
      </c>
      <c r="G2756" s="653" t="n">
        <v>161.5</v>
      </c>
      <c r="O2756" s="123" t="n">
        <v>1</v>
      </c>
    </row>
    <row r="2757" customFormat="false" ht="15" hidden="false" customHeight="false" outlineLevel="0" collapsed="false">
      <c r="A2757" s="652" t="n">
        <v>46177</v>
      </c>
      <c r="B2757" s="123" t="n">
        <v>53002113</v>
      </c>
      <c r="C2757" s="124" t="s">
        <v>142</v>
      </c>
      <c r="D2757" s="124" t="s">
        <v>127</v>
      </c>
      <c r="E2757" s="123" t="n">
        <v>483</v>
      </c>
      <c r="G2757" s="653" t="n">
        <v>644.5</v>
      </c>
      <c r="P2757" s="123" t="n">
        <v>2</v>
      </c>
    </row>
    <row r="2758" customFormat="false" ht="15" hidden="false" customHeight="false" outlineLevel="0" collapsed="false">
      <c r="A2758" s="652" t="n">
        <v>46177</v>
      </c>
      <c r="B2758" s="123" t="n">
        <v>53002114</v>
      </c>
      <c r="C2758" s="124" t="s">
        <v>195</v>
      </c>
      <c r="D2758" s="124" t="s">
        <v>127</v>
      </c>
      <c r="E2758" s="123" t="n">
        <v>2277</v>
      </c>
      <c r="G2758" s="653" t="n">
        <v>2921.5</v>
      </c>
      <c r="I2758" s="123" t="n">
        <v>7</v>
      </c>
    </row>
    <row r="2759" customFormat="false" ht="15" hidden="false" customHeight="false" outlineLevel="0" collapsed="false">
      <c r="A2759" s="652" t="n">
        <v>46177</v>
      </c>
      <c r="B2759" s="123" t="n">
        <v>53002115</v>
      </c>
      <c r="C2759" s="124" t="s">
        <v>183</v>
      </c>
      <c r="D2759" s="124" t="s">
        <v>127</v>
      </c>
      <c r="E2759" s="123" t="n">
        <v>253</v>
      </c>
      <c r="G2759" s="653" t="n">
        <v>3174.5</v>
      </c>
      <c r="K2759" s="123" t="n">
        <v>1</v>
      </c>
    </row>
    <row r="2760" customFormat="false" ht="15" hidden="false" customHeight="false" outlineLevel="0" collapsed="false">
      <c r="A2760" s="652" t="n">
        <v>46177</v>
      </c>
      <c r="B2760" s="123" t="s">
        <v>675</v>
      </c>
      <c r="C2760" s="124" t="s">
        <v>393</v>
      </c>
      <c r="E2760" s="653" t="n">
        <v>-0.5</v>
      </c>
      <c r="F2760" s="123" t="n">
        <v>3174</v>
      </c>
      <c r="G2760" s="123" t="n">
        <v>0</v>
      </c>
    </row>
    <row r="2761" customFormat="false" ht="15" hidden="false" customHeight="false" outlineLevel="0" collapsed="false">
      <c r="A2761" s="652" t="n">
        <v>46180</v>
      </c>
      <c r="B2761" s="123" t="n">
        <v>53002116</v>
      </c>
      <c r="C2761" s="124" t="s">
        <v>141</v>
      </c>
      <c r="D2761" s="124" t="s">
        <v>127</v>
      </c>
      <c r="E2761" s="123" t="n">
        <v>1219</v>
      </c>
      <c r="G2761" s="123" t="n">
        <v>1219</v>
      </c>
      <c r="P2761" s="123" t="n">
        <v>4</v>
      </c>
    </row>
    <row r="2762" customFormat="false" ht="15" hidden="false" customHeight="false" outlineLevel="0" collapsed="false">
      <c r="A2762" s="652" t="n">
        <v>46180</v>
      </c>
      <c r="B2762" s="123" t="n">
        <v>53002117</v>
      </c>
      <c r="C2762" s="124" t="s">
        <v>130</v>
      </c>
      <c r="D2762" s="124" t="s">
        <v>127</v>
      </c>
      <c r="E2762" s="123" t="n">
        <v>2277</v>
      </c>
      <c r="G2762" s="123" t="n">
        <v>3496</v>
      </c>
      <c r="I2762" s="123" t="n">
        <v>7</v>
      </c>
    </row>
    <row r="2763" customFormat="false" ht="15" hidden="false" customHeight="false" outlineLevel="0" collapsed="false">
      <c r="A2763" s="652" t="n">
        <v>46180</v>
      </c>
      <c r="B2763" s="123" t="s">
        <v>679</v>
      </c>
      <c r="C2763" s="124" t="s">
        <v>393</v>
      </c>
      <c r="F2763" s="123" t="n">
        <v>3400</v>
      </c>
      <c r="G2763" s="123" t="n">
        <v>96</v>
      </c>
    </row>
    <row r="2764" customFormat="false" ht="15" hidden="false" customHeight="false" outlineLevel="0" collapsed="false">
      <c r="A2764" s="652" t="n">
        <v>46181</v>
      </c>
      <c r="B2764" s="123" t="s">
        <v>677</v>
      </c>
      <c r="C2764" s="124" t="s">
        <v>393</v>
      </c>
      <c r="F2764" s="123" t="n">
        <v>96</v>
      </c>
      <c r="G2764" s="123" t="n">
        <v>0</v>
      </c>
    </row>
    <row r="2765" customFormat="false" ht="15" hidden="false" customHeight="false" outlineLevel="0" collapsed="false">
      <c r="A2765" s="652" t="n">
        <v>46181</v>
      </c>
      <c r="B2765" s="123" t="n">
        <v>53002118</v>
      </c>
      <c r="C2765" s="124" t="s">
        <v>138</v>
      </c>
      <c r="D2765" s="124" t="s">
        <v>127</v>
      </c>
      <c r="E2765" s="123" t="n">
        <v>2806</v>
      </c>
      <c r="G2765" s="123" t="n">
        <v>2806</v>
      </c>
      <c r="K2765" s="123" t="n">
        <v>7</v>
      </c>
      <c r="L2765" s="123" t="n">
        <v>2</v>
      </c>
    </row>
    <row r="2766" customFormat="false" ht="15" hidden="false" customHeight="false" outlineLevel="0" collapsed="false">
      <c r="A2766" s="652" t="n">
        <v>46182</v>
      </c>
      <c r="B2766" s="123" t="s">
        <v>679</v>
      </c>
      <c r="C2766" s="124" t="s">
        <v>393</v>
      </c>
      <c r="F2766" s="123" t="n">
        <v>2806</v>
      </c>
      <c r="G2766" s="123" t="n">
        <v>0</v>
      </c>
    </row>
    <row r="2767" customFormat="false" ht="15" hidden="false" customHeight="false" outlineLevel="0" collapsed="false">
      <c r="A2767" s="652" t="n">
        <v>46183</v>
      </c>
      <c r="B2767" s="123" t="n">
        <v>53002119</v>
      </c>
      <c r="C2767" s="124" t="s">
        <v>141</v>
      </c>
      <c r="D2767" s="124" t="s">
        <v>127</v>
      </c>
      <c r="E2767" s="123" t="n">
        <v>2415</v>
      </c>
      <c r="G2767" s="123" t="n">
        <v>2415</v>
      </c>
      <c r="J2767" s="123" t="n">
        <v>14</v>
      </c>
    </row>
    <row r="2768" customFormat="false" ht="15" hidden="false" customHeight="false" outlineLevel="0" collapsed="false">
      <c r="A2768" s="652" t="n">
        <v>46183</v>
      </c>
      <c r="B2768" s="123" t="s">
        <v>675</v>
      </c>
      <c r="C2768" s="124" t="s">
        <v>393</v>
      </c>
      <c r="F2768" s="123" t="n">
        <v>2415</v>
      </c>
      <c r="G2768" s="123" t="n">
        <v>0</v>
      </c>
    </row>
    <row r="2769" customFormat="false" ht="15" hidden="false" customHeight="false" outlineLevel="0" collapsed="false">
      <c r="A2769" s="652" t="n">
        <v>46184</v>
      </c>
      <c r="B2769" s="123" t="n">
        <v>53002120</v>
      </c>
      <c r="C2769" s="124" t="s">
        <v>171</v>
      </c>
      <c r="D2769" s="124" t="s">
        <v>127</v>
      </c>
      <c r="E2769" s="123" t="n">
        <v>2277</v>
      </c>
      <c r="G2769" s="123" t="n">
        <v>2277</v>
      </c>
      <c r="I2769" s="123" t="n">
        <v>7</v>
      </c>
    </row>
    <row r="2770" customFormat="false" ht="15" hidden="false" customHeight="false" outlineLevel="0" collapsed="false">
      <c r="A2770" s="652" t="n">
        <v>46184</v>
      </c>
      <c r="B2770" s="123" t="s">
        <v>675</v>
      </c>
      <c r="C2770" s="124" t="s">
        <v>393</v>
      </c>
      <c r="F2770" s="123" t="n">
        <v>2277</v>
      </c>
      <c r="G2770" s="123" t="n">
        <v>0</v>
      </c>
    </row>
    <row r="2771" customFormat="false" ht="15" hidden="false" customHeight="false" outlineLevel="0" collapsed="false">
      <c r="A2771" s="652" t="n">
        <v>46187</v>
      </c>
      <c r="B2771" s="123" t="n">
        <v>53002121</v>
      </c>
      <c r="C2771" s="124" t="s">
        <v>135</v>
      </c>
      <c r="D2771" s="124" t="s">
        <v>127</v>
      </c>
      <c r="E2771" s="123" t="n">
        <v>161</v>
      </c>
      <c r="G2771" s="123" t="n">
        <v>161</v>
      </c>
      <c r="O2771" s="123" t="n">
        <v>1</v>
      </c>
    </row>
    <row r="2772" customFormat="false" ht="15" hidden="false" customHeight="false" outlineLevel="0" collapsed="false">
      <c r="A2772" s="652" t="n">
        <v>46187</v>
      </c>
      <c r="B2772" s="123" t="n">
        <v>53002122</v>
      </c>
      <c r="C2772" s="124" t="s">
        <v>184</v>
      </c>
      <c r="D2772" s="124" t="s">
        <v>127</v>
      </c>
      <c r="E2772" s="123" t="n">
        <v>552</v>
      </c>
      <c r="G2772" s="123" t="n">
        <v>713</v>
      </c>
      <c r="P2772" s="123" t="n">
        <v>3</v>
      </c>
    </row>
    <row r="2773" customFormat="false" ht="15" hidden="false" customHeight="false" outlineLevel="0" collapsed="false">
      <c r="A2773" s="652" t="n">
        <v>46187</v>
      </c>
      <c r="B2773" s="123" t="n">
        <v>53002123</v>
      </c>
      <c r="C2773" s="124" t="s">
        <v>173</v>
      </c>
      <c r="D2773" s="124" t="s">
        <v>127</v>
      </c>
      <c r="E2773" s="123" t="n">
        <v>184</v>
      </c>
      <c r="G2773" s="123" t="n">
        <v>897</v>
      </c>
      <c r="P2773" s="123" t="n">
        <v>1</v>
      </c>
    </row>
    <row r="2774" customFormat="false" ht="15" hidden="false" customHeight="false" outlineLevel="0" collapsed="false">
      <c r="A2774" s="652" t="n">
        <v>46187</v>
      </c>
      <c r="B2774" s="123" t="n">
        <v>53002124</v>
      </c>
      <c r="C2774" s="124" t="s">
        <v>175</v>
      </c>
      <c r="D2774" s="124" t="s">
        <v>127</v>
      </c>
      <c r="E2774" s="123" t="n">
        <v>2438</v>
      </c>
      <c r="G2774" s="123" t="n">
        <v>3335</v>
      </c>
      <c r="I2774" s="123" t="n">
        <v>7</v>
      </c>
      <c r="O2774" s="123" t="n">
        <v>1</v>
      </c>
    </row>
    <row r="2775" customFormat="false" ht="15" hidden="false" customHeight="false" outlineLevel="0" collapsed="false">
      <c r="A2775" s="652" t="n">
        <v>46187</v>
      </c>
      <c r="B2775" s="123" t="s">
        <v>675</v>
      </c>
      <c r="C2775" s="124" t="s">
        <v>393</v>
      </c>
      <c r="F2775" s="123" t="n">
        <v>3335</v>
      </c>
      <c r="G2775" s="123" t="n">
        <v>0</v>
      </c>
    </row>
    <row r="2776" customFormat="false" ht="15" hidden="false" customHeight="false" outlineLevel="0" collapsed="false">
      <c r="A2776" s="652" t="n">
        <v>46188</v>
      </c>
      <c r="B2776" s="123" t="n">
        <v>53002125</v>
      </c>
      <c r="C2776" s="124" t="s">
        <v>131</v>
      </c>
      <c r="D2776" s="124" t="s">
        <v>127</v>
      </c>
      <c r="E2776" s="653" t="n">
        <v>1966.5</v>
      </c>
      <c r="G2776" s="653" t="n">
        <v>1966.5</v>
      </c>
      <c r="K2776" s="123" t="n">
        <v>7</v>
      </c>
    </row>
    <row r="2777" customFormat="false" ht="15" hidden="false" customHeight="false" outlineLevel="0" collapsed="false">
      <c r="A2777" s="652" t="n">
        <v>46188</v>
      </c>
      <c r="B2777" s="123" t="n">
        <v>53002126</v>
      </c>
      <c r="C2777" s="124" t="s">
        <v>184</v>
      </c>
      <c r="D2777" s="124" t="s">
        <v>127</v>
      </c>
      <c r="E2777" s="123" t="n">
        <v>2277</v>
      </c>
      <c r="G2777" s="653" t="n">
        <v>4243.5</v>
      </c>
      <c r="I2777" s="123" t="n">
        <v>7</v>
      </c>
    </row>
    <row r="2778" customFormat="false" ht="15" hidden="false" customHeight="false" outlineLevel="0" collapsed="false">
      <c r="A2778" s="652" t="n">
        <v>46187</v>
      </c>
      <c r="B2778" s="123" t="s">
        <v>675</v>
      </c>
      <c r="C2778" s="124" t="s">
        <v>393</v>
      </c>
      <c r="F2778" s="123" t="n">
        <v>2602</v>
      </c>
      <c r="G2778" s="653" t="n">
        <v>1641.5</v>
      </c>
    </row>
    <row r="2779" customFormat="false" ht="15" hidden="false" customHeight="false" outlineLevel="0" collapsed="false">
      <c r="A2779" s="652" t="n">
        <v>46188</v>
      </c>
      <c r="B2779" s="123" t="s">
        <v>677</v>
      </c>
      <c r="C2779" s="124" t="s">
        <v>393</v>
      </c>
      <c r="F2779" s="123" t="n">
        <v>1640</v>
      </c>
      <c r="G2779" s="653" t="n">
        <v>1.5</v>
      </c>
    </row>
    <row r="2780" customFormat="false" ht="15" hidden="false" customHeight="false" outlineLevel="0" collapsed="false">
      <c r="A2780" s="652" t="n">
        <v>46188</v>
      </c>
      <c r="B2780" s="123" t="n">
        <v>53002127</v>
      </c>
      <c r="C2780" s="124" t="s">
        <v>94</v>
      </c>
      <c r="D2780" s="124" t="s">
        <v>75</v>
      </c>
      <c r="E2780" s="123" t="n">
        <v>161</v>
      </c>
      <c r="G2780" s="653" t="n">
        <v>162.5</v>
      </c>
      <c r="O2780" s="123" t="n">
        <v>1</v>
      </c>
    </row>
    <row r="2781" customFormat="false" ht="15" hidden="false" customHeight="false" outlineLevel="0" collapsed="false">
      <c r="A2781" s="652" t="n">
        <v>46189</v>
      </c>
      <c r="B2781" s="123" t="n">
        <v>53002128</v>
      </c>
      <c r="C2781" s="124" t="s">
        <v>89</v>
      </c>
      <c r="D2781" s="124" t="s">
        <v>75</v>
      </c>
      <c r="E2781" s="123" t="n">
        <v>483</v>
      </c>
      <c r="G2781" s="653" t="n">
        <v>645.5</v>
      </c>
      <c r="K2781" s="123" t="n">
        <v>2</v>
      </c>
    </row>
    <row r="2782" customFormat="false" ht="15" hidden="false" customHeight="false" outlineLevel="0" collapsed="false">
      <c r="A2782" s="652" t="n">
        <v>46189</v>
      </c>
      <c r="B2782" s="123" t="n">
        <v>53002129</v>
      </c>
      <c r="C2782" s="124" t="s">
        <v>101</v>
      </c>
      <c r="D2782" s="124" t="s">
        <v>75</v>
      </c>
      <c r="E2782" s="653" t="n">
        <v>609.5</v>
      </c>
      <c r="G2782" s="123" t="n">
        <v>1255</v>
      </c>
      <c r="M2782" s="123" t="n">
        <v>2</v>
      </c>
    </row>
    <row r="2783" customFormat="false" ht="15" hidden="false" customHeight="false" outlineLevel="0" collapsed="false">
      <c r="A2783" s="652" t="n">
        <v>46189</v>
      </c>
      <c r="B2783" s="123" t="n">
        <v>53002130</v>
      </c>
      <c r="C2783" s="124" t="s">
        <v>104</v>
      </c>
      <c r="D2783" s="124" t="s">
        <v>105</v>
      </c>
      <c r="E2783" s="123" t="n">
        <v>345</v>
      </c>
      <c r="G2783" s="123" t="n">
        <v>1600</v>
      </c>
      <c r="O2783" s="123" t="n">
        <v>1</v>
      </c>
      <c r="P2783" s="123" t="n">
        <v>1</v>
      </c>
    </row>
    <row r="2784" customFormat="false" ht="15" hidden="false" customHeight="false" outlineLevel="0" collapsed="false">
      <c r="A2784" s="652" t="n">
        <v>46189</v>
      </c>
      <c r="B2784" s="123" t="n">
        <v>53002131</v>
      </c>
      <c r="C2784" s="124" t="s">
        <v>116</v>
      </c>
      <c r="D2784" s="124" t="s">
        <v>105</v>
      </c>
      <c r="E2784" s="123" t="n">
        <v>2277</v>
      </c>
      <c r="G2784" s="123" t="n">
        <v>3877</v>
      </c>
      <c r="I2784" s="123" t="n">
        <v>7</v>
      </c>
    </row>
    <row r="2785" customFormat="false" ht="15" hidden="false" customHeight="false" outlineLevel="0" collapsed="false">
      <c r="A2785" s="652" t="n">
        <v>46189</v>
      </c>
      <c r="B2785" s="123" t="n">
        <v>53002132</v>
      </c>
      <c r="C2785" s="124" t="s">
        <v>115</v>
      </c>
      <c r="D2785" s="124" t="s">
        <v>105</v>
      </c>
      <c r="E2785" s="123" t="n">
        <v>322</v>
      </c>
      <c r="G2785" s="123" t="n">
        <v>4199</v>
      </c>
      <c r="O2785" s="123" t="n">
        <v>2</v>
      </c>
    </row>
    <row r="2786" customFormat="false" ht="15" hidden="false" customHeight="false" outlineLevel="0" collapsed="false">
      <c r="A2786" s="652" t="n">
        <v>46189</v>
      </c>
      <c r="B2786" s="123" t="n">
        <v>53002133</v>
      </c>
      <c r="C2786" s="124" t="s">
        <v>109</v>
      </c>
      <c r="D2786" s="124" t="s">
        <v>105</v>
      </c>
      <c r="E2786" s="123" t="n">
        <v>2760</v>
      </c>
      <c r="G2786" s="123" t="n">
        <v>6959</v>
      </c>
      <c r="I2786" s="123" t="n">
        <v>7</v>
      </c>
      <c r="O2786" s="123" t="n">
        <v>3</v>
      </c>
    </row>
    <row r="2787" customFormat="false" ht="15" hidden="false" customHeight="false" outlineLevel="0" collapsed="false">
      <c r="A2787" s="652" t="n">
        <v>46189</v>
      </c>
      <c r="B2787" s="123" t="s">
        <v>675</v>
      </c>
      <c r="C2787" s="124" t="s">
        <v>393</v>
      </c>
      <c r="F2787" s="123" t="n">
        <v>2123</v>
      </c>
      <c r="G2787" s="123" t="n">
        <v>4836</v>
      </c>
    </row>
    <row r="2788" customFormat="false" ht="15" hidden="false" customHeight="false" outlineLevel="0" collapsed="false">
      <c r="A2788" s="652" t="n">
        <v>46189</v>
      </c>
      <c r="B2788" s="123" t="s">
        <v>677</v>
      </c>
      <c r="C2788" s="124" t="s">
        <v>393</v>
      </c>
      <c r="F2788" s="123" t="n">
        <v>2760</v>
      </c>
      <c r="G2788" s="123" t="n">
        <v>2076</v>
      </c>
    </row>
    <row r="2789" customFormat="false" ht="15" hidden="false" customHeight="false" outlineLevel="0" collapsed="false">
      <c r="A2789" s="652" t="n">
        <v>46190</v>
      </c>
      <c r="B2789" s="123" t="n">
        <v>53002134</v>
      </c>
      <c r="C2789" s="124" t="s">
        <v>149</v>
      </c>
      <c r="D2789" s="124" t="s">
        <v>127</v>
      </c>
      <c r="E2789" s="123" t="n">
        <v>161</v>
      </c>
      <c r="G2789" s="123" t="n">
        <v>2237</v>
      </c>
      <c r="O2789" s="123" t="n">
        <v>1</v>
      </c>
    </row>
    <row r="2790" customFormat="false" ht="15" hidden="false" customHeight="false" outlineLevel="0" collapsed="false">
      <c r="A2790" s="652" t="n">
        <v>46190</v>
      </c>
      <c r="B2790" s="123" t="n">
        <v>53002135</v>
      </c>
      <c r="C2790" s="124" t="s">
        <v>143</v>
      </c>
      <c r="D2790" s="124" t="s">
        <v>127</v>
      </c>
      <c r="E2790" s="123" t="n">
        <v>161</v>
      </c>
      <c r="G2790" s="123" t="n">
        <v>2398</v>
      </c>
      <c r="O2790" s="123" t="n">
        <v>1</v>
      </c>
    </row>
    <row r="2791" customFormat="false" ht="15" hidden="false" customHeight="false" outlineLevel="0" collapsed="false">
      <c r="A2791" s="652" t="n">
        <v>46190</v>
      </c>
      <c r="B2791" s="123" t="n">
        <v>53002136</v>
      </c>
      <c r="C2791" s="124" t="s">
        <v>179</v>
      </c>
      <c r="D2791" s="124" t="s">
        <v>127</v>
      </c>
      <c r="E2791" s="123" t="n">
        <v>161</v>
      </c>
      <c r="G2791" s="123" t="n">
        <v>2559</v>
      </c>
      <c r="O2791" s="123" t="n">
        <v>1</v>
      </c>
    </row>
    <row r="2792" customFormat="false" ht="15" hidden="false" customHeight="false" outlineLevel="0" collapsed="false">
      <c r="A2792" s="652" t="n">
        <v>46190</v>
      </c>
      <c r="B2792" s="123" t="n">
        <v>53002137</v>
      </c>
      <c r="C2792" s="124" t="s">
        <v>178</v>
      </c>
      <c r="D2792" s="124" t="s">
        <v>127</v>
      </c>
      <c r="E2792" s="123" t="n">
        <v>184</v>
      </c>
      <c r="G2792" s="123" t="n">
        <v>2743</v>
      </c>
      <c r="P2792" s="123" t="n">
        <v>1</v>
      </c>
    </row>
    <row r="2793" customFormat="false" ht="15" hidden="false" customHeight="false" outlineLevel="0" collapsed="false">
      <c r="A2793" s="652" t="n">
        <v>46190</v>
      </c>
      <c r="B2793" s="123" t="n">
        <v>53002138</v>
      </c>
      <c r="C2793" s="124" t="s">
        <v>161</v>
      </c>
      <c r="D2793" s="124" t="s">
        <v>127</v>
      </c>
      <c r="E2793" s="123" t="n">
        <v>322</v>
      </c>
      <c r="G2793" s="123" t="n">
        <v>3065</v>
      </c>
      <c r="O2793" s="123" t="n">
        <v>2</v>
      </c>
    </row>
    <row r="2794" customFormat="false" ht="15" hidden="false" customHeight="false" outlineLevel="0" collapsed="false">
      <c r="A2794" s="652" t="n">
        <v>46190</v>
      </c>
      <c r="B2794" s="123" t="s">
        <v>679</v>
      </c>
      <c r="C2794" s="124" t="s">
        <v>393</v>
      </c>
      <c r="F2794" s="123" t="n">
        <v>3065</v>
      </c>
      <c r="G2794" s="123" t="n">
        <v>0</v>
      </c>
    </row>
    <row r="2795" customFormat="false" ht="15" hidden="false" customHeight="false" outlineLevel="0" collapsed="false">
      <c r="A2795" s="652" t="n">
        <v>46190</v>
      </c>
      <c r="B2795" s="123" t="n">
        <v>53002139</v>
      </c>
      <c r="C2795" s="124" t="s">
        <v>183</v>
      </c>
      <c r="D2795" s="124" t="s">
        <v>127</v>
      </c>
      <c r="E2795" s="653" t="n">
        <v>2909.5</v>
      </c>
      <c r="G2795" s="653" t="n">
        <v>2909.5</v>
      </c>
      <c r="I2795" s="123" t="n">
        <v>7</v>
      </c>
      <c r="O2795" s="123" t="n">
        <v>2</v>
      </c>
      <c r="P2795" s="123" t="n">
        <v>1</v>
      </c>
    </row>
    <row r="2796" customFormat="false" ht="15" hidden="false" customHeight="false" outlineLevel="0" collapsed="false">
      <c r="A2796" s="652" t="n">
        <v>46190</v>
      </c>
      <c r="B2796" s="123" t="s">
        <v>679</v>
      </c>
      <c r="C2796" s="124" t="s">
        <v>393</v>
      </c>
      <c r="F2796" s="123" t="n">
        <v>2909</v>
      </c>
      <c r="G2796" s="653" t="n">
        <v>0.5</v>
      </c>
    </row>
    <row r="2797" customFormat="false" ht="15" hidden="false" customHeight="false" outlineLevel="0" collapsed="false">
      <c r="A2797" s="652" t="n">
        <v>46194</v>
      </c>
      <c r="B2797" s="123" t="n">
        <v>53002140</v>
      </c>
      <c r="C2797" s="124" t="s">
        <v>158</v>
      </c>
      <c r="D2797" s="124" t="s">
        <v>127</v>
      </c>
      <c r="E2797" s="123" t="n">
        <v>8360</v>
      </c>
      <c r="G2797" s="653" t="n">
        <v>8360.5</v>
      </c>
      <c r="J2797" s="123" t="n">
        <v>2</v>
      </c>
      <c r="K2797" s="123" t="n">
        <v>25</v>
      </c>
      <c r="P2797" s="123" t="n">
        <v>2</v>
      </c>
    </row>
    <row r="2798" customFormat="false" ht="15" hidden="false" customHeight="false" outlineLevel="0" collapsed="false">
      <c r="A2798" s="652" t="n">
        <v>46195</v>
      </c>
      <c r="B2798" s="123" t="s">
        <v>677</v>
      </c>
      <c r="C2798" s="124" t="s">
        <v>393</v>
      </c>
      <c r="F2798" s="653" t="n">
        <v>1677.79</v>
      </c>
      <c r="G2798" s="653" t="n">
        <v>6682.71</v>
      </c>
    </row>
    <row r="2799" customFormat="false" ht="15" hidden="false" customHeight="false" outlineLevel="0" collapsed="false">
      <c r="A2799" s="652" t="n">
        <v>46195</v>
      </c>
      <c r="B2799" s="123" t="s">
        <v>675</v>
      </c>
      <c r="C2799" s="124" t="s">
        <v>393</v>
      </c>
      <c r="F2799" s="123" t="n">
        <v>936</v>
      </c>
      <c r="G2799" s="653" t="n">
        <v>5746.71</v>
      </c>
    </row>
    <row r="2800" customFormat="false" ht="15" hidden="false" customHeight="false" outlineLevel="0" collapsed="false">
      <c r="A2800" s="652" t="n">
        <v>46195</v>
      </c>
      <c r="B2800" s="123" t="s">
        <v>679</v>
      </c>
      <c r="C2800" s="124" t="s">
        <v>393</v>
      </c>
      <c r="F2800" s="123" t="n">
        <v>5746</v>
      </c>
      <c r="G2800" s="653" t="n">
        <v>0.710000000000036</v>
      </c>
    </row>
    <row r="2801" customFormat="false" ht="15" hidden="false" customHeight="false" outlineLevel="0" collapsed="false">
      <c r="A2801" s="652" t="n">
        <v>46195</v>
      </c>
      <c r="B2801" s="123" t="n">
        <v>53002141</v>
      </c>
      <c r="C2801" s="124" t="s">
        <v>158</v>
      </c>
      <c r="D2801" s="124" t="s">
        <v>127</v>
      </c>
      <c r="E2801" s="123" t="n">
        <v>1035</v>
      </c>
      <c r="G2801" s="653" t="n">
        <v>1035.71</v>
      </c>
      <c r="O2801" s="123" t="n">
        <v>5</v>
      </c>
      <c r="P2801" s="123" t="n">
        <v>1</v>
      </c>
    </row>
    <row r="2802" customFormat="false" ht="15" hidden="false" customHeight="false" outlineLevel="0" collapsed="false">
      <c r="A2802" s="652" t="n">
        <v>46196</v>
      </c>
      <c r="B2802" s="123" t="n">
        <v>53002142</v>
      </c>
      <c r="C2802" s="124" t="s">
        <v>141</v>
      </c>
      <c r="D2802" s="124" t="s">
        <v>127</v>
      </c>
      <c r="E2802" s="653" t="n">
        <v>1690.5</v>
      </c>
      <c r="G2802" s="653" t="n">
        <v>2726.21</v>
      </c>
      <c r="J2802" s="123" t="n">
        <v>7</v>
      </c>
      <c r="O2802" s="123" t="n">
        <v>3</v>
      </c>
    </row>
    <row r="2803" customFormat="false" ht="15" hidden="false" customHeight="false" outlineLevel="0" collapsed="false">
      <c r="A2803" s="652" t="n">
        <v>46195</v>
      </c>
      <c r="B2803" s="123" t="s">
        <v>677</v>
      </c>
      <c r="C2803" s="124" t="s">
        <v>393</v>
      </c>
      <c r="E2803" s="653" t="n">
        <v>-0.21</v>
      </c>
      <c r="F2803" s="123" t="n">
        <v>500</v>
      </c>
      <c r="G2803" s="123" t="n">
        <v>2226</v>
      </c>
    </row>
    <row r="2804" customFormat="false" ht="15" hidden="false" customHeight="false" outlineLevel="0" collapsed="false">
      <c r="A2804" s="652" t="n">
        <v>46195</v>
      </c>
      <c r="B2804" s="123" t="s">
        <v>679</v>
      </c>
      <c r="C2804" s="124" t="s">
        <v>393</v>
      </c>
      <c r="F2804" s="123" t="n">
        <v>2226</v>
      </c>
      <c r="G2804" s="123" t="n">
        <v>0</v>
      </c>
    </row>
    <row r="2805" customFormat="false" ht="15" hidden="false" customHeight="false" outlineLevel="0" collapsed="false">
      <c r="A2805" s="652" t="n">
        <v>46197</v>
      </c>
      <c r="B2805" s="123" t="n">
        <v>53002143</v>
      </c>
      <c r="C2805" s="124" t="s">
        <v>135</v>
      </c>
      <c r="D2805" s="124" t="s">
        <v>127</v>
      </c>
      <c r="E2805" s="123" t="n">
        <v>161</v>
      </c>
      <c r="G2805" s="123" t="n">
        <v>161</v>
      </c>
      <c r="O2805" s="123" t="n">
        <v>1</v>
      </c>
    </row>
    <row r="2806" customFormat="false" ht="15" hidden="false" customHeight="false" outlineLevel="0" collapsed="false">
      <c r="A2806" s="652" t="n">
        <v>46197</v>
      </c>
      <c r="B2806" s="123" t="n">
        <v>53002144</v>
      </c>
      <c r="C2806" s="124" t="s">
        <v>178</v>
      </c>
      <c r="D2806" s="124" t="s">
        <v>127</v>
      </c>
      <c r="E2806" s="653" t="n">
        <v>304.75</v>
      </c>
      <c r="G2806" s="653" t="n">
        <v>465.75</v>
      </c>
      <c r="M2806" s="123" t="n">
        <v>1</v>
      </c>
    </row>
    <row r="2807" customFormat="false" ht="15" hidden="false" customHeight="false" outlineLevel="0" collapsed="false">
      <c r="A2807" s="652" t="n">
        <v>46197</v>
      </c>
      <c r="B2807" s="123" t="n">
        <v>53002145</v>
      </c>
      <c r="C2807" s="124" t="s">
        <v>180</v>
      </c>
      <c r="D2807" s="124" t="s">
        <v>127</v>
      </c>
      <c r="E2807" s="123" t="n">
        <v>184</v>
      </c>
      <c r="G2807" s="653" t="n">
        <v>649.75</v>
      </c>
      <c r="P2807" s="123" t="n">
        <v>1</v>
      </c>
    </row>
    <row r="2808" customFormat="false" ht="15" hidden="false" customHeight="false" outlineLevel="0" collapsed="false">
      <c r="A2808" s="652" t="n">
        <v>46197</v>
      </c>
      <c r="B2808" s="123" t="n">
        <v>53002146</v>
      </c>
      <c r="C2808" s="124" t="s">
        <v>177</v>
      </c>
      <c r="D2808" s="124" t="s">
        <v>127</v>
      </c>
      <c r="E2808" s="123" t="n">
        <v>184</v>
      </c>
      <c r="G2808" s="653" t="n">
        <v>833.75</v>
      </c>
      <c r="P2808" s="123" t="n">
        <v>1</v>
      </c>
    </row>
    <row r="2809" customFormat="false" ht="15" hidden="false" customHeight="false" outlineLevel="0" collapsed="false">
      <c r="A2809" s="652" t="n">
        <v>46197</v>
      </c>
      <c r="B2809" s="123" t="n">
        <v>53002147</v>
      </c>
      <c r="C2809" s="124" t="s">
        <v>150</v>
      </c>
      <c r="D2809" s="124" t="s">
        <v>127</v>
      </c>
      <c r="E2809" s="653" t="n">
        <v>310.5</v>
      </c>
      <c r="G2809" s="653" t="n">
        <v>1144.25</v>
      </c>
      <c r="P2809" s="123" t="n">
        <v>1</v>
      </c>
    </row>
    <row r="2810" customFormat="false" ht="15" hidden="false" customHeight="false" outlineLevel="0" collapsed="false">
      <c r="A2810" s="652" t="n">
        <v>46197</v>
      </c>
      <c r="B2810" s="123" t="n">
        <v>53002148</v>
      </c>
      <c r="C2810" s="124" t="s">
        <v>163</v>
      </c>
      <c r="D2810" s="124" t="s">
        <v>127</v>
      </c>
      <c r="E2810" s="123" t="n">
        <v>299</v>
      </c>
      <c r="G2810" s="653" t="n">
        <v>1443.25</v>
      </c>
      <c r="P2810" s="123" t="n">
        <v>1</v>
      </c>
    </row>
    <row r="2811" customFormat="false" ht="15" hidden="false" customHeight="false" outlineLevel="0" collapsed="false">
      <c r="A2811" s="652" t="n">
        <v>46197</v>
      </c>
      <c r="B2811" s="123" t="n">
        <v>53002149</v>
      </c>
      <c r="C2811" s="124" t="s">
        <v>219</v>
      </c>
      <c r="D2811" s="124" t="s">
        <v>127</v>
      </c>
      <c r="E2811" s="123" t="n">
        <v>161</v>
      </c>
      <c r="G2811" s="653" t="n">
        <v>1604.25</v>
      </c>
      <c r="O2811" s="123" t="n">
        <v>1</v>
      </c>
    </row>
    <row r="2812" customFormat="false" ht="15" hidden="false" customHeight="false" outlineLevel="0" collapsed="false">
      <c r="A2812" s="652" t="n">
        <v>46197</v>
      </c>
      <c r="B2812" s="123" t="s">
        <v>675</v>
      </c>
      <c r="C2812" s="124" t="s">
        <v>393</v>
      </c>
      <c r="E2812" s="653" t="n">
        <v>-0.25</v>
      </c>
      <c r="F2812" s="123" t="n">
        <v>1604</v>
      </c>
      <c r="G2812" s="123" t="n">
        <v>0</v>
      </c>
    </row>
    <row r="2813" customFormat="false" ht="15" hidden="false" customHeight="false" outlineLevel="0" collapsed="false">
      <c r="A2813" s="652" t="n">
        <v>46198</v>
      </c>
      <c r="B2813" s="123" t="n">
        <v>53002150</v>
      </c>
      <c r="C2813" s="124" t="s">
        <v>131</v>
      </c>
      <c r="D2813" s="124" t="s">
        <v>127</v>
      </c>
      <c r="E2813" s="123" t="n">
        <v>2277</v>
      </c>
      <c r="G2813" s="123" t="n">
        <v>2277</v>
      </c>
      <c r="I2813" s="123" t="n">
        <v>7</v>
      </c>
    </row>
    <row r="2814" customFormat="false" ht="15" hidden="false" customHeight="false" outlineLevel="0" collapsed="false">
      <c r="A2814" s="652" t="n">
        <v>46198</v>
      </c>
      <c r="B2814" s="123" t="n">
        <v>53002151</v>
      </c>
      <c r="C2814" s="124" t="s">
        <v>191</v>
      </c>
      <c r="D2814" s="124" t="s">
        <v>127</v>
      </c>
      <c r="E2814" s="123" t="n">
        <v>2277</v>
      </c>
      <c r="G2814" s="123" t="n">
        <v>4554</v>
      </c>
      <c r="I2814" s="123" t="n">
        <v>7</v>
      </c>
    </row>
    <row r="2815" customFormat="false" ht="15" hidden="false" customHeight="false" outlineLevel="0" collapsed="false">
      <c r="A2815" s="652" t="n">
        <v>46198</v>
      </c>
      <c r="B2815" s="123" t="n">
        <v>53002152</v>
      </c>
      <c r="C2815" s="124" t="s">
        <v>130</v>
      </c>
      <c r="D2815" s="124" t="s">
        <v>127</v>
      </c>
      <c r="E2815" s="653" t="n">
        <v>402.5</v>
      </c>
      <c r="G2815" s="653" t="n">
        <v>4956.5</v>
      </c>
      <c r="K2815" s="123" t="n">
        <v>1</v>
      </c>
      <c r="O2815" s="123" t="n">
        <v>1</v>
      </c>
    </row>
    <row r="2816" customFormat="false" ht="15" hidden="false" customHeight="false" outlineLevel="0" collapsed="false">
      <c r="A2816" s="652" t="n">
        <v>46198</v>
      </c>
      <c r="B2816" s="123" t="n">
        <v>53002153</v>
      </c>
      <c r="C2816" s="124" t="s">
        <v>141</v>
      </c>
      <c r="D2816" s="124" t="s">
        <v>127</v>
      </c>
      <c r="E2816" s="653" t="n">
        <v>1207.5</v>
      </c>
      <c r="G2816" s="123" t="n">
        <v>6164</v>
      </c>
      <c r="J2816" s="123" t="n">
        <v>7</v>
      </c>
    </row>
    <row r="2817" customFormat="false" ht="15" hidden="false" customHeight="false" outlineLevel="0" collapsed="false">
      <c r="A2817" s="652" t="n">
        <v>46198</v>
      </c>
      <c r="B2817" s="123" t="n">
        <v>53002154</v>
      </c>
      <c r="C2817" s="124" t="s">
        <v>141</v>
      </c>
      <c r="D2817" s="124" t="s">
        <v>127</v>
      </c>
      <c r="E2817" s="123" t="n">
        <v>2277</v>
      </c>
      <c r="G2817" s="123" t="n">
        <v>8441</v>
      </c>
      <c r="I2817" s="123" t="n">
        <v>7</v>
      </c>
    </row>
    <row r="2818" customFormat="false" ht="15" hidden="false" customHeight="false" outlineLevel="0" collapsed="false">
      <c r="A2818" s="652" t="n">
        <v>46198</v>
      </c>
      <c r="B2818" s="123" t="n">
        <v>53002155</v>
      </c>
      <c r="C2818" s="124" t="s">
        <v>161</v>
      </c>
      <c r="D2818" s="124" t="s">
        <v>127</v>
      </c>
      <c r="E2818" s="123" t="n">
        <v>1863</v>
      </c>
      <c r="G2818" s="123" t="n">
        <v>10304</v>
      </c>
      <c r="K2818" s="123" t="n">
        <v>7</v>
      </c>
    </row>
    <row r="2819" customFormat="false" ht="15" hidden="false" customHeight="false" outlineLevel="0" collapsed="false">
      <c r="A2819" s="652" t="n">
        <v>46198</v>
      </c>
      <c r="B2819" s="123" t="n">
        <v>53002156</v>
      </c>
      <c r="C2819" s="124" t="s">
        <v>155</v>
      </c>
      <c r="D2819" s="124" t="s">
        <v>127</v>
      </c>
      <c r="E2819" s="123" t="n">
        <v>2277</v>
      </c>
      <c r="G2819" s="123" t="n">
        <v>12581</v>
      </c>
      <c r="I2819" s="123" t="n">
        <v>7</v>
      </c>
    </row>
    <row r="2820" customFormat="false" ht="15" hidden="false" customHeight="false" outlineLevel="0" collapsed="false">
      <c r="A2820" s="652" t="n">
        <v>46198</v>
      </c>
      <c r="B2820" s="123" t="n">
        <v>53002157</v>
      </c>
      <c r="C2820" s="124" t="s">
        <v>155</v>
      </c>
      <c r="D2820" s="124" t="s">
        <v>127</v>
      </c>
      <c r="E2820" s="123" t="n">
        <v>345</v>
      </c>
      <c r="G2820" s="123" t="n">
        <v>12926</v>
      </c>
      <c r="O2820" s="123" t="n">
        <v>1</v>
      </c>
      <c r="P2820" s="123" t="n">
        <v>1</v>
      </c>
    </row>
    <row r="2821" customFormat="false" ht="15" hidden="false" customHeight="false" outlineLevel="0" collapsed="false">
      <c r="A2821" s="652" t="n">
        <v>46198</v>
      </c>
      <c r="B2821" s="123" t="n">
        <v>53002158</v>
      </c>
      <c r="C2821" s="124" t="s">
        <v>222</v>
      </c>
      <c r="D2821" s="124" t="s">
        <v>127</v>
      </c>
      <c r="E2821" s="123" t="n">
        <v>161</v>
      </c>
      <c r="G2821" s="123" t="n">
        <v>13087</v>
      </c>
      <c r="O2821" s="123" t="n">
        <v>1</v>
      </c>
    </row>
    <row r="2822" customFormat="false" ht="15" hidden="false" customHeight="false" outlineLevel="0" collapsed="false">
      <c r="A2822" s="652" t="n">
        <v>46198</v>
      </c>
      <c r="B2822" s="123" t="n">
        <v>53002159</v>
      </c>
      <c r="C2822" s="124" t="s">
        <v>174</v>
      </c>
      <c r="D2822" s="124" t="s">
        <v>127</v>
      </c>
      <c r="E2822" s="653" t="n">
        <v>1966.5</v>
      </c>
      <c r="G2822" s="653" t="n">
        <v>15053.5</v>
      </c>
      <c r="K2822" s="123" t="n">
        <v>7</v>
      </c>
    </row>
    <row r="2823" customFormat="false" ht="15" hidden="false" customHeight="false" outlineLevel="0" collapsed="false">
      <c r="A2823" s="652" t="n">
        <v>46198</v>
      </c>
      <c r="B2823" s="123" t="n">
        <v>53002160</v>
      </c>
      <c r="C2823" s="124" t="s">
        <v>168</v>
      </c>
      <c r="D2823" s="124" t="s">
        <v>127</v>
      </c>
      <c r="E2823" s="123" t="n">
        <v>161</v>
      </c>
      <c r="G2823" s="653" t="n">
        <v>15214.5</v>
      </c>
      <c r="O2823" s="123" t="n">
        <v>1</v>
      </c>
    </row>
    <row r="2824" customFormat="false" ht="15" hidden="false" customHeight="false" outlineLevel="0" collapsed="false">
      <c r="A2824" s="652" t="n">
        <v>46198</v>
      </c>
      <c r="B2824" s="123" t="n">
        <v>53002161</v>
      </c>
      <c r="C2824" s="124" t="s">
        <v>172</v>
      </c>
      <c r="D2824" s="124" t="s">
        <v>127</v>
      </c>
      <c r="E2824" s="123" t="n">
        <v>184</v>
      </c>
      <c r="G2824" s="653" t="n">
        <v>15398.5</v>
      </c>
      <c r="P2824" s="123" t="n">
        <v>1</v>
      </c>
    </row>
    <row r="2825" customFormat="false" ht="15" hidden="false" customHeight="false" outlineLevel="0" collapsed="false">
      <c r="A2825" s="652" t="n">
        <v>46198</v>
      </c>
      <c r="B2825" s="123" t="n">
        <v>53002162</v>
      </c>
      <c r="C2825" s="124" t="s">
        <v>187</v>
      </c>
      <c r="D2825" s="124" t="s">
        <v>127</v>
      </c>
      <c r="E2825" s="123" t="n">
        <v>2277</v>
      </c>
      <c r="G2825" s="653" t="n">
        <v>17675.5</v>
      </c>
      <c r="I2825" s="123" t="n">
        <v>7</v>
      </c>
    </row>
    <row r="2826" customFormat="false" ht="15" hidden="false" customHeight="false" outlineLevel="0" collapsed="false">
      <c r="A2826" s="652" t="n">
        <v>46198</v>
      </c>
      <c r="B2826" s="123" t="n">
        <v>53002163</v>
      </c>
      <c r="C2826" s="124" t="s">
        <v>189</v>
      </c>
      <c r="D2826" s="124" t="s">
        <v>127</v>
      </c>
      <c r="E2826" s="653" t="n">
        <v>1966.5</v>
      </c>
      <c r="G2826" s="123" t="n">
        <v>19642</v>
      </c>
      <c r="K2826" s="123" t="n">
        <v>7</v>
      </c>
    </row>
    <row r="2827" customFormat="false" ht="15" hidden="false" customHeight="false" outlineLevel="0" collapsed="false">
      <c r="A2827" s="652" t="n">
        <v>46198</v>
      </c>
      <c r="B2827" s="123" t="n">
        <v>53002164</v>
      </c>
      <c r="C2827" s="124" t="s">
        <v>182</v>
      </c>
      <c r="D2827" s="124" t="s">
        <v>127</v>
      </c>
      <c r="E2827" s="653" t="n">
        <v>241.5</v>
      </c>
      <c r="G2827" s="653" t="n">
        <v>19883.5</v>
      </c>
      <c r="K2827" s="123" t="n">
        <v>1</v>
      </c>
    </row>
    <row r="2828" customFormat="false" ht="15" hidden="false" customHeight="false" outlineLevel="0" collapsed="false">
      <c r="A2828" s="652" t="n">
        <v>46198</v>
      </c>
      <c r="B2828" s="123" t="s">
        <v>675</v>
      </c>
      <c r="C2828" s="124" t="s">
        <v>393</v>
      </c>
      <c r="F2828" s="653" t="n">
        <v>1231.5</v>
      </c>
      <c r="G2828" s="123" t="n">
        <v>18652</v>
      </c>
    </row>
    <row r="2829" customFormat="false" ht="15" hidden="false" customHeight="false" outlineLevel="0" collapsed="false">
      <c r="A2829" s="652" t="n">
        <v>46198</v>
      </c>
      <c r="B2829" s="123" t="s">
        <v>677</v>
      </c>
      <c r="C2829" s="124" t="s">
        <v>393</v>
      </c>
      <c r="F2829" s="653" t="n">
        <v>9395.5</v>
      </c>
      <c r="G2829" s="653" t="n">
        <v>9256.5</v>
      </c>
    </row>
    <row r="2830" customFormat="false" ht="15" hidden="false" customHeight="false" outlineLevel="0" collapsed="false">
      <c r="A2830" s="652" t="n">
        <v>46201</v>
      </c>
      <c r="B2830" s="123" t="n">
        <v>53002166</v>
      </c>
      <c r="C2830" s="124" t="s">
        <v>158</v>
      </c>
      <c r="D2830" s="124" t="s">
        <v>127</v>
      </c>
      <c r="E2830" s="653" t="n">
        <v>1966.5</v>
      </c>
      <c r="G2830" s="123" t="n">
        <v>11223</v>
      </c>
      <c r="K2830" s="123" t="n">
        <v>7</v>
      </c>
    </row>
    <row r="2831" customFormat="false" ht="15" hidden="false" customHeight="false" outlineLevel="0" collapsed="false">
      <c r="A2831" s="652" t="n">
        <v>46201</v>
      </c>
      <c r="B2831" s="123" t="n">
        <v>53002167</v>
      </c>
      <c r="C2831" s="124" t="s">
        <v>152</v>
      </c>
      <c r="D2831" s="124" t="s">
        <v>127</v>
      </c>
      <c r="E2831" s="653" t="n">
        <v>2173.5</v>
      </c>
      <c r="G2831" s="653" t="n">
        <v>13396.5</v>
      </c>
      <c r="K2831" s="123" t="n">
        <v>7</v>
      </c>
    </row>
    <row r="2832" customFormat="false" ht="15" hidden="false" customHeight="false" outlineLevel="0" collapsed="false">
      <c r="A2832" s="652" t="n">
        <v>46201</v>
      </c>
      <c r="B2832" s="123" t="n">
        <v>53002168</v>
      </c>
      <c r="C2832" s="124" t="s">
        <v>77</v>
      </c>
      <c r="D2832" s="124" t="s">
        <v>75</v>
      </c>
      <c r="E2832" s="123" t="n">
        <v>161</v>
      </c>
      <c r="G2832" s="653" t="n">
        <v>13557.5</v>
      </c>
      <c r="O2832" s="123" t="n">
        <v>1</v>
      </c>
    </row>
    <row r="2833" customFormat="false" ht="15" hidden="false" customHeight="false" outlineLevel="0" collapsed="false">
      <c r="A2833" s="652" t="n">
        <v>46201</v>
      </c>
      <c r="B2833" s="123" t="n">
        <v>53002169</v>
      </c>
      <c r="C2833" s="124" t="s">
        <v>94</v>
      </c>
      <c r="D2833" s="124" t="s">
        <v>75</v>
      </c>
      <c r="E2833" s="123" t="n">
        <v>161</v>
      </c>
      <c r="G2833" s="653" t="n">
        <v>13718.5</v>
      </c>
      <c r="O2833" s="123" t="n">
        <v>1</v>
      </c>
    </row>
    <row r="2834" customFormat="false" ht="15" hidden="false" customHeight="false" outlineLevel="0" collapsed="false">
      <c r="A2834" s="652" t="n">
        <v>46201</v>
      </c>
      <c r="B2834" s="123" t="n">
        <v>53002170</v>
      </c>
      <c r="C2834" s="124" t="s">
        <v>89</v>
      </c>
      <c r="D2834" s="124" t="s">
        <v>75</v>
      </c>
      <c r="E2834" s="123" t="n">
        <v>483</v>
      </c>
      <c r="G2834" s="653" t="n">
        <v>14201.5</v>
      </c>
      <c r="K2834" s="123" t="n">
        <v>2</v>
      </c>
    </row>
    <row r="2835" customFormat="false" ht="15" hidden="false" customHeight="false" outlineLevel="0" collapsed="false">
      <c r="A2835" s="652" t="n">
        <v>46201</v>
      </c>
      <c r="B2835" s="123" t="n">
        <v>53002171</v>
      </c>
      <c r="C2835" s="124" t="s">
        <v>106</v>
      </c>
      <c r="D2835" s="124" t="s">
        <v>105</v>
      </c>
      <c r="E2835" s="653" t="n">
        <v>1949.25</v>
      </c>
      <c r="G2835" s="653" t="n">
        <v>16150.75</v>
      </c>
      <c r="K2835" s="123" t="n">
        <v>7</v>
      </c>
    </row>
    <row r="2836" customFormat="false" ht="15" hidden="false" customHeight="false" outlineLevel="0" collapsed="false">
      <c r="A2836" s="652" t="n">
        <v>46201</v>
      </c>
      <c r="B2836" s="123" t="n">
        <v>53002172</v>
      </c>
      <c r="C2836" s="124" t="s">
        <v>113</v>
      </c>
      <c r="D2836" s="124" t="s">
        <v>105</v>
      </c>
      <c r="E2836" s="653" t="n">
        <v>241.5</v>
      </c>
      <c r="G2836" s="653" t="n">
        <v>16392.25</v>
      </c>
      <c r="K2836" s="123" t="n">
        <v>1</v>
      </c>
    </row>
    <row r="2837" customFormat="false" ht="15" hidden="false" customHeight="false" outlineLevel="0" collapsed="false">
      <c r="A2837" s="652" t="n">
        <v>46201</v>
      </c>
      <c r="B2837" s="123" t="n">
        <v>53002173</v>
      </c>
      <c r="C2837" s="124" t="s">
        <v>109</v>
      </c>
      <c r="D2837" s="124" t="s">
        <v>105</v>
      </c>
      <c r="E2837" s="653" t="n">
        <v>787.75</v>
      </c>
      <c r="G2837" s="123" t="n">
        <v>17180</v>
      </c>
      <c r="L2837" s="123" t="n">
        <v>1</v>
      </c>
      <c r="P2837" s="123" t="n">
        <v>2</v>
      </c>
    </row>
    <row r="2838" customFormat="false" ht="15" hidden="false" customHeight="false" outlineLevel="0" collapsed="false">
      <c r="A2838" s="652" t="n">
        <v>46201</v>
      </c>
      <c r="B2838" s="123" t="n">
        <v>53002174</v>
      </c>
      <c r="C2838" s="124" t="s">
        <v>109</v>
      </c>
      <c r="D2838" s="124" t="s">
        <v>105</v>
      </c>
      <c r="E2838" s="123" t="n">
        <v>2277</v>
      </c>
      <c r="G2838" s="123" t="n">
        <v>19457</v>
      </c>
      <c r="I2838" s="123" t="n">
        <v>7</v>
      </c>
    </row>
    <row r="2839" customFormat="false" ht="15" hidden="false" customHeight="false" outlineLevel="0" collapsed="false">
      <c r="A2839" s="652" t="n">
        <v>46201</v>
      </c>
      <c r="B2839" s="123" t="n">
        <v>53002175</v>
      </c>
      <c r="C2839" s="124" t="s">
        <v>107</v>
      </c>
      <c r="D2839" s="124" t="s">
        <v>105</v>
      </c>
      <c r="E2839" s="653" t="n">
        <v>241.5</v>
      </c>
      <c r="G2839" s="653" t="n">
        <v>19698.5</v>
      </c>
      <c r="K2839" s="123" t="n">
        <v>1</v>
      </c>
    </row>
    <row r="2840" customFormat="false" ht="15" hidden="false" customHeight="false" outlineLevel="0" collapsed="false">
      <c r="A2840" s="652" t="n">
        <v>46201</v>
      </c>
      <c r="B2840" s="123" t="n">
        <v>53002176</v>
      </c>
      <c r="C2840" s="124" t="s">
        <v>110</v>
      </c>
      <c r="D2840" s="124" t="s">
        <v>105</v>
      </c>
      <c r="E2840" s="123" t="n">
        <v>6831</v>
      </c>
      <c r="G2840" s="653" t="n">
        <v>26529.5</v>
      </c>
      <c r="I2840" s="123" t="n">
        <v>21</v>
      </c>
    </row>
    <row r="2841" customFormat="false" ht="15" hidden="false" customHeight="false" outlineLevel="0" collapsed="false">
      <c r="A2841" s="652" t="n">
        <v>46201</v>
      </c>
      <c r="B2841" s="123" t="n">
        <v>53002177</v>
      </c>
      <c r="C2841" s="124" t="s">
        <v>116</v>
      </c>
      <c r="D2841" s="124" t="s">
        <v>105</v>
      </c>
      <c r="E2841" s="653" t="n">
        <v>724.5</v>
      </c>
      <c r="G2841" s="123" t="n">
        <v>27254</v>
      </c>
      <c r="K2841" s="123" t="n">
        <v>3</v>
      </c>
    </row>
    <row r="2842" customFormat="false" ht="15" hidden="false" customHeight="false" outlineLevel="0" collapsed="false">
      <c r="A2842" s="652" t="n">
        <v>46201</v>
      </c>
      <c r="B2842" s="123" t="s">
        <v>677</v>
      </c>
      <c r="C2842" s="124" t="s">
        <v>393</v>
      </c>
      <c r="F2842" s="123" t="n">
        <v>6831</v>
      </c>
      <c r="G2842" s="123" t="n">
        <v>20423</v>
      </c>
    </row>
    <row r="2843" customFormat="false" ht="15" hidden="false" customHeight="false" outlineLevel="0" collapsed="false">
      <c r="A2843" s="652" t="n">
        <v>46201</v>
      </c>
      <c r="B2843" s="123" t="s">
        <v>675</v>
      </c>
      <c r="C2843" s="124" t="s">
        <v>393</v>
      </c>
      <c r="F2843" s="653" t="n">
        <v>5996.5</v>
      </c>
      <c r="G2843" s="653" t="n">
        <v>14426.5</v>
      </c>
    </row>
    <row r="2844" customFormat="false" ht="15" hidden="false" customHeight="false" outlineLevel="0" collapsed="false">
      <c r="A2844" s="652" t="n">
        <v>46201</v>
      </c>
      <c r="B2844" s="123" t="s">
        <v>679</v>
      </c>
      <c r="C2844" s="124" t="s">
        <v>393</v>
      </c>
      <c r="F2844" s="123" t="n">
        <v>7500</v>
      </c>
      <c r="G2844" s="653" t="n">
        <v>6926.5</v>
      </c>
    </row>
    <row r="2845" customFormat="false" ht="15" hidden="false" customHeight="false" outlineLevel="0" collapsed="false">
      <c r="A2845" s="652" t="n">
        <v>46202</v>
      </c>
      <c r="B2845" s="123" t="n">
        <v>53002178</v>
      </c>
      <c r="C2845" s="124" t="s">
        <v>179</v>
      </c>
      <c r="D2845" s="124" t="s">
        <v>127</v>
      </c>
      <c r="E2845" s="123" t="n">
        <v>2277</v>
      </c>
      <c r="G2845" s="653" t="n">
        <v>9203.5</v>
      </c>
      <c r="I2845" s="123" t="n">
        <v>7</v>
      </c>
    </row>
    <row r="2846" customFormat="false" ht="15" hidden="false" customHeight="false" outlineLevel="0" collapsed="false">
      <c r="A2846" s="652" t="n">
        <v>46202</v>
      </c>
      <c r="B2846" s="123" t="n">
        <v>53002179</v>
      </c>
      <c r="C2846" s="124" t="s">
        <v>155</v>
      </c>
      <c r="D2846" s="124" t="s">
        <v>127</v>
      </c>
      <c r="E2846" s="653" t="n">
        <v>2225.25</v>
      </c>
      <c r="G2846" s="653" t="n">
        <v>11428.75</v>
      </c>
      <c r="K2846" s="123" t="n">
        <v>7</v>
      </c>
    </row>
    <row r="2847" customFormat="false" ht="15" hidden="false" customHeight="false" outlineLevel="0" collapsed="false">
      <c r="A2847" s="652" t="n">
        <v>46202</v>
      </c>
      <c r="B2847" s="123" t="n">
        <v>53002180</v>
      </c>
      <c r="C2847" s="124" t="s">
        <v>134</v>
      </c>
      <c r="D2847" s="124" t="s">
        <v>127</v>
      </c>
      <c r="E2847" s="123" t="n">
        <v>2277</v>
      </c>
      <c r="G2847" s="653" t="n">
        <v>13705.75</v>
      </c>
      <c r="I2847" s="123" t="n">
        <v>7</v>
      </c>
    </row>
    <row r="2848" customFormat="false" ht="15" hidden="false" customHeight="false" outlineLevel="0" collapsed="false">
      <c r="A2848" s="652" t="n">
        <v>46202</v>
      </c>
      <c r="B2848" s="123" t="n">
        <v>53002181</v>
      </c>
      <c r="C2848" s="124" t="s">
        <v>135</v>
      </c>
      <c r="D2848" s="124" t="s">
        <v>127</v>
      </c>
      <c r="E2848" s="123" t="n">
        <v>3956</v>
      </c>
      <c r="G2848" s="653" t="n">
        <v>17661.75</v>
      </c>
      <c r="I2848" s="123" t="n">
        <v>7</v>
      </c>
      <c r="K2848" s="123" t="n">
        <v>5</v>
      </c>
      <c r="O2848" s="123" t="n">
        <v>1</v>
      </c>
      <c r="P2848" s="123" t="n">
        <v>1</v>
      </c>
    </row>
    <row r="2849" customFormat="false" ht="15" hidden="false" customHeight="false" outlineLevel="0" collapsed="false">
      <c r="A2849" s="652" t="n">
        <v>46202</v>
      </c>
      <c r="B2849" s="123" t="s">
        <v>675</v>
      </c>
      <c r="C2849" s="124" t="s">
        <v>393</v>
      </c>
      <c r="F2849" s="123" t="n">
        <v>1692</v>
      </c>
      <c r="G2849" s="653" t="n">
        <v>15969.75</v>
      </c>
    </row>
    <row r="2850" customFormat="false" ht="15" hidden="false" customHeight="false" outlineLevel="0" collapsed="false">
      <c r="A2850" s="652" t="n">
        <v>46202</v>
      </c>
      <c r="B2850" s="123" t="s">
        <v>679</v>
      </c>
      <c r="C2850" s="124" t="s">
        <v>393</v>
      </c>
      <c r="F2850" s="123" t="n">
        <v>5823</v>
      </c>
      <c r="G2850" s="653" t="n">
        <v>10146.75</v>
      </c>
    </row>
    <row r="2851" customFormat="false" ht="15" hidden="false" customHeight="false" outlineLevel="0" collapsed="false">
      <c r="A2851" s="652" t="n">
        <v>46203</v>
      </c>
      <c r="B2851" s="123" t="n">
        <v>53002182</v>
      </c>
      <c r="C2851" s="124" t="s">
        <v>141</v>
      </c>
      <c r="D2851" s="124" t="s">
        <v>127</v>
      </c>
      <c r="E2851" s="653" t="n">
        <v>2420.75</v>
      </c>
      <c r="G2851" s="653" t="n">
        <v>12567.5</v>
      </c>
      <c r="K2851" s="123" t="n">
        <v>7</v>
      </c>
      <c r="O2851" s="123" t="n">
        <v>1</v>
      </c>
      <c r="P2851" s="123" t="n">
        <v>1</v>
      </c>
    </row>
    <row r="2852" customFormat="false" ht="15" hidden="false" customHeight="false" outlineLevel="0" collapsed="false">
      <c r="A2852" s="652" t="n">
        <v>46203</v>
      </c>
      <c r="B2852" s="123" t="n">
        <v>53002183</v>
      </c>
      <c r="C2852" s="124" t="s">
        <v>137</v>
      </c>
      <c r="D2852" s="124" t="s">
        <v>127</v>
      </c>
      <c r="E2852" s="123" t="n">
        <v>2277</v>
      </c>
      <c r="G2852" s="653" t="n">
        <v>14844.5</v>
      </c>
      <c r="I2852" s="123" t="n">
        <v>7</v>
      </c>
    </row>
    <row r="2853" customFormat="false" ht="15" hidden="false" customHeight="false" outlineLevel="0" collapsed="false">
      <c r="A2853" s="652" t="n">
        <v>46203</v>
      </c>
      <c r="B2853" s="123" t="n">
        <v>53002184</v>
      </c>
      <c r="C2853" s="124" t="s">
        <v>138</v>
      </c>
      <c r="D2853" s="124" t="s">
        <v>127</v>
      </c>
      <c r="E2853" s="123" t="n">
        <v>2277</v>
      </c>
      <c r="G2853" s="653" t="n">
        <v>17121.5</v>
      </c>
      <c r="K2853" s="123" t="n">
        <v>7</v>
      </c>
    </row>
    <row r="2854" customFormat="false" ht="15" hidden="false" customHeight="false" outlineLevel="0" collapsed="false">
      <c r="A2854" s="652" t="n">
        <v>46203</v>
      </c>
      <c r="B2854" s="123" t="n">
        <v>53002185</v>
      </c>
      <c r="C2854" s="124" t="s">
        <v>135</v>
      </c>
      <c r="D2854" s="124" t="s">
        <v>127</v>
      </c>
      <c r="E2854" s="653" t="n">
        <v>609.5</v>
      </c>
      <c r="G2854" s="123" t="n">
        <v>17731</v>
      </c>
      <c r="O2854" s="123" t="n">
        <v>2</v>
      </c>
    </row>
    <row r="2855" customFormat="false" ht="15" hidden="false" customHeight="false" outlineLevel="0" collapsed="false">
      <c r="A2855" s="652" t="n">
        <v>46203</v>
      </c>
      <c r="B2855" s="123" t="n">
        <v>53002186</v>
      </c>
      <c r="C2855" s="124" t="s">
        <v>159</v>
      </c>
      <c r="D2855" s="124" t="s">
        <v>127</v>
      </c>
      <c r="E2855" s="123" t="n">
        <v>5773</v>
      </c>
      <c r="G2855" s="123" t="n">
        <v>23504</v>
      </c>
      <c r="I2855" s="123" t="n">
        <v>7</v>
      </c>
      <c r="J2855" s="123" t="n">
        <v>7</v>
      </c>
      <c r="K2855" s="123" t="n">
        <v>1</v>
      </c>
      <c r="O2855" s="123" t="n">
        <v>3</v>
      </c>
      <c r="P2855" s="123" t="n">
        <v>8</v>
      </c>
    </row>
    <row r="2856" customFormat="false" ht="15" hidden="false" customHeight="false" outlineLevel="0" collapsed="false">
      <c r="A2856" s="652" t="n">
        <v>46203</v>
      </c>
      <c r="B2856" s="123" t="n">
        <v>53002187</v>
      </c>
      <c r="C2856" s="124" t="s">
        <v>171</v>
      </c>
      <c r="D2856" s="124" t="s">
        <v>127</v>
      </c>
      <c r="E2856" s="123" t="n">
        <v>2277</v>
      </c>
      <c r="G2856" s="123" t="n">
        <v>25781</v>
      </c>
      <c r="I2856" s="123" t="n">
        <v>7</v>
      </c>
    </row>
    <row r="2857" customFormat="false" ht="15" hidden="false" customHeight="false" outlineLevel="0" collapsed="false">
      <c r="A2857" s="652" t="n">
        <v>46203</v>
      </c>
      <c r="B2857" s="123" t="n">
        <v>53002188</v>
      </c>
      <c r="C2857" s="124" t="s">
        <v>189</v>
      </c>
      <c r="D2857" s="124" t="s">
        <v>127</v>
      </c>
      <c r="E2857" s="123" t="n">
        <v>2438</v>
      </c>
      <c r="G2857" s="123" t="n">
        <v>28219</v>
      </c>
      <c r="I2857" s="123" t="n">
        <v>7</v>
      </c>
      <c r="O2857" s="123" t="n">
        <v>1</v>
      </c>
    </row>
    <row r="2858" customFormat="false" ht="15" hidden="false" customHeight="false" outlineLevel="0" collapsed="false">
      <c r="A2858" s="652" t="n">
        <v>46203</v>
      </c>
      <c r="B2858" s="123" t="n">
        <v>53002189</v>
      </c>
      <c r="C2858" s="124" t="s">
        <v>189</v>
      </c>
      <c r="D2858" s="124" t="s">
        <v>127</v>
      </c>
      <c r="E2858" s="123" t="n">
        <v>2277</v>
      </c>
      <c r="G2858" s="123" t="n">
        <v>30496</v>
      </c>
      <c r="I2858" s="123" t="n">
        <v>7</v>
      </c>
    </row>
    <row r="2859" customFormat="false" ht="15" hidden="false" customHeight="false" outlineLevel="0" collapsed="false">
      <c r="A2859" s="652" t="n">
        <v>46203</v>
      </c>
      <c r="B2859" s="123" t="s">
        <v>675</v>
      </c>
      <c r="C2859" s="124" t="s">
        <v>393</v>
      </c>
      <c r="F2859" s="123" t="n">
        <v>4012</v>
      </c>
      <c r="G2859" s="123" t="n">
        <v>26484</v>
      </c>
    </row>
    <row r="2860" customFormat="false" ht="15" hidden="false" customHeight="false" outlineLevel="0" collapsed="false">
      <c r="A2860" s="652" t="n">
        <v>46203</v>
      </c>
      <c r="B2860" s="123" t="s">
        <v>675</v>
      </c>
      <c r="C2860" s="124" t="s">
        <v>393</v>
      </c>
      <c r="F2860" s="123" t="n">
        <v>1145</v>
      </c>
      <c r="G2860" s="123" t="n">
        <v>25339</v>
      </c>
    </row>
    <row r="2861" customFormat="false" ht="15" hidden="false" customHeight="false" outlineLevel="0" collapsed="false">
      <c r="A2861" s="652" t="n">
        <v>46203</v>
      </c>
      <c r="B2861" s="123" t="s">
        <v>677</v>
      </c>
      <c r="C2861" s="124" t="s">
        <v>393</v>
      </c>
      <c r="F2861" s="653" t="n">
        <v>3243.5</v>
      </c>
      <c r="G2861" s="653" t="n">
        <v>22095.5</v>
      </c>
    </row>
    <row r="2862" customFormat="false" ht="15" hidden="false" customHeight="false" outlineLevel="0" collapsed="false">
      <c r="A2862" s="652" t="n">
        <v>46203</v>
      </c>
      <c r="B2862" s="123" t="s">
        <v>675</v>
      </c>
      <c r="C2862" s="124" t="s">
        <v>393</v>
      </c>
      <c r="F2862" s="123" t="n">
        <v>1350</v>
      </c>
      <c r="G2862" s="653" t="n">
        <v>20745.5</v>
      </c>
    </row>
    <row r="2863" customFormat="false" ht="15" hidden="false" customHeight="false" outlineLevel="0" collapsed="false">
      <c r="A2863" s="652" t="n">
        <v>46203</v>
      </c>
      <c r="B2863" s="123" t="s">
        <v>675</v>
      </c>
      <c r="C2863" s="124" t="s">
        <v>393</v>
      </c>
      <c r="F2863" s="123" t="n">
        <v>1889</v>
      </c>
      <c r="G2863" s="653" t="n">
        <v>18856.5</v>
      </c>
    </row>
    <row r="2864" customFormat="false" ht="15" hidden="false" customHeight="false" outlineLevel="0" collapsed="false">
      <c r="A2864" s="652" t="n">
        <v>46203</v>
      </c>
      <c r="B2864" s="123" t="s">
        <v>675</v>
      </c>
      <c r="C2864" s="124" t="s">
        <v>393</v>
      </c>
      <c r="F2864" s="123" t="n">
        <v>2034</v>
      </c>
      <c r="G2864" s="653" t="n">
        <v>16822.5</v>
      </c>
    </row>
    <row r="2865" customFormat="false" ht="15" hidden="false" customHeight="false" outlineLevel="0" collapsed="false">
      <c r="A2865" s="652" t="n">
        <v>46203</v>
      </c>
      <c r="B2865" s="123" t="s">
        <v>677</v>
      </c>
      <c r="C2865" s="124" t="s">
        <v>393</v>
      </c>
      <c r="F2865" s="123" t="n">
        <v>300</v>
      </c>
      <c r="G2865" s="653" t="n">
        <v>16522.5</v>
      </c>
    </row>
    <row r="2866" customFormat="false" ht="15" hidden="false" customHeight="false" outlineLevel="0" collapsed="false">
      <c r="A2866" s="652" t="n">
        <v>46203</v>
      </c>
      <c r="B2866" s="123" t="s">
        <v>675</v>
      </c>
      <c r="C2866" s="124" t="s">
        <v>393</v>
      </c>
      <c r="F2866" s="123" t="n">
        <v>2680</v>
      </c>
      <c r="G2866" s="653" t="n">
        <v>13842.5</v>
      </c>
    </row>
    <row r="2867" customFormat="false" ht="15" hidden="false" customHeight="false" outlineLevel="0" collapsed="false">
      <c r="A2867" s="652" t="n">
        <v>46203</v>
      </c>
      <c r="B2867" s="123" t="s">
        <v>677</v>
      </c>
      <c r="C2867" s="124" t="s">
        <v>393</v>
      </c>
      <c r="F2867" s="653" t="n">
        <v>4872.25</v>
      </c>
      <c r="G2867" s="653" t="n">
        <v>8970.25</v>
      </c>
    </row>
    <row r="2868" customFormat="false" ht="15" hidden="false" customHeight="false" outlineLevel="0" collapsed="false">
      <c r="A2868" s="652" t="n">
        <v>46203</v>
      </c>
      <c r="B2868" s="123" t="s">
        <v>675</v>
      </c>
      <c r="C2868" s="124" t="s">
        <v>393</v>
      </c>
      <c r="F2868" s="123" t="n">
        <v>2387</v>
      </c>
      <c r="G2868" s="653" t="n">
        <v>6583.25</v>
      </c>
    </row>
    <row r="2869" customFormat="false" ht="15" hidden="false" customHeight="false" outlineLevel="0" collapsed="false">
      <c r="A2869" s="652" t="n">
        <v>46203</v>
      </c>
      <c r="B2869" s="123" t="s">
        <v>675</v>
      </c>
      <c r="C2869" s="124" t="s">
        <v>393</v>
      </c>
      <c r="F2869" s="123" t="n">
        <v>300</v>
      </c>
      <c r="G2869" s="653" t="n">
        <v>6283.25</v>
      </c>
    </row>
    <row r="2870" customFormat="false" ht="15" hidden="false" customHeight="false" outlineLevel="0" collapsed="false">
      <c r="A2870" s="652" t="n">
        <v>46203</v>
      </c>
      <c r="B2870" s="123" t="s">
        <v>675</v>
      </c>
      <c r="C2870" s="124" t="s">
        <v>393</v>
      </c>
      <c r="F2870" s="653" t="n">
        <v>1517.5</v>
      </c>
      <c r="G2870" s="653" t="n">
        <v>4765.75</v>
      </c>
    </row>
    <row r="2871" customFormat="false" ht="15" hidden="false" customHeight="false" outlineLevel="0" collapsed="false">
      <c r="A2871" s="652" t="n">
        <v>46203</v>
      </c>
      <c r="B2871" s="123" t="s">
        <v>675</v>
      </c>
      <c r="C2871" s="124" t="s">
        <v>393</v>
      </c>
      <c r="F2871" s="123" t="n">
        <v>4765</v>
      </c>
      <c r="G2871" s="653" t="n">
        <v>0.75</v>
      </c>
    </row>
    <row r="2872" customFormat="false" ht="15" hidden="false" customHeight="false" outlineLevel="0" collapsed="false">
      <c r="A2872" s="652" t="n">
        <v>46209</v>
      </c>
      <c r="B2872" s="123" t="n">
        <v>53002190</v>
      </c>
      <c r="C2872" s="124" t="s">
        <v>181</v>
      </c>
      <c r="D2872" s="124" t="s">
        <v>127</v>
      </c>
      <c r="E2872" s="123" t="n">
        <v>506</v>
      </c>
      <c r="G2872" s="653" t="n">
        <v>506.75</v>
      </c>
      <c r="P2872" s="123" t="n">
        <v>2</v>
      </c>
    </row>
    <row r="2873" customFormat="false" ht="15" hidden="false" customHeight="false" outlineLevel="0" collapsed="false">
      <c r="A2873" s="652" t="n">
        <v>46210</v>
      </c>
      <c r="B2873" s="123" t="n">
        <v>53002192</v>
      </c>
      <c r="C2873" s="124" t="s">
        <v>100</v>
      </c>
      <c r="D2873" s="124" t="s">
        <v>75</v>
      </c>
      <c r="E2873" s="653" t="n">
        <v>1000.5</v>
      </c>
      <c r="G2873" s="653" t="n">
        <v>1507.25</v>
      </c>
      <c r="L2873" s="123" t="n">
        <v>3</v>
      </c>
    </row>
    <row r="2874" customFormat="false" ht="15" hidden="false" customHeight="false" outlineLevel="0" collapsed="false">
      <c r="A2874" s="652" t="n">
        <v>46210</v>
      </c>
      <c r="B2874" s="123" t="n">
        <v>53002191</v>
      </c>
      <c r="C2874" s="124" t="s">
        <v>77</v>
      </c>
      <c r="D2874" s="124" t="s">
        <v>75</v>
      </c>
      <c r="E2874" s="123" t="n">
        <v>161</v>
      </c>
      <c r="G2874" s="653" t="n">
        <v>1668.25</v>
      </c>
      <c r="O2874" s="123" t="n">
        <v>1</v>
      </c>
    </row>
    <row r="2875" customFormat="false" ht="15" hidden="false" customHeight="false" outlineLevel="0" collapsed="false">
      <c r="A2875" s="652" t="n">
        <v>46210</v>
      </c>
      <c r="B2875" s="123" t="n">
        <v>53002193</v>
      </c>
      <c r="C2875" s="124" t="s">
        <v>94</v>
      </c>
      <c r="D2875" s="124" t="s">
        <v>75</v>
      </c>
      <c r="E2875" s="653" t="n">
        <v>1269.6</v>
      </c>
      <c r="G2875" s="653" t="n">
        <v>2937.85</v>
      </c>
      <c r="I2875" s="123" t="n">
        <v>4</v>
      </c>
    </row>
    <row r="2876" customFormat="false" ht="15" hidden="false" customHeight="false" outlineLevel="0" collapsed="false">
      <c r="A2876" s="652" t="n">
        <v>46210</v>
      </c>
      <c r="B2876" s="123" t="n">
        <v>53002194</v>
      </c>
      <c r="C2876" s="124" t="s">
        <v>96</v>
      </c>
      <c r="D2876" s="124" t="s">
        <v>75</v>
      </c>
      <c r="E2876" s="123" t="n">
        <v>184</v>
      </c>
      <c r="G2876" s="653" t="n">
        <v>3121.85</v>
      </c>
      <c r="P2876" s="123" t="n">
        <v>1</v>
      </c>
    </row>
    <row r="2877" customFormat="false" ht="15" hidden="false" customHeight="false" outlineLevel="0" collapsed="false">
      <c r="A2877" s="652" t="n">
        <v>46210</v>
      </c>
      <c r="B2877" s="123" t="n">
        <v>53002195</v>
      </c>
      <c r="C2877" s="124" t="s">
        <v>106</v>
      </c>
      <c r="D2877" s="124" t="s">
        <v>105</v>
      </c>
      <c r="E2877" s="653" t="n">
        <v>1269.6</v>
      </c>
      <c r="G2877" s="653" t="n">
        <v>4391.45</v>
      </c>
      <c r="I2877" s="123" t="n">
        <v>4</v>
      </c>
    </row>
    <row r="2878" customFormat="false" ht="15" hidden="false" customHeight="false" outlineLevel="0" collapsed="false">
      <c r="A2878" s="652" t="n">
        <v>46210</v>
      </c>
      <c r="B2878" s="123" t="n">
        <v>53002196</v>
      </c>
      <c r="C2878" s="124" t="s">
        <v>116</v>
      </c>
      <c r="D2878" s="124" t="s">
        <v>105</v>
      </c>
      <c r="E2878" s="653" t="n">
        <v>419.75</v>
      </c>
      <c r="G2878" s="653" t="n">
        <v>4811.2</v>
      </c>
      <c r="L2878" s="123" t="n">
        <v>1</v>
      </c>
    </row>
    <row r="2879" customFormat="false" ht="15" hidden="false" customHeight="false" outlineLevel="0" collapsed="false">
      <c r="A2879" s="652" t="n">
        <v>46210</v>
      </c>
      <c r="B2879" s="123" t="n">
        <v>53002197</v>
      </c>
      <c r="C2879" s="124" t="s">
        <v>108</v>
      </c>
      <c r="D2879" s="124" t="s">
        <v>105</v>
      </c>
      <c r="E2879" s="653" t="n">
        <v>1689.35</v>
      </c>
      <c r="G2879" s="653" t="n">
        <v>6500.55</v>
      </c>
      <c r="I2879" s="123" t="n">
        <v>4</v>
      </c>
      <c r="L2879" s="123" t="n">
        <v>1</v>
      </c>
    </row>
    <row r="2880" customFormat="false" ht="15" hidden="false" customHeight="false" outlineLevel="0" collapsed="false">
      <c r="A2880" s="652" t="n">
        <v>46210</v>
      </c>
      <c r="B2880" s="123" t="s">
        <v>675</v>
      </c>
      <c r="C2880" s="124" t="s">
        <v>393</v>
      </c>
      <c r="F2880" s="123" t="n">
        <v>1748</v>
      </c>
      <c r="G2880" s="653" t="n">
        <v>4752.55</v>
      </c>
    </row>
    <row r="2881" customFormat="false" ht="15" hidden="false" customHeight="false" outlineLevel="0" collapsed="false">
      <c r="A2881" s="652" t="n">
        <v>46210</v>
      </c>
      <c r="B2881" s="123" t="s">
        <v>679</v>
      </c>
      <c r="C2881" s="124" t="s">
        <v>393</v>
      </c>
      <c r="F2881" s="123" t="n">
        <v>4200</v>
      </c>
      <c r="G2881" s="653" t="n">
        <v>552.549999999999</v>
      </c>
    </row>
    <row r="2882" customFormat="false" ht="15" hidden="false" customHeight="false" outlineLevel="0" collapsed="false">
      <c r="A2882" s="652" t="n">
        <v>46210</v>
      </c>
      <c r="B2882" s="123" t="s">
        <v>677</v>
      </c>
      <c r="C2882" s="124" t="s">
        <v>393</v>
      </c>
      <c r="F2882" s="123" t="n">
        <v>266</v>
      </c>
      <c r="G2882" s="653" t="n">
        <v>286.549999999999</v>
      </c>
    </row>
    <row r="2883" customFormat="false" ht="15" hidden="false" customHeight="false" outlineLevel="0" collapsed="false">
      <c r="A2883" s="652" t="n">
        <v>46211</v>
      </c>
      <c r="B2883" s="123" t="n">
        <v>53002198</v>
      </c>
      <c r="C2883" s="124" t="s">
        <v>203</v>
      </c>
      <c r="D2883" s="124" t="s">
        <v>127</v>
      </c>
      <c r="E2883" s="653" t="n">
        <v>655.5</v>
      </c>
      <c r="G2883" s="653" t="n">
        <v>942.049999999999</v>
      </c>
      <c r="J2883" s="123" t="n">
        <v>4</v>
      </c>
    </row>
    <row r="2884" customFormat="false" ht="15" hidden="false" customHeight="false" outlineLevel="0" collapsed="false">
      <c r="A2884" s="652" t="n">
        <v>46212</v>
      </c>
      <c r="B2884" s="123" t="s">
        <v>675</v>
      </c>
      <c r="C2884" s="124" t="s">
        <v>393</v>
      </c>
      <c r="F2884" s="123" t="n">
        <v>548</v>
      </c>
      <c r="G2884" s="653" t="n">
        <v>394.049999999999</v>
      </c>
    </row>
    <row r="2885" customFormat="false" ht="15" hidden="false" customHeight="false" outlineLevel="0" collapsed="false">
      <c r="A2885" s="652" t="n">
        <v>46212</v>
      </c>
      <c r="B2885" s="123" t="n">
        <v>53002199</v>
      </c>
      <c r="C2885" s="124" t="s">
        <v>130</v>
      </c>
      <c r="D2885" s="124" t="s">
        <v>127</v>
      </c>
      <c r="E2885" s="653" t="n">
        <v>1269.6</v>
      </c>
      <c r="G2885" s="653" t="n">
        <v>1663.65</v>
      </c>
      <c r="I2885" s="123" t="n">
        <v>4</v>
      </c>
    </row>
    <row r="2886" customFormat="false" ht="15" hidden="false" customHeight="false" outlineLevel="0" collapsed="false">
      <c r="A2886" s="652" t="n">
        <v>46212</v>
      </c>
      <c r="B2886" s="123" t="n">
        <v>53002200</v>
      </c>
      <c r="C2886" s="124" t="s">
        <v>183</v>
      </c>
      <c r="D2886" s="124" t="s">
        <v>127</v>
      </c>
      <c r="E2886" s="123" t="n">
        <v>322</v>
      </c>
      <c r="G2886" s="653" t="n">
        <v>1985.65</v>
      </c>
      <c r="O2886" s="123" t="n">
        <v>2</v>
      </c>
    </row>
    <row r="2887" customFormat="false" ht="15" hidden="false" customHeight="false" outlineLevel="0" collapsed="false">
      <c r="A2887" s="652" t="n">
        <v>46212</v>
      </c>
      <c r="B2887" s="123" t="n">
        <v>53002201</v>
      </c>
      <c r="C2887" s="124" t="s">
        <v>148</v>
      </c>
      <c r="D2887" s="124" t="s">
        <v>127</v>
      </c>
      <c r="E2887" s="123" t="n">
        <v>184</v>
      </c>
      <c r="G2887" s="653" t="n">
        <v>2169.65</v>
      </c>
      <c r="P2887" s="123" t="n">
        <v>1</v>
      </c>
    </row>
    <row r="2888" customFormat="false" ht="15" hidden="false" customHeight="false" outlineLevel="0" collapsed="false">
      <c r="A2888" s="652" t="n">
        <v>46212</v>
      </c>
      <c r="B2888" s="123" t="n">
        <v>53002202</v>
      </c>
      <c r="C2888" s="124" t="s">
        <v>143</v>
      </c>
      <c r="D2888" s="124" t="s">
        <v>127</v>
      </c>
      <c r="E2888" s="123" t="n">
        <v>161</v>
      </c>
      <c r="G2888" s="653" t="n">
        <v>2330.65</v>
      </c>
      <c r="O2888" s="123" t="n">
        <v>1</v>
      </c>
    </row>
    <row r="2889" customFormat="false" ht="15" hidden="false" customHeight="false" outlineLevel="0" collapsed="false">
      <c r="A2889" s="652" t="n">
        <v>46212</v>
      </c>
      <c r="B2889" s="123" t="n">
        <v>53002203</v>
      </c>
      <c r="C2889" s="124" t="s">
        <v>141</v>
      </c>
      <c r="D2889" s="124" t="s">
        <v>127</v>
      </c>
      <c r="E2889" s="653" t="n">
        <v>4588.5</v>
      </c>
      <c r="G2889" s="653" t="n">
        <v>6919.15</v>
      </c>
      <c r="J2889" s="123" t="n">
        <v>28</v>
      </c>
    </row>
    <row r="2890" customFormat="false" ht="15" hidden="false" customHeight="false" outlineLevel="0" collapsed="false">
      <c r="A2890" s="652" t="n">
        <v>46212</v>
      </c>
      <c r="B2890" s="123" t="s">
        <v>677</v>
      </c>
      <c r="C2890" s="124" t="s">
        <v>393</v>
      </c>
      <c r="F2890" s="123" t="n">
        <v>6869</v>
      </c>
      <c r="G2890" s="653" t="n">
        <v>50.1499999999996</v>
      </c>
    </row>
    <row r="2891" customFormat="false" ht="15" hidden="false" customHeight="false" outlineLevel="0" collapsed="false">
      <c r="A2891" s="652" t="n">
        <v>46215</v>
      </c>
      <c r="B2891" s="123" t="n">
        <v>53002204</v>
      </c>
      <c r="C2891" s="124" t="s">
        <v>141</v>
      </c>
      <c r="D2891" s="124" t="s">
        <v>127</v>
      </c>
      <c r="E2891" s="653" t="n">
        <v>2539.2</v>
      </c>
      <c r="G2891" s="653" t="n">
        <v>2589.35</v>
      </c>
      <c r="I2891" s="123" t="n">
        <v>8</v>
      </c>
    </row>
    <row r="2892" customFormat="false" ht="15" hidden="false" customHeight="false" outlineLevel="0" collapsed="false">
      <c r="A2892" s="652" t="n">
        <v>46215</v>
      </c>
      <c r="B2892" s="123" t="s">
        <v>675</v>
      </c>
      <c r="C2892" s="124" t="s">
        <v>393</v>
      </c>
      <c r="F2892" s="653" t="n">
        <v>1163.5</v>
      </c>
      <c r="G2892" s="653" t="n">
        <v>1425.85</v>
      </c>
    </row>
    <row r="2893" customFormat="false" ht="15" hidden="false" customHeight="false" outlineLevel="0" collapsed="false">
      <c r="A2893" s="652" t="n">
        <v>46215</v>
      </c>
      <c r="B2893" s="123" t="s">
        <v>675</v>
      </c>
      <c r="C2893" s="124" t="s">
        <v>393</v>
      </c>
      <c r="F2893" s="123" t="n">
        <v>1201</v>
      </c>
      <c r="G2893" s="653" t="n">
        <v>224.849999999999</v>
      </c>
    </row>
    <row r="2894" customFormat="false" ht="15" hidden="false" customHeight="false" outlineLevel="0" collapsed="false">
      <c r="A2894" s="652" t="n">
        <v>46216</v>
      </c>
      <c r="B2894" s="123" t="n">
        <v>53002205</v>
      </c>
      <c r="C2894" s="124" t="s">
        <v>148</v>
      </c>
      <c r="D2894" s="124" t="s">
        <v>127</v>
      </c>
      <c r="E2894" s="653" t="n">
        <v>1269.6</v>
      </c>
      <c r="G2894" s="653" t="n">
        <v>1494.45</v>
      </c>
      <c r="I2894" s="123" t="n">
        <v>4</v>
      </c>
    </row>
    <row r="2895" customFormat="false" ht="15" hidden="false" customHeight="false" outlineLevel="0" collapsed="false">
      <c r="A2895" s="652" t="n">
        <v>46216</v>
      </c>
      <c r="B2895" s="123" t="n">
        <v>53002206</v>
      </c>
      <c r="C2895" s="124" t="s">
        <v>183</v>
      </c>
      <c r="D2895" s="124" t="s">
        <v>127</v>
      </c>
      <c r="E2895" s="653" t="n">
        <v>931.5</v>
      </c>
      <c r="G2895" s="653" t="n">
        <v>2425.95</v>
      </c>
      <c r="P2895" s="123" t="n">
        <v>3</v>
      </c>
    </row>
    <row r="2896" customFormat="false" ht="15" hidden="false" customHeight="false" outlineLevel="0" collapsed="false">
      <c r="A2896" s="652" t="n">
        <v>46216</v>
      </c>
      <c r="B2896" s="123" t="n">
        <v>53002207</v>
      </c>
      <c r="C2896" s="124" t="s">
        <v>135</v>
      </c>
      <c r="D2896" s="124" t="s">
        <v>127</v>
      </c>
      <c r="E2896" s="123" t="n">
        <v>161</v>
      </c>
      <c r="G2896" s="653" t="n">
        <v>2586.95</v>
      </c>
      <c r="O2896" s="123" t="n">
        <v>1</v>
      </c>
    </row>
    <row r="2897" customFormat="false" ht="15" hidden="false" customHeight="false" outlineLevel="0" collapsed="false">
      <c r="A2897" s="652" t="n">
        <v>46216</v>
      </c>
      <c r="B2897" s="123" t="n">
        <v>53002208</v>
      </c>
      <c r="C2897" s="124" t="s">
        <v>138</v>
      </c>
      <c r="D2897" s="124" t="s">
        <v>127</v>
      </c>
      <c r="E2897" s="653" t="n">
        <v>1269.6</v>
      </c>
      <c r="G2897" s="653" t="n">
        <v>3856.55</v>
      </c>
      <c r="I2897" s="123" t="n">
        <v>4</v>
      </c>
    </row>
    <row r="2898" customFormat="false" ht="15" hidden="false" customHeight="false" outlineLevel="0" collapsed="false">
      <c r="A2898" s="652" t="n">
        <v>46216</v>
      </c>
      <c r="C2898" s="124" t="s">
        <v>393</v>
      </c>
      <c r="F2898" s="123" t="n">
        <v>419</v>
      </c>
      <c r="G2898" s="653" t="n">
        <v>3437.55</v>
      </c>
    </row>
    <row r="2899" customFormat="false" ht="15" hidden="false" customHeight="false" outlineLevel="0" collapsed="false">
      <c r="A2899" s="652" t="n">
        <v>46217</v>
      </c>
      <c r="B2899" s="123" t="n">
        <v>53002209</v>
      </c>
      <c r="C2899" s="124" t="s">
        <v>141</v>
      </c>
      <c r="D2899" s="124" t="s">
        <v>127</v>
      </c>
      <c r="E2899" s="653" t="n">
        <v>5580.95</v>
      </c>
      <c r="G2899" s="653" t="n">
        <v>9018.5</v>
      </c>
      <c r="I2899" s="123" t="n">
        <v>8</v>
      </c>
      <c r="K2899" s="123" t="n">
        <v>10</v>
      </c>
      <c r="P2899" s="123" t="n">
        <v>1</v>
      </c>
    </row>
    <row r="2900" customFormat="false" ht="15" hidden="false" customHeight="false" outlineLevel="0" collapsed="false">
      <c r="A2900" s="652" t="n">
        <v>46217</v>
      </c>
      <c r="B2900" s="123" t="n">
        <v>53002210</v>
      </c>
      <c r="C2900" s="124" t="s">
        <v>158</v>
      </c>
      <c r="D2900" s="124" t="s">
        <v>127</v>
      </c>
      <c r="E2900" s="653" t="n">
        <v>12868.5</v>
      </c>
      <c r="G2900" s="123" t="n">
        <v>21887</v>
      </c>
      <c r="K2900" s="123" t="n">
        <v>42</v>
      </c>
      <c r="O2900" s="123" t="n">
        <v>4</v>
      </c>
      <c r="P2900" s="123" t="n">
        <v>2</v>
      </c>
    </row>
    <row r="2901" customFormat="false" ht="15" hidden="false" customHeight="false" outlineLevel="0" collapsed="false">
      <c r="A2901" s="652" t="n">
        <v>46217</v>
      </c>
      <c r="B2901" s="123" t="n">
        <v>53002211</v>
      </c>
      <c r="C2901" s="124" t="s">
        <v>135</v>
      </c>
      <c r="D2901" s="124" t="s">
        <v>127</v>
      </c>
      <c r="E2901" s="653" t="n">
        <v>419.75</v>
      </c>
      <c r="G2901" s="653" t="n">
        <v>22306.75</v>
      </c>
      <c r="L2901" s="123" t="n">
        <v>1</v>
      </c>
    </row>
    <row r="2902" customFormat="false" ht="15" hidden="false" customHeight="false" outlineLevel="0" collapsed="false">
      <c r="A2902" s="652" t="n">
        <v>46217</v>
      </c>
      <c r="B2902" s="123" t="s">
        <v>675</v>
      </c>
      <c r="C2902" s="124" t="s">
        <v>393</v>
      </c>
      <c r="F2902" s="123" t="n">
        <v>1046</v>
      </c>
      <c r="G2902" s="653" t="n">
        <v>21260.75</v>
      </c>
    </row>
    <row r="2903" customFormat="false" ht="15" hidden="false" customHeight="false" outlineLevel="0" collapsed="false">
      <c r="A2903" s="652" t="n">
        <v>46217</v>
      </c>
      <c r="B2903" s="123" t="s">
        <v>675</v>
      </c>
      <c r="C2903" s="124" t="s">
        <v>393</v>
      </c>
      <c r="F2903" s="123" t="n">
        <v>5425</v>
      </c>
      <c r="G2903" s="653" t="n">
        <v>15835.75</v>
      </c>
    </row>
    <row r="2904" customFormat="false" ht="15" hidden="false" customHeight="false" outlineLevel="0" collapsed="false">
      <c r="A2904" s="652" t="n">
        <v>46217</v>
      </c>
      <c r="B2904" s="123" t="s">
        <v>677</v>
      </c>
      <c r="C2904" s="124" t="s">
        <v>393</v>
      </c>
      <c r="F2904" s="123" t="n">
        <v>3000</v>
      </c>
      <c r="G2904" s="653" t="n">
        <v>12835.75</v>
      </c>
    </row>
    <row r="2905" customFormat="false" ht="15" hidden="false" customHeight="false" outlineLevel="0" collapsed="false">
      <c r="A2905" s="652" t="n">
        <v>46217</v>
      </c>
      <c r="B2905" s="123" t="s">
        <v>679</v>
      </c>
      <c r="C2905" s="124" t="s">
        <v>393</v>
      </c>
      <c r="F2905" s="123" t="n">
        <v>8000</v>
      </c>
      <c r="G2905" s="653" t="n">
        <v>4835.75</v>
      </c>
    </row>
    <row r="2906" customFormat="false" ht="15" hidden="false" customHeight="false" outlineLevel="0" collapsed="false">
      <c r="A2906" s="652" t="n">
        <v>46223</v>
      </c>
      <c r="B2906" s="123" t="s">
        <v>677</v>
      </c>
      <c r="C2906" s="124" t="s">
        <v>393</v>
      </c>
      <c r="F2906" s="653" t="n">
        <v>1815.36</v>
      </c>
      <c r="G2906" s="653" t="n">
        <v>3020.39</v>
      </c>
    </row>
    <row r="2907" customFormat="false" ht="15" hidden="false" customHeight="false" outlineLevel="0" collapsed="false">
      <c r="A2907" s="652" t="n">
        <v>46224</v>
      </c>
      <c r="B2907" s="123" t="s">
        <v>675</v>
      </c>
      <c r="C2907" s="124" t="s">
        <v>393</v>
      </c>
      <c r="F2907" s="123" t="n">
        <v>1270</v>
      </c>
      <c r="G2907" s="653" t="n">
        <v>1750.39</v>
      </c>
    </row>
    <row r="2908" customFormat="false" ht="15" hidden="false" customHeight="false" outlineLevel="0" collapsed="false">
      <c r="A2908" s="652" t="n">
        <v>46226</v>
      </c>
      <c r="B2908" s="123" t="n">
        <v>53002212</v>
      </c>
      <c r="C2908" s="124" t="s">
        <v>155</v>
      </c>
      <c r="D2908" s="124" t="s">
        <v>127</v>
      </c>
      <c r="E2908" s="653" t="n">
        <v>1453.6</v>
      </c>
      <c r="G2908" s="653" t="n">
        <v>3203.99</v>
      </c>
      <c r="I2908" s="123" t="n">
        <v>4</v>
      </c>
      <c r="P2908" s="123" t="n">
        <v>1</v>
      </c>
    </row>
    <row r="2909" customFormat="false" ht="15" hidden="false" customHeight="false" outlineLevel="0" collapsed="false">
      <c r="A2909" s="652" t="n">
        <v>46226</v>
      </c>
      <c r="B2909" s="123" t="n">
        <v>53002213</v>
      </c>
      <c r="C2909" s="124" t="s">
        <v>172</v>
      </c>
      <c r="D2909" s="124" t="s">
        <v>127</v>
      </c>
      <c r="E2909" s="653" t="n">
        <v>655.5</v>
      </c>
      <c r="G2909" s="653" t="n">
        <v>3859.49</v>
      </c>
      <c r="J2909" s="123" t="n">
        <v>4</v>
      </c>
    </row>
    <row r="2910" customFormat="false" ht="15" hidden="false" customHeight="false" outlineLevel="0" collapsed="false">
      <c r="A2910" s="652" t="n">
        <v>46226</v>
      </c>
      <c r="B2910" s="123" t="n">
        <v>53002214</v>
      </c>
      <c r="C2910" s="124" t="s">
        <v>174</v>
      </c>
      <c r="D2910" s="124" t="s">
        <v>127</v>
      </c>
      <c r="E2910" s="123" t="n">
        <v>552</v>
      </c>
      <c r="G2910" s="653" t="n">
        <v>4411.49</v>
      </c>
      <c r="P2910" s="123" t="n">
        <v>3</v>
      </c>
    </row>
    <row r="2911" customFormat="false" ht="15" hidden="false" customHeight="false" outlineLevel="0" collapsed="false">
      <c r="A2911" s="652" t="n">
        <v>46226</v>
      </c>
      <c r="B2911" s="123" t="n">
        <v>53002215</v>
      </c>
      <c r="C2911" s="124" t="s">
        <v>203</v>
      </c>
      <c r="D2911" s="124" t="s">
        <v>127</v>
      </c>
      <c r="E2911" s="653" t="n">
        <v>1269.6</v>
      </c>
      <c r="G2911" s="653" t="n">
        <v>5681.09</v>
      </c>
      <c r="I2911" s="123" t="n">
        <v>4</v>
      </c>
    </row>
    <row r="2912" customFormat="false" ht="15" hidden="false" customHeight="false" outlineLevel="0" collapsed="false">
      <c r="A2912" s="652" t="n">
        <v>46226</v>
      </c>
      <c r="B2912" s="123" t="n">
        <v>53002216</v>
      </c>
      <c r="C2912" s="124" t="s">
        <v>135</v>
      </c>
      <c r="D2912" s="124" t="s">
        <v>127</v>
      </c>
      <c r="E2912" s="123" t="n">
        <v>161</v>
      </c>
      <c r="G2912" s="653" t="n">
        <v>5842.09</v>
      </c>
      <c r="O2912" s="123" t="n">
        <v>1</v>
      </c>
    </row>
    <row r="2913" customFormat="false" ht="15" hidden="false" customHeight="false" outlineLevel="0" collapsed="false">
      <c r="A2913" s="652" t="n">
        <v>46228</v>
      </c>
      <c r="B2913" s="123" t="n">
        <v>53002217</v>
      </c>
      <c r="C2913" s="124" t="s">
        <v>138</v>
      </c>
      <c r="D2913" s="124" t="s">
        <v>127</v>
      </c>
      <c r="E2913" s="653" t="n">
        <v>1269.6</v>
      </c>
      <c r="G2913" s="653" t="n">
        <v>7111.69</v>
      </c>
      <c r="I2913" s="123" t="n">
        <v>4</v>
      </c>
    </row>
    <row r="2914" customFormat="false" ht="15" hidden="false" customHeight="false" outlineLevel="0" collapsed="false">
      <c r="A2914" s="652" t="n">
        <v>46228</v>
      </c>
      <c r="B2914" s="123" t="n">
        <v>53002218</v>
      </c>
      <c r="C2914" s="124" t="s">
        <v>150</v>
      </c>
      <c r="D2914" s="124" t="s">
        <v>127</v>
      </c>
      <c r="E2914" s="123" t="n">
        <v>299</v>
      </c>
      <c r="G2914" s="653" t="n">
        <v>7410.69</v>
      </c>
      <c r="P2914" s="123" t="n">
        <v>1</v>
      </c>
    </row>
    <row r="2915" customFormat="false" ht="15" hidden="false" customHeight="false" outlineLevel="0" collapsed="false">
      <c r="A2915" s="652" t="n">
        <v>46228</v>
      </c>
      <c r="B2915" s="123" t="n">
        <v>53002219</v>
      </c>
      <c r="C2915" s="124" t="s">
        <v>184</v>
      </c>
      <c r="D2915" s="124" t="s">
        <v>127</v>
      </c>
      <c r="E2915" s="123" t="n">
        <v>552</v>
      </c>
      <c r="G2915" s="653" t="n">
        <v>7962.69</v>
      </c>
      <c r="P2915" s="123" t="n">
        <v>3</v>
      </c>
    </row>
    <row r="2916" customFormat="false" ht="15" hidden="false" customHeight="false" outlineLevel="0" collapsed="false">
      <c r="A2916" s="652" t="n">
        <v>46228</v>
      </c>
      <c r="B2916" s="123" t="s">
        <v>675</v>
      </c>
      <c r="C2916" s="124" t="s">
        <v>393</v>
      </c>
      <c r="F2916" s="653" t="n">
        <v>4079.5</v>
      </c>
      <c r="G2916" s="653" t="n">
        <v>3883.19</v>
      </c>
    </row>
    <row r="2917" customFormat="false" ht="15" hidden="false" customHeight="false" outlineLevel="0" collapsed="false">
      <c r="A2917" s="652" t="n">
        <v>46228</v>
      </c>
      <c r="B2917" s="123" t="s">
        <v>675</v>
      </c>
      <c r="C2917" s="124" t="s">
        <v>393</v>
      </c>
      <c r="F2917" s="123" t="n">
        <v>1350</v>
      </c>
      <c r="G2917" s="653" t="n">
        <v>2533.19</v>
      </c>
    </row>
    <row r="2918" customFormat="false" ht="15" hidden="false" customHeight="false" outlineLevel="0" collapsed="false">
      <c r="A2918" s="652" t="n">
        <v>46228</v>
      </c>
      <c r="B2918" s="123" t="s">
        <v>675</v>
      </c>
      <c r="C2918" s="124" t="s">
        <v>393</v>
      </c>
      <c r="F2918" s="653" t="n">
        <v>834.51</v>
      </c>
      <c r="G2918" s="653" t="n">
        <v>1698.68</v>
      </c>
    </row>
    <row r="2919" customFormat="false" ht="15" hidden="false" customHeight="false" outlineLevel="0" collapsed="false">
      <c r="A2919" s="652" t="n">
        <v>46228</v>
      </c>
      <c r="B2919" s="123" t="s">
        <v>677</v>
      </c>
      <c r="C2919" s="124" t="s">
        <v>393</v>
      </c>
      <c r="F2919" s="653" t="n">
        <v>1454.83</v>
      </c>
      <c r="G2919" s="653" t="n">
        <v>243.850000000001</v>
      </c>
    </row>
    <row r="2920" customFormat="false" ht="15" hidden="false" customHeight="false" outlineLevel="0" collapsed="false">
      <c r="A2920" s="652" t="n">
        <v>46229</v>
      </c>
      <c r="B2920" s="123" t="s">
        <v>677</v>
      </c>
      <c r="C2920" s="124" t="s">
        <v>393</v>
      </c>
      <c r="F2920" s="123" t="n">
        <v>243</v>
      </c>
      <c r="G2920" s="653" t="n">
        <v>0.850000000000591</v>
      </c>
    </row>
    <row r="2921" customFormat="false" ht="15" hidden="false" customHeight="false" outlineLevel="0" collapsed="false">
      <c r="A2921" s="652" t="n">
        <v>46229</v>
      </c>
      <c r="B2921" s="123" t="n">
        <v>53002220</v>
      </c>
      <c r="C2921" s="124" t="s">
        <v>76</v>
      </c>
      <c r="D2921" s="124" t="s">
        <v>75</v>
      </c>
      <c r="E2921" s="653" t="n">
        <v>304.75</v>
      </c>
      <c r="G2921" s="653" t="n">
        <v>305.600000000001</v>
      </c>
      <c r="M2921" s="123" t="n">
        <v>1</v>
      </c>
    </row>
    <row r="2922" customFormat="false" ht="15" hidden="false" customHeight="false" outlineLevel="0" collapsed="false">
      <c r="A2922" s="652" t="n">
        <v>46229</v>
      </c>
      <c r="B2922" s="123" t="n">
        <v>53002221</v>
      </c>
      <c r="C2922" s="124" t="s">
        <v>89</v>
      </c>
      <c r="D2922" s="124" t="s">
        <v>75</v>
      </c>
      <c r="E2922" s="653" t="n">
        <v>304.75</v>
      </c>
      <c r="G2922" s="653" t="n">
        <v>610.350000000001</v>
      </c>
      <c r="M2922" s="123" t="n">
        <v>1</v>
      </c>
    </row>
    <row r="2923" customFormat="false" ht="15" hidden="false" customHeight="false" outlineLevel="0" collapsed="false">
      <c r="A2923" s="652" t="n">
        <v>46229</v>
      </c>
      <c r="B2923" s="123" t="n">
        <v>53002222</v>
      </c>
      <c r="C2923" s="124" t="s">
        <v>103</v>
      </c>
      <c r="D2923" s="124" t="s">
        <v>75</v>
      </c>
      <c r="E2923" s="653" t="n">
        <v>609.5</v>
      </c>
      <c r="G2923" s="653" t="n">
        <v>1219.85</v>
      </c>
      <c r="M2923" s="123" t="n">
        <v>2</v>
      </c>
    </row>
    <row r="2924" customFormat="false" ht="15" hidden="false" customHeight="false" outlineLevel="0" collapsed="false">
      <c r="A2924" s="652" t="n">
        <v>46229</v>
      </c>
      <c r="B2924" s="123" t="n">
        <v>53002223</v>
      </c>
      <c r="C2924" s="124" t="s">
        <v>93</v>
      </c>
      <c r="D2924" s="124" t="s">
        <v>75</v>
      </c>
      <c r="E2924" s="653" t="n">
        <v>304.75</v>
      </c>
      <c r="G2924" s="653" t="n">
        <v>1524.6</v>
      </c>
      <c r="M2924" s="123" t="n">
        <v>1</v>
      </c>
    </row>
    <row r="2925" customFormat="false" ht="15" hidden="false" customHeight="false" outlineLevel="0" collapsed="false">
      <c r="A2925" s="652" t="n">
        <v>46229</v>
      </c>
      <c r="B2925" s="123" t="n">
        <v>53002224</v>
      </c>
      <c r="C2925" s="124" t="s">
        <v>92</v>
      </c>
      <c r="D2925" s="124" t="s">
        <v>75</v>
      </c>
      <c r="E2925" s="653" t="n">
        <v>304.75</v>
      </c>
      <c r="G2925" s="653" t="n">
        <v>1829.35</v>
      </c>
      <c r="M2925" s="123" t="n">
        <v>1</v>
      </c>
    </row>
    <row r="2926" customFormat="false" ht="15" hidden="false" customHeight="false" outlineLevel="0" collapsed="false">
      <c r="A2926" s="652" t="n">
        <v>46229</v>
      </c>
      <c r="B2926" s="123" t="n">
        <v>53002225</v>
      </c>
      <c r="C2926" s="124" t="s">
        <v>113</v>
      </c>
      <c r="D2926" s="124" t="s">
        <v>105</v>
      </c>
      <c r="E2926" s="653" t="n">
        <v>1269.6</v>
      </c>
      <c r="G2926" s="653" t="n">
        <v>3098.95</v>
      </c>
      <c r="I2926" s="123" t="n">
        <v>4</v>
      </c>
    </row>
    <row r="2927" customFormat="false" ht="15" hidden="false" customHeight="false" outlineLevel="0" collapsed="false">
      <c r="A2927" s="652" t="n">
        <v>46229</v>
      </c>
      <c r="B2927" s="123" t="n">
        <v>53002226</v>
      </c>
      <c r="C2927" s="124" t="s">
        <v>104</v>
      </c>
      <c r="D2927" s="124" t="s">
        <v>105</v>
      </c>
      <c r="E2927" s="653" t="n">
        <v>1741.1</v>
      </c>
      <c r="G2927" s="653" t="n">
        <v>4840.05</v>
      </c>
      <c r="I2927" s="123" t="n">
        <v>4</v>
      </c>
      <c r="O2927" s="123" t="n">
        <v>1</v>
      </c>
      <c r="P2927" s="123" t="n">
        <v>1</v>
      </c>
    </row>
    <row r="2928" customFormat="false" ht="15" hidden="false" customHeight="false" outlineLevel="0" collapsed="false">
      <c r="A2928" s="652" t="n">
        <v>46229</v>
      </c>
      <c r="B2928" s="123" t="n">
        <v>53002227</v>
      </c>
      <c r="C2928" s="124" t="s">
        <v>116</v>
      </c>
      <c r="D2928" s="124" t="s">
        <v>105</v>
      </c>
      <c r="E2928" s="653" t="n">
        <v>3788.1</v>
      </c>
      <c r="G2928" s="653" t="n">
        <v>8628.15</v>
      </c>
      <c r="I2928" s="123" t="n">
        <v>4</v>
      </c>
      <c r="K2928" s="123" t="n">
        <v>7</v>
      </c>
      <c r="P2928" s="123" t="n">
        <v>3</v>
      </c>
    </row>
    <row r="2929" customFormat="false" ht="15" hidden="false" customHeight="false" outlineLevel="0" collapsed="false">
      <c r="A2929" s="652" t="n">
        <v>46229</v>
      </c>
      <c r="B2929" s="123" t="n">
        <v>53002228</v>
      </c>
      <c r="C2929" s="124" t="s">
        <v>117</v>
      </c>
      <c r="D2929" s="124" t="s">
        <v>105</v>
      </c>
      <c r="E2929" s="123" t="n">
        <v>2001</v>
      </c>
      <c r="G2929" s="653" t="n">
        <v>10629.15</v>
      </c>
      <c r="L2929" s="123" t="n">
        <v>6</v>
      </c>
    </row>
    <row r="2930" customFormat="false" ht="15" hidden="false" customHeight="false" outlineLevel="0" collapsed="false">
      <c r="A2930" s="652" t="n">
        <v>46229</v>
      </c>
      <c r="B2930" s="123" t="n">
        <v>53002229</v>
      </c>
      <c r="C2930" s="124" t="s">
        <v>117</v>
      </c>
      <c r="D2930" s="124" t="s">
        <v>105</v>
      </c>
      <c r="E2930" s="123" t="n">
        <v>2001</v>
      </c>
      <c r="G2930" s="653" t="n">
        <v>12630.15</v>
      </c>
      <c r="L2930" s="123" t="n">
        <v>6</v>
      </c>
    </row>
    <row r="2931" customFormat="false" ht="15" hidden="false" customHeight="false" outlineLevel="0" collapsed="false">
      <c r="A2931" s="652" t="n">
        <v>46229</v>
      </c>
      <c r="B2931" s="123" t="n">
        <v>53002230</v>
      </c>
      <c r="C2931" s="124" t="s">
        <v>114</v>
      </c>
      <c r="D2931" s="124" t="s">
        <v>105</v>
      </c>
      <c r="E2931" s="653" t="n">
        <v>304.75</v>
      </c>
      <c r="G2931" s="653" t="n">
        <v>12934.9</v>
      </c>
      <c r="M2931" s="123" t="n">
        <v>1</v>
      </c>
    </row>
    <row r="2932" customFormat="false" ht="15" hidden="false" customHeight="false" outlineLevel="0" collapsed="false">
      <c r="A2932" s="652" t="n">
        <v>46229</v>
      </c>
      <c r="B2932" s="123" t="n">
        <v>53002231</v>
      </c>
      <c r="C2932" s="124" t="s">
        <v>109</v>
      </c>
      <c r="D2932" s="124" t="s">
        <v>105</v>
      </c>
      <c r="E2932" s="653" t="n">
        <v>2539.2</v>
      </c>
      <c r="G2932" s="653" t="n">
        <v>15474.1</v>
      </c>
      <c r="I2932" s="123" t="n">
        <v>8</v>
      </c>
    </row>
    <row r="2933" customFormat="false" ht="15" hidden="false" customHeight="false" outlineLevel="0" collapsed="false">
      <c r="A2933" s="652" t="n">
        <v>46229</v>
      </c>
      <c r="B2933" s="123" t="n">
        <v>53002232</v>
      </c>
      <c r="C2933" s="124" t="s">
        <v>115</v>
      </c>
      <c r="D2933" s="124" t="s">
        <v>105</v>
      </c>
      <c r="E2933" s="123" t="n">
        <v>345</v>
      </c>
      <c r="G2933" s="653" t="n">
        <v>15819.1</v>
      </c>
      <c r="P2933" s="123" t="n">
        <v>1</v>
      </c>
    </row>
    <row r="2934" customFormat="false" ht="15" hidden="false" customHeight="false" outlineLevel="0" collapsed="false">
      <c r="A2934" s="652" t="n">
        <v>46229</v>
      </c>
      <c r="B2934" s="123" t="n">
        <v>53002233</v>
      </c>
      <c r="C2934" s="124" t="s">
        <v>115</v>
      </c>
      <c r="D2934" s="124" t="s">
        <v>105</v>
      </c>
      <c r="E2934" s="123" t="n">
        <v>552</v>
      </c>
      <c r="G2934" s="653" t="n">
        <v>16371.1</v>
      </c>
      <c r="P2934" s="123" t="n">
        <v>3</v>
      </c>
    </row>
    <row r="2935" customFormat="false" ht="15" hidden="false" customHeight="false" outlineLevel="0" collapsed="false">
      <c r="A2935" s="652" t="n">
        <v>46229</v>
      </c>
      <c r="B2935" s="123" t="n">
        <v>53002234</v>
      </c>
      <c r="C2935" s="124" t="s">
        <v>109</v>
      </c>
      <c r="D2935" s="124" t="s">
        <v>105</v>
      </c>
      <c r="E2935" s="123" t="n">
        <v>874</v>
      </c>
      <c r="G2935" s="653" t="n">
        <v>17245.1</v>
      </c>
      <c r="O2935" s="123" t="n">
        <v>2</v>
      </c>
      <c r="P2935" s="123" t="n">
        <v>3</v>
      </c>
    </row>
    <row r="2936" customFormat="false" ht="15" hidden="false" customHeight="false" outlineLevel="0" collapsed="false">
      <c r="A2936" s="652" t="n">
        <v>46229</v>
      </c>
      <c r="B2936" s="123" t="n">
        <v>53002235</v>
      </c>
      <c r="C2936" s="124" t="s">
        <v>109</v>
      </c>
      <c r="D2936" s="124" t="s">
        <v>105</v>
      </c>
      <c r="E2936" s="653" t="n">
        <v>1269.6</v>
      </c>
      <c r="G2936" s="653" t="n">
        <v>18514.7</v>
      </c>
      <c r="I2936" s="123" t="n">
        <v>4</v>
      </c>
    </row>
    <row r="2937" customFormat="false" ht="15" hidden="false" customHeight="false" outlineLevel="0" collapsed="false">
      <c r="A2937" s="652" t="n">
        <v>46229</v>
      </c>
      <c r="B2937" s="123" t="n">
        <v>53002236</v>
      </c>
      <c r="C2937" s="124" t="s">
        <v>107</v>
      </c>
      <c r="D2937" s="124" t="s">
        <v>105</v>
      </c>
      <c r="E2937" s="123" t="n">
        <v>552</v>
      </c>
      <c r="G2937" s="653" t="n">
        <v>19066.7</v>
      </c>
      <c r="P2937" s="123" t="n">
        <v>3</v>
      </c>
    </row>
    <row r="2938" customFormat="false" ht="15" hidden="false" customHeight="false" outlineLevel="0" collapsed="false">
      <c r="A2938" s="652" t="n">
        <v>46230</v>
      </c>
      <c r="C2938" s="124" t="s">
        <v>393</v>
      </c>
      <c r="F2938" s="123" t="n">
        <v>11090</v>
      </c>
      <c r="G2938" s="653" t="n">
        <v>7976.7</v>
      </c>
    </row>
    <row r="2939" customFormat="false" ht="15" hidden="false" customHeight="false" outlineLevel="0" collapsed="false">
      <c r="A2939" s="652" t="n">
        <v>46230</v>
      </c>
      <c r="C2939" s="124" t="s">
        <v>393</v>
      </c>
      <c r="F2939" s="123" t="n">
        <v>1207</v>
      </c>
      <c r="G2939" s="653" t="n">
        <v>6769.7</v>
      </c>
    </row>
    <row r="2940" customFormat="false" ht="15" hidden="false" customHeight="false" outlineLevel="0" collapsed="false">
      <c r="A2940" s="652" t="n">
        <v>46230</v>
      </c>
      <c r="B2940" s="123" t="n">
        <v>53002237</v>
      </c>
      <c r="C2940" s="124" t="s">
        <v>132</v>
      </c>
      <c r="D2940" s="124" t="s">
        <v>127</v>
      </c>
      <c r="E2940" s="123" t="n">
        <v>552</v>
      </c>
      <c r="G2940" s="653" t="n">
        <v>7321.7</v>
      </c>
      <c r="P2940" s="123" t="n">
        <v>3</v>
      </c>
    </row>
    <row r="2941" customFormat="false" ht="15" hidden="false" customHeight="false" outlineLevel="0" collapsed="false">
      <c r="A2941" s="652" t="n">
        <v>46230</v>
      </c>
      <c r="B2941" s="123" t="n">
        <v>53002238</v>
      </c>
      <c r="C2941" s="124" t="s">
        <v>154</v>
      </c>
      <c r="D2941" s="124" t="s">
        <v>127</v>
      </c>
      <c r="E2941" s="653" t="n">
        <v>1430.6</v>
      </c>
      <c r="G2941" s="653" t="n">
        <v>8752.3</v>
      </c>
      <c r="I2941" s="123" t="n">
        <v>4</v>
      </c>
      <c r="O2941" s="123" t="n">
        <v>1</v>
      </c>
    </row>
    <row r="2942" customFormat="false" ht="15" hidden="false" customHeight="false" outlineLevel="0" collapsed="false">
      <c r="A2942" s="652" t="n">
        <v>46230</v>
      </c>
      <c r="B2942" s="123" t="n">
        <v>53002239</v>
      </c>
      <c r="C2942" s="124" t="s">
        <v>183</v>
      </c>
      <c r="D2942" s="124" t="s">
        <v>127</v>
      </c>
      <c r="E2942" s="123" t="n">
        <v>805</v>
      </c>
      <c r="G2942" s="653" t="n">
        <v>9557.3</v>
      </c>
      <c r="K2942" s="123" t="n">
        <v>2</v>
      </c>
      <c r="O2942" s="123" t="n">
        <v>2</v>
      </c>
    </row>
    <row r="2943" customFormat="false" ht="15" hidden="false" customHeight="false" outlineLevel="0" collapsed="false">
      <c r="A2943" s="652" t="n">
        <v>46230</v>
      </c>
      <c r="B2943" s="123" t="n">
        <v>53002240</v>
      </c>
      <c r="C2943" s="124" t="s">
        <v>135</v>
      </c>
      <c r="D2943" s="124" t="s">
        <v>127</v>
      </c>
      <c r="E2943" s="653" t="n">
        <v>241.5</v>
      </c>
      <c r="G2943" s="653" t="n">
        <v>9798.8</v>
      </c>
      <c r="K2943" s="123" t="n">
        <v>1</v>
      </c>
    </row>
    <row r="2944" customFormat="false" ht="15" hidden="false" customHeight="false" outlineLevel="0" collapsed="false">
      <c r="A2944" s="652" t="n">
        <v>46230</v>
      </c>
      <c r="B2944" s="123" t="n">
        <v>53002241</v>
      </c>
      <c r="C2944" s="124" t="s">
        <v>130</v>
      </c>
      <c r="D2944" s="124" t="s">
        <v>127</v>
      </c>
      <c r="E2944" s="653" t="n">
        <v>1580.1</v>
      </c>
      <c r="G2944" s="653" t="n">
        <v>11378.9</v>
      </c>
      <c r="I2944" s="123" t="n">
        <v>4</v>
      </c>
      <c r="P2944" s="123" t="n">
        <v>1</v>
      </c>
    </row>
    <row r="2945" customFormat="false" ht="15" hidden="false" customHeight="false" outlineLevel="0" collapsed="false">
      <c r="A2945" s="652" t="n">
        <v>46230</v>
      </c>
      <c r="B2945" s="123" t="n">
        <v>53002242</v>
      </c>
      <c r="C2945" s="124" t="s">
        <v>134</v>
      </c>
      <c r="D2945" s="124" t="s">
        <v>127</v>
      </c>
      <c r="E2945" s="653" t="n">
        <v>1966.5</v>
      </c>
      <c r="G2945" s="653" t="n">
        <v>13345.4</v>
      </c>
      <c r="K2945" s="123" t="n">
        <v>7</v>
      </c>
    </row>
    <row r="2946" customFormat="false" ht="15" hidden="false" customHeight="false" outlineLevel="0" collapsed="false">
      <c r="A2946" s="652" t="n">
        <v>46230</v>
      </c>
      <c r="B2946" s="123" t="s">
        <v>675</v>
      </c>
      <c r="C2946" s="124" t="s">
        <v>393</v>
      </c>
      <c r="F2946" s="123" t="n">
        <v>1138</v>
      </c>
      <c r="G2946" s="653" t="n">
        <v>12207.4</v>
      </c>
    </row>
    <row r="2947" customFormat="false" ht="15" hidden="false" customHeight="false" outlineLevel="0" collapsed="false">
      <c r="A2947" s="652" t="n">
        <v>46230</v>
      </c>
      <c r="B2947" s="123" t="s">
        <v>675</v>
      </c>
      <c r="C2947" s="124" t="s">
        <v>393</v>
      </c>
      <c r="F2947" s="123" t="n">
        <v>2089</v>
      </c>
      <c r="G2947" s="653" t="n">
        <v>10118.4</v>
      </c>
    </row>
    <row r="2948" customFormat="false" ht="15" hidden="false" customHeight="false" outlineLevel="0" collapsed="false">
      <c r="A2948" s="652" t="n">
        <v>46230</v>
      </c>
      <c r="B2948" s="123" t="s">
        <v>677</v>
      </c>
      <c r="C2948" s="124" t="s">
        <v>393</v>
      </c>
      <c r="F2948" s="123" t="n">
        <v>1772</v>
      </c>
      <c r="G2948" s="653" t="n">
        <v>8346.4</v>
      </c>
    </row>
    <row r="2949" customFormat="false" ht="15" hidden="false" customHeight="false" outlineLevel="0" collapsed="false">
      <c r="A2949" s="652" t="n">
        <v>46231</v>
      </c>
      <c r="B2949" s="123" t="n">
        <v>53002243</v>
      </c>
      <c r="C2949" s="124" t="s">
        <v>145</v>
      </c>
      <c r="D2949" s="124" t="s">
        <v>127</v>
      </c>
      <c r="E2949" s="653" t="n">
        <v>1000.5</v>
      </c>
      <c r="G2949" s="653" t="n">
        <v>9346.9</v>
      </c>
      <c r="L2949" s="123" t="n">
        <v>3</v>
      </c>
    </row>
    <row r="2950" customFormat="false" ht="15" hidden="false" customHeight="false" outlineLevel="0" collapsed="false">
      <c r="A2950" s="652" t="n">
        <v>46231</v>
      </c>
      <c r="B2950" s="123" t="n">
        <v>53002246</v>
      </c>
      <c r="C2950" s="124" t="s">
        <v>178</v>
      </c>
      <c r="D2950" s="124" t="s">
        <v>127</v>
      </c>
      <c r="E2950" s="653" t="n">
        <v>1000.5</v>
      </c>
      <c r="G2950" s="653" t="n">
        <v>10347.4</v>
      </c>
      <c r="L2950" s="123" t="n">
        <v>3</v>
      </c>
    </row>
    <row r="2951" customFormat="false" ht="15" hidden="false" customHeight="false" outlineLevel="0" collapsed="false">
      <c r="A2951" s="652" t="n">
        <v>46231</v>
      </c>
      <c r="B2951" s="123" t="n">
        <v>53002245</v>
      </c>
      <c r="C2951" s="124" t="s">
        <v>182</v>
      </c>
      <c r="D2951" s="124" t="s">
        <v>127</v>
      </c>
      <c r="E2951" s="653" t="n">
        <v>1850.35</v>
      </c>
      <c r="G2951" s="653" t="n">
        <v>12197.75</v>
      </c>
      <c r="I2951" s="123" t="n">
        <v>4</v>
      </c>
      <c r="L2951" s="123" t="n">
        <v>1</v>
      </c>
      <c r="O2951" s="123" t="n">
        <v>1</v>
      </c>
    </row>
    <row r="2952" customFormat="false" ht="15" hidden="false" customHeight="false" outlineLevel="0" collapsed="false">
      <c r="A2952" s="652" t="n">
        <v>46231</v>
      </c>
      <c r="B2952" s="123" t="n">
        <v>53002247</v>
      </c>
      <c r="C2952" s="124" t="s">
        <v>189</v>
      </c>
      <c r="D2952" s="124" t="s">
        <v>127</v>
      </c>
      <c r="E2952" s="653" t="n">
        <v>1966.5</v>
      </c>
      <c r="G2952" s="653" t="n">
        <v>14164.25</v>
      </c>
      <c r="K2952" s="123" t="n">
        <v>7</v>
      </c>
    </row>
    <row r="2953" customFormat="false" ht="15" hidden="false" customHeight="false" outlineLevel="0" collapsed="false">
      <c r="A2953" s="652" t="n">
        <v>46231</v>
      </c>
      <c r="B2953" s="123" t="n">
        <v>53002248</v>
      </c>
      <c r="C2953" s="124" t="s">
        <v>171</v>
      </c>
      <c r="D2953" s="124" t="s">
        <v>127</v>
      </c>
      <c r="E2953" s="653" t="n">
        <v>1269.6</v>
      </c>
      <c r="G2953" s="653" t="n">
        <v>15433.85</v>
      </c>
      <c r="I2953" s="123" t="n">
        <v>4</v>
      </c>
    </row>
    <row r="2954" customFormat="false" ht="15" hidden="false" customHeight="false" outlineLevel="0" collapsed="false">
      <c r="A2954" s="652" t="n">
        <v>46231</v>
      </c>
      <c r="B2954" s="123" t="n">
        <v>53002249</v>
      </c>
      <c r="C2954" s="124" t="s">
        <v>197</v>
      </c>
      <c r="D2954" s="124" t="s">
        <v>127</v>
      </c>
      <c r="E2954" s="653" t="n">
        <v>310.5</v>
      </c>
      <c r="G2954" s="653" t="n">
        <v>15744.35</v>
      </c>
      <c r="P2954" s="123" t="n">
        <v>1</v>
      </c>
    </row>
    <row r="2955" customFormat="false" ht="15" hidden="false" customHeight="false" outlineLevel="0" collapsed="false">
      <c r="A2955" s="652" t="n">
        <v>46231</v>
      </c>
      <c r="B2955" s="123" t="n">
        <v>53002250</v>
      </c>
      <c r="C2955" s="124" t="s">
        <v>184</v>
      </c>
      <c r="D2955" s="124" t="s">
        <v>127</v>
      </c>
      <c r="E2955" s="123" t="n">
        <v>552</v>
      </c>
      <c r="G2955" s="653" t="n">
        <v>16296.35</v>
      </c>
      <c r="P2955" s="123" t="n">
        <v>3</v>
      </c>
    </row>
    <row r="2956" customFormat="false" ht="15" hidden="false" customHeight="false" outlineLevel="0" collapsed="false">
      <c r="A2956" s="652" t="n">
        <v>46231</v>
      </c>
      <c r="B2956" s="123" t="s">
        <v>675</v>
      </c>
      <c r="C2956" s="124" t="s">
        <v>393</v>
      </c>
      <c r="F2956" s="123" t="n">
        <v>2350</v>
      </c>
      <c r="G2956" s="653" t="n">
        <v>13946.35</v>
      </c>
    </row>
    <row r="2957" customFormat="false" ht="15" hidden="false" customHeight="false" outlineLevel="0" collapsed="false">
      <c r="A2957" s="652" t="n">
        <v>46232</v>
      </c>
      <c r="B2957" s="123" t="s">
        <v>677</v>
      </c>
      <c r="C2957" s="124" t="s">
        <v>393</v>
      </c>
      <c r="F2957" s="123" t="n">
        <v>805</v>
      </c>
      <c r="G2957" s="653" t="n">
        <v>13141.35</v>
      </c>
    </row>
    <row r="2958" customFormat="false" ht="15" hidden="false" customHeight="false" outlineLevel="0" collapsed="false">
      <c r="A2958" s="652" t="n">
        <v>46232</v>
      </c>
      <c r="B2958" s="123" t="n">
        <v>53002251</v>
      </c>
      <c r="C2958" s="124" t="s">
        <v>195</v>
      </c>
      <c r="D2958" s="124" t="s">
        <v>127</v>
      </c>
      <c r="E2958" s="653" t="n">
        <v>1269.6</v>
      </c>
      <c r="G2958" s="653" t="n">
        <v>14410.95</v>
      </c>
      <c r="I2958" s="123" t="n">
        <v>4</v>
      </c>
    </row>
    <row r="2959" customFormat="false" ht="15" hidden="false" customHeight="false" outlineLevel="0" collapsed="false">
      <c r="A2959" s="652" t="n">
        <v>46232</v>
      </c>
      <c r="B2959" s="123" t="n">
        <v>53002252</v>
      </c>
      <c r="C2959" s="124" t="s">
        <v>180</v>
      </c>
      <c r="D2959" s="124" t="s">
        <v>127</v>
      </c>
      <c r="E2959" s="653" t="n">
        <v>1000.5</v>
      </c>
      <c r="G2959" s="653" t="n">
        <v>15411.45</v>
      </c>
      <c r="L2959" s="123" t="n">
        <v>3</v>
      </c>
    </row>
    <row r="2960" customFormat="false" ht="15" hidden="false" customHeight="false" outlineLevel="0" collapsed="false">
      <c r="A2960" s="652" t="n">
        <v>46232</v>
      </c>
      <c r="B2960" s="123" t="n">
        <v>53002253</v>
      </c>
      <c r="C2960" s="124" t="s">
        <v>152</v>
      </c>
      <c r="D2960" s="124" t="s">
        <v>127</v>
      </c>
      <c r="E2960" s="123" t="n">
        <v>6348</v>
      </c>
      <c r="G2960" s="653" t="n">
        <v>21759.45</v>
      </c>
      <c r="I2960" s="123" t="n">
        <v>20</v>
      </c>
    </row>
    <row r="2961" customFormat="false" ht="15" hidden="false" customHeight="false" outlineLevel="0" collapsed="false">
      <c r="A2961" s="652" t="n">
        <v>46232</v>
      </c>
      <c r="B2961" s="123" t="n">
        <v>53002256</v>
      </c>
      <c r="C2961" s="124" t="s">
        <v>157</v>
      </c>
      <c r="D2961" s="124" t="s">
        <v>127</v>
      </c>
      <c r="E2961" s="123" t="n">
        <v>2070</v>
      </c>
      <c r="G2961" s="653" t="n">
        <v>23829.45</v>
      </c>
      <c r="K2961" s="123" t="n">
        <v>7</v>
      </c>
    </row>
    <row r="2962" customFormat="false" ht="15" hidden="false" customHeight="false" outlineLevel="0" collapsed="false">
      <c r="A2962" s="652" t="n">
        <v>46232</v>
      </c>
      <c r="B2962" s="123" t="n">
        <v>53002255</v>
      </c>
      <c r="C2962" s="124" t="s">
        <v>158</v>
      </c>
      <c r="D2962" s="124" t="s">
        <v>127</v>
      </c>
      <c r="E2962" s="123" t="n">
        <v>3933</v>
      </c>
      <c r="G2962" s="653" t="n">
        <v>27762.45</v>
      </c>
      <c r="K2962" s="123" t="n">
        <v>14</v>
      </c>
    </row>
    <row r="2963" customFormat="false" ht="15" hidden="false" customHeight="false" outlineLevel="0" collapsed="false">
      <c r="A2963" s="652" t="n">
        <v>46232</v>
      </c>
      <c r="B2963" s="123" t="n">
        <v>53002257</v>
      </c>
      <c r="C2963" s="124" t="s">
        <v>221</v>
      </c>
      <c r="D2963" s="124" t="s">
        <v>127</v>
      </c>
      <c r="E2963" s="123" t="n">
        <v>161</v>
      </c>
      <c r="G2963" s="653" t="n">
        <v>27923.45</v>
      </c>
      <c r="O2963" s="123" t="n">
        <v>1</v>
      </c>
    </row>
    <row r="2964" customFormat="false" ht="15" hidden="false" customHeight="false" outlineLevel="0" collapsed="false">
      <c r="A2964" s="652" t="n">
        <v>46232</v>
      </c>
      <c r="B2964" s="123" t="n">
        <v>53002258</v>
      </c>
      <c r="C2964" s="124" t="s">
        <v>158</v>
      </c>
      <c r="D2964" s="124" t="s">
        <v>127</v>
      </c>
      <c r="E2964" s="123" t="n">
        <v>7866</v>
      </c>
      <c r="G2964" s="653" t="n">
        <v>35789.45</v>
      </c>
      <c r="K2964" s="123" t="n">
        <v>28</v>
      </c>
    </row>
    <row r="2965" customFormat="false" ht="15" hidden="false" customHeight="false" outlineLevel="0" collapsed="false">
      <c r="A2965" s="652" t="n">
        <v>46232</v>
      </c>
      <c r="B2965" s="123" t="n">
        <v>53002259</v>
      </c>
      <c r="C2965" s="124" t="s">
        <v>176</v>
      </c>
      <c r="D2965" s="124" t="s">
        <v>127</v>
      </c>
      <c r="E2965" s="123" t="n">
        <v>161</v>
      </c>
      <c r="G2965" s="653" t="n">
        <v>35950.45</v>
      </c>
      <c r="O2965" s="123" t="n">
        <v>1</v>
      </c>
    </row>
    <row r="2966" customFormat="false" ht="15" hidden="false" customHeight="false" outlineLevel="0" collapsed="false">
      <c r="A2966" s="652" t="n">
        <v>46232</v>
      </c>
      <c r="B2966" s="123" t="n">
        <v>53002260</v>
      </c>
      <c r="C2966" s="124" t="s">
        <v>175</v>
      </c>
      <c r="D2966" s="124" t="s">
        <v>127</v>
      </c>
      <c r="E2966" s="653" t="n">
        <v>1269.6</v>
      </c>
      <c r="G2966" s="653" t="n">
        <v>37220.05</v>
      </c>
      <c r="I2966" s="123" t="n">
        <v>4</v>
      </c>
    </row>
    <row r="2967" customFormat="false" ht="15" hidden="false" customHeight="false" outlineLevel="0" collapsed="false">
      <c r="A2967" s="652" t="n">
        <v>46232</v>
      </c>
      <c r="B2967" s="123" t="n">
        <v>53002261</v>
      </c>
      <c r="C2967" s="124" t="s">
        <v>181</v>
      </c>
      <c r="D2967" s="124" t="s">
        <v>127</v>
      </c>
      <c r="E2967" s="653" t="n">
        <v>1614.6</v>
      </c>
      <c r="G2967" s="653" t="n">
        <v>38834.65</v>
      </c>
      <c r="I2967" s="123" t="n">
        <v>4</v>
      </c>
      <c r="O2967" s="123" t="n">
        <v>1</v>
      </c>
      <c r="P2967" s="123" t="n">
        <v>1</v>
      </c>
    </row>
    <row r="2968" customFormat="false" ht="15" hidden="false" customHeight="false" outlineLevel="0" collapsed="false">
      <c r="A2968" s="652" t="n">
        <v>46232</v>
      </c>
      <c r="B2968" s="123" t="n">
        <v>53002263</v>
      </c>
      <c r="C2968" s="124" t="s">
        <v>199</v>
      </c>
      <c r="D2968" s="124" t="s">
        <v>127</v>
      </c>
      <c r="E2968" s="123" t="n">
        <v>161</v>
      </c>
      <c r="G2968" s="653" t="n">
        <v>38995.65</v>
      </c>
      <c r="O2968" s="123" t="n">
        <v>1</v>
      </c>
    </row>
    <row r="2969" customFormat="false" ht="15" hidden="false" customHeight="false" outlineLevel="0" collapsed="false">
      <c r="A2969" s="652" t="n">
        <v>46232</v>
      </c>
      <c r="B2969" s="123" t="n">
        <v>53002265</v>
      </c>
      <c r="C2969" s="124" t="s">
        <v>135</v>
      </c>
      <c r="D2969" s="124" t="s">
        <v>127</v>
      </c>
      <c r="E2969" s="653" t="n">
        <v>3552.35</v>
      </c>
      <c r="G2969" s="123" t="n">
        <v>42548</v>
      </c>
      <c r="I2969" s="123" t="n">
        <v>4</v>
      </c>
      <c r="K2969" s="123" t="n">
        <v>5</v>
      </c>
      <c r="M2969" s="123" t="n">
        <v>3</v>
      </c>
      <c r="O2969" s="123" t="n">
        <v>1</v>
      </c>
    </row>
    <row r="2970" customFormat="false" ht="15" hidden="false" customHeight="false" outlineLevel="0" collapsed="false">
      <c r="A2970" s="652" t="n">
        <v>46232</v>
      </c>
      <c r="B2970" s="123" t="n">
        <v>53002267</v>
      </c>
      <c r="C2970" s="124" t="s">
        <v>188</v>
      </c>
      <c r="D2970" s="124" t="s">
        <v>127</v>
      </c>
      <c r="E2970" s="653" t="n">
        <v>1269.6</v>
      </c>
      <c r="G2970" s="653" t="n">
        <v>43817.6</v>
      </c>
      <c r="I2970" s="123" t="n">
        <v>4</v>
      </c>
    </row>
    <row r="2971" customFormat="false" ht="15" hidden="false" customHeight="false" outlineLevel="0" collapsed="false">
      <c r="A2971" s="652" t="n">
        <v>46231</v>
      </c>
      <c r="B2971" s="123" t="n">
        <v>53002269</v>
      </c>
      <c r="C2971" s="124" t="s">
        <v>174</v>
      </c>
      <c r="D2971" s="124" t="s">
        <v>127</v>
      </c>
      <c r="E2971" s="653" t="n">
        <v>3459.2</v>
      </c>
      <c r="G2971" s="653" t="n">
        <v>47276.8</v>
      </c>
      <c r="I2971" s="123" t="n">
        <v>8</v>
      </c>
      <c r="O2971" s="123" t="n">
        <v>2</v>
      </c>
      <c r="P2971" s="123" t="n">
        <v>2</v>
      </c>
    </row>
    <row r="2972" customFormat="false" ht="15" hidden="false" customHeight="false" outlineLevel="0" collapsed="false">
      <c r="A2972" s="652" t="n">
        <v>46232</v>
      </c>
      <c r="B2972" s="123" t="s">
        <v>675</v>
      </c>
      <c r="C2972" s="124" t="s">
        <v>393</v>
      </c>
      <c r="F2972" s="123" t="n">
        <v>668</v>
      </c>
      <c r="G2972" s="653" t="n">
        <v>46608.8</v>
      </c>
    </row>
    <row r="2973" customFormat="false" ht="15" hidden="false" customHeight="false" outlineLevel="0" collapsed="false">
      <c r="A2973" s="652" t="n">
        <v>46232</v>
      </c>
      <c r="B2973" s="123" t="s">
        <v>675</v>
      </c>
      <c r="C2973" s="124" t="s">
        <v>393</v>
      </c>
      <c r="F2973" s="123" t="n">
        <v>2666</v>
      </c>
      <c r="G2973" s="653" t="n">
        <v>43942.8</v>
      </c>
    </row>
    <row r="2974" customFormat="false" ht="15" hidden="false" customHeight="false" outlineLevel="0" collapsed="false">
      <c r="A2974" s="652" t="n">
        <v>46225</v>
      </c>
      <c r="B2974" s="123" t="s">
        <v>675</v>
      </c>
      <c r="C2974" s="124" t="s">
        <v>393</v>
      </c>
      <c r="F2974" s="123" t="n">
        <v>2736</v>
      </c>
      <c r="G2974" s="653" t="n">
        <v>41206.8</v>
      </c>
    </row>
    <row r="2975" customFormat="false" ht="15" hidden="false" customHeight="false" outlineLevel="0" collapsed="false">
      <c r="A2975" s="652" t="n">
        <v>46232</v>
      </c>
      <c r="B2975" s="123" t="s">
        <v>677</v>
      </c>
      <c r="C2975" s="124" t="s">
        <v>393</v>
      </c>
      <c r="F2975" s="123" t="n">
        <v>790</v>
      </c>
      <c r="G2975" s="653" t="n">
        <v>40416.8</v>
      </c>
    </row>
    <row r="2976" customFormat="false" ht="15" hidden="false" customHeight="false" outlineLevel="0" collapsed="false">
      <c r="A2976" s="652" t="n">
        <v>46225</v>
      </c>
      <c r="B2976" s="123" t="n">
        <v>53002271</v>
      </c>
      <c r="C2976" s="124" t="s">
        <v>132</v>
      </c>
      <c r="D2976" s="124" t="s">
        <v>127</v>
      </c>
      <c r="E2976" s="653" t="n">
        <v>241.5</v>
      </c>
      <c r="G2976" s="653" t="n">
        <v>40658.3</v>
      </c>
      <c r="K2976" s="123" t="n">
        <v>1</v>
      </c>
    </row>
    <row r="2977" customFormat="false" ht="15" hidden="false" customHeight="false" outlineLevel="0" collapsed="false">
      <c r="A2977" s="652" t="n">
        <v>46232</v>
      </c>
      <c r="B2977" s="123" t="n">
        <v>53002272</v>
      </c>
      <c r="C2977" s="124" t="s">
        <v>133</v>
      </c>
      <c r="D2977" s="124" t="s">
        <v>127</v>
      </c>
      <c r="E2977" s="653" t="n">
        <v>1269.6</v>
      </c>
      <c r="G2977" s="653" t="n">
        <v>41927.9</v>
      </c>
      <c r="I2977" s="123" t="n">
        <v>4</v>
      </c>
    </row>
    <row r="2978" customFormat="false" ht="15" hidden="false" customHeight="false" outlineLevel="0" collapsed="false">
      <c r="A2978" s="652" t="n">
        <v>46232</v>
      </c>
      <c r="B2978" s="123" t="n">
        <v>53002273</v>
      </c>
      <c r="C2978" s="124" t="s">
        <v>147</v>
      </c>
      <c r="D2978" s="124" t="s">
        <v>127</v>
      </c>
      <c r="E2978" s="653" t="n">
        <v>609.5</v>
      </c>
      <c r="G2978" s="653" t="n">
        <v>42537.4</v>
      </c>
      <c r="O2978" s="123" t="n">
        <v>2</v>
      </c>
    </row>
    <row r="2979" customFormat="false" ht="15" hidden="false" customHeight="false" outlineLevel="0" collapsed="false">
      <c r="A2979" s="652" t="n">
        <v>46232</v>
      </c>
      <c r="B2979" s="123" t="n">
        <v>53002274</v>
      </c>
      <c r="C2979" s="124" t="s">
        <v>183</v>
      </c>
      <c r="D2979" s="124" t="s">
        <v>127</v>
      </c>
      <c r="E2979" s="123" t="n">
        <v>253</v>
      </c>
      <c r="G2979" s="653" t="n">
        <v>42790.4</v>
      </c>
      <c r="P2979" s="123" t="n">
        <v>1</v>
      </c>
    </row>
    <row r="2980" customFormat="false" ht="15" hidden="false" customHeight="false" outlineLevel="0" collapsed="false">
      <c r="A2980" s="652" t="n">
        <v>46232</v>
      </c>
      <c r="B2980" s="123" t="n">
        <v>53002275</v>
      </c>
      <c r="C2980" s="124" t="s">
        <v>152</v>
      </c>
      <c r="D2980" s="124" t="s">
        <v>127</v>
      </c>
      <c r="E2980" s="653" t="n">
        <v>419.75</v>
      </c>
      <c r="G2980" s="653" t="n">
        <v>43210.15</v>
      </c>
      <c r="L2980" s="123" t="n">
        <v>1</v>
      </c>
    </row>
    <row r="2981" customFormat="false" ht="15" hidden="false" customHeight="false" outlineLevel="0" collapsed="false">
      <c r="A2981" s="652" t="n">
        <v>46232</v>
      </c>
      <c r="B2981" s="123" t="s">
        <v>675</v>
      </c>
      <c r="C2981" s="124" t="s">
        <v>393</v>
      </c>
      <c r="F2981" s="653" t="n">
        <v>7097.5</v>
      </c>
      <c r="G2981" s="653" t="n">
        <v>36112.65</v>
      </c>
    </row>
    <row r="2982" customFormat="false" ht="15" hidden="false" customHeight="false" outlineLevel="0" collapsed="false">
      <c r="A2982" s="652" t="n">
        <v>46232</v>
      </c>
      <c r="B2982" s="123" t="s">
        <v>677</v>
      </c>
      <c r="C2982" s="124" t="s">
        <v>393</v>
      </c>
      <c r="F2982" s="123" t="n">
        <v>500</v>
      </c>
      <c r="G2982" s="653" t="n">
        <v>35612.65</v>
      </c>
    </row>
    <row r="2983" customFormat="false" ht="15" hidden="false" customHeight="false" outlineLevel="0" collapsed="false">
      <c r="A2983" s="652" t="n">
        <v>46233</v>
      </c>
      <c r="B2983" s="123" t="s">
        <v>677</v>
      </c>
      <c r="C2983" s="124" t="s">
        <v>393</v>
      </c>
      <c r="F2983" s="123" t="n">
        <v>12717</v>
      </c>
      <c r="G2983" s="653" t="n">
        <v>22895.65</v>
      </c>
    </row>
    <row r="2984" customFormat="false" ht="15" hidden="false" customHeight="false" outlineLevel="0" collapsed="false">
      <c r="A2984" s="652" t="n">
        <v>46234</v>
      </c>
      <c r="B2984" s="123" t="s">
        <v>675</v>
      </c>
      <c r="C2984" s="124" t="s">
        <v>393</v>
      </c>
      <c r="F2984" s="123" t="n">
        <v>5380</v>
      </c>
      <c r="G2984" s="653" t="n">
        <v>17515.65</v>
      </c>
    </row>
    <row r="2985" customFormat="false" ht="15" hidden="false" customHeight="false" outlineLevel="0" collapsed="false">
      <c r="A2985" s="652" t="n">
        <v>46234</v>
      </c>
      <c r="B2985" s="123" t="s">
        <v>675</v>
      </c>
      <c r="C2985" s="124" t="s">
        <v>393</v>
      </c>
      <c r="F2985" s="653" t="n">
        <v>4853.5</v>
      </c>
      <c r="G2985" s="653" t="n">
        <v>12662.15</v>
      </c>
    </row>
    <row r="2986" customFormat="false" ht="15" hidden="false" customHeight="false" outlineLevel="0" collapsed="false">
      <c r="A2986" s="652" t="n">
        <v>46234</v>
      </c>
      <c r="B2986" s="123" t="s">
        <v>677</v>
      </c>
      <c r="C2986" s="124" t="s">
        <v>393</v>
      </c>
      <c r="F2986" s="123" t="n">
        <v>220</v>
      </c>
      <c r="G2986" s="653" t="n">
        <v>12442.15</v>
      </c>
    </row>
    <row r="2987" customFormat="false" ht="15" hidden="false" customHeight="false" outlineLevel="0" collapsed="false">
      <c r="A2987" s="652" t="n">
        <v>46234</v>
      </c>
      <c r="B2987" s="123" t="s">
        <v>675</v>
      </c>
      <c r="C2987" s="124" t="s">
        <v>393</v>
      </c>
      <c r="F2987" s="123" t="n">
        <v>7866</v>
      </c>
      <c r="G2987" s="653" t="n">
        <v>4576.14999999999</v>
      </c>
    </row>
    <row r="2988" customFormat="false" ht="15" hidden="false" customHeight="false" outlineLevel="0" collapsed="false">
      <c r="A2988" s="652" t="n">
        <v>46234</v>
      </c>
      <c r="B2988" s="123" t="s">
        <v>677</v>
      </c>
      <c r="C2988" s="124" t="s">
        <v>393</v>
      </c>
      <c r="F2988" s="123" t="n">
        <v>1075</v>
      </c>
      <c r="G2988" s="653" t="n">
        <v>3501.14999999999</v>
      </c>
    </row>
    <row r="2989" customFormat="false" ht="15" hidden="false" customHeight="false" outlineLevel="0" collapsed="false">
      <c r="A2989" s="652" t="n">
        <v>46234</v>
      </c>
      <c r="B2989" s="123" t="s">
        <v>677</v>
      </c>
      <c r="C2989" s="124" t="s">
        <v>393</v>
      </c>
      <c r="F2989" s="123" t="n">
        <v>1</v>
      </c>
      <c r="G2989" s="653" t="n">
        <v>3500.14999999999</v>
      </c>
    </row>
    <row r="2990" customFormat="false" ht="15" hidden="false" customHeight="false" outlineLevel="0" collapsed="false">
      <c r="A2990" s="652" t="n">
        <v>46239</v>
      </c>
      <c r="B2990" s="123" t="n">
        <v>53002271</v>
      </c>
      <c r="C2990" s="124" t="s">
        <v>179</v>
      </c>
      <c r="D2990" s="124" t="s">
        <v>127</v>
      </c>
      <c r="E2990" s="653" t="n">
        <v>1269.6</v>
      </c>
      <c r="G2990" s="653" t="n">
        <v>4769.74999999999</v>
      </c>
      <c r="I2990" s="123" t="n">
        <v>4</v>
      </c>
    </row>
    <row r="2991" customFormat="false" ht="15" hidden="false" customHeight="false" outlineLevel="0" collapsed="false">
      <c r="A2991" s="652" t="n">
        <v>46239</v>
      </c>
      <c r="B2991" s="123" t="n">
        <v>53002272</v>
      </c>
      <c r="C2991" s="124" t="s">
        <v>117</v>
      </c>
      <c r="D2991" s="124" t="s">
        <v>105</v>
      </c>
      <c r="E2991" s="653" t="n">
        <v>1000.5</v>
      </c>
      <c r="G2991" s="653" t="n">
        <v>5770.24999999999</v>
      </c>
      <c r="L2991" s="123" t="n">
        <v>3</v>
      </c>
    </row>
    <row r="2992" customFormat="false" ht="15" hidden="false" customHeight="false" outlineLevel="0" collapsed="false">
      <c r="A2992" s="652" t="n">
        <v>46239</v>
      </c>
      <c r="B2992" s="123" t="n">
        <v>53002273</v>
      </c>
      <c r="C2992" s="124" t="s">
        <v>108</v>
      </c>
      <c r="D2992" s="124" t="s">
        <v>105</v>
      </c>
      <c r="E2992" s="653" t="n">
        <v>1269.6</v>
      </c>
      <c r="G2992" s="653" t="n">
        <v>7039.85</v>
      </c>
      <c r="I2992" s="123" t="n">
        <v>4</v>
      </c>
    </row>
    <row r="2993" customFormat="false" ht="15" hidden="false" customHeight="false" outlineLevel="0" collapsed="false">
      <c r="A2993" s="652" t="n">
        <v>46239</v>
      </c>
      <c r="B2993" s="123" t="n">
        <v>53002274</v>
      </c>
      <c r="C2993" s="124" t="s">
        <v>110</v>
      </c>
      <c r="D2993" s="124" t="s">
        <v>105</v>
      </c>
      <c r="E2993" s="653" t="n">
        <v>2539.2</v>
      </c>
      <c r="G2993" s="653" t="n">
        <v>9579.05</v>
      </c>
      <c r="I2993" s="123" t="n">
        <v>8</v>
      </c>
    </row>
    <row r="2994" customFormat="false" ht="15" hidden="false" customHeight="false" outlineLevel="0" collapsed="false">
      <c r="A2994" s="652" t="n">
        <v>46239</v>
      </c>
      <c r="B2994" s="123" t="n">
        <v>53002275</v>
      </c>
      <c r="C2994" s="124" t="s">
        <v>106</v>
      </c>
      <c r="D2994" s="124" t="s">
        <v>105</v>
      </c>
      <c r="E2994" s="653" t="n">
        <v>1269.6</v>
      </c>
      <c r="G2994" s="653" t="n">
        <v>10848.65</v>
      </c>
      <c r="I2994" s="123" t="n">
        <v>4</v>
      </c>
    </row>
    <row r="2995" customFormat="false" ht="15" hidden="false" customHeight="false" outlineLevel="0" collapsed="false">
      <c r="A2995" s="652" t="n">
        <v>46239</v>
      </c>
      <c r="B2995" s="123" t="n">
        <v>53002276</v>
      </c>
      <c r="C2995" s="124" t="s">
        <v>89</v>
      </c>
      <c r="D2995" s="124" t="s">
        <v>75</v>
      </c>
      <c r="E2995" s="653" t="n">
        <v>304.75</v>
      </c>
      <c r="G2995" s="653" t="n">
        <v>11153.4</v>
      </c>
      <c r="M2995" s="123" t="n">
        <v>1</v>
      </c>
    </row>
    <row r="2996" customFormat="false" ht="15" hidden="false" customHeight="false" outlineLevel="0" collapsed="false">
      <c r="A2996" s="652" t="n">
        <v>46239</v>
      </c>
      <c r="B2996" s="123" t="n">
        <v>53002277</v>
      </c>
      <c r="C2996" s="124" t="s">
        <v>89</v>
      </c>
      <c r="D2996" s="124" t="s">
        <v>75</v>
      </c>
      <c r="E2996" s="653" t="n">
        <v>1269.6</v>
      </c>
      <c r="G2996" s="123" t="n">
        <v>12423</v>
      </c>
      <c r="I2996" s="123" t="n">
        <v>4</v>
      </c>
    </row>
    <row r="2997" customFormat="false" ht="15" hidden="false" customHeight="false" outlineLevel="0" collapsed="false">
      <c r="A2997" s="652" t="n">
        <v>46239</v>
      </c>
      <c r="B2997" s="123" t="n">
        <v>53002278</v>
      </c>
      <c r="C2997" s="124" t="s">
        <v>96</v>
      </c>
      <c r="D2997" s="124" t="s">
        <v>75</v>
      </c>
      <c r="E2997" s="123" t="n">
        <v>299</v>
      </c>
      <c r="G2997" s="123" t="n">
        <v>12722</v>
      </c>
      <c r="P2997" s="123" t="n">
        <v>1</v>
      </c>
    </row>
    <row r="2998" customFormat="false" ht="15" hidden="false" customHeight="false" outlineLevel="0" collapsed="false">
      <c r="A2998" s="652" t="n">
        <v>46240</v>
      </c>
      <c r="B2998" s="123" t="s">
        <v>675</v>
      </c>
      <c r="C2998" s="124" t="s">
        <v>393</v>
      </c>
      <c r="F2998" s="123" t="n">
        <v>5084</v>
      </c>
      <c r="G2998" s="123" t="n">
        <v>7638</v>
      </c>
    </row>
    <row r="2999" customFormat="false" ht="15" hidden="false" customHeight="false" outlineLevel="0" collapsed="false">
      <c r="A2999" s="652" t="n">
        <v>46240</v>
      </c>
      <c r="B2999" s="123" t="s">
        <v>677</v>
      </c>
      <c r="C2999" s="124" t="s">
        <v>393</v>
      </c>
      <c r="F2999" s="653" t="n">
        <v>2709.5</v>
      </c>
      <c r="G2999" s="653" t="n">
        <v>4928.5</v>
      </c>
    </row>
    <row r="3000" customFormat="false" ht="15" hidden="false" customHeight="false" outlineLevel="0" collapsed="false">
      <c r="A3000" s="652" t="n">
        <v>46240</v>
      </c>
      <c r="B3000" s="123" t="n">
        <v>53002279</v>
      </c>
      <c r="C3000" s="124" t="s">
        <v>155</v>
      </c>
      <c r="D3000" s="124" t="s">
        <v>127</v>
      </c>
      <c r="E3000" s="653" t="n">
        <v>1269.6</v>
      </c>
      <c r="G3000" s="653" t="n">
        <v>6198.1</v>
      </c>
      <c r="I3000" s="123" t="n">
        <v>4</v>
      </c>
    </row>
    <row r="3001" customFormat="false" ht="15" hidden="false" customHeight="false" outlineLevel="0" collapsed="false">
      <c r="A3001" s="652" t="n">
        <v>46240</v>
      </c>
      <c r="B3001" s="123" t="n">
        <v>53002280</v>
      </c>
      <c r="C3001" s="124" t="s">
        <v>154</v>
      </c>
      <c r="D3001" s="124" t="s">
        <v>127</v>
      </c>
      <c r="E3001" s="123" t="n">
        <v>161</v>
      </c>
      <c r="G3001" s="653" t="n">
        <v>6359.1</v>
      </c>
      <c r="O3001" s="123" t="n">
        <v>1</v>
      </c>
    </row>
    <row r="3002" customFormat="false" ht="15" hidden="false" customHeight="false" outlineLevel="0" collapsed="false">
      <c r="A3002" s="652" t="n">
        <v>46240</v>
      </c>
      <c r="B3002" s="123" t="n">
        <v>53002281</v>
      </c>
      <c r="C3002" s="124" t="s">
        <v>136</v>
      </c>
      <c r="D3002" s="124" t="s">
        <v>127</v>
      </c>
      <c r="E3002" s="653" t="n">
        <v>1925.1</v>
      </c>
      <c r="G3002" s="653" t="n">
        <v>8284.2</v>
      </c>
      <c r="I3002" s="123" t="n">
        <v>4</v>
      </c>
      <c r="O3002" s="123" t="n">
        <v>1</v>
      </c>
      <c r="P3002" s="123" t="n">
        <v>2</v>
      </c>
    </row>
    <row r="3003" customFormat="false" ht="15" hidden="false" customHeight="false" outlineLevel="0" collapsed="false">
      <c r="A3003" s="652" t="n">
        <v>46240</v>
      </c>
      <c r="B3003" s="123" t="s">
        <v>675</v>
      </c>
      <c r="C3003" s="124" t="s">
        <v>393</v>
      </c>
      <c r="F3003" s="123" t="n">
        <v>3000</v>
      </c>
      <c r="G3003" s="653" t="n">
        <v>5284.2</v>
      </c>
    </row>
    <row r="3004" customFormat="false" ht="15" hidden="false" customHeight="false" outlineLevel="0" collapsed="false">
      <c r="A3004" s="652" t="n">
        <v>46240</v>
      </c>
      <c r="B3004" s="123" t="s">
        <v>677</v>
      </c>
      <c r="C3004" s="124" t="s">
        <v>393</v>
      </c>
      <c r="F3004" s="123" t="n">
        <v>750</v>
      </c>
      <c r="G3004" s="653" t="n">
        <v>4534.2</v>
      </c>
    </row>
    <row r="3005" customFormat="false" ht="15" hidden="false" customHeight="false" outlineLevel="0" collapsed="false">
      <c r="A3005" s="652" t="n">
        <v>46240</v>
      </c>
      <c r="B3005" s="123" t="s">
        <v>675</v>
      </c>
      <c r="C3005" s="124" t="s">
        <v>393</v>
      </c>
      <c r="E3005" s="653" t="n">
        <v>-0.2</v>
      </c>
      <c r="F3005" s="123" t="n">
        <v>1034</v>
      </c>
      <c r="G3005" s="123" t="n">
        <v>3500</v>
      </c>
    </row>
    <row r="3006" customFormat="false" ht="15" hidden="false" customHeight="false" outlineLevel="0" collapsed="false">
      <c r="A3006" s="652" t="n">
        <v>46243</v>
      </c>
      <c r="B3006" s="123" t="n">
        <v>53002282</v>
      </c>
      <c r="C3006" s="124" t="s">
        <v>198</v>
      </c>
      <c r="D3006" s="124" t="s">
        <v>127</v>
      </c>
      <c r="E3006" s="653" t="n">
        <v>1614.6</v>
      </c>
      <c r="G3006" s="653" t="n">
        <v>5114.6</v>
      </c>
      <c r="I3006" s="123" t="n">
        <v>4</v>
      </c>
      <c r="O3006" s="123" t="n">
        <v>1</v>
      </c>
      <c r="P3006" s="123" t="n">
        <v>1</v>
      </c>
    </row>
    <row r="3007" customFormat="false" ht="15" hidden="false" customHeight="false" outlineLevel="0" collapsed="false">
      <c r="A3007" s="652" t="n">
        <v>46243</v>
      </c>
      <c r="B3007" s="123" t="n">
        <v>53002283</v>
      </c>
      <c r="C3007" s="124" t="s">
        <v>181</v>
      </c>
      <c r="D3007" s="124" t="s">
        <v>127</v>
      </c>
      <c r="E3007" s="123" t="n">
        <v>253</v>
      </c>
      <c r="G3007" s="653" t="n">
        <v>5367.6</v>
      </c>
      <c r="K3007" s="123" t="n">
        <v>1</v>
      </c>
    </row>
    <row r="3008" customFormat="false" ht="15" hidden="false" customHeight="false" outlineLevel="0" collapsed="false">
      <c r="A3008" s="652" t="n">
        <v>46243</v>
      </c>
      <c r="B3008" s="123" t="s">
        <v>675</v>
      </c>
      <c r="C3008" s="124" t="s">
        <v>393</v>
      </c>
      <c r="F3008" s="653" t="n">
        <v>1867.5</v>
      </c>
      <c r="G3008" s="653" t="n">
        <v>3500.1</v>
      </c>
    </row>
    <row r="3009" customFormat="false" ht="15" hidden="false" customHeight="false" outlineLevel="0" collapsed="false">
      <c r="A3009" s="652" t="n">
        <v>46245</v>
      </c>
      <c r="B3009" s="123" t="n">
        <v>53002284</v>
      </c>
      <c r="C3009" s="124" t="s">
        <v>155</v>
      </c>
      <c r="D3009" s="124" t="s">
        <v>127</v>
      </c>
      <c r="E3009" s="653" t="n">
        <v>1453.6</v>
      </c>
      <c r="G3009" s="653" t="n">
        <v>4953.7</v>
      </c>
      <c r="I3009" s="123" t="n">
        <v>4</v>
      </c>
      <c r="P3009" s="123" t="n">
        <v>1</v>
      </c>
    </row>
    <row r="3010" customFormat="false" ht="15" hidden="false" customHeight="false" outlineLevel="0" collapsed="false">
      <c r="A3010" s="652" t="n">
        <v>46245</v>
      </c>
      <c r="B3010" s="123" t="n">
        <v>53002285</v>
      </c>
      <c r="C3010" s="124" t="s">
        <v>221</v>
      </c>
      <c r="D3010" s="124" t="s">
        <v>127</v>
      </c>
      <c r="E3010" s="123" t="n">
        <v>161</v>
      </c>
      <c r="G3010" s="653" t="n">
        <v>5114.7</v>
      </c>
      <c r="O3010" s="123" t="n">
        <v>1</v>
      </c>
    </row>
    <row r="3011" customFormat="false" ht="15" hidden="false" customHeight="false" outlineLevel="0" collapsed="false">
      <c r="A3011" s="652" t="n">
        <v>46245</v>
      </c>
      <c r="B3011" s="123" t="n">
        <v>53002286</v>
      </c>
      <c r="C3011" s="124" t="s">
        <v>181</v>
      </c>
      <c r="D3011" s="124" t="s">
        <v>127</v>
      </c>
      <c r="E3011" s="123" t="n">
        <v>253</v>
      </c>
      <c r="G3011" s="653" t="n">
        <v>5367.7</v>
      </c>
      <c r="K3011" s="123" t="n">
        <v>1</v>
      </c>
    </row>
    <row r="3012" customFormat="false" ht="15" hidden="false" customHeight="false" outlineLevel="0" collapsed="false">
      <c r="A3012" s="652" t="n">
        <v>46245</v>
      </c>
      <c r="B3012" s="123" t="n">
        <v>53002287</v>
      </c>
      <c r="C3012" s="124" t="s">
        <v>141</v>
      </c>
      <c r="D3012" s="124" t="s">
        <v>127</v>
      </c>
      <c r="E3012" s="653" t="n">
        <v>1966.5</v>
      </c>
      <c r="G3012" s="653" t="n">
        <v>7334.2</v>
      </c>
      <c r="K3012" s="123" t="n">
        <v>7</v>
      </c>
    </row>
    <row r="3013" customFormat="false" ht="15" hidden="false" customHeight="false" outlineLevel="0" collapsed="false">
      <c r="A3013" s="652" t="n">
        <v>46245</v>
      </c>
      <c r="C3013" s="124" t="s">
        <v>393</v>
      </c>
      <c r="F3013" s="653" t="n">
        <v>1276.5</v>
      </c>
      <c r="G3013" s="653" t="n">
        <v>6057.7</v>
      </c>
    </row>
    <row r="3014" customFormat="false" ht="15" hidden="false" customHeight="false" outlineLevel="0" collapsed="false">
      <c r="A3014" s="652" t="n">
        <v>46246</v>
      </c>
      <c r="B3014" s="123" t="n">
        <v>53002288</v>
      </c>
      <c r="C3014" s="124" t="s">
        <v>106</v>
      </c>
      <c r="D3014" s="124" t="s">
        <v>105</v>
      </c>
      <c r="E3014" s="653" t="n">
        <v>1752.6</v>
      </c>
      <c r="G3014" s="653" t="n">
        <v>7810.3</v>
      </c>
      <c r="I3014" s="123" t="n">
        <v>4</v>
      </c>
      <c r="K3014" s="123" t="n">
        <v>2</v>
      </c>
    </row>
    <row r="3015" customFormat="false" ht="15" hidden="false" customHeight="false" outlineLevel="0" collapsed="false">
      <c r="A3015" s="652" t="n">
        <v>46246</v>
      </c>
      <c r="B3015" s="123" t="n">
        <v>53002289</v>
      </c>
      <c r="C3015" s="124" t="s">
        <v>113</v>
      </c>
      <c r="D3015" s="124" t="s">
        <v>105</v>
      </c>
      <c r="E3015" s="653" t="n">
        <v>1269.6</v>
      </c>
      <c r="G3015" s="653" t="n">
        <v>9079.9</v>
      </c>
      <c r="I3015" s="123" t="n">
        <v>4</v>
      </c>
    </row>
    <row r="3016" customFormat="false" ht="15" hidden="false" customHeight="false" outlineLevel="0" collapsed="false">
      <c r="A3016" s="652" t="n">
        <v>46246</v>
      </c>
      <c r="B3016" s="123" t="n">
        <v>53002290</v>
      </c>
      <c r="C3016" s="124" t="s">
        <v>116</v>
      </c>
      <c r="D3016" s="124" t="s">
        <v>105</v>
      </c>
      <c r="E3016" s="653" t="n">
        <v>2539.2</v>
      </c>
      <c r="G3016" s="653" t="n">
        <v>11619.1</v>
      </c>
      <c r="I3016" s="123" t="n">
        <v>8</v>
      </c>
    </row>
    <row r="3017" customFormat="false" ht="15" hidden="false" customHeight="false" outlineLevel="0" collapsed="false">
      <c r="A3017" s="652" t="n">
        <v>46246</v>
      </c>
      <c r="B3017" s="123" t="n">
        <v>53002291</v>
      </c>
      <c r="C3017" s="124" t="s">
        <v>117</v>
      </c>
      <c r="D3017" s="124" t="s">
        <v>105</v>
      </c>
      <c r="E3017" s="653" t="n">
        <v>3001.5</v>
      </c>
      <c r="G3017" s="653" t="n">
        <v>14620.6</v>
      </c>
      <c r="L3017" s="123" t="n">
        <v>9</v>
      </c>
    </row>
    <row r="3018" customFormat="false" ht="15" hidden="false" customHeight="false" outlineLevel="0" collapsed="false">
      <c r="A3018" s="652" t="n">
        <v>46246</v>
      </c>
      <c r="B3018" s="123" t="n">
        <v>53002292</v>
      </c>
      <c r="C3018" s="124" t="s">
        <v>107</v>
      </c>
      <c r="D3018" s="124" t="s">
        <v>105</v>
      </c>
      <c r="E3018" s="653" t="n">
        <v>1269.6</v>
      </c>
      <c r="G3018" s="653" t="n">
        <v>15890.2</v>
      </c>
      <c r="I3018" s="123" t="n">
        <v>4</v>
      </c>
    </row>
    <row r="3019" customFormat="false" ht="15" hidden="false" customHeight="false" outlineLevel="0" collapsed="false">
      <c r="A3019" s="652" t="n">
        <v>46246</v>
      </c>
      <c r="B3019" s="123" t="n">
        <v>53002293</v>
      </c>
      <c r="C3019" s="124" t="s">
        <v>109</v>
      </c>
      <c r="D3019" s="124" t="s">
        <v>105</v>
      </c>
      <c r="E3019" s="653" t="n">
        <v>1269.6</v>
      </c>
      <c r="G3019" s="653" t="n">
        <v>17159.8</v>
      </c>
      <c r="I3019" s="123" t="n">
        <v>4</v>
      </c>
    </row>
    <row r="3020" customFormat="false" ht="15" hidden="false" customHeight="false" outlineLevel="0" collapsed="false">
      <c r="A3020" s="652" t="n">
        <v>46246</v>
      </c>
      <c r="B3020" s="123" t="n">
        <v>53002294</v>
      </c>
      <c r="C3020" s="124" t="s">
        <v>109</v>
      </c>
      <c r="D3020" s="124" t="s">
        <v>105</v>
      </c>
      <c r="E3020" s="653" t="n">
        <v>678.5</v>
      </c>
      <c r="G3020" s="653" t="n">
        <v>17838.3</v>
      </c>
      <c r="P3020" s="123" t="n">
        <v>3</v>
      </c>
    </row>
    <row r="3021" customFormat="false" ht="15" hidden="false" customHeight="false" outlineLevel="0" collapsed="false">
      <c r="A3021" s="652" t="n">
        <v>46246</v>
      </c>
      <c r="B3021" s="123" t="n">
        <v>53002295</v>
      </c>
      <c r="C3021" s="124" t="s">
        <v>115</v>
      </c>
      <c r="D3021" s="124" t="s">
        <v>105</v>
      </c>
      <c r="E3021" s="123" t="n">
        <v>161</v>
      </c>
      <c r="G3021" s="653" t="n">
        <v>17999.3</v>
      </c>
      <c r="O3021" s="123" t="n">
        <v>1</v>
      </c>
    </row>
    <row r="3022" customFormat="false" ht="15" hidden="false" customHeight="false" outlineLevel="0" collapsed="false">
      <c r="A3022" s="652" t="n">
        <v>46246</v>
      </c>
      <c r="B3022" s="123" t="n">
        <v>53002296</v>
      </c>
      <c r="C3022" s="124" t="s">
        <v>101</v>
      </c>
      <c r="D3022" s="124" t="s">
        <v>75</v>
      </c>
      <c r="E3022" s="653" t="n">
        <v>241.5</v>
      </c>
      <c r="G3022" s="653" t="n">
        <v>18240.8</v>
      </c>
      <c r="K3022" s="123" t="n">
        <v>1</v>
      </c>
    </row>
    <row r="3023" customFormat="false" ht="15" hidden="false" customHeight="false" outlineLevel="0" collapsed="false">
      <c r="A3023" s="652" t="n">
        <v>46246</v>
      </c>
      <c r="B3023" s="123" t="n">
        <v>53002297</v>
      </c>
      <c r="C3023" s="124" t="s">
        <v>89</v>
      </c>
      <c r="D3023" s="124" t="s">
        <v>75</v>
      </c>
      <c r="E3023" s="653" t="n">
        <v>241.5</v>
      </c>
      <c r="G3023" s="653" t="n">
        <v>18482.3</v>
      </c>
      <c r="K3023" s="123" t="n">
        <v>1</v>
      </c>
    </row>
    <row r="3024" customFormat="false" ht="15" hidden="false" customHeight="false" outlineLevel="0" collapsed="false">
      <c r="A3024" s="652" t="n">
        <v>46246</v>
      </c>
      <c r="B3024" s="123" t="s">
        <v>675</v>
      </c>
      <c r="C3024" s="124" t="s">
        <v>393</v>
      </c>
      <c r="F3024" s="653" t="n">
        <v>5074.6</v>
      </c>
      <c r="G3024" s="653" t="n">
        <v>13407.7</v>
      </c>
    </row>
    <row r="3025" customFormat="false" ht="15" hidden="false" customHeight="false" outlineLevel="0" collapsed="false">
      <c r="A3025" s="652" t="n">
        <v>46247</v>
      </c>
      <c r="B3025" s="123" t="n">
        <v>53002298</v>
      </c>
      <c r="C3025" s="124" t="s">
        <v>171</v>
      </c>
      <c r="D3025" s="124" t="s">
        <v>127</v>
      </c>
      <c r="E3025" s="653" t="n">
        <v>1269.6</v>
      </c>
      <c r="G3025" s="653" t="n">
        <v>14677.3</v>
      </c>
      <c r="I3025" s="123" t="n">
        <v>4</v>
      </c>
    </row>
    <row r="3026" customFormat="false" ht="15" hidden="false" customHeight="false" outlineLevel="0" collapsed="false">
      <c r="A3026" s="652" t="n">
        <v>46247</v>
      </c>
      <c r="B3026" s="123" t="n">
        <v>53002299</v>
      </c>
      <c r="C3026" s="124" t="s">
        <v>152</v>
      </c>
      <c r="D3026" s="124" t="s">
        <v>127</v>
      </c>
      <c r="E3026" s="123" t="n">
        <v>2622</v>
      </c>
      <c r="G3026" s="653" t="n">
        <v>17299.3</v>
      </c>
      <c r="J3026" s="123" t="n">
        <v>16</v>
      </c>
    </row>
    <row r="3027" customFormat="false" ht="15" hidden="false" customHeight="false" outlineLevel="0" collapsed="false">
      <c r="A3027" s="652" t="n">
        <v>46250</v>
      </c>
      <c r="B3027" s="123" t="n">
        <v>53002300</v>
      </c>
      <c r="C3027" s="124" t="s">
        <v>204</v>
      </c>
      <c r="D3027" s="124" t="s">
        <v>127</v>
      </c>
      <c r="E3027" s="653" t="n">
        <v>1925.1</v>
      </c>
      <c r="G3027" s="653" t="n">
        <v>19224.4</v>
      </c>
      <c r="I3027" s="123" t="n">
        <v>4</v>
      </c>
      <c r="J3027" s="123" t="n">
        <v>4</v>
      </c>
    </row>
    <row r="3028" customFormat="false" ht="15" hidden="false" customHeight="false" outlineLevel="0" collapsed="false">
      <c r="A3028" s="652" t="n">
        <v>46250</v>
      </c>
      <c r="B3028" s="123" t="s">
        <v>676</v>
      </c>
      <c r="C3028" s="124" t="s">
        <v>393</v>
      </c>
      <c r="F3028" s="123" t="n">
        <v>3200</v>
      </c>
      <c r="G3028" s="653" t="n">
        <v>16024.4</v>
      </c>
    </row>
    <row r="3029" customFormat="false" ht="15" hidden="false" customHeight="false" outlineLevel="0" collapsed="false">
      <c r="A3029" s="652" t="n">
        <v>46251</v>
      </c>
      <c r="B3029" s="123" t="s">
        <v>675</v>
      </c>
      <c r="C3029" s="124" t="s">
        <v>393</v>
      </c>
      <c r="F3029" s="123" t="n">
        <v>873</v>
      </c>
      <c r="G3029" s="653" t="n">
        <v>15151.4</v>
      </c>
    </row>
    <row r="3030" customFormat="false" ht="15" hidden="false" customHeight="false" outlineLevel="0" collapsed="false">
      <c r="A3030" s="652" t="n">
        <v>46251</v>
      </c>
      <c r="B3030" s="123" t="s">
        <v>677</v>
      </c>
      <c r="C3030" s="124" t="s">
        <v>393</v>
      </c>
      <c r="F3030" s="123" t="n">
        <v>2020</v>
      </c>
      <c r="G3030" s="653" t="n">
        <v>13131.4</v>
      </c>
    </row>
    <row r="3031" customFormat="false" ht="15" hidden="false" customHeight="false" outlineLevel="0" collapsed="false">
      <c r="A3031" s="652" t="n">
        <v>46252</v>
      </c>
      <c r="B3031" s="123" t="n">
        <v>53002301</v>
      </c>
      <c r="C3031" s="124" t="s">
        <v>197</v>
      </c>
      <c r="D3031" s="124" t="s">
        <v>127</v>
      </c>
      <c r="E3031" s="653" t="n">
        <v>1269.6</v>
      </c>
      <c r="G3031" s="123" t="n">
        <v>14401</v>
      </c>
      <c r="I3031" s="123" t="n">
        <v>4</v>
      </c>
    </row>
    <row r="3032" customFormat="false" ht="15" hidden="false" customHeight="false" outlineLevel="0" collapsed="false">
      <c r="A3032" s="652" t="n">
        <v>46252</v>
      </c>
      <c r="B3032" s="123" t="n">
        <v>53002302</v>
      </c>
      <c r="C3032" s="124" t="s">
        <v>184</v>
      </c>
      <c r="D3032" s="124" t="s">
        <v>127</v>
      </c>
      <c r="E3032" s="653" t="n">
        <v>1269.6</v>
      </c>
      <c r="G3032" s="653" t="n">
        <v>15670.6</v>
      </c>
      <c r="I3032" s="123" t="n">
        <v>4</v>
      </c>
    </row>
    <row r="3033" customFormat="false" ht="15" hidden="false" customHeight="false" outlineLevel="0" collapsed="false">
      <c r="A3033" s="652" t="n">
        <v>46252</v>
      </c>
      <c r="B3033" s="123" t="s">
        <v>675</v>
      </c>
      <c r="C3033" s="124" t="s">
        <v>393</v>
      </c>
      <c r="F3033" s="653" t="n">
        <v>2544.33</v>
      </c>
      <c r="G3033" s="653" t="n">
        <v>13126.27</v>
      </c>
    </row>
    <row r="3034" customFormat="false" ht="15" hidden="false" customHeight="false" outlineLevel="0" collapsed="false">
      <c r="A3034" s="652" t="n">
        <v>46253</v>
      </c>
      <c r="B3034" s="123" t="s">
        <v>677</v>
      </c>
      <c r="C3034" s="124" t="s">
        <v>393</v>
      </c>
      <c r="F3034" s="653" t="n">
        <v>1734.53</v>
      </c>
      <c r="G3034" s="653" t="n">
        <v>11391.74</v>
      </c>
    </row>
    <row r="3035" customFormat="false" ht="15" hidden="false" customHeight="false" outlineLevel="0" collapsed="false">
      <c r="A3035" s="652" t="n">
        <v>46253</v>
      </c>
      <c r="B3035" s="123" t="n">
        <v>53002303</v>
      </c>
      <c r="C3035" s="124" t="s">
        <v>183</v>
      </c>
      <c r="D3035" s="124" t="s">
        <v>127</v>
      </c>
      <c r="E3035" s="123" t="n">
        <v>2277</v>
      </c>
      <c r="G3035" s="653" t="n">
        <v>13668.74</v>
      </c>
      <c r="K3035" s="123" t="n">
        <v>7</v>
      </c>
    </row>
    <row r="3036" customFormat="false" ht="15" hidden="false" customHeight="false" outlineLevel="0" collapsed="false">
      <c r="A3036" s="652" t="n">
        <v>46253</v>
      </c>
      <c r="B3036" s="123" t="s">
        <v>675</v>
      </c>
      <c r="C3036" s="124" t="s">
        <v>393</v>
      </c>
      <c r="F3036" s="123" t="n">
        <v>550</v>
      </c>
      <c r="G3036" s="653" t="n">
        <v>13118.74</v>
      </c>
    </row>
    <row r="3037" customFormat="false" ht="15" hidden="false" customHeight="false" outlineLevel="0" collapsed="false">
      <c r="A3037" s="652" t="n">
        <v>46253</v>
      </c>
      <c r="B3037" s="123" t="s">
        <v>677</v>
      </c>
      <c r="C3037" s="124" t="s">
        <v>393</v>
      </c>
      <c r="F3037" s="123" t="n">
        <v>2260</v>
      </c>
      <c r="G3037" s="653" t="n">
        <v>10858.74</v>
      </c>
    </row>
    <row r="3038" customFormat="false" ht="15" hidden="false" customHeight="false" outlineLevel="0" collapsed="false">
      <c r="A3038" s="652" t="n">
        <v>46254</v>
      </c>
      <c r="B3038" s="123" t="n">
        <v>53002304</v>
      </c>
      <c r="C3038" s="124" t="s">
        <v>195</v>
      </c>
      <c r="D3038" s="124" t="s">
        <v>127</v>
      </c>
      <c r="E3038" s="653" t="n">
        <v>1994.2</v>
      </c>
      <c r="G3038" s="653" t="n">
        <v>12852.94</v>
      </c>
      <c r="I3038" s="123" t="n">
        <v>4</v>
      </c>
      <c r="K3038" s="123" t="n">
        <v>3</v>
      </c>
    </row>
    <row r="3039" customFormat="false" ht="15" hidden="false" customHeight="false" outlineLevel="0" collapsed="false">
      <c r="A3039" s="652" t="n">
        <v>46254</v>
      </c>
      <c r="B3039" s="123" t="n">
        <v>53002305</v>
      </c>
      <c r="C3039" s="124" t="s">
        <v>184</v>
      </c>
      <c r="D3039" s="124" t="s">
        <v>127</v>
      </c>
      <c r="E3039" s="653" t="n">
        <v>1269.6</v>
      </c>
      <c r="G3039" s="653" t="n">
        <v>14122.54</v>
      </c>
      <c r="I3039" s="123" t="n">
        <v>4</v>
      </c>
    </row>
    <row r="3040" customFormat="false" ht="15" hidden="false" customHeight="false" outlineLevel="0" collapsed="false">
      <c r="A3040" s="652" t="n">
        <v>46254</v>
      </c>
      <c r="B3040" s="123" t="n">
        <v>53002306</v>
      </c>
      <c r="C3040" s="124" t="s">
        <v>130</v>
      </c>
      <c r="D3040" s="124" t="s">
        <v>127</v>
      </c>
      <c r="E3040" s="123" t="n">
        <v>322</v>
      </c>
      <c r="G3040" s="653" t="n">
        <v>14444.54</v>
      </c>
      <c r="O3040" s="123" t="n">
        <v>2</v>
      </c>
    </row>
    <row r="3041" customFormat="false" ht="15" hidden="false" customHeight="false" outlineLevel="0" collapsed="false">
      <c r="A3041" s="652" t="n">
        <v>46254</v>
      </c>
      <c r="B3041" s="123" t="n">
        <v>53002307</v>
      </c>
      <c r="C3041" s="124" t="s">
        <v>141</v>
      </c>
      <c r="D3041" s="124" t="s">
        <v>127</v>
      </c>
      <c r="E3041" s="123" t="n">
        <v>2622</v>
      </c>
      <c r="G3041" s="653" t="n">
        <v>17066.54</v>
      </c>
      <c r="J3041" s="123" t="n">
        <v>16</v>
      </c>
    </row>
    <row r="3042" customFormat="false" ht="15" hidden="false" customHeight="false" outlineLevel="0" collapsed="false">
      <c r="A3042" s="652" t="n">
        <v>46254</v>
      </c>
      <c r="B3042" s="123" t="s">
        <v>675</v>
      </c>
      <c r="C3042" s="124" t="s">
        <v>393</v>
      </c>
      <c r="F3042" s="123" t="n">
        <v>908</v>
      </c>
      <c r="G3042" s="653" t="n">
        <v>16158.54</v>
      </c>
    </row>
    <row r="3043" customFormat="false" ht="15" hidden="false" customHeight="false" outlineLevel="0" collapsed="false">
      <c r="A3043" s="652" t="n">
        <v>46254</v>
      </c>
      <c r="B3043" s="123" t="s">
        <v>675</v>
      </c>
      <c r="C3043" s="124" t="s">
        <v>393</v>
      </c>
      <c r="F3043" s="123" t="n">
        <v>2022</v>
      </c>
      <c r="G3043" s="653" t="n">
        <v>14136.54</v>
      </c>
    </row>
    <row r="3044" customFormat="false" ht="15" hidden="false" customHeight="false" outlineLevel="0" collapsed="false">
      <c r="A3044" s="652" t="n">
        <v>46258</v>
      </c>
      <c r="B3044" s="123" t="n">
        <v>53002308</v>
      </c>
      <c r="C3044" s="124" t="s">
        <v>146</v>
      </c>
      <c r="D3044" s="124" t="s">
        <v>127</v>
      </c>
      <c r="E3044" s="653" t="n">
        <v>1269.6</v>
      </c>
      <c r="G3044" s="653" t="n">
        <v>15406.14</v>
      </c>
      <c r="I3044" s="123" t="n">
        <v>4</v>
      </c>
    </row>
    <row r="3045" customFormat="false" ht="15" hidden="false" customHeight="false" outlineLevel="0" collapsed="false">
      <c r="A3045" s="652" t="n">
        <v>46258</v>
      </c>
      <c r="B3045" s="123" t="s">
        <v>675</v>
      </c>
      <c r="C3045" s="124" t="s">
        <v>393</v>
      </c>
      <c r="F3045" s="653" t="n">
        <v>2594.4</v>
      </c>
      <c r="G3045" s="653" t="n">
        <v>12811.74</v>
      </c>
    </row>
    <row r="3046" customFormat="false" ht="15" hidden="false" customHeight="false" outlineLevel="0" collapsed="false">
      <c r="A3046" s="652" t="n">
        <v>46258</v>
      </c>
      <c r="B3046" s="123" t="n">
        <v>53002309</v>
      </c>
      <c r="C3046" s="124" t="s">
        <v>155</v>
      </c>
      <c r="D3046" s="124" t="s">
        <v>127</v>
      </c>
      <c r="E3046" s="653" t="n">
        <v>1269.6</v>
      </c>
      <c r="G3046" s="653" t="n">
        <v>14081.34</v>
      </c>
      <c r="I3046" s="123" t="n">
        <v>4</v>
      </c>
    </row>
    <row r="3047" customFormat="false" ht="15" hidden="false" customHeight="false" outlineLevel="0" collapsed="false">
      <c r="A3047" s="652" t="n">
        <v>46258</v>
      </c>
      <c r="B3047" s="123" t="n">
        <v>53002310</v>
      </c>
      <c r="C3047" s="124" t="s">
        <v>145</v>
      </c>
      <c r="D3047" s="124" t="s">
        <v>127</v>
      </c>
      <c r="E3047" s="653" t="n">
        <v>1269.6</v>
      </c>
      <c r="G3047" s="653" t="n">
        <v>15350.94</v>
      </c>
      <c r="I3047" s="123" t="n">
        <v>4</v>
      </c>
    </row>
    <row r="3048" customFormat="false" ht="15" hidden="false" customHeight="false" outlineLevel="0" collapsed="false">
      <c r="A3048" s="652" t="n">
        <v>46258</v>
      </c>
      <c r="B3048" s="123" t="n">
        <v>53002311</v>
      </c>
      <c r="C3048" s="124" t="s">
        <v>149</v>
      </c>
      <c r="D3048" s="124" t="s">
        <v>127</v>
      </c>
      <c r="E3048" s="123" t="n">
        <v>161</v>
      </c>
      <c r="G3048" s="653" t="n">
        <v>15511.94</v>
      </c>
      <c r="O3048" s="123" t="n">
        <v>1</v>
      </c>
    </row>
    <row r="3049" customFormat="false" ht="15" hidden="false" customHeight="false" outlineLevel="0" collapsed="false">
      <c r="A3049" s="652" t="n">
        <v>46258</v>
      </c>
      <c r="B3049" s="123" t="n">
        <v>53002312</v>
      </c>
      <c r="C3049" s="124" t="s">
        <v>183</v>
      </c>
      <c r="D3049" s="124" t="s">
        <v>127</v>
      </c>
      <c r="E3049" s="123" t="n">
        <v>253</v>
      </c>
      <c r="G3049" s="653" t="n">
        <v>15764.94</v>
      </c>
      <c r="K3049" s="123" t="n">
        <v>1</v>
      </c>
    </row>
    <row r="3050" customFormat="false" ht="15" hidden="false" customHeight="false" outlineLevel="0" collapsed="false">
      <c r="A3050" s="652" t="n">
        <v>46258</v>
      </c>
      <c r="B3050" s="123" t="s">
        <v>677</v>
      </c>
      <c r="C3050" s="124" t="s">
        <v>393</v>
      </c>
      <c r="F3050" s="653" t="n">
        <v>2539.2</v>
      </c>
      <c r="G3050" s="653" t="n">
        <v>13225.74</v>
      </c>
    </row>
    <row r="3051" customFormat="false" ht="15" hidden="false" customHeight="false" outlineLevel="0" collapsed="false">
      <c r="A3051" s="652" t="n">
        <v>46258</v>
      </c>
      <c r="B3051" s="123" t="s">
        <v>675</v>
      </c>
      <c r="C3051" s="124" t="s">
        <v>393</v>
      </c>
      <c r="F3051" s="653" t="n">
        <v>2164.5</v>
      </c>
      <c r="G3051" s="653" t="n">
        <v>11061.24</v>
      </c>
    </row>
    <row r="3052" customFormat="false" ht="15" hidden="false" customHeight="false" outlineLevel="0" collapsed="false">
      <c r="A3052" s="652" t="n">
        <v>46259</v>
      </c>
      <c r="B3052" s="123" t="n">
        <v>53002313</v>
      </c>
      <c r="C3052" s="124" t="s">
        <v>117</v>
      </c>
      <c r="D3052" s="124" t="s">
        <v>105</v>
      </c>
      <c r="E3052" s="123" t="n">
        <v>4002</v>
      </c>
      <c r="G3052" s="653" t="n">
        <v>15063.24</v>
      </c>
      <c r="L3052" s="123" t="n">
        <v>12</v>
      </c>
    </row>
    <row r="3053" customFormat="false" ht="15" hidden="false" customHeight="false" outlineLevel="0" collapsed="false">
      <c r="A3053" s="652" t="n">
        <v>46259</v>
      </c>
      <c r="B3053" s="123" t="n">
        <v>53002314</v>
      </c>
      <c r="C3053" s="124" t="s">
        <v>114</v>
      </c>
      <c r="D3053" s="124" t="s">
        <v>105</v>
      </c>
      <c r="E3053" s="653" t="n">
        <v>655.5</v>
      </c>
      <c r="G3053" s="653" t="n">
        <v>15718.74</v>
      </c>
      <c r="J3053" s="123" t="n">
        <v>4</v>
      </c>
    </row>
    <row r="3054" customFormat="false" ht="15" hidden="false" customHeight="false" outlineLevel="0" collapsed="false">
      <c r="A3054" s="652" t="n">
        <v>46259</v>
      </c>
      <c r="B3054" s="123" t="n">
        <v>53002315</v>
      </c>
      <c r="C3054" s="124" t="s">
        <v>109</v>
      </c>
      <c r="D3054" s="124" t="s">
        <v>105</v>
      </c>
      <c r="E3054" s="653" t="n">
        <v>1914.75</v>
      </c>
      <c r="G3054" s="653" t="n">
        <v>17633.49</v>
      </c>
      <c r="L3054" s="123" t="n">
        <v>3</v>
      </c>
      <c r="M3054" s="123" t="n">
        <v>3</v>
      </c>
    </row>
    <row r="3055" customFormat="false" ht="15" hidden="false" customHeight="false" outlineLevel="0" collapsed="false">
      <c r="A3055" s="652" t="n">
        <v>46259</v>
      </c>
      <c r="B3055" s="123" t="n">
        <v>53002316</v>
      </c>
      <c r="C3055" s="124" t="s">
        <v>115</v>
      </c>
      <c r="D3055" s="124" t="s">
        <v>105</v>
      </c>
      <c r="E3055" s="123" t="n">
        <v>161</v>
      </c>
      <c r="G3055" s="653" t="n">
        <v>17794.49</v>
      </c>
      <c r="O3055" s="123" t="n">
        <v>1</v>
      </c>
    </row>
    <row r="3056" customFormat="false" ht="15" hidden="false" customHeight="false" outlineLevel="0" collapsed="false">
      <c r="A3056" s="652" t="n">
        <v>46259</v>
      </c>
      <c r="B3056" s="123" t="n">
        <v>53002317</v>
      </c>
      <c r="C3056" s="124" t="s">
        <v>104</v>
      </c>
      <c r="D3056" s="124" t="s">
        <v>105</v>
      </c>
      <c r="E3056" s="653" t="n">
        <v>2477.09</v>
      </c>
      <c r="G3056" s="653" t="n">
        <v>20271.58</v>
      </c>
      <c r="I3056" s="123" t="n">
        <v>4</v>
      </c>
      <c r="L3056" s="123" t="n">
        <v>3</v>
      </c>
      <c r="O3056" s="123" t="n">
        <v>1</v>
      </c>
    </row>
    <row r="3057" customFormat="false" ht="15" hidden="false" customHeight="false" outlineLevel="0" collapsed="false">
      <c r="A3057" s="652" t="n">
        <v>46259</v>
      </c>
      <c r="B3057" s="123" t="n">
        <v>53002318</v>
      </c>
      <c r="C3057" s="124" t="s">
        <v>108</v>
      </c>
      <c r="D3057" s="124" t="s">
        <v>105</v>
      </c>
      <c r="E3057" s="653" t="n">
        <v>1269.6</v>
      </c>
      <c r="G3057" s="653" t="n">
        <v>21541.18</v>
      </c>
      <c r="I3057" s="123" t="n">
        <v>4</v>
      </c>
    </row>
    <row r="3058" customFormat="false" ht="15" hidden="false" customHeight="false" outlineLevel="0" collapsed="false">
      <c r="A3058" s="652" t="n">
        <v>46260</v>
      </c>
      <c r="B3058" s="123" t="n">
        <v>53002319</v>
      </c>
      <c r="C3058" s="124" t="s">
        <v>144</v>
      </c>
      <c r="D3058" s="124" t="s">
        <v>127</v>
      </c>
      <c r="E3058" s="653" t="n">
        <v>241.5</v>
      </c>
      <c r="G3058" s="653" t="n">
        <v>21782.68</v>
      </c>
      <c r="K3058" s="123" t="n">
        <v>1</v>
      </c>
    </row>
    <row r="3059" customFormat="false" ht="15" hidden="false" customHeight="false" outlineLevel="0" collapsed="false">
      <c r="A3059" s="652" t="n">
        <v>46260</v>
      </c>
      <c r="B3059" s="123" t="n">
        <v>53002320</v>
      </c>
      <c r="C3059" s="124" t="s">
        <v>173</v>
      </c>
      <c r="D3059" s="124" t="s">
        <v>127</v>
      </c>
      <c r="E3059" s="123" t="n">
        <v>161</v>
      </c>
      <c r="G3059" s="653" t="n">
        <v>21943.68</v>
      </c>
      <c r="O3059" s="123" t="n">
        <v>1</v>
      </c>
    </row>
    <row r="3060" customFormat="false" ht="15" hidden="false" customHeight="false" outlineLevel="0" collapsed="false">
      <c r="A3060" s="652" t="n">
        <v>46260</v>
      </c>
      <c r="B3060" s="123" t="n">
        <v>53002321</v>
      </c>
      <c r="C3060" s="124" t="s">
        <v>187</v>
      </c>
      <c r="D3060" s="124" t="s">
        <v>127</v>
      </c>
      <c r="E3060" s="653" t="n">
        <v>1269.6</v>
      </c>
      <c r="G3060" s="653" t="n">
        <v>23213.28</v>
      </c>
      <c r="I3060" s="123" t="n">
        <v>4</v>
      </c>
    </row>
    <row r="3061" customFormat="false" ht="15" hidden="false" customHeight="false" outlineLevel="0" collapsed="false">
      <c r="A3061" s="652" t="n">
        <v>46260</v>
      </c>
      <c r="B3061" s="123" t="n">
        <v>53002322</v>
      </c>
      <c r="C3061" s="124" t="s">
        <v>199</v>
      </c>
      <c r="D3061" s="124" t="s">
        <v>127</v>
      </c>
      <c r="E3061" s="653" t="n">
        <v>310.5</v>
      </c>
      <c r="G3061" s="653" t="n">
        <v>23523.78</v>
      </c>
      <c r="P3061" s="123" t="n">
        <v>1</v>
      </c>
    </row>
    <row r="3062" customFormat="false" ht="15" hidden="false" customHeight="false" outlineLevel="0" collapsed="false">
      <c r="A3062" s="652" t="n">
        <v>46260</v>
      </c>
      <c r="B3062" s="123" t="s">
        <v>675</v>
      </c>
      <c r="C3062" s="124" t="s">
        <v>393</v>
      </c>
      <c r="F3062" s="653" t="n">
        <v>1744.75</v>
      </c>
      <c r="G3062" s="653" t="n">
        <v>21779.03</v>
      </c>
    </row>
    <row r="3063" customFormat="false" ht="15" hidden="false" customHeight="false" outlineLevel="0" collapsed="false">
      <c r="A3063" s="652" t="n">
        <v>46260</v>
      </c>
      <c r="B3063" s="123" t="s">
        <v>675</v>
      </c>
      <c r="C3063" s="124" t="s">
        <v>393</v>
      </c>
      <c r="F3063" s="123" t="n">
        <v>911</v>
      </c>
      <c r="G3063" s="653" t="n">
        <v>20868.03</v>
      </c>
    </row>
    <row r="3064" customFormat="false" ht="15" hidden="false" customHeight="false" outlineLevel="0" collapsed="false">
      <c r="A3064" s="652" t="n">
        <v>46260</v>
      </c>
      <c r="B3064" s="123" t="s">
        <v>677</v>
      </c>
      <c r="C3064" s="124" t="s">
        <v>393</v>
      </c>
      <c r="F3064" s="123" t="n">
        <v>4800</v>
      </c>
      <c r="G3064" s="653" t="n">
        <v>16068.03</v>
      </c>
    </row>
    <row r="3065" customFormat="false" ht="15" hidden="false" customHeight="false" outlineLevel="0" collapsed="false">
      <c r="A3065" s="652" t="n">
        <v>46261</v>
      </c>
      <c r="B3065" s="123" t="n">
        <v>53002323</v>
      </c>
      <c r="C3065" s="124" t="s">
        <v>161</v>
      </c>
      <c r="D3065" s="124" t="s">
        <v>127</v>
      </c>
      <c r="E3065" s="123" t="n">
        <v>3312</v>
      </c>
      <c r="G3065" s="653" t="n">
        <v>19380.03</v>
      </c>
      <c r="K3065" s="123" t="n">
        <v>5</v>
      </c>
      <c r="P3065" s="123" t="n">
        <v>7</v>
      </c>
    </row>
    <row r="3066" customFormat="false" ht="15" hidden="false" customHeight="false" outlineLevel="0" collapsed="false">
      <c r="A3066" s="652" t="n">
        <v>46261</v>
      </c>
      <c r="B3066" s="123" t="n">
        <v>53002324</v>
      </c>
      <c r="C3066" s="124" t="s">
        <v>189</v>
      </c>
      <c r="D3066" s="124" t="s">
        <v>127</v>
      </c>
      <c r="E3066" s="653" t="n">
        <v>1966.5</v>
      </c>
      <c r="G3066" s="653" t="n">
        <v>21346.53</v>
      </c>
      <c r="K3066" s="123" t="n">
        <v>7</v>
      </c>
    </row>
    <row r="3067" customFormat="false" ht="15" hidden="false" customHeight="false" outlineLevel="0" collapsed="false">
      <c r="A3067" s="652" t="n">
        <v>46261</v>
      </c>
      <c r="B3067" s="123" t="n">
        <v>53002325</v>
      </c>
      <c r="C3067" s="124" t="s">
        <v>171</v>
      </c>
      <c r="D3067" s="124" t="s">
        <v>127</v>
      </c>
      <c r="E3067" s="653" t="n">
        <v>655.5</v>
      </c>
      <c r="G3067" s="653" t="n">
        <v>22002.03</v>
      </c>
      <c r="J3067" s="123" t="n">
        <v>4</v>
      </c>
    </row>
    <row r="3068" customFormat="false" ht="15" hidden="false" customHeight="false" outlineLevel="0" collapsed="false">
      <c r="A3068" s="652" t="n">
        <v>46263</v>
      </c>
      <c r="B3068" s="123" t="n">
        <v>53002326</v>
      </c>
      <c r="C3068" s="124" t="s">
        <v>138</v>
      </c>
      <c r="D3068" s="124" t="s">
        <v>127</v>
      </c>
      <c r="E3068" s="653" t="n">
        <v>2700.2</v>
      </c>
      <c r="G3068" s="653" t="n">
        <v>24702.23</v>
      </c>
      <c r="I3068" s="123" t="n">
        <v>8</v>
      </c>
      <c r="O3068" s="123" t="n">
        <v>1</v>
      </c>
    </row>
    <row r="3069" customFormat="false" ht="15" hidden="false" customHeight="false" outlineLevel="0" collapsed="false">
      <c r="A3069" s="652" t="n">
        <v>46263</v>
      </c>
      <c r="B3069" s="123" t="n">
        <v>53002327</v>
      </c>
      <c r="C3069" s="124" t="s">
        <v>193</v>
      </c>
      <c r="D3069" s="124" t="s">
        <v>127</v>
      </c>
      <c r="E3069" s="653" t="n">
        <v>304.75</v>
      </c>
      <c r="G3069" s="653" t="n">
        <v>25006.98</v>
      </c>
      <c r="M3069" s="123" t="n">
        <v>1</v>
      </c>
    </row>
    <row r="3070" customFormat="false" ht="15" hidden="false" customHeight="false" outlineLevel="0" collapsed="false">
      <c r="A3070" s="652" t="n">
        <v>46263</v>
      </c>
      <c r="B3070" s="123" t="n">
        <v>53002328</v>
      </c>
      <c r="C3070" s="124" t="s">
        <v>200</v>
      </c>
      <c r="D3070" s="124" t="s">
        <v>127</v>
      </c>
      <c r="E3070" s="653" t="n">
        <v>241.5</v>
      </c>
      <c r="G3070" s="653" t="n">
        <v>25248.48</v>
      </c>
      <c r="K3070" s="123" t="n">
        <v>1</v>
      </c>
    </row>
    <row r="3071" customFormat="false" ht="15" hidden="false" customHeight="false" outlineLevel="0" collapsed="false">
      <c r="A3071" s="652" t="n">
        <v>46263</v>
      </c>
      <c r="B3071" s="123" t="n">
        <v>53002329</v>
      </c>
      <c r="C3071" s="124" t="s">
        <v>191</v>
      </c>
      <c r="D3071" s="124" t="s">
        <v>127</v>
      </c>
      <c r="E3071" s="653" t="n">
        <v>2058.5</v>
      </c>
      <c r="G3071" s="653" t="n">
        <v>27306.98</v>
      </c>
      <c r="K3071" s="123" t="n">
        <v>7</v>
      </c>
    </row>
    <row r="3072" customFormat="false" ht="15" hidden="false" customHeight="false" outlineLevel="0" collapsed="false">
      <c r="A3072" s="652" t="n">
        <v>46263</v>
      </c>
      <c r="B3072" s="123" t="s">
        <v>680</v>
      </c>
      <c r="C3072" s="124" t="s">
        <v>393</v>
      </c>
      <c r="F3072" s="123" t="n">
        <v>1840</v>
      </c>
      <c r="G3072" s="653" t="n">
        <v>25466.98</v>
      </c>
    </row>
    <row r="3073" customFormat="false" ht="15" hidden="false" customHeight="false" outlineLevel="0" collapsed="false">
      <c r="A3073" s="652" t="n">
        <v>46263</v>
      </c>
      <c r="B3073" s="123" t="s">
        <v>680</v>
      </c>
      <c r="C3073" s="124" t="s">
        <v>393</v>
      </c>
      <c r="F3073" s="123" t="n">
        <v>2024</v>
      </c>
      <c r="G3073" s="653" t="n">
        <v>23442.98</v>
      </c>
    </row>
    <row r="3074" customFormat="false" ht="15" hidden="false" customHeight="false" outlineLevel="0" collapsed="false">
      <c r="A3074" s="652" t="n">
        <v>46263</v>
      </c>
      <c r="B3074" s="123" t="s">
        <v>681</v>
      </c>
      <c r="C3074" s="124" t="s">
        <v>393</v>
      </c>
      <c r="F3074" s="123" t="n">
        <v>6660</v>
      </c>
      <c r="G3074" s="653" t="n">
        <v>16782.98</v>
      </c>
    </row>
    <row r="3075" customFormat="false" ht="15" hidden="false" customHeight="false" outlineLevel="0" collapsed="false">
      <c r="A3075" s="652" t="n">
        <v>46263</v>
      </c>
      <c r="B3075" s="123" t="s">
        <v>680</v>
      </c>
      <c r="C3075" s="124" t="s">
        <v>393</v>
      </c>
      <c r="F3075" s="123" t="n">
        <v>1099</v>
      </c>
      <c r="G3075" s="653" t="n">
        <v>15683.98</v>
      </c>
    </row>
    <row r="3076" customFormat="false" ht="15" hidden="false" customHeight="false" outlineLevel="0" collapsed="false">
      <c r="A3076" s="652" t="n">
        <v>46263</v>
      </c>
      <c r="B3076" s="123" t="s">
        <v>675</v>
      </c>
      <c r="C3076" s="124" t="s">
        <v>393</v>
      </c>
      <c r="F3076" s="653" t="n">
        <v>1522.08</v>
      </c>
      <c r="G3076" s="653" t="n">
        <v>14161.9</v>
      </c>
    </row>
    <row r="3077" customFormat="false" ht="15" hidden="false" customHeight="false" outlineLevel="0" collapsed="false">
      <c r="A3077" s="652" t="n">
        <v>46263</v>
      </c>
      <c r="B3077" s="123" t="s">
        <v>675</v>
      </c>
      <c r="C3077" s="124" t="s">
        <v>393</v>
      </c>
      <c r="F3077" s="123" t="n">
        <v>2600</v>
      </c>
      <c r="G3077" s="653" t="n">
        <v>11561.9</v>
      </c>
    </row>
    <row r="3078" customFormat="false" ht="15" hidden="false" customHeight="false" outlineLevel="0" collapsed="false">
      <c r="A3078" s="652" t="n">
        <v>46264</v>
      </c>
      <c r="B3078" s="123" t="n">
        <v>53002330</v>
      </c>
      <c r="C3078" s="124" t="s">
        <v>158</v>
      </c>
      <c r="D3078" s="124" t="s">
        <v>127</v>
      </c>
      <c r="E3078" s="123" t="n">
        <v>7866</v>
      </c>
      <c r="G3078" s="653" t="n">
        <v>19427.9</v>
      </c>
      <c r="K3078" s="123" t="n">
        <v>28</v>
      </c>
    </row>
    <row r="3079" customFormat="false" ht="15" hidden="false" customHeight="false" outlineLevel="0" collapsed="false">
      <c r="A3079" s="652" t="n">
        <v>46264</v>
      </c>
      <c r="B3079" s="123" t="n">
        <v>53002331</v>
      </c>
      <c r="C3079" s="124" t="s">
        <v>141</v>
      </c>
      <c r="D3079" s="124" t="s">
        <v>127</v>
      </c>
      <c r="E3079" s="653" t="n">
        <v>4535.6</v>
      </c>
      <c r="G3079" s="653" t="n">
        <v>23963.5</v>
      </c>
      <c r="I3079" s="123" t="n">
        <v>4</v>
      </c>
      <c r="K3079" s="123" t="n">
        <v>7</v>
      </c>
      <c r="O3079" s="123" t="n">
        <v>4</v>
      </c>
    </row>
    <row r="3080" customFormat="false" ht="15" hidden="false" customHeight="false" outlineLevel="0" collapsed="false">
      <c r="A3080" s="652" t="n">
        <v>46264</v>
      </c>
      <c r="B3080" s="123" t="n">
        <v>53002332</v>
      </c>
      <c r="C3080" s="124" t="s">
        <v>141</v>
      </c>
      <c r="D3080" s="124" t="s">
        <v>127</v>
      </c>
      <c r="E3080" s="653" t="n">
        <v>517.5</v>
      </c>
      <c r="G3080" s="123" t="n">
        <v>24481</v>
      </c>
      <c r="P3080" s="123" t="n">
        <v>3</v>
      </c>
    </row>
    <row r="3081" customFormat="false" ht="15" hidden="false" customHeight="false" outlineLevel="0" collapsed="false">
      <c r="A3081" s="652" t="n">
        <v>46264</v>
      </c>
      <c r="B3081" s="123" t="n">
        <v>53002333</v>
      </c>
      <c r="C3081" s="124" t="s">
        <v>135</v>
      </c>
      <c r="D3081" s="124" t="s">
        <v>127</v>
      </c>
      <c r="E3081" s="653" t="n">
        <v>1972.25</v>
      </c>
      <c r="G3081" s="653" t="n">
        <v>26453.25</v>
      </c>
      <c r="K3081" s="123" t="n">
        <v>7</v>
      </c>
    </row>
    <row r="3082" customFormat="false" ht="15" hidden="false" customHeight="false" outlineLevel="0" collapsed="false">
      <c r="A3082" s="652" t="n">
        <v>46264</v>
      </c>
      <c r="B3082" s="123" t="n">
        <v>53002334</v>
      </c>
      <c r="C3082" s="124" t="s">
        <v>198</v>
      </c>
      <c r="D3082" s="124" t="s">
        <v>127</v>
      </c>
      <c r="E3082" s="653" t="n">
        <v>1966.5</v>
      </c>
      <c r="G3082" s="653" t="n">
        <v>28419.75</v>
      </c>
      <c r="K3082" s="123" t="n">
        <v>7</v>
      </c>
    </row>
    <row r="3083" customFormat="false" ht="15" hidden="false" customHeight="false" outlineLevel="0" collapsed="false">
      <c r="A3083" s="652" t="n">
        <v>46264</v>
      </c>
      <c r="B3083" s="123" t="n">
        <v>53002335</v>
      </c>
      <c r="C3083" s="124" t="s">
        <v>162</v>
      </c>
      <c r="D3083" s="124" t="s">
        <v>127</v>
      </c>
      <c r="E3083" s="653" t="n">
        <v>1269.6</v>
      </c>
      <c r="G3083" s="653" t="n">
        <v>29689.35</v>
      </c>
      <c r="I3083" s="123" t="n">
        <v>4</v>
      </c>
    </row>
    <row r="3084" customFormat="false" ht="15" hidden="false" customHeight="false" outlineLevel="0" collapsed="false">
      <c r="A3084" s="652" t="n">
        <v>46264</v>
      </c>
      <c r="B3084" s="123" t="n">
        <v>53002336</v>
      </c>
      <c r="C3084" s="124" t="s">
        <v>162</v>
      </c>
      <c r="D3084" s="124" t="s">
        <v>127</v>
      </c>
      <c r="E3084" s="123" t="n">
        <v>161</v>
      </c>
      <c r="G3084" s="653" t="n">
        <v>29850.35</v>
      </c>
      <c r="O3084" s="123" t="n">
        <v>1</v>
      </c>
    </row>
    <row r="3085" customFormat="false" ht="15" hidden="false" customHeight="false" outlineLevel="0" collapsed="false">
      <c r="A3085" s="652" t="n">
        <v>46264</v>
      </c>
      <c r="B3085" s="123" t="n">
        <v>53002337</v>
      </c>
      <c r="C3085" s="124" t="s">
        <v>174</v>
      </c>
      <c r="D3085" s="124" t="s">
        <v>127</v>
      </c>
      <c r="E3085" s="653" t="n">
        <v>2932.5</v>
      </c>
      <c r="G3085" s="653" t="n">
        <v>32782.85</v>
      </c>
      <c r="K3085" s="123" t="n">
        <v>7</v>
      </c>
      <c r="P3085" s="123" t="n">
        <v>1</v>
      </c>
    </row>
    <row r="3086" customFormat="false" ht="15" hidden="false" customHeight="false" outlineLevel="0" collapsed="false">
      <c r="A3086" s="652" t="n">
        <v>46264</v>
      </c>
      <c r="B3086" s="123" t="n">
        <v>53002338</v>
      </c>
      <c r="C3086" s="124" t="s">
        <v>175</v>
      </c>
      <c r="D3086" s="124" t="s">
        <v>127</v>
      </c>
      <c r="E3086" s="653" t="n">
        <v>1430.6</v>
      </c>
      <c r="G3086" s="653" t="n">
        <v>34213.45</v>
      </c>
      <c r="I3086" s="123" t="n">
        <v>4</v>
      </c>
      <c r="O3086" s="123" t="n">
        <v>1</v>
      </c>
    </row>
    <row r="3087" customFormat="false" ht="15" hidden="false" customHeight="false" outlineLevel="0" collapsed="false">
      <c r="A3087" s="652" t="n">
        <v>46264</v>
      </c>
      <c r="B3087" s="123" t="n">
        <v>53002339</v>
      </c>
      <c r="C3087" s="124" t="s">
        <v>201</v>
      </c>
      <c r="D3087" s="124" t="s">
        <v>127</v>
      </c>
      <c r="E3087" s="653" t="n">
        <v>2334.5</v>
      </c>
      <c r="G3087" s="653" t="n">
        <v>36547.95</v>
      </c>
      <c r="K3087" s="123" t="n">
        <v>7</v>
      </c>
      <c r="O3087" s="123" t="n">
        <v>1</v>
      </c>
    </row>
    <row r="3088" customFormat="false" ht="15" hidden="false" customHeight="false" outlineLevel="0" collapsed="false">
      <c r="A3088" s="652" t="n">
        <v>46264</v>
      </c>
      <c r="B3088" s="123" t="n">
        <v>53002330</v>
      </c>
      <c r="C3088" s="124" t="s">
        <v>182</v>
      </c>
      <c r="D3088" s="124" t="s">
        <v>127</v>
      </c>
      <c r="E3088" s="653" t="n">
        <v>2539.2</v>
      </c>
      <c r="G3088" s="653" t="n">
        <v>39087.15</v>
      </c>
      <c r="I3088" s="123" t="n">
        <v>8</v>
      </c>
    </row>
    <row r="3089" customFormat="false" ht="15" hidden="false" customHeight="false" outlineLevel="0" collapsed="false">
      <c r="A3089" s="652" t="n">
        <v>46264</v>
      </c>
      <c r="B3089" s="123" t="n">
        <v>53002331</v>
      </c>
      <c r="C3089" s="124" t="s">
        <v>134</v>
      </c>
      <c r="D3089" s="124" t="s">
        <v>127</v>
      </c>
      <c r="E3089" s="123" t="n">
        <v>966</v>
      </c>
      <c r="G3089" s="653" t="n">
        <v>40053.15</v>
      </c>
      <c r="K3089" s="123" t="n">
        <v>4</v>
      </c>
    </row>
    <row r="3090" customFormat="false" ht="15" hidden="false" customHeight="false" outlineLevel="0" collapsed="false">
      <c r="A3090" s="652" t="n">
        <v>46264</v>
      </c>
      <c r="B3090" s="123" t="s">
        <v>675</v>
      </c>
      <c r="C3090" s="124" t="s">
        <v>393</v>
      </c>
      <c r="F3090" s="653" t="n">
        <v>8947.5</v>
      </c>
      <c r="G3090" s="653" t="n">
        <v>31105.65</v>
      </c>
    </row>
    <row r="3091" customFormat="false" ht="15" hidden="false" customHeight="false" outlineLevel="0" collapsed="false">
      <c r="A3091" s="652" t="n">
        <v>46265</v>
      </c>
      <c r="B3091" s="123" t="n">
        <v>53002332</v>
      </c>
      <c r="C3091" s="124" t="s">
        <v>148</v>
      </c>
      <c r="D3091" s="124" t="s">
        <v>127</v>
      </c>
      <c r="E3091" s="653" t="n">
        <v>1269.6</v>
      </c>
      <c r="G3091" s="653" t="n">
        <v>32375.25</v>
      </c>
      <c r="I3091" s="123" t="n">
        <v>4</v>
      </c>
    </row>
    <row r="3092" customFormat="false" ht="15" hidden="false" customHeight="false" outlineLevel="0" collapsed="false">
      <c r="A3092" s="652" t="n">
        <v>46265</v>
      </c>
      <c r="B3092" s="123" t="n">
        <v>53002333</v>
      </c>
      <c r="C3092" s="124" t="s">
        <v>143</v>
      </c>
      <c r="D3092" s="124" t="s">
        <v>127</v>
      </c>
      <c r="E3092" s="653" t="n">
        <v>1144.25</v>
      </c>
      <c r="G3092" s="653" t="n">
        <v>33519.5</v>
      </c>
      <c r="L3092" s="123" t="n">
        <v>2</v>
      </c>
      <c r="M3092" s="123" t="n">
        <v>1</v>
      </c>
    </row>
    <row r="3093" customFormat="false" ht="15" hidden="false" customHeight="false" outlineLevel="0" collapsed="false">
      <c r="A3093" s="652" t="n">
        <v>46265</v>
      </c>
      <c r="B3093" s="123" t="n">
        <v>53002334</v>
      </c>
      <c r="C3093" s="124" t="s">
        <v>138</v>
      </c>
      <c r="D3093" s="124" t="s">
        <v>127</v>
      </c>
      <c r="E3093" s="653" t="n">
        <v>2627.75</v>
      </c>
      <c r="G3093" s="653" t="n">
        <v>36147.25</v>
      </c>
      <c r="K3093" s="123" t="n">
        <v>8</v>
      </c>
    </row>
    <row r="3094" customFormat="false" ht="15" hidden="false" customHeight="false" outlineLevel="0" collapsed="false">
      <c r="A3094" s="652" t="n">
        <v>46265</v>
      </c>
      <c r="B3094" s="123" t="n">
        <v>53002335</v>
      </c>
      <c r="C3094" s="124" t="s">
        <v>139</v>
      </c>
      <c r="D3094" s="124" t="s">
        <v>127</v>
      </c>
      <c r="E3094" s="653" t="n">
        <v>3076.25</v>
      </c>
      <c r="G3094" s="653" t="n">
        <v>39223.5</v>
      </c>
      <c r="K3094" s="123" t="n">
        <v>7</v>
      </c>
      <c r="L3094" s="123" t="n">
        <v>3</v>
      </c>
    </row>
    <row r="3095" customFormat="false" ht="15" hidden="false" customHeight="false" outlineLevel="0" collapsed="false">
      <c r="A3095" s="652" t="n">
        <v>46265</v>
      </c>
      <c r="B3095" s="123" t="n">
        <v>53002336</v>
      </c>
      <c r="C3095" s="124" t="s">
        <v>135</v>
      </c>
      <c r="D3095" s="124" t="s">
        <v>127</v>
      </c>
      <c r="E3095" s="653" t="n">
        <v>419.75</v>
      </c>
      <c r="G3095" s="653" t="n">
        <v>39643.25</v>
      </c>
      <c r="L3095" s="123" t="n">
        <v>1</v>
      </c>
    </row>
    <row r="3096" customFormat="false" ht="15" hidden="false" customHeight="false" outlineLevel="0" collapsed="false">
      <c r="A3096" s="652" t="n">
        <v>46265</v>
      </c>
      <c r="B3096" s="123" t="n">
        <v>53002337</v>
      </c>
      <c r="C3096" s="124" t="s">
        <v>134</v>
      </c>
      <c r="D3096" s="124" t="s">
        <v>127</v>
      </c>
      <c r="E3096" s="653" t="n">
        <v>3489.1</v>
      </c>
      <c r="G3096" s="653" t="n">
        <v>43132.35</v>
      </c>
      <c r="I3096" s="123" t="n">
        <v>4</v>
      </c>
      <c r="L3096" s="123" t="n">
        <v>3</v>
      </c>
      <c r="M3096" s="123" t="n">
        <v>2</v>
      </c>
      <c r="O3096" s="123" t="n">
        <v>2</v>
      </c>
    </row>
    <row r="3097" customFormat="false" ht="15" hidden="false" customHeight="false" outlineLevel="0" collapsed="false">
      <c r="A3097" s="652" t="n">
        <v>46265</v>
      </c>
      <c r="B3097" s="123" t="n">
        <v>53002338</v>
      </c>
      <c r="C3097" s="124" t="s">
        <v>132</v>
      </c>
      <c r="D3097" s="124" t="s">
        <v>127</v>
      </c>
      <c r="E3097" s="653" t="n">
        <v>1752.6</v>
      </c>
      <c r="G3097" s="653" t="n">
        <v>44884.95</v>
      </c>
      <c r="I3097" s="123" t="n">
        <v>4</v>
      </c>
      <c r="K3097" s="123" t="n">
        <v>2</v>
      </c>
    </row>
    <row r="3098" customFormat="false" ht="15" hidden="false" customHeight="false" outlineLevel="0" collapsed="false">
      <c r="A3098" s="652" t="n">
        <v>46265</v>
      </c>
      <c r="B3098" s="123" t="n">
        <v>53002339</v>
      </c>
      <c r="C3098" s="124" t="s">
        <v>184</v>
      </c>
      <c r="D3098" s="124" t="s">
        <v>127</v>
      </c>
      <c r="E3098" s="653" t="n">
        <v>1269.6</v>
      </c>
      <c r="G3098" s="653" t="n">
        <v>46154.55</v>
      </c>
      <c r="I3098" s="123" t="n">
        <v>4</v>
      </c>
    </row>
    <row r="3099" customFormat="false" ht="15" hidden="false" customHeight="false" outlineLevel="0" collapsed="false">
      <c r="A3099" s="652" t="n">
        <v>46265</v>
      </c>
      <c r="B3099" s="123" t="n">
        <v>53002340</v>
      </c>
      <c r="C3099" s="124" t="s">
        <v>145</v>
      </c>
      <c r="D3099" s="124" t="s">
        <v>127</v>
      </c>
      <c r="E3099" s="653" t="n">
        <v>1000.5</v>
      </c>
      <c r="G3099" s="653" t="n">
        <v>47155.05</v>
      </c>
      <c r="L3099" s="123" t="n">
        <v>3</v>
      </c>
    </row>
    <row r="3100" customFormat="false" ht="15" hidden="false" customHeight="false" outlineLevel="0" collapsed="false">
      <c r="A3100" s="652" t="n">
        <v>46265</v>
      </c>
      <c r="B3100" s="123" t="n">
        <v>53002341</v>
      </c>
      <c r="C3100" s="124" t="s">
        <v>183</v>
      </c>
      <c r="D3100" s="124" t="s">
        <v>127</v>
      </c>
      <c r="E3100" s="123" t="n">
        <v>920</v>
      </c>
      <c r="G3100" s="653" t="n">
        <v>48075.05</v>
      </c>
      <c r="K3100" s="123" t="n">
        <v>1</v>
      </c>
      <c r="O3100" s="123" t="n">
        <v>2</v>
      </c>
      <c r="P3100" s="123" t="n">
        <v>1</v>
      </c>
    </row>
    <row r="3101" customFormat="false" ht="15" hidden="false" customHeight="false" outlineLevel="0" collapsed="false">
      <c r="A3101" s="652" t="n">
        <v>46265</v>
      </c>
      <c r="B3101" s="123" t="n">
        <v>53002342</v>
      </c>
      <c r="C3101" s="124" t="s">
        <v>158</v>
      </c>
      <c r="D3101" s="124" t="s">
        <v>127</v>
      </c>
      <c r="E3101" s="123" t="n">
        <v>644</v>
      </c>
      <c r="G3101" s="653" t="n">
        <v>48719.05</v>
      </c>
      <c r="O3101" s="123" t="n">
        <v>4</v>
      </c>
    </row>
    <row r="3102" customFormat="false" ht="15" hidden="false" customHeight="false" outlineLevel="0" collapsed="false">
      <c r="A3102" s="652" t="n">
        <v>46265</v>
      </c>
      <c r="B3102" s="123" t="n">
        <v>53002343</v>
      </c>
      <c r="C3102" s="124" t="s">
        <v>158</v>
      </c>
      <c r="D3102" s="124" t="s">
        <v>127</v>
      </c>
      <c r="E3102" s="123" t="n">
        <v>3611</v>
      </c>
      <c r="G3102" s="653" t="n">
        <v>52330.05</v>
      </c>
      <c r="K3102" s="123" t="n">
        <v>6</v>
      </c>
      <c r="O3102" s="123" t="n">
        <v>6</v>
      </c>
      <c r="P3102" s="123" t="n">
        <v>3</v>
      </c>
    </row>
    <row r="3103" customFormat="false" ht="15" hidden="false" customHeight="false" outlineLevel="0" collapsed="false">
      <c r="A3103" s="652" t="n">
        <v>46265</v>
      </c>
      <c r="B3103" s="123" t="n">
        <v>53002344</v>
      </c>
      <c r="C3103" s="124" t="s">
        <v>172</v>
      </c>
      <c r="D3103" s="124" t="s">
        <v>127</v>
      </c>
      <c r="E3103" s="653" t="n">
        <v>1269.6</v>
      </c>
      <c r="G3103" s="653" t="n">
        <v>53599.65</v>
      </c>
      <c r="I3103" s="123" t="n">
        <v>4</v>
      </c>
    </row>
    <row r="3104" customFormat="false" ht="15" hidden="false" customHeight="false" outlineLevel="0" collapsed="false">
      <c r="A3104" s="652" t="n">
        <v>46265</v>
      </c>
      <c r="B3104" s="123" t="n">
        <v>53002344</v>
      </c>
      <c r="C3104" s="124" t="s">
        <v>173</v>
      </c>
      <c r="D3104" s="124" t="s">
        <v>127</v>
      </c>
      <c r="E3104" s="653" t="n">
        <v>1269.6</v>
      </c>
      <c r="G3104" s="653" t="n">
        <v>54869.25</v>
      </c>
      <c r="I3104" s="123" t="n">
        <v>4</v>
      </c>
    </row>
    <row r="3105" customFormat="false" ht="15" hidden="false" customHeight="false" outlineLevel="0" collapsed="false">
      <c r="A3105" s="652" t="n">
        <v>46265</v>
      </c>
      <c r="B3105" s="123" t="n">
        <v>53002345</v>
      </c>
      <c r="C3105" s="124" t="s">
        <v>192</v>
      </c>
      <c r="D3105" s="124" t="s">
        <v>127</v>
      </c>
      <c r="E3105" s="653" t="n">
        <v>1879.1</v>
      </c>
      <c r="G3105" s="653" t="n">
        <v>56748.35</v>
      </c>
      <c r="I3105" s="123" t="n">
        <v>4</v>
      </c>
      <c r="K3105" s="123" t="n">
        <v>1</v>
      </c>
      <c r="P3105" s="123" t="n">
        <v>2</v>
      </c>
    </row>
    <row r="3106" customFormat="false" ht="15" hidden="false" customHeight="false" outlineLevel="0" collapsed="false">
      <c r="A3106" s="652" t="n">
        <v>46265</v>
      </c>
      <c r="B3106" s="123" t="n">
        <v>53002346</v>
      </c>
      <c r="C3106" s="124" t="s">
        <v>201</v>
      </c>
      <c r="D3106" s="124" t="s">
        <v>127</v>
      </c>
      <c r="E3106" s="653" t="n">
        <v>1269.6</v>
      </c>
      <c r="G3106" s="653" t="n">
        <v>58017.95</v>
      </c>
      <c r="I3106" s="123" t="n">
        <v>4</v>
      </c>
    </row>
    <row r="3107" customFormat="false" ht="15" hidden="false" customHeight="false" outlineLevel="0" collapsed="false">
      <c r="A3107" s="652" t="n">
        <v>46265</v>
      </c>
      <c r="B3107" s="123" t="n">
        <v>53002346</v>
      </c>
      <c r="C3107" s="124" t="s">
        <v>201</v>
      </c>
      <c r="D3107" s="124" t="s">
        <v>127</v>
      </c>
      <c r="E3107" s="653" t="n">
        <v>241.5</v>
      </c>
      <c r="G3107" s="653" t="n">
        <v>58259.45</v>
      </c>
      <c r="K3107" s="123" t="n">
        <v>1</v>
      </c>
    </row>
    <row r="3108" customFormat="false" ht="15" hidden="false" customHeight="false" outlineLevel="0" collapsed="false">
      <c r="A3108" s="652" t="n">
        <v>46265</v>
      </c>
      <c r="B3108" s="123" t="n">
        <v>53002347</v>
      </c>
      <c r="C3108" s="124" t="s">
        <v>117</v>
      </c>
      <c r="D3108" s="124" t="s">
        <v>105</v>
      </c>
      <c r="E3108" s="653" t="n">
        <v>5002.5</v>
      </c>
      <c r="G3108" s="653" t="n">
        <v>63261.95</v>
      </c>
      <c r="L3108" s="123" t="n">
        <v>15</v>
      </c>
    </row>
    <row r="3109" customFormat="false" ht="15" hidden="false" customHeight="false" outlineLevel="0" collapsed="false">
      <c r="A3109" s="652" t="n">
        <v>46265</v>
      </c>
      <c r="B3109" s="123" t="s">
        <v>677</v>
      </c>
      <c r="C3109" s="124" t="s">
        <v>393</v>
      </c>
      <c r="F3109" s="123" t="n">
        <v>1461</v>
      </c>
      <c r="G3109" s="653" t="n">
        <v>61800.95</v>
      </c>
    </row>
    <row r="3110" customFormat="false" ht="15" hidden="false" customHeight="false" outlineLevel="0" collapsed="false">
      <c r="A3110" s="652" t="n">
        <v>46266</v>
      </c>
      <c r="B3110" s="123" t="s">
        <v>675</v>
      </c>
      <c r="C3110" s="124" t="s">
        <v>393</v>
      </c>
      <c r="F3110" s="123" t="n">
        <v>685</v>
      </c>
      <c r="G3110" s="653" t="n">
        <v>61115.95</v>
      </c>
    </row>
    <row r="3111" customFormat="false" ht="15" hidden="false" customHeight="false" outlineLevel="0" collapsed="false">
      <c r="A3111" s="652" t="n">
        <v>46266</v>
      </c>
      <c r="B3111" s="123" t="s">
        <v>675</v>
      </c>
      <c r="C3111" s="124" t="s">
        <v>393</v>
      </c>
      <c r="F3111" s="123" t="n">
        <v>7012</v>
      </c>
      <c r="G3111" s="653" t="n">
        <v>54103.95</v>
      </c>
    </row>
    <row r="3112" customFormat="false" ht="15" hidden="false" customHeight="false" outlineLevel="0" collapsed="false">
      <c r="A3112" s="652" t="n">
        <v>46267</v>
      </c>
      <c r="B3112" s="123" t="s">
        <v>675</v>
      </c>
      <c r="C3112" s="124" t="s">
        <v>393</v>
      </c>
      <c r="F3112" s="123" t="n">
        <v>2010</v>
      </c>
      <c r="G3112" s="653" t="n">
        <v>52093.95</v>
      </c>
    </row>
    <row r="3113" customFormat="false" ht="15" hidden="false" customHeight="false" outlineLevel="0" collapsed="false">
      <c r="A3113" s="652" t="n">
        <v>46267</v>
      </c>
      <c r="B3113" s="123" t="s">
        <v>675</v>
      </c>
      <c r="C3113" s="124" t="s">
        <v>393</v>
      </c>
      <c r="F3113" s="123" t="n">
        <v>2380</v>
      </c>
      <c r="G3113" s="653" t="n">
        <v>49713.95</v>
      </c>
    </row>
    <row r="3114" customFormat="false" ht="15" hidden="false" customHeight="false" outlineLevel="0" collapsed="false">
      <c r="A3114" s="652" t="n">
        <v>46267</v>
      </c>
      <c r="B3114" s="123" t="s">
        <v>675</v>
      </c>
      <c r="C3114" s="124" t="s">
        <v>393</v>
      </c>
      <c r="F3114" s="123" t="n">
        <v>2734</v>
      </c>
      <c r="G3114" s="653" t="n">
        <v>46979.95</v>
      </c>
    </row>
    <row r="3115" customFormat="false" ht="15" hidden="false" customHeight="false" outlineLevel="0" collapsed="false">
      <c r="A3115" s="652" t="n">
        <v>46267</v>
      </c>
      <c r="B3115" s="123" t="s">
        <v>677</v>
      </c>
      <c r="C3115" s="124" t="s">
        <v>393</v>
      </c>
      <c r="F3115" s="123" t="n">
        <v>8938</v>
      </c>
      <c r="G3115" s="653" t="n">
        <v>38041.95</v>
      </c>
    </row>
    <row r="3116" customFormat="false" ht="15" hidden="false" customHeight="false" outlineLevel="0" collapsed="false">
      <c r="A3116" s="652" t="n">
        <v>46267</v>
      </c>
      <c r="B3116" s="123" t="s">
        <v>677</v>
      </c>
      <c r="C3116" s="124" t="s">
        <v>393</v>
      </c>
      <c r="F3116" s="123" t="n">
        <v>5548</v>
      </c>
      <c r="G3116" s="653" t="n">
        <v>32493.95</v>
      </c>
    </row>
    <row r="3117" customFormat="false" ht="15" hidden="false" customHeight="false" outlineLevel="0" collapsed="false">
      <c r="A3117" s="652" t="n">
        <v>46268</v>
      </c>
      <c r="B3117" s="123" t="s">
        <v>675</v>
      </c>
      <c r="C3117" s="124" t="s">
        <v>393</v>
      </c>
      <c r="F3117" s="653" t="n">
        <v>3018.5</v>
      </c>
      <c r="G3117" s="653" t="n">
        <v>29475.45</v>
      </c>
    </row>
    <row r="3118" customFormat="false" ht="15" hidden="false" customHeight="false" outlineLevel="0" collapsed="false">
      <c r="A3118" s="652" t="n">
        <v>46269</v>
      </c>
      <c r="B3118" s="123" t="s">
        <v>680</v>
      </c>
      <c r="C3118" s="124" t="s">
        <v>393</v>
      </c>
      <c r="F3118" s="123" t="n">
        <v>850</v>
      </c>
      <c r="G3118" s="653" t="n">
        <v>28625.45</v>
      </c>
    </row>
    <row r="3119" customFormat="false" ht="15" hidden="false" customHeight="false" outlineLevel="0" collapsed="false">
      <c r="A3119" s="652" t="n">
        <v>46269</v>
      </c>
      <c r="B3119" s="123" t="s">
        <v>680</v>
      </c>
      <c r="C3119" s="124" t="s">
        <v>393</v>
      </c>
      <c r="F3119" s="123" t="n">
        <v>8479</v>
      </c>
      <c r="G3119" s="653" t="n">
        <v>20146.45</v>
      </c>
    </row>
    <row r="3120" customFormat="false" ht="15" hidden="false" customHeight="false" outlineLevel="0" collapsed="false">
      <c r="A3120" s="652" t="n">
        <v>46271</v>
      </c>
      <c r="B3120" s="123" t="s">
        <v>681</v>
      </c>
      <c r="C3120" s="124" t="s">
        <v>393</v>
      </c>
      <c r="F3120" s="653" t="n">
        <v>7142.6</v>
      </c>
      <c r="G3120" s="653" t="n">
        <v>13003.85</v>
      </c>
    </row>
    <row r="3121" customFormat="false" ht="15" hidden="false" customHeight="false" outlineLevel="0" collapsed="false">
      <c r="A3121" s="652" t="n">
        <v>46272</v>
      </c>
      <c r="B3121" s="123" t="s">
        <v>681</v>
      </c>
      <c r="C3121" s="124" t="s">
        <v>393</v>
      </c>
      <c r="F3121" s="123" t="n">
        <v>5270</v>
      </c>
      <c r="G3121" s="653" t="n">
        <v>7733.84999999998</v>
      </c>
    </row>
    <row r="3122" customFormat="false" ht="15" hidden="false" customHeight="false" outlineLevel="0" collapsed="false">
      <c r="A3122" s="652" t="n">
        <v>46273</v>
      </c>
      <c r="B3122" s="123" t="s">
        <v>675</v>
      </c>
      <c r="C3122" s="124" t="s">
        <v>393</v>
      </c>
      <c r="F3122" s="123" t="n">
        <v>2921</v>
      </c>
      <c r="G3122" s="653" t="n">
        <v>4812.84999999998</v>
      </c>
    </row>
    <row r="3123" customFormat="false" ht="15" hidden="false" customHeight="false" outlineLevel="0" collapsed="false">
      <c r="A3123" s="652" t="n">
        <v>46273</v>
      </c>
      <c r="B3123" s="123" t="s">
        <v>675</v>
      </c>
      <c r="C3123" s="124" t="s">
        <v>393</v>
      </c>
      <c r="F3123" s="123" t="n">
        <v>1312</v>
      </c>
      <c r="G3123" s="653" t="n">
        <v>3500.84999999998</v>
      </c>
    </row>
    <row r="3124" customFormat="false" ht="15" hidden="false" customHeight="false" outlineLevel="0" collapsed="false">
      <c r="A3124" s="652" t="n">
        <v>46273</v>
      </c>
      <c r="B3124" s="123" t="n">
        <v>53002360</v>
      </c>
      <c r="C3124" s="124" t="s">
        <v>166</v>
      </c>
      <c r="D3124" s="124" t="s">
        <v>127</v>
      </c>
      <c r="E3124" s="123" t="n">
        <v>161</v>
      </c>
      <c r="G3124" s="653" t="n">
        <v>3661.84999999998</v>
      </c>
      <c r="O3124" s="123" t="n">
        <v>1</v>
      </c>
    </row>
    <row r="3125" customFormat="false" ht="15" hidden="false" customHeight="false" outlineLevel="0" collapsed="false">
      <c r="A3125" s="652" t="n">
        <v>46273</v>
      </c>
      <c r="B3125" s="123" t="n">
        <v>53002361</v>
      </c>
      <c r="C3125" s="124" t="s">
        <v>203</v>
      </c>
      <c r="D3125" s="124" t="s">
        <v>127</v>
      </c>
      <c r="E3125" s="653" t="n">
        <v>1269.6</v>
      </c>
      <c r="G3125" s="653" t="n">
        <v>4931.44999999998</v>
      </c>
      <c r="I3125" s="123" t="n">
        <v>4</v>
      </c>
    </row>
    <row r="3126" customFormat="false" ht="15" hidden="false" customHeight="false" outlineLevel="0" collapsed="false">
      <c r="A3126" s="652" t="n">
        <v>46273</v>
      </c>
      <c r="B3126" s="123" t="n">
        <v>53002362</v>
      </c>
      <c r="C3126" s="124" t="s">
        <v>134</v>
      </c>
      <c r="D3126" s="124" t="s">
        <v>127</v>
      </c>
      <c r="E3126" s="123" t="n">
        <v>805</v>
      </c>
      <c r="G3126" s="653" t="n">
        <v>5736.44999999998</v>
      </c>
      <c r="O3126" s="123" t="n">
        <v>5</v>
      </c>
    </row>
    <row r="3127" customFormat="false" ht="15" hidden="false" customHeight="false" outlineLevel="0" collapsed="false">
      <c r="A3127" s="652" t="n">
        <v>46273</v>
      </c>
      <c r="B3127" s="123" t="s">
        <v>675</v>
      </c>
      <c r="C3127" s="124" t="s">
        <v>393</v>
      </c>
      <c r="F3127" s="123" t="n">
        <v>820</v>
      </c>
      <c r="G3127" s="653" t="n">
        <v>4916.44999999998</v>
      </c>
    </row>
    <row r="3128" customFormat="false" ht="15" hidden="false" customHeight="false" outlineLevel="0" collapsed="false">
      <c r="A3128" s="652" t="n">
        <v>46275</v>
      </c>
      <c r="B3128" s="123" t="n">
        <v>53002363</v>
      </c>
      <c r="C3128" s="124" t="s">
        <v>207</v>
      </c>
      <c r="D3128" s="124" t="s">
        <v>127</v>
      </c>
      <c r="E3128" s="653" t="n">
        <v>1000.5</v>
      </c>
      <c r="G3128" s="653" t="n">
        <v>5916.94999999998</v>
      </c>
      <c r="L3128" s="123" t="n">
        <v>3</v>
      </c>
    </row>
    <row r="3129" customFormat="false" ht="15" hidden="false" customHeight="false" outlineLevel="0" collapsed="false">
      <c r="A3129" s="652" t="n">
        <v>46275</v>
      </c>
      <c r="B3129" s="123" t="n">
        <v>53002364</v>
      </c>
      <c r="C3129" s="124" t="s">
        <v>155</v>
      </c>
      <c r="D3129" s="124" t="s">
        <v>127</v>
      </c>
      <c r="E3129" s="653" t="n">
        <v>1269.6</v>
      </c>
      <c r="G3129" s="653" t="n">
        <v>7186.54999999998</v>
      </c>
      <c r="I3129" s="123" t="n">
        <v>4</v>
      </c>
    </row>
    <row r="3130" customFormat="false" ht="15" hidden="false" customHeight="false" outlineLevel="0" collapsed="false">
      <c r="A3130" s="652" t="n">
        <v>46275</v>
      </c>
      <c r="B3130" s="123" t="n">
        <v>53002365</v>
      </c>
      <c r="C3130" s="124" t="s">
        <v>181</v>
      </c>
      <c r="D3130" s="124" t="s">
        <v>127</v>
      </c>
      <c r="E3130" s="123" t="n">
        <v>506</v>
      </c>
      <c r="G3130" s="653" t="n">
        <v>7692.54999999998</v>
      </c>
      <c r="J3130" s="123" t="n">
        <v>2</v>
      </c>
    </row>
    <row r="3131" customFormat="false" ht="15" hidden="false" customHeight="false" outlineLevel="0" collapsed="false">
      <c r="A3131" s="652" t="n">
        <v>46276</v>
      </c>
      <c r="B3131" s="123" t="s">
        <v>675</v>
      </c>
      <c r="C3131" s="124" t="s">
        <v>393</v>
      </c>
      <c r="F3131" s="123" t="n">
        <v>1100</v>
      </c>
      <c r="G3131" s="653" t="n">
        <v>6592.54999999998</v>
      </c>
    </row>
    <row r="3132" customFormat="false" ht="15" hidden="false" customHeight="false" outlineLevel="0" collapsed="false">
      <c r="A3132" s="652" t="n">
        <v>46276</v>
      </c>
      <c r="B3132" s="123" t="s">
        <v>675</v>
      </c>
      <c r="C3132" s="124" t="s">
        <v>393</v>
      </c>
      <c r="F3132" s="123" t="n">
        <v>2469</v>
      </c>
      <c r="G3132" s="653" t="n">
        <v>4123.54999999998</v>
      </c>
    </row>
    <row r="3133" customFormat="false" ht="15" hidden="false" customHeight="false" outlineLevel="0" collapsed="false">
      <c r="A3133" s="652" t="n">
        <v>46279</v>
      </c>
      <c r="B3133" s="123" t="n">
        <v>53002366</v>
      </c>
      <c r="C3133" s="124" t="s">
        <v>172</v>
      </c>
      <c r="D3133" s="124" t="s">
        <v>127</v>
      </c>
      <c r="E3133" s="653" t="n">
        <v>172.5</v>
      </c>
      <c r="G3133" s="653" t="n">
        <v>4296.04999999998</v>
      </c>
      <c r="P3133" s="123" t="n">
        <v>1</v>
      </c>
    </row>
    <row r="3134" customFormat="false" ht="15" hidden="false" customHeight="false" outlineLevel="0" collapsed="false">
      <c r="A3134" s="652" t="n">
        <v>46279</v>
      </c>
      <c r="B3134" s="123" t="n">
        <v>53002367</v>
      </c>
      <c r="C3134" s="124" t="s">
        <v>187</v>
      </c>
      <c r="D3134" s="124" t="s">
        <v>127</v>
      </c>
      <c r="E3134" s="653" t="n">
        <v>1603.1</v>
      </c>
      <c r="G3134" s="653" t="n">
        <v>5899.14999999998</v>
      </c>
      <c r="I3134" s="123" t="n">
        <v>4</v>
      </c>
      <c r="O3134" s="123" t="n">
        <v>1</v>
      </c>
      <c r="P3134" s="123" t="n">
        <v>1</v>
      </c>
    </row>
    <row r="3135" customFormat="false" ht="15" hidden="false" customHeight="false" outlineLevel="0" collapsed="false">
      <c r="A3135" s="652" t="n">
        <v>46279</v>
      </c>
      <c r="B3135" s="123" t="n">
        <v>53002368</v>
      </c>
      <c r="C3135" s="124" t="s">
        <v>164</v>
      </c>
      <c r="D3135" s="124" t="s">
        <v>127</v>
      </c>
      <c r="E3135" s="653" t="n">
        <v>172.5</v>
      </c>
      <c r="G3135" s="653" t="n">
        <v>6071.64999999998</v>
      </c>
      <c r="P3135" s="123" t="n">
        <v>1</v>
      </c>
    </row>
    <row r="3136" customFormat="false" ht="15" hidden="false" customHeight="false" outlineLevel="0" collapsed="false">
      <c r="A3136" s="652" t="n">
        <v>46279</v>
      </c>
      <c r="B3136" s="123" t="s">
        <v>675</v>
      </c>
      <c r="C3136" s="124" t="s">
        <v>393</v>
      </c>
      <c r="F3136" s="123" t="n">
        <v>670</v>
      </c>
      <c r="G3136" s="653" t="n">
        <v>5401.64999999998</v>
      </c>
    </row>
    <row r="3137" customFormat="false" ht="15" hidden="false" customHeight="false" outlineLevel="0" collapsed="false">
      <c r="A3137" s="652" t="n">
        <v>46279</v>
      </c>
      <c r="B3137" s="123" t="s">
        <v>677</v>
      </c>
      <c r="C3137" s="124" t="s">
        <v>393</v>
      </c>
      <c r="F3137" s="653" t="n">
        <v>1522.5</v>
      </c>
      <c r="G3137" s="653" t="n">
        <v>3879.14999999998</v>
      </c>
    </row>
    <row r="3138" customFormat="false" ht="15" hidden="false" customHeight="false" outlineLevel="0" collapsed="false">
      <c r="A3138" s="652" t="n">
        <v>46279</v>
      </c>
      <c r="B3138" s="123" t="n">
        <v>53002369</v>
      </c>
      <c r="C3138" s="124" t="s">
        <v>184</v>
      </c>
      <c r="D3138" s="124" t="s">
        <v>127</v>
      </c>
      <c r="E3138" s="653" t="n">
        <v>1269.6</v>
      </c>
      <c r="G3138" s="653" t="n">
        <v>5148.74999999998</v>
      </c>
      <c r="I3138" s="123" t="n">
        <v>4</v>
      </c>
    </row>
    <row r="3139" customFormat="false" ht="15" hidden="false" customHeight="false" outlineLevel="0" collapsed="false">
      <c r="A3139" s="652" t="n">
        <v>46279</v>
      </c>
      <c r="B3139" s="123" t="n">
        <v>53002370</v>
      </c>
      <c r="C3139" s="124" t="s">
        <v>184</v>
      </c>
      <c r="D3139" s="124" t="s">
        <v>127</v>
      </c>
      <c r="E3139" s="653" t="n">
        <v>241.5</v>
      </c>
      <c r="G3139" s="653" t="n">
        <v>5390.24999999998</v>
      </c>
      <c r="K3139" s="123" t="n">
        <v>1</v>
      </c>
    </row>
    <row r="3140" customFormat="false" ht="15" hidden="false" customHeight="false" outlineLevel="0" collapsed="false">
      <c r="A3140" s="652" t="n">
        <v>46279</v>
      </c>
      <c r="B3140" s="123" t="n">
        <v>53002371</v>
      </c>
      <c r="C3140" s="124" t="s">
        <v>145</v>
      </c>
      <c r="D3140" s="124" t="s">
        <v>127</v>
      </c>
      <c r="E3140" s="653" t="n">
        <v>1891.75</v>
      </c>
      <c r="G3140" s="653" t="n">
        <v>7281.99999999998</v>
      </c>
      <c r="K3140" s="123" t="n">
        <v>7</v>
      </c>
    </row>
    <row r="3141" customFormat="false" ht="15" hidden="false" customHeight="false" outlineLevel="0" collapsed="false">
      <c r="A3141" s="652" t="n">
        <v>46279</v>
      </c>
      <c r="B3141" s="123" t="n">
        <v>53002372</v>
      </c>
      <c r="C3141" s="124" t="s">
        <v>208</v>
      </c>
      <c r="D3141" s="124" t="s">
        <v>127</v>
      </c>
      <c r="E3141" s="653" t="n">
        <v>3599.5</v>
      </c>
      <c r="G3141" s="653" t="n">
        <v>10881.5</v>
      </c>
      <c r="K3141" s="123" t="n">
        <v>12</v>
      </c>
      <c r="L3141" s="123" t="n">
        <v>1</v>
      </c>
    </row>
    <row r="3142" customFormat="false" ht="15" hidden="false" customHeight="false" outlineLevel="0" collapsed="false">
      <c r="A3142" s="652" t="n">
        <v>46279</v>
      </c>
      <c r="B3142" s="123" t="n">
        <v>53002373</v>
      </c>
      <c r="C3142" s="124" t="s">
        <v>194</v>
      </c>
      <c r="D3142" s="124" t="s">
        <v>127</v>
      </c>
      <c r="E3142" s="653" t="n">
        <v>2711.7</v>
      </c>
      <c r="G3142" s="653" t="n">
        <v>13593.2</v>
      </c>
      <c r="I3142" s="123" t="n">
        <v>8</v>
      </c>
      <c r="P3142" s="123" t="n">
        <v>1</v>
      </c>
    </row>
    <row r="3143" customFormat="false" ht="15" hidden="false" customHeight="false" outlineLevel="0" collapsed="false">
      <c r="A3143" s="652" t="n">
        <v>46279</v>
      </c>
      <c r="B3143" s="123" t="s">
        <v>680</v>
      </c>
      <c r="C3143" s="124" t="s">
        <v>393</v>
      </c>
      <c r="F3143" s="653" t="n">
        <v>1580.6</v>
      </c>
      <c r="G3143" s="653" t="n">
        <v>12012.6</v>
      </c>
    </row>
    <row r="3144" customFormat="false" ht="15" hidden="false" customHeight="false" outlineLevel="0" collapsed="false">
      <c r="A3144" s="652" t="n">
        <v>46279</v>
      </c>
      <c r="B3144" s="123" t="s">
        <v>668</v>
      </c>
      <c r="C3144" s="124" t="s">
        <v>393</v>
      </c>
      <c r="E3144" s="653" t="n">
        <v>-0.1</v>
      </c>
      <c r="F3144" s="123" t="n">
        <v>7400</v>
      </c>
      <c r="G3144" s="653" t="n">
        <v>4612.49999999998</v>
      </c>
    </row>
    <row r="3145" customFormat="false" ht="15" hidden="false" customHeight="false" outlineLevel="0" collapsed="false">
      <c r="A3145" s="652" t="n">
        <v>46280</v>
      </c>
      <c r="B3145" s="123" t="n">
        <v>53002374</v>
      </c>
      <c r="C3145" s="124" t="s">
        <v>89</v>
      </c>
      <c r="D3145" s="124" t="s">
        <v>75</v>
      </c>
      <c r="E3145" s="653" t="n">
        <v>419.75</v>
      </c>
      <c r="G3145" s="653" t="n">
        <v>5032.24999999998</v>
      </c>
      <c r="L3145" s="123" t="n">
        <v>1</v>
      </c>
    </row>
    <row r="3146" customFormat="false" ht="15" hidden="false" customHeight="false" outlineLevel="0" collapsed="false">
      <c r="A3146" s="652" t="n">
        <v>46280</v>
      </c>
      <c r="B3146" s="123" t="n">
        <v>53002375</v>
      </c>
      <c r="C3146" s="124" t="s">
        <v>106</v>
      </c>
      <c r="D3146" s="124" t="s">
        <v>105</v>
      </c>
      <c r="E3146" s="653" t="n">
        <v>1269.6</v>
      </c>
      <c r="G3146" s="653" t="n">
        <v>6301.84999999998</v>
      </c>
      <c r="I3146" s="123" t="n">
        <v>4</v>
      </c>
    </row>
    <row r="3147" customFormat="false" ht="15" hidden="false" customHeight="false" outlineLevel="0" collapsed="false">
      <c r="A3147" s="652" t="n">
        <v>46280</v>
      </c>
      <c r="B3147" s="123" t="n">
        <v>53002376</v>
      </c>
      <c r="C3147" s="124" t="s">
        <v>113</v>
      </c>
      <c r="D3147" s="124" t="s">
        <v>105</v>
      </c>
      <c r="E3147" s="653" t="n">
        <v>1269.6</v>
      </c>
      <c r="G3147" s="653" t="n">
        <v>7571.44999999998</v>
      </c>
      <c r="I3147" s="123" t="n">
        <v>4</v>
      </c>
    </row>
    <row r="3148" customFormat="false" ht="15" hidden="false" customHeight="false" outlineLevel="0" collapsed="false">
      <c r="A3148" s="652" t="n">
        <v>46280</v>
      </c>
      <c r="B3148" s="123" t="n">
        <v>53002377</v>
      </c>
      <c r="C3148" s="124" t="s">
        <v>107</v>
      </c>
      <c r="D3148" s="124" t="s">
        <v>105</v>
      </c>
      <c r="E3148" s="653" t="n">
        <v>1511.1</v>
      </c>
      <c r="G3148" s="653" t="n">
        <v>9082.54999999998</v>
      </c>
      <c r="I3148" s="123" t="n">
        <v>4</v>
      </c>
      <c r="K3148" s="123" t="n">
        <v>1</v>
      </c>
    </row>
    <row r="3149" customFormat="false" ht="15" hidden="false" customHeight="false" outlineLevel="0" collapsed="false">
      <c r="A3149" s="652" t="n">
        <v>46280</v>
      </c>
      <c r="B3149" s="123" t="n">
        <v>53002378</v>
      </c>
      <c r="C3149" s="124" t="s">
        <v>109</v>
      </c>
      <c r="D3149" s="124" t="s">
        <v>105</v>
      </c>
      <c r="E3149" s="653" t="n">
        <v>2861.2</v>
      </c>
      <c r="G3149" s="653" t="n">
        <v>11943.75</v>
      </c>
      <c r="I3149" s="123" t="n">
        <v>8</v>
      </c>
      <c r="O3149" s="123" t="n">
        <v>2</v>
      </c>
    </row>
    <row r="3150" customFormat="false" ht="15" hidden="false" customHeight="false" outlineLevel="0" collapsed="false">
      <c r="A3150" s="652" t="n">
        <v>46280</v>
      </c>
      <c r="B3150" s="123" t="n">
        <v>53002379</v>
      </c>
      <c r="C3150" s="124" t="s">
        <v>109</v>
      </c>
      <c r="D3150" s="124" t="s">
        <v>105</v>
      </c>
      <c r="E3150" s="123" t="n">
        <v>1518</v>
      </c>
      <c r="G3150" s="653" t="n">
        <v>13461.75</v>
      </c>
      <c r="K3150" s="123" t="n">
        <v>7</v>
      </c>
    </row>
    <row r="3151" customFormat="false" ht="15" hidden="false" customHeight="false" outlineLevel="0" collapsed="false">
      <c r="A3151" s="652" t="n">
        <v>46280</v>
      </c>
      <c r="B3151" s="123" t="s">
        <v>680</v>
      </c>
      <c r="C3151" s="124" t="s">
        <v>393</v>
      </c>
      <c r="F3151" s="123" t="n">
        <v>2482</v>
      </c>
      <c r="G3151" s="653" t="n">
        <v>10979.75</v>
      </c>
    </row>
    <row r="3152" customFormat="false" ht="15" hidden="false" customHeight="false" outlineLevel="0" collapsed="false">
      <c r="A3152" s="652" t="n">
        <v>46280</v>
      </c>
      <c r="B3152" s="123" t="n">
        <v>53002380</v>
      </c>
      <c r="C3152" s="124" t="s">
        <v>155</v>
      </c>
      <c r="D3152" s="124" t="s">
        <v>127</v>
      </c>
      <c r="E3152" s="653" t="n">
        <v>1269.6</v>
      </c>
      <c r="G3152" s="653" t="n">
        <v>12249.35</v>
      </c>
      <c r="I3152" s="123" t="n">
        <v>4</v>
      </c>
    </row>
    <row r="3153" customFormat="false" ht="15" hidden="false" customHeight="false" outlineLevel="0" collapsed="false">
      <c r="A3153" s="652" t="n">
        <v>46280</v>
      </c>
      <c r="B3153" s="123" t="n">
        <v>53002381</v>
      </c>
      <c r="C3153" s="124" t="s">
        <v>169</v>
      </c>
      <c r="D3153" s="124" t="s">
        <v>127</v>
      </c>
      <c r="E3153" s="653" t="n">
        <v>241.5</v>
      </c>
      <c r="G3153" s="653" t="n">
        <v>12490.85</v>
      </c>
      <c r="K3153" s="123" t="n">
        <v>1</v>
      </c>
    </row>
    <row r="3154" customFormat="false" ht="15" hidden="false" customHeight="false" outlineLevel="0" collapsed="false">
      <c r="A3154" s="652" t="n">
        <v>46280</v>
      </c>
      <c r="B3154" s="123" t="s">
        <v>680</v>
      </c>
      <c r="C3154" s="124" t="s">
        <v>393</v>
      </c>
      <c r="F3154" s="123" t="n">
        <v>2878</v>
      </c>
      <c r="G3154" s="653" t="n">
        <v>9612.84999999998</v>
      </c>
    </row>
    <row r="3155" customFormat="false" ht="15" hidden="false" customHeight="false" outlineLevel="0" collapsed="false">
      <c r="A3155" s="652" t="n">
        <v>46283</v>
      </c>
      <c r="B3155" s="123" t="n">
        <v>53002382</v>
      </c>
      <c r="C3155" s="124" t="s">
        <v>197</v>
      </c>
      <c r="D3155" s="124" t="s">
        <v>127</v>
      </c>
      <c r="E3155" s="653" t="n">
        <v>1121.25</v>
      </c>
      <c r="G3155" s="653" t="n">
        <v>10734.1</v>
      </c>
      <c r="J3155" s="123" t="n">
        <v>4</v>
      </c>
      <c r="M3155" s="123" t="n">
        <v>1</v>
      </c>
      <c r="O3155" s="123" t="n">
        <v>1</v>
      </c>
    </row>
    <row r="3156" customFormat="false" ht="15" hidden="false" customHeight="false" outlineLevel="0" collapsed="false">
      <c r="A3156" s="652" t="n">
        <v>46283</v>
      </c>
      <c r="B3156" s="123" t="n">
        <v>53002383</v>
      </c>
      <c r="C3156" s="124" t="s">
        <v>198</v>
      </c>
      <c r="D3156" s="124" t="s">
        <v>127</v>
      </c>
      <c r="E3156" s="653" t="n">
        <v>1442.1</v>
      </c>
      <c r="G3156" s="653" t="n">
        <v>12176.2</v>
      </c>
      <c r="I3156" s="123" t="n">
        <v>4</v>
      </c>
      <c r="P3156" s="123" t="n">
        <v>1</v>
      </c>
    </row>
    <row r="3157" customFormat="false" ht="15" hidden="false" customHeight="false" outlineLevel="0" collapsed="false">
      <c r="A3157" s="652" t="n">
        <v>46285</v>
      </c>
      <c r="B3157" s="123" t="n">
        <v>53002384</v>
      </c>
      <c r="C3157" s="124" t="s">
        <v>139</v>
      </c>
      <c r="D3157" s="124" t="s">
        <v>127</v>
      </c>
      <c r="E3157" s="653" t="n">
        <v>1667.5</v>
      </c>
      <c r="G3157" s="653" t="n">
        <v>13843.7</v>
      </c>
      <c r="K3157" s="123" t="n">
        <v>7</v>
      </c>
    </row>
    <row r="3158" customFormat="false" ht="15" hidden="false" customHeight="false" outlineLevel="0" collapsed="false">
      <c r="A3158" s="652" t="n">
        <v>46286</v>
      </c>
      <c r="B3158" s="123" t="s">
        <v>680</v>
      </c>
      <c r="C3158" s="124" t="s">
        <v>393</v>
      </c>
      <c r="F3158" s="123" t="n">
        <v>900</v>
      </c>
      <c r="G3158" s="653" t="n">
        <v>12943.7</v>
      </c>
    </row>
    <row r="3159" customFormat="false" ht="15" hidden="false" customHeight="false" outlineLevel="0" collapsed="false">
      <c r="A3159" s="652" t="n">
        <v>46286</v>
      </c>
      <c r="B3159" s="123" t="s">
        <v>668</v>
      </c>
      <c r="C3159" s="124" t="s">
        <v>393</v>
      </c>
      <c r="F3159" s="123" t="n">
        <v>3350</v>
      </c>
      <c r="G3159" s="653" t="n">
        <v>9593.69999999998</v>
      </c>
    </row>
    <row r="3160" customFormat="false" ht="15" hidden="false" customHeight="false" outlineLevel="0" collapsed="false">
      <c r="A3160" s="652" t="n">
        <v>46286</v>
      </c>
      <c r="B3160" s="123" t="n">
        <v>53002385</v>
      </c>
      <c r="C3160" s="124" t="s">
        <v>209</v>
      </c>
      <c r="D3160" s="124" t="s">
        <v>210</v>
      </c>
      <c r="E3160" s="123" t="n">
        <v>322</v>
      </c>
      <c r="G3160" s="653" t="n">
        <v>9915.69999999998</v>
      </c>
      <c r="O3160" s="123" t="n">
        <v>2</v>
      </c>
    </row>
    <row r="3161" customFormat="false" ht="15" hidden="false" customHeight="false" outlineLevel="0" collapsed="false">
      <c r="A3161" s="652" t="n">
        <v>46286</v>
      </c>
      <c r="B3161" s="123" t="n">
        <v>53002386</v>
      </c>
      <c r="C3161" s="124" t="s">
        <v>214</v>
      </c>
      <c r="D3161" s="124" t="s">
        <v>210</v>
      </c>
      <c r="E3161" s="653" t="n">
        <v>1269.6</v>
      </c>
      <c r="G3161" s="653" t="n">
        <v>11185.3</v>
      </c>
      <c r="I3161" s="123" t="n">
        <v>4</v>
      </c>
    </row>
    <row r="3162" customFormat="false" ht="15" hidden="false" customHeight="false" outlineLevel="0" collapsed="false">
      <c r="A3162" s="652" t="n">
        <v>46286</v>
      </c>
      <c r="B3162" s="123" t="n">
        <v>53002387</v>
      </c>
      <c r="C3162" s="124" t="s">
        <v>213</v>
      </c>
      <c r="D3162" s="124" t="s">
        <v>210</v>
      </c>
      <c r="E3162" s="123" t="n">
        <v>1127</v>
      </c>
      <c r="G3162" s="653" t="n">
        <v>12312.3</v>
      </c>
      <c r="O3162" s="123" t="n">
        <v>7</v>
      </c>
    </row>
    <row r="3163" customFormat="false" ht="15" hidden="false" customHeight="false" outlineLevel="0" collapsed="false">
      <c r="A3163" s="652" t="n">
        <v>46286</v>
      </c>
      <c r="B3163" s="123" t="s">
        <v>681</v>
      </c>
      <c r="C3163" s="124" t="s">
        <v>393</v>
      </c>
      <c r="F3163" s="653" t="n">
        <v>3808.8</v>
      </c>
      <c r="G3163" s="653" t="n">
        <v>8503.49999999998</v>
      </c>
    </row>
    <row r="3164" customFormat="false" ht="15" hidden="false" customHeight="false" outlineLevel="0" collapsed="false">
      <c r="A3164" s="652" t="n">
        <v>46287</v>
      </c>
      <c r="B3164" s="123" t="n">
        <v>53002388</v>
      </c>
      <c r="C3164" s="124" t="s">
        <v>175</v>
      </c>
      <c r="D3164" s="124" t="s">
        <v>127</v>
      </c>
      <c r="E3164" s="653" t="n">
        <v>1269.6</v>
      </c>
      <c r="G3164" s="653" t="n">
        <v>9773.09999999998</v>
      </c>
      <c r="I3164" s="123" t="n">
        <v>4</v>
      </c>
    </row>
    <row r="3165" customFormat="false" ht="15" hidden="false" customHeight="false" outlineLevel="0" collapsed="false">
      <c r="A3165" s="652" t="n">
        <v>46287</v>
      </c>
      <c r="B3165" s="123" t="n">
        <v>53002389</v>
      </c>
      <c r="C3165" s="124" t="s">
        <v>208</v>
      </c>
      <c r="D3165" s="124" t="s">
        <v>127</v>
      </c>
      <c r="E3165" s="653" t="n">
        <v>4547.1</v>
      </c>
      <c r="G3165" s="653" t="n">
        <v>14320.2</v>
      </c>
      <c r="I3165" s="123" t="n">
        <v>4</v>
      </c>
      <c r="J3165" s="123" t="n">
        <v>20</v>
      </c>
    </row>
    <row r="3166" customFormat="false" ht="15" hidden="false" customHeight="false" outlineLevel="0" collapsed="false">
      <c r="A3166" s="652" t="n">
        <v>46287</v>
      </c>
      <c r="B3166" s="123" t="n">
        <v>53002390</v>
      </c>
      <c r="C3166" s="124" t="s">
        <v>135</v>
      </c>
      <c r="D3166" s="124" t="s">
        <v>127</v>
      </c>
      <c r="E3166" s="653" t="n">
        <v>419.75</v>
      </c>
      <c r="G3166" s="653" t="n">
        <v>14739.95</v>
      </c>
      <c r="L3166" s="123" t="n">
        <v>1</v>
      </c>
    </row>
    <row r="3167" customFormat="false" ht="15" hidden="false" customHeight="false" outlineLevel="0" collapsed="false">
      <c r="A3167" s="652" t="n">
        <v>46287</v>
      </c>
      <c r="B3167" s="123" t="s">
        <v>680</v>
      </c>
      <c r="C3167" s="124" t="s">
        <v>393</v>
      </c>
      <c r="F3167" s="123" t="n">
        <v>1911</v>
      </c>
      <c r="G3167" s="653" t="n">
        <v>12828.95</v>
      </c>
    </row>
    <row r="3168" customFormat="false" ht="15" hidden="false" customHeight="false" outlineLevel="0" collapsed="false">
      <c r="A3168" s="652" t="n">
        <v>46289</v>
      </c>
      <c r="B3168" s="123" t="n">
        <v>53002391</v>
      </c>
      <c r="C3168" s="124" t="s">
        <v>97</v>
      </c>
      <c r="D3168" s="124" t="s">
        <v>75</v>
      </c>
      <c r="E3168" s="653" t="n">
        <v>1269.6</v>
      </c>
      <c r="G3168" s="653" t="n">
        <v>14098.55</v>
      </c>
      <c r="I3168" s="123" t="n">
        <v>4</v>
      </c>
    </row>
    <row r="3169" customFormat="false" ht="15" hidden="false" customHeight="false" outlineLevel="0" collapsed="false">
      <c r="A3169" s="652" t="n">
        <v>46289</v>
      </c>
      <c r="B3169" s="123" t="n">
        <v>53002392</v>
      </c>
      <c r="C3169" s="124" t="s">
        <v>112</v>
      </c>
      <c r="D3169" s="124" t="s">
        <v>105</v>
      </c>
      <c r="E3169" s="653" t="n">
        <v>1269.6</v>
      </c>
      <c r="G3169" s="653" t="n">
        <v>15368.15</v>
      </c>
      <c r="I3169" s="123" t="n">
        <v>4</v>
      </c>
    </row>
    <row r="3170" customFormat="false" ht="15" hidden="false" customHeight="false" outlineLevel="0" collapsed="false">
      <c r="A3170" s="652" t="n">
        <v>46289</v>
      </c>
      <c r="B3170" s="123" t="n">
        <v>53002393</v>
      </c>
      <c r="C3170" s="124" t="s">
        <v>104</v>
      </c>
      <c r="D3170" s="124" t="s">
        <v>105</v>
      </c>
      <c r="E3170" s="653" t="n">
        <v>1269.6</v>
      </c>
      <c r="G3170" s="653" t="n">
        <v>16637.75</v>
      </c>
      <c r="I3170" s="123" t="n">
        <v>4</v>
      </c>
    </row>
    <row r="3171" customFormat="false" ht="15" hidden="false" customHeight="false" outlineLevel="0" collapsed="false">
      <c r="A3171" s="652" t="n">
        <v>46289</v>
      </c>
      <c r="B3171" s="123" t="n">
        <v>53002394</v>
      </c>
      <c r="C3171" s="124" t="s">
        <v>116</v>
      </c>
      <c r="D3171" s="124" t="s">
        <v>105</v>
      </c>
      <c r="E3171" s="653" t="n">
        <v>1269.6</v>
      </c>
      <c r="G3171" s="653" t="n">
        <v>17907.35</v>
      </c>
      <c r="I3171" s="123" t="n">
        <v>4</v>
      </c>
    </row>
    <row r="3172" customFormat="false" ht="15" hidden="false" customHeight="false" outlineLevel="0" collapsed="false">
      <c r="A3172" s="652" t="n">
        <v>46289</v>
      </c>
      <c r="B3172" s="123" t="n">
        <v>53002395</v>
      </c>
      <c r="C3172" s="124" t="s">
        <v>117</v>
      </c>
      <c r="D3172" s="124" t="s">
        <v>105</v>
      </c>
      <c r="E3172" s="653" t="n">
        <v>1000.5</v>
      </c>
      <c r="G3172" s="653" t="n">
        <v>18907.85</v>
      </c>
      <c r="L3172" s="123" t="n">
        <v>3</v>
      </c>
    </row>
    <row r="3173" customFormat="false" ht="15" hidden="false" customHeight="false" outlineLevel="0" collapsed="false">
      <c r="A3173" s="652" t="n">
        <v>46289</v>
      </c>
      <c r="B3173" s="123" t="n">
        <v>53002396</v>
      </c>
      <c r="C3173" s="124" t="s">
        <v>107</v>
      </c>
      <c r="D3173" s="124" t="s">
        <v>105</v>
      </c>
      <c r="E3173" s="653" t="n">
        <v>1925.1</v>
      </c>
      <c r="G3173" s="653" t="n">
        <v>20832.95</v>
      </c>
      <c r="I3173" s="123" t="n">
        <v>4</v>
      </c>
      <c r="J3173" s="123" t="n">
        <v>4</v>
      </c>
    </row>
    <row r="3174" customFormat="false" ht="15" hidden="false" customHeight="false" outlineLevel="0" collapsed="false">
      <c r="A3174" s="652" t="n">
        <v>46289</v>
      </c>
      <c r="B3174" s="123" t="n">
        <v>53002397</v>
      </c>
      <c r="C3174" s="124" t="s">
        <v>108</v>
      </c>
      <c r="D3174" s="124" t="s">
        <v>105</v>
      </c>
      <c r="E3174" s="653" t="n">
        <v>1269.6</v>
      </c>
      <c r="G3174" s="653" t="n">
        <v>22102.55</v>
      </c>
      <c r="I3174" s="123" t="n">
        <v>4</v>
      </c>
    </row>
    <row r="3175" customFormat="false" ht="15" hidden="false" customHeight="false" outlineLevel="0" collapsed="false">
      <c r="A3175" s="652" t="n">
        <v>46289</v>
      </c>
      <c r="B3175" s="123" t="n">
        <v>53002398</v>
      </c>
      <c r="C3175" s="124" t="s">
        <v>114</v>
      </c>
      <c r="D3175" s="124" t="s">
        <v>105</v>
      </c>
      <c r="E3175" s="653" t="n">
        <v>1269.6</v>
      </c>
      <c r="G3175" s="653" t="n">
        <v>23372.15</v>
      </c>
      <c r="I3175" s="123" t="n">
        <v>4</v>
      </c>
    </row>
    <row r="3176" customFormat="false" ht="15" hidden="false" customHeight="false" outlineLevel="0" collapsed="false">
      <c r="A3176" s="652" t="n">
        <v>46289</v>
      </c>
      <c r="B3176" s="123" t="n">
        <v>53002399</v>
      </c>
      <c r="C3176" s="124" t="s">
        <v>110</v>
      </c>
      <c r="D3176" s="124" t="s">
        <v>105</v>
      </c>
      <c r="E3176" s="653" t="n">
        <v>3808.8</v>
      </c>
      <c r="G3176" s="653" t="n">
        <v>27180.95</v>
      </c>
      <c r="I3176" s="123" t="n">
        <v>12</v>
      </c>
    </row>
    <row r="3177" customFormat="false" ht="15" hidden="false" customHeight="false" outlineLevel="0" collapsed="false">
      <c r="A3177" s="652" t="n">
        <v>46289</v>
      </c>
      <c r="B3177" s="123" t="n">
        <v>53002400</v>
      </c>
      <c r="C3177" s="124" t="s">
        <v>110</v>
      </c>
      <c r="D3177" s="124" t="s">
        <v>105</v>
      </c>
      <c r="E3177" s="653" t="n">
        <v>419.75</v>
      </c>
      <c r="G3177" s="653" t="n">
        <v>27600.7</v>
      </c>
      <c r="L3177" s="123" t="n">
        <v>1</v>
      </c>
    </row>
    <row r="3178" customFormat="false" ht="15" hidden="false" customHeight="false" outlineLevel="0" collapsed="false">
      <c r="A3178" s="652" t="n">
        <v>46290</v>
      </c>
      <c r="B3178" s="123" t="n">
        <v>53002401</v>
      </c>
      <c r="C3178" s="124" t="s">
        <v>101</v>
      </c>
      <c r="D3178" s="124" t="s">
        <v>75</v>
      </c>
      <c r="E3178" s="653" t="n">
        <v>1269.6</v>
      </c>
      <c r="G3178" s="653" t="n">
        <v>28870.3</v>
      </c>
      <c r="I3178" s="123" t="n">
        <v>4</v>
      </c>
    </row>
    <row r="3179" customFormat="false" ht="15" hidden="false" customHeight="false" outlineLevel="0" collapsed="false">
      <c r="A3179" s="652" t="n">
        <v>46290</v>
      </c>
      <c r="B3179" s="123" t="n">
        <v>53002402</v>
      </c>
      <c r="C3179" s="124" t="s">
        <v>98</v>
      </c>
      <c r="D3179" s="124" t="s">
        <v>75</v>
      </c>
      <c r="E3179" s="653" t="n">
        <v>4505.7</v>
      </c>
      <c r="G3179" s="123" t="n">
        <v>33376</v>
      </c>
      <c r="I3179" s="123" t="n">
        <v>8</v>
      </c>
      <c r="K3179" s="123" t="n">
        <v>7</v>
      </c>
    </row>
    <row r="3180" customFormat="false" ht="15" hidden="false" customHeight="false" outlineLevel="0" collapsed="false">
      <c r="A3180" s="652" t="n">
        <v>46290</v>
      </c>
      <c r="B3180" s="123" t="n">
        <v>53002403</v>
      </c>
      <c r="C3180" s="124" t="s">
        <v>98</v>
      </c>
      <c r="D3180" s="124" t="s">
        <v>75</v>
      </c>
      <c r="E3180" s="653" t="n">
        <v>3236.1</v>
      </c>
      <c r="G3180" s="653" t="n">
        <v>36612.1</v>
      </c>
      <c r="I3180" s="123" t="n">
        <v>4</v>
      </c>
      <c r="K3180" s="123" t="n">
        <v>7</v>
      </c>
    </row>
    <row r="3181" customFormat="false" ht="15" hidden="false" customHeight="false" outlineLevel="0" collapsed="false">
      <c r="A3181" s="652" t="n">
        <v>46290</v>
      </c>
      <c r="B3181" s="123" t="n">
        <v>53002404</v>
      </c>
      <c r="C3181" s="124" t="s">
        <v>174</v>
      </c>
      <c r="D3181" s="124" t="s">
        <v>127</v>
      </c>
      <c r="E3181" s="653" t="n">
        <v>1269.6</v>
      </c>
      <c r="G3181" s="653" t="n">
        <v>37881.7</v>
      </c>
      <c r="I3181" s="123" t="n">
        <v>4</v>
      </c>
    </row>
    <row r="3182" customFormat="false" ht="15" hidden="false" customHeight="false" outlineLevel="0" collapsed="false">
      <c r="A3182" s="652" t="n">
        <v>46290</v>
      </c>
      <c r="B3182" s="123" t="s">
        <v>681</v>
      </c>
      <c r="C3182" s="124" t="s">
        <v>393</v>
      </c>
      <c r="F3182" s="123" t="n">
        <v>7600</v>
      </c>
      <c r="G3182" s="653" t="n">
        <v>30281.7</v>
      </c>
    </row>
    <row r="3183" customFormat="false" ht="15" hidden="false" customHeight="false" outlineLevel="0" collapsed="false">
      <c r="A3183" s="652" t="n">
        <v>46293</v>
      </c>
      <c r="B3183" s="123" t="s">
        <v>675</v>
      </c>
      <c r="C3183" s="124" t="s">
        <v>393</v>
      </c>
      <c r="F3183" s="653" t="n">
        <v>1597.26</v>
      </c>
      <c r="G3183" s="653" t="n">
        <v>28684.44</v>
      </c>
    </row>
    <row r="3184" customFormat="false" ht="15" hidden="false" customHeight="false" outlineLevel="0" collapsed="false">
      <c r="A3184" s="652" t="n">
        <v>46293</v>
      </c>
      <c r="B3184" s="123" t="s">
        <v>675</v>
      </c>
      <c r="C3184" s="124" t="s">
        <v>393</v>
      </c>
      <c r="F3184" s="123" t="n">
        <v>1937</v>
      </c>
      <c r="G3184" s="653" t="n">
        <v>26747.44</v>
      </c>
    </row>
    <row r="3185" customFormat="false" ht="15" hidden="false" customHeight="false" outlineLevel="0" collapsed="false">
      <c r="A3185" s="652" t="n">
        <v>46294</v>
      </c>
      <c r="B3185" s="123" t="n">
        <v>53002405</v>
      </c>
      <c r="C3185" s="124" t="s">
        <v>143</v>
      </c>
      <c r="D3185" s="124" t="s">
        <v>127</v>
      </c>
      <c r="E3185" s="653" t="n">
        <v>1269.6</v>
      </c>
      <c r="G3185" s="653" t="n">
        <v>28017.04</v>
      </c>
      <c r="I3185" s="123" t="n">
        <v>4</v>
      </c>
    </row>
    <row r="3186" customFormat="false" ht="15" hidden="false" customHeight="false" outlineLevel="0" collapsed="false">
      <c r="A3186" s="652" t="n">
        <v>46294</v>
      </c>
      <c r="B3186" s="123" t="n">
        <v>53002406</v>
      </c>
      <c r="C3186" s="124" t="s">
        <v>183</v>
      </c>
      <c r="D3186" s="124" t="s">
        <v>127</v>
      </c>
      <c r="E3186" s="653" t="n">
        <v>1207.5</v>
      </c>
      <c r="G3186" s="653" t="n">
        <v>29224.54</v>
      </c>
      <c r="J3186" s="123" t="n">
        <v>2</v>
      </c>
      <c r="O3186" s="123" t="n">
        <v>2</v>
      </c>
      <c r="P3186" s="123" t="n">
        <v>1</v>
      </c>
    </row>
    <row r="3187" customFormat="false" ht="15" hidden="false" customHeight="false" outlineLevel="0" collapsed="false">
      <c r="A3187" s="652" t="n">
        <v>46294</v>
      </c>
      <c r="B3187" s="123" t="n">
        <v>53002407</v>
      </c>
      <c r="C3187" s="124" t="s">
        <v>158</v>
      </c>
      <c r="D3187" s="124" t="s">
        <v>127</v>
      </c>
      <c r="E3187" s="123" t="n">
        <v>3611</v>
      </c>
      <c r="F3187" s="123" t="n">
        <v>3500</v>
      </c>
      <c r="G3187" s="653" t="n">
        <v>29335.54</v>
      </c>
      <c r="K3187" s="123" t="n">
        <v>7</v>
      </c>
      <c r="P3187" s="123" t="n">
        <v>5</v>
      </c>
    </row>
    <row r="3188" customFormat="false" ht="15" hidden="false" customHeight="false" outlineLevel="0" collapsed="false">
      <c r="A3188" s="652" t="n">
        <v>46294</v>
      </c>
      <c r="B3188" s="123" t="n">
        <v>53002408</v>
      </c>
      <c r="C3188" s="124" t="s">
        <v>158</v>
      </c>
      <c r="D3188" s="124" t="s">
        <v>127</v>
      </c>
      <c r="E3188" s="653" t="n">
        <v>9832.5</v>
      </c>
      <c r="G3188" s="653" t="n">
        <v>39168.04</v>
      </c>
      <c r="K3188" s="123" t="n">
        <v>35</v>
      </c>
    </row>
    <row r="3189" customFormat="false" ht="15" hidden="false" customHeight="false" outlineLevel="0" collapsed="false">
      <c r="A3189" s="652" t="n">
        <v>46294</v>
      </c>
      <c r="B3189" s="123" t="n">
        <v>53002409</v>
      </c>
      <c r="C3189" s="124" t="s">
        <v>154</v>
      </c>
      <c r="D3189" s="124" t="s">
        <v>127</v>
      </c>
      <c r="E3189" s="653" t="n">
        <v>1430.6</v>
      </c>
      <c r="G3189" s="653" t="n">
        <v>40598.64</v>
      </c>
      <c r="I3189" s="123" t="n">
        <v>4</v>
      </c>
      <c r="O3189" s="123" t="n">
        <v>1</v>
      </c>
    </row>
    <row r="3190" customFormat="false" ht="15" hidden="false" customHeight="false" outlineLevel="0" collapsed="false">
      <c r="A3190" s="652" t="n">
        <v>46294</v>
      </c>
      <c r="B3190" s="123" t="n">
        <v>53002410</v>
      </c>
      <c r="C3190" s="124" t="s">
        <v>168</v>
      </c>
      <c r="D3190" s="124" t="s">
        <v>127</v>
      </c>
      <c r="E3190" s="653" t="n">
        <v>1603.1</v>
      </c>
      <c r="G3190" s="653" t="n">
        <v>42201.74</v>
      </c>
      <c r="I3190" s="123" t="n">
        <v>4</v>
      </c>
      <c r="P3190" s="123" t="n">
        <v>1</v>
      </c>
    </row>
    <row r="3191" customFormat="false" ht="15" hidden="false" customHeight="false" outlineLevel="0" collapsed="false">
      <c r="A3191" s="652" t="n">
        <v>46294</v>
      </c>
      <c r="B3191" s="123" t="n">
        <v>53002411</v>
      </c>
      <c r="C3191" s="124" t="s">
        <v>195</v>
      </c>
      <c r="D3191" s="124" t="s">
        <v>127</v>
      </c>
      <c r="E3191" s="653" t="n">
        <v>2271.25</v>
      </c>
      <c r="G3191" s="653" t="n">
        <v>44472.99</v>
      </c>
      <c r="K3191" s="123" t="n">
        <v>7</v>
      </c>
      <c r="M3191" s="123" t="n">
        <v>1</v>
      </c>
    </row>
    <row r="3192" customFormat="false" ht="15" hidden="false" customHeight="false" outlineLevel="0" collapsed="false">
      <c r="A3192" s="652" t="n">
        <v>46294</v>
      </c>
      <c r="B3192" s="123" t="n">
        <v>53002412</v>
      </c>
      <c r="C3192" s="124" t="s">
        <v>181</v>
      </c>
      <c r="D3192" s="124" t="s">
        <v>127</v>
      </c>
      <c r="E3192" s="653" t="n">
        <v>632.5</v>
      </c>
      <c r="G3192" s="653" t="n">
        <v>45105.49</v>
      </c>
      <c r="O3192" s="123" t="n">
        <v>1</v>
      </c>
      <c r="P3192" s="123" t="n">
        <v>2</v>
      </c>
    </row>
    <row r="3193" customFormat="false" ht="15" hidden="false" customHeight="false" outlineLevel="0" collapsed="false">
      <c r="A3193" s="652" t="n">
        <v>46294</v>
      </c>
      <c r="B3193" s="123" t="n">
        <v>53002413</v>
      </c>
      <c r="C3193" s="124" t="s">
        <v>217</v>
      </c>
      <c r="D3193" s="124" t="s">
        <v>127</v>
      </c>
      <c r="E3193" s="653" t="n">
        <v>1269.6</v>
      </c>
      <c r="G3193" s="653" t="n">
        <v>46375.09</v>
      </c>
      <c r="I3193" s="123" t="n">
        <v>4</v>
      </c>
    </row>
    <row r="3194" customFormat="false" ht="15" hidden="false" customHeight="false" outlineLevel="0" collapsed="false">
      <c r="A3194" s="652" t="n">
        <v>46294</v>
      </c>
      <c r="B3194" s="123" t="n">
        <v>53002414</v>
      </c>
      <c r="C3194" s="124" t="s">
        <v>201</v>
      </c>
      <c r="D3194" s="124" t="s">
        <v>127</v>
      </c>
      <c r="E3194" s="653" t="n">
        <v>2236.75</v>
      </c>
      <c r="G3194" s="653" t="n">
        <v>48611.84</v>
      </c>
      <c r="K3194" s="123" t="n">
        <v>7</v>
      </c>
      <c r="O3194" s="123" t="n">
        <v>1</v>
      </c>
    </row>
    <row r="3195" customFormat="false" ht="15" hidden="false" customHeight="false" outlineLevel="0" collapsed="false">
      <c r="A3195" s="652" t="n">
        <v>46294</v>
      </c>
      <c r="B3195" s="123" t="n">
        <v>53002415</v>
      </c>
      <c r="C3195" s="124" t="s">
        <v>171</v>
      </c>
      <c r="D3195" s="124" t="s">
        <v>127</v>
      </c>
      <c r="E3195" s="653" t="n">
        <v>1269.6</v>
      </c>
      <c r="G3195" s="653" t="n">
        <v>49881.44</v>
      </c>
      <c r="I3195" s="123" t="n">
        <v>4</v>
      </c>
    </row>
    <row r="3196" customFormat="false" ht="15" hidden="false" customHeight="false" outlineLevel="0" collapsed="false">
      <c r="A3196" s="652" t="n">
        <v>46294</v>
      </c>
      <c r="B3196" s="123" t="n">
        <v>53002416</v>
      </c>
      <c r="C3196" s="124" t="s">
        <v>110</v>
      </c>
      <c r="D3196" s="124" t="s">
        <v>105</v>
      </c>
      <c r="E3196" s="123" t="n">
        <v>4002</v>
      </c>
      <c r="G3196" s="653" t="n">
        <v>53883.44</v>
      </c>
      <c r="L3196" s="123" t="n">
        <v>12</v>
      </c>
    </row>
    <row r="3197" customFormat="false" ht="15" hidden="false" customHeight="false" outlineLevel="0" collapsed="false">
      <c r="A3197" s="652" t="n">
        <v>46294</v>
      </c>
      <c r="B3197" s="123" t="n">
        <v>53002417</v>
      </c>
      <c r="C3197" s="124" t="s">
        <v>132</v>
      </c>
      <c r="D3197" s="124" t="s">
        <v>127</v>
      </c>
      <c r="E3197" s="653" t="n">
        <v>241.5</v>
      </c>
      <c r="G3197" s="653" t="n">
        <v>54124.94</v>
      </c>
      <c r="K3197" s="123" t="n">
        <v>1</v>
      </c>
    </row>
    <row r="3198" customFormat="false" ht="15" hidden="false" customHeight="false" outlineLevel="0" collapsed="false">
      <c r="A3198" s="652" t="n">
        <v>46294</v>
      </c>
      <c r="B3198" s="123" t="n">
        <v>53002418</v>
      </c>
      <c r="C3198" s="124" t="s">
        <v>134</v>
      </c>
      <c r="D3198" s="124" t="s">
        <v>127</v>
      </c>
      <c r="E3198" s="653" t="n">
        <v>1269.6</v>
      </c>
      <c r="G3198" s="653" t="n">
        <v>55394.54</v>
      </c>
      <c r="I3198" s="123" t="n">
        <v>4</v>
      </c>
    </row>
    <row r="3199" customFormat="false" ht="15" hidden="false" customHeight="false" outlineLevel="0" collapsed="false">
      <c r="A3199" s="652" t="n">
        <v>46294</v>
      </c>
      <c r="B3199" s="123" t="n">
        <v>53002419</v>
      </c>
      <c r="C3199" s="124" t="s">
        <v>130</v>
      </c>
      <c r="D3199" s="124" t="s">
        <v>127</v>
      </c>
      <c r="E3199" s="653" t="n">
        <v>2539.2</v>
      </c>
      <c r="G3199" s="653" t="n">
        <v>57933.74</v>
      </c>
      <c r="I3199" s="123" t="n">
        <v>8</v>
      </c>
    </row>
    <row r="3200" customFormat="false" ht="15" hidden="false" customHeight="false" outlineLevel="0" collapsed="false">
      <c r="A3200" s="652" t="n">
        <v>46294</v>
      </c>
      <c r="B3200" s="123" t="n">
        <v>53002420</v>
      </c>
      <c r="C3200" s="124" t="s">
        <v>220</v>
      </c>
      <c r="D3200" s="124" t="s">
        <v>127</v>
      </c>
      <c r="E3200" s="653" t="n">
        <v>1269.6</v>
      </c>
      <c r="G3200" s="653" t="n">
        <v>59203.34</v>
      </c>
      <c r="I3200" s="123" t="n">
        <v>4</v>
      </c>
    </row>
    <row r="3201" customFormat="false" ht="15" hidden="false" customHeight="false" outlineLevel="0" collapsed="false">
      <c r="A3201" s="652" t="n">
        <v>46294</v>
      </c>
      <c r="B3201" s="123" t="n">
        <v>53002421</v>
      </c>
      <c r="C3201" s="124" t="s">
        <v>218</v>
      </c>
      <c r="D3201" s="124" t="s">
        <v>127</v>
      </c>
      <c r="E3201" s="653" t="n">
        <v>1269.6</v>
      </c>
      <c r="G3201" s="653" t="n">
        <v>60472.94</v>
      </c>
      <c r="I3201" s="123" t="n">
        <v>4</v>
      </c>
    </row>
    <row r="3202" customFormat="false" ht="15" hidden="false" customHeight="false" outlineLevel="0" collapsed="false">
      <c r="A3202" s="652" t="n">
        <v>46294</v>
      </c>
      <c r="B3202" s="123" t="n">
        <v>53002422</v>
      </c>
      <c r="C3202" s="124" t="s">
        <v>173</v>
      </c>
      <c r="D3202" s="124" t="s">
        <v>127</v>
      </c>
      <c r="E3202" s="123" t="n">
        <v>161</v>
      </c>
      <c r="G3202" s="653" t="n">
        <v>60633.94</v>
      </c>
      <c r="O3202" s="123" t="n">
        <v>1</v>
      </c>
    </row>
    <row r="3203" customFormat="false" ht="15" hidden="false" customHeight="false" outlineLevel="0" collapsed="false">
      <c r="A3203" s="652" t="n">
        <v>46294</v>
      </c>
      <c r="B3203" s="123" t="n">
        <v>53002423</v>
      </c>
      <c r="C3203" s="124" t="s">
        <v>189</v>
      </c>
      <c r="D3203" s="124" t="s">
        <v>127</v>
      </c>
      <c r="E3203" s="653" t="n">
        <v>2539.2</v>
      </c>
      <c r="G3203" s="653" t="n">
        <v>63173.14</v>
      </c>
      <c r="I3203" s="123" t="n">
        <v>8</v>
      </c>
    </row>
    <row r="3204" customFormat="false" ht="15" hidden="false" customHeight="false" outlineLevel="0" collapsed="false">
      <c r="A3204" s="652" t="n">
        <v>46294</v>
      </c>
      <c r="B3204" s="123" t="n">
        <v>53002424</v>
      </c>
      <c r="C3204" s="124" t="s">
        <v>189</v>
      </c>
      <c r="D3204" s="124" t="s">
        <v>127</v>
      </c>
      <c r="E3204" s="653" t="n">
        <v>6359.5</v>
      </c>
      <c r="G3204" s="653" t="n">
        <v>69532.64</v>
      </c>
      <c r="K3204" s="123" t="n">
        <v>22</v>
      </c>
    </row>
    <row r="3205" customFormat="false" ht="15" hidden="false" customHeight="false" outlineLevel="0" collapsed="false">
      <c r="A3205" s="652" t="n">
        <v>46295</v>
      </c>
      <c r="B3205" s="123" t="s">
        <v>675</v>
      </c>
      <c r="C3205" s="124" t="s">
        <v>393</v>
      </c>
      <c r="F3205" s="123" t="n">
        <v>5501</v>
      </c>
      <c r="G3205" s="653" t="n">
        <v>64031.64</v>
      </c>
    </row>
    <row r="3206" customFormat="false" ht="15" hidden="false" customHeight="false" outlineLevel="0" collapsed="false">
      <c r="A3206" s="652" t="n">
        <v>46295</v>
      </c>
      <c r="B3206" s="123" t="s">
        <v>681</v>
      </c>
      <c r="C3206" s="124" t="s">
        <v>393</v>
      </c>
      <c r="F3206" s="123" t="n">
        <v>3500</v>
      </c>
      <c r="G3206" s="653" t="n">
        <v>60531.64</v>
      </c>
    </row>
    <row r="3207" customFormat="false" ht="15" hidden="false" customHeight="false" outlineLevel="0" collapsed="false">
      <c r="A3207" s="652" t="n">
        <v>46295</v>
      </c>
      <c r="B3207" s="123" t="s">
        <v>681</v>
      </c>
      <c r="C3207" s="124" t="s">
        <v>393</v>
      </c>
      <c r="F3207" s="653" t="n">
        <v>9943.5</v>
      </c>
      <c r="G3207" s="653" t="n">
        <v>50588.14</v>
      </c>
    </row>
    <row r="3208" customFormat="false" ht="15" hidden="false" customHeight="false" outlineLevel="0" collapsed="false">
      <c r="A3208" s="652" t="n">
        <v>46295</v>
      </c>
      <c r="B3208" s="123" t="s">
        <v>680</v>
      </c>
      <c r="C3208" s="124" t="s">
        <v>393</v>
      </c>
      <c r="F3208" s="123" t="n">
        <v>2411</v>
      </c>
      <c r="G3208" s="653" t="n">
        <v>48177.14</v>
      </c>
    </row>
    <row r="3209" customFormat="false" ht="15" hidden="false" customHeight="false" outlineLevel="0" collapsed="false">
      <c r="A3209" s="652" t="n">
        <v>46295</v>
      </c>
      <c r="B3209" s="123" t="n">
        <v>53002425</v>
      </c>
      <c r="C3209" s="124" t="s">
        <v>155</v>
      </c>
      <c r="D3209" s="124" t="s">
        <v>127</v>
      </c>
      <c r="E3209" s="653" t="n">
        <v>1269.6</v>
      </c>
      <c r="G3209" s="653" t="n">
        <v>49446.74</v>
      </c>
      <c r="I3209" s="123" t="n">
        <v>4</v>
      </c>
    </row>
    <row r="3210" customFormat="false" ht="15" hidden="false" customHeight="false" outlineLevel="0" collapsed="false">
      <c r="A3210" s="652" t="n">
        <v>46295</v>
      </c>
      <c r="B3210" s="123" t="n">
        <v>53002426</v>
      </c>
      <c r="C3210" s="124" t="s">
        <v>134</v>
      </c>
      <c r="D3210" s="124" t="s">
        <v>127</v>
      </c>
      <c r="E3210" s="123" t="n">
        <v>1449</v>
      </c>
      <c r="G3210" s="653" t="n">
        <v>50895.74</v>
      </c>
      <c r="O3210" s="123" t="n">
        <v>9</v>
      </c>
    </row>
    <row r="3211" customFormat="false" ht="15" hidden="false" customHeight="false" outlineLevel="0" collapsed="false">
      <c r="A3211" s="652" t="n">
        <v>46295</v>
      </c>
      <c r="B3211" s="123" t="n">
        <v>53002427</v>
      </c>
      <c r="C3211" s="124" t="s">
        <v>141</v>
      </c>
      <c r="D3211" s="124" t="s">
        <v>127</v>
      </c>
      <c r="E3211" s="653" t="n">
        <v>3116.5</v>
      </c>
      <c r="G3211" s="653" t="n">
        <v>54012.24</v>
      </c>
      <c r="K3211" s="123" t="n">
        <v>7</v>
      </c>
      <c r="P3211" s="123" t="n">
        <v>5</v>
      </c>
    </row>
    <row r="3212" customFormat="false" ht="15" hidden="false" customHeight="false" outlineLevel="0" collapsed="false">
      <c r="A3212" s="652" t="n">
        <v>46295</v>
      </c>
      <c r="B3212" s="123" t="n">
        <v>53002428</v>
      </c>
      <c r="C3212" s="124" t="s">
        <v>183</v>
      </c>
      <c r="D3212" s="124" t="s">
        <v>127</v>
      </c>
      <c r="E3212" s="653" t="n">
        <v>839.5</v>
      </c>
      <c r="G3212" s="653" t="n">
        <v>54851.74</v>
      </c>
      <c r="L3212" s="123" t="n">
        <v>2</v>
      </c>
    </row>
    <row r="3213" customFormat="false" ht="15" hidden="false" customHeight="false" outlineLevel="0" collapsed="false">
      <c r="A3213" s="652" t="n">
        <v>46295</v>
      </c>
      <c r="B3213" s="123" t="s">
        <v>680</v>
      </c>
      <c r="C3213" s="124" t="s">
        <v>393</v>
      </c>
      <c r="F3213" s="123" t="n">
        <v>2741</v>
      </c>
      <c r="G3213" s="653" t="n">
        <v>52110.74</v>
      </c>
    </row>
    <row r="3214" customFormat="false" ht="15" hidden="false" customHeight="false" outlineLevel="0" collapsed="false">
      <c r="A3214" s="652" t="n">
        <v>46295</v>
      </c>
      <c r="B3214" s="123" t="s">
        <v>681</v>
      </c>
      <c r="C3214" s="124" t="s">
        <v>393</v>
      </c>
      <c r="F3214" s="123" t="n">
        <v>2135</v>
      </c>
      <c r="G3214" s="653" t="n">
        <v>49975.74</v>
      </c>
    </row>
    <row r="3215" customFormat="false" ht="15" hidden="false" customHeight="false" outlineLevel="0" collapsed="false">
      <c r="A3215" s="652" t="n">
        <v>46296</v>
      </c>
      <c r="B3215" s="123" t="s">
        <v>677</v>
      </c>
      <c r="C3215" s="124" t="s">
        <v>393</v>
      </c>
      <c r="F3215" s="653" t="n">
        <v>3312.2</v>
      </c>
      <c r="G3215" s="653" t="n">
        <v>46663.54</v>
      </c>
    </row>
    <row r="3216" customFormat="false" ht="15" hidden="false" customHeight="false" outlineLevel="0" collapsed="false">
      <c r="A3216" s="652" t="n">
        <v>46297</v>
      </c>
      <c r="B3216" s="123" t="s">
        <v>675</v>
      </c>
      <c r="C3216" s="124" t="s">
        <v>393</v>
      </c>
      <c r="F3216" s="123" t="n">
        <v>10628</v>
      </c>
      <c r="G3216" s="653" t="n">
        <v>36035.54</v>
      </c>
    </row>
    <row r="3217" customFormat="false" ht="15" hidden="false" customHeight="false" outlineLevel="0" collapsed="false">
      <c r="A3217" s="652" t="n">
        <v>46297</v>
      </c>
      <c r="B3217" s="123" t="s">
        <v>675</v>
      </c>
      <c r="C3217" s="124" t="s">
        <v>393</v>
      </c>
      <c r="F3217" s="123" t="n">
        <v>2349</v>
      </c>
      <c r="G3217" s="653" t="n">
        <v>33686.54</v>
      </c>
    </row>
    <row r="3218" customFormat="false" ht="15" hidden="false" customHeight="false" outlineLevel="0" collapsed="false">
      <c r="A3218" s="652" t="n">
        <v>46299</v>
      </c>
      <c r="B3218" s="123" t="s">
        <v>681</v>
      </c>
      <c r="C3218" s="124" t="s">
        <v>393</v>
      </c>
      <c r="F3218" s="653" t="n">
        <v>4885.6</v>
      </c>
      <c r="G3218" s="653" t="n">
        <v>28800.94</v>
      </c>
    </row>
    <row r="3219" customFormat="false" ht="15" hidden="false" customHeight="false" outlineLevel="0" collapsed="false">
      <c r="A3219" s="652" t="n">
        <v>46299</v>
      </c>
      <c r="B3219" s="123" t="s">
        <v>680</v>
      </c>
      <c r="C3219" s="124" t="s">
        <v>393</v>
      </c>
      <c r="F3219" s="123" t="n">
        <v>10787</v>
      </c>
      <c r="G3219" s="653" t="n">
        <v>18013.94</v>
      </c>
    </row>
    <row r="3220" customFormat="false" ht="15" hidden="false" customHeight="false" outlineLevel="0" collapsed="false">
      <c r="A3220" s="652" t="n">
        <v>46300</v>
      </c>
      <c r="B3220" s="123" t="s">
        <v>677</v>
      </c>
      <c r="C3220" s="124" t="s">
        <v>393</v>
      </c>
      <c r="F3220" s="123" t="n">
        <v>825</v>
      </c>
      <c r="G3220" s="653" t="n">
        <v>17188.94</v>
      </c>
    </row>
    <row r="3221" customFormat="false" ht="15" hidden="false" customHeight="false" outlineLevel="0" collapsed="false">
      <c r="A3221" s="652" t="n">
        <v>46300</v>
      </c>
      <c r="B3221" s="123" t="s">
        <v>680</v>
      </c>
      <c r="C3221" s="124" t="s">
        <v>393</v>
      </c>
      <c r="F3221" s="123" t="n">
        <v>2300</v>
      </c>
      <c r="G3221" s="653" t="n">
        <v>14888.94</v>
      </c>
    </row>
    <row r="3222" customFormat="false" ht="15" hidden="false" customHeight="false" outlineLevel="0" collapsed="false">
      <c r="A3222" s="652" t="n">
        <v>46300</v>
      </c>
      <c r="B3222" s="123" t="s">
        <v>680</v>
      </c>
      <c r="C3222" s="124" t="s">
        <v>393</v>
      </c>
      <c r="F3222" s="123" t="n">
        <v>1682</v>
      </c>
      <c r="G3222" s="653" t="n">
        <v>13206.94</v>
      </c>
    </row>
    <row r="3223" customFormat="false" ht="15" hidden="false" customHeight="false" outlineLevel="0" collapsed="false">
      <c r="A3223" s="652" t="n">
        <v>46300</v>
      </c>
      <c r="B3223" s="123" t="s">
        <v>681</v>
      </c>
      <c r="C3223" s="124" t="s">
        <v>393</v>
      </c>
      <c r="F3223" s="123" t="n">
        <v>1700</v>
      </c>
      <c r="G3223" s="653" t="n">
        <v>11506.94</v>
      </c>
    </row>
    <row r="3224" customFormat="false" ht="15" hidden="false" customHeight="false" outlineLevel="0" collapsed="false">
      <c r="A3224" s="652" t="n">
        <v>46300</v>
      </c>
      <c r="B3224" s="123" t="s">
        <v>675</v>
      </c>
      <c r="C3224" s="124" t="s">
        <v>393</v>
      </c>
      <c r="F3224" s="123" t="n">
        <v>1235</v>
      </c>
      <c r="G3224" s="653" t="n">
        <v>10271.94</v>
      </c>
    </row>
    <row r="3225" customFormat="false" ht="15" hidden="false" customHeight="false" outlineLevel="0" collapsed="false">
      <c r="A3225" s="652" t="n">
        <v>46300</v>
      </c>
      <c r="B3225" s="123" t="s">
        <v>675</v>
      </c>
      <c r="C3225" s="124" t="s">
        <v>393</v>
      </c>
      <c r="F3225" s="123" t="n">
        <v>1253</v>
      </c>
      <c r="G3225" s="653" t="n">
        <v>9018.93999999996</v>
      </c>
    </row>
    <row r="3226" customFormat="false" ht="15" hidden="false" customHeight="false" outlineLevel="0" collapsed="false">
      <c r="A3226" s="652" t="n">
        <v>46300</v>
      </c>
      <c r="B3226" s="123" t="s">
        <v>675</v>
      </c>
      <c r="C3226" s="124" t="s">
        <v>393</v>
      </c>
      <c r="F3226" s="123" t="n">
        <v>2838</v>
      </c>
      <c r="G3226" s="653" t="n">
        <v>6180.93999999996</v>
      </c>
    </row>
    <row r="3227" customFormat="false" ht="15" hidden="false" customHeight="false" outlineLevel="0" collapsed="false">
      <c r="A3227" s="652" t="n">
        <v>46300</v>
      </c>
      <c r="B3227" s="123" t="s">
        <v>675</v>
      </c>
      <c r="C3227" s="124" t="s">
        <v>393</v>
      </c>
      <c r="F3227" s="123" t="n">
        <v>837</v>
      </c>
      <c r="G3227" s="653" t="n">
        <v>5343.93999999996</v>
      </c>
    </row>
    <row r="3228" customFormat="false" ht="15" hidden="false" customHeight="false" outlineLevel="0" collapsed="false">
      <c r="A3228" s="652" t="n">
        <v>46300</v>
      </c>
      <c r="B3228" s="123" t="s">
        <v>677</v>
      </c>
      <c r="C3228" s="124" t="s">
        <v>393</v>
      </c>
      <c r="E3228" s="653" t="n">
        <v>0.06</v>
      </c>
      <c r="F3228" s="123" t="n">
        <v>2400</v>
      </c>
      <c r="G3228" s="653" t="n">
        <v>2943.99999999996</v>
      </c>
    </row>
    <row r="3229" customFormat="false" ht="15" hidden="false" customHeight="false" outlineLevel="0" collapsed="false">
      <c r="A3229" s="652" t="n">
        <v>46300</v>
      </c>
      <c r="B3229" s="123" t="s">
        <v>675</v>
      </c>
      <c r="C3229" s="124" t="s">
        <v>393</v>
      </c>
      <c r="F3229" s="123" t="n">
        <v>2944</v>
      </c>
      <c r="G3229" s="653" t="n">
        <v>-4.09272615797818E-011</v>
      </c>
    </row>
    <row r="3230" customFormat="false" ht="15" hidden="false" customHeight="false" outlineLevel="0" collapsed="false">
      <c r="A3230" s="652" t="n">
        <v>46307</v>
      </c>
      <c r="B3230" s="123" t="n">
        <v>53002429</v>
      </c>
      <c r="C3230" s="124" t="s">
        <v>208</v>
      </c>
      <c r="D3230" s="124" t="s">
        <v>127</v>
      </c>
      <c r="E3230" s="123" t="n">
        <v>4255</v>
      </c>
      <c r="G3230" s="653" t="n">
        <v>4254.99999999996</v>
      </c>
      <c r="J3230" s="123" t="n">
        <v>25</v>
      </c>
    </row>
    <row r="3231" customFormat="false" ht="15" hidden="false" customHeight="false" outlineLevel="0" collapsed="false">
      <c r="A3231" s="652" t="n">
        <v>46307</v>
      </c>
      <c r="B3231" s="123" t="n">
        <v>53002430</v>
      </c>
      <c r="C3231" s="124" t="s">
        <v>206</v>
      </c>
      <c r="D3231" s="124" t="s">
        <v>127</v>
      </c>
      <c r="E3231" s="653" t="n">
        <v>2270.1</v>
      </c>
      <c r="G3231" s="653" t="n">
        <v>6525.09999999996</v>
      </c>
      <c r="I3231" s="123" t="n">
        <v>4</v>
      </c>
      <c r="L3231" s="123" t="n">
        <v>3</v>
      </c>
    </row>
    <row r="3232" customFormat="false" ht="15" hidden="false" customHeight="false" outlineLevel="0" collapsed="false">
      <c r="A3232" s="652" t="n">
        <v>46307</v>
      </c>
      <c r="B3232" s="123" t="s">
        <v>675</v>
      </c>
      <c r="C3232" s="124" t="s">
        <v>393</v>
      </c>
      <c r="F3232" s="123" t="n">
        <v>1002</v>
      </c>
      <c r="G3232" s="653" t="n">
        <v>5523.09999999996</v>
      </c>
    </row>
    <row r="3233" customFormat="false" ht="15" hidden="false" customHeight="false" outlineLevel="0" collapsed="false">
      <c r="A3233" s="652" t="n">
        <v>46307</v>
      </c>
      <c r="B3233" s="123" t="s">
        <v>675</v>
      </c>
      <c r="C3233" s="124" t="s">
        <v>393</v>
      </c>
      <c r="F3233" s="123" t="n">
        <v>1358</v>
      </c>
      <c r="G3233" s="653" t="n">
        <v>4165.09999999996</v>
      </c>
    </row>
    <row r="3234" customFormat="false" ht="15" hidden="false" customHeight="false" outlineLevel="0" collapsed="false">
      <c r="A3234" s="652" t="n">
        <v>46308</v>
      </c>
      <c r="B3234" s="123" t="n">
        <v>53002431</v>
      </c>
      <c r="C3234" s="124" t="s">
        <v>117</v>
      </c>
      <c r="D3234" s="124" t="s">
        <v>105</v>
      </c>
      <c r="E3234" s="653" t="n">
        <v>1000.5</v>
      </c>
      <c r="G3234" s="653" t="n">
        <v>5165.59999999996</v>
      </c>
      <c r="L3234" s="123" t="n">
        <v>3</v>
      </c>
    </row>
    <row r="3235" customFormat="false" ht="15" hidden="false" customHeight="false" outlineLevel="0" collapsed="false">
      <c r="A3235" s="652" t="n">
        <v>46308</v>
      </c>
      <c r="B3235" s="123" t="n">
        <v>53002432</v>
      </c>
      <c r="C3235" s="124" t="s">
        <v>109</v>
      </c>
      <c r="D3235" s="124" t="s">
        <v>105</v>
      </c>
      <c r="E3235" s="653" t="n">
        <v>2861.2</v>
      </c>
      <c r="G3235" s="653" t="n">
        <v>8026.79999999996</v>
      </c>
      <c r="I3235" s="123" t="n">
        <v>8</v>
      </c>
      <c r="O3235" s="123" t="n">
        <v>2</v>
      </c>
    </row>
    <row r="3236" customFormat="false" ht="15" hidden="false" customHeight="false" outlineLevel="0" collapsed="false">
      <c r="A3236" s="652" t="n">
        <v>46308</v>
      </c>
      <c r="B3236" s="123" t="n">
        <v>53002433</v>
      </c>
      <c r="C3236" s="124" t="s">
        <v>107</v>
      </c>
      <c r="D3236" s="124" t="s">
        <v>105</v>
      </c>
      <c r="E3236" s="123" t="n">
        <v>2553</v>
      </c>
      <c r="G3236" s="653" t="n">
        <v>10579.8</v>
      </c>
      <c r="J3236" s="123" t="n">
        <v>15</v>
      </c>
    </row>
    <row r="3237" customFormat="false" ht="15" hidden="false" customHeight="false" outlineLevel="0" collapsed="false">
      <c r="A3237" s="652" t="n">
        <v>46308</v>
      </c>
      <c r="B3237" s="123" t="n">
        <v>53002434</v>
      </c>
      <c r="C3237" s="124" t="s">
        <v>106</v>
      </c>
      <c r="D3237" s="124" t="s">
        <v>105</v>
      </c>
      <c r="E3237" s="653" t="n">
        <v>1269.6</v>
      </c>
      <c r="G3237" s="653" t="n">
        <v>11849.4</v>
      </c>
      <c r="I3237" s="123" t="n">
        <v>4</v>
      </c>
    </row>
    <row r="3238" customFormat="false" ht="15" hidden="false" customHeight="false" outlineLevel="0" collapsed="false">
      <c r="A3238" s="652" t="n">
        <v>46308</v>
      </c>
      <c r="B3238" s="123" t="s">
        <v>680</v>
      </c>
      <c r="C3238" s="124" t="s">
        <v>393</v>
      </c>
      <c r="F3238" s="123" t="n">
        <v>6679</v>
      </c>
      <c r="G3238" s="653" t="n">
        <v>5170.39999999996</v>
      </c>
    </row>
    <row r="3239" customFormat="false" ht="15" hidden="false" customHeight="false" outlineLevel="0" collapsed="false">
      <c r="A3239" s="652" t="n">
        <v>46308</v>
      </c>
      <c r="B3239" s="123" t="s">
        <v>681</v>
      </c>
      <c r="C3239" s="124" t="s">
        <v>393</v>
      </c>
      <c r="F3239" s="123" t="n">
        <v>800</v>
      </c>
      <c r="G3239" s="653" t="n">
        <v>4370.39999999996</v>
      </c>
    </row>
    <row r="3240" customFormat="false" ht="15" hidden="false" customHeight="false" outlineLevel="0" collapsed="false">
      <c r="A3240" s="652" t="n">
        <v>46309</v>
      </c>
      <c r="B3240" s="123" t="n">
        <v>53002435</v>
      </c>
      <c r="C3240" s="124" t="s">
        <v>184</v>
      </c>
      <c r="D3240" s="124" t="s">
        <v>127</v>
      </c>
      <c r="E3240" s="653" t="n">
        <v>517.5</v>
      </c>
      <c r="G3240" s="653" t="n">
        <v>4887.89999999996</v>
      </c>
    </row>
    <row r="3241" customFormat="false" ht="15" hidden="false" customHeight="false" outlineLevel="0" collapsed="false">
      <c r="A3241" s="652" t="n">
        <v>46309</v>
      </c>
      <c r="B3241" s="123" t="n">
        <v>53002436</v>
      </c>
      <c r="C3241" s="124" t="s">
        <v>138</v>
      </c>
      <c r="D3241" s="124" t="s">
        <v>127</v>
      </c>
      <c r="E3241" s="653" t="n">
        <v>1269.6</v>
      </c>
      <c r="G3241" s="653" t="n">
        <v>6157.49999999996</v>
      </c>
    </row>
    <row r="3242" customFormat="false" ht="15" hidden="false" customHeight="false" outlineLevel="0" collapsed="false">
      <c r="A3242" s="652" t="n">
        <v>46309</v>
      </c>
      <c r="B3242" s="123" t="s">
        <v>680</v>
      </c>
      <c r="C3242" s="124" t="s">
        <v>393</v>
      </c>
      <c r="F3242" s="123" t="n">
        <v>3470</v>
      </c>
      <c r="G3242" s="653" t="n">
        <v>2687.49999999996</v>
      </c>
    </row>
    <row r="3243" customFormat="false" ht="15" hidden="false" customHeight="false" outlineLevel="0" collapsed="false">
      <c r="A3243" s="652" t="n">
        <v>46310</v>
      </c>
      <c r="B3243" s="123" t="n">
        <v>53002437</v>
      </c>
      <c r="C3243" s="124" t="s">
        <v>155</v>
      </c>
      <c r="D3243" s="124" t="s">
        <v>127</v>
      </c>
      <c r="E3243" s="653" t="n">
        <v>1269.6</v>
      </c>
      <c r="G3243" s="653" t="n">
        <v>3957.09999999996</v>
      </c>
      <c r="I3243" s="123" t="n">
        <v>4</v>
      </c>
    </row>
    <row r="3244" customFormat="false" ht="15" hidden="false" customHeight="false" outlineLevel="0" collapsed="false">
      <c r="A3244" s="652" t="n">
        <v>46310</v>
      </c>
      <c r="B3244" s="123" t="n">
        <v>53002438</v>
      </c>
      <c r="C3244" s="124" t="s">
        <v>174</v>
      </c>
      <c r="D3244" s="124" t="s">
        <v>127</v>
      </c>
      <c r="E3244" s="123" t="n">
        <v>851</v>
      </c>
      <c r="G3244" s="653" t="n">
        <v>4808.09999999996</v>
      </c>
      <c r="J3244" s="123" t="n">
        <v>5</v>
      </c>
    </row>
    <row r="3245" customFormat="false" ht="15" hidden="false" customHeight="false" outlineLevel="0" collapsed="false">
      <c r="A3245" s="652" t="n">
        <v>46313</v>
      </c>
      <c r="B3245" s="123" t="s">
        <v>680</v>
      </c>
      <c r="C3245" s="124" t="s">
        <v>393</v>
      </c>
      <c r="F3245" s="123" t="n">
        <v>3118</v>
      </c>
      <c r="G3245" s="653" t="n">
        <v>1690.09999999996</v>
      </c>
    </row>
    <row r="3246" customFormat="false" ht="15" hidden="false" customHeight="false" outlineLevel="0" collapsed="false">
      <c r="A3246" s="652" t="n">
        <v>46313</v>
      </c>
      <c r="B3246" s="123" t="n">
        <v>53002439</v>
      </c>
      <c r="C3246" s="124" t="s">
        <v>155</v>
      </c>
      <c r="D3246" s="124" t="s">
        <v>127</v>
      </c>
      <c r="E3246" s="653" t="n">
        <v>1269.6</v>
      </c>
      <c r="G3246" s="653" t="n">
        <v>2959.69999999996</v>
      </c>
      <c r="I3246" s="123" t="n">
        <v>4</v>
      </c>
    </row>
    <row r="3247" customFormat="false" ht="15" hidden="false" customHeight="false" outlineLevel="0" collapsed="false">
      <c r="A3247" s="652" t="n">
        <v>46313</v>
      </c>
      <c r="B3247" s="123" t="n">
        <v>53002440</v>
      </c>
      <c r="C3247" s="124" t="s">
        <v>155</v>
      </c>
      <c r="D3247" s="124" t="s">
        <v>127</v>
      </c>
      <c r="E3247" s="653" t="n">
        <v>1269.6</v>
      </c>
      <c r="G3247" s="653" t="n">
        <v>4229.29999999996</v>
      </c>
      <c r="I3247" s="123" t="n">
        <v>4</v>
      </c>
    </row>
    <row r="3248" customFormat="false" ht="15" hidden="false" customHeight="false" outlineLevel="0" collapsed="false">
      <c r="A3248" s="652" t="n">
        <v>46313</v>
      </c>
      <c r="C3248" s="124" t="s">
        <v>393</v>
      </c>
      <c r="F3248" s="653" t="n">
        <v>3390.2</v>
      </c>
      <c r="G3248" s="653" t="n">
        <v>839.09999999996</v>
      </c>
    </row>
    <row r="3249" customFormat="false" ht="15" hidden="false" customHeight="false" outlineLevel="0" collapsed="false">
      <c r="A3249" s="652" t="n">
        <v>46314</v>
      </c>
      <c r="B3249" s="123" t="n">
        <v>53002441</v>
      </c>
      <c r="C3249" s="124" t="s">
        <v>172</v>
      </c>
      <c r="D3249" s="124" t="s">
        <v>127</v>
      </c>
      <c r="E3249" s="653" t="n">
        <v>1442.1</v>
      </c>
      <c r="G3249" s="653" t="n">
        <v>2281.19999999996</v>
      </c>
      <c r="I3249" s="123" t="n">
        <v>4</v>
      </c>
      <c r="P3249" s="123" t="n">
        <v>1</v>
      </c>
    </row>
    <row r="3250" customFormat="false" ht="15" hidden="false" customHeight="false" outlineLevel="0" collapsed="false">
      <c r="A3250" s="652" t="n">
        <v>46314</v>
      </c>
      <c r="B3250" s="123" t="n">
        <v>53002442</v>
      </c>
      <c r="C3250" s="124" t="s">
        <v>161</v>
      </c>
      <c r="D3250" s="124" t="s">
        <v>127</v>
      </c>
      <c r="E3250" s="123" t="n">
        <v>1495</v>
      </c>
      <c r="G3250" s="653" t="n">
        <v>3776.19999999996</v>
      </c>
      <c r="P3250" s="123" t="n">
        <v>5</v>
      </c>
    </row>
    <row r="3251" customFormat="false" ht="15" hidden="false" customHeight="false" outlineLevel="0" collapsed="false">
      <c r="A3251" s="652" t="n">
        <v>46314</v>
      </c>
      <c r="B3251" s="123" t="s">
        <v>680</v>
      </c>
      <c r="C3251" s="124" t="s">
        <v>393</v>
      </c>
      <c r="F3251" s="123" t="n">
        <v>1200</v>
      </c>
      <c r="G3251" s="653" t="n">
        <v>2576.19999999996</v>
      </c>
    </row>
    <row r="3252" customFormat="false" ht="15" hidden="false" customHeight="false" outlineLevel="0" collapsed="false">
      <c r="A3252" s="652" t="n">
        <v>46314</v>
      </c>
      <c r="B3252" s="123" t="s">
        <v>681</v>
      </c>
      <c r="C3252" s="124" t="s">
        <v>393</v>
      </c>
      <c r="F3252" s="123" t="n">
        <v>400</v>
      </c>
      <c r="G3252" s="653" t="n">
        <v>2176.19999999996</v>
      </c>
    </row>
    <row r="3253" customFormat="false" ht="15" hidden="false" customHeight="false" outlineLevel="0" collapsed="false">
      <c r="A3253" s="652" t="n">
        <v>46315</v>
      </c>
      <c r="B3253" s="123" t="n">
        <v>53002443</v>
      </c>
      <c r="C3253" s="124" t="s">
        <v>203</v>
      </c>
      <c r="D3253" s="124" t="s">
        <v>127</v>
      </c>
      <c r="E3253" s="653" t="n">
        <v>1235.1</v>
      </c>
      <c r="G3253" s="653" t="n">
        <v>3411.29999999996</v>
      </c>
      <c r="I3253" s="123" t="n">
        <v>4</v>
      </c>
    </row>
    <row r="3254" customFormat="false" ht="15" hidden="false" customHeight="false" outlineLevel="0" collapsed="false">
      <c r="A3254" s="652" t="n">
        <v>46315</v>
      </c>
      <c r="B3254" s="123" t="n">
        <v>53002444</v>
      </c>
      <c r="C3254" s="124" t="s">
        <v>208</v>
      </c>
      <c r="D3254" s="124" t="s">
        <v>127</v>
      </c>
      <c r="E3254" s="123" t="n">
        <v>322</v>
      </c>
      <c r="G3254" s="653" t="n">
        <v>3733.29999999996</v>
      </c>
      <c r="O3254" s="123" t="n">
        <v>2</v>
      </c>
    </row>
    <row r="3255" customFormat="false" ht="15" hidden="false" customHeight="false" outlineLevel="0" collapsed="false">
      <c r="A3255" s="652" t="n">
        <v>46315</v>
      </c>
      <c r="B3255" s="123" t="n">
        <v>53002445</v>
      </c>
      <c r="C3255" s="124" t="s">
        <v>183</v>
      </c>
      <c r="D3255" s="124" t="s">
        <v>127</v>
      </c>
      <c r="E3255" s="653" t="n">
        <v>1534.1</v>
      </c>
      <c r="G3255" s="653" t="n">
        <v>5267.39999999996</v>
      </c>
      <c r="I3255" s="123" t="n">
        <v>4</v>
      </c>
      <c r="P3255" s="123" t="n">
        <v>1</v>
      </c>
    </row>
    <row r="3256" customFormat="false" ht="15" hidden="false" customHeight="false" outlineLevel="0" collapsed="false">
      <c r="A3256" s="652" t="n">
        <v>46316</v>
      </c>
      <c r="B3256" s="123" t="n">
        <v>53002446</v>
      </c>
      <c r="C3256" s="124" t="s">
        <v>198</v>
      </c>
      <c r="D3256" s="124" t="s">
        <v>127</v>
      </c>
      <c r="E3256" s="653" t="n">
        <v>1235.1</v>
      </c>
      <c r="G3256" s="653" t="n">
        <v>6502.49999999996</v>
      </c>
      <c r="I3256" s="123" t="n">
        <v>4</v>
      </c>
    </row>
    <row r="3257" customFormat="false" ht="15" hidden="false" customHeight="false" outlineLevel="0" collapsed="false">
      <c r="A3257" s="652" t="n">
        <v>46316</v>
      </c>
      <c r="B3257" s="123" t="n">
        <v>53002447</v>
      </c>
      <c r="C3257" s="124" t="s">
        <v>175</v>
      </c>
      <c r="D3257" s="124" t="s">
        <v>127</v>
      </c>
      <c r="E3257" s="123" t="n">
        <v>851</v>
      </c>
      <c r="G3257" s="653" t="n">
        <v>7353.49999999996</v>
      </c>
      <c r="J3257" s="123" t="n">
        <v>5</v>
      </c>
    </row>
    <row r="3258" customFormat="false" ht="15" hidden="false" customHeight="false" outlineLevel="0" collapsed="false">
      <c r="A3258" s="652" t="n">
        <v>46316</v>
      </c>
      <c r="B3258" s="123" t="s">
        <v>680</v>
      </c>
      <c r="C3258" s="124" t="s">
        <v>393</v>
      </c>
      <c r="F3258" s="123" t="n">
        <v>1500</v>
      </c>
      <c r="G3258" s="653" t="n">
        <v>5853.49999999996</v>
      </c>
    </row>
    <row r="3259" customFormat="false" ht="15" hidden="false" customHeight="false" outlineLevel="0" collapsed="false">
      <c r="A3259" s="652" t="n">
        <v>46316</v>
      </c>
      <c r="B3259" s="123" t="s">
        <v>680</v>
      </c>
      <c r="C3259" s="124" t="s">
        <v>393</v>
      </c>
      <c r="F3259" s="123" t="n">
        <v>620</v>
      </c>
      <c r="G3259" s="653" t="n">
        <v>5233.49999999996</v>
      </c>
    </row>
    <row r="3260" customFormat="false" ht="15" hidden="false" customHeight="false" outlineLevel="0" collapsed="false">
      <c r="A3260" s="652" t="n">
        <v>46317</v>
      </c>
      <c r="B3260" s="123" t="n">
        <v>53002450</v>
      </c>
      <c r="C3260" s="124" t="s">
        <v>184</v>
      </c>
      <c r="D3260" s="124" t="s">
        <v>127</v>
      </c>
      <c r="E3260" s="653" t="n">
        <v>1235.1</v>
      </c>
      <c r="G3260" s="653" t="n">
        <v>6468.59999999996</v>
      </c>
      <c r="I3260" s="123" t="n">
        <v>4</v>
      </c>
    </row>
    <row r="3261" customFormat="false" ht="15" hidden="false" customHeight="false" outlineLevel="0" collapsed="false">
      <c r="A3261" s="652" t="n">
        <v>46317</v>
      </c>
      <c r="B3261" s="123" t="n">
        <v>53002449</v>
      </c>
      <c r="C3261" s="124" t="s">
        <v>145</v>
      </c>
      <c r="D3261" s="124" t="s">
        <v>127</v>
      </c>
      <c r="E3261" s="653" t="n">
        <v>1235.1</v>
      </c>
      <c r="G3261" s="653" t="n">
        <v>7703.69999999996</v>
      </c>
      <c r="I3261" s="123" t="n">
        <v>4</v>
      </c>
    </row>
    <row r="3262" customFormat="false" ht="15" hidden="false" customHeight="false" outlineLevel="0" collapsed="false">
      <c r="A3262" s="652" t="n">
        <v>46317</v>
      </c>
      <c r="B3262" s="123" t="n">
        <v>53002450</v>
      </c>
      <c r="C3262" s="124" t="s">
        <v>201</v>
      </c>
      <c r="D3262" s="124" t="s">
        <v>127</v>
      </c>
      <c r="E3262" s="653" t="n">
        <v>1465.1</v>
      </c>
      <c r="G3262" s="653" t="n">
        <v>9168.79999999996</v>
      </c>
      <c r="I3262" s="123" t="n">
        <v>5</v>
      </c>
      <c r="P3262" s="123" t="n">
        <v>1</v>
      </c>
    </row>
    <row r="3263" customFormat="false" ht="15" hidden="false" customHeight="false" outlineLevel="0" collapsed="false">
      <c r="A3263" s="652" t="n">
        <v>46316</v>
      </c>
      <c r="B3263" s="123" t="s">
        <v>675</v>
      </c>
      <c r="C3263" s="124" t="s">
        <v>393</v>
      </c>
      <c r="F3263" s="123" t="n">
        <v>4050</v>
      </c>
      <c r="G3263" s="653" t="n">
        <v>5118.79999999996</v>
      </c>
    </row>
    <row r="3264" customFormat="false" ht="15" hidden="false" customHeight="false" outlineLevel="0" collapsed="false">
      <c r="A3264" s="652" t="n">
        <v>46316</v>
      </c>
      <c r="B3264" s="123" t="s">
        <v>675</v>
      </c>
      <c r="C3264" s="124" t="s">
        <v>393</v>
      </c>
      <c r="F3264" s="123" t="n">
        <v>943</v>
      </c>
      <c r="G3264" s="653" t="n">
        <v>4175.79999999996</v>
      </c>
    </row>
    <row r="3265" customFormat="false" ht="15" hidden="false" customHeight="false" outlineLevel="0" collapsed="false">
      <c r="A3265" s="652" t="n">
        <v>46321</v>
      </c>
      <c r="B3265" s="123" t="n">
        <v>53002451</v>
      </c>
      <c r="C3265" s="124" t="s">
        <v>162</v>
      </c>
      <c r="D3265" s="124" t="s">
        <v>127</v>
      </c>
      <c r="E3265" s="653" t="n">
        <v>1235.1</v>
      </c>
      <c r="G3265" s="653" t="n">
        <v>5410.89999999996</v>
      </c>
      <c r="I3265" s="123" t="n">
        <v>4</v>
      </c>
    </row>
    <row r="3266" customFormat="false" ht="15" hidden="false" customHeight="false" outlineLevel="0" collapsed="false">
      <c r="A3266" s="652" t="n">
        <v>46321</v>
      </c>
      <c r="B3266" s="123" t="n">
        <v>53002452</v>
      </c>
      <c r="C3266" s="124" t="s">
        <v>169</v>
      </c>
      <c r="D3266" s="124" t="s">
        <v>127</v>
      </c>
      <c r="E3266" s="653" t="n">
        <v>609.5</v>
      </c>
      <c r="G3266" s="653" t="n">
        <v>6020.39999999996</v>
      </c>
      <c r="M3266" s="123" t="n">
        <v>2</v>
      </c>
    </row>
    <row r="3267" customFormat="false" ht="15" hidden="false" customHeight="false" outlineLevel="0" collapsed="false">
      <c r="A3267" s="652" t="n">
        <v>46321</v>
      </c>
      <c r="B3267" s="123" t="n">
        <v>53002453</v>
      </c>
      <c r="C3267" s="124" t="s">
        <v>186</v>
      </c>
      <c r="D3267" s="124" t="s">
        <v>127</v>
      </c>
      <c r="E3267" s="653" t="n">
        <v>1235.1</v>
      </c>
      <c r="G3267" s="653" t="n">
        <v>7255.49999999996</v>
      </c>
      <c r="I3267" s="123" t="n">
        <v>4</v>
      </c>
    </row>
    <row r="3268" customFormat="false" ht="15" hidden="false" customHeight="false" outlineLevel="0" collapsed="false">
      <c r="A3268" s="652" t="n">
        <v>46321</v>
      </c>
      <c r="B3268" s="123" t="s">
        <v>681</v>
      </c>
      <c r="C3268" s="124" t="s">
        <v>393</v>
      </c>
      <c r="F3268" s="123" t="n">
        <v>1500</v>
      </c>
      <c r="G3268" s="653" t="n">
        <v>5755.49999999996</v>
      </c>
    </row>
    <row r="3269" customFormat="false" ht="15" hidden="false" customHeight="false" outlineLevel="0" collapsed="false">
      <c r="A3269" s="652" t="n">
        <v>46321</v>
      </c>
      <c r="B3269" s="123" t="s">
        <v>680</v>
      </c>
      <c r="C3269" s="124" t="s">
        <v>393</v>
      </c>
      <c r="F3269" s="123" t="n">
        <v>660</v>
      </c>
      <c r="G3269" s="653" t="n">
        <v>5095.49999999996</v>
      </c>
    </row>
  </sheetData>
  <autoFilter ref="A1:P326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2018-10-25T12:28:45Z</dcterms:created>
  <dc:creator>Dell</dc:creator>
  <dc:description/>
  <dc:language>en-US</dc:language>
  <cp:lastModifiedBy>Ahmed Saleh Alwasabi</cp:lastModifiedBy>
  <dcterms:modified xsi:type="dcterms:W3CDTF">2026-10-26T08:05:29Z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9bdf97-4298-457e-bf20-20c23a8bd352_ActionId">
    <vt:lpwstr>c90ff0fa-7ae2-4187-ad57-b90ca084ff01</vt:lpwstr>
  </property>
  <property fmtid="{D5CDD505-2E9C-101B-9397-08002B2CF9AE}" pid="3" name="MSIP_Label_b19bdf97-4298-457e-bf20-20c23a8bd352_ContentBits">
    <vt:lpwstr>1</vt:lpwstr>
  </property>
  <property fmtid="{D5CDD505-2E9C-101B-9397-08002B2CF9AE}" pid="4" name="MSIP_Label_b19bdf97-4298-457e-bf20-20c23a8bd352_Enabled">
    <vt:lpwstr>true</vt:lpwstr>
  </property>
  <property fmtid="{D5CDD505-2E9C-101B-9397-08002B2CF9AE}" pid="5" name="MSIP_Label_b19bdf97-4298-457e-bf20-20c23a8bd352_Method">
    <vt:lpwstr>Privileged</vt:lpwstr>
  </property>
  <property fmtid="{D5CDD505-2E9C-101B-9397-08002B2CF9AE}" pid="6" name="MSIP_Label_b19bdf97-4298-457e-bf20-20c23a8bd352_Name">
    <vt:lpwstr>Public Information</vt:lpwstr>
  </property>
  <property fmtid="{D5CDD505-2E9C-101B-9397-08002B2CF9AE}" pid="7" name="MSIP_Label_b19bdf97-4298-457e-bf20-20c23a8bd352_SetDate">
    <vt:lpwstr>2021-06-05T15:42:44Z</vt:lpwstr>
  </property>
  <property fmtid="{D5CDD505-2E9C-101B-9397-08002B2CF9AE}" pid="8" name="MSIP_Label_b19bdf97-4298-457e-bf20-20c23a8bd352_SiteId">
    <vt:lpwstr>c8e9a369-66cd-47bb-ba38-f36af16e3fa8</vt:lpwstr>
  </property>
</Properties>
</file>